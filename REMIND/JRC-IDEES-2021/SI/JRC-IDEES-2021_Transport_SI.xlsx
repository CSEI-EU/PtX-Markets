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C242" i="3" s="1"/>
  <c r="B30" i="3"/>
  <c r="B26" i="1"/>
  <c r="B25" i="1"/>
  <c r="B24" i="1"/>
  <c r="S242" i="3" l="1"/>
  <c r="P18" i="20"/>
  <c r="C18" i="20"/>
  <c r="Q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L20" i="19"/>
  <c r="R21" i="18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M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F20" i="19" l="1"/>
  <c r="F24" i="19"/>
  <c r="G18" i="18"/>
  <c r="L23" i="18"/>
  <c r="R212" i="3"/>
  <c r="N13" i="20"/>
  <c r="U18" i="18"/>
  <c r="N10" i="20"/>
  <c r="R21" i="19"/>
  <c r="N29" i="3"/>
  <c r="G23" i="20"/>
  <c r="R22" i="18"/>
  <c r="M22" i="18"/>
  <c r="T22" i="18"/>
  <c r="U19" i="18"/>
  <c r="L10" i="20"/>
  <c r="J11" i="20"/>
  <c r="E13" i="18"/>
  <c r="M24" i="19"/>
  <c r="I213" i="3"/>
  <c r="J21" i="19"/>
  <c r="Q25" i="19"/>
  <c r="Q21" i="19"/>
  <c r="K23" i="18"/>
  <c r="U24" i="19"/>
  <c r="S23" i="18"/>
  <c r="W23" i="20"/>
  <c r="L21" i="20"/>
  <c r="N241" i="3"/>
  <c r="F89" i="3"/>
  <c r="F181" i="3" s="1"/>
  <c r="M23" i="20"/>
  <c r="W17" i="20"/>
  <c r="M22" i="20"/>
  <c r="H3" i="19"/>
  <c r="H27" i="19" s="1"/>
  <c r="Q10" i="20"/>
  <c r="Q24" i="19"/>
  <c r="G24" i="19"/>
  <c r="N20" i="19"/>
  <c r="H25" i="19"/>
  <c r="H20" i="19"/>
  <c r="O11" i="20"/>
  <c r="N24" i="19"/>
  <c r="O21" i="19"/>
  <c r="S22" i="18"/>
  <c r="N23" i="18"/>
  <c r="I21" i="18"/>
  <c r="N22" i="18"/>
  <c r="W24" i="19"/>
  <c r="T24" i="19"/>
  <c r="P10" i="20"/>
  <c r="W3" i="19"/>
  <c r="W28" i="19" s="1"/>
  <c r="T23" i="18"/>
  <c r="T20" i="19"/>
  <c r="P24" i="19"/>
  <c r="K20" i="19"/>
  <c r="Q11" i="20"/>
  <c r="R29" i="3"/>
  <c r="R123" i="3" s="1"/>
  <c r="S10" i="20"/>
  <c r="U29" i="3"/>
  <c r="U122" i="3" s="1"/>
  <c r="W10" i="20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Q121" i="3"/>
  <c r="Q122" i="3"/>
  <c r="O123" i="3"/>
  <c r="E123" i="3"/>
  <c r="W123" i="3"/>
  <c r="G123" i="3"/>
  <c r="B123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J17" i="18"/>
  <c r="J13" i="18"/>
  <c r="E28" i="19"/>
  <c r="C25" i="19"/>
  <c r="C21" i="19"/>
  <c r="C3" i="19"/>
  <c r="C9" i="20" s="1"/>
  <c r="J19" i="18"/>
  <c r="T11" i="20"/>
  <c r="H19" i="19"/>
  <c r="W22" i="18"/>
  <c r="L3" i="19"/>
  <c r="L29" i="19" s="1"/>
  <c r="W19" i="19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T123" i="3" l="1"/>
  <c r="G27" i="19"/>
  <c r="Q23" i="19"/>
  <c r="U121" i="3"/>
  <c r="W23" i="19"/>
  <c r="U123" i="3"/>
  <c r="Q9" i="20"/>
  <c r="P27" i="19"/>
  <c r="U182" i="3"/>
  <c r="P9" i="20"/>
  <c r="L121" i="3"/>
  <c r="H9" i="20"/>
  <c r="R121" i="3"/>
  <c r="H29" i="19"/>
  <c r="H23" i="19"/>
  <c r="N29" i="19"/>
  <c r="N9" i="20"/>
  <c r="N19" i="19"/>
  <c r="N27" i="19"/>
  <c r="R122" i="3"/>
  <c r="E23" i="19"/>
  <c r="F241" i="3"/>
  <c r="T241" i="3"/>
  <c r="G28" i="19"/>
  <c r="M19" i="19"/>
  <c r="M9" i="20"/>
  <c r="K183" i="3"/>
  <c r="M28" i="19"/>
  <c r="M27" i="19"/>
  <c r="R241" i="3"/>
  <c r="Q123" i="3"/>
  <c r="W29" i="19"/>
  <c r="P121" i="3"/>
  <c r="P122" i="3"/>
  <c r="M23" i="19"/>
  <c r="W27" i="19"/>
  <c r="M182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10" i="5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0" i="3" l="1"/>
  <c r="I100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60" i="7" l="1"/>
  <c r="R60" i="7"/>
  <c r="W63" i="9"/>
  <c r="W57" i="9"/>
  <c r="Q75" i="7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59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N77" i="5" s="1"/>
  <c r="V135" i="5"/>
  <c r="V81" i="5"/>
  <c r="V136" i="7" s="1"/>
  <c r="E136" i="5"/>
  <c r="N136" i="5"/>
  <c r="N82" i="5"/>
  <c r="N137" i="7" s="1"/>
  <c r="V136" i="5"/>
  <c r="V82" i="5"/>
  <c r="V137" i="7" s="1"/>
  <c r="B52" i="5"/>
  <c r="B83" i="5" s="1"/>
  <c r="B138" i="7" s="1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N111" i="5" s="1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91" i="5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7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105" i="5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1" i="4"/>
  <c r="F170" i="4"/>
  <c r="F57" i="6"/>
  <c r="F199" i="7" s="1"/>
  <c r="F251" i="4"/>
  <c r="P170" i="4"/>
  <c r="P57" i="6"/>
  <c r="P199" i="7" s="1"/>
  <c r="F177" i="4"/>
  <c r="F258" i="4"/>
  <c r="R177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P70" i="5"/>
  <c r="Q184" i="4"/>
  <c r="R190" i="4"/>
  <c r="R77" i="6"/>
  <c r="R219" i="7" s="1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83" i="5"/>
  <c r="V77" i="6"/>
  <c r="N112" i="4"/>
  <c r="N31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C213" i="4"/>
  <c r="C100" i="6"/>
  <c r="C106" i="5"/>
  <c r="E215" i="4"/>
  <c r="E102" i="6"/>
  <c r="E108" i="5"/>
  <c r="H218" i="4"/>
  <c r="H105" i="6"/>
  <c r="H111" i="5"/>
  <c r="S85" i="6"/>
  <c r="O92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M200" i="4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105" i="6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T184" i="4"/>
  <c r="O77" i="6"/>
  <c r="O271" i="4"/>
  <c r="O83" i="5"/>
  <c r="I13" i="7"/>
  <c r="R58" i="4"/>
  <c r="R13" i="7"/>
  <c r="R73" i="4"/>
  <c r="R19" i="7" s="1"/>
  <c r="R20" i="7"/>
  <c r="G112" i="4"/>
  <c r="M47" i="7"/>
  <c r="N250" i="4"/>
  <c r="E252" i="4"/>
  <c r="O109" i="5"/>
  <c r="V83" i="6"/>
  <c r="Q215" i="4"/>
  <c r="Q102" i="6"/>
  <c r="Q108" i="5"/>
  <c r="M216" i="4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118" i="7" l="1"/>
  <c r="T125" i="6"/>
  <c r="S112" i="4"/>
  <c r="I58" i="4"/>
  <c r="I4" i="7" s="1"/>
  <c r="N218" i="4"/>
  <c r="F229" i="4"/>
  <c r="V94" i="5"/>
  <c r="M83" i="6"/>
  <c r="C64" i="6"/>
  <c r="C206" i="7" s="1"/>
  <c r="S198" i="4"/>
  <c r="M92" i="6"/>
  <c r="S125" i="7"/>
  <c r="V73" i="4"/>
  <c r="V19" i="7" s="1"/>
  <c r="T112" i="4"/>
  <c r="R258" i="4"/>
  <c r="R263" i="4"/>
  <c r="V138" i="7"/>
  <c r="N26" i="4"/>
  <c r="N163" i="4" s="1"/>
  <c r="D26" i="7"/>
  <c r="F95" i="5"/>
  <c r="V88" i="6"/>
  <c r="I99" i="5"/>
  <c r="R250" i="4"/>
  <c r="R260" i="4"/>
  <c r="D73" i="4"/>
  <c r="S95" i="5"/>
  <c r="I95" i="5"/>
  <c r="I93" i="6"/>
  <c r="R252" i="4"/>
  <c r="R262" i="4"/>
  <c r="R251" i="4"/>
  <c r="S89" i="6"/>
  <c r="I89" i="6"/>
  <c r="R254" i="4"/>
  <c r="F89" i="6"/>
  <c r="I202" i="4"/>
  <c r="V219" i="7"/>
  <c r="P106" i="5"/>
  <c r="R256" i="4"/>
  <c r="J77" i="6"/>
  <c r="J219" i="7" s="1"/>
  <c r="H86" i="6"/>
  <c r="G184" i="4"/>
  <c r="R257" i="4"/>
  <c r="I59" i="7"/>
  <c r="R253" i="4"/>
  <c r="H199" i="4"/>
  <c r="R249" i="4"/>
  <c r="G46" i="4"/>
  <c r="G271" i="4" s="1"/>
  <c r="J18" i="6"/>
  <c r="J55" i="6" s="1"/>
  <c r="U125" i="7"/>
  <c r="U132" i="7"/>
  <c r="U213" i="7"/>
  <c r="B63" i="5"/>
  <c r="G77" i="5"/>
  <c r="G132" i="7" s="1"/>
  <c r="U59" i="7"/>
  <c r="Q117" i="5"/>
  <c r="R127" i="4"/>
  <c r="R46" i="7" s="1"/>
  <c r="C58" i="4"/>
  <c r="C4" i="7" s="1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57" i="4"/>
  <c r="J3" i="7" s="1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B143" i="4"/>
  <c r="P13" i="4"/>
  <c r="M150" i="4"/>
  <c r="V19" i="4"/>
  <c r="V157" i="4"/>
  <c r="U4" i="4"/>
  <c r="H13" i="4"/>
  <c r="U19" i="4"/>
  <c r="U244" i="4" s="1"/>
  <c r="U157" i="4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S231" i="4" l="1"/>
  <c r="N110" i="5"/>
  <c r="E84" i="6"/>
  <c r="N104" i="6"/>
  <c r="N97" i="5"/>
  <c r="S242" i="4"/>
  <c r="N19" i="4"/>
  <c r="N244" i="4" s="1"/>
  <c r="C57" i="4"/>
  <c r="C3" i="7" s="1"/>
  <c r="N217" i="4"/>
  <c r="Q211" i="4"/>
  <c r="E90" i="5"/>
  <c r="K4" i="4"/>
  <c r="K223" i="4" s="1"/>
  <c r="S156" i="4"/>
  <c r="E4" i="4"/>
  <c r="S244" i="4"/>
  <c r="K143" i="4"/>
  <c r="N91" i="6"/>
  <c r="H157" i="4"/>
  <c r="K163" i="4"/>
  <c r="E197" i="4"/>
  <c r="K84" i="6"/>
  <c r="I90" i="5"/>
  <c r="K90" i="5"/>
  <c r="K110" i="5"/>
  <c r="N204" i="4"/>
  <c r="K104" i="6"/>
  <c r="C111" i="4"/>
  <c r="C30" i="7" s="1"/>
  <c r="D57" i="4"/>
  <c r="D3" i="7" s="1"/>
  <c r="I84" i="6"/>
  <c r="B110" i="5"/>
  <c r="I197" i="4"/>
  <c r="B104" i="6"/>
  <c r="B164" i="5"/>
  <c r="B217" i="4"/>
  <c r="S17" i="5"/>
  <c r="S148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45" i="5"/>
  <c r="S163" i="5"/>
  <c r="S165" i="5"/>
  <c r="S149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5" i="6"/>
  <c r="H141" i="6"/>
  <c r="H149" i="6"/>
  <c r="H146" i="6"/>
  <c r="H148" i="6"/>
  <c r="H139" i="6"/>
  <c r="H159" i="6"/>
  <c r="H156" i="6"/>
  <c r="H147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9" i="5"/>
  <c r="J155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234" i="4"/>
  <c r="N226" i="4"/>
  <c r="N225" i="4"/>
  <c r="N223" i="4"/>
  <c r="N235" i="4"/>
  <c r="N229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U54" i="6" l="1"/>
  <c r="J144" i="5"/>
  <c r="S143" i="5"/>
  <c r="S146" i="5"/>
  <c r="J142" i="5"/>
  <c r="J146" i="5"/>
  <c r="S141" i="5"/>
  <c r="S147" i="5"/>
  <c r="J141" i="5"/>
  <c r="V147" i="5"/>
  <c r="S151" i="5"/>
  <c r="S162" i="5"/>
  <c r="J153" i="5"/>
  <c r="J152" i="5"/>
  <c r="J161" i="5"/>
  <c r="S155" i="5"/>
  <c r="S153" i="5"/>
  <c r="G222" i="4"/>
  <c r="S157" i="5"/>
  <c r="S142" i="5"/>
  <c r="H140" i="6"/>
  <c r="H137" i="6"/>
  <c r="H152" i="6"/>
  <c r="H160" i="6"/>
  <c r="H153" i="6"/>
  <c r="H155" i="6"/>
  <c r="H154" i="6"/>
  <c r="S159" i="5"/>
  <c r="S158" i="5"/>
  <c r="S166" i="5"/>
  <c r="S156" i="5"/>
  <c r="S150" i="5"/>
  <c r="S164" i="5"/>
  <c r="S152" i="5"/>
  <c r="S144" i="5"/>
  <c r="S161" i="5"/>
  <c r="N227" i="4"/>
  <c r="N230" i="4"/>
  <c r="N222" i="4"/>
  <c r="N232" i="4"/>
  <c r="N233" i="4"/>
  <c r="N88" i="5"/>
  <c r="N82" i="6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25" i="8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K79" i="8"/>
  <c r="V77" i="8"/>
  <c r="O77" i="8"/>
  <c r="S76" i="8"/>
  <c r="R76" i="8"/>
  <c r="P76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2" i="1"/>
  <c r="B20" i="1"/>
  <c r="B8" i="1"/>
  <c r="B7" i="1"/>
  <c r="B11" i="1"/>
  <c r="B18" i="1"/>
  <c r="B16" i="1"/>
  <c r="B15" i="1"/>
  <c r="B9" i="1"/>
  <c r="B4" i="1"/>
  <c r="B21" i="1"/>
  <c r="B17" i="1"/>
  <c r="B22" i="1"/>
  <c r="B13" i="1"/>
  <c r="B6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P234" i="3"/>
  <c r="V186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0" i="3"/>
  <c r="C234" i="3"/>
  <c r="I142" i="3"/>
  <c r="I199" i="3"/>
  <c r="I141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<sst xmlns="http://schemas.openxmlformats.org/spreadsheetml/2006/main" count="2655" uniqueCount="1167">
  <si>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</si>
  <si>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</si>
  <si>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</si>
  <si>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</si>
  <si>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</si>
  <si>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</si>
  <si>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</si>
  <si>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</si>
  <si>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</si>
  <si>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</si>
  <si>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</si>
  <si>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</si>
  <si>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</si>
  <si>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</si>
  <si>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</si>
  <si>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</si>
  <si>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</si>
  <si>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</si>
  <si>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</si>
  <si>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</si>
  <si>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</si>
  <si>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</si>
  <si>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</si>
  <si>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</si>
  <si>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</si>
  <si>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</si>
  <si>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</si>
  <si>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</si>
  <si>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</si>
  <si>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</si>
  <si>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</si>
  <si>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</si>
  <si>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</si>
  <si>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</si>
  <si>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</si>
  <si>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</si>
  <si>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</si>
  <si>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</si>
  <si>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</si>
  <si>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</si>
  <si>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</si>
  <si>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</si>
  <si>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</si>
  <si>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</si>
  <si>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</si>
  <si>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</si>
  <si>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</si>
  <si>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</si>
  <si>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</si>
  <si>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</si>
  <si>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</si>
  <si>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</si>
  <si>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</si>
  <si>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</si>
  <si>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</si>
  <si>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</si>
  <si>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</si>
  <si>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</si>
  <si>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</si>
  <si>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</si>
  <si>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</si>
  <si>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</si>
  <si>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</si>
  <si>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</si>
  <si>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</si>
  <si>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</si>
  <si>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</si>
  <si>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</si>
  <si>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</si>
  <si>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</si>
  <si>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</si>
  <si>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</si>
  <si>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</si>
  <si>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</si>
  <si>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</si>
  <si>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</si>
  <si>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</si>
  <si>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</si>
  <si>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</si>
  <si>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</si>
  <si>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</si>
  <si>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</si>
  <si>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</si>
  <si>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</si>
  <si>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</si>
  <si>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</si>
  <si>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</si>
  <si>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</si>
  <si>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</si>
  <si>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</si>
  <si>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</si>
  <si>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</si>
  <si>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</si>
  <si>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</si>
  <si>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</si>
  <si>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</si>
  <si>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</si>
  <si>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</si>
  <si>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</si>
  <si>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</si>
  <si>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</si>
  <si>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</si>
  <si>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</si>
  <si>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</si>
  <si>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</si>
  <si>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</si>
  <si>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</si>
  <si>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</si>
  <si>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</si>
  <si>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</si>
  <si>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</si>
  <si>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</si>
  <si>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</si>
  <si>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</si>
  <si>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</si>
  <si>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</si>
  <si>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</si>
  <si>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</si>
  <si>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</si>
  <si>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</si>
  <si>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</si>
  <si>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</si>
  <si>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</si>
  <si>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</si>
  <si>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</si>
  <si>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</si>
  <si>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</si>
  <si>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</si>
  <si>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</si>
  <si>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</si>
  <si>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</si>
  <si>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</si>
  <si>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</si>
  <si>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</si>
  <si>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</si>
  <si>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</si>
  <si>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</si>
  <si>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</si>
  <si>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</si>
  <si>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</si>
  <si>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</si>
  <si>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</si>
  <si>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</si>
  <si>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</si>
  <si>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</si>
  <si>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</si>
  <si>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</si>
  <si>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</si>
  <si>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</si>
  <si>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</si>
  <si>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</si>
  <si>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</si>
  <si>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</si>
  <si>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</si>
  <si>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</si>
  <si>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</si>
  <si>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</si>
  <si>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</si>
  <si>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</si>
  <si>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</si>
  <si>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</si>
  <si>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</si>
  <si>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</si>
  <si>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</si>
  <si>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</si>
  <si>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</si>
  <si>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</si>
  <si>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</si>
  <si>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</si>
  <si>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</si>
  <si>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</si>
  <si>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</si>
  <si>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</si>
  <si>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</si>
  <si>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</si>
  <si>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</si>
  <si>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</si>
  <si>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</si>
  <si>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</si>
  <si>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</si>
  <si>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</si>
  <si>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</si>
  <si>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</si>
  <si>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</si>
  <si>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</si>
  <si>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</si>
  <si>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SI</t>
  </si>
  <si>
    <t>Slovenia</t>
  </si>
  <si>
    <t>Aviation - SI - Slovenia</t>
  </si>
  <si>
    <t>Activity.Mpkm.SI.Tr.Avia.Passenger</t>
  </si>
  <si>
    <t>Activity.Mpkm.SI.Tr.Avia.Passenger.Domestic</t>
  </si>
  <si>
    <t>Activity.Mpkm.SI.Tr.Avia.Passenger.IntraEEAwUK</t>
  </si>
  <si>
    <t>Activity.Mpkm.SI.Tr.Avia.Passenger.ExtraEEAwUK</t>
  </si>
  <si>
    <t>Activity.Mtkm.SI.Tr.Avia.Freight</t>
  </si>
  <si>
    <t>Activity.Mtkm.SI.Tr.Avia.Freight.Domestic</t>
  </si>
  <si>
    <t>Activity.Mtkm.SI.Tr.Avia.Freight.IntraEEAwUK</t>
  </si>
  <si>
    <t>Activity.Mtkm.SI.Tr.Avia.Freight.ExtraEEAwUK</t>
  </si>
  <si>
    <t>VehicleKm.Mkm.SI.Tr.Avia</t>
  </si>
  <si>
    <t>VehicleKm.Mkm.SI.Tr.Avia.Passenger</t>
  </si>
  <si>
    <t>VehicleKm.Mkm.SI.Tr.Avia.Passenger.Domestic</t>
  </si>
  <si>
    <t>VehicleKm.Mkm.SI.Tr.Avia.Passenger.IntraEEAwUK</t>
  </si>
  <si>
    <t>VehicleKm.Mkm.SI.Tr.Avia.Passenger.ExtraEEAwUK</t>
  </si>
  <si>
    <t>VehicleKm.Mkm.SI.Tr.Avia.Freight</t>
  </si>
  <si>
    <t>VehicleKm.Mkm.SI.Tr.Avia.Freight.Domestic</t>
  </si>
  <si>
    <t>VehicleKm.Mkm.SI.Tr.Avia.Freight.IntraEEAwUK</t>
  </si>
  <si>
    <t>VehicleKm.Mkm.SI.Tr.Avia.Freight.ExtraEEAwUK</t>
  </si>
  <si>
    <t>Flights.number.SI.Tr.Avia</t>
  </si>
  <si>
    <t>Flights.number.SI.Tr.Avia.Passenger</t>
  </si>
  <si>
    <t>Flights.number.SI.Tr.Avia.Passenger.Domestic</t>
  </si>
  <si>
    <t>Flights.number.SI.Tr.Avia.Passenger.IntraEEAwUK</t>
  </si>
  <si>
    <t>Flights.number.SI.Tr.Avia.Passenger.ExtraEEAwUK</t>
  </si>
  <si>
    <t>Flights.number.SI.Tr.Avia.Freight</t>
  </si>
  <si>
    <t>Flights.number.SI.Tr.Avia.Freight.Domestic</t>
  </si>
  <si>
    <t>Flights.number.SI.Tr.Avia.Freight.IntraEEAwUK</t>
  </si>
  <si>
    <t>Flights.number.SI.Tr.Avia.Freight.ExtraEEAwUK</t>
  </si>
  <si>
    <t>VolCarried.passenger.SI.Tr.Avia.Passenger</t>
  </si>
  <si>
    <t>VolCarried.passenger.SI.Tr.Avia.Passenger.Domestic</t>
  </si>
  <si>
    <t>VolCarried.passenger.SI.Tr.Avia.Passenger.IntraEEAwUK</t>
  </si>
  <si>
    <t>VolCarried.passenger.SI.Tr.Avia.Passenger.ExtraEEAwUK</t>
  </si>
  <si>
    <t>VolCarried.t.SI.Tr.Avia.Freight</t>
  </si>
  <si>
    <t>VolCarried.t.SI.Tr.Avia.Freight.Domestic</t>
  </si>
  <si>
    <t>VolCarried.t.SI.Tr.Avia.Freight.IntraEEAwUK</t>
  </si>
  <si>
    <t>VolCarried.t.SI.Tr.Avia.Freight.ExtraEEAwUK</t>
  </si>
  <si>
    <t>Stock.number.SI.Tr.Avia</t>
  </si>
  <si>
    <t>Stock.number.SI.Tr.Avia.Passenger</t>
  </si>
  <si>
    <t>Stock.number.SI.Tr.Avia.Passenger.Domestic</t>
  </si>
  <si>
    <t>Stock.number.SI.Tr.Avia.Passenger.IntraEEAwUK</t>
  </si>
  <si>
    <t>Stock.number.SI.Tr.Avia.Passenger.ExtraEEAwUK</t>
  </si>
  <si>
    <t>Stock.number.SI.Tr.Avia.Freight</t>
  </si>
  <si>
    <t>Stock.number.SI.Tr.Avia.Freight.Domestic</t>
  </si>
  <si>
    <t>Stock.number.SI.Tr.Avia.Freight.IntraEEAwUK</t>
  </si>
  <si>
    <t>Stock.number.SI.Tr.Avia.Freight.ExtraEEAwUK</t>
  </si>
  <si>
    <t>StockNew.number.SI.Tr.Avia</t>
  </si>
  <si>
    <t>StockNew.number.SI.Tr.Avia.Passenger</t>
  </si>
  <si>
    <t>StockNew.number.SI.Tr.Avia.Passenger.Domestic</t>
  </si>
  <si>
    <t>StockNew.number.SI.Tr.Avia.Passenger.IntraEEAwUK</t>
  </si>
  <si>
    <t>StockNew.number.SI.Tr.Avia.Passenger.ExtraEEAwUK</t>
  </si>
  <si>
    <t>StockNew.number.SI.Tr.Avia.Freight</t>
  </si>
  <si>
    <t>StockNew.number.SI.Tr.Avia.Freight.Domestic</t>
  </si>
  <si>
    <t>StockNew.number.SI.Tr.Avia.Freight.IntraEEAwUK</t>
  </si>
  <si>
    <t>StockNew.number.SI.Tr.Avia.Freight.ExtraEEAwUK</t>
  </si>
  <si>
    <t>Load.passenger_per_movement.SI.Tr.Avia.Passenger</t>
  </si>
  <si>
    <t>Load.passenger_per_movement.SI.Tr.Avia.Passenger.Domestic</t>
  </si>
  <si>
    <t>Load.passenger_per_movement.SI.Tr.Avia.Passenger.IntraEEAwUK</t>
  </si>
  <si>
    <t>Load.passenger_per_movement.SI.Tr.Avia.Passenger.ExtraEEAwUK</t>
  </si>
  <si>
    <t>Load.t_per_movement.SI.Tr.Avia.Freight</t>
  </si>
  <si>
    <t>Load.t_per_movement.SI.Tr.Avia.Freight.Domestic</t>
  </si>
  <si>
    <t>Load.t_per_movement.SI.Tr.Avia.Freight.IntraEEAwUK</t>
  </si>
  <si>
    <t>Load.t_per_movement.SI.Tr.Avia.Freight.ExtraEEAwUK</t>
  </si>
  <si>
    <t>VehicleKm_per_flight.km.SI.Tr.Avia</t>
  </si>
  <si>
    <t>VehicleKm_per_flight.km.SI.Tr.Avia.Passenger</t>
  </si>
  <si>
    <t>VehicleKm_per_flight.km.SI.Tr.Avia.Passenger.Domestic</t>
  </si>
  <si>
    <t>VehicleKm_per_flight.km.SI.Tr.Avia.Passenger.IntraEEAwUK</t>
  </si>
  <si>
    <t>VehicleKm_per_flight.km.SI.Tr.Avia.Passenger.ExtraEEAwUK</t>
  </si>
  <si>
    <t>VehicleKm_per_flight.km.SI.Tr.Avia.Freight</t>
  </si>
  <si>
    <t>VehicleKm_per_flight.km.SI.Tr.Avia.Freight.Domestic</t>
  </si>
  <si>
    <t>VehicleKm_per_flight.km.SI.Tr.Avia.Freight.IntraEEAwUK</t>
  </si>
  <si>
    <t>VehicleKm_per_flight.km.SI.Tr.Avia.Freight.ExtraEEAwUK</t>
  </si>
  <si>
    <t>Activity_per_flight.pkm.SI.Tr.Avia.Passenger</t>
  </si>
  <si>
    <t>Activity_per_flight.pkm.SI.Tr.Avia.Passenger.Domestic</t>
  </si>
  <si>
    <t>Activity_per_flight.pkm.SI.Tr.Avia.Passenger.IntraEEAwUK</t>
  </si>
  <si>
    <t>Activity_per_flight.pkm.SI.Tr.Avia.Passenger.ExtraEEAwUK</t>
  </si>
  <si>
    <t>Activity_per_flight.tkm.SI.Tr.Avia.Freight</t>
  </si>
  <si>
    <t>Activity_per_flight.tkm.SI.Tr.Avia.Freight.Domestic</t>
  </si>
  <si>
    <t>Activity_per_flight.tkm.SI.Tr.Avia.Freight.IntraEEAwUK</t>
  </si>
  <si>
    <t>Activity_per_flight.tkm.SI.Tr.Avia.Freight.ExtraEEAwUK</t>
  </si>
  <si>
    <t>Flights_per_vehicle.number.SI.Tr.Avia</t>
  </si>
  <si>
    <t>Flights_per_vehicle.number.SI.Tr.Avia.Passenger</t>
  </si>
  <si>
    <t>Flights_per_vehicle.number.SI.Tr.Avia.Passenger.Domestic</t>
  </si>
  <si>
    <t>Flights_per_vehicle.number.SI.Tr.Avia.Passenger.IntraEEAwUK</t>
  </si>
  <si>
    <t>Flights_per_vehicle.number.SI.Tr.Avia.Passenger.ExtraEEAwUK</t>
  </si>
  <si>
    <t>Flights_per_vehicle.number.SI.Tr.Avia.Freight</t>
  </si>
  <si>
    <t>Flights_per_vehicle.number.SI.Tr.Avia.Freight.Domestic</t>
  </si>
  <si>
    <t>Flights_per_vehicle.number.SI.Tr.Avia.Freight.IntraEEAwUK</t>
  </si>
  <si>
    <t>Flights_per_vehicle.number.SI.Tr.Avia.Freight.ExtraEEAwUK</t>
  </si>
  <si>
    <t>Aviation / energy consumption - SI - Slovenia</t>
  </si>
  <si>
    <t>FEC.ktoe.SI.Tr.Avia</t>
  </si>
  <si>
    <t>FEC.ktoe.SI.Tr.Avia.Domestic</t>
  </si>
  <si>
    <t>FEC.ktoe.SI.Tr.Avia.International</t>
  </si>
  <si>
    <t>FEC.ktoe.SI.Tr.Avia.Passenger</t>
  </si>
  <si>
    <t>FEC.ktoe.SI.Tr.Avia.Passenger.Domestic</t>
  </si>
  <si>
    <t>FEC.ktoe.SI.Tr.Avia.Passenger.IntraEEAwUK</t>
  </si>
  <si>
    <t>FEC.ktoe.SI.Tr.Avia.Passenger.ExtraEEAwUK</t>
  </si>
  <si>
    <t>FEC.ktoe.SI.Tr.Avia.Freight</t>
  </si>
  <si>
    <t>FEC.ktoe.SI.Tr.Avia.Freight.Domestic</t>
  </si>
  <si>
    <t>FEC.ktoe.SI.Tr.Avia.Freight.IntraEEAwUK</t>
  </si>
  <si>
    <t>FEC.ktoe.SI.Tr.Avia.Freight.ExtraEEAwUK</t>
  </si>
  <si>
    <t>Eff.kgoe_per_100km.SI.Tr.Avia</t>
  </si>
  <si>
    <t>Eff.kgoe_per_100km.SI.Tr.Avia.Passenger</t>
  </si>
  <si>
    <t>Eff.kgoe_per_100km.SI.Tr.Avia.Passenger.Domestic</t>
  </si>
  <si>
    <t>Eff.kgoe_per_100km.SI.Tr.Avia.Passenger.IntraEEAwUK</t>
  </si>
  <si>
    <t>Eff.kgoe_per_100km.SI.Tr.Avia.Passenger.ExtraEEAwUK</t>
  </si>
  <si>
    <t>Eff.kgoe_per_100km.SI.Tr.Avia.Freight</t>
  </si>
  <si>
    <t>Eff.kgoe_per_100km.SI.Tr.Avia.Freight.Domestic</t>
  </si>
  <si>
    <t>Eff.kgoe_per_100km.SI.Tr.Avia.Freight.IntraEEAwUK</t>
  </si>
  <si>
    <t>Eff.kgoe_per_100km.SI.Tr.Avia.Freight.ExtraEEAwUK</t>
  </si>
  <si>
    <t>Eff.kgoe_per_kpkm.SI.Tr.Avia.Passenger</t>
  </si>
  <si>
    <t>Eff.kgoe_per_kpkm.SI.Tr.Avia.Passenger.Domestic</t>
  </si>
  <si>
    <t>Eff.kgoe_per_kpkm.SI.Tr.Avia.Passenger.IntraEEAwUK</t>
  </si>
  <si>
    <t>Eff.kgoe_per_kpkm.SI.Tr.Avia.Passenger.ExtraEEAwUK</t>
  </si>
  <si>
    <t>Eff.kgoe_per_ktkm.SI.Tr.Avia.Freight</t>
  </si>
  <si>
    <t>Eff.kgoe_per_ktkm.SI.Tr.Avia.Freight.Domestic</t>
  </si>
  <si>
    <t>Eff.kgoe_per_ktkm.SI.Tr.Avia.Freight.IntraEEAwUK</t>
  </si>
  <si>
    <t>Eff.kgoe_per_ktkm.SI.Tr.Avia.Freight.ExtraEEAwUK</t>
  </si>
  <si>
    <t>FEC_per_flight.kgoe.SI.Tr.Avia</t>
  </si>
  <si>
    <t>FEC_per_flight.kgoe.SI.Tr.Avia.Passenger</t>
  </si>
  <si>
    <t>FEC_per_flight.kgoe.SI.Tr.Avia.Passenger.Domestic</t>
  </si>
  <si>
    <t>FEC_per_flight.kgoe.SI.Tr.Avia.Passenger.IntraEEAwUK</t>
  </si>
  <si>
    <t>FEC_per_flight.kgoe.SI.Tr.Avia.Passenger.ExtraEEAwUK</t>
  </si>
  <si>
    <t>FEC_per_flight.kgoe.SI.Tr.Avia.Freight</t>
  </si>
  <si>
    <t>FEC_per_flight.kgoe.SI.Tr.Avia.Freight.Domestic</t>
  </si>
  <si>
    <t>FEC_per_flight.kgoe.SI.Tr.Avia.Freight.IntraEEAwUK</t>
  </si>
  <si>
    <t>FEC_per_flight.kgoe.SI.Tr.Avia.Freight.ExtraEEAwUK</t>
  </si>
  <si>
    <t>Eff_theor.kgoe_per_100km.SI.Tr.Avia</t>
  </si>
  <si>
    <t>Eff_theor.kgoe_per_100km.SI.Tr.Avia.Passenger</t>
  </si>
  <si>
    <t>Eff_theor.kgoe_per_100km.SI.Tr.Avia.Passenger.Domestic</t>
  </si>
  <si>
    <t>Eff_theor.kgoe_per_100km.SI.Tr.Avia.Passenger.IntraEEAwUK</t>
  </si>
  <si>
    <t>Eff_theor.kgoe_per_100km.SI.Tr.Avia.Passenger.ExtraEEAwUK</t>
  </si>
  <si>
    <t>Eff_theor.kgoe_per_100km.SI.Tr.Avia.Freight</t>
  </si>
  <si>
    <t>Eff_theor.kgoe_per_100km.SI.Tr.Avia.Freight.Domestic</t>
  </si>
  <si>
    <t>Eff_theor.kgoe_per_100km.SI.Tr.Avia.Freight.IntraEEAwUK</t>
  </si>
  <si>
    <t>Eff_theor.kgoe_per_100km.SI.Tr.Avia.Freight.ExtraEEAwUK</t>
  </si>
  <si>
    <t>Aviation / CO2 emissions - SI - Slovenia</t>
  </si>
  <si>
    <t>EMI.ktCO2.SI.Tr.Avia</t>
  </si>
  <si>
    <t>EMI.ktCO2.SI.Tr.Avia.Domestic</t>
  </si>
  <si>
    <t>EMI.ktCO2.SI.Tr.Avia.International</t>
  </si>
  <si>
    <t>EMI.ktCO2.SI.Tr.Avia.Passenger</t>
  </si>
  <si>
    <t>EMI.ktCO2.SI.Tr.Avia.Passenger.Domestic</t>
  </si>
  <si>
    <t>EMI.ktCO2.SI.Tr.Avia.Passenger.IntraEEAwUK</t>
  </si>
  <si>
    <t>EMI.ktCO2.SI.Tr.Avia.Passenger.ExtraEEAwUK</t>
  </si>
  <si>
    <t>EMI.ktCO2.SI.Tr.Avia.Freight</t>
  </si>
  <si>
    <t>EMI.ktCO2.SI.Tr.Avia.Freight.Domestic</t>
  </si>
  <si>
    <t>EMI.ktCO2.SI.Tr.Avia.Freight.IntraEEAwUK</t>
  </si>
  <si>
    <t>EMI.ktCO2.SI.Tr.Avia.Freight.ExtraEEAwUK</t>
  </si>
  <si>
    <t>EMIint.gCO2_per_km.SI.Tr.Avia</t>
  </si>
  <si>
    <t>EMIint.gCO2_per_km.SI.Tr.Avia.Passenger</t>
  </si>
  <si>
    <t>EMIint.gCO2_per_km.SI.Tr.Avia.Passenger.Domestic</t>
  </si>
  <si>
    <t>EMIint.gCO2_per_km.SI.Tr.Avia.Passenger.IntraEEAwUK</t>
  </si>
  <si>
    <t>EMIint.gCO2_per_km.SI.Tr.Avia.Passenger.ExtraEEAwUK</t>
  </si>
  <si>
    <t>EMIint.gCO2_per_km.SI.Tr.Avia.Freight</t>
  </si>
  <si>
    <t>EMIint.gCO2_per_km.SI.Tr.Avia.Freight.Domestic</t>
  </si>
  <si>
    <t>EMIint.gCO2_per_km.SI.Tr.Avia.Freight.IntraEEAwUK</t>
  </si>
  <si>
    <t>EMIint.gCO2_per_km.SI.Tr.Avia.Freight.ExtraEEAwUK</t>
  </si>
  <si>
    <t>EMIint.gCO2_per_pkm.SI.Tr.Avia.Passenger</t>
  </si>
  <si>
    <t>EMIint.gCO2_per_pkm.SI.Tr.Avia.Passenger.Domestic</t>
  </si>
  <si>
    <t>EMIint.gCO2_per_pkm.SI.Tr.Avia.Passenger.IntraEEAwUK</t>
  </si>
  <si>
    <t>EMIint.gCO2_per_pkm.SI.Tr.Avia.Passenger.ExtraEEAwUK</t>
  </si>
  <si>
    <t>EMIint.gCO2_per_tkm.SI.Tr.Avia.Freight</t>
  </si>
  <si>
    <t>EMIint.gCO2_per_tkm.SI.Tr.Avia.Freight.Domestic</t>
  </si>
  <si>
    <t>EMIint.gCO2_per_tkm.SI.Tr.Avia.Freight.IntraEEAwUK</t>
  </si>
  <si>
    <t>EMIint.gCO2_per_tkm.SI.Tr.Avia.Freight.ExtraEEAwUK</t>
  </si>
  <si>
    <t>EMI_per_flight.kgCO2.SI.Tr.Avia</t>
  </si>
  <si>
    <t>EMI_per_flight.kgCO2.SI.Tr.Avia.Passenger</t>
  </si>
  <si>
    <t>EMI_per_flight.kgCO2.SI.Tr.Avia.Passenger.Domestic</t>
  </si>
  <si>
    <t>EMI_per_flight.kgCO2.SI.Tr.Avia.Passenger.IntraEEAwUK</t>
  </si>
  <si>
    <t>EMI_per_flight.kgCO2.SI.Tr.Avia.Passenger.ExtraEEAwUK</t>
  </si>
  <si>
    <t>EMI_per_flight.kgCO2.SI.Tr.Avia.Freight</t>
  </si>
  <si>
    <t>EMI_per_flight.kgCO2.SI.Tr.Avia.Freight.Domestic</t>
  </si>
  <si>
    <t>EMI_per_flight.kgCO2.SI.Tr.Avia.Freight.IntraEEAwUK</t>
  </si>
  <si>
    <t>EMI_per_flight.kgCO2.SI.Tr.Avia.Freight.ExtraEEAwUK</t>
  </si>
  <si>
    <t>Aviation / passenger transport specific data - SI - Slovenia</t>
  </si>
  <si>
    <t>TrCap.seats.SI.Tr.Avia.Passenger</t>
  </si>
  <si>
    <t>TrCap.seats.SI.Tr.Avia.Passenger.Domestic</t>
  </si>
  <si>
    <t>TrCap.seats.SI.Tr.Avia.Passenger.IntraEEAwUK</t>
  </si>
  <si>
    <t>TrCap.seats.SI.Tr.Avia.Passenger.ExtraEEAwUK</t>
  </si>
  <si>
    <t>TrCap_per_flight.seats.SI.Tr.Avia.Passenger</t>
  </si>
  <si>
    <t>TrCap_per_flight.seats.SI.Tr.Avia.Passenger.Domestic</t>
  </si>
  <si>
    <t>TrCap_per_flight.seats.SI.Tr.Avia.Passenger.IntraEEAwUK</t>
  </si>
  <si>
    <t>TrCap_per_flight.seats.SI.Tr.Avia.Passenger.ExtraEEAwUK</t>
  </si>
  <si>
    <t>Transport overview - SI - Slovenia</t>
  </si>
  <si>
    <t>Activity.Mpkm.SI.Tr</t>
  </si>
  <si>
    <t>Activity.Mpkm.SI.Tr.Road.Passenger</t>
  </si>
  <si>
    <t>Activity.Mpkm.SI.Tr.Road.Passenger.P2W</t>
  </si>
  <si>
    <t>Activity.Mpkm.SI.Tr.Road.Passenger.Car</t>
  </si>
  <si>
    <t>Activity.Mpkm.SI.Tr.Road.Passenger.Bus</t>
  </si>
  <si>
    <t>Activity.Mpkm.SI.Tr.Rail.Passenger</t>
  </si>
  <si>
    <t>Activity.Mpkm.SI.Tr.Rail.Passenger.MTU</t>
  </si>
  <si>
    <t>Activity.Mpkm.SI.Tr.Rail.Passenger.CPT</t>
  </si>
  <si>
    <t>Activity.Mpkm.SI.Tr.Rail.Passenger.HST</t>
  </si>
  <si>
    <t>Activity.Mtkm.SI.Tr</t>
  </si>
  <si>
    <t>Activity.Mtkm.SI.Tr.Road.Freight</t>
  </si>
  <si>
    <t>Activity.Mtkm.SI.Tr.Road.Freight.LCV</t>
  </si>
  <si>
    <t>Activity.Mtkm.SI.Tr.Road.Freight.HGV</t>
  </si>
  <si>
    <t>Activity.Mtkm.SI.Tr.Rail.Freight</t>
  </si>
  <si>
    <t>Activity.Mtkm.SI.Tr.DNavi.Freight</t>
  </si>
  <si>
    <t>Activity.Mtkm.SI.Tr.DNavi.Freight.DCS</t>
  </si>
  <si>
    <t>Activity.Mtkm.SI.Tr.DNavi.Freight.IWW</t>
  </si>
  <si>
    <t>Activity.Mtkm.SI.MBunk.Freight</t>
  </si>
  <si>
    <t>Activity.Mtkm.SI.MBunk.Freight.IntraEEA</t>
  </si>
  <si>
    <t>Activity.Mtkm.SI.MBunk.Freight.ExtraEEA</t>
  </si>
  <si>
    <t>FEC.ktoe.SI.Tr.Road.Passenger</t>
  </si>
  <si>
    <t>FEC.ktoe.SI.Tr.Road.Passenger.P2W</t>
  </si>
  <si>
    <t>FEC.ktoe.SI.Tr.Road.Passenger.Car</t>
  </si>
  <si>
    <t>FEC.ktoe.SI.Tr.Road.Passenger.Bus</t>
  </si>
  <si>
    <t>FEC.ktoe.SI.Tr.Rail.Passenger</t>
  </si>
  <si>
    <t>FEC.ktoe.SI.Tr.Rail.Passenger.MTU</t>
  </si>
  <si>
    <t>FEC.ktoe.SI.Tr.Rail.Passenger.CPT</t>
  </si>
  <si>
    <t>FEC.ktoe.SI.Tr.Rail.Passenger.HST</t>
  </si>
  <si>
    <t>FEC.ktoe.SI.Tr.Road.Freight</t>
  </si>
  <si>
    <t>FEC.ktoe.SI.Tr.Road.Freight.LCV</t>
  </si>
  <si>
    <t>FEC.ktoe.SI.Tr.Road.Freight.HGV</t>
  </si>
  <si>
    <t>FEC.ktoe.SI.Tr.Rail.Freight</t>
  </si>
  <si>
    <t>EMI.ktCO2.SI.Tr.Road.Passenger</t>
  </si>
  <si>
    <t>EMI.ktCO2.SI.Tr.Road.Passenger.P2W</t>
  </si>
  <si>
    <t>EMI.ktCO2.SI.Tr.Road.Passenger.Car</t>
  </si>
  <si>
    <t>EMI.ktCO2.SI.Tr.Road.Passenger.Bus</t>
  </si>
  <si>
    <t>EMI.ktCO2.SI.Tr.Rail.Passenger</t>
  </si>
  <si>
    <t>EMI.ktCO2.SI.Tr.Rail.Passenger.MTU</t>
  </si>
  <si>
    <t>EMI.ktCO2.SI.Tr.Rail.Passenger.CPT</t>
  </si>
  <si>
    <t>EMI.ktCO2.SI.Tr.Rail.Passenger.HST</t>
  </si>
  <si>
    <t>EMI.ktCO2.SI.Tr.Road.Freight</t>
  </si>
  <si>
    <t>EMI.ktCO2.SI.Tr.Road.Freight.LCV</t>
  </si>
  <si>
    <t>EMI.ktCO2.SI.Tr.Road.Freight.HGV</t>
  </si>
  <si>
    <t>EMI.ktCO2.SI.Tr.Rail.Freight</t>
  </si>
  <si>
    <t>Eff.kgoe_per_kpkm.SI.Tr</t>
  </si>
  <si>
    <t>Eff.kgoe_per_kpkm.SI.Tr.Road.Passenger</t>
  </si>
  <si>
    <t>Eff.kgoe_per_kpkm.SI.Tr.Road.Passenger.P2W</t>
  </si>
  <si>
    <t>Eff.kgoe_per_kpkm.SI.Tr.Road.Passenger.Car</t>
  </si>
  <si>
    <t>Eff.kgoe_per_kpkm.SI.Tr.Road.Passenger.Bus</t>
  </si>
  <si>
    <t>Eff.kgoe_per_kpkm.SI.Tr.Rail.Passenger</t>
  </si>
  <si>
    <t>Eff.kgoe_per_kpkm.SI.Tr.Rail.Passenger.MTU</t>
  </si>
  <si>
    <t>Eff.kgoe_per_kpkm.SI.Tr.Rail.Passenger.CPT</t>
  </si>
  <si>
    <t>Eff.kgoe_per_kpkm.SI.Tr.Rail.Passenger.HST</t>
  </si>
  <si>
    <t>Eff.kgoe_per_ktkm.SI.Tr</t>
  </si>
  <si>
    <t>Eff.kgoe_per_ktkm.SI.Tr.Road.Freight</t>
  </si>
  <si>
    <t>Eff.kgoe_per_ktkm.SI.Tr.Road.Freight.LCV</t>
  </si>
  <si>
    <t>Eff.kgoe_per_ktkm.SI.Tr.Road.Freight.HGV</t>
  </si>
  <si>
    <t>Eff.kgoe_per_ktkm.SI.Tr.Rail.Freight</t>
  </si>
  <si>
    <t>Eff.kgoe_per_ktkm.SI.Tr.DNavi.Freight</t>
  </si>
  <si>
    <t>Eff.kgoe_per_ktkm.SI.Tr.DNavi.Freight.DCS</t>
  </si>
  <si>
    <t>Eff.kgoe_per_ktkm.SI.Tr.DNavi.Freight.IWW</t>
  </si>
  <si>
    <t>Eff.kgoe_per_ktkm.SI.MBunk.Freight</t>
  </si>
  <si>
    <t>Eff.kgoe_per_ktkm.SI.MBunk.Freight.IntraEEA</t>
  </si>
  <si>
    <t>Eff.kgoe_per_ktkm.SI.MBunk.Freight.ExtraEEA</t>
  </si>
  <si>
    <t>EMIint.gCO2_per_pkm.SI.Tr</t>
  </si>
  <si>
    <t>EMIint.gCO2_per_pkm.SI.Tr.Road.Passenger</t>
  </si>
  <si>
    <t>EMIint.gCO2_per_pkm.SI.Tr.Road.Passenger.P2W</t>
  </si>
  <si>
    <t>EMIint.gCO2_per_pkm.SI.Tr.Road.Passenger.Car</t>
  </si>
  <si>
    <t>EMIint.gCO2_per_pkm.SI.Tr.Road.Passenger.Bus</t>
  </si>
  <si>
    <t>EMIint.gCO2_per_pkm.SI.Tr.Rail.Passenger</t>
  </si>
  <si>
    <t>EMIint.gCO2_per_pkm.SI.Tr.Rail.Passenger.MTU</t>
  </si>
  <si>
    <t>EMIint.gCO2_per_pkm.SI.Tr.Rail.Passenger.CPT</t>
  </si>
  <si>
    <t>EMIint.gCO2_per_pkm.SI.Tr.Rail.Passenger.HST</t>
  </si>
  <si>
    <t>EMIint.gCO2_per_tkm.SI.Tr</t>
  </si>
  <si>
    <t>EMIint.gCO2_per_tkm.SI.Tr.Road.Freight</t>
  </si>
  <si>
    <t>EMIint.gCO2_per_tkm.SI.Tr.Road.Freight.LCV</t>
  </si>
  <si>
    <t>EMIint.gCO2_per_tkm.SI.Tr.Road.Freight.HGV</t>
  </si>
  <si>
    <t>EMIint.gCO2_per_tkm.SI.Tr.Rail.Freight</t>
  </si>
  <si>
    <t>EMIint.gCO2_per_tkm.SI.Tr.DNavi.Freight</t>
  </si>
  <si>
    <t>EMIint.gCO2_per_tkm.SI.Tr.DNavi.Freight.DCS</t>
  </si>
  <si>
    <t>EMIint.gCO2_per_tkm.SI.Tr.DNavi.Freight.IWW</t>
  </si>
  <si>
    <t>EMIint.gCO2_per_tkm.SI.MBunk.Freight</t>
  </si>
  <si>
    <t>EMIint.gCO2_per_tkm.SI.MBunk.Freight.IntraEEA</t>
  </si>
  <si>
    <t>EMIint.gCO2_per_tkm.SI.MBunk.Freight.ExtraEEA</t>
  </si>
  <si>
    <t>Road transport - SI - Slovenia</t>
  </si>
  <si>
    <t>Activity.Mpkm.SI.Tr.Road.Passenger.Car.ICE.Gasoline</t>
  </si>
  <si>
    <t>Activity.Mpkm.SI.Tr.Road.Passenger.Car.ICE.Diesel</t>
  </si>
  <si>
    <t>Activity.Mpkm.SI.Tr.Road.Passenger.Car.ICE.LPG</t>
  </si>
  <si>
    <t>Activity.Mpkm.SI.Tr.Road.Passenger.Car.ICE.NGas</t>
  </si>
  <si>
    <t>Activity.Mpkm.SI.Tr.Road.Passenger.Car.PHEV</t>
  </si>
  <si>
    <t>Activity.Mpkm.SI.Tr.Road.Passenger.Car.BEV</t>
  </si>
  <si>
    <t>Activity.Mpkm.SI.Tr.Road.Passenger.Bus.ICE.Gasoline</t>
  </si>
  <si>
    <t>Activity.Mpkm.SI.Tr.Road.Passenger.Bus.ICE.Diesel</t>
  </si>
  <si>
    <t>Activity.Mpkm.SI.Tr.Road.Passenger.Bus.ICE.LPG</t>
  </si>
  <si>
    <t>Activity.Mpkm.SI.Tr.Road.Passenger.Bus.ICE.NGas</t>
  </si>
  <si>
    <t>Activity.Mpkm.SI.Tr.Road.Passenger.Bus.ICE.BEV</t>
  </si>
  <si>
    <t>Activity.Mtkm.SI.Tr.Road.Freight.LCV.ICE.Gasoline</t>
  </si>
  <si>
    <t>Activity.Mtkm.SI.Tr.Road.Freight.LCV.ICE.Diesel</t>
  </si>
  <si>
    <t>Activity.Mtkm.SI.Tr.Road.Freight.LCV.ICE.LPG</t>
  </si>
  <si>
    <t>Activity.Mtkm.SI.Tr.Road.Freight.LCV.ICE.NGas</t>
  </si>
  <si>
    <t>Activity.Mtkm.SI.Tr.Road.Freight.LCV.ICE.BEV</t>
  </si>
  <si>
    <t>Activity.Mtkm.SI.Tr.Road.Freight.HGV.Domestic</t>
  </si>
  <si>
    <t>Activity.Mtkm.SI.Tr.Road.Freight.HGV.International</t>
  </si>
  <si>
    <t>VehicleKm.Mkm.SI.Tr.Road</t>
  </si>
  <si>
    <t>VehicleKm.Mkm.SI.Tr.Road.Passenger</t>
  </si>
  <si>
    <t>VehicleKm.Mkm.SI.Tr.Road.Passenger.P2W</t>
  </si>
  <si>
    <t>VehicleKm.Mkm.SI.Tr.Road.Passenger.Car</t>
  </si>
  <si>
    <t>VehicleKm.Mkm.SI.Tr.Road.Passenger.Car.ICE.Gasoline</t>
  </si>
  <si>
    <t>VehicleKm.Mkm.SI.Tr.Road.Passenger.Car.ICE.Diesel</t>
  </si>
  <si>
    <t>VehicleKm.Mkm.SI.Tr.Road.Passenger.Car.ICE.LPG</t>
  </si>
  <si>
    <t>VehicleKm.Mkm.SI.Tr.Road.Passenger.Car.ICE.NGas</t>
  </si>
  <si>
    <t>VehicleKm.Mkm.SI.Tr.Road.Passenger.Car.PHEV</t>
  </si>
  <si>
    <t>VehicleKm.Mkm.SI.Tr.Road.Passenger.Car.BEV</t>
  </si>
  <si>
    <t>VehicleKm.Mkm.SI.Tr.Road.Passenger.Bus</t>
  </si>
  <si>
    <t>VehicleKm.Mkm.SI.Tr.Road.Passenger.Bus.ICE.Gasoline</t>
  </si>
  <si>
    <t>VehicleKm.Mkm.SI.Tr.Road.Passenger.Bus.ICE.Diesel</t>
  </si>
  <si>
    <t>VehicleKm.Mkm.SI.Tr.Road.Passenger.Bus.ICE.LPG</t>
  </si>
  <si>
    <t>VehicleKm.Mkm.SI.Tr.Road.Passenger.Bus.ICE.NGas</t>
  </si>
  <si>
    <t>VehicleKm.Mkm.SI.Tr.Road.Passenger.Bus.ICE.BEV</t>
  </si>
  <si>
    <t>VehicleKm.Mkm.SI.Tr.Road.Freight</t>
  </si>
  <si>
    <t>VehicleKm.Mkm.SI.Tr.Road.Freight.LCV</t>
  </si>
  <si>
    <t>VehicleKm.Mkm.SI.Tr.Road.Freight.LCV.ICE.Gasoline</t>
  </si>
  <si>
    <t>VehicleKm.Mkm.SI.Tr.Road.Freight.LCV.ICE.Diesel</t>
  </si>
  <si>
    <t>VehicleKm.Mkm.SI.Tr.Road.Freight.LCV.ICE.LPG</t>
  </si>
  <si>
    <t>VehicleKm.Mkm.SI.Tr.Road.Freight.LCV.ICE.NGas</t>
  </si>
  <si>
    <t>VehicleKm.Mkm.SI.Tr.Road.Freight.LCV.ICE.BEV</t>
  </si>
  <si>
    <t>VehicleKm.Mkm.SI.Tr.Road.Freight.HGV</t>
  </si>
  <si>
    <t>VehicleKm.Mkm.SI.Tr.Road.Freight.HGV.Domestic</t>
  </si>
  <si>
    <t>VehicleKm.Mkm.SI.Tr.Road.Freight.HGV.International</t>
  </si>
  <si>
    <t>Stock.number.SI.Tr.Road</t>
  </si>
  <si>
    <t>Stock.number.SI.Tr.Road.Passenger</t>
  </si>
  <si>
    <t>Stock.number.SI.Tr.Road.Passenger.P2W</t>
  </si>
  <si>
    <t>Stock.number.SI.Tr.Road.Passenger.Car</t>
  </si>
  <si>
    <t>Stock.number.SI.Tr.Road.Passenger.Car.ICE.Gasoline</t>
  </si>
  <si>
    <t>Stock.number.SI.Tr.Road.Passenger.Car.ICE.Diesel</t>
  </si>
  <si>
    <t>Stock.number.SI.Tr.Road.Passenger.Car.ICE.LPG</t>
  </si>
  <si>
    <t>Stock.number.SI.Tr.Road.Passenger.Car.ICE.NGas</t>
  </si>
  <si>
    <t>Stock.number.SI.Tr.Road.Passenger.Car.PHEV</t>
  </si>
  <si>
    <t>Stock.number.SI.Tr.Road.Passenger.Car.BEV</t>
  </si>
  <si>
    <t>Stock.number.SI.Tr.Road.Passenger.Bus</t>
  </si>
  <si>
    <t>Stock.number.SI.Tr.Road.Passenger.Bus.ICE.Gasoline</t>
  </si>
  <si>
    <t>Stock.number.SI.Tr.Road.Passenger.Bus.ICE.Diesel</t>
  </si>
  <si>
    <t>Stock.number.SI.Tr.Road.Passenger.Bus.ICE.LPG</t>
  </si>
  <si>
    <t>Stock.number.SI.Tr.Road.Passenger.Bus.ICE.NGas</t>
  </si>
  <si>
    <t>Stock.number.SI.Tr.Road.Passenger.Bus.ICE.BEV</t>
  </si>
  <si>
    <t>Stock.number.SI.Tr.Road.Freight</t>
  </si>
  <si>
    <t>Stock.number.SI.Tr.Road.Freight.LCV</t>
  </si>
  <si>
    <t>Stock.number.SI.Tr.Road.Freight.LCV.ICE.Gasoline</t>
  </si>
  <si>
    <t>Stock.number.SI.Tr.Road.Freight.LCV.ICE.Diesel</t>
  </si>
  <si>
    <t>Stock.number.SI.Tr.Road.Freight.LCV.ICE.LPG</t>
  </si>
  <si>
    <t>Stock.number.SI.Tr.Road.Freight.LCV.ICE.NGas</t>
  </si>
  <si>
    <t>Stock.number.SI.Tr.Road.Freight.LCV.ICE.BEV</t>
  </si>
  <si>
    <t>Stock.number.SI.Tr.Road.Freight.HGV</t>
  </si>
  <si>
    <t>Stock.number.SI.Tr.Road.Freight.HGV.Domestic</t>
  </si>
  <si>
    <t>Stock.number.SI.Tr.Road.Freight.HGV.International</t>
  </si>
  <si>
    <t>StockNew.number.SI.Tr.Road</t>
  </si>
  <si>
    <t>StockNew.number.SI.Tr.Road.Passenger</t>
  </si>
  <si>
    <t>StockNew.number.SI.Tr.Road.Passenger.P2W</t>
  </si>
  <si>
    <t>StockNew.number.SI.Tr.Road.Passenger.Car</t>
  </si>
  <si>
    <t>StockNew.number.SI.Tr.Road.Passenger.Car.ICE.Gasoline</t>
  </si>
  <si>
    <t>StockNew.number.SI.Tr.Road.Passenger.Car.ICE.Diesel</t>
  </si>
  <si>
    <t>StockNew.number.SI.Tr.Road.Passenger.Car.ICE.LPG</t>
  </si>
  <si>
    <t>StockNew.number.SI.Tr.Road.Passenger.Car.ICE.NGas</t>
  </si>
  <si>
    <t>StockNew.number.SI.Tr.Road.Passenger.Car.PHEV</t>
  </si>
  <si>
    <t>StockNew.number.SI.Tr.Road.Passenger.Car.BEV</t>
  </si>
  <si>
    <t>StockNew.number.SI.Tr.Road.Passenger.Bus</t>
  </si>
  <si>
    <t>StockNew.number.SI.Tr.Road.Passenger.Bus.ICE.Gasoline</t>
  </si>
  <si>
    <t>StockNew.number.SI.Tr.Road.Passenger.Bus.ICE.Diesel</t>
  </si>
  <si>
    <t>StockNew.number.SI.Tr.Road.Passenger.Bus.ICE.LPG</t>
  </si>
  <si>
    <t>StockNew.number.SI.Tr.Road.Passenger.Bus.ICE.NGas</t>
  </si>
  <si>
    <t>StockNew.number.SI.Tr.Road.Passenger.Bus.ICE.BEV</t>
  </si>
  <si>
    <t>StockNew.number.SI.Tr.Road.Freight</t>
  </si>
  <si>
    <t>StockNew.number.SI.Tr.Road.Freight.LCV</t>
  </si>
  <si>
    <t>StockNew.number.SI.Tr.Road.Freight.LCV.ICE.Gasoline</t>
  </si>
  <si>
    <t>StockNew.number.SI.Tr.Road.Freight.LCV.ICE.Diesel</t>
  </si>
  <si>
    <t>StockNew.number.SI.Tr.Road.Freight.LCV.ICE.LPG</t>
  </si>
  <si>
    <t>StockNew.number.SI.Tr.Road.Freight.LCV.ICE.NGas</t>
  </si>
  <si>
    <t>StockNew.number.SI.Tr.Road.Freight.LCV.ICE.BEV</t>
  </si>
  <si>
    <t>StockNew.number.SI.Tr.Road.Freight.HGV</t>
  </si>
  <si>
    <t>StockNew.number.SI.Tr.Road.Freight.HGV.Domestic</t>
  </si>
  <si>
    <t>StockNew.number.SI.Tr.Road.Freight.HGV.International</t>
  </si>
  <si>
    <t>Load.passenger_per_movement.SI.Tr.Road.Passenger</t>
  </si>
  <si>
    <t>Load.passenger_per_movement.SI.Tr.Road.Passenger.P2W</t>
  </si>
  <si>
    <t>Load.passenger_per_movement.SI.Tr.Road.Passenger.Car</t>
  </si>
  <si>
    <t>Load.passenger_per_movement.SI.Tr.Road.Passenger.Car.ICE.Gasoline</t>
  </si>
  <si>
    <t>Load.passenger_per_movement.SI.Tr.Road.Passenger.Car.ICE.Diesel</t>
  </si>
  <si>
    <t>Load.passenger_per_movement.SI.Tr.Road.Passenger.Car.ICE.LPG</t>
  </si>
  <si>
    <t>Load.passenger_per_movement.SI.Tr.Road.Passenger.Car.ICE.NGas</t>
  </si>
  <si>
    <t>Load.passenger_per_movement.SI.Tr.Road.Passenger.Car.PHEV</t>
  </si>
  <si>
    <t>Load.passenger_per_movement.SI.Tr.Road.Passenger.Car.BEV</t>
  </si>
  <si>
    <t>Load.passenger_per_movement.SI.Tr.Road.Passenger.Bus</t>
  </si>
  <si>
    <t>Load.passenger_per_movement.SI.Tr.Road.Passenger.Bus.ICE.Gasoline</t>
  </si>
  <si>
    <t>Load.passenger_per_movement.SI.Tr.Road.Passenger.Bus.ICE.Diesel</t>
  </si>
  <si>
    <t>Load.passenger_per_movement.SI.Tr.Road.Passenger.Bus.ICE.LPG</t>
  </si>
  <si>
    <t>Load.passenger_per_movement.SI.Tr.Road.Passenger.Bus.ICE.NGas</t>
  </si>
  <si>
    <t>Load.passenger_per_movement.SI.Tr.Road.Passenger.Bus.ICE.BEV</t>
  </si>
  <si>
    <t>Load.t_per_movement.SI.Tr.Road.Freight</t>
  </si>
  <si>
    <t>Load.t_per_movement.SI.Tr.Road.Freight.LCV</t>
  </si>
  <si>
    <t>Load.t_per_movement.SI.Tr.Road.Freight.LCV.ICE.Gasoline</t>
  </si>
  <si>
    <t>Load.t_per_movement.SI.Tr.Road.Freight.LCV.ICE.Diesel</t>
  </si>
  <si>
    <t>Load.t_per_movement.SI.Tr.Road.Freight.LCV.ICE.LPG</t>
  </si>
  <si>
    <t>Load.t_per_movement.SI.Tr.Road.Freight.LCV.ICE.NGas</t>
  </si>
  <si>
    <t>Load.t_per_movement.SI.Tr.Road.Freight.LCV.ICE.BEV</t>
  </si>
  <si>
    <t>Load.t_per_movement.SI.Tr.Road.Freight.HGV</t>
  </si>
  <si>
    <t>Load.t_per_movement.SI.Tr.Road.Freight.HGV.Domestic</t>
  </si>
  <si>
    <t>Load.t_per_movement.SI.Tr.Road.Freight.HGV.International</t>
  </si>
  <si>
    <t>VehicleKm_per_vehicle.km.SI.Tr.Road</t>
  </si>
  <si>
    <t>VehicleKm_per_vehicle.km.SI.Tr.Road.Passenger</t>
  </si>
  <si>
    <t>VehicleKm_per_vehicle.km.SI.Tr.Road.Passenger.P2W</t>
  </si>
  <si>
    <t>VehicleKm_per_vehicle.km.SI.Tr.Road.Passenger.Car</t>
  </si>
  <si>
    <t>VehicleKm_per_vehicle.km.SI.Tr.Road.Passenger.Car.ICE.Gasoline</t>
  </si>
  <si>
    <t>VehicleKm_per_vehicle.km.SI.Tr.Road.Passenger.Car.ICE.Diesel</t>
  </si>
  <si>
    <t>VehicleKm_per_vehicle.km.SI.Tr.Road.Passenger.Car.ICE.LPG</t>
  </si>
  <si>
    <t>VehicleKm_per_vehicle.km.SI.Tr.Road.Passenger.Car.ICE.NGas</t>
  </si>
  <si>
    <t>VehicleKm_per_vehicle.km.SI.Tr.Road.Passenger.Car.PHEV</t>
  </si>
  <si>
    <t>VehicleKm_per_vehicle.km.SI.Tr.Road.Passenger.Car.BEV</t>
  </si>
  <si>
    <t>VehicleKm_per_vehicle.km.SI.Tr.Road.Passenger.Bus</t>
  </si>
  <si>
    <t>VehicleKm_per_vehicle.km.SI.Tr.Road.Passenger.Bus.ICE.Gasoline</t>
  </si>
  <si>
    <t>VehicleKm_per_vehicle.km.SI.Tr.Road.Passenger.Bus.ICE.Diesel</t>
  </si>
  <si>
    <t>VehicleKm_per_vehicle.km.SI.Tr.Road.Passenger.Bus.ICE.LPG</t>
  </si>
  <si>
    <t>VehicleKm_per_vehicle.km.SI.Tr.Road.Passenger.Bus.ICE.NGas</t>
  </si>
  <si>
    <t>VehicleKm_per_vehicle.km.SI.Tr.Road.Passenger.Bus.ICE.BEV</t>
  </si>
  <si>
    <t>VehicleKm_per_vehicle.km.SI.Tr.Road.Freight</t>
  </si>
  <si>
    <t>VehicleKm_per_vehicle.km.SI.Tr.Road.Freight.LCV</t>
  </si>
  <si>
    <t>VehicleKm_per_vehicle.km.SI.Tr.Road.Freight.LCV.ICE.Gasoline</t>
  </si>
  <si>
    <t>VehicleKm_per_vehicle.km.SI.Tr.Road.Freight.LCV.ICE.Diesel</t>
  </si>
  <si>
    <t>VehicleKm_per_vehicle.km.SI.Tr.Road.Freight.LCV.ICE.LPG</t>
  </si>
  <si>
    <t>VehicleKm_per_vehicle.km.SI.Tr.Road.Freight.LCV.ICE.NGas</t>
  </si>
  <si>
    <t>VehicleKm_per_vehicle.km.SI.Tr.Road.Freight.LCV.ICE.BEV</t>
  </si>
  <si>
    <t>VehicleKm_per_vehicle.km.SI.Tr.Road.Freight.HGV</t>
  </si>
  <si>
    <t>VehicleKm_per_vehicle.km.SI.Tr.Road.Freight.HGV.Domestic</t>
  </si>
  <si>
    <t>VehicleKm_per_vehicle.km.SI.Tr.Road.Freight.HGV.International</t>
  </si>
  <si>
    <t>Activity_per_vehicle.pkm.SI.Tr.Road.Passenger</t>
  </si>
  <si>
    <t>Activity_per_vehicle.pkm.SI.Tr.Road.Passenger.P2W</t>
  </si>
  <si>
    <t>Activity_per_vehicle.pkm.SI.Tr.Road.Passenger.Car</t>
  </si>
  <si>
    <t>Activity_per_vehicle.pkm.SI.Tr.Road.Passenger.Car.ICE.Gasoline</t>
  </si>
  <si>
    <t>Activity_per_vehicle.pkm.SI.Tr.Road.Passenger.Car.ICE.Diesel</t>
  </si>
  <si>
    <t>Activity_per_vehicle.pkm.SI.Tr.Road.Passenger.Car.ICE.LPG</t>
  </si>
  <si>
    <t>Activity_per_vehicle.pkm.SI.Tr.Road.Passenger.Car.ICE.NGas</t>
  </si>
  <si>
    <t>Activity_per_vehicle.pkm.SI.Tr.Road.Passenger.Car.PHEV</t>
  </si>
  <si>
    <t>Activity_per_vehicle.pkm.SI.Tr.Road.Passenger.Car.BEV</t>
  </si>
  <si>
    <t>Activity_per_vehicle.pkm.SI.Tr.Road.Passenger.Bus</t>
  </si>
  <si>
    <t>Activity_per_vehicle.pkm.SI.Tr.Road.Passenger.Bus.ICE.Gasoline</t>
  </si>
  <si>
    <t>Activity_per_vehicle.pkm.SI.Tr.Road.Passenger.Bus.ICE.Diesel</t>
  </si>
  <si>
    <t>Activity_per_vehicle.pkm.SI.Tr.Road.Passenger.Bus.ICE.LPG</t>
  </si>
  <si>
    <t>Activity_per_vehicle.pkm.SI.Tr.Road.Passenger.Bus.ICE.NGas</t>
  </si>
  <si>
    <t>Activity_per_vehicle.pkm.SI.Tr.Road.Passenger.Bus.ICE.BEV</t>
  </si>
  <si>
    <t>Activity_per_vehicle.tkm.SI.Tr.Road.Freight</t>
  </si>
  <si>
    <t>Activity_per_vehicle.tkm.SI.Tr.Road.Freight.LCV</t>
  </si>
  <si>
    <t>Activity_per_vehicle.tkm.SI.Tr.Road.Freight.LCV.ICE.Gasoline</t>
  </si>
  <si>
    <t>Activity_per_vehicle.tkm.SI.Tr.Road.Freight.LCV.ICE.Diesel</t>
  </si>
  <si>
    <t>Activity_per_vehicle.tkm.SI.Tr.Road.Freight.LCV.ICE.LPG</t>
  </si>
  <si>
    <t>Activity_per_vehicle.tkm.SI.Tr.Road.Freight.LCV.ICE.NGas</t>
  </si>
  <si>
    <t>Activity_per_vehicle.tkm.SI.Tr.Road.Freight.LCV.ICE.BEV</t>
  </si>
  <si>
    <t>Activity_per_vehicle.tkm.SI.Tr.Road.Freight.HGV</t>
  </si>
  <si>
    <t>Activity_per_vehicle.tkm.SI.Tr.Road.Freight.HGV.Domestic</t>
  </si>
  <si>
    <t>Activity_per_vehicle.tkm.SI.Tr.Road.Freight.HGV.International</t>
  </si>
  <si>
    <t>Road transport / energy consumption - SI - Slovenia</t>
  </si>
  <si>
    <t>FEC.ktoe.SI.ES.Tr.Road</t>
  </si>
  <si>
    <t>FEC.ktoe.SI.ES.Tr.Road.LPG</t>
  </si>
  <si>
    <t>FEC.ktoe.SI.ES.Tr.Road.Gasoline</t>
  </si>
  <si>
    <t>FEC.ktoe.SI.ES.Tr.Road.Diesel</t>
  </si>
  <si>
    <t>FEC.ktoe.SI.ES.Tr.Road.NG</t>
  </si>
  <si>
    <t>FEC.ktoe.SI.ES.Tr.Road.Biogas</t>
  </si>
  <si>
    <t>FEC.ktoe.SI.ES.Tr.Road.Biogasoline</t>
  </si>
  <si>
    <t>FEC.ktoe.SI.ES.Tr.Road.Biodiesel</t>
  </si>
  <si>
    <t>FEC.ktoe.SI.ES.Tr.Road.OthLiqBio</t>
  </si>
  <si>
    <t>FEC.ktoe.SI.ES.Tr.Road.Elec</t>
  </si>
  <si>
    <t>FEC.ktoe.SI.Tr.Road</t>
  </si>
  <si>
    <t>FEC.ktoe.SI.Tr.Road.Passenger.P2W.Biogasoline</t>
  </si>
  <si>
    <t>FEC.ktoe.SI.Tr.Road.Passenger.Car.ICE.Gasoline</t>
  </si>
  <si>
    <t>FEC.ktoe.SI.Tr.Road.Passenger.Car.ICE.Gasoline.Biogasoline</t>
  </si>
  <si>
    <t>FEC.ktoe.SI.Tr.Road.Passenger.Car.ICE.Diesel</t>
  </si>
  <si>
    <t>FEC.ktoe.SI.Tr.Road.Passenger.Car.ICE.Diesel.BioDiesel_OthLiqBio</t>
  </si>
  <si>
    <t>FEC.ktoe.SI.Tr.Road.Passenger.Car.ICE.LPG</t>
  </si>
  <si>
    <t>FEC.ktoe.SI.Tr.Road.Passenger.Car.ICE.NGas</t>
  </si>
  <si>
    <t>FEC.ktoe.SI.Tr.Road.Passenger.Car.ICE.NGas.Biogas</t>
  </si>
  <si>
    <t>FEC.ktoe.SI.Tr.Road.Passenger.Car.PHEV</t>
  </si>
  <si>
    <t>FEC.ktoe.SI.Tr.Road.Passenger.Car.PHEV.Biogasoline</t>
  </si>
  <si>
    <t>FEC.ktoe.SI.Tr.Road.Passenger.Car.PHEV.Elec</t>
  </si>
  <si>
    <t>FEC.ktoe.SI.Tr.Road.Passenger.Car.BEV</t>
  </si>
  <si>
    <t>FEC.ktoe.SI.Tr.Road.Passenger.Bus.ICE.Gasoline</t>
  </si>
  <si>
    <t>FEC.ktoe.SI.Tr.Road.Passenger.Bus.ICE.Gasoline.Biogasoline</t>
  </si>
  <si>
    <t>FEC.ktoe.SI.Tr.Road.Passenger.Bus.ICE.Diesel</t>
  </si>
  <si>
    <t>FEC.ktoe.SI.Tr.Road.Passenger.Bus.ICE.Diesel.BioDiesel_OthLiqBio</t>
  </si>
  <si>
    <t>FEC.ktoe.SI.Tr.Road.Passenger.Bus.ICE.LPG</t>
  </si>
  <si>
    <t>FEC.ktoe.SI.Tr.Road.Passenger.Bus.ICE.NGas</t>
  </si>
  <si>
    <t>FEC.ktoe.SI.Tr.Road.Passenger.Bus.ICE.NGas.Biogas</t>
  </si>
  <si>
    <t>FEC.ktoe.SI.Tr.Road.Passenger.Bus.ICE.BEV</t>
  </si>
  <si>
    <t>FEC.ktoe.SI.Tr.Road.Freight.LCV.ICE.Gasoline</t>
  </si>
  <si>
    <t>FEC.ktoe.SI.Tr.Road.Freight.LCV.ICE.Gasoline.Biogasoline</t>
  </si>
  <si>
    <t>FEC.ktoe.SI.Tr.Road.Freight.LCV.ICE.Diesel</t>
  </si>
  <si>
    <t>FEC.ktoe.SI.Tr.Road.Freight.LCV.ICE.Diesel.BioDiesel_OthLiqBio</t>
  </si>
  <si>
    <t>FEC.ktoe.SI.Tr.Road.Freight.LCV.ICE.LPG</t>
  </si>
  <si>
    <t>FEC.ktoe.SI.Tr.Road.Freight.LCV.ICE.NGas</t>
  </si>
  <si>
    <t>FEC.ktoe.SI.Tr.Road.Freight.LCV.ICE.NGas.Biogas</t>
  </si>
  <si>
    <t>FEC.ktoe.SI.Tr.Road.Freight.LCV.ICE.BEV</t>
  </si>
  <si>
    <t>FEC.ktoe.SI.Tr.Road.Freight.HGV.Domestic</t>
  </si>
  <si>
    <t>FEC.ktoe.SI.Tr.Road.Freight.HGV.Domestic.BioDiesel_OthLiqBio</t>
  </si>
  <si>
    <t>FEC.ktoe.SI.Tr.Road.Freight.HGV.International</t>
  </si>
  <si>
    <t>FEC.ktoe.SI.Tr.Road.Freight.HGV.International.BioDiesel_OthLiqBio</t>
  </si>
  <si>
    <t>Eff.kgoe_per_100km.SI.Tr.Road</t>
  </si>
  <si>
    <t>Eff.kgoe_per_100km.SI.Tr.Road.Passenger</t>
  </si>
  <si>
    <t>Eff.kgoe_per_100km.SI.Tr.Road.Passenger.P2W</t>
  </si>
  <si>
    <t>Eff.kgoe_per_100km.SI.Tr.Road.Passenger.Car</t>
  </si>
  <si>
    <t>Eff.kgoe_per_100km.SI.Tr.Road.Passenger.Car.ICE.Gasoline</t>
  </si>
  <si>
    <t>Eff.kgoe_per_100km.SI.Tr.Road.Passenger.Car.ICE.Diesel</t>
  </si>
  <si>
    <t>Eff.kgoe_per_100km.SI.Tr.Road.Passenger.Car.ICE.LPG</t>
  </si>
  <si>
    <t>Eff.kgoe_per_100km.SI.Tr.Road.Passenger.Car.ICE.NGas</t>
  </si>
  <si>
    <t>Eff.kgoe_per_100km.SI.Tr.Road.Passenger.Car.PHEV</t>
  </si>
  <si>
    <t>Eff.kgoe_per_100km.SI.Tr.Road.Passenger.Car.BEV</t>
  </si>
  <si>
    <t>Eff.kgoe_per_100km.SI.Tr.Road.Passenger.Bus</t>
  </si>
  <si>
    <t>Eff.kgoe_per_100km.SI.Tr.Road.Passenger.Bus.ICE.Gasoline</t>
  </si>
  <si>
    <t>Eff.kgoe_per_100km.SI.Tr.Road.Passenger.Bus.ICE.Diesel</t>
  </si>
  <si>
    <t>Eff.kgoe_per_100km.SI.Tr.Road.Passenger.Bus.ICE.LPG</t>
  </si>
  <si>
    <t>Eff.kgoe_per_100km.SI.Tr.Road.Passenger.Bus.ICE.NGas</t>
  </si>
  <si>
    <t>Eff.kgoe_per_100km.SI.Tr.Road.Passenger.Bus.ICE.BEV</t>
  </si>
  <si>
    <t>Eff.kgoe_per_100km.SI.Tr.Road.Freight</t>
  </si>
  <si>
    <t>Eff.kgoe_per_100km.SI.Tr.Road.Freight.LCV</t>
  </si>
  <si>
    <t>Eff.kgoe_per_100km.SI.Tr.Road.Freight.LCV.ICE.Gasoline</t>
  </si>
  <si>
    <t>Eff.kgoe_per_100km.SI.Tr.Road.Freight.LCV.ICE.Diesel</t>
  </si>
  <si>
    <t>Eff.kgoe_per_100km.SI.Tr.Road.Freight.LCV.ICE.LPG</t>
  </si>
  <si>
    <t>Eff.kgoe_per_100km.SI.Tr.Road.Freight.LCV.ICE.NGas</t>
  </si>
  <si>
    <t>Eff.kgoe_per_100km.SI.Tr.Road.Freight.LCV.ICE.BEV</t>
  </si>
  <si>
    <t>Eff.kgoe_per_100km.SI.Tr.Road.Freight.HGV</t>
  </si>
  <si>
    <t>Eff.kgoe_per_100km.SI.Tr.Road.Freight.HGV.Domestic</t>
  </si>
  <si>
    <t>Eff.kgoe_per_100km.SI.Tr.Road.Freight.HGV.International</t>
  </si>
  <si>
    <t>Eff.kgoe_per_kpkm.SI.Tr.Road.Passenger.Car.ICE.Gasoline</t>
  </si>
  <si>
    <t>Eff.kgoe_per_kpkm.SI.Tr.Road.Passenger.Car.ICE.Diesel</t>
  </si>
  <si>
    <t>Eff.kgoe_per_kpkm.SI.Tr.Road.Passenger.Car.ICE.LPG</t>
  </si>
  <si>
    <t>Eff.kgoe_per_kpkm.SI.Tr.Road.Passenger.Car.ICE.NGas</t>
  </si>
  <si>
    <t>Eff.kgoe_per_kpkm.SI.Tr.Road.Passenger.Car.PHEV</t>
  </si>
  <si>
    <t>Eff.kgoe_per_kpkm.SI.Tr.Road.Passenger.Car.BEV</t>
  </si>
  <si>
    <t>Eff.kgoe_per_kpkm.SI.Tr.Road.Passenger.Bus.ICE.Gasoline</t>
  </si>
  <si>
    <t>Eff.kgoe_per_kpkm.SI.Tr.Road.Passenger.Bus.ICE.Diesel</t>
  </si>
  <si>
    <t>Eff.kgoe_per_kpkm.SI.Tr.Road.Passenger.Bus.ICE.LPG</t>
  </si>
  <si>
    <t>Eff.kgoe_per_kpkm.SI.Tr.Road.Passenger.Bus.ICE.NGas</t>
  </si>
  <si>
    <t>Eff.kgoe_per_kpkm.SI.Tr.Road.Passenger.Bus.ICE.BEV</t>
  </si>
  <si>
    <t>Eff.kgoe_per_ktkm.SI.Tr.Road.Freight.LCV.ICE.Gasoline</t>
  </si>
  <si>
    <t>Eff.kgoe_per_ktkm.SI.Tr.Road.Freight.LCV.ICE.Diesel</t>
  </si>
  <si>
    <t>Eff.kgoe_per_ktkm.SI.Tr.Road.Freight.LCV.ICE.LPG</t>
  </si>
  <si>
    <t>Eff.kgoe_per_ktkm.SI.Tr.Road.Freight.LCV.ICE.NGas</t>
  </si>
  <si>
    <t>Eff.kgoe_per_ktkm.SI.Tr.Road.Freight.LCV.ICE.BEV</t>
  </si>
  <si>
    <t>Eff.kgoe_per_ktkm.SI.Tr.Road.Freight.HGV.Domestic</t>
  </si>
  <si>
    <t>Eff.kgoe_per_ktkm.SI.Tr.Road.Freight.HGV.International</t>
  </si>
  <si>
    <t>FEC_per_vehicle.kgoe.SI.Tr.Road.Passenger.P2W</t>
  </si>
  <si>
    <t>FEC_per_vehicle.kgoe.SI.Tr.Road.Passenger.Car</t>
  </si>
  <si>
    <t>FEC_per_vehicle.kgoe.SI.Tr.Road.Passenger.Car.ICE.Gasoline</t>
  </si>
  <si>
    <t>FEC_per_vehicle.kgoe.SI.Tr.Road.Passenger.Car.ICE.Diesel</t>
  </si>
  <si>
    <t>FEC_per_vehicle.kgoe.SI.Tr.Road.Passenger.Car.ICE.LPG</t>
  </si>
  <si>
    <t>FEC_per_vehicle.kgoe.SI.Tr.Road.Passenger.Car.ICE.NGas</t>
  </si>
  <si>
    <t>FEC_per_vehicle.kgoe.SI.Tr.Road.Passenger.Car.PHEV</t>
  </si>
  <si>
    <t>FEC_per_vehicle.kgoe.SI.Tr.Road.Passenger.Car.BEV</t>
  </si>
  <si>
    <t>FEC_per_vehicle.kgoe.SI.Tr.Road.Passenger.Bus</t>
  </si>
  <si>
    <t>FEC_per_vehicle.kgoe.SI.Tr.Road.Passenger.Bus.ICE.Gasoline</t>
  </si>
  <si>
    <t>FEC_per_vehicle.kgoe.SI.Tr.Road.Passenger.Bus.ICE.Diesel</t>
  </si>
  <si>
    <t>FEC_per_vehicle.kgoe.SI.Tr.Road.Passenger.Bus.ICE.LPG</t>
  </si>
  <si>
    <t>FEC_per_vehicle.kgoe.SI.Tr.Road.Passenger.Bus.ICE.NGas</t>
  </si>
  <si>
    <t>FEC_per_vehicle.kgoe.SI.Tr.Road.Passenger.Bus.ICE.BEV</t>
  </si>
  <si>
    <t>FEC_per_vehicle.kgoe.SI.Tr.Road.Freight.LCV</t>
  </si>
  <si>
    <t>FEC_per_vehicle.kgoe.SI.Tr.Road.Freight.LCV.ICE.Gasoline</t>
  </si>
  <si>
    <t>FEC_per_vehicle.kgoe.SI.Tr.Road.Freight.LCV.ICE.Diesel</t>
  </si>
  <si>
    <t>FEC_per_vehicle.kgoe.SI.Tr.Road.Freight.LCV.ICE.LPG</t>
  </si>
  <si>
    <t>FEC_per_vehicle.kgoe.SI.Tr.Road.Freight.LCV.ICE.NGas</t>
  </si>
  <si>
    <t>FEC_per_vehicle.kgoe.SI.Tr.Road.Freight.LCV.ICE.BEV</t>
  </si>
  <si>
    <t>FEC_per_vehicle.kgoe.SI.Tr.Road.Freight.HGV</t>
  </si>
  <si>
    <t>FEC_per_vehicle.kgoe.SI.Tr.Road.Freight.HGV.Domestic</t>
  </si>
  <si>
    <t>FEC_per_vehicle.kgoe.SI.Tr.Road.Freight.HGV.International</t>
  </si>
  <si>
    <t>Road transport / CO2 emissions - SI - Slovenia</t>
  </si>
  <si>
    <t>EMI.ktCO2.SI.ES.Tr.Road</t>
  </si>
  <si>
    <t>EMI.ktCO2.SI.ES.Tr.Road.LPG</t>
  </si>
  <si>
    <t>EMI.ktCO2.SI.ES.Tr.Road.Gasoline</t>
  </si>
  <si>
    <t>EMI.ktCO2.SI.ES.Tr.Road.Diesel</t>
  </si>
  <si>
    <t>EMI.ktCO2.SI.ES.Tr.Road.NG</t>
  </si>
  <si>
    <t>EMI.ktCO2.SI.ES.Tr.Road.Biogas</t>
  </si>
  <si>
    <t>EMI.ktCO2.SI.ES.Tr.Road.Biogasoline</t>
  </si>
  <si>
    <t>EMI.ktCO2.SI.ES.Tr.Road.Biodiesel</t>
  </si>
  <si>
    <t>EMI.ktCO2.SI.ES.Tr.Road.OthLiqBio</t>
  </si>
  <si>
    <t>EMI.ktCO2.SI.ES.Tr.Road.Elec</t>
  </si>
  <si>
    <t>EMI.ktCO2.SI.Tr.Road</t>
  </si>
  <si>
    <t>EMI.ktCO2.SI.Tr.Road.Passenger.Car.ICE.Gasoline</t>
  </si>
  <si>
    <t>EMI.ktCO2.SI.Tr.Road.Passenger.Car.ICE.Diesel</t>
  </si>
  <si>
    <t>EMI.ktCO2.SI.Tr.Road.Passenger.Car.ICE.LPG</t>
  </si>
  <si>
    <t>EMI.ktCO2.SI.Tr.Road.Passenger.Car.ICE.NGas</t>
  </si>
  <si>
    <t>EMI.ktCO2.SI.Tr.Road.Passenger.Car.PHEV</t>
  </si>
  <si>
    <t>EMI.ktCO2.SI.Tr.Road.Passenger.Car.BEV</t>
  </si>
  <si>
    <t>EMI.ktCO2.SI.Tr.Road.Passenger.Bus.ICE.Gasoline</t>
  </si>
  <si>
    <t>EMI.ktCO2.SI.Tr.Road.Passenger.Bus.ICE.Diesel</t>
  </si>
  <si>
    <t>EMI.ktCO2.SI.Tr.Road.Passenger.Bus.ICE.LPG</t>
  </si>
  <si>
    <t>EMI.ktCO2.SI.Tr.Road.Passenger.Bus.ICE.NGas</t>
  </si>
  <si>
    <t>EMI.ktCO2.SI.Tr.Road.Passenger.Bus.ICE.BEV</t>
  </si>
  <si>
    <t>EMI.ktCO2.SI.Tr.Road.Freight.LCV.ICE.Gasoline</t>
  </si>
  <si>
    <t>EMI.ktCO2.SI.Tr.Road.Freight.LCV.ICE.Diesel</t>
  </si>
  <si>
    <t>EMI.ktCO2.SI.Tr.Road.Freight.LCV.ICE.LPG</t>
  </si>
  <si>
    <t>EMI.ktCO2.SI.Tr.Road.Freight.LCV.ICE.NGas</t>
  </si>
  <si>
    <t>EMI.ktCO2.SI.Tr.Road.Freight.LCV.ICE.BEV</t>
  </si>
  <si>
    <t>EMI.ktCO2.SI.Tr.Road.Freight.HGV.Domestic</t>
  </si>
  <si>
    <t>EMI.ktCO2.SI.Tr.Road.Freight.HGV.International</t>
  </si>
  <si>
    <t>EMIint.gCO2_per_km.SI.Tr.Road</t>
  </si>
  <si>
    <t>EMIint.gCO2_per_km.SI.Tr.Road.Passenger</t>
  </si>
  <si>
    <t>EMIint.gCO2_per_km.SI.Tr.Road.Passenger.P2W</t>
  </si>
  <si>
    <t>EMIint.gCO2_per_km.SI.Tr.Road.Passenger.Car</t>
  </si>
  <si>
    <t>EMIint.gCO2_per_km.SI.Tr.Road.Passenger.Car.ICE.Gasoline</t>
  </si>
  <si>
    <t>EMIint.gCO2_per_km.SI.Tr.Road.Passenger.Car.ICE.Diesel</t>
  </si>
  <si>
    <t>EMIint.gCO2_per_km.SI.Tr.Road.Passenger.Car.ICE.LPG</t>
  </si>
  <si>
    <t>EMIint.gCO2_per_km.SI.Tr.Road.Passenger.Car.ICE.NGas</t>
  </si>
  <si>
    <t>EMIint.gCO2_per_km.SI.Tr.Road.Passenger.Car.PHEV</t>
  </si>
  <si>
    <t>EMIint.gCO2_per_km.SI.Tr.Road.Passenger.Car.BEV</t>
  </si>
  <si>
    <t>EMIint.gCO2_per_km.SI.Tr.Road.Passenger.Bus</t>
  </si>
  <si>
    <t>EMIint.gCO2_per_km.SI.Tr.Road.Passenger.Bus.ICE.Gasoline</t>
  </si>
  <si>
    <t>EMIint.gCO2_per_km.SI.Tr.Road.Passenger.Bus.ICE.Diesel</t>
  </si>
  <si>
    <t>EMIint.gCO2_per_km.SI.Tr.Road.Passenger.Bus.ICE.LPG</t>
  </si>
  <si>
    <t>EMIint.gCO2_per_km.SI.Tr.Road.Passenger.Bus.ICE.NGas</t>
  </si>
  <si>
    <t>EMIint.gCO2_per_km.SI.Tr.Road.Passenger.Bus.ICE.BEV</t>
  </si>
  <si>
    <t>EMIint.gCO2_per_km.SI.Tr.Road.Freight</t>
  </si>
  <si>
    <t>EMIint.gCO2_per_km.SI.Tr.Road.Freight.LCV</t>
  </si>
  <si>
    <t>EMIint.gCO2_per_km.SI.Tr.Road.Freight.LCV.ICE.Gasoline</t>
  </si>
  <si>
    <t>EMIint.gCO2_per_km.SI.Tr.Road.Freight.LCV.ICE.Diesel</t>
  </si>
  <si>
    <t>EMIint.gCO2_per_km.SI.Tr.Road.Freight.LCV.ICE.LPG</t>
  </si>
  <si>
    <t>EMIint.gCO2_per_km.SI.Tr.Road.Freight.LCV.ICE.NGas</t>
  </si>
  <si>
    <t>EMIint.gCO2_per_km.SI.Tr.Road.Freight.LCV.ICE.BEV</t>
  </si>
  <si>
    <t>EMIint.gCO2_per_km.SI.Tr.Road.Freight.HGV</t>
  </si>
  <si>
    <t>EMIint.gCO2_per_km.SI.Tr.Road.Freight.HGV.Domestic</t>
  </si>
  <si>
    <t>EMIint.gCO2_per_km.SI.Tr.Road.Freight.HGV.International</t>
  </si>
  <si>
    <t>EMIint.gCO2_per_pkm.SI.Tr.Road.Passenger.Car.ICE.Gasoline</t>
  </si>
  <si>
    <t>EMIint.gCO2_per_pkm.SI.Tr.Road.Passenger.Car.ICE.Diesel</t>
  </si>
  <si>
    <t>EMIint.gCO2_per_pkm.SI.Tr.Road.Passenger.Car.ICE.LPG</t>
  </si>
  <si>
    <t>EMIint.gCO2_per_pkm.SI.Tr.Road.Passenger.Car.ICE.NGas</t>
  </si>
  <si>
    <t>EMIint.gCO2_per_pkm.SI.Tr.Road.Passenger.Car.PHEV</t>
  </si>
  <si>
    <t>EMIint.gCO2_per_pkm.SI.Tr.Road.Passenger.Car.BEV</t>
  </si>
  <si>
    <t>EMIint.gCO2_per_pkm.SI.Tr.Road.Passenger.Bus.ICE.Gasoline</t>
  </si>
  <si>
    <t>EMIint.gCO2_per_pkm.SI.Tr.Road.Passenger.Bus.ICE.Diesel</t>
  </si>
  <si>
    <t>EMIint.gCO2_per_pkm.SI.Tr.Road.Passenger.Bus.ICE.LPG</t>
  </si>
  <si>
    <t>EMIint.gCO2_per_pkm.SI.Tr.Road.Passenger.Bus.ICE.NGas</t>
  </si>
  <si>
    <t>EMIint.gCO2_per_pkm.SI.Tr.Road.Passenger.Bus.ICE.BEV</t>
  </si>
  <si>
    <t>EMIint.gCO2_per_tkm.SI.Tr.Road.Freight.LCV.ICE.Gasoline</t>
  </si>
  <si>
    <t>EMIint.gCO2_per_tkm.SI.Tr.Road.Freight.LCV.ICE.Diesel</t>
  </si>
  <si>
    <t>EMIint.gCO2_per_tkm.SI.Tr.Road.Freight.LCV.ICE.LPG</t>
  </si>
  <si>
    <t>EMIint.gCO2_per_tkm.SI.Tr.Road.Freight.LCV.ICE.NGas</t>
  </si>
  <si>
    <t>EMIint.gCO2_per_tkm.SI.Tr.Road.Freight.LCV.ICE.BEV</t>
  </si>
  <si>
    <t>EMIint.gCO2_per_tkm.SI.Tr.Road.Freight.HGV.Domestic</t>
  </si>
  <si>
    <t>EMIint.gCO2_per_tkm.SI.Tr.Road.Freight.HGV.International</t>
  </si>
  <si>
    <t>EMI_per_vehicle.kgCO2.SI.Tr.Road.Passenger.P2W</t>
  </si>
  <si>
    <t>EMI_per_vehicle.kgCO2.SI.Tr.Road.Passenger.Car</t>
  </si>
  <si>
    <t>EMI_per_vehicle.kgCO2.SI.Tr.Road.Passenger.Car.ICE.Gasoline</t>
  </si>
  <si>
    <t>EMI_per_vehicle.kgCO2.SI.Tr.Road.Passenger.Car.ICE.Diesel</t>
  </si>
  <si>
    <t>EMI_per_vehicle.kgCO2.SI.Tr.Road.Passenger.Car.ICE.LPG</t>
  </si>
  <si>
    <t>EMI_per_vehicle.kgCO2.SI.Tr.Road.Passenger.Car.ICE.NGas</t>
  </si>
  <si>
    <t>EMI_per_vehicle.kgCO2.SI.Tr.Road.Passenger.Car.PHEV</t>
  </si>
  <si>
    <t>EMI_per_vehicle.kgCO2.SI.Tr.Road.Passenger.Car.BEV</t>
  </si>
  <si>
    <t>EMI_per_vehicle.kgCO2.SI.Tr.Road.Passenger.Bus</t>
  </si>
  <si>
    <t>EMI_per_vehicle.kgCO2.SI.Tr.Road.Passenger.Bus.ICE.Gasoline</t>
  </si>
  <si>
    <t>EMI_per_vehicle.kgCO2.SI.Tr.Road.Passenger.Bus.ICE.Diesel</t>
  </si>
  <si>
    <t>EMI_per_vehicle.kgCO2.SI.Tr.Road.Passenger.Bus.ICE.LPG</t>
  </si>
  <si>
    <t>EMI_per_vehicle.kgCO2.SI.Tr.Road.Passenger.Bus.ICE.NGas</t>
  </si>
  <si>
    <t>EMI_per_vehicle.kgCO2.SI.Tr.Road.Passenger.Bus.ICE.BEV</t>
  </si>
  <si>
    <t>EMI_per_vehicle.kgCO2.SI.Tr.Road.Freight.LCV</t>
  </si>
  <si>
    <t>EMI_per_vehicle.kgCO2.SI.Tr.Road.Freight.LCV.ICE.Gasoline</t>
  </si>
  <si>
    <t>EMI_per_vehicle.kgCO2.SI.Tr.Road.Freight.LCV.ICE.Diesel</t>
  </si>
  <si>
    <t>EMI_per_vehicle.kgCO2.SI.Tr.Road.Freight.LCV.ICE.LPG</t>
  </si>
  <si>
    <t>EMI_per_vehicle.kgCO2.SI.Tr.Road.Freight.LCV.ICE.NGas</t>
  </si>
  <si>
    <t>EMI_per_vehicle.kgCO2.SI.Tr.Road.Freight.LCV.ICE.BEV</t>
  </si>
  <si>
    <t>EMI_per_vehicle.kgCO2.SI.Tr.Road.Freight.HGV</t>
  </si>
  <si>
    <t>EMI_per_vehicle.kgCO2.SI.Tr.Road.Freight.HGV.Domestic</t>
  </si>
  <si>
    <t>EMI_per_vehicle.kgCO2.SI.Tr.Road.Freight.HGV.International</t>
  </si>
  <si>
    <t>Road transport / technologies - SI - Slovenia</t>
  </si>
  <si>
    <t>StockVin.number.SI.Tr.Road</t>
  </si>
  <si>
    <t>StockVin.number.SI.Tr.Road.Passenger</t>
  </si>
  <si>
    <t>StockVin.number.SI.Tr.Road.Passenger.P2W</t>
  </si>
  <si>
    <t>StockVin.number.SI.Tr.Road.Passenger.Car</t>
  </si>
  <si>
    <t>StockVin.number.SI.Tr.Road.Passenger.Car.ICE.Gasoline</t>
  </si>
  <si>
    <t>StockVin.number.SI.Tr.Road.Passenger.Car.ICE.Diesel</t>
  </si>
  <si>
    <t>StockVin.number.SI.Tr.Road.Passenger.Car.ICE.LPG</t>
  </si>
  <si>
    <t>StockVin.number.SI.Tr.Road.Passenger.Car.ICE.NGas</t>
  </si>
  <si>
    <t>StockVin.number.SI.Tr.Road.Passenger.Car.PHEV</t>
  </si>
  <si>
    <t>StockVin.number.SI.Tr.Road.Passenger.Car.BEV</t>
  </si>
  <si>
    <t>StockVin.number.SI.Tr.Road.Passenger.Bus</t>
  </si>
  <si>
    <t>StockVin.number.SI.Tr.Road.Passenger.Bus.ICE.Gasoline</t>
  </si>
  <si>
    <t>StockVin.number.SI.Tr.Road.Passenger.Bus.ICE.Diesel</t>
  </si>
  <si>
    <t>StockVin.number.SI.Tr.Road.Passenger.Bus.ICE.LPG</t>
  </si>
  <si>
    <t>StockVin.number.SI.Tr.Road.Passenger.Bus.ICE.NGas</t>
  </si>
  <si>
    <t>StockVin.number.SI.Tr.Road.Passenger.Bus.ICE.BEV</t>
  </si>
  <si>
    <t>StockVin.number.SI.Tr.Road.Freight</t>
  </si>
  <si>
    <t>StockVin.number.SI.Tr.Road.Freight.LCV</t>
  </si>
  <si>
    <t>StockVin.number.SI.Tr.Road.Freight.LCV.ICE.Gasoline</t>
  </si>
  <si>
    <t>StockVin.number.SI.Tr.Road.Freight.LCV.ICE.Diesel</t>
  </si>
  <si>
    <t>StockVin.number.SI.Tr.Road.Freight.LCV.ICE.LPG</t>
  </si>
  <si>
    <t>StockVin.number.SI.Tr.Road.Freight.LCV.ICE.NGas</t>
  </si>
  <si>
    <t>StockVin.number.SI.Tr.Road.Freight.LCV.ICE.BEV</t>
  </si>
  <si>
    <t>StockVin.number.SI.Tr.Road.Freight.HGV</t>
  </si>
  <si>
    <t>StockVin.number.SI.Tr.Road.Freight.HGV.Domestic</t>
  </si>
  <si>
    <t>StockVin.number.SI.Tr.Road.Freight.HGV.International</t>
  </si>
  <si>
    <t>Eff_test_stock.kgoe_per_100km.SI.Tr.Road.Passenger.P2W</t>
  </si>
  <si>
    <t>Eff_test_stock.kgoe_per_100km.SI.Tr.Road.Passenger.Car</t>
  </si>
  <si>
    <t>Eff_test_stock.kgoe_per_100km.SI.Tr.Road.Passenger.Car.ICE.Gasoline</t>
  </si>
  <si>
    <t>Eff_test_stock.kgoe_per_100km.SI.Tr.Road.Passenger.Car.ICE.Diesel</t>
  </si>
  <si>
    <t>Eff_test_stock.kgoe_per_100km.SI.Tr.Road.Passenger.Car.ICE.LPG</t>
  </si>
  <si>
    <t>Eff_test_stock.kgoe_per_100km.SI.Tr.Road.Passenger.Car.ICE.NGas</t>
  </si>
  <si>
    <t>Eff_test_stock.kgoe_per_100km.SI.Tr.Road.Passenger.Car.PHEV</t>
  </si>
  <si>
    <t>Eff_test_stock.kgoe_per_100km.SI.Tr.Road.Passenger.Car.BEV</t>
  </si>
  <si>
    <t>Eff_test_stock.kgoe_per_100km.SI.Tr.Road.Passenger.Bus</t>
  </si>
  <si>
    <t>Eff_test_stock.kgoe_per_100km.SI.Tr.Road.Passenger.Bus.ICE.Gasoline</t>
  </si>
  <si>
    <t>Eff_test_stock.kgoe_per_100km.SI.Tr.Road.Passenger.Bus.ICE.Diesel</t>
  </si>
  <si>
    <t>Eff_test_stock.kgoe_per_100km.SI.Tr.Road.Passenger.Bus.ICE.LPG</t>
  </si>
  <si>
    <t>Eff_test_stock.kgoe_per_100km.SI.Tr.Road.Passenger.Bus.ICE.NGas</t>
  </si>
  <si>
    <t>Eff_test_stock.kgoe_per_100km.SI.Tr.Road.Passenger.Bus.ICE.BEV</t>
  </si>
  <si>
    <t>Eff_test_stock.kgoe_per_100km.SI.Tr.Road.Freight.LCV</t>
  </si>
  <si>
    <t>Eff_test_stock.kgoe_per_100km.SI.Tr.Road.Freight.LCV.ICE.Gasoline</t>
  </si>
  <si>
    <t>Eff_test_stock.kgoe_per_100km.SI.Tr.Road.Freight.LCV.ICE.Diesel</t>
  </si>
  <si>
    <t>Eff_test_stock.kgoe_per_100km.SI.Tr.Road.Freight.LCV.ICE.LPG</t>
  </si>
  <si>
    <t>Eff_test_stock.kgoe_per_100km.SI.Tr.Road.Freight.LCV.ICE.NGas</t>
  </si>
  <si>
    <t>Eff_test_stock.kgoe_per_100km.SI.Tr.Road.Freight.LCV.ICE.BEV</t>
  </si>
  <si>
    <t>Eff_test_stock.kgoe_per_100km.SI.Tr.Road.Freight.HGV</t>
  </si>
  <si>
    <t>Eff_test_stock.kgoe_per_100km.SI.Tr.Road.Freight.HGV.Domestic</t>
  </si>
  <si>
    <t>Eff_test_stock.kgoe_per_100km.SI.Tr.Road.Freight.HGV.International</t>
  </si>
  <si>
    <t>Eff_test_new.kgoe_per_100km.SI.Tr.Road.Passenger.P2W</t>
  </si>
  <si>
    <t>Eff_test_new.kgoe_per_100km.SI.Tr.Road.Passenger.Car</t>
  </si>
  <si>
    <t>Eff_test_new.kgoe_per_100km.SI.Tr.Road.Passenger.Car.ICE.Gasoline</t>
  </si>
  <si>
    <t>Eff_test_new.kgoe_per_100km.SI.Tr.Road.Passenger.Car.ICE.Diesel</t>
  </si>
  <si>
    <t>Eff_test_new.kgoe_per_100km.SI.Tr.Road.Passenger.Car.ICE.LPG</t>
  </si>
  <si>
    <t>Eff_test_new.kgoe_per_100km.SI.Tr.Road.Passenger.Car.ICE.NGas</t>
  </si>
  <si>
    <t>Eff_test_new.kgoe_per_100km.SI.Tr.Road.Passenger.Car.PHEV</t>
  </si>
  <si>
    <t>Eff_test_new.kgoe_per_100km.SI.Tr.Road.Passenger.Car.BEV</t>
  </si>
  <si>
    <t>Eff_test_new.kgoe_per_100km.SI.Tr.Road.Passenger.Bus</t>
  </si>
  <si>
    <t>Eff_test_new.kgoe_per_100km.SI.Tr.Road.Passenger.Bus.ICE.Gasoline</t>
  </si>
  <si>
    <t>Eff_test_new.kgoe_per_100km.SI.Tr.Road.Passenger.Bus.ICE.Diesel</t>
  </si>
  <si>
    <t>Eff_test_new.kgoe_per_100km.SI.Tr.Road.Passenger.Bus.ICE.LPG</t>
  </si>
  <si>
    <t>Eff_test_new.kgoe_per_100km.SI.Tr.Road.Passenger.Bus.ICE.NGas</t>
  </si>
  <si>
    <t>Eff_test_new.kgoe_per_100km.SI.Tr.Road.Passenger.Bus.ICE.BEV</t>
  </si>
  <si>
    <t>Eff_test_new.kgoe_per_100km.SI.Tr.Road.Freight.LCV</t>
  </si>
  <si>
    <t>Eff_test_new.kgoe_per_100km.SI.Tr.Road.Freight.LCV.ICE.Gasoline</t>
  </si>
  <si>
    <t>Eff_test_new.kgoe_per_100km.SI.Tr.Road.Freight.LCV.ICE.Diesel</t>
  </si>
  <si>
    <t>Eff_test_new.kgoe_per_100km.SI.Tr.Road.Freight.LCV.ICE.LPG</t>
  </si>
  <si>
    <t>Eff_test_new.kgoe_per_100km.SI.Tr.Road.Freight.LCV.ICE.NGas</t>
  </si>
  <si>
    <t>Eff_test_new.kgoe_per_100km.SI.Tr.Road.Freight.LCV.ICE.BEV</t>
  </si>
  <si>
    <t>Eff_test_new.kgoe_per_100km.SI.Tr.Road.Freight.HGV</t>
  </si>
  <si>
    <t>Eff_test_new.kgoe_per_100km.SI.Tr.Road.Freight.HGV.Domestic</t>
  </si>
  <si>
    <t>Eff_test_new.kgoe_per_100km.SI.Tr.Road.Freight.HGV.International</t>
  </si>
  <si>
    <t>EMIint_test_stock.gCO2_per_km.SI.Tr.Road.Passenger.P2W</t>
  </si>
  <si>
    <t>EMIint_test_stock.gCO2_per_km.SI.Tr.Road.Passenger.Car</t>
  </si>
  <si>
    <t>EMIint_test_stock.gCO2_per_km.SI.Tr.Road.Passenger.Car.ICE.Gasoline</t>
  </si>
  <si>
    <t>EMIint_test_stock.gCO2_per_km.SI.Tr.Road.Passenger.Car.ICE.Diesel</t>
  </si>
  <si>
    <t>EMIint_test_stock.gCO2_per_km.SI.Tr.Road.Passenger.Car.ICE.LPG</t>
  </si>
  <si>
    <t>EMIint_test_stock.gCO2_per_km.SI.Tr.Road.Passenger.Car.ICE.NGas</t>
  </si>
  <si>
    <t>EMIint_test_stock.gCO2_per_km.SI.Tr.Road.Passenger.Car.PHEV</t>
  </si>
  <si>
    <t>EMIint_test_stock.gCO2_per_km.SI.Tr.Road.Passenger.Car.BEV</t>
  </si>
  <si>
    <t>EMIint_test_stock.gCO2_per_km.SI.Tr.Road.Passenger.Bus</t>
  </si>
  <si>
    <t>EMIint_test_stock.gCO2_per_km.SI.Tr.Road.Passenger.Bus.ICE.Gasoline</t>
  </si>
  <si>
    <t>EMIint_test_stock.gCO2_per_km.SI.Tr.Road.Passenger.Bus.ICE.Diesel</t>
  </si>
  <si>
    <t>EMIint_test_stock.gCO2_per_km.SI.Tr.Road.Passenger.Bus.ICE.LPG</t>
  </si>
  <si>
    <t>EMIint_test_stock.gCO2_per_km.SI.Tr.Road.Passenger.Bus.ICE.NGas</t>
  </si>
  <si>
    <t>EMIint_test_stock.gCO2_per_km.SI.Tr.Road.Passenger.Bus.ICE.BEV</t>
  </si>
  <si>
    <t>EMIint_test_stock.gCO2_per_km.SI.Tr.Road.Freight.LCV</t>
  </si>
  <si>
    <t>EMIint_test_stock.gCO2_per_km.SI.Tr.Road.Freight.LCV.ICE.Gasoline</t>
  </si>
  <si>
    <t>EMIint_test_stock.gCO2_per_km.SI.Tr.Road.Freight.LCV.ICE.Diesel</t>
  </si>
  <si>
    <t>EMIint_test_stock.gCO2_per_km.SI.Tr.Road.Freight.LCV.ICE.LPG</t>
  </si>
  <si>
    <t>EMIint_test_stock.gCO2_per_km.SI.Tr.Road.Freight.LCV.ICE.NGas</t>
  </si>
  <si>
    <t>EMIint_test_stock.gCO2_per_km.SI.Tr.Road.Freight.LCV.ICE.BEV</t>
  </si>
  <si>
    <t>EMIint_test_stock.gCO2_per_km.SI.Tr.Road.Freight.HGV</t>
  </si>
  <si>
    <t>EMIint_test_stock.gCO2_per_km.SI.Tr.Road.Freight.HGV.Domestic</t>
  </si>
  <si>
    <t>EMIint_test_stock.gCO2_per_km.SI.Tr.Road.Freight.HGV.International</t>
  </si>
  <si>
    <t>EMIint_test_new.gCO2_per_km.SI.Tr.Road.Passenger.P2W</t>
  </si>
  <si>
    <t>EMIint_test_new.gCO2_per_km.SI.Tr.Road.Passenger.Car</t>
  </si>
  <si>
    <t>EMIint_test_new.gCO2_per_km.SI.Tr.Road.Passenger.Car.ICE.Gasoline</t>
  </si>
  <si>
    <t>EMIint_test_new.gCO2_per_km.SI.Tr.Road.Passenger.Car.ICE.Diesel</t>
  </si>
  <si>
    <t>EMIint_test_new.gCO2_per_km.SI.Tr.Road.Passenger.Car.ICE.LPG</t>
  </si>
  <si>
    <t>EMIint_test_new.gCO2_per_km.SI.Tr.Road.Passenger.Car.ICE.NGas</t>
  </si>
  <si>
    <t>EMIint_test_new.gCO2_per_km.SI.Tr.Road.Passenger.Car.PHEV</t>
  </si>
  <si>
    <t>EMIint_test_new.gCO2_per_km.SI.Tr.Road.Passenger.Car.BEV</t>
  </si>
  <si>
    <t>EMIint_test_new.gCO2_per_km.SI.Tr.Road.Passenger.Bus</t>
  </si>
  <si>
    <t>EMIint_test_new.gCO2_per_km.SI.Tr.Road.Passenger.Bus.ICE.Gasoline</t>
  </si>
  <si>
    <t>EMIint_test_new.gCO2_per_km.SI.Tr.Road.Passenger.Bus.ICE.Diesel</t>
  </si>
  <si>
    <t>EMIint_test_new.gCO2_per_km.SI.Tr.Road.Passenger.Bus.ICE.LPG</t>
  </si>
  <si>
    <t>EMIint_test_new.gCO2_per_km.SI.Tr.Road.Passenger.Bus.ICE.NGas</t>
  </si>
  <si>
    <t>EMIint_test_new.gCO2_per_km.SI.Tr.Road.Passenger.Bus.ICE.BEV</t>
  </si>
  <si>
    <t>EMIint_test_new.gCO2_per_km.SI.Tr.Road.Freight.LCV</t>
  </si>
  <si>
    <t>EMIint_test_new.gCO2_per_km.SI.Tr.Road.Freight.LCV.ICE.Gasoline</t>
  </si>
  <si>
    <t>EMIint_test_new.gCO2_per_km.SI.Tr.Road.Freight.LCV.ICE.Diesel</t>
  </si>
  <si>
    <t>EMIint_test_new.gCO2_per_km.SI.Tr.Road.Freight.LCV.ICE.LPG</t>
  </si>
  <si>
    <t>EMIint_test_new.gCO2_per_km.SI.Tr.Road.Freight.LCV.ICE.NGas</t>
  </si>
  <si>
    <t>EMIint_test_new.gCO2_per_km.SI.Tr.Road.Freight.LCV.ICE.BEV</t>
  </si>
  <si>
    <t>EMIint_test_new.gCO2_per_km.SI.Tr.Road.Freight.HGV</t>
  </si>
  <si>
    <t>EMIint_test_new.gCO2_per_km.SI.Tr.Road.Freight.HGV.Domestic</t>
  </si>
  <si>
    <t>EMIint_test_new.gCO2_per_km.SI.Tr.Road.Freight.HGV.International</t>
  </si>
  <si>
    <t>FEC.ktoe.SI.MBunk</t>
  </si>
  <si>
    <t>FEC.ktoe.SI.MBunk.IntraEEA</t>
  </si>
  <si>
    <t>FEC.ktoe.SI.MBunk.ExtraEEA</t>
  </si>
  <si>
    <t>EMI.ktCO2.SI.MBunk</t>
  </si>
  <si>
    <t>EMI.ktCO2.SI.MBunk.IntraEEA</t>
  </si>
  <si>
    <t>EMI.ktCO2.SI.MBunk.ExtraEEA</t>
  </si>
  <si>
    <t>International maritime bunkers - SI - Slovenia</t>
  </si>
  <si>
    <t>VehicleKm.Mkm.SI.MBunk.Freight</t>
  </si>
  <si>
    <t>VehicleKm.Mkm.SI.MBunk.Freight.IntraEEA</t>
  </si>
  <si>
    <t>VehicleKm.Mkm.SI.MBunk.Freight.ExtraEEA</t>
  </si>
  <si>
    <t>Load.t_per_movement.SI.MBunk.Freight</t>
  </si>
  <si>
    <t>Load.t_per_movement.SI.MBunk.Freight.IntraEEA</t>
  </si>
  <si>
    <t>Load.t_per_movement.SI.MBunk.Freight.ExtraEEA</t>
  </si>
  <si>
    <t>International maritime bunkers / energy consumption - SI - Slovenia</t>
  </si>
  <si>
    <t>FEC.ktoe.SI.ES.MBunk</t>
  </si>
  <si>
    <t>FEC.ktoe.SI.ES.MBunk.IntraEEA</t>
  </si>
  <si>
    <t>FEC.ktoe.SI.ES.MBunk.IntraEEA.Diesel</t>
  </si>
  <si>
    <t>FEC.ktoe.SI.ES.MBunk.IntraEEA.RFO_Other</t>
  </si>
  <si>
    <t>FEC.ktoe.SI.ES.MBunk.IntraEEA.LiqBio</t>
  </si>
  <si>
    <t>FEC.ktoe.SI.ES.MBunk.IntraEEA.NG</t>
  </si>
  <si>
    <t>FEC.ktoe.SI.ES.MBunk.IntraEEA.Biogas</t>
  </si>
  <si>
    <t>FEC.ktoe.SI.ES.MBunk.ExtraEEA</t>
  </si>
  <si>
    <t>FEC.ktoe.SI.ES.MBunk.ExtraEEA.Diesel</t>
  </si>
  <si>
    <t>FEC.ktoe.SI.ES.MBunk.ExtraEEA.RFO_Other</t>
  </si>
  <si>
    <t>FEC.ktoe.SI.ES.MBunk.ExtraEEA.LiqBio</t>
  </si>
  <si>
    <t>FEC.ktoe.SI.ES.MBunk.ExtraEEA.NG</t>
  </si>
  <si>
    <t>FEC.ktoe.SI.ES.MBunk.ExtraEEA.Biogas</t>
  </si>
  <si>
    <t>Eff.kgoe_per_100km.SI.MBunk.Freight</t>
  </si>
  <si>
    <t>Eff.kgoe_per_100km.SI.MBunk.Freight.IntraEEA</t>
  </si>
  <si>
    <t>Eff.kgoe_per_100km.SI.MBunk.Freight.ExtraEEA</t>
  </si>
  <si>
    <t>International maritime bunkers / CO2 emissions - SI - Slovenia</t>
  </si>
  <si>
    <t>EMI.ktCO2.SI.ES.MBunk</t>
  </si>
  <si>
    <t>EMI.ktCO2.SI.ES.MBunk.IntraEEA</t>
  </si>
  <si>
    <t>EMI.ktCO2.SI.ES.MBunk.ExtraEEA</t>
  </si>
  <si>
    <t>EMIint.gCO2_per_km.SI.MBunk.Freight</t>
  </si>
  <si>
    <t>EMIint.gCO2_per_km.SI.MBunk.Freight.IntraEEA</t>
  </si>
  <si>
    <t>EMIint.gCO2_per_km.SI.MBunk.Freight.ExtraEEA</t>
  </si>
  <si>
    <t>FEC.ktoe.SI.Tr.DNavi</t>
  </si>
  <si>
    <t>FEC.ktoe.SI.Tr.Dnavi.DCS</t>
  </si>
  <si>
    <t>FEC.ktoe.SI.Tr.Dnavi.IWW</t>
  </si>
  <si>
    <t>EMI.ktCO2.SI.Tr.DNavi</t>
  </si>
  <si>
    <t>EMI.ktCO2.SI.Tr.Dnavi.DCS</t>
  </si>
  <si>
    <t>EMI.ktCO2.SI.Tr.Dnavi.IWW</t>
  </si>
  <si>
    <t>Domestic navigation - SI - Slovenia</t>
  </si>
  <si>
    <t>VehicleKm.Mkm.SI.Tr.DNavi.Freight</t>
  </si>
  <si>
    <t>VehicleKm.Mkm.SI.Tr.DNavi.Freight.DCS</t>
  </si>
  <si>
    <t>VehicleKm.Mkm.SI.Tr.DNavi.Freight.IWW</t>
  </si>
  <si>
    <t>Load.t_per_movement.SI.Tr.DNavi.Freight</t>
  </si>
  <si>
    <t>Load.t_per_movement.SI.Tr.DNavi.Freight.DCS</t>
  </si>
  <si>
    <t>Load.t_per_movement.SI.Tr.DNavi.Freight.IWW</t>
  </si>
  <si>
    <t>Domestic navigation / energy consumption - SI - Slovenia</t>
  </si>
  <si>
    <t>FEC.ktoe.SI.ES.Tr.DNavi</t>
  </si>
  <si>
    <t>FEC.ktoe.SI.ES.Tr.DNavi.DCS</t>
  </si>
  <si>
    <t>FEC.ktoe.SI.ES.Tr.DNavi.DCS.Diesel</t>
  </si>
  <si>
    <t>FEC.ktoe.SI.ES.Tr.DNavi.DCS.RFO_Other</t>
  </si>
  <si>
    <t>FEC.ktoe.SI.ES.Tr.DNavi.DCS.LiqBio</t>
  </si>
  <si>
    <t>FEC.ktoe.SI.ES.Tr.DNavi.DCS.NG</t>
  </si>
  <si>
    <t>FEC.ktoe.SI.ES.Tr.DNavi.DCS.Biogas</t>
  </si>
  <si>
    <t>FEC.ktoe.SI.ES.Tr.DNavi.IWW</t>
  </si>
  <si>
    <t>FEC.ktoe.SI.ES.Tr.DNavi.IWW.Diesel</t>
  </si>
  <si>
    <t>FEC.ktoe.SI.ES.Tr.DNavi.IWW.RFO_Other</t>
  </si>
  <si>
    <t>FEC.ktoe.SI.ES.Tr.DNavi.IWW.LiqBio</t>
  </si>
  <si>
    <t>FEC.ktoe.SI.ES.Tr.DNavi.IWW.NG</t>
  </si>
  <si>
    <t>FEC.ktoe.SI.ES.Tr.DNavi.IWW.Biogas</t>
  </si>
  <si>
    <t>Eff.kgoe_per_100km.SI.Tr.DNavi.Freight</t>
  </si>
  <si>
    <t>Eff.kgoe_per_100km.SI.Tr.DNavi.Freight.DCS</t>
  </si>
  <si>
    <t>Eff.kgoe_per_100km.SI.Tr.DNavi.Freight.IWW</t>
  </si>
  <si>
    <t>Domestic navigation / CO2 emissions - SI - Slovenia</t>
  </si>
  <si>
    <t>EMI.ktCO2.SI.ES.Tr.DNavi</t>
  </si>
  <si>
    <t>EMI.ktCO2.SI.ES.Tr.DNavi.DCS</t>
  </si>
  <si>
    <t>EMI.ktCO2.SI.ES.Tr.DNavi.IWW</t>
  </si>
  <si>
    <t>EMIint.gCO2_per_km.SI.Tr.DNavi.Freight</t>
  </si>
  <si>
    <t>EMIint.gCO2_per_km.SI.Tr.DNavi.Freight.DCS</t>
  </si>
  <si>
    <t>EMIint.gCO2_per_km.SI.Tr.DNavi.Freight.IWW</t>
  </si>
  <si>
    <t>Rail, metro and tram - SI - Slovenia</t>
  </si>
  <si>
    <t>Activity.Mpkm.SI.Tr.Rail.Passenger.CPT.Diesel</t>
  </si>
  <si>
    <t>Activity.Mpkm.SI.Tr.Rail.Passenger.CPT.Elc</t>
  </si>
  <si>
    <t>Activity.Mtkm.SI.Tr.Rail.Freight.Diesel</t>
  </si>
  <si>
    <t>Activity.Mtkm.SI.Tr.Rail.Freight.Elc</t>
  </si>
  <si>
    <t>VehicleKm.Mkm.SI.Tr.Rail</t>
  </si>
  <si>
    <t>VehicleKm.Mkm.SI.Tr.Rail.Passenger</t>
  </si>
  <si>
    <t>VehicleKm.Mkm.SI.Tr.Rail.Passenger.MTU</t>
  </si>
  <si>
    <t>VehicleKm.Mkm.SI.Tr.Rail.Passenger.CPT</t>
  </si>
  <si>
    <t>VehicleKm.Mkm.SI.Tr.Rail.Passenger.CPT.Diesel</t>
  </si>
  <si>
    <t>VehicleKm.Mkm.SI.Tr.Rail.Passenger.CPT.Elc</t>
  </si>
  <si>
    <t>VehicleKm.Mkm.SI.Tr.Rail.Passenger.HST</t>
  </si>
  <si>
    <t>VehicleKm.Mkm.SI.Tr.Rail.Freight</t>
  </si>
  <si>
    <t>VehicleKm.Mkm.SI.Tr.Rail.Freight.Diesel</t>
  </si>
  <si>
    <t>VehicleKm.Mkm.SI.Tr.Rail.Freight.Elc</t>
  </si>
  <si>
    <t>Stock.number.SI.Tr.Rail</t>
  </si>
  <si>
    <t>Stock.number.SI.Tr.Rail.Passenger</t>
  </si>
  <si>
    <t>Stock.number.SI.Tr.Rail.Passenger.MTU</t>
  </si>
  <si>
    <t>Stock.number.SI.Tr.Rail.Passenger.CPT</t>
  </si>
  <si>
    <t>Stock.number.SI.Tr.Rail.Passenger.CPT.Diesel</t>
  </si>
  <si>
    <t>Stock.number.SI.Tr.Rail.Passenger.CPT.Elc</t>
  </si>
  <si>
    <t>Stock.number.SI.Tr.Rail.Passenger.HST</t>
  </si>
  <si>
    <t>Stock.number.SI.Tr.Rail.Freight</t>
  </si>
  <si>
    <t>Stock.number.SI.Tr.Rail.Freight.Diesel</t>
  </si>
  <si>
    <t>Stock.number.SI.Tr.Rail.Freight.Elc</t>
  </si>
  <si>
    <t>StockNew.number.SI.Tr.Rail</t>
  </si>
  <si>
    <t>StockNew.number.SI.Tr.Rail.Passenger</t>
  </si>
  <si>
    <t>StockNew.number.SI.Tr.Rail.Passenger.MTU</t>
  </si>
  <si>
    <t>StockNew.number.SI.Tr.Rail.Passenger.CPT</t>
  </si>
  <si>
    <t>StockNew.number.SI.Tr.Rail.Passenger.CPT.Diesel</t>
  </si>
  <si>
    <t>StockNew.number.SI.Tr.Rail.Passenger.CPT.Elc</t>
  </si>
  <si>
    <t>StockNew.number.SI.Tr.Rail.Passenger.HST</t>
  </si>
  <si>
    <t>StockNew.number.SI.Tr.Rail.Freight</t>
  </si>
  <si>
    <t>StockNew.number.SI.Tr.Rail.Freight.Diesel</t>
  </si>
  <si>
    <t>StockNew.number.SI.Tr.Rail.Freight.Elc</t>
  </si>
  <si>
    <t>Load.passenger_per_movement.SI.Tr.Rail.Passenger</t>
  </si>
  <si>
    <t>Load.passenger_per_movement.SI.Tr.Rail.Passenger.MTU</t>
  </si>
  <si>
    <t>Load.passenger_per_movement.SI.Tr.Rail.Passenger.CPT</t>
  </si>
  <si>
    <t>Load.passenger_per_movement.SI.Tr.Rail.Passenger.CPT.Diesel</t>
  </si>
  <si>
    <t>Load.passenger_per_movement.SI.Tr.Rail.Passenger.CPT.Elc</t>
  </si>
  <si>
    <t>Load.passenger_per_movement.SI.Tr.Rail.Passenger.HST</t>
  </si>
  <si>
    <t>Load.t_per_movement.SI.Tr.Rail.Freight</t>
  </si>
  <si>
    <t>Load.t_per_movement.SI.Tr.Rail.Freight.Diesel</t>
  </si>
  <si>
    <t>Load.t_per_movement.SI.Tr.Rail.Freight.Elc</t>
  </si>
  <si>
    <t>TrCap.seats.SI.Tr.Rail.Passenger</t>
  </si>
  <si>
    <t>TrCap.seats.SI.Tr.Rail.Passenger.MTU</t>
  </si>
  <si>
    <t>TrCap.seats.SI.Tr.Rail.Passenger.CPT</t>
  </si>
  <si>
    <t>TrCap.seats.SI.Tr.Rail.Passenger.CPT.Diesel</t>
  </si>
  <si>
    <t>TrCap.seats.SI.Tr.Rail.Passenger.CPT.Elc</t>
  </si>
  <si>
    <t>TrCap.seats.SI.Tr.Rail.Passenger.HST</t>
  </si>
  <si>
    <t>TrCap.t.SI.Tr.Rail.Freight</t>
  </si>
  <si>
    <t>TrCap.t.SI.Tr.Rail.Freight.Diesel</t>
  </si>
  <si>
    <t>TrCap.t.SI.Tr.Rail.Freight.Elc</t>
  </si>
  <si>
    <t>VehicleKm_per_vehicle.km.SI.Tr.Rail</t>
  </si>
  <si>
    <t>VehicleKm_per_vehicle.km.SI.Tr.Rail.Passenger</t>
  </si>
  <si>
    <t>VehicleKm_per_vehicle.km.SI.Tr.Rail.Passenger.MTU</t>
  </si>
  <si>
    <t>VehicleKm_per_vehicle.km.SI.Tr.Rail.Passenger.CPT</t>
  </si>
  <si>
    <t>VehicleKm_per_vehicle.km.SI.Tr.Rail.Passenger.CPT.Diesel</t>
  </si>
  <si>
    <t>VehicleKm_per_vehicle.km.SI.Tr.Rail.Passenger.CPT.Elc</t>
  </si>
  <si>
    <t>VehicleKm_per_vehicle.km.SI.Tr.Rail.Passenger.HST</t>
  </si>
  <si>
    <t>VehicleKm_per_vehicle.km.SI.Tr.Rail.Freight</t>
  </si>
  <si>
    <t>VehicleKm_per_vehicle.km.SI.Tr.Rail.Freight.Diesel</t>
  </si>
  <si>
    <t>VehicleKm_per_vehicle.km.SI.Tr.Rail.Freight.Elc</t>
  </si>
  <si>
    <t>Activity_per_vehicle.pkm.SI.Tr.Rail.Passenger</t>
  </si>
  <si>
    <t>Activity_per_vehicle.pkm.SI.Tr.Rail.Passenger.MTU</t>
  </si>
  <si>
    <t>Activity_per_vehicle.pkm.SI.Tr.Rail.Passenger.CPT</t>
  </si>
  <si>
    <t>Activity_per_vehicle.pkm.SI.Tr.Rail.Passenger.CPT.Diesel</t>
  </si>
  <si>
    <t>Activity_per_vehicle.pkm.SI.Tr.Rail.Passenger.CPT.Elc</t>
  </si>
  <si>
    <t>Activity_per_vehicle.pkm.SI.Tr.Rail.Passenger.HST</t>
  </si>
  <si>
    <t>Activity_per_vehicle.tkm.SI.Tr.Rail.Freight</t>
  </si>
  <si>
    <t>Activity_per_vehicle.tkm.SI.Tr.Rail.Freight.Diesel</t>
  </si>
  <si>
    <t>Activity_per_vehicle.tkm.SI.Tr.Rail.Freight.Elc</t>
  </si>
  <si>
    <t>Rail, metro and tram / energy consumption - SI - Slovenia</t>
  </si>
  <si>
    <t>FEC.ktoe.SI.ES.Tr.Rail</t>
  </si>
  <si>
    <t>FEC.ktoe.SI.ES.Tr.Rail.Diesel</t>
  </si>
  <si>
    <t>FEC.ktoe.SI.ES.Tr.Rail.LiqBio</t>
  </si>
  <si>
    <t>FEC.ktoe.SI.ES.Tr.Rail.Elec</t>
  </si>
  <si>
    <t>FEC.ktoe.SI.Tr.Rail</t>
  </si>
  <si>
    <t>FEC.ktoe.SI.Tr.Rail.Passenger.CPT.Diesel</t>
  </si>
  <si>
    <t>FEC.ktoe.SI.Tr.Rail.Passenger.CPT.Elc</t>
  </si>
  <si>
    <t>FEC.ktoe.SI.Tr.Rail.Freight.Diesel</t>
  </si>
  <si>
    <t>FEC.ktoe.SI.Tr.Rail.Freight.Elc</t>
  </si>
  <si>
    <t>Eff.kgoe_per_100km.SI.Tr.Rail</t>
  </si>
  <si>
    <t>Eff.kgoe_per_100km.SI.Tr.Rail.Passenger</t>
  </si>
  <si>
    <t>Eff.kgoe_per_100km.SI.Tr.Rail.Passenger.MTU</t>
  </si>
  <si>
    <t>Eff.kgoe_per_100km.SI.Tr.Rail.Passenger.CPT</t>
  </si>
  <si>
    <t>Eff.kgoe_per_100km.SI.Tr.Rail.Passenger.CPT.Diesel</t>
  </si>
  <si>
    <t>Eff.kgoe_per_100km.SI.Tr.Rail.Passenger.CPT.Elc</t>
  </si>
  <si>
    <t>Eff.kgoe_per_100km.SI.Tr.Rail.Passenger.HST</t>
  </si>
  <si>
    <t>Eff.kgoe_per_100km.SI.Tr.Rail.Freight</t>
  </si>
  <si>
    <t>Eff.kgoe_per_100km.SI.Tr.Rail.Freight.Diesel</t>
  </si>
  <si>
    <t>Eff.kgoe_per_100km.SI.Tr.Rail.Freight.Elc</t>
  </si>
  <si>
    <t>Eff.kgoe_per_kpkm.SI.Tr.Rail.Passenger.CPT.Diesel</t>
  </si>
  <si>
    <t>Eff.kgoe_per_kpkm.SI.Tr.Rail.Passenger.CPT.Elc</t>
  </si>
  <si>
    <t>Eff.kgoe_per_ktkm.SI.Tr.Rail.Freight.Diesel</t>
  </si>
  <si>
    <t>Eff.kgoe_per_ktkm.SI.Tr.Rail.Freight.Elc</t>
  </si>
  <si>
    <t>FEC_per_vehicle.kgoe.SI.Tr.Rail</t>
  </si>
  <si>
    <t>FEC_per_vehicle.kgoe.SI.Tr.Rail.Passenger</t>
  </si>
  <si>
    <t>FEC_per_vehicle.kgoe.SI.Tr.Rail.Passenger.MTU</t>
  </si>
  <si>
    <t>FEC_per_vehicle.kgoe.SI.Tr.Rail.Passenger.CPT</t>
  </si>
  <si>
    <t>FEC_per_vehicle.kgoe.SI.Tr.Rail.Passenger.CPT.Diesel</t>
  </si>
  <si>
    <t>FEC_per_vehicle.kgoe.SI.Tr.Rail.Passenger.CPT.Elc</t>
  </si>
  <si>
    <t>FEC_per_vehicle.kgoe.SI.Tr.Rail.Passenger.HST</t>
  </si>
  <si>
    <t>FEC_per_vehicle.kgoe.SI.Tr.Rail.Freight</t>
  </si>
  <si>
    <t>FEC_per_vehicle.kgoe.SI.Tr.Rail.Freight.Diesel</t>
  </si>
  <si>
    <t>FEC_per_vehicle.kgoe.SI.Tr.Rail.Freight.Elc</t>
  </si>
  <si>
    <t>Rail, metro and tram / CO2 emissions - SI - Slovenia</t>
  </si>
  <si>
    <t>EMI.ktCO2.SI.ES.Tr.Rail</t>
  </si>
  <si>
    <t>EMI.ktCO2.SI.ES.Tr.Rail.Diesel</t>
  </si>
  <si>
    <t>EMI.ktCO2.SI.ES.Tr.Rail.Elec</t>
  </si>
  <si>
    <t>EMI.ktCO2.SI.Tr.Rail</t>
  </si>
  <si>
    <t>EMI.ktCO2.SI.Tr.Rail.Passenger.CPT.Diesel</t>
  </si>
  <si>
    <t>EMI.ktCO2.SI.Tr.Rail.Passenger.CPT.Elc</t>
  </si>
  <si>
    <t>EMI.ktCO2.SI.Tr.Rail.Freight.Diesel</t>
  </si>
  <si>
    <t>EMI.ktCO2.SI.Tr.Rail.Freight.Elc</t>
  </si>
  <si>
    <t>EMIint.gCO2_per_km.SI.Tr.Rail</t>
  </si>
  <si>
    <t>EMIint.gCO2_per_km.SI.Tr.Rail.Passenger</t>
  </si>
  <si>
    <t>EMIint.gCO2_per_km.SI.Tr.Rail.Passenger.MTU</t>
  </si>
  <si>
    <t>EMIint.gCO2_per_km.SI.Tr.Rail.Passenger.CPT</t>
  </si>
  <si>
    <t>EMIint.gCO2_per_km.SI.Tr.Rail.Passenger.CPT.Diesel</t>
  </si>
  <si>
    <t>EMIint.gCO2_per_km.SI.Tr.Rail.Passenger.CPT.Elc</t>
  </si>
  <si>
    <t>EMIint.gCO2_per_km.SI.Tr.Rail.Passenger.HST</t>
  </si>
  <si>
    <t>EMIint.gCO2_per_km.SI.Tr.Rail.Freight</t>
  </si>
  <si>
    <t>EMIint.gCO2_per_km.SI.Tr.Rail.Freight.Diesel</t>
  </si>
  <si>
    <t>EMIint.gCO2_per_km.SI.Tr.Rail.Freight.Elc</t>
  </si>
  <si>
    <t>EMIint.gCO2_per_pkm.SI.Tr.Rail.Passenger.CPT.Diesel</t>
  </si>
  <si>
    <t>EMIint.gCO2_per_pkm.SI.Tr.Rail.Passenger.CPT.Elc</t>
  </si>
  <si>
    <t>EMIint.gCO2_per_tkm.SI.Tr.Rail.Freight.Diesel</t>
  </si>
  <si>
    <t>EMIint.gCO2_per_tkm.SI.Tr.Rail.Freight.Elc</t>
  </si>
  <si>
    <t>EMI_per_vehicle.tCO2.SI.Tr.Rail</t>
  </si>
  <si>
    <t>EMI_per_vehicle.tCO2.SI.Tr.Rail.Passenger</t>
  </si>
  <si>
    <t>EMI_per_vehicle.tCO2.SI.Tr.Rail.Passenger.MTU</t>
  </si>
  <si>
    <t>EMI_per_vehicle.tCO2.SI.Tr.Rail.Passenger.CPT</t>
  </si>
  <si>
    <t>EMI_per_vehicle.tCO2.SI.Tr.Rail.Passenger.CPT.Diesel</t>
  </si>
  <si>
    <t>EMI_per_vehicle.tCO2.SI.Tr.Rail.Passenger.CPT.Elc</t>
  </si>
  <si>
    <t>EMI_per_vehicle.tCO2.SI.Tr.Rail.Passenger.HST</t>
  </si>
  <si>
    <t>EMI_per_vehicle.tCO2.SI.Tr.Rail.Freight</t>
  </si>
  <si>
    <t>EMI_per_vehicle.tCO2.SI.Tr.Rail.Freight.Diesel</t>
  </si>
  <si>
    <t>EMI_per_vehicle.tCO2.SI.Tr.Rail.Freight.Elc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</si>
</sst>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45432.7891087963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25296.164374788023</v>
      </c>
      <c r="C4" s="28">
        <f t="shared" si="0"/>
        <v>25728.39679151995</v>
      </c>
      <c r="D4" s="28">
        <f t="shared" si="0"/>
        <v>26251.890917668898</v>
      </c>
      <c r="E4" s="28">
        <f t="shared" si="0"/>
        <v>26359.106675100404</v>
      </c>
      <c r="F4" s="28">
        <f t="shared" si="0"/>
        <v>26605.486854402698</v>
      </c>
      <c r="G4" s="28">
        <f t="shared" si="0"/>
        <v>27052.438949105424</v>
      </c>
      <c r="H4" s="28">
        <f t="shared" si="0"/>
        <v>27681.056300764529</v>
      </c>
      <c r="I4" s="28">
        <f t="shared" si="0"/>
        <v>29267.679019739648</v>
      </c>
      <c r="J4" s="28">
        <f t="shared" si="0"/>
        <v>29789.693963724949</v>
      </c>
      <c r="K4" s="28">
        <f t="shared" si="0"/>
        <v>30652.977889859289</v>
      </c>
      <c r="L4" s="28">
        <f t="shared" si="0"/>
        <v>30494.312404145294</v>
      </c>
      <c r="M4" s="28">
        <f t="shared" si="0"/>
        <v>30397.754241143801</v>
      </c>
      <c r="N4" s="28">
        <f t="shared" si="0"/>
        <v>30090.077454221333</v>
      </c>
      <c r="O4" s="28">
        <f t="shared" si="0"/>
        <v>30092.988321090728</v>
      </c>
      <c r="P4" s="28">
        <f t="shared" si="0"/>
        <v>30614.589496763288</v>
      </c>
      <c r="Q4" s="28">
        <f t="shared" si="0"/>
        <v>31169.444251212659</v>
      </c>
      <c r="R4" s="28">
        <f t="shared" ref="R4:V4" si="1">R5+R9+R13</f>
        <v>31644.690849583814</v>
      </c>
      <c r="S4" s="28">
        <f t="shared" si="1"/>
        <v>32460.066449846967</v>
      </c>
      <c r="T4" s="28">
        <f t="shared" si="1"/>
        <v>32973.927599710332</v>
      </c>
      <c r="U4" s="28">
        <f t="shared" si="1"/>
        <v>33404.640033445678</v>
      </c>
      <c r="V4" s="28">
        <f t="shared" si="1"/>
        <v>26588.077518564427</v>
      </c>
      <c r="W4" s="28">
        <f t="shared" ref="W4" si="2">W5+W9+W13</f>
        <v>28783.545010727674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23917.085886948993</v>
      </c>
      <c r="C5" s="137">
        <f t="shared" si="3"/>
        <v>24278.309533499025</v>
      </c>
      <c r="D5" s="137">
        <f t="shared" si="3"/>
        <v>24710.294883609418</v>
      </c>
      <c r="E5" s="137">
        <f t="shared" si="3"/>
        <v>24878.658425623627</v>
      </c>
      <c r="F5" s="137">
        <f t="shared" si="3"/>
        <v>25375.536408565109</v>
      </c>
      <c r="G5" s="137">
        <f t="shared" si="3"/>
        <v>25700.283601746509</v>
      </c>
      <c r="H5" s="137">
        <f t="shared" si="3"/>
        <v>26285.639262700341</v>
      </c>
      <c r="I5" s="137">
        <f t="shared" si="3"/>
        <v>27758.847998342466</v>
      </c>
      <c r="J5" s="137">
        <f t="shared" si="3"/>
        <v>28208.80311346766</v>
      </c>
      <c r="K5" s="137">
        <f t="shared" si="3"/>
        <v>29162.013414282632</v>
      </c>
      <c r="L5" s="137">
        <f t="shared" si="3"/>
        <v>29066.889092472473</v>
      </c>
      <c r="M5" s="137">
        <f t="shared" si="3"/>
        <v>29022.984653243504</v>
      </c>
      <c r="N5" s="137">
        <f t="shared" si="3"/>
        <v>28804.740960094725</v>
      </c>
      <c r="O5" s="137">
        <f t="shared" si="3"/>
        <v>28727.525657652535</v>
      </c>
      <c r="P5" s="137">
        <f t="shared" si="3"/>
        <v>29330.647348913753</v>
      </c>
      <c r="Q5" s="137">
        <f t="shared" si="3"/>
        <v>29835.213536673451</v>
      </c>
      <c r="R5" s="137">
        <f t="shared" ref="R5:V5" si="4">R6+R7+R8</f>
        <v>30360.934085176723</v>
      </c>
      <c r="S5" s="137">
        <f t="shared" si="4"/>
        <v>31076.773133254592</v>
      </c>
      <c r="T5" s="137">
        <f t="shared" si="4"/>
        <v>31518.203693120748</v>
      </c>
      <c r="U5" s="137">
        <f t="shared" si="4"/>
        <v>31947.620350726091</v>
      </c>
      <c r="V5" s="137">
        <f t="shared" si="4"/>
        <v>26102.335006079211</v>
      </c>
      <c r="W5" s="137">
        <f t="shared" ref="W5" si="5">W6+W7+W8</f>
        <v>28061.321456909027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90.085886948994414</v>
      </c>
      <c r="C6" s="102">
        <f>TrRoad_act!C$5</f>
        <v>84.309533499025974</v>
      </c>
      <c r="D6" s="102">
        <f>TrRoad_act!D$5</f>
        <v>84.294883609418875</v>
      </c>
      <c r="E6" s="102">
        <f>TrRoad_act!E$5</f>
        <v>101.65842562362806</v>
      </c>
      <c r="F6" s="102">
        <f>TrRoad_act!F$5</f>
        <v>115.53640856511078</v>
      </c>
      <c r="G6" s="102">
        <f>TrRoad_act!G$5</f>
        <v>129.28360174650706</v>
      </c>
      <c r="H6" s="102">
        <f>TrRoad_act!H$5</f>
        <v>146.63926270034341</v>
      </c>
      <c r="I6" s="102">
        <f>TrRoad_act!I$5</f>
        <v>168.84799834246729</v>
      </c>
      <c r="J6" s="102">
        <f>TrRoad_act!J$5</f>
        <v>184.80311346766175</v>
      </c>
      <c r="K6" s="102">
        <f>TrRoad_act!K$5</f>
        <v>191.01341428263027</v>
      </c>
      <c r="L6" s="102">
        <f>TrRoad_act!L$5</f>
        <v>247.8890924724742</v>
      </c>
      <c r="M6" s="102">
        <f>TrRoad_act!M$5</f>
        <v>291.40529915878801</v>
      </c>
      <c r="N6" s="102">
        <f>TrRoad_act!N$5</f>
        <v>264.92801389613209</v>
      </c>
      <c r="O6" s="102">
        <f>TrRoad_act!O$5</f>
        <v>236.87065419482971</v>
      </c>
      <c r="P6" s="102">
        <f>TrRoad_act!P$5</f>
        <v>242.96207475525557</v>
      </c>
      <c r="Q6" s="102">
        <f>TrRoad_act!Q$5</f>
        <v>262.59819479990404</v>
      </c>
      <c r="R6" s="102">
        <f>TrRoad_act!R$5</f>
        <v>275.2384535953654</v>
      </c>
      <c r="S6" s="102">
        <f>TrRoad_act!S$5</f>
        <v>262.63086694451931</v>
      </c>
      <c r="T6" s="102">
        <f>TrRoad_act!T$5</f>
        <v>252.30274710066092</v>
      </c>
      <c r="U6" s="102">
        <f>TrRoad_act!U$5</f>
        <v>269.49609580938346</v>
      </c>
      <c r="V6" s="102">
        <f>TrRoad_act!V$5</f>
        <v>242.04146430678003</v>
      </c>
      <c r="W6" s="102">
        <f>TrRoad_act!W$5</f>
        <v>252.52966727908429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20325</v>
      </c>
      <c r="C7" s="102">
        <f>TrRoad_act!C$6</f>
        <v>20801</v>
      </c>
      <c r="D7" s="102">
        <f>TrRoad_act!D$6</f>
        <v>21287</v>
      </c>
      <c r="E7" s="102">
        <f>TrRoad_act!E$6</f>
        <v>21331</v>
      </c>
      <c r="F7" s="102">
        <f>TrRoad_act!F$6</f>
        <v>22042</v>
      </c>
      <c r="G7" s="102">
        <f>TrRoad_act!G$6</f>
        <v>22509</v>
      </c>
      <c r="H7" s="102">
        <f>TrRoad_act!H$6</f>
        <v>23005.999999999996</v>
      </c>
      <c r="I7" s="102">
        <f>TrRoad_act!I$6</f>
        <v>24355</v>
      </c>
      <c r="J7" s="102">
        <f>TrRoad_act!J$6</f>
        <v>24878</v>
      </c>
      <c r="K7" s="102">
        <f>TrRoad_act!K$6</f>
        <v>25775</v>
      </c>
      <c r="L7" s="102">
        <f>TrRoad_act!L$6</f>
        <v>25636</v>
      </c>
      <c r="M7" s="102">
        <f>TrRoad_act!M$6</f>
        <v>25487.43621964116</v>
      </c>
      <c r="N7" s="102">
        <f>TrRoad_act!N$6</f>
        <v>25302.775921222881</v>
      </c>
      <c r="O7" s="102">
        <f>TrRoad_act!O$6</f>
        <v>25168.354826572544</v>
      </c>
      <c r="P7" s="102">
        <f>TrRoad_act!P$6</f>
        <v>25638.692920142625</v>
      </c>
      <c r="Q7" s="102">
        <f>TrRoad_act!Q$6</f>
        <v>25996.532775797914</v>
      </c>
      <c r="R7" s="102">
        <f>TrRoad_act!R$6</f>
        <v>26478.496232138681</v>
      </c>
      <c r="S7" s="102">
        <f>TrRoad_act!S$6</f>
        <v>27133.920814744964</v>
      </c>
      <c r="T7" s="102">
        <f>TrRoad_act!T$6</f>
        <v>27514.331156301185</v>
      </c>
      <c r="U7" s="102">
        <f>TrRoad_act!U$6</f>
        <v>27912.827036142568</v>
      </c>
      <c r="V7" s="102">
        <f>TrRoad_act!V$6</f>
        <v>23865.64209179924</v>
      </c>
      <c r="W7" s="102">
        <f>TrRoad_act!W$6</f>
        <v>25485.964844410129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3502</v>
      </c>
      <c r="C8" s="102">
        <f>TrRoad_act!C$13</f>
        <v>3393</v>
      </c>
      <c r="D8" s="102">
        <f>TrRoad_act!D$13</f>
        <v>3339</v>
      </c>
      <c r="E8" s="102">
        <f>TrRoad_act!E$13</f>
        <v>3446</v>
      </c>
      <c r="F8" s="102">
        <f>TrRoad_act!F$13</f>
        <v>3218</v>
      </c>
      <c r="G8" s="102">
        <f>TrRoad_act!G$13</f>
        <v>3062</v>
      </c>
      <c r="H8" s="102">
        <f>TrRoad_act!H$13</f>
        <v>3133</v>
      </c>
      <c r="I8" s="102">
        <f>TrRoad_act!I$13</f>
        <v>3235</v>
      </c>
      <c r="J8" s="102">
        <f>TrRoad_act!J$13</f>
        <v>3146</v>
      </c>
      <c r="K8" s="102">
        <f>TrRoad_act!K$13</f>
        <v>3196</v>
      </c>
      <c r="L8" s="102">
        <f>TrRoad_act!L$13</f>
        <v>3183</v>
      </c>
      <c r="M8" s="102">
        <f>TrRoad_act!M$13</f>
        <v>3244.1431344435568</v>
      </c>
      <c r="N8" s="102">
        <f>TrRoad_act!N$13</f>
        <v>3237.0370249757102</v>
      </c>
      <c r="O8" s="102">
        <f>TrRoad_act!O$13</f>
        <v>3322.3001768851614</v>
      </c>
      <c r="P8" s="102">
        <f>TrRoad_act!P$13</f>
        <v>3448.9923540158738</v>
      </c>
      <c r="Q8" s="102">
        <f>TrRoad_act!Q$13</f>
        <v>3576.0825660756332</v>
      </c>
      <c r="R8" s="102">
        <f>TrRoad_act!R$13</f>
        <v>3607.1993994426762</v>
      </c>
      <c r="S8" s="102">
        <f>TrRoad_act!S$13</f>
        <v>3680.2214515651081</v>
      </c>
      <c r="T8" s="102">
        <f>TrRoad_act!T$13</f>
        <v>3751.5697897189016</v>
      </c>
      <c r="U8" s="102">
        <f>TrRoad_act!U$13</f>
        <v>3765.2972187741411</v>
      </c>
      <c r="V8" s="102">
        <f>TrRoad_act!V$13</f>
        <v>1994.6514499731882</v>
      </c>
      <c r="W8" s="102">
        <f>TrRoad_act!W$13</f>
        <v>2322.8269452198156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705</v>
      </c>
      <c r="C9" s="110">
        <f t="shared" si="6"/>
        <v>715</v>
      </c>
      <c r="D9" s="110">
        <f t="shared" si="6"/>
        <v>749</v>
      </c>
      <c r="E9" s="110">
        <f t="shared" si="6"/>
        <v>777</v>
      </c>
      <c r="F9" s="110">
        <f t="shared" si="6"/>
        <v>695</v>
      </c>
      <c r="G9" s="110">
        <f t="shared" si="6"/>
        <v>716</v>
      </c>
      <c r="H9" s="110">
        <f t="shared" si="6"/>
        <v>724</v>
      </c>
      <c r="I9" s="110">
        <f t="shared" si="6"/>
        <v>740</v>
      </c>
      <c r="J9" s="110">
        <f t="shared" si="6"/>
        <v>765</v>
      </c>
      <c r="K9" s="110">
        <f t="shared" si="6"/>
        <v>773</v>
      </c>
      <c r="L9" s="110">
        <f t="shared" si="6"/>
        <v>729</v>
      </c>
      <c r="M9" s="110">
        <f t="shared" si="6"/>
        <v>689</v>
      </c>
      <c r="N9" s="110">
        <f t="shared" si="6"/>
        <v>659</v>
      </c>
      <c r="O9" s="110">
        <f t="shared" si="6"/>
        <v>679</v>
      </c>
      <c r="P9" s="110">
        <f t="shared" si="6"/>
        <v>620</v>
      </c>
      <c r="Q9" s="110">
        <f t="shared" si="6"/>
        <v>628</v>
      </c>
      <c r="R9" s="110">
        <f t="shared" ref="R9:V9" si="7">R10+R11+R12</f>
        <v>611</v>
      </c>
      <c r="S9" s="110">
        <f t="shared" si="7"/>
        <v>570</v>
      </c>
      <c r="T9" s="110">
        <f t="shared" si="7"/>
        <v>568</v>
      </c>
      <c r="U9" s="110">
        <f t="shared" si="7"/>
        <v>572</v>
      </c>
      <c r="V9" s="110">
        <f t="shared" si="7"/>
        <v>338</v>
      </c>
      <c r="W9" s="110">
        <f t="shared" ref="W9" si="8">W10+W11+W12</f>
        <v>504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705</v>
      </c>
      <c r="C11" s="102">
        <f>TrRail_act!C$6</f>
        <v>715</v>
      </c>
      <c r="D11" s="102">
        <f>TrRail_act!D$6</f>
        <v>749</v>
      </c>
      <c r="E11" s="102">
        <f>TrRail_act!E$6</f>
        <v>777</v>
      </c>
      <c r="F11" s="102">
        <f>TrRail_act!F$6</f>
        <v>695</v>
      </c>
      <c r="G11" s="102">
        <f>TrRail_act!G$6</f>
        <v>716</v>
      </c>
      <c r="H11" s="102">
        <f>TrRail_act!H$6</f>
        <v>724</v>
      </c>
      <c r="I11" s="102">
        <f>TrRail_act!I$6</f>
        <v>740</v>
      </c>
      <c r="J11" s="102">
        <f>TrRail_act!J$6</f>
        <v>751</v>
      </c>
      <c r="K11" s="102">
        <f>TrRail_act!K$6</f>
        <v>757</v>
      </c>
      <c r="L11" s="102">
        <f>TrRail_act!L$6</f>
        <v>713.9</v>
      </c>
      <c r="M11" s="102">
        <f>TrRail_act!M$6</f>
        <v>675.66</v>
      </c>
      <c r="N11" s="102">
        <f>TrRail_act!N$6</f>
        <v>647.12</v>
      </c>
      <c r="O11" s="102">
        <f>TrRail_act!O$6</f>
        <v>667.95</v>
      </c>
      <c r="P11" s="102">
        <f>TrRail_act!P$6</f>
        <v>612.29999999999995</v>
      </c>
      <c r="Q11" s="102">
        <f>TrRail_act!Q$6</f>
        <v>622.4</v>
      </c>
      <c r="R11" s="102">
        <f>TrRail_act!R$6</f>
        <v>607.1</v>
      </c>
      <c r="S11" s="102">
        <f>TrRail_act!S$6</f>
        <v>568.46</v>
      </c>
      <c r="T11" s="102">
        <f>TrRail_act!T$6</f>
        <v>566.21</v>
      </c>
      <c r="U11" s="102">
        <f>TrRail_act!U$6</f>
        <v>570.26</v>
      </c>
      <c r="V11" s="102">
        <f>TrRail_act!V$6</f>
        <v>337.6</v>
      </c>
      <c r="W11" s="102">
        <f>TrRail_act!W$6</f>
        <v>477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14</v>
      </c>
      <c r="K12" s="102">
        <f>TrRail_act!K$9</f>
        <v>16</v>
      </c>
      <c r="L12" s="102">
        <f>TrRail_act!L$9</f>
        <v>15.1</v>
      </c>
      <c r="M12" s="102">
        <f>TrRail_act!M$9</f>
        <v>13.34</v>
      </c>
      <c r="N12" s="102">
        <f>TrRail_act!N$9</f>
        <v>11.88</v>
      </c>
      <c r="O12" s="102">
        <f>TrRail_act!O$9</f>
        <v>11.05</v>
      </c>
      <c r="P12" s="102">
        <f>TrRail_act!P$9</f>
        <v>7.7</v>
      </c>
      <c r="Q12" s="102">
        <f>TrRail_act!Q$9</f>
        <v>5.6</v>
      </c>
      <c r="R12" s="102">
        <f>TrRail_act!R$9</f>
        <v>3.9</v>
      </c>
      <c r="S12" s="102">
        <f>TrRail_act!S$9</f>
        <v>1.54</v>
      </c>
      <c r="T12" s="102">
        <f>TrRail_act!T$9</f>
        <v>1.79</v>
      </c>
      <c r="U12" s="102">
        <f>TrRail_act!U$9</f>
        <v>1.74</v>
      </c>
      <c r="V12" s="102">
        <f>TrRail_act!V$9</f>
        <v>0.4</v>
      </c>
      <c r="W12" s="102">
        <f>TrRail_act!W$9</f>
        <v>27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674.07848783903137</v>
      </c>
      <c r="C13" s="110">
        <f t="shared" ref="C13:V13" si="10">C14+C15+C16</f>
        <v>735.08725802092499</v>
      </c>
      <c r="D13" s="110">
        <f t="shared" si="10"/>
        <v>792.59603405947837</v>
      </c>
      <c r="E13" s="110">
        <f t="shared" si="10"/>
        <v>703.448249476775</v>
      </c>
      <c r="F13" s="110">
        <f t="shared" si="10"/>
        <v>534.95044583758943</v>
      </c>
      <c r="G13" s="110">
        <f t="shared" si="10"/>
        <v>636.15534735891549</v>
      </c>
      <c r="H13" s="110">
        <f t="shared" si="10"/>
        <v>671.41703806418832</v>
      </c>
      <c r="I13" s="110">
        <f t="shared" si="10"/>
        <v>768.83102139718221</v>
      </c>
      <c r="J13" s="110">
        <f t="shared" si="10"/>
        <v>815.89085025728684</v>
      </c>
      <c r="K13" s="110">
        <f t="shared" si="10"/>
        <v>717.96447557665738</v>
      </c>
      <c r="L13" s="110">
        <f t="shared" si="10"/>
        <v>698.42331167282236</v>
      </c>
      <c r="M13" s="110">
        <f t="shared" si="10"/>
        <v>685.76958790029812</v>
      </c>
      <c r="N13" s="110">
        <f t="shared" si="10"/>
        <v>626.33649412660634</v>
      </c>
      <c r="O13" s="110">
        <f t="shared" si="10"/>
        <v>686.46266343819275</v>
      </c>
      <c r="P13" s="110">
        <f t="shared" si="10"/>
        <v>663.94214784953488</v>
      </c>
      <c r="Q13" s="110">
        <f t="shared" si="10"/>
        <v>706.23071453920772</v>
      </c>
      <c r="R13" s="110">
        <f t="shared" si="10"/>
        <v>672.75676440709003</v>
      </c>
      <c r="S13" s="110">
        <f t="shared" si="10"/>
        <v>813.2933165923755</v>
      </c>
      <c r="T13" s="110">
        <f t="shared" si="10"/>
        <v>887.72390658958591</v>
      </c>
      <c r="U13" s="110">
        <f t="shared" si="10"/>
        <v>885.01968271958617</v>
      </c>
      <c r="V13" s="110">
        <f t="shared" si="10"/>
        <v>147.74251248521568</v>
      </c>
      <c r="W13" s="110">
        <f t="shared" ref="W13" si="11">W14+W15+W16</f>
        <v>218.22355381864813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369.5228648440654</v>
      </c>
      <c r="C15" s="102">
        <f>TrAvia_act!C$6</f>
        <v>404.89951063715665</v>
      </c>
      <c r="D15" s="102">
        <f>TrAvia_act!D$6</f>
        <v>437.08058181646601</v>
      </c>
      <c r="E15" s="102">
        <f>TrAvia_act!E$6</f>
        <v>385.90286608524826</v>
      </c>
      <c r="F15" s="102">
        <f>TrAvia_act!F$6</f>
        <v>292.76262473560473</v>
      </c>
      <c r="G15" s="102">
        <f>TrAvia_act!G$6</f>
        <v>384.29785536201746</v>
      </c>
      <c r="H15" s="102">
        <f>TrAvia_act!H$6</f>
        <v>409.70953023359078</v>
      </c>
      <c r="I15" s="102">
        <f>TrAvia_act!I$6</f>
        <v>445.99409732164497</v>
      </c>
      <c r="J15" s="102">
        <f>TrAvia_act!J$6</f>
        <v>458.03144882422407</v>
      </c>
      <c r="K15" s="102">
        <f>TrAvia_act!K$6</f>
        <v>370.82679593421511</v>
      </c>
      <c r="L15" s="102">
        <f>TrAvia_act!L$6</f>
        <v>349.09618372766141</v>
      </c>
      <c r="M15" s="102">
        <f>TrAvia_act!M$6</f>
        <v>358.95068440625738</v>
      </c>
      <c r="N15" s="102">
        <f>TrAvia_act!N$6</f>
        <v>282.72413024870019</v>
      </c>
      <c r="O15" s="102">
        <f>TrAvia_act!O$6</f>
        <v>318.57330637834764</v>
      </c>
      <c r="P15" s="102">
        <f>TrAvia_act!P$6</f>
        <v>326.24774355890793</v>
      </c>
      <c r="Q15" s="102">
        <f>TrAvia_act!Q$6</f>
        <v>359.42626054084309</v>
      </c>
      <c r="R15" s="102">
        <f>TrAvia_act!R$6</f>
        <v>384.46820951737482</v>
      </c>
      <c r="S15" s="102">
        <f>TrAvia_act!S$6</f>
        <v>459.1937577394998</v>
      </c>
      <c r="T15" s="102">
        <f>TrAvia_act!T$6</f>
        <v>501.01625099199998</v>
      </c>
      <c r="U15" s="102">
        <f>TrAvia_act!U$6</f>
        <v>473.56838476584079</v>
      </c>
      <c r="V15" s="102">
        <f>TrAvia_act!V$6</f>
        <v>84.044054456383662</v>
      </c>
      <c r="W15" s="102">
        <f>TrAvia_act!W$6</f>
        <v>122.12776577756095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304.55562299496597</v>
      </c>
      <c r="C16" s="102">
        <f>TrAvia_act!C$7</f>
        <v>330.18774738376828</v>
      </c>
      <c r="D16" s="102">
        <f>TrAvia_act!D$7</f>
        <v>355.51545224301236</v>
      </c>
      <c r="E16" s="102">
        <f>TrAvia_act!E$7</f>
        <v>317.54538339152674</v>
      </c>
      <c r="F16" s="102">
        <f>TrAvia_act!F$7</f>
        <v>242.18782110198472</v>
      </c>
      <c r="G16" s="102">
        <f>TrAvia_act!G$7</f>
        <v>251.85749199689801</v>
      </c>
      <c r="H16" s="102">
        <f>TrAvia_act!H$7</f>
        <v>261.70750783059759</v>
      </c>
      <c r="I16" s="102">
        <f>TrAvia_act!I$7</f>
        <v>322.83692407553718</v>
      </c>
      <c r="J16" s="102">
        <f>TrAvia_act!J$7</f>
        <v>357.85940143306277</v>
      </c>
      <c r="K16" s="102">
        <f>TrAvia_act!K$7</f>
        <v>347.13767964244221</v>
      </c>
      <c r="L16" s="102">
        <f>TrAvia_act!L$7</f>
        <v>349.3271279451609</v>
      </c>
      <c r="M16" s="102">
        <f>TrAvia_act!M$7</f>
        <v>326.8189034940408</v>
      </c>
      <c r="N16" s="102">
        <f>TrAvia_act!N$7</f>
        <v>343.6123638779062</v>
      </c>
      <c r="O16" s="102">
        <f>TrAvia_act!O$7</f>
        <v>367.88935705984505</v>
      </c>
      <c r="P16" s="102">
        <f>TrAvia_act!P$7</f>
        <v>337.69440429062689</v>
      </c>
      <c r="Q16" s="102">
        <f>TrAvia_act!Q$7</f>
        <v>346.80445399836464</v>
      </c>
      <c r="R16" s="102">
        <f>TrAvia_act!R$7</f>
        <v>288.28855488971516</v>
      </c>
      <c r="S16" s="102">
        <f>TrAvia_act!S$7</f>
        <v>354.0995588528757</v>
      </c>
      <c r="T16" s="102">
        <f>TrAvia_act!T$7</f>
        <v>386.70765559758593</v>
      </c>
      <c r="U16" s="102">
        <f>TrAvia_act!U$7</f>
        <v>411.45129795374532</v>
      </c>
      <c r="V16" s="102">
        <f>TrAvia_act!V$7</f>
        <v>63.698458028832036</v>
      </c>
      <c r="W16" s="102">
        <f>TrAvia_act!W$7</f>
        <v>96.095788041087175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8392.7634382805245</v>
      </c>
      <c r="C17" s="28">
        <f t="shared" si="12"/>
        <v>8658.3575802678297</v>
      </c>
      <c r="D17" s="28">
        <f t="shared" si="12"/>
        <v>9148.4583905396776</v>
      </c>
      <c r="E17" s="28">
        <f t="shared" si="12"/>
        <v>9210.4704679861188</v>
      </c>
      <c r="F17" s="28">
        <f t="shared" si="12"/>
        <v>10285.127571866798</v>
      </c>
      <c r="G17" s="28">
        <f t="shared" si="12"/>
        <v>10654.585523234937</v>
      </c>
      <c r="H17" s="28">
        <f t="shared" si="12"/>
        <v>11526.792953097396</v>
      </c>
      <c r="I17" s="28">
        <f t="shared" si="12"/>
        <v>12191.899714508276</v>
      </c>
      <c r="J17" s="28">
        <f t="shared" si="12"/>
        <v>12095.974799958931</v>
      </c>
      <c r="K17" s="28">
        <f t="shared" si="12"/>
        <v>10274.946860208915</v>
      </c>
      <c r="L17" s="28">
        <f t="shared" si="12"/>
        <v>10891.329628380263</v>
      </c>
      <c r="M17" s="28">
        <f t="shared" si="12"/>
        <v>11199.712612220692</v>
      </c>
      <c r="N17" s="28">
        <f t="shared" si="12"/>
        <v>10735.495786854424</v>
      </c>
      <c r="O17" s="28">
        <f t="shared" si="12"/>
        <v>11088.495188979517</v>
      </c>
      <c r="P17" s="28">
        <f t="shared" si="12"/>
        <v>11602.176427194532</v>
      </c>
      <c r="Q17" s="28">
        <f t="shared" si="12"/>
        <v>12114.976015997208</v>
      </c>
      <c r="R17" s="28">
        <f t="shared" ref="R17:V17" si="13">R18+R21+R22+R26</f>
        <v>13049.603032534165</v>
      </c>
      <c r="S17" s="28">
        <f t="shared" si="13"/>
        <v>14679.309216402855</v>
      </c>
      <c r="T17" s="28">
        <f t="shared" si="13"/>
        <v>14844.061432013603</v>
      </c>
      <c r="U17" s="28">
        <f t="shared" si="13"/>
        <v>15135.416498635552</v>
      </c>
      <c r="V17" s="28">
        <f t="shared" si="13"/>
        <v>13946.450323476105</v>
      </c>
      <c r="W17" s="28">
        <f t="shared" ref="W17" si="14">W18+W21+W22+W26</f>
        <v>14974.632002759012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5530.1471621002956</v>
      </c>
      <c r="C18" s="137">
        <f t="shared" si="15"/>
        <v>5815.4156197757102</v>
      </c>
      <c r="D18" s="137">
        <f t="shared" si="15"/>
        <v>6064.5509928965839</v>
      </c>
      <c r="E18" s="137">
        <f t="shared" si="15"/>
        <v>6186.160954250664</v>
      </c>
      <c r="F18" s="137">
        <f t="shared" si="15"/>
        <v>7129.4873633604093</v>
      </c>
      <c r="G18" s="137">
        <f t="shared" si="15"/>
        <v>7403.5423880547569</v>
      </c>
      <c r="H18" s="137">
        <f t="shared" si="15"/>
        <v>8148.3713679114444</v>
      </c>
      <c r="I18" s="137">
        <f t="shared" si="15"/>
        <v>8578.4027260355178</v>
      </c>
      <c r="J18" s="137">
        <f t="shared" si="15"/>
        <v>8571.3897971444021</v>
      </c>
      <c r="K18" s="137">
        <f t="shared" si="15"/>
        <v>7455.5353915071555</v>
      </c>
      <c r="L18" s="137">
        <f t="shared" si="15"/>
        <v>7467.6678503549556</v>
      </c>
      <c r="M18" s="137">
        <f t="shared" si="15"/>
        <v>7445.0636216274797</v>
      </c>
      <c r="N18" s="137">
        <f t="shared" si="15"/>
        <v>7262.6940030292581</v>
      </c>
      <c r="O18" s="137">
        <f t="shared" si="15"/>
        <v>7286.6894498517622</v>
      </c>
      <c r="P18" s="137">
        <f t="shared" si="15"/>
        <v>7489.5885406100269</v>
      </c>
      <c r="Q18" s="137">
        <f t="shared" si="15"/>
        <v>7937.3530768622632</v>
      </c>
      <c r="R18" s="137">
        <f t="shared" ref="R18:V18" si="16">R19+R20</f>
        <v>8686.982961878497</v>
      </c>
      <c r="S18" s="137">
        <f t="shared" si="16"/>
        <v>9547.27147522835</v>
      </c>
      <c r="T18" s="137">
        <f t="shared" si="16"/>
        <v>9689.074592424713</v>
      </c>
      <c r="U18" s="137">
        <f t="shared" si="16"/>
        <v>9839.8474564008848</v>
      </c>
      <c r="V18" s="137">
        <f t="shared" si="16"/>
        <v>9217.9272076967573</v>
      </c>
      <c r="W18" s="137">
        <f t="shared" ref="W18" si="17">W19+W20</f>
        <v>10034.396229286174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60.809933327729738</v>
      </c>
      <c r="C19" s="102">
        <f>TrRoad_act!C$20</f>
        <v>64.913490385302765</v>
      </c>
      <c r="D19" s="102">
        <f>TrRoad_act!D$20</f>
        <v>70.603644174411954</v>
      </c>
      <c r="E19" s="102">
        <f>TrRoad_act!E$20</f>
        <v>77.027672148484186</v>
      </c>
      <c r="F19" s="102">
        <f>TrRoad_act!F$20</f>
        <v>87.060122056326662</v>
      </c>
      <c r="G19" s="102">
        <f>TrRoad_act!G$20</f>
        <v>96.230140450282434</v>
      </c>
      <c r="H19" s="102">
        <f>TrRoad_act!H$20</f>
        <v>105.47696969236476</v>
      </c>
      <c r="I19" s="102">
        <f>TrRoad_act!I$20</f>
        <v>121.51471473598146</v>
      </c>
      <c r="J19" s="102">
        <f>TrRoad_act!J$20</f>
        <v>135.96985796333672</v>
      </c>
      <c r="K19" s="102">
        <f>TrRoad_act!K$20</f>
        <v>142.81375345083643</v>
      </c>
      <c r="L19" s="102">
        <f>TrRoad_act!L$20</f>
        <v>146.15468320260734</v>
      </c>
      <c r="M19" s="102">
        <f>TrRoad_act!M$20</f>
        <v>152.80347512846936</v>
      </c>
      <c r="N19" s="102">
        <f>TrRoad_act!N$20</f>
        <v>156.4270832630385</v>
      </c>
      <c r="O19" s="102">
        <f>TrRoad_act!O$20</f>
        <v>162.11233370959499</v>
      </c>
      <c r="P19" s="102">
        <f>TrRoad_act!P$20</f>
        <v>171.35054997370543</v>
      </c>
      <c r="Q19" s="102">
        <f>TrRoad_act!Q$20</f>
        <v>182.64442543432608</v>
      </c>
      <c r="R19" s="102">
        <f>TrRoad_act!R$20</f>
        <v>195.90415268045717</v>
      </c>
      <c r="S19" s="102">
        <f>TrRoad_act!S$20</f>
        <v>212.28305745160267</v>
      </c>
      <c r="T19" s="102">
        <f>TrRoad_act!T$20</f>
        <v>229.07459242471279</v>
      </c>
      <c r="U19" s="102">
        <f>TrRoad_act!U$20</f>
        <v>244.84745640088474</v>
      </c>
      <c r="V19" s="102">
        <f>TrRoad_act!V$20</f>
        <v>254.92720769675665</v>
      </c>
      <c r="W19" s="102">
        <f>TrRoad_act!W$20</f>
        <v>256.3962292861749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5469.337228772566</v>
      </c>
      <c r="C20" s="102">
        <f>TrRoad_act!C$26</f>
        <v>5750.5021293904074</v>
      </c>
      <c r="D20" s="102">
        <f>TrRoad_act!D$26</f>
        <v>5993.9473487221721</v>
      </c>
      <c r="E20" s="102">
        <f>TrRoad_act!E$26</f>
        <v>6109.1332821021797</v>
      </c>
      <c r="F20" s="102">
        <f>TrRoad_act!F$26</f>
        <v>7042.4272413040826</v>
      </c>
      <c r="G20" s="102">
        <f>TrRoad_act!G$26</f>
        <v>7307.3122476044746</v>
      </c>
      <c r="H20" s="102">
        <f>TrRoad_act!H$26</f>
        <v>8042.8943982190794</v>
      </c>
      <c r="I20" s="102">
        <f>TrRoad_act!I$26</f>
        <v>8456.8880112995357</v>
      </c>
      <c r="J20" s="102">
        <f>TrRoad_act!J$26</f>
        <v>8435.4199391810653</v>
      </c>
      <c r="K20" s="102">
        <f>TrRoad_act!K$26</f>
        <v>7312.7216380563186</v>
      </c>
      <c r="L20" s="102">
        <f>TrRoad_act!L$26</f>
        <v>7321.5131671523486</v>
      </c>
      <c r="M20" s="102">
        <f>TrRoad_act!M$26</f>
        <v>7292.2601464990103</v>
      </c>
      <c r="N20" s="102">
        <f>TrRoad_act!N$26</f>
        <v>7106.2669197662199</v>
      </c>
      <c r="O20" s="102">
        <f>TrRoad_act!O$26</f>
        <v>7124.5771161421671</v>
      </c>
      <c r="P20" s="102">
        <f>TrRoad_act!P$26</f>
        <v>7318.2379906363212</v>
      </c>
      <c r="Q20" s="102">
        <f>TrRoad_act!Q$26</f>
        <v>7754.7086514279372</v>
      </c>
      <c r="R20" s="102">
        <f>TrRoad_act!R$26</f>
        <v>8491.0788091980394</v>
      </c>
      <c r="S20" s="102">
        <f>TrRoad_act!S$26</f>
        <v>9334.9884177767472</v>
      </c>
      <c r="T20" s="102">
        <f>TrRoad_act!T$26</f>
        <v>9460</v>
      </c>
      <c r="U20" s="102">
        <f>TrRoad_act!U$26</f>
        <v>9595</v>
      </c>
      <c r="V20" s="102">
        <f>TrRoad_act!V$26</f>
        <v>8963</v>
      </c>
      <c r="W20" s="102">
        <f>TrRoad_act!W$26</f>
        <v>9778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2857</v>
      </c>
      <c r="C21" s="110">
        <f>TrRail_act!C$10</f>
        <v>2837</v>
      </c>
      <c r="D21" s="110">
        <f>TrRail_act!D$10</f>
        <v>3078</v>
      </c>
      <c r="E21" s="110">
        <f>TrRail_act!E$10</f>
        <v>3018</v>
      </c>
      <c r="F21" s="110">
        <f>TrRail_act!F$10</f>
        <v>3149</v>
      </c>
      <c r="G21" s="110">
        <f>TrRail_act!G$10</f>
        <v>3245</v>
      </c>
      <c r="H21" s="110">
        <f>TrRail_act!H$10</f>
        <v>3373</v>
      </c>
      <c r="I21" s="110">
        <f>TrRail_act!I$10</f>
        <v>3603</v>
      </c>
      <c r="J21" s="110">
        <f>TrRail_act!J$10</f>
        <v>3520</v>
      </c>
      <c r="K21" s="110">
        <f>TrRail_act!K$10</f>
        <v>2817</v>
      </c>
      <c r="L21" s="110">
        <f>TrRail_act!L$10</f>
        <v>3421</v>
      </c>
      <c r="M21" s="110">
        <f>TrRail_act!M$10</f>
        <v>3752</v>
      </c>
      <c r="N21" s="110">
        <f>TrRail_act!N$10</f>
        <v>3470</v>
      </c>
      <c r="O21" s="110">
        <f>TrRail_act!O$10</f>
        <v>3799</v>
      </c>
      <c r="P21" s="110">
        <f>TrRail_act!P$10</f>
        <v>4110</v>
      </c>
      <c r="Q21" s="110">
        <f>TrRail_act!Q$10</f>
        <v>4175</v>
      </c>
      <c r="R21" s="110">
        <f>TrRail_act!R$10</f>
        <v>4360</v>
      </c>
      <c r="S21" s="110">
        <f>TrRail_act!S$10</f>
        <v>5128</v>
      </c>
      <c r="T21" s="110">
        <f>TrRail_act!T$10</f>
        <v>5151</v>
      </c>
      <c r="U21" s="110">
        <f>TrRail_act!U$10</f>
        <v>5292</v>
      </c>
      <c r="V21" s="110">
        <f>TrRail_act!V$10</f>
        <v>4726</v>
      </c>
      <c r="W21" s="110">
        <f>TrRail_act!W$10</f>
        <v>4937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5.6162761802280015</v>
      </c>
      <c r="C22" s="110">
        <f t="shared" ref="C22:V22" si="19">C23+C24+C25</f>
        <v>5.9419604921194686</v>
      </c>
      <c r="D22" s="110">
        <f t="shared" si="19"/>
        <v>5.9073976430943205</v>
      </c>
      <c r="E22" s="110">
        <f t="shared" si="19"/>
        <v>6.3095137354559698</v>
      </c>
      <c r="F22" s="110">
        <f t="shared" si="19"/>
        <v>6.6402085063899063</v>
      </c>
      <c r="G22" s="110">
        <f t="shared" si="19"/>
        <v>6.0431351801791449</v>
      </c>
      <c r="H22" s="110">
        <f t="shared" si="19"/>
        <v>5.4215851859518409</v>
      </c>
      <c r="I22" s="110">
        <f t="shared" si="19"/>
        <v>10.496988472757469</v>
      </c>
      <c r="J22" s="110">
        <f t="shared" si="19"/>
        <v>4.5850028145294068</v>
      </c>
      <c r="K22" s="110">
        <f t="shared" si="19"/>
        <v>2.4114687017598291</v>
      </c>
      <c r="L22" s="110">
        <f t="shared" si="19"/>
        <v>2.6617780253071448</v>
      </c>
      <c r="M22" s="110">
        <f t="shared" si="19"/>
        <v>2.6489905932128419</v>
      </c>
      <c r="N22" s="110">
        <f t="shared" si="19"/>
        <v>2.8017838251679548</v>
      </c>
      <c r="O22" s="110">
        <f t="shared" si="19"/>
        <v>2.805739127756536</v>
      </c>
      <c r="P22" s="110">
        <f t="shared" si="19"/>
        <v>2.5878865845035399</v>
      </c>
      <c r="Q22" s="110">
        <f t="shared" si="19"/>
        <v>2.6229391349459004</v>
      </c>
      <c r="R22" s="110">
        <f t="shared" si="19"/>
        <v>2.620070655668929</v>
      </c>
      <c r="S22" s="110">
        <f t="shared" si="19"/>
        <v>4.0377411745057525</v>
      </c>
      <c r="T22" s="110">
        <f t="shared" si="19"/>
        <v>3.9868395888888797</v>
      </c>
      <c r="U22" s="110">
        <f t="shared" si="19"/>
        <v>3.5690422346661164</v>
      </c>
      <c r="V22" s="110">
        <f t="shared" si="19"/>
        <v>2.5231157793479726</v>
      </c>
      <c r="W22" s="110">
        <f t="shared" ref="W22" si="20">W23+W24+W25</f>
        <v>3.2357734728375389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1.2186065239113615</v>
      </c>
      <c r="C24" s="102">
        <f>TrAvia_act!C$10</f>
        <v>1.1047557800511765</v>
      </c>
      <c r="D24" s="102">
        <f>TrAvia_act!D$10</f>
        <v>0.90395358984174679</v>
      </c>
      <c r="E24" s="102">
        <f>TrAvia_act!E$10</f>
        <v>0.77403753209269366</v>
      </c>
      <c r="F24" s="102">
        <f>TrAvia_act!F$10</f>
        <v>0.69132802520204373</v>
      </c>
      <c r="G24" s="102">
        <f>TrAvia_act!G$10</f>
        <v>0.90690886419809813</v>
      </c>
      <c r="H24" s="102">
        <f>TrAvia_act!H$10</f>
        <v>1.7719406699690854</v>
      </c>
      <c r="I24" s="102">
        <f>TrAvia_act!I$10</f>
        <v>7.7216877247924653</v>
      </c>
      <c r="J24" s="102">
        <f>TrAvia_act!J$10</f>
        <v>2.6361652428191427</v>
      </c>
      <c r="K24" s="102">
        <f>TrAvia_act!K$10</f>
        <v>1.286034300335279</v>
      </c>
      <c r="L24" s="102">
        <f>TrAvia_act!L$10</f>
        <v>1.9518340845983517</v>
      </c>
      <c r="M24" s="102">
        <f>TrAvia_act!M$10</f>
        <v>1.9129742852622753</v>
      </c>
      <c r="N24" s="102">
        <f>TrAvia_act!N$10</f>
        <v>1.9711159907658562</v>
      </c>
      <c r="O24" s="102">
        <f>TrAvia_act!O$10</f>
        <v>1.95640564369183</v>
      </c>
      <c r="P24" s="102">
        <f>TrAvia_act!P$10</f>
        <v>1.8168685438303296</v>
      </c>
      <c r="Q24" s="102">
        <f>TrAvia_act!Q$10</f>
        <v>2.2295531522114604</v>
      </c>
      <c r="R24" s="102">
        <f>TrAvia_act!R$10</f>
        <v>2.2433551520240136</v>
      </c>
      <c r="S24" s="102">
        <f>TrAvia_act!S$10</f>
        <v>3.1839871027609132</v>
      </c>
      <c r="T24" s="102">
        <f>TrAvia_act!T$10</f>
        <v>2.9865345914158139</v>
      </c>
      <c r="U24" s="102">
        <f>TrAvia_act!U$10</f>
        <v>2.5257489125301498</v>
      </c>
      <c r="V24" s="102">
        <f>TrAvia_act!V$10</f>
        <v>1.846912181095975</v>
      </c>
      <c r="W24" s="102">
        <f>TrAvia_act!W$10</f>
        <v>2.3840864422769132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4.3976696563166398</v>
      </c>
      <c r="C25" s="102">
        <f>TrAvia_act!C$11</f>
        <v>4.8372047120682922</v>
      </c>
      <c r="D25" s="102">
        <f>TrAvia_act!D$11</f>
        <v>5.0034440532525739</v>
      </c>
      <c r="E25" s="102">
        <f>TrAvia_act!E$11</f>
        <v>5.5354762033632765</v>
      </c>
      <c r="F25" s="102">
        <f>TrAvia_act!F$11</f>
        <v>5.9488804811878628</v>
      </c>
      <c r="G25" s="102">
        <f>TrAvia_act!G$11</f>
        <v>5.1362263159810464</v>
      </c>
      <c r="H25" s="102">
        <f>TrAvia_act!H$11</f>
        <v>3.6496445159827551</v>
      </c>
      <c r="I25" s="102">
        <f>TrAvia_act!I$11</f>
        <v>2.7753007479650043</v>
      </c>
      <c r="J25" s="102">
        <f>TrAvia_act!J$11</f>
        <v>1.9488375717102637</v>
      </c>
      <c r="K25" s="102">
        <f>TrAvia_act!K$11</f>
        <v>1.1254344014245501</v>
      </c>
      <c r="L25" s="102">
        <f>TrAvia_act!L$11</f>
        <v>0.70994394070879308</v>
      </c>
      <c r="M25" s="102">
        <f>TrAvia_act!M$11</f>
        <v>0.73601630795056683</v>
      </c>
      <c r="N25" s="102">
        <f>TrAvia_act!N$11</f>
        <v>0.83066783440209846</v>
      </c>
      <c r="O25" s="102">
        <f>TrAvia_act!O$11</f>
        <v>0.8493334840647061</v>
      </c>
      <c r="P25" s="102">
        <f>TrAvia_act!P$11</f>
        <v>0.77101804067321034</v>
      </c>
      <c r="Q25" s="102">
        <f>TrAvia_act!Q$11</f>
        <v>0.39338598273443998</v>
      </c>
      <c r="R25" s="102">
        <f>TrAvia_act!R$11</f>
        <v>0.37671550364491552</v>
      </c>
      <c r="S25" s="102">
        <f>TrAvia_act!S$11</f>
        <v>0.85375407174483897</v>
      </c>
      <c r="T25" s="102">
        <f>TrAvia_act!T$11</f>
        <v>1.0003049974730656</v>
      </c>
      <c r="U25" s="102">
        <f>TrAvia_act!U$11</f>
        <v>1.0432933221359668</v>
      </c>
      <c r="V25" s="102">
        <f>TrAvia_act!V$11</f>
        <v>0.67620359825199738</v>
      </c>
      <c r="W25" s="102">
        <f>TrAvia_act!W$11</f>
        <v>0.85168703056062567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0</v>
      </c>
      <c r="J26" s="110">
        <f t="shared" si="21"/>
        <v>0</v>
      </c>
      <c r="K26" s="110">
        <f t="shared" si="21"/>
        <v>0</v>
      </c>
      <c r="L26" s="110">
        <f t="shared" si="21"/>
        <v>0</v>
      </c>
      <c r="M26" s="110">
        <f t="shared" si="21"/>
        <v>0</v>
      </c>
      <c r="N26" s="110">
        <f t="shared" si="21"/>
        <v>0</v>
      </c>
      <c r="O26" s="110">
        <f t="shared" si="21"/>
        <v>0</v>
      </c>
      <c r="P26" s="110">
        <f t="shared" si="21"/>
        <v>0</v>
      </c>
      <c r="Q26" s="110">
        <f t="shared" si="21"/>
        <v>0</v>
      </c>
      <c r="R26" s="110">
        <f t="shared" ref="R26:V26" si="22">R27+R28</f>
        <v>0</v>
      </c>
      <c r="S26" s="110">
        <f t="shared" si="22"/>
        <v>0</v>
      </c>
      <c r="T26" s="110">
        <f t="shared" si="22"/>
        <v>0</v>
      </c>
      <c r="U26" s="110">
        <f t="shared" si="22"/>
        <v>0</v>
      </c>
      <c r="V26" s="110">
        <f t="shared" si="22"/>
        <v>0</v>
      </c>
      <c r="W26" s="110">
        <f t="shared" ref="W26" si="23">W27+W28</f>
        <v>0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38166.264225999999</v>
      </c>
      <c r="H29" s="28">
        <f t="shared" si="24"/>
        <v>48786.362335999998</v>
      </c>
      <c r="I29" s="28">
        <f t="shared" si="24"/>
        <v>51286.503871000001</v>
      </c>
      <c r="J29" s="28">
        <f t="shared" si="24"/>
        <v>55463.708955000002</v>
      </c>
      <c r="K29" s="28">
        <f t="shared" si="24"/>
        <v>42671.369743000003</v>
      </c>
      <c r="L29" s="28">
        <f t="shared" si="24"/>
        <v>49391.693849000003</v>
      </c>
      <c r="M29" s="28">
        <f t="shared" si="24"/>
        <v>59442.010518000003</v>
      </c>
      <c r="N29" s="28">
        <f t="shared" si="24"/>
        <v>58223.360660000006</v>
      </c>
      <c r="O29" s="28">
        <f t="shared" si="24"/>
        <v>56000.889841999997</v>
      </c>
      <c r="P29" s="28">
        <f t="shared" si="24"/>
        <v>60088.768849999993</v>
      </c>
      <c r="Q29" s="28">
        <f t="shared" si="24"/>
        <v>65845.078519999995</v>
      </c>
      <c r="R29" s="28">
        <f t="shared" si="24"/>
        <v>70198.702955000001</v>
      </c>
      <c r="S29" s="28">
        <f t="shared" si="24"/>
        <v>79138.189174999992</v>
      </c>
      <c r="T29" s="28">
        <f t="shared" si="24"/>
        <v>88690.624966999996</v>
      </c>
      <c r="U29" s="28">
        <f t="shared" si="24"/>
        <v>80703.199538000001</v>
      </c>
      <c r="V29" s="28">
        <f t="shared" si="24"/>
        <v>68717.753838000004</v>
      </c>
      <c r="W29" s="28">
        <f t="shared" si="24"/>
        <v>78994.529716999983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6107.9841999999999</v>
      </c>
      <c r="H30" s="102">
        <f>MBunk_act!H$4</f>
        <v>7793.1041509999995</v>
      </c>
      <c r="I30" s="102">
        <f>MBunk_act!I$4</f>
        <v>7507.1204779999998</v>
      </c>
      <c r="J30" s="102">
        <f>MBunk_act!J$4</f>
        <v>8055.4137520000004</v>
      </c>
      <c r="K30" s="102">
        <f>MBunk_act!K$4</f>
        <v>6447.3452349999998</v>
      </c>
      <c r="L30" s="102">
        <f>MBunk_act!L$4</f>
        <v>5331.5673379999998</v>
      </c>
      <c r="M30" s="102">
        <f>MBunk_act!M$4</f>
        <v>4856.571062</v>
      </c>
      <c r="N30" s="102">
        <f>MBunk_act!N$4</f>
        <v>6320.3297009999997</v>
      </c>
      <c r="O30" s="102">
        <f>MBunk_act!O$4</f>
        <v>5002.742569</v>
      </c>
      <c r="P30" s="102">
        <f>MBunk_act!P$4</f>
        <v>5976.4484130000001</v>
      </c>
      <c r="Q30" s="102">
        <f>MBunk_act!Q$4</f>
        <v>6269.1972139999998</v>
      </c>
      <c r="R30" s="102">
        <f>MBunk_act!R$4</f>
        <v>7338.9422749999994</v>
      </c>
      <c r="S30" s="102">
        <f>MBunk_act!S$4</f>
        <v>7338.2706370000005</v>
      </c>
      <c r="T30" s="102">
        <f>MBunk_act!T$4</f>
        <v>7518.3779729999997</v>
      </c>
      <c r="U30" s="102">
        <f>MBunk_act!U$4</f>
        <v>6299.8085899999996</v>
      </c>
      <c r="V30" s="102">
        <f>MBunk_act!V$4</f>
        <v>4993.3146369999995</v>
      </c>
      <c r="W30" s="102">
        <f>MBunk_act!W$4</f>
        <v>4214.0093790000001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32058.280026</v>
      </c>
      <c r="H31" s="86">
        <f>MBunk_act!H$5</f>
        <v>40993.258184999999</v>
      </c>
      <c r="I31" s="86">
        <f>MBunk_act!I$5</f>
        <v>43779.383393000004</v>
      </c>
      <c r="J31" s="86">
        <f>MBunk_act!J$5</f>
        <v>47408.295203000001</v>
      </c>
      <c r="K31" s="86">
        <f>MBunk_act!K$5</f>
        <v>36224.024508000002</v>
      </c>
      <c r="L31" s="86">
        <f>MBunk_act!L$5</f>
        <v>44060.126511000002</v>
      </c>
      <c r="M31" s="86">
        <f>MBunk_act!M$5</f>
        <v>54585.439456</v>
      </c>
      <c r="N31" s="86">
        <f>MBunk_act!N$5</f>
        <v>51903.030959000003</v>
      </c>
      <c r="O31" s="86">
        <f>MBunk_act!O$5</f>
        <v>50998.147272999995</v>
      </c>
      <c r="P31" s="86">
        <f>MBunk_act!P$5</f>
        <v>54112.320436999995</v>
      </c>
      <c r="Q31" s="86">
        <f>MBunk_act!Q$5</f>
        <v>59575.881305999996</v>
      </c>
      <c r="R31" s="86">
        <f>MBunk_act!R$5</f>
        <v>62859.760680000007</v>
      </c>
      <c r="S31" s="86">
        <f>MBunk_act!S$5</f>
        <v>71799.918537999998</v>
      </c>
      <c r="T31" s="86">
        <f>MBunk_act!T$5</f>
        <v>81172.246994000001</v>
      </c>
      <c r="U31" s="86">
        <f>MBunk_act!U$5</f>
        <v>74403.390948</v>
      </c>
      <c r="V31" s="86">
        <f>MBunk_act!V$5</f>
        <v>63724.439201000001</v>
      </c>
      <c r="W31" s="86">
        <f>MBunk_act!W$5</f>
        <v>74780.520337999988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1111.2766576730721</v>
      </c>
      <c r="C34" s="28">
        <f t="shared" si="25"/>
        <v>1108.9757800470738</v>
      </c>
      <c r="D34" s="28">
        <f t="shared" si="25"/>
        <v>1130.0981179960345</v>
      </c>
      <c r="E34" s="28">
        <f t="shared" si="25"/>
        <v>1109.8407810659664</v>
      </c>
      <c r="F34" s="28">
        <f t="shared" si="25"/>
        <v>1069.3100423315154</v>
      </c>
      <c r="G34" s="28">
        <f t="shared" si="25"/>
        <v>1102.1365170369879</v>
      </c>
      <c r="H34" s="28">
        <f t="shared" si="25"/>
        <v>1128.6099744041326</v>
      </c>
      <c r="I34" s="28">
        <f t="shared" si="25"/>
        <v>1168.1321130472238</v>
      </c>
      <c r="J34" s="28">
        <f t="shared" si="25"/>
        <v>1249.5874011011538</v>
      </c>
      <c r="K34" s="28">
        <f t="shared" si="25"/>
        <v>1218.0446951756551</v>
      </c>
      <c r="L34" s="28">
        <f t="shared" si="25"/>
        <v>1235.2901693701317</v>
      </c>
      <c r="M34" s="28">
        <f t="shared" si="25"/>
        <v>1240.1337259448064</v>
      </c>
      <c r="N34" s="28">
        <f t="shared" si="25"/>
        <v>1206.8033471631825</v>
      </c>
      <c r="O34" s="28">
        <f t="shared" si="25"/>
        <v>1177.3572034724393</v>
      </c>
      <c r="P34" s="28">
        <f t="shared" si="25"/>
        <v>1171.0714069324199</v>
      </c>
      <c r="Q34" s="28">
        <f t="shared" si="25"/>
        <v>1178.4474808152852</v>
      </c>
      <c r="R34" s="28">
        <f t="shared" ref="R34:V34" si="26">R35+R39+R43</f>
        <v>1181.1994198467803</v>
      </c>
      <c r="S34" s="28">
        <f t="shared" si="26"/>
        <v>1222.542077778257</v>
      </c>
      <c r="T34" s="28">
        <f t="shared" si="26"/>
        <v>1261.6284926985513</v>
      </c>
      <c r="U34" s="28">
        <f t="shared" si="26"/>
        <v>1252.4937504837267</v>
      </c>
      <c r="V34" s="28">
        <f t="shared" si="26"/>
        <v>1038.1715920217327</v>
      </c>
      <c r="W34" s="28">
        <f t="shared" ref="W34" si="27">W35+W39+W43</f>
        <v>1120.342721811998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1076.2881987238461</v>
      </c>
      <c r="C35" s="137">
        <f t="shared" si="28"/>
        <v>1071.7304499514273</v>
      </c>
      <c r="D35" s="137">
        <f t="shared" si="28"/>
        <v>1090.2600181373434</v>
      </c>
      <c r="E35" s="137">
        <f t="shared" si="28"/>
        <v>1072.1990735727131</v>
      </c>
      <c r="F35" s="137">
        <f t="shared" si="28"/>
        <v>1037.6086496000084</v>
      </c>
      <c r="G35" s="137">
        <f t="shared" si="28"/>
        <v>1066.9639721875926</v>
      </c>
      <c r="H35" s="137">
        <f t="shared" si="28"/>
        <v>1091.3543582220395</v>
      </c>
      <c r="I35" s="137">
        <f t="shared" si="28"/>
        <v>1124.5922046861911</v>
      </c>
      <c r="J35" s="137">
        <f t="shared" si="28"/>
        <v>1202.5104497323584</v>
      </c>
      <c r="K35" s="137">
        <f t="shared" si="28"/>
        <v>1179.1667073200035</v>
      </c>
      <c r="L35" s="137">
        <f t="shared" si="28"/>
        <v>1196.9062243310509</v>
      </c>
      <c r="M35" s="137">
        <f t="shared" si="28"/>
        <v>1206.7909035358261</v>
      </c>
      <c r="N35" s="137">
        <f t="shared" si="28"/>
        <v>1173.5165011182048</v>
      </c>
      <c r="O35" s="137">
        <f t="shared" si="28"/>
        <v>1142.629926090626</v>
      </c>
      <c r="P35" s="137">
        <f t="shared" si="28"/>
        <v>1136.8271958730691</v>
      </c>
      <c r="Q35" s="137">
        <f t="shared" si="28"/>
        <v>1142.9382467550408</v>
      </c>
      <c r="R35" s="137">
        <f t="shared" ref="R35:V35" si="29">R36+R37+R38</f>
        <v>1149.8919564040209</v>
      </c>
      <c r="S35" s="137">
        <f t="shared" si="29"/>
        <v>1182.6895427782636</v>
      </c>
      <c r="T35" s="137">
        <f t="shared" si="29"/>
        <v>1216.0587228808349</v>
      </c>
      <c r="U35" s="137">
        <f t="shared" si="29"/>
        <v>1215.0904127198894</v>
      </c>
      <c r="V35" s="137">
        <f t="shared" si="29"/>
        <v>1021.1108721003529</v>
      </c>
      <c r="W35" s="137">
        <f t="shared" ref="W35" si="30">W36+W37+W38</f>
        <v>1099.6679981175462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3.5048616008928368</v>
      </c>
      <c r="C36" s="102">
        <f>TrRoad_ene!C$19</f>
        <v>3.2641469409512047</v>
      </c>
      <c r="D36" s="102">
        <f>TrRoad_ene!D$19</f>
        <v>3.2463997729536356</v>
      </c>
      <c r="E36" s="102">
        <f>TrRoad_ene!E$19</f>
        <v>3.8879599101297382</v>
      </c>
      <c r="F36" s="102">
        <f>TrRoad_ene!F$19</f>
        <v>4.3844514893517212</v>
      </c>
      <c r="G36" s="102">
        <f>TrRoad_ene!G$19</f>
        <v>4.8680124892804777</v>
      </c>
      <c r="H36" s="102">
        <f>TrRoad_ene!H$19</f>
        <v>5.4412514670035224</v>
      </c>
      <c r="I36" s="102">
        <f>TrRoad_ene!I$19</f>
        <v>6.0276658520105402</v>
      </c>
      <c r="J36" s="102">
        <f>TrRoad_ene!J$19</f>
        <v>6.44761370662372</v>
      </c>
      <c r="K36" s="102">
        <f>TrRoad_ene!K$19</f>
        <v>6.8806766844448619</v>
      </c>
      <c r="L36" s="102">
        <f>TrRoad_ene!L$19</f>
        <v>8.4202888182701585</v>
      </c>
      <c r="M36" s="102">
        <f>TrRoad_ene!M$19</f>
        <v>9.8299261846222734</v>
      </c>
      <c r="N36" s="102">
        <f>TrRoad_ene!N$19</f>
        <v>8.9521121332870663</v>
      </c>
      <c r="O36" s="102">
        <f>TrRoad_ene!O$19</f>
        <v>7.9218073734519425</v>
      </c>
      <c r="P36" s="102">
        <f>TrRoad_ene!P$19</f>
        <v>8.0256903687654795</v>
      </c>
      <c r="Q36" s="102">
        <f>TrRoad_ene!Q$19</f>
        <v>8.4973079713240498</v>
      </c>
      <c r="R36" s="102">
        <f>TrRoad_ene!R$19</f>
        <v>8.7828676570027167</v>
      </c>
      <c r="S36" s="102">
        <f>TrRoad_ene!S$19</f>
        <v>8.5065440862162358</v>
      </c>
      <c r="T36" s="102">
        <f>TrRoad_ene!T$19</f>
        <v>8.0776692624970661</v>
      </c>
      <c r="U36" s="102">
        <f>TrRoad_ene!U$19</f>
        <v>8.5034230857367081</v>
      </c>
      <c r="V36" s="102">
        <f>TrRoad_ene!V$19</f>
        <v>7.5884078745758092</v>
      </c>
      <c r="W36" s="102">
        <f>TrRoad_ene!W$19</f>
        <v>7.3811375297473711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993.38758348643591</v>
      </c>
      <c r="C37" s="102">
        <f>TrRoad_ene!C$21</f>
        <v>996.05964453381978</v>
      </c>
      <c r="D37" s="102">
        <f>TrRoad_ene!D$21</f>
        <v>1017.1713050260539</v>
      </c>
      <c r="E37" s="102">
        <f>TrRoad_ene!E$21</f>
        <v>1000.6097040025988</v>
      </c>
      <c r="F37" s="102">
        <f>TrRoad_ene!F$21</f>
        <v>964.10884409205778</v>
      </c>
      <c r="G37" s="102">
        <f>TrRoad_ene!G$21</f>
        <v>995.2801529818139</v>
      </c>
      <c r="H37" s="102">
        <f>TrRoad_ene!H$21</f>
        <v>1018.6355612844624</v>
      </c>
      <c r="I37" s="102">
        <f>TrRoad_ene!I$21</f>
        <v>1050.8199263475942</v>
      </c>
      <c r="J37" s="102">
        <f>TrRoad_ene!J$21</f>
        <v>1128.1187415472173</v>
      </c>
      <c r="K37" s="102">
        <f>TrRoad_ene!K$21</f>
        <v>1103.4056820568403</v>
      </c>
      <c r="L37" s="102">
        <f>TrRoad_ene!L$21</f>
        <v>1120.0169081715756</v>
      </c>
      <c r="M37" s="102">
        <f>TrRoad_ene!M$21</f>
        <v>1127.2355992623689</v>
      </c>
      <c r="N37" s="102">
        <f>TrRoad_ene!N$21</f>
        <v>1095.1812228773842</v>
      </c>
      <c r="O37" s="102">
        <f>TrRoad_ene!O$21</f>
        <v>1063.6559053752048</v>
      </c>
      <c r="P37" s="102">
        <f>TrRoad_ene!P$21</f>
        <v>1055.9071708990348</v>
      </c>
      <c r="Q37" s="102">
        <f>TrRoad_ene!Q$21</f>
        <v>1059.3210519153042</v>
      </c>
      <c r="R37" s="102">
        <f>TrRoad_ene!R$21</f>
        <v>1066.6024258996365</v>
      </c>
      <c r="S37" s="102">
        <f>TrRoad_ene!S$21</f>
        <v>1096.7055179476154</v>
      </c>
      <c r="T37" s="102">
        <f>TrRoad_ene!T$21</f>
        <v>1131.3973215485369</v>
      </c>
      <c r="U37" s="102">
        <f>TrRoad_ene!U$21</f>
        <v>1128.5259489317596</v>
      </c>
      <c r="V37" s="102">
        <f>TrRoad_ene!V$21</f>
        <v>964.99042592772184</v>
      </c>
      <c r="W37" s="102">
        <f>TrRoad_ene!W$21</f>
        <v>1034.6845905010771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79.395753636517497</v>
      </c>
      <c r="C38" s="102">
        <f>TrRoad_ene!C$33</f>
        <v>72.406658476656418</v>
      </c>
      <c r="D38" s="102">
        <f>TrRoad_ene!D$33</f>
        <v>69.842313338335913</v>
      </c>
      <c r="E38" s="102">
        <f>TrRoad_ene!E$33</f>
        <v>67.701409659984535</v>
      </c>
      <c r="F38" s="102">
        <f>TrRoad_ene!F$33</f>
        <v>69.115354018598921</v>
      </c>
      <c r="G38" s="102">
        <f>TrRoad_ene!G$33</f>
        <v>66.815806716498386</v>
      </c>
      <c r="H38" s="102">
        <f>TrRoad_ene!H$33</f>
        <v>67.277545470573557</v>
      </c>
      <c r="I38" s="102">
        <f>TrRoad_ene!I$33</f>
        <v>67.744612486586163</v>
      </c>
      <c r="J38" s="102">
        <f>TrRoad_ene!J$33</f>
        <v>67.944094478517414</v>
      </c>
      <c r="K38" s="102">
        <f>TrRoad_ene!K$33</f>
        <v>68.88034857871844</v>
      </c>
      <c r="L38" s="102">
        <f>TrRoad_ene!L$33</f>
        <v>68.469027341205191</v>
      </c>
      <c r="M38" s="102">
        <f>TrRoad_ene!M$33</f>
        <v>69.725378088834873</v>
      </c>
      <c r="N38" s="102">
        <f>TrRoad_ene!N$33</f>
        <v>69.38316610753354</v>
      </c>
      <c r="O38" s="102">
        <f>TrRoad_ene!O$33</f>
        <v>71.052213341969235</v>
      </c>
      <c r="P38" s="102">
        <f>TrRoad_ene!P$33</f>
        <v>72.89433460526871</v>
      </c>
      <c r="Q38" s="102">
        <f>TrRoad_ene!Q$33</f>
        <v>75.119886868412507</v>
      </c>
      <c r="R38" s="102">
        <f>TrRoad_ene!R$33</f>
        <v>74.506662847381648</v>
      </c>
      <c r="S38" s="102">
        <f>TrRoad_ene!S$33</f>
        <v>77.477480744431801</v>
      </c>
      <c r="T38" s="102">
        <f>TrRoad_ene!T$33</f>
        <v>76.58373206980103</v>
      </c>
      <c r="U38" s="102">
        <f>TrRoad_ene!U$33</f>
        <v>78.061040702393129</v>
      </c>
      <c r="V38" s="102">
        <f>TrRoad_ene!V$33</f>
        <v>48.532038298055191</v>
      </c>
      <c r="W38" s="102">
        <f>TrRoad_ene!W$33</f>
        <v>57.602270086721767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10.051627045338581</v>
      </c>
      <c r="C39" s="110">
        <f t="shared" si="31"/>
        <v>10.185715447296154</v>
      </c>
      <c r="D39" s="110">
        <f t="shared" si="31"/>
        <v>10.667740205291002</v>
      </c>
      <c r="E39" s="110">
        <f t="shared" si="31"/>
        <v>11.649298923777243</v>
      </c>
      <c r="F39" s="110">
        <f t="shared" si="31"/>
        <v>12.049685230210645</v>
      </c>
      <c r="G39" s="110">
        <f t="shared" si="31"/>
        <v>12.374959222250588</v>
      </c>
      <c r="H39" s="110">
        <f t="shared" si="31"/>
        <v>12.409900564473379</v>
      </c>
      <c r="I39" s="110">
        <f t="shared" si="31"/>
        <v>12.534541524171637</v>
      </c>
      <c r="J39" s="110">
        <f t="shared" si="31"/>
        <v>12.212136629553601</v>
      </c>
      <c r="K39" s="110">
        <f t="shared" si="31"/>
        <v>11.027853555571847</v>
      </c>
      <c r="L39" s="110">
        <f t="shared" si="31"/>
        <v>10.654275736947113</v>
      </c>
      <c r="M39" s="110">
        <f t="shared" si="31"/>
        <v>9.7181175221685301</v>
      </c>
      <c r="N39" s="110">
        <f t="shared" si="31"/>
        <v>9.7186416663566373</v>
      </c>
      <c r="O39" s="110">
        <f t="shared" si="31"/>
        <v>9.1175518782223861</v>
      </c>
      <c r="P39" s="110">
        <f t="shared" si="31"/>
        <v>8.5941169827497088</v>
      </c>
      <c r="Q39" s="110">
        <f t="shared" si="31"/>
        <v>9.89091092379158</v>
      </c>
      <c r="R39" s="110">
        <f t="shared" ref="R39:V39" si="32">R40+R41+R42</f>
        <v>9.7472827162942774</v>
      </c>
      <c r="S39" s="110">
        <f t="shared" si="32"/>
        <v>13.956054196754112</v>
      </c>
      <c r="T39" s="110">
        <f t="shared" si="32"/>
        <v>10.557468294180833</v>
      </c>
      <c r="U39" s="110">
        <f t="shared" si="32"/>
        <v>10.280523858243564</v>
      </c>
      <c r="V39" s="110">
        <f t="shared" si="32"/>
        <v>7.7582465541313583</v>
      </c>
      <c r="W39" s="110">
        <f t="shared" ref="W39" si="33">W40+W41+W42</f>
        <v>10.624556679215877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10.051627045338581</v>
      </c>
      <c r="C41" s="102">
        <f>TrRail_ene!C$13</f>
        <v>10.185715447296154</v>
      </c>
      <c r="D41" s="102">
        <f>TrRail_ene!D$13</f>
        <v>10.667740205291002</v>
      </c>
      <c r="E41" s="102">
        <f>TrRail_ene!E$13</f>
        <v>11.649298923777243</v>
      </c>
      <c r="F41" s="102">
        <f>TrRail_ene!F$13</f>
        <v>12.049685230210645</v>
      </c>
      <c r="G41" s="102">
        <f>TrRail_ene!G$13</f>
        <v>12.374959222250588</v>
      </c>
      <c r="H41" s="102">
        <f>TrRail_ene!H$13</f>
        <v>12.409900564473379</v>
      </c>
      <c r="I41" s="102">
        <f>TrRail_ene!I$13</f>
        <v>12.534541524171637</v>
      </c>
      <c r="J41" s="102">
        <f>TrRail_ene!J$13</f>
        <v>12.056528709440865</v>
      </c>
      <c r="K41" s="102">
        <f>TrRail_ene!K$13</f>
        <v>10.861625294380953</v>
      </c>
      <c r="L41" s="102">
        <f>TrRail_ene!L$13</f>
        <v>10.497490397584766</v>
      </c>
      <c r="M41" s="102">
        <f>TrRail_ene!M$13</f>
        <v>9.5843031308162203</v>
      </c>
      <c r="N41" s="102">
        <f>TrRail_ene!N$13</f>
        <v>9.5955438872300363</v>
      </c>
      <c r="O41" s="102">
        <f>TrRail_ene!O$13</f>
        <v>9.0059707658074863</v>
      </c>
      <c r="P41" s="102">
        <f>TrRail_ene!P$13</f>
        <v>8.5157750758600486</v>
      </c>
      <c r="Q41" s="102">
        <f>TrRail_ene!Q$13</f>
        <v>9.8331447456188528</v>
      </c>
      <c r="R41" s="102">
        <f>TrRail_ene!R$13</f>
        <v>9.7077114152105182</v>
      </c>
      <c r="S41" s="102">
        <f>TrRail_ene!S$13</f>
        <v>13.940440693755425</v>
      </c>
      <c r="T41" s="102">
        <f>TrRail_ene!T$13</f>
        <v>10.538431365120719</v>
      </c>
      <c r="U41" s="102">
        <f>TrRail_ene!U$13</f>
        <v>10.264025941984151</v>
      </c>
      <c r="V41" s="102">
        <f>TrRail_ene!V$13</f>
        <v>7.7481447303875441</v>
      </c>
      <c r="W41" s="102">
        <f>TrRail_ene!W$13</f>
        <v>9.9687860982096961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0.15560792011273678</v>
      </c>
      <c r="K42" s="102">
        <f>TrRail_ene!K$16</f>
        <v>0.16622826119089251</v>
      </c>
      <c r="L42" s="102">
        <f>TrRail_ene!L$16</f>
        <v>0.15678533936234818</v>
      </c>
      <c r="M42" s="102">
        <f>TrRail_ene!M$16</f>
        <v>0.13381439135230969</v>
      </c>
      <c r="N42" s="102">
        <f>TrRail_ene!N$16</f>
        <v>0.12309777912660166</v>
      </c>
      <c r="O42" s="102">
        <f>TrRail_ene!O$16</f>
        <v>0.1115811124148996</v>
      </c>
      <c r="P42" s="102">
        <f>TrRail_ene!P$16</f>
        <v>7.8341906889659529E-2</v>
      </c>
      <c r="Q42" s="102">
        <f>TrRail_ene!Q$16</f>
        <v>5.7766178172727667E-2</v>
      </c>
      <c r="R42" s="102">
        <f>TrRail_ene!R$16</f>
        <v>3.9571301083758628E-2</v>
      </c>
      <c r="S42" s="102">
        <f>TrRail_ene!S$16</f>
        <v>1.5613502998687223E-2</v>
      </c>
      <c r="T42" s="102">
        <f>TrRail_ene!T$16</f>
        <v>1.9036929060114515E-2</v>
      </c>
      <c r="U42" s="102">
        <f>TrRail_ene!U$16</f>
        <v>1.6497916259412982E-2</v>
      </c>
      <c r="V42" s="102">
        <f>TrRail_ene!V$16</f>
        <v>1.0101823743813772E-2</v>
      </c>
      <c r="W42" s="102">
        <f>TrRail_ene!W$16</f>
        <v>0.6557705810061798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24.936831903887402</v>
      </c>
      <c r="C43" s="110">
        <f t="shared" si="34"/>
        <v>27.059614648350291</v>
      </c>
      <c r="D43" s="110">
        <f t="shared" si="34"/>
        <v>29.170359653400137</v>
      </c>
      <c r="E43" s="110">
        <f t="shared" si="34"/>
        <v>25.992408569476137</v>
      </c>
      <c r="F43" s="110">
        <f t="shared" si="34"/>
        <v>19.651707501296414</v>
      </c>
      <c r="G43" s="110">
        <f t="shared" si="34"/>
        <v>22.797585627144763</v>
      </c>
      <c r="H43" s="110">
        <f t="shared" si="34"/>
        <v>24.845715617619568</v>
      </c>
      <c r="I43" s="110">
        <f t="shared" si="34"/>
        <v>31.005366836861164</v>
      </c>
      <c r="J43" s="110">
        <f t="shared" si="34"/>
        <v>34.864814739241702</v>
      </c>
      <c r="K43" s="110">
        <f t="shared" si="34"/>
        <v>27.850134300079667</v>
      </c>
      <c r="L43" s="110">
        <f t="shared" si="34"/>
        <v>27.729669302133804</v>
      </c>
      <c r="M43" s="110">
        <f t="shared" si="34"/>
        <v>23.624704886811777</v>
      </c>
      <c r="N43" s="110">
        <f t="shared" si="34"/>
        <v>23.568204378621051</v>
      </c>
      <c r="O43" s="110">
        <f t="shared" si="34"/>
        <v>25.609725503590777</v>
      </c>
      <c r="P43" s="110">
        <f t="shared" si="34"/>
        <v>25.650094076601142</v>
      </c>
      <c r="Q43" s="110">
        <f t="shared" si="34"/>
        <v>25.618323136452769</v>
      </c>
      <c r="R43" s="110">
        <f t="shared" ref="R43:V43" si="35">R44+R45+R46</f>
        <v>21.560180726465227</v>
      </c>
      <c r="S43" s="110">
        <f t="shared" si="35"/>
        <v>25.896480803239328</v>
      </c>
      <c r="T43" s="110">
        <f t="shared" si="35"/>
        <v>35.012301523535697</v>
      </c>
      <c r="U43" s="110">
        <f t="shared" si="35"/>
        <v>27.122813905593539</v>
      </c>
      <c r="V43" s="110">
        <f t="shared" si="35"/>
        <v>9.3024733672484956</v>
      </c>
      <c r="W43" s="110">
        <f t="shared" ref="W43" si="36">W44+W45+W46</f>
        <v>10.050167015235909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14.640956433084042</v>
      </c>
      <c r="C45" s="102">
        <f>TrAvia_ene!C$8</f>
        <v>15.88590495126105</v>
      </c>
      <c r="D45" s="102">
        <f>TrAvia_ene!D$8</f>
        <v>17.126258744557013</v>
      </c>
      <c r="E45" s="102">
        <f>TrAvia_ene!E$8</f>
        <v>15.261153865241518</v>
      </c>
      <c r="F45" s="102">
        <f>TrAvia_ene!F$8</f>
        <v>11.538123539582923</v>
      </c>
      <c r="G45" s="102">
        <f>TrAvia_ene!G$8</f>
        <v>13.59444081287169</v>
      </c>
      <c r="H45" s="102">
        <f>TrAvia_ene!H$8</f>
        <v>15.182495475952896</v>
      </c>
      <c r="I45" s="102">
        <f>TrAvia_ene!I$8</f>
        <v>19.088977143802211</v>
      </c>
      <c r="J45" s="102">
        <f>TrAvia_ene!J$8</f>
        <v>21.0189191421419</v>
      </c>
      <c r="K45" s="102">
        <f>TrAvia_ene!K$8</f>
        <v>16.252508127406614</v>
      </c>
      <c r="L45" s="102">
        <f>TrAvia_ene!L$8</f>
        <v>15.945923777562603</v>
      </c>
      <c r="M45" s="102">
        <f>TrAvia_ene!M$8</f>
        <v>13.536123960423055</v>
      </c>
      <c r="N45" s="102">
        <f>TrAvia_ene!N$8</f>
        <v>13.317610558231005</v>
      </c>
      <c r="O45" s="102">
        <f>TrAvia_ene!O$8</f>
        <v>14.573333720008801</v>
      </c>
      <c r="P45" s="102">
        <f>TrAvia_ene!P$8</f>
        <v>14.635541865433199</v>
      </c>
      <c r="Q45" s="102">
        <f>TrAvia_ene!Q$8</f>
        <v>14.829245092168273</v>
      </c>
      <c r="R45" s="102">
        <f>TrAvia_ene!R$8</f>
        <v>12.841127186626652</v>
      </c>
      <c r="S45" s="102">
        <f>TrAvia_ene!S$8</f>
        <v>15.919443772525339</v>
      </c>
      <c r="T45" s="102">
        <f>TrAvia_ene!T$8</f>
        <v>21.402679690475118</v>
      </c>
      <c r="U45" s="102">
        <f>TrAvia_ene!U$8</f>
        <v>16.1653443724481</v>
      </c>
      <c r="V45" s="102">
        <f>TrAvia_ene!V$8</f>
        <v>4.7789958642117139</v>
      </c>
      <c r="W45" s="102">
        <f>TrAvia_ene!W$8</f>
        <v>5.553004480477715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10.295875470803361</v>
      </c>
      <c r="C46" s="102">
        <f>TrAvia_ene!C$9</f>
        <v>11.173709697089242</v>
      </c>
      <c r="D46" s="102">
        <f>TrAvia_ene!D$9</f>
        <v>12.044100908843124</v>
      </c>
      <c r="E46" s="102">
        <f>TrAvia_ene!E$9</f>
        <v>10.731254704234619</v>
      </c>
      <c r="F46" s="102">
        <f>TrAvia_ene!F$9</f>
        <v>8.1135839617134895</v>
      </c>
      <c r="G46" s="102">
        <f>TrAvia_ene!G$9</f>
        <v>9.2031448142730703</v>
      </c>
      <c r="H46" s="102">
        <f>TrAvia_ene!H$9</f>
        <v>9.6632201416666703</v>
      </c>
      <c r="I46" s="102">
        <f>TrAvia_ene!I$9</f>
        <v>11.916389693058951</v>
      </c>
      <c r="J46" s="102">
        <f>TrAvia_ene!J$9</f>
        <v>13.845895597099803</v>
      </c>
      <c r="K46" s="102">
        <f>TrAvia_ene!K$9</f>
        <v>11.597626172673051</v>
      </c>
      <c r="L46" s="102">
        <f>TrAvia_ene!L$9</f>
        <v>11.7837455245712</v>
      </c>
      <c r="M46" s="102">
        <f>TrAvia_ene!M$9</f>
        <v>10.088580926388721</v>
      </c>
      <c r="N46" s="102">
        <f>TrAvia_ene!N$9</f>
        <v>10.250593820390046</v>
      </c>
      <c r="O46" s="102">
        <f>TrAvia_ene!O$9</f>
        <v>11.036391783581976</v>
      </c>
      <c r="P46" s="102">
        <f>TrAvia_ene!P$9</f>
        <v>11.014552211167944</v>
      </c>
      <c r="Q46" s="102">
        <f>TrAvia_ene!Q$9</f>
        <v>10.789078044284496</v>
      </c>
      <c r="R46" s="102">
        <f>TrAvia_ene!R$9</f>
        <v>8.7190535398385745</v>
      </c>
      <c r="S46" s="102">
        <f>TrAvia_ene!S$9</f>
        <v>9.9770370307139888</v>
      </c>
      <c r="T46" s="102">
        <f>TrAvia_ene!T$9</f>
        <v>13.609621833060578</v>
      </c>
      <c r="U46" s="102">
        <f>TrAvia_ene!U$9</f>
        <v>10.95746953314544</v>
      </c>
      <c r="V46" s="102">
        <f>TrAvia_ene!V$9</f>
        <v>4.5234775030367809</v>
      </c>
      <c r="W46" s="102">
        <f>TrAvia_ene!W$9</f>
        <v>4.4971625347581936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126.47536296321326</v>
      </c>
      <c r="C47" s="28">
        <f t="shared" si="37"/>
        <v>183.22112451010571</v>
      </c>
      <c r="D47" s="28">
        <f t="shared" si="37"/>
        <v>199.55691209854828</v>
      </c>
      <c r="E47" s="28">
        <f t="shared" si="37"/>
        <v>233.89902976808327</v>
      </c>
      <c r="F47" s="28">
        <f t="shared" si="37"/>
        <v>323.93776506315345</v>
      </c>
      <c r="G47" s="28">
        <f t="shared" si="37"/>
        <v>381.82977703007992</v>
      </c>
      <c r="H47" s="28">
        <f t="shared" si="37"/>
        <v>423.87282869131025</v>
      </c>
      <c r="I47" s="28">
        <f t="shared" si="37"/>
        <v>593.53693252457322</v>
      </c>
      <c r="J47" s="28">
        <f t="shared" si="37"/>
        <v>819.80700990486525</v>
      </c>
      <c r="K47" s="28">
        <f t="shared" si="37"/>
        <v>527.78918272632234</v>
      </c>
      <c r="L47" s="28">
        <f t="shared" si="37"/>
        <v>569.34800775798544</v>
      </c>
      <c r="M47" s="28">
        <f t="shared" si="37"/>
        <v>664.3281818161463</v>
      </c>
      <c r="N47" s="28">
        <f t="shared" si="37"/>
        <v>714.56213011203465</v>
      </c>
      <c r="O47" s="28">
        <f t="shared" si="37"/>
        <v>656.59783162988583</v>
      </c>
      <c r="P47" s="28">
        <f t="shared" si="37"/>
        <v>648.42204920714187</v>
      </c>
      <c r="Q47" s="28">
        <f t="shared" si="37"/>
        <v>618.56511937962318</v>
      </c>
      <c r="R47" s="28">
        <f t="shared" ref="R47:V47" si="38">R48+R51+R52+R56</f>
        <v>721.76956684315405</v>
      </c>
      <c r="S47" s="28">
        <f t="shared" si="38"/>
        <v>737.19162686263769</v>
      </c>
      <c r="T47" s="28">
        <f t="shared" si="38"/>
        <v>747.70987539322539</v>
      </c>
      <c r="U47" s="28">
        <f t="shared" si="38"/>
        <v>700.80960066632429</v>
      </c>
      <c r="V47" s="28">
        <f t="shared" si="38"/>
        <v>554.43596370240118</v>
      </c>
      <c r="W47" s="28">
        <f t="shared" ref="W47" si="39">W48+W51+W52+W56</f>
        <v>689.47758623192567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112.24722689954157</v>
      </c>
      <c r="C48" s="137">
        <f t="shared" si="40"/>
        <v>167.9394554655974</v>
      </c>
      <c r="D48" s="137">
        <f t="shared" si="40"/>
        <v>183.30447025474587</v>
      </c>
      <c r="E48" s="137">
        <f t="shared" si="40"/>
        <v>218.26618868008129</v>
      </c>
      <c r="F48" s="137">
        <f t="shared" si="40"/>
        <v>307.82462641030975</v>
      </c>
      <c r="G48" s="137">
        <f t="shared" si="40"/>
        <v>365.42596762324138</v>
      </c>
      <c r="H48" s="137">
        <f t="shared" si="40"/>
        <v>407.47410265500253</v>
      </c>
      <c r="I48" s="137">
        <f t="shared" si="40"/>
        <v>576.46394320718821</v>
      </c>
      <c r="J48" s="137">
        <f t="shared" si="40"/>
        <v>805.18628285577586</v>
      </c>
      <c r="K48" s="137">
        <f t="shared" si="40"/>
        <v>516.79184814001337</v>
      </c>
      <c r="L48" s="137">
        <f t="shared" si="40"/>
        <v>556.39489346774565</v>
      </c>
      <c r="M48" s="137">
        <f t="shared" si="40"/>
        <v>650.07814094051787</v>
      </c>
      <c r="N48" s="137">
        <f t="shared" si="40"/>
        <v>701.7034903444586</v>
      </c>
      <c r="O48" s="137">
        <f t="shared" si="40"/>
        <v>642.59793790249864</v>
      </c>
      <c r="P48" s="137">
        <f t="shared" si="40"/>
        <v>632.17726628540936</v>
      </c>
      <c r="Q48" s="137">
        <f t="shared" si="40"/>
        <v>603.39868705981598</v>
      </c>
      <c r="R48" s="137">
        <f t="shared" ref="R48:V48" si="41">R49+R50</f>
        <v>707.30626502366079</v>
      </c>
      <c r="S48" s="137">
        <f t="shared" si="41"/>
        <v>721.96221861241622</v>
      </c>
      <c r="T48" s="137">
        <f t="shared" si="41"/>
        <v>729.83613704241225</v>
      </c>
      <c r="U48" s="137">
        <f t="shared" si="41"/>
        <v>684.09256009826106</v>
      </c>
      <c r="V48" s="137">
        <f t="shared" si="41"/>
        <v>538.76134398491604</v>
      </c>
      <c r="W48" s="137">
        <f t="shared" ref="W48" si="42">W49+W50</f>
        <v>673.36993675354859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40.95258321300895</v>
      </c>
      <c r="C49" s="102">
        <f>TrRoad_ene!C$43</f>
        <v>42.861922762211684</v>
      </c>
      <c r="D49" s="102">
        <f>TrRoad_ene!D$43</f>
        <v>46.132291247043604</v>
      </c>
      <c r="E49" s="102">
        <f>TrRoad_ene!E$43</f>
        <v>49.869219755552926</v>
      </c>
      <c r="F49" s="102">
        <f>TrRoad_ene!F$43</f>
        <v>56.246161998626874</v>
      </c>
      <c r="G49" s="102">
        <f>TrRoad_ene!G$43</f>
        <v>61.838011057189568</v>
      </c>
      <c r="H49" s="102">
        <f>TrRoad_ene!H$43</f>
        <v>67.66944793721315</v>
      </c>
      <c r="I49" s="102">
        <f>TrRoad_ene!I$43</f>
        <v>77.775479115115971</v>
      </c>
      <c r="J49" s="102">
        <f>TrRoad_ene!J$43</f>
        <v>86.336921964942533</v>
      </c>
      <c r="K49" s="102">
        <f>TrRoad_ene!K$43</f>
        <v>90.045548894792034</v>
      </c>
      <c r="L49" s="102">
        <f>TrRoad_ene!L$43</f>
        <v>91.710521036967236</v>
      </c>
      <c r="M49" s="102">
        <f>TrRoad_ene!M$43</f>
        <v>96.186585255193052</v>
      </c>
      <c r="N49" s="102">
        <f>TrRoad_ene!N$43</f>
        <v>97.195868196181138</v>
      </c>
      <c r="O49" s="102">
        <f>TrRoad_ene!O$43</f>
        <v>99.590072940178715</v>
      </c>
      <c r="P49" s="102">
        <f>TrRoad_ene!P$43</f>
        <v>104.64832737552766</v>
      </c>
      <c r="Q49" s="102">
        <f>TrRoad_ene!Q$43</f>
        <v>110.05579881219303</v>
      </c>
      <c r="R49" s="102">
        <f>TrRoad_ene!R$43</f>
        <v>115.65978288483223</v>
      </c>
      <c r="S49" s="102">
        <f>TrRoad_ene!S$43</f>
        <v>122.15912575796698</v>
      </c>
      <c r="T49" s="102">
        <f>TrRoad_ene!T$43</f>
        <v>129.44926321622916</v>
      </c>
      <c r="U49" s="102">
        <f>TrRoad_ene!U$43</f>
        <v>136.46911455283109</v>
      </c>
      <c r="V49" s="102">
        <f>TrRoad_ene!V$43</f>
        <v>141.24376875847886</v>
      </c>
      <c r="W49" s="102">
        <f>TrRoad_ene!W$43</f>
        <v>140.47367785192318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71.294643686532623</v>
      </c>
      <c r="C50" s="102">
        <f>TrRoad_ene!C$52</f>
        <v>125.07753270338571</v>
      </c>
      <c r="D50" s="102">
        <f>TrRoad_ene!D$52</f>
        <v>137.17217900770225</v>
      </c>
      <c r="E50" s="102">
        <f>TrRoad_ene!E$52</f>
        <v>168.39696892452835</v>
      </c>
      <c r="F50" s="102">
        <f>TrRoad_ene!F$52</f>
        <v>251.57846441168289</v>
      </c>
      <c r="G50" s="102">
        <f>TrRoad_ene!G$52</f>
        <v>303.58795656605179</v>
      </c>
      <c r="H50" s="102">
        <f>TrRoad_ene!H$52</f>
        <v>339.80465471778939</v>
      </c>
      <c r="I50" s="102">
        <f>TrRoad_ene!I$52</f>
        <v>498.68846409207225</v>
      </c>
      <c r="J50" s="102">
        <f>TrRoad_ene!J$52</f>
        <v>718.84936089083328</v>
      </c>
      <c r="K50" s="102">
        <f>TrRoad_ene!K$52</f>
        <v>426.74629924522139</v>
      </c>
      <c r="L50" s="102">
        <f>TrRoad_ene!L$52</f>
        <v>464.68437243077841</v>
      </c>
      <c r="M50" s="102">
        <f>TrRoad_ene!M$52</f>
        <v>553.89155568532476</v>
      </c>
      <c r="N50" s="102">
        <f>TrRoad_ene!N$52</f>
        <v>604.50762214827751</v>
      </c>
      <c r="O50" s="102">
        <f>TrRoad_ene!O$52</f>
        <v>543.0078649623199</v>
      </c>
      <c r="P50" s="102">
        <f>TrRoad_ene!P$52</f>
        <v>527.52893890988173</v>
      </c>
      <c r="Q50" s="102">
        <f>TrRoad_ene!Q$52</f>
        <v>493.34288824762297</v>
      </c>
      <c r="R50" s="102">
        <f>TrRoad_ene!R$52</f>
        <v>591.64648213882856</v>
      </c>
      <c r="S50" s="102">
        <f>TrRoad_ene!S$52</f>
        <v>599.80309285444923</v>
      </c>
      <c r="T50" s="102">
        <f>TrRoad_ene!T$52</f>
        <v>600.38687382618309</v>
      </c>
      <c r="U50" s="102">
        <f>TrRoad_ene!U$52</f>
        <v>547.62344554542995</v>
      </c>
      <c r="V50" s="102">
        <f>TrRoad_ene!V$52</f>
        <v>397.5175752264372</v>
      </c>
      <c r="W50" s="102">
        <f>TrRoad_ene!W$52</f>
        <v>532.8962589016254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13.885518268504921</v>
      </c>
      <c r="C51" s="110">
        <f>TrRail_ene!C$17</f>
        <v>14.955213185549926</v>
      </c>
      <c r="D51" s="110">
        <f>TrRail_ene!D$17</f>
        <v>15.930110181639346</v>
      </c>
      <c r="E51" s="110">
        <f>TrRail_ene!E$17</f>
        <v>15.292489554296697</v>
      </c>
      <c r="F51" s="110">
        <f>TrRail_ene!F$17</f>
        <v>15.751948475722285</v>
      </c>
      <c r="G51" s="110">
        <f>TrRail_ene!G$17</f>
        <v>16.028566143183625</v>
      </c>
      <c r="H51" s="110">
        <f>TrRail_ene!H$17</f>
        <v>15.964991954873131</v>
      </c>
      <c r="I51" s="110">
        <f>TrRail_ene!I$17</f>
        <v>15.840350995174873</v>
      </c>
      <c r="J51" s="110">
        <f>TrRail_ene!J$17</f>
        <v>14.127760189019051</v>
      </c>
      <c r="K51" s="110">
        <f>TrRail_ene!K$17</f>
        <v>10.769222970653429</v>
      </c>
      <c r="L51" s="110">
        <f>TrRail_ene!L$17</f>
        <v>12.604537676638438</v>
      </c>
      <c r="M51" s="110">
        <f>TrRail_ene!M$17</f>
        <v>13.956259090041268</v>
      </c>
      <c r="N51" s="110">
        <f>TrRail_ene!N$17</f>
        <v>12.508357473798135</v>
      </c>
      <c r="O51" s="110">
        <f>TrRail_ene!O$17</f>
        <v>13.611252936910894</v>
      </c>
      <c r="P51" s="110">
        <f>TrRail_ene!P$17</f>
        <v>15.896510704266632</v>
      </c>
      <c r="Q51" s="110">
        <f>TrRail_ene!Q$17</f>
        <v>14.78638916219294</v>
      </c>
      <c r="R51" s="110">
        <f>TrRail_ene!R$17</f>
        <v>14.184875495227654</v>
      </c>
      <c r="S51" s="110">
        <f>TrRail_ene!S$17</f>
        <v>14.762518460167634</v>
      </c>
      <c r="T51" s="110">
        <f>TrRail_ene!T$17</f>
        <v>17.337974526111513</v>
      </c>
      <c r="U51" s="110">
        <f>TrRail_ene!U$17</f>
        <v>16.339854473656693</v>
      </c>
      <c r="V51" s="110">
        <f>TrRail_ene!V$17</f>
        <v>15.030145535292544</v>
      </c>
      <c r="W51" s="110">
        <f>TrRail_ene!W$17</f>
        <v>15.465211162572599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0.34261779516676527</v>
      </c>
      <c r="C52" s="110">
        <f t="shared" si="43"/>
        <v>0.32645585895838836</v>
      </c>
      <c r="D52" s="110">
        <f t="shared" si="43"/>
        <v>0.32233166216306752</v>
      </c>
      <c r="E52" s="110">
        <f t="shared" si="43"/>
        <v>0.34035153370528415</v>
      </c>
      <c r="F52" s="110">
        <f t="shared" si="43"/>
        <v>0.36119017712146373</v>
      </c>
      <c r="G52" s="110">
        <f t="shared" si="43"/>
        <v>0.37524326365488547</v>
      </c>
      <c r="H52" s="110">
        <f t="shared" si="43"/>
        <v>0.4337340814346019</v>
      </c>
      <c r="I52" s="110">
        <f t="shared" si="43"/>
        <v>1.2326383222102011</v>
      </c>
      <c r="J52" s="110">
        <f t="shared" si="43"/>
        <v>0.49296686007042068</v>
      </c>
      <c r="K52" s="110">
        <f t="shared" si="43"/>
        <v>0.22811161565550164</v>
      </c>
      <c r="L52" s="110">
        <f t="shared" si="43"/>
        <v>0.34857661360137265</v>
      </c>
      <c r="M52" s="110">
        <f t="shared" si="43"/>
        <v>0.29378178558719542</v>
      </c>
      <c r="N52" s="110">
        <f t="shared" si="43"/>
        <v>0.35028229377791703</v>
      </c>
      <c r="O52" s="110">
        <f t="shared" si="43"/>
        <v>0.38864079047628591</v>
      </c>
      <c r="P52" s="110">
        <f t="shared" si="43"/>
        <v>0.34827221746591996</v>
      </c>
      <c r="Q52" s="110">
        <f t="shared" si="43"/>
        <v>0.38004315761429314</v>
      </c>
      <c r="R52" s="110">
        <f t="shared" si="43"/>
        <v>0.27842632426564218</v>
      </c>
      <c r="S52" s="110">
        <f t="shared" si="43"/>
        <v>0.46688979005386816</v>
      </c>
      <c r="T52" s="110">
        <f t="shared" si="43"/>
        <v>0.53576382470162287</v>
      </c>
      <c r="U52" s="110">
        <f t="shared" si="43"/>
        <v>0.37718609440645889</v>
      </c>
      <c r="V52" s="110">
        <f t="shared" si="43"/>
        <v>0.64447418219260744</v>
      </c>
      <c r="W52" s="110">
        <f t="shared" ref="W52" si="44">W53+W54+W55</f>
        <v>0.64243831580450195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0.18124710704418967</v>
      </c>
      <c r="C54" s="102">
        <f>TrAvia_ene!C$12</f>
        <v>0.15689592440109687</v>
      </c>
      <c r="D54" s="102">
        <f>TrAvia_ene!D$12</f>
        <v>0.13662482793769057</v>
      </c>
      <c r="E54" s="102">
        <f>TrAvia_ene!E$12</f>
        <v>0.11495502740403626</v>
      </c>
      <c r="F54" s="102">
        <f>TrAvia_ene!F$12</f>
        <v>0.11319683002656823</v>
      </c>
      <c r="G54" s="102">
        <f>TrAvia_ene!G$12</f>
        <v>0.12919575691863072</v>
      </c>
      <c r="H54" s="102">
        <f>TrAvia_ene!H$12</f>
        <v>0.27570780910568271</v>
      </c>
      <c r="I54" s="102">
        <f>TrAvia_ene!I$12</f>
        <v>1.1227256413143081</v>
      </c>
      <c r="J54" s="102">
        <f>TrAvia_ene!J$12</f>
        <v>0.41777657946573199</v>
      </c>
      <c r="K54" s="102">
        <f>TrAvia_ene!K$12</f>
        <v>0.19610110648513795</v>
      </c>
      <c r="L54" s="102">
        <f>TrAvia_ene!L$12</f>
        <v>0.32109789691331725</v>
      </c>
      <c r="M54" s="102">
        <f>TrAvia_ene!M$12</f>
        <v>0.26872945815298915</v>
      </c>
      <c r="N54" s="102">
        <f>TrAvia_ene!N$12</f>
        <v>0.3267138335071913</v>
      </c>
      <c r="O54" s="102">
        <f>TrAvia_ene!O$12</f>
        <v>0.36404142770274639</v>
      </c>
      <c r="P54" s="102">
        <f>TrAvia_ene!P$12</f>
        <v>0.32541786895008606</v>
      </c>
      <c r="Q54" s="102">
        <f>TrAvia_ene!Q$12</f>
        <v>0.36801022148018442</v>
      </c>
      <c r="R54" s="102">
        <f>TrAvia_ene!R$12</f>
        <v>0.2670996045473899</v>
      </c>
      <c r="S54" s="102">
        <f>TrAvia_ene!S$12</f>
        <v>0.44299309143189025</v>
      </c>
      <c r="T54" s="102">
        <f>TrAvia_ene!T$12</f>
        <v>0.50270281496934999</v>
      </c>
      <c r="U54" s="102">
        <f>TrAvia_ene!U$12</f>
        <v>0.34943893202043497</v>
      </c>
      <c r="V54" s="102">
        <f>TrAvia_ene!V$12</f>
        <v>0.58236437509620465</v>
      </c>
      <c r="W54" s="102">
        <f>TrAvia_ene!W$12</f>
        <v>0.58976307479443846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0.16137068812257563</v>
      </c>
      <c r="C55" s="102">
        <f>TrAvia_ene!C$13</f>
        <v>0.16955993455729151</v>
      </c>
      <c r="D55" s="102">
        <f>TrAvia_ene!D$13</f>
        <v>0.18570683422537693</v>
      </c>
      <c r="E55" s="102">
        <f>TrAvia_ene!E$13</f>
        <v>0.22539650630124791</v>
      </c>
      <c r="F55" s="102">
        <f>TrAvia_ene!F$13</f>
        <v>0.24799334709489548</v>
      </c>
      <c r="G55" s="102">
        <f>TrAvia_ene!G$13</f>
        <v>0.24604750673625472</v>
      </c>
      <c r="H55" s="102">
        <f>TrAvia_ene!H$13</f>
        <v>0.15802627232891917</v>
      </c>
      <c r="I55" s="102">
        <f>TrAvia_ene!I$13</f>
        <v>0.10991268089589294</v>
      </c>
      <c r="J55" s="102">
        <f>TrAvia_ene!J$13</f>
        <v>7.51902806046887E-2</v>
      </c>
      <c r="K55" s="102">
        <f>TrAvia_ene!K$13</f>
        <v>3.2010509170363688E-2</v>
      </c>
      <c r="L55" s="102">
        <f>TrAvia_ene!L$13</f>
        <v>2.7478716688055415E-2</v>
      </c>
      <c r="M55" s="102">
        <f>TrAvia_ene!M$13</f>
        <v>2.5052327434206254E-2</v>
      </c>
      <c r="N55" s="102">
        <f>TrAvia_ene!N$13</f>
        <v>2.3568460270725726E-2</v>
      </c>
      <c r="O55" s="102">
        <f>TrAvia_ene!O$13</f>
        <v>2.4599362773539538E-2</v>
      </c>
      <c r="P55" s="102">
        <f>TrAvia_ene!P$13</f>
        <v>2.2854348515833917E-2</v>
      </c>
      <c r="Q55" s="102">
        <f>TrAvia_ene!Q$13</f>
        <v>1.2032936134108742E-2</v>
      </c>
      <c r="R55" s="102">
        <f>TrAvia_ene!R$13</f>
        <v>1.1326719718252259E-2</v>
      </c>
      <c r="S55" s="102">
        <f>TrAvia_ene!S$13</f>
        <v>2.3896698621977921E-2</v>
      </c>
      <c r="T55" s="102">
        <f>TrAvia_ene!T$13</f>
        <v>3.3061009732272911E-2</v>
      </c>
      <c r="U55" s="102">
        <f>TrAvia_ene!U$13</f>
        <v>2.7747162386023906E-2</v>
      </c>
      <c r="V55" s="102">
        <f>TrAvia_ene!V$13</f>
        <v>6.210980709640284E-2</v>
      </c>
      <c r="W55" s="102">
        <f>TrAvia_ene!W$13</f>
        <v>5.2675241010063462E-2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0</v>
      </c>
      <c r="H56" s="110">
        <f t="shared" si="45"/>
        <v>0</v>
      </c>
      <c r="I56" s="110">
        <f t="shared" si="45"/>
        <v>0</v>
      </c>
      <c r="J56" s="110">
        <f t="shared" si="45"/>
        <v>0</v>
      </c>
      <c r="K56" s="110">
        <f t="shared" si="45"/>
        <v>0</v>
      </c>
      <c r="L56" s="110">
        <f t="shared" si="45"/>
        <v>0</v>
      </c>
      <c r="M56" s="110">
        <f t="shared" si="45"/>
        <v>0</v>
      </c>
      <c r="N56" s="110">
        <f t="shared" si="45"/>
        <v>0</v>
      </c>
      <c r="O56" s="110">
        <f t="shared" si="45"/>
        <v>0</v>
      </c>
      <c r="P56" s="110">
        <f t="shared" si="45"/>
        <v>0</v>
      </c>
      <c r="Q56" s="110">
        <f t="shared" si="45"/>
        <v>0</v>
      </c>
      <c r="R56" s="110">
        <f t="shared" ref="R56:V56" si="46">R57+R58</f>
        <v>0</v>
      </c>
      <c r="S56" s="110">
        <f t="shared" si="46"/>
        <v>0</v>
      </c>
      <c r="T56" s="110">
        <f t="shared" si="46"/>
        <v>0</v>
      </c>
      <c r="U56" s="110">
        <f t="shared" si="46"/>
        <v>0</v>
      </c>
      <c r="V56" s="110">
        <f t="shared" si="46"/>
        <v>0</v>
      </c>
      <c r="W56" s="110">
        <f t="shared" ref="W56" si="47">W57+W58</f>
        <v>0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21.228632846087699</v>
      </c>
      <c r="H59" s="28">
        <f t="shared" si="48"/>
        <v>28.948151332760101</v>
      </c>
      <c r="I59" s="28">
        <f t="shared" si="48"/>
        <v>48.192433361994844</v>
      </c>
      <c r="J59" s="28">
        <f t="shared" si="48"/>
        <v>65.803009458297495</v>
      </c>
      <c r="K59" s="28">
        <f t="shared" si="48"/>
        <v>32.460103181427343</v>
      </c>
      <c r="L59" s="28">
        <f t="shared" si="48"/>
        <v>18.679621668099738</v>
      </c>
      <c r="M59" s="28">
        <f t="shared" si="48"/>
        <v>32.405674978503868</v>
      </c>
      <c r="N59" s="28">
        <f t="shared" si="48"/>
        <v>50.05477214101461</v>
      </c>
      <c r="O59" s="28">
        <f t="shared" si="48"/>
        <v>60.844969905417017</v>
      </c>
      <c r="P59" s="28">
        <f t="shared" si="48"/>
        <v>56.898710232158209</v>
      </c>
      <c r="Q59" s="28">
        <f t="shared" si="48"/>
        <v>63.720722269991398</v>
      </c>
      <c r="R59" s="28">
        <f t="shared" si="48"/>
        <v>121.55064488392088</v>
      </c>
      <c r="S59" s="28">
        <f t="shared" si="48"/>
        <v>154.19406706792779</v>
      </c>
      <c r="T59" s="28">
        <f t="shared" si="48"/>
        <v>225.41092003439374</v>
      </c>
      <c r="U59" s="28">
        <f t="shared" si="48"/>
        <v>190.44746345657776</v>
      </c>
      <c r="V59" s="28">
        <f t="shared" si="48"/>
        <v>115.44995700773856</v>
      </c>
      <c r="W59" s="28">
        <f t="shared" si="48"/>
        <v>85.820722269991407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7.4330211187058008</v>
      </c>
      <c r="H60" s="102">
        <f>MBunk_ene!H$4</f>
        <v>10.062367695515793</v>
      </c>
      <c r="I60" s="102">
        <f>MBunk_ene!I$4</f>
        <v>16.051287662811976</v>
      </c>
      <c r="J60" s="102">
        <f>MBunk_ene!J$4</f>
        <v>21.92448386567435</v>
      </c>
      <c r="K60" s="102">
        <f>MBunk_ene!K$4</f>
        <v>11.121121458960452</v>
      </c>
      <c r="L60" s="102">
        <f>MBunk_ene!L$4</f>
        <v>5.2791113240393432</v>
      </c>
      <c r="M60" s="102">
        <f>MBunk_ene!M$4</f>
        <v>7.6299780890197901</v>
      </c>
      <c r="N60" s="102">
        <f>MBunk_ene!N$4</f>
        <v>14.279321350952715</v>
      </c>
      <c r="O60" s="102">
        <f>MBunk_ene!O$4</f>
        <v>15.310279179349461</v>
      </c>
      <c r="P60" s="102">
        <f>MBunk_ene!P$4</f>
        <v>15.312486746390267</v>
      </c>
      <c r="Q60" s="102">
        <f>MBunk_ene!Q$4</f>
        <v>16.684386438916473</v>
      </c>
      <c r="R60" s="102">
        <f>MBunk_ene!R$4</f>
        <v>33.535784096767394</v>
      </c>
      <c r="S60" s="102">
        <f>MBunk_ene!S$4</f>
        <v>39.456248746939522</v>
      </c>
      <c r="T60" s="102">
        <f>MBunk_ene!T$4</f>
        <v>54.434856103774372</v>
      </c>
      <c r="U60" s="102">
        <f>MBunk_ene!U$4</f>
        <v>43.754152497625853</v>
      </c>
      <c r="V60" s="102">
        <f>MBunk_ene!V$4</f>
        <v>21.793789927968866</v>
      </c>
      <c r="W60" s="102">
        <f>MBunk_ene!W$4</f>
        <v>13.493165740818887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13.7956117273819</v>
      </c>
      <c r="H61" s="86">
        <f>MBunk_ene!H$10</f>
        <v>18.885783637244309</v>
      </c>
      <c r="I61" s="86">
        <f>MBunk_ene!I$10</f>
        <v>32.141145699182864</v>
      </c>
      <c r="J61" s="86">
        <f>MBunk_ene!J$10</f>
        <v>43.878525592623141</v>
      </c>
      <c r="K61" s="86">
        <f>MBunk_ene!K$10</f>
        <v>21.33898172246689</v>
      </c>
      <c r="L61" s="86">
        <f>MBunk_ene!L$10</f>
        <v>13.400510344060395</v>
      </c>
      <c r="M61" s="86">
        <f>MBunk_ene!M$10</f>
        <v>24.775696889484077</v>
      </c>
      <c r="N61" s="86">
        <f>MBunk_ene!N$10</f>
        <v>35.775450790061896</v>
      </c>
      <c r="O61" s="86">
        <f>MBunk_ene!O$10</f>
        <v>45.534690726067559</v>
      </c>
      <c r="P61" s="86">
        <f>MBunk_ene!P$10</f>
        <v>41.586223485767938</v>
      </c>
      <c r="Q61" s="86">
        <f>MBunk_ene!Q$10</f>
        <v>47.036335831074922</v>
      </c>
      <c r="R61" s="86">
        <f>MBunk_ene!R$10</f>
        <v>88.014860787153495</v>
      </c>
      <c r="S61" s="86">
        <f>MBunk_ene!S$10</f>
        <v>114.73781832098825</v>
      </c>
      <c r="T61" s="86">
        <f>MBunk_ene!T$10</f>
        <v>170.97606393061938</v>
      </c>
      <c r="U61" s="86">
        <f>MBunk_ene!U$10</f>
        <v>146.69331095895191</v>
      </c>
      <c r="V61" s="86">
        <f>MBunk_ene!V$10</f>
        <v>93.656167079769688</v>
      </c>
      <c r="W61" s="86">
        <f>MBunk_ene!W$10</f>
        <v>72.327556529172526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3262.5509239480916</v>
      </c>
      <c r="C64" s="28">
        <f t="shared" si="49"/>
        <v>3256.0452496368698</v>
      </c>
      <c r="D64" s="28">
        <f t="shared" si="49"/>
        <v>3327.42609710736</v>
      </c>
      <c r="E64" s="28">
        <f t="shared" si="49"/>
        <v>3266.9721932729735</v>
      </c>
      <c r="F64" s="28">
        <f t="shared" si="49"/>
        <v>3156.7040970760277</v>
      </c>
      <c r="G64" s="28">
        <f t="shared" si="49"/>
        <v>3258.9161145017774</v>
      </c>
      <c r="H64" s="28">
        <f t="shared" si="49"/>
        <v>3338.1014220793572</v>
      </c>
      <c r="I64" s="28">
        <f t="shared" si="49"/>
        <v>3450.194171206841</v>
      </c>
      <c r="J64" s="28">
        <f t="shared" si="49"/>
        <v>3681.8967368273024</v>
      </c>
      <c r="K64" s="28">
        <f t="shared" si="49"/>
        <v>3579.3690409967703</v>
      </c>
      <c r="L64" s="28">
        <f t="shared" si="49"/>
        <v>3608.6782763307851</v>
      </c>
      <c r="M64" s="28">
        <f t="shared" si="49"/>
        <v>3646.7429017001009</v>
      </c>
      <c r="N64" s="28">
        <f t="shared" si="49"/>
        <v>3529.0818703078185</v>
      </c>
      <c r="O64" s="28">
        <f t="shared" si="49"/>
        <v>3428.9060313956179</v>
      </c>
      <c r="P64" s="28">
        <f t="shared" si="49"/>
        <v>3442.4569203159845</v>
      </c>
      <c r="Q64" s="28">
        <f t="shared" si="49"/>
        <v>3486.8717444423705</v>
      </c>
      <c r="R64" s="28">
        <f t="shared" ref="R64:V64" si="50">R65+R69+R73</f>
        <v>3516.5838712130289</v>
      </c>
      <c r="S64" s="28">
        <f t="shared" si="50"/>
        <v>3622.7381526466984</v>
      </c>
      <c r="T64" s="28">
        <f t="shared" si="50"/>
        <v>3668.5767119679467</v>
      </c>
      <c r="U64" s="28">
        <f t="shared" si="50"/>
        <v>3607.9831231350563</v>
      </c>
      <c r="V64" s="28">
        <f t="shared" si="50"/>
        <v>2959.2228981410608</v>
      </c>
      <c r="W64" s="28">
        <f t="shared" ref="W64" si="51">W65+W69+W73</f>
        <v>3191.5579672612248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3169.9294426656652</v>
      </c>
      <c r="C65" s="137">
        <f t="shared" si="52"/>
        <v>3157.3287491787059</v>
      </c>
      <c r="D65" s="137">
        <f t="shared" si="52"/>
        <v>3221.8772486808939</v>
      </c>
      <c r="E65" s="137">
        <f t="shared" si="52"/>
        <v>3169.6668863066666</v>
      </c>
      <c r="F65" s="137">
        <f t="shared" si="52"/>
        <v>3079.8433928752424</v>
      </c>
      <c r="G65" s="137">
        <f t="shared" si="52"/>
        <v>3173.2142203059366</v>
      </c>
      <c r="H65" s="137">
        <f t="shared" si="52"/>
        <v>3246.1791121207389</v>
      </c>
      <c r="I65" s="137">
        <f t="shared" si="52"/>
        <v>3339.3446038246602</v>
      </c>
      <c r="J65" s="137">
        <f t="shared" si="52"/>
        <v>3560.888712388266</v>
      </c>
      <c r="K65" s="137">
        <f t="shared" si="52"/>
        <v>3480.2037188524682</v>
      </c>
      <c r="L65" s="137">
        <f t="shared" si="52"/>
        <v>3511.4802538934305</v>
      </c>
      <c r="M65" s="137">
        <f t="shared" si="52"/>
        <v>3561.2943933737715</v>
      </c>
      <c r="N65" s="137">
        <f t="shared" si="52"/>
        <v>3445.1975242653225</v>
      </c>
      <c r="O65" s="137">
        <f t="shared" si="52"/>
        <v>3337.5216877341322</v>
      </c>
      <c r="P65" s="137">
        <f t="shared" si="52"/>
        <v>3349.7923992293372</v>
      </c>
      <c r="Q65" s="137">
        <f t="shared" si="52"/>
        <v>3392.9209652961526</v>
      </c>
      <c r="R65" s="137">
        <f t="shared" ref="R65:V65" si="53">R66+R67+R68</f>
        <v>3436.7275472183201</v>
      </c>
      <c r="S65" s="137">
        <f t="shared" si="53"/>
        <v>3529.5859100062448</v>
      </c>
      <c r="T65" s="137">
        <f t="shared" si="53"/>
        <v>3548.7780471353385</v>
      </c>
      <c r="U65" s="137">
        <f t="shared" si="53"/>
        <v>3513.3483007050386</v>
      </c>
      <c r="V65" s="137">
        <f t="shared" si="53"/>
        <v>2922.8310051976232</v>
      </c>
      <c r="W65" s="137">
        <f t="shared" ref="W65" si="54">W66+W67+W68</f>
        <v>3148.3986588394037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10.169189103578365</v>
      </c>
      <c r="C66" s="102">
        <f>TrRoad_emi!C$19</f>
        <v>9.4707669757755326</v>
      </c>
      <c r="D66" s="102">
        <f>TrRoad_emi!D$19</f>
        <v>9.419274412595783</v>
      </c>
      <c r="E66" s="102">
        <f>TrRoad_emi!E$19</f>
        <v>11.280730612349714</v>
      </c>
      <c r="F66" s="102">
        <f>TrRoad_emi!F$19</f>
        <v>12.721277296463127</v>
      </c>
      <c r="G66" s="102">
        <f>TrRoad_emi!G$19</f>
        <v>14.124306520252818</v>
      </c>
      <c r="H66" s="102">
        <f>TrRoad_emi!H$19</f>
        <v>15.787532127940892</v>
      </c>
      <c r="I66" s="102">
        <f>TrRoad_emi!I$19</f>
        <v>17.471707527925638</v>
      </c>
      <c r="J66" s="102">
        <f>TrRoad_emi!J$19</f>
        <v>18.636653459765878</v>
      </c>
      <c r="K66" s="102">
        <f>TrRoad_emi!K$19</f>
        <v>19.880048010674937</v>
      </c>
      <c r="L66" s="102">
        <f>TrRoad_emi!L$19</f>
        <v>24.256511021094248</v>
      </c>
      <c r="M66" s="102">
        <f>TrRoad_emi!M$19</f>
        <v>28.27515997923048</v>
      </c>
      <c r="N66" s="102">
        <f>TrRoad_emi!N$19</f>
        <v>25.680989674427838</v>
      </c>
      <c r="O66" s="102">
        <f>TrRoad_emi!O$19</f>
        <v>22.625719834401085</v>
      </c>
      <c r="P66" s="102">
        <f>TrRoad_emi!P$19</f>
        <v>22.897584876609702</v>
      </c>
      <c r="Q66" s="102">
        <f>TrRoad_emi!Q$19</f>
        <v>24.291969468836843</v>
      </c>
      <c r="R66" s="102">
        <f>TrRoad_emi!R$19</f>
        <v>25.230207500136959</v>
      </c>
      <c r="S66" s="102">
        <f>TrRoad_emi!S$19</f>
        <v>24.437094917710517</v>
      </c>
      <c r="T66" s="102">
        <f>TrRoad_emi!T$19</f>
        <v>23.015459530377004</v>
      </c>
      <c r="U66" s="102">
        <f>TrRoad_emi!U$19</f>
        <v>24.418454428163486</v>
      </c>
      <c r="V66" s="102">
        <f>TrRoad_emi!V$19</f>
        <v>21.480755001821382</v>
      </c>
      <c r="W66" s="102">
        <f>TrRoad_emi!W$19</f>
        <v>20.925124594671331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2913.5245962814161</v>
      </c>
      <c r="C67" s="102">
        <f>TrRoad_emi!C$20</f>
        <v>2923.2967760093138</v>
      </c>
      <c r="D67" s="102">
        <f>TrRoad_emi!D$20</f>
        <v>2995.8449399272131</v>
      </c>
      <c r="E67" s="102">
        <f>TrRoad_emi!E$20</f>
        <v>2948.4059398815666</v>
      </c>
      <c r="F67" s="102">
        <f>TrRoad_emi!F$20</f>
        <v>2852.7468296116681</v>
      </c>
      <c r="G67" s="102">
        <f>TrRoad_emi!G$20</f>
        <v>2951.8428124547031</v>
      </c>
      <c r="H67" s="102">
        <f>TrRoad_emi!H$20</f>
        <v>3022.808671997092</v>
      </c>
      <c r="I67" s="102">
        <f>TrRoad_emi!I$20</f>
        <v>3114.3639323424936</v>
      </c>
      <c r="J67" s="102">
        <f>TrRoad_emi!J$20</f>
        <v>3334.9754147828367</v>
      </c>
      <c r="K67" s="102">
        <f>TrRoad_emi!K$20</f>
        <v>3252.2531804392906</v>
      </c>
      <c r="L67" s="102">
        <f>TrRoad_emi!L$20</f>
        <v>3282.5098971595644</v>
      </c>
      <c r="M67" s="102">
        <f>TrRoad_emi!M$20</f>
        <v>3322.1472768460771</v>
      </c>
      <c r="N67" s="102">
        <f>TrRoad_emi!N$20</f>
        <v>3212.1059531284554</v>
      </c>
      <c r="O67" s="102">
        <f>TrRoad_emi!O$20</f>
        <v>3104.0128542306538</v>
      </c>
      <c r="P67" s="102">
        <f>TrRoad_emi!P$20</f>
        <v>3107.82265938714</v>
      </c>
      <c r="Q67" s="102">
        <f>TrRoad_emi!Q$20</f>
        <v>3141.166244880279</v>
      </c>
      <c r="R67" s="102">
        <f>TrRoad_emi!R$20</f>
        <v>3184.7671481536909</v>
      </c>
      <c r="S67" s="102">
        <f>TrRoad_emi!S$20</f>
        <v>3270.4964733480447</v>
      </c>
      <c r="T67" s="102">
        <f>TrRoad_emi!T$20</f>
        <v>3300.7474834628092</v>
      </c>
      <c r="U67" s="102">
        <f>TrRoad_emi!U$20</f>
        <v>3264.3520891331386</v>
      </c>
      <c r="V67" s="102">
        <f>TrRoad_emi!V$20</f>
        <v>2763.3130673446781</v>
      </c>
      <c r="W67" s="102">
        <f>TrRoad_emi!W$20</f>
        <v>2963.6720564103689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246.23565728067064</v>
      </c>
      <c r="C68" s="102">
        <f>TrRoad_emi!C$27</f>
        <v>224.56120619361687</v>
      </c>
      <c r="D68" s="102">
        <f>TrRoad_emi!D$27</f>
        <v>216.61303434108501</v>
      </c>
      <c r="E68" s="102">
        <f>TrRoad_emi!E$27</f>
        <v>209.98021581275054</v>
      </c>
      <c r="F68" s="102">
        <f>TrRoad_emi!F$27</f>
        <v>214.37528596711124</v>
      </c>
      <c r="G68" s="102">
        <f>TrRoad_emi!G$27</f>
        <v>207.24710133098063</v>
      </c>
      <c r="H68" s="102">
        <f>TrRoad_emi!H$27</f>
        <v>207.58290799570628</v>
      </c>
      <c r="I68" s="102">
        <f>TrRoad_emi!I$27</f>
        <v>207.5089639542411</v>
      </c>
      <c r="J68" s="102">
        <f>TrRoad_emi!J$27</f>
        <v>207.27664414566314</v>
      </c>
      <c r="K68" s="102">
        <f>TrRoad_emi!K$27</f>
        <v>208.0704904025028</v>
      </c>
      <c r="L68" s="102">
        <f>TrRoad_emi!L$27</f>
        <v>204.7138457127717</v>
      </c>
      <c r="M68" s="102">
        <f>TrRoad_emi!M$27</f>
        <v>210.87195654846377</v>
      </c>
      <c r="N68" s="102">
        <f>TrRoad_emi!N$27</f>
        <v>207.41058146243921</v>
      </c>
      <c r="O68" s="102">
        <f>TrRoad_emi!O$27</f>
        <v>210.88311366907746</v>
      </c>
      <c r="P68" s="102">
        <f>TrRoad_emi!P$27</f>
        <v>219.07215496558749</v>
      </c>
      <c r="Q68" s="102">
        <f>TrRoad_emi!Q$27</f>
        <v>227.46275094703705</v>
      </c>
      <c r="R68" s="102">
        <f>TrRoad_emi!R$27</f>
        <v>226.73019156449206</v>
      </c>
      <c r="S68" s="102">
        <f>TrRoad_emi!S$27</f>
        <v>234.65234174048948</v>
      </c>
      <c r="T68" s="102">
        <f>TrRoad_emi!T$27</f>
        <v>225.0151041421523</v>
      </c>
      <c r="U68" s="102">
        <f>TrRoad_emi!U$27</f>
        <v>224.57775714373653</v>
      </c>
      <c r="V68" s="102">
        <f>TrRoad_emi!V$27</f>
        <v>138.03718285112373</v>
      </c>
      <c r="W68" s="102">
        <f>TrRoad_emi!W$27</f>
        <v>163.80147783436365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17.553906783300597</v>
      </c>
      <c r="C69" s="110">
        <f t="shared" si="55"/>
        <v>17.258693533780551</v>
      </c>
      <c r="D69" s="110">
        <f t="shared" si="55"/>
        <v>17.737046394526825</v>
      </c>
      <c r="E69" s="110">
        <f t="shared" si="55"/>
        <v>19.060120319454018</v>
      </c>
      <c r="F69" s="110">
        <f t="shared" si="55"/>
        <v>17.702988313923495</v>
      </c>
      <c r="G69" s="110">
        <f t="shared" si="55"/>
        <v>17.074112444658965</v>
      </c>
      <c r="H69" s="110">
        <f t="shared" si="55"/>
        <v>17.129023654314704</v>
      </c>
      <c r="I69" s="110">
        <f t="shared" si="55"/>
        <v>17.51382634380299</v>
      </c>
      <c r="J69" s="110">
        <f t="shared" si="55"/>
        <v>16.05415187320137</v>
      </c>
      <c r="K69" s="110">
        <f t="shared" si="55"/>
        <v>15.327806639536856</v>
      </c>
      <c r="L69" s="110">
        <f t="shared" si="55"/>
        <v>13.723143824183916</v>
      </c>
      <c r="M69" s="110">
        <f t="shared" si="55"/>
        <v>14.330841858275297</v>
      </c>
      <c r="N69" s="110">
        <f t="shared" si="55"/>
        <v>12.936763574052828</v>
      </c>
      <c r="O69" s="110">
        <f t="shared" si="55"/>
        <v>14.291151368551638</v>
      </c>
      <c r="P69" s="110">
        <f t="shared" si="55"/>
        <v>15.449806906989169</v>
      </c>
      <c r="Q69" s="110">
        <f t="shared" si="55"/>
        <v>16.831705319980987</v>
      </c>
      <c r="R69" s="110">
        <f t="shared" ref="R69:V69" si="56">R70+R71+R72</f>
        <v>14.953513600167838</v>
      </c>
      <c r="S69" s="110">
        <f t="shared" si="56"/>
        <v>15.19582823083857</v>
      </c>
      <c r="T69" s="110">
        <f t="shared" si="56"/>
        <v>14.400811443134259</v>
      </c>
      <c r="U69" s="110">
        <f t="shared" si="56"/>
        <v>12.986766200121659</v>
      </c>
      <c r="V69" s="110">
        <f t="shared" si="56"/>
        <v>8.3885717832543456</v>
      </c>
      <c r="W69" s="110">
        <f t="shared" ref="W69" si="57">W70+W71+W72</f>
        <v>12.905198194319837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17.553906783300597</v>
      </c>
      <c r="C71" s="102">
        <f>TrRail_emi!C$11</f>
        <v>17.258693533780551</v>
      </c>
      <c r="D71" s="102">
        <f>TrRail_emi!D$11</f>
        <v>17.737046394526825</v>
      </c>
      <c r="E71" s="102">
        <f>TrRail_emi!E$11</f>
        <v>19.060120319454018</v>
      </c>
      <c r="F71" s="102">
        <f>TrRail_emi!F$11</f>
        <v>17.702988313923495</v>
      </c>
      <c r="G71" s="102">
        <f>TrRail_emi!G$11</f>
        <v>17.074112444658965</v>
      </c>
      <c r="H71" s="102">
        <f>TrRail_emi!H$11</f>
        <v>17.129023654314704</v>
      </c>
      <c r="I71" s="102">
        <f>TrRail_emi!I$11</f>
        <v>17.51382634380299</v>
      </c>
      <c r="J71" s="102">
        <f>TrRail_emi!J$11</f>
        <v>16.05415187320137</v>
      </c>
      <c r="K71" s="102">
        <f>TrRail_emi!K$11</f>
        <v>15.327806639536856</v>
      </c>
      <c r="L71" s="102">
        <f>TrRail_emi!L$11</f>
        <v>13.723143824183916</v>
      </c>
      <c r="M71" s="102">
        <f>TrRail_emi!M$11</f>
        <v>14.330841858275297</v>
      </c>
      <c r="N71" s="102">
        <f>TrRail_emi!N$11</f>
        <v>12.936763574052828</v>
      </c>
      <c r="O71" s="102">
        <f>TrRail_emi!O$11</f>
        <v>14.291151368551638</v>
      </c>
      <c r="P71" s="102">
        <f>TrRail_emi!P$11</f>
        <v>15.449806906989169</v>
      </c>
      <c r="Q71" s="102">
        <f>TrRail_emi!Q$11</f>
        <v>16.831705319980987</v>
      </c>
      <c r="R71" s="102">
        <f>TrRail_emi!R$11</f>
        <v>14.953513600167838</v>
      </c>
      <c r="S71" s="102">
        <f>TrRail_emi!S$11</f>
        <v>15.19582823083857</v>
      </c>
      <c r="T71" s="102">
        <f>TrRail_emi!T$11</f>
        <v>14.400811443134259</v>
      </c>
      <c r="U71" s="102">
        <f>TrRail_emi!U$11</f>
        <v>12.986766200121659</v>
      </c>
      <c r="V71" s="102">
        <f>TrRail_emi!V$11</f>
        <v>8.3885717832543456</v>
      </c>
      <c r="W71" s="102">
        <f>TrRail_emi!W$11</f>
        <v>12.905198194319837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75.067574499125783</v>
      </c>
      <c r="C73" s="110">
        <f t="shared" si="58"/>
        <v>81.457806924383661</v>
      </c>
      <c r="D73" s="110">
        <f t="shared" si="58"/>
        <v>87.811802031939237</v>
      </c>
      <c r="E73" s="110">
        <f t="shared" si="58"/>
        <v>78.245186646852858</v>
      </c>
      <c r="F73" s="110">
        <f t="shared" si="58"/>
        <v>59.157715886861624</v>
      </c>
      <c r="G73" s="110">
        <f t="shared" si="58"/>
        <v>68.627781751181672</v>
      </c>
      <c r="H73" s="110">
        <f t="shared" si="58"/>
        <v>74.793286304303876</v>
      </c>
      <c r="I73" s="110">
        <f t="shared" si="58"/>
        <v>93.335741038378046</v>
      </c>
      <c r="J73" s="110">
        <f t="shared" si="58"/>
        <v>104.95387256583491</v>
      </c>
      <c r="K73" s="110">
        <f t="shared" si="58"/>
        <v>83.837515504765392</v>
      </c>
      <c r="L73" s="110">
        <f t="shared" si="58"/>
        <v>83.474878613170972</v>
      </c>
      <c r="M73" s="110">
        <f t="shared" si="58"/>
        <v>71.117666468054466</v>
      </c>
      <c r="N73" s="110">
        <f t="shared" si="58"/>
        <v>70.947582468443244</v>
      </c>
      <c r="O73" s="110">
        <f t="shared" si="58"/>
        <v>77.093192292933949</v>
      </c>
      <c r="P73" s="110">
        <f t="shared" si="58"/>
        <v>77.214714179657932</v>
      </c>
      <c r="Q73" s="110">
        <f t="shared" si="58"/>
        <v>77.119073826236644</v>
      </c>
      <c r="R73" s="110">
        <f t="shared" ref="R73:V73" si="59">R74+R75+R76</f>
        <v>64.902810394540978</v>
      </c>
      <c r="S73" s="110">
        <f t="shared" si="59"/>
        <v>77.956414409614766</v>
      </c>
      <c r="T73" s="110">
        <f t="shared" si="59"/>
        <v>105.39785338947354</v>
      </c>
      <c r="U73" s="110">
        <f t="shared" si="59"/>
        <v>81.648056229896184</v>
      </c>
      <c r="V73" s="110">
        <f t="shared" si="59"/>
        <v>28.003321160183116</v>
      </c>
      <c r="W73" s="110">
        <f t="shared" ref="W73" si="60">W74+W75+W76</f>
        <v>30.254110227501197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44.073805847312087</v>
      </c>
      <c r="C75" s="102">
        <f>TrAvia_emi!C$8</f>
        <v>47.821485825106699</v>
      </c>
      <c r="D75" s="102">
        <f>TrAvia_emi!D$8</f>
        <v>51.555334260320421</v>
      </c>
      <c r="E75" s="102">
        <f>TrAvia_emi!E$8</f>
        <v>45.940791883152109</v>
      </c>
      <c r="F75" s="102">
        <f>TrAvia_emi!F$8</f>
        <v>34.733319441943053</v>
      </c>
      <c r="G75" s="102">
        <f>TrAvia_emi!G$8</f>
        <v>40.923470247843142</v>
      </c>
      <c r="H75" s="102">
        <f>TrAvia_emi!H$8</f>
        <v>45.704005810219385</v>
      </c>
      <c r="I75" s="102">
        <f>TrAvia_emi!I$8</f>
        <v>57.463723514577509</v>
      </c>
      <c r="J75" s="102">
        <f>TrAvia_emi!J$8</f>
        <v>63.273445667645873</v>
      </c>
      <c r="K75" s="102">
        <f>TrAvia_emi!K$8</f>
        <v>48.925074739006917</v>
      </c>
      <c r="L75" s="102">
        <f>TrAvia_emi!L$8</f>
        <v>48.002161050095459</v>
      </c>
      <c r="M75" s="102">
        <f>TrAvia_emi!M$8</f>
        <v>40.747918490401972</v>
      </c>
      <c r="N75" s="102">
        <f>TrAvia_emi!N$8</f>
        <v>40.09012558545993</v>
      </c>
      <c r="O75" s="102">
        <f>TrAvia_emi!O$8</f>
        <v>43.870240572012719</v>
      </c>
      <c r="P75" s="102">
        <f>TrAvia_emi!P$8</f>
        <v>44.057506324498725</v>
      </c>
      <c r="Q75" s="102">
        <f>TrAvia_emi!Q$8</f>
        <v>44.640612930009006</v>
      </c>
      <c r="R75" s="102">
        <f>TrAvia_emi!R$8</f>
        <v>38.655763308272341</v>
      </c>
      <c r="S75" s="102">
        <f>TrAvia_emi!S$8</f>
        <v>47.922448047315754</v>
      </c>
      <c r="T75" s="102">
        <f>TrAvia_emi!T$8</f>
        <v>64.428683576890421</v>
      </c>
      <c r="U75" s="102">
        <f>TrAvia_emi!U$8</f>
        <v>48.662684885548757</v>
      </c>
      <c r="V75" s="102">
        <f>TrAvia_emi!V$8</f>
        <v>14.386255216798469</v>
      </c>
      <c r="W75" s="102">
        <f>TrAvia_emi!W$8</f>
        <v>16.716260475223287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30.993768651813692</v>
      </c>
      <c r="C76" s="102">
        <f>TrAvia_emi!C$9</f>
        <v>33.636321099276962</v>
      </c>
      <c r="D76" s="102">
        <f>TrAvia_emi!D$9</f>
        <v>36.256467771618816</v>
      </c>
      <c r="E76" s="102">
        <f>TrAvia_emi!E$9</f>
        <v>32.304394763700756</v>
      </c>
      <c r="F76" s="102">
        <f>TrAvia_emi!F$9</f>
        <v>24.424396444918571</v>
      </c>
      <c r="G76" s="102">
        <f>TrAvia_emi!G$9</f>
        <v>27.704311503338527</v>
      </c>
      <c r="H76" s="102">
        <f>TrAvia_emi!H$9</f>
        <v>29.089280494084484</v>
      </c>
      <c r="I76" s="102">
        <f>TrAvia_emi!I$9</f>
        <v>35.872017523800537</v>
      </c>
      <c r="J76" s="102">
        <f>TrAvia_emi!J$9</f>
        <v>41.68042689818904</v>
      </c>
      <c r="K76" s="102">
        <f>TrAvia_emi!K$9</f>
        <v>34.912440765758475</v>
      </c>
      <c r="L76" s="102">
        <f>TrAvia_emi!L$9</f>
        <v>35.472717563075513</v>
      </c>
      <c r="M76" s="102">
        <f>TrAvia_emi!M$9</f>
        <v>30.369747977652494</v>
      </c>
      <c r="N76" s="102">
        <f>TrAvia_emi!N$9</f>
        <v>30.85745688298331</v>
      </c>
      <c r="O76" s="102">
        <f>TrAvia_emi!O$9</f>
        <v>33.22295172092123</v>
      </c>
      <c r="P76" s="102">
        <f>TrAvia_emi!P$9</f>
        <v>33.1572078551592</v>
      </c>
      <c r="Q76" s="102">
        <f>TrAvia_emi!Q$9</f>
        <v>32.478460896227631</v>
      </c>
      <c r="R76" s="102">
        <f>TrAvia_emi!R$9</f>
        <v>26.247047086268637</v>
      </c>
      <c r="S76" s="102">
        <f>TrAvia_emi!S$9</f>
        <v>30.033966362299015</v>
      </c>
      <c r="T76" s="102">
        <f>TrAvia_emi!T$9</f>
        <v>40.969169812583125</v>
      </c>
      <c r="U76" s="102">
        <f>TrAvia_emi!U$9</f>
        <v>32.985371344347435</v>
      </c>
      <c r="V76" s="102">
        <f>TrAvia_emi!V$9</f>
        <v>13.617065943384647</v>
      </c>
      <c r="W76" s="102">
        <f>TrAvia_emi!W$9</f>
        <v>13.537849752277911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365.39472693190902</v>
      </c>
      <c r="C77" s="28">
        <f t="shared" si="61"/>
        <v>538.37103460312949</v>
      </c>
      <c r="D77" s="28">
        <f t="shared" si="61"/>
        <v>588.69027153264028</v>
      </c>
      <c r="E77" s="28">
        <f t="shared" si="61"/>
        <v>695.89260392702602</v>
      </c>
      <c r="F77" s="28">
        <f t="shared" si="61"/>
        <v>975.10622980397227</v>
      </c>
      <c r="G77" s="28">
        <f t="shared" si="61"/>
        <v>1154.5216090182234</v>
      </c>
      <c r="H77" s="28">
        <f t="shared" si="61"/>
        <v>1278.0244946806424</v>
      </c>
      <c r="I77" s="28">
        <f t="shared" si="61"/>
        <v>1788.6718847531597</v>
      </c>
      <c r="J77" s="28">
        <f t="shared" si="61"/>
        <v>2472.1786344126981</v>
      </c>
      <c r="K77" s="28">
        <f t="shared" si="61"/>
        <v>1574.0132729232298</v>
      </c>
      <c r="L77" s="28">
        <f t="shared" si="61"/>
        <v>1678.6825267892157</v>
      </c>
      <c r="M77" s="28">
        <f t="shared" si="61"/>
        <v>1983.3942986598997</v>
      </c>
      <c r="N77" s="28">
        <f t="shared" si="61"/>
        <v>2118.0034521721814</v>
      </c>
      <c r="O77" s="28">
        <f t="shared" si="61"/>
        <v>1929.4514913243829</v>
      </c>
      <c r="P77" s="28">
        <f t="shared" si="61"/>
        <v>1932.3936798440143</v>
      </c>
      <c r="Q77" s="28">
        <f t="shared" si="61"/>
        <v>1859.65486319763</v>
      </c>
      <c r="R77" s="28">
        <f t="shared" ref="R77:V77" si="62">R78+R81+R82+R86+R92</f>
        <v>2188.5096761469695</v>
      </c>
      <c r="S77" s="28">
        <f t="shared" si="62"/>
        <v>2222.1440418733014</v>
      </c>
      <c r="T77" s="28">
        <f t="shared" si="62"/>
        <v>2177.2428519920545</v>
      </c>
      <c r="U77" s="28">
        <f t="shared" si="62"/>
        <v>2002.0392709049434</v>
      </c>
      <c r="V77" s="28">
        <f t="shared" si="62"/>
        <v>1564.4454660189404</v>
      </c>
      <c r="W77" s="28">
        <f t="shared" ref="W77" si="63">W78+W81+W82+W86+W92</f>
        <v>1954.4524488187735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346.86791857433536</v>
      </c>
      <c r="C78" s="137">
        <f t="shared" si="64"/>
        <v>519.59766542129364</v>
      </c>
      <c r="D78" s="137">
        <f t="shared" si="64"/>
        <v>567.22148887910635</v>
      </c>
      <c r="E78" s="137">
        <f t="shared" si="64"/>
        <v>675.69264981333299</v>
      </c>
      <c r="F78" s="137">
        <f t="shared" si="64"/>
        <v>953.48641292475747</v>
      </c>
      <c r="G78" s="137">
        <f t="shared" si="64"/>
        <v>1132.2306121340639</v>
      </c>
      <c r="H78" s="137">
        <f t="shared" si="64"/>
        <v>1255.9679246392609</v>
      </c>
      <c r="I78" s="137">
        <f t="shared" si="64"/>
        <v>1764.5951686153408</v>
      </c>
      <c r="J78" s="137">
        <f t="shared" si="64"/>
        <v>2455.1822925317347</v>
      </c>
      <c r="K78" s="137">
        <f t="shared" si="64"/>
        <v>1560.244453067532</v>
      </c>
      <c r="L78" s="137">
        <f t="shared" si="64"/>
        <v>1662.9464072265707</v>
      </c>
      <c r="M78" s="137">
        <f t="shared" si="64"/>
        <v>1965.2742554262295</v>
      </c>
      <c r="N78" s="137">
        <f t="shared" si="64"/>
        <v>2101.4758177346775</v>
      </c>
      <c r="O78" s="137">
        <f t="shared" si="64"/>
        <v>1911.0054023858686</v>
      </c>
      <c r="P78" s="137">
        <f t="shared" si="64"/>
        <v>1905.7604559306615</v>
      </c>
      <c r="Q78" s="137">
        <f t="shared" si="64"/>
        <v>1837.4634013838477</v>
      </c>
      <c r="R78" s="137">
        <f t="shared" ref="R78:V78" si="65">R79+R80</f>
        <v>2171.0590628616783</v>
      </c>
      <c r="S78" s="137">
        <f t="shared" si="65"/>
        <v>2206.7075733937545</v>
      </c>
      <c r="T78" s="137">
        <f t="shared" si="65"/>
        <v>2163.4435787046623</v>
      </c>
      <c r="U78" s="137">
        <f t="shared" si="65"/>
        <v>1990.5107485349613</v>
      </c>
      <c r="V78" s="137">
        <f t="shared" si="65"/>
        <v>1553.7879862423779</v>
      </c>
      <c r="W78" s="137">
        <f t="shared" ref="W78" si="66">W79+W80</f>
        <v>1944.7380716005946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125.68207566193527</v>
      </c>
      <c r="C79" s="102">
        <f>TrRoad_emi!C$34</f>
        <v>131.55477650469504</v>
      </c>
      <c r="D79" s="102">
        <f>TrRoad_emi!D$34</f>
        <v>141.65594188864554</v>
      </c>
      <c r="E79" s="102">
        <f>TrRoad_emi!E$34</f>
        <v>153.25472755886042</v>
      </c>
      <c r="F79" s="102">
        <f>TrRoad_emi!F$34</f>
        <v>172.98465525882159</v>
      </c>
      <c r="G79" s="102">
        <f>TrRoad_emi!G$34</f>
        <v>190.3736282299613</v>
      </c>
      <c r="H79" s="102">
        <f>TrRoad_emi!H$34</f>
        <v>207.33097602154149</v>
      </c>
      <c r="I79" s="102">
        <f>TrRoad_emi!I$34</f>
        <v>236.85824218774039</v>
      </c>
      <c r="J79" s="102">
        <f>TrRoad_emi!J$34</f>
        <v>261.97071035367696</v>
      </c>
      <c r="K79" s="102">
        <f>TrRoad_emi!K$34</f>
        <v>271.05943975219242</v>
      </c>
      <c r="L79" s="102">
        <f>TrRoad_emi!L$34</f>
        <v>273.53067620062757</v>
      </c>
      <c r="M79" s="102">
        <f>TrRoad_emi!M$34</f>
        <v>290.04331849047679</v>
      </c>
      <c r="N79" s="102">
        <f>TrRoad_emi!N$34</f>
        <v>290.47260160605424</v>
      </c>
      <c r="O79" s="102">
        <f>TrRoad_emi!O$34</f>
        <v>295.63475339594311</v>
      </c>
      <c r="P79" s="102">
        <f>TrRoad_emi!P$34</f>
        <v>314.64371752844556</v>
      </c>
      <c r="Q79" s="102">
        <f>TrRoad_emi!Q$34</f>
        <v>334.16699202890885</v>
      </c>
      <c r="R79" s="102">
        <f>TrRoad_emi!R$34</f>
        <v>354.00040740343644</v>
      </c>
      <c r="S79" s="102">
        <f>TrRoad_emi!S$34</f>
        <v>372.42063097193432</v>
      </c>
      <c r="T79" s="102">
        <f>TrRoad_emi!T$34</f>
        <v>383.05697947083246</v>
      </c>
      <c r="U79" s="102">
        <f>TrRoad_emi!U$34</f>
        <v>396.6707615835121</v>
      </c>
      <c r="V79" s="102">
        <f>TrRoad_emi!V$34</f>
        <v>406.92923602219514</v>
      </c>
      <c r="W79" s="102">
        <f>TrRoad_emi!W$34</f>
        <v>405.16687216135819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221.18584291240012</v>
      </c>
      <c r="C80" s="102">
        <f>TrRoad_emi!C$40</f>
        <v>388.04288891659866</v>
      </c>
      <c r="D80" s="102">
        <f>TrRoad_emi!D$40</f>
        <v>425.5655469904608</v>
      </c>
      <c r="E80" s="102">
        <f>TrRoad_emi!E$40</f>
        <v>522.4379222544726</v>
      </c>
      <c r="F80" s="102">
        <f>TrRoad_emi!F$40</f>
        <v>780.50175766593588</v>
      </c>
      <c r="G80" s="102">
        <f>TrRoad_emi!G$40</f>
        <v>941.85698390410255</v>
      </c>
      <c r="H80" s="102">
        <f>TrRoad_emi!H$40</f>
        <v>1048.6369486177193</v>
      </c>
      <c r="I80" s="102">
        <f>TrRoad_emi!I$40</f>
        <v>1527.7369264276003</v>
      </c>
      <c r="J80" s="102">
        <f>TrRoad_emi!J$40</f>
        <v>2193.2115821780576</v>
      </c>
      <c r="K80" s="102">
        <f>TrRoad_emi!K$40</f>
        <v>1289.1850133153396</v>
      </c>
      <c r="L80" s="102">
        <f>TrRoad_emi!L$40</f>
        <v>1389.4157310259432</v>
      </c>
      <c r="M80" s="102">
        <f>TrRoad_emi!M$40</f>
        <v>1675.2309369357527</v>
      </c>
      <c r="N80" s="102">
        <f>TrRoad_emi!N$40</f>
        <v>1811.0032161286235</v>
      </c>
      <c r="O80" s="102">
        <f>TrRoad_emi!O$40</f>
        <v>1615.3706489899255</v>
      </c>
      <c r="P80" s="102">
        <f>TrRoad_emi!P$40</f>
        <v>1591.1167384022158</v>
      </c>
      <c r="Q80" s="102">
        <f>TrRoad_emi!Q$40</f>
        <v>1503.2964093549388</v>
      </c>
      <c r="R80" s="102">
        <f>TrRoad_emi!R$40</f>
        <v>1817.0586554582419</v>
      </c>
      <c r="S80" s="102">
        <f>TrRoad_emi!S$40</f>
        <v>1834.28694242182</v>
      </c>
      <c r="T80" s="102">
        <f>TrRoad_emi!T$40</f>
        <v>1780.3865992338299</v>
      </c>
      <c r="U80" s="102">
        <f>TrRoad_emi!U$40</f>
        <v>1593.8399869514492</v>
      </c>
      <c r="V80" s="102">
        <f>TrRoad_emi!V$40</f>
        <v>1146.8587502201826</v>
      </c>
      <c r="W80" s="102">
        <f>TrRoad_emi!W$40</f>
        <v>1539.5711994392364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17.495422856699395</v>
      </c>
      <c r="C81" s="110">
        <f>TrRail_emi!C$15</f>
        <v>17.790636106219441</v>
      </c>
      <c r="D81" s="110">
        <f>TrRail_emi!D$15</f>
        <v>20.498464685473159</v>
      </c>
      <c r="E81" s="110">
        <f>TrRail_emi!E$15</f>
        <v>19.175390760545969</v>
      </c>
      <c r="F81" s="110">
        <f>TrRail_emi!F$15</f>
        <v>20.53252276607649</v>
      </c>
      <c r="G81" s="110">
        <f>TrRail_emi!G$15</f>
        <v>21.161398635341023</v>
      </c>
      <c r="H81" s="110">
        <f>TrRail_emi!H$15</f>
        <v>20.750896345685288</v>
      </c>
      <c r="I81" s="110">
        <f>TrRail_emi!I$15</f>
        <v>20.366093656197005</v>
      </c>
      <c r="J81" s="110">
        <f>TrRail_emi!J$15</f>
        <v>15.51235920679863</v>
      </c>
      <c r="K81" s="110">
        <f>TrRail_emi!K$15</f>
        <v>13.082133360463144</v>
      </c>
      <c r="L81" s="110">
        <f>TrRail_emi!L$15</f>
        <v>14.686796175816081</v>
      </c>
      <c r="M81" s="110">
        <f>TrRail_emi!M$15</f>
        <v>17.235669221724699</v>
      </c>
      <c r="N81" s="110">
        <f>TrRail_emi!N$15</f>
        <v>15.47317642594717</v>
      </c>
      <c r="O81" s="110">
        <f>TrRail_emi!O$15</f>
        <v>17.276159991448367</v>
      </c>
      <c r="P81" s="110">
        <f>TrRail_emi!P$15</f>
        <v>25.584816853010835</v>
      </c>
      <c r="Q81" s="110">
        <f>TrRail_emi!Q$15</f>
        <v>21.047414400018997</v>
      </c>
      <c r="R81" s="110">
        <f>TrRail_emi!R$15</f>
        <v>16.612463959832166</v>
      </c>
      <c r="S81" s="110">
        <f>TrRail_emi!S$15</f>
        <v>14.030985849161427</v>
      </c>
      <c r="T81" s="110">
        <f>TrRail_emi!T$15</f>
        <v>12.186458516865747</v>
      </c>
      <c r="U81" s="110">
        <f>TrRail_emi!U$15</f>
        <v>10.393075599878342</v>
      </c>
      <c r="V81" s="110">
        <f>TrRail_emi!V$15</f>
        <v>8.7174132167456566</v>
      </c>
      <c r="W81" s="110">
        <f>TrRail_emi!W$15</f>
        <v>7.7804392456801583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1.0313855008742292</v>
      </c>
      <c r="C82" s="110">
        <f t="shared" si="67"/>
        <v>0.98273307561633905</v>
      </c>
      <c r="D82" s="110">
        <f t="shared" si="67"/>
        <v>0.97031796806077397</v>
      </c>
      <c r="E82" s="110">
        <f t="shared" si="67"/>
        <v>1.0245633531471272</v>
      </c>
      <c r="F82" s="110">
        <f t="shared" si="67"/>
        <v>1.0872941131383722</v>
      </c>
      <c r="G82" s="110">
        <f t="shared" si="67"/>
        <v>1.1295982488183278</v>
      </c>
      <c r="H82" s="110">
        <f t="shared" si="67"/>
        <v>1.3056736956961315</v>
      </c>
      <c r="I82" s="110">
        <f t="shared" si="67"/>
        <v>3.7106224816219324</v>
      </c>
      <c r="J82" s="110">
        <f t="shared" si="67"/>
        <v>1.4839826741651003</v>
      </c>
      <c r="K82" s="110">
        <f t="shared" si="67"/>
        <v>0.68668649523462066</v>
      </c>
      <c r="L82" s="110">
        <f t="shared" si="67"/>
        <v>1.0493233868290575</v>
      </c>
      <c r="M82" s="110">
        <f t="shared" si="67"/>
        <v>0.88437401194556187</v>
      </c>
      <c r="N82" s="110">
        <f t="shared" si="67"/>
        <v>1.0544580115567666</v>
      </c>
      <c r="O82" s="110">
        <f t="shared" si="67"/>
        <v>1.1699289470660359</v>
      </c>
      <c r="P82" s="110">
        <f t="shared" si="67"/>
        <v>1.0484070603420597</v>
      </c>
      <c r="Q82" s="110">
        <f t="shared" si="67"/>
        <v>1.1440474137633567</v>
      </c>
      <c r="R82" s="110">
        <f t="shared" si="67"/>
        <v>0.83814932545904608</v>
      </c>
      <c r="S82" s="110">
        <f t="shared" si="67"/>
        <v>1.4054826303852284</v>
      </c>
      <c r="T82" s="110">
        <f t="shared" si="67"/>
        <v>1.6128147705264828</v>
      </c>
      <c r="U82" s="110">
        <f t="shared" si="67"/>
        <v>1.1354467701038318</v>
      </c>
      <c r="V82" s="110">
        <f t="shared" si="67"/>
        <v>1.940066559816882</v>
      </c>
      <c r="W82" s="110">
        <f t="shared" ref="W82" si="68">W83+W84+W85</f>
        <v>1.9339379724987977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0.54560983380850903</v>
      </c>
      <c r="C84" s="102">
        <f>TrAvia_emi!C$12</f>
        <v>0.47230524466712642</v>
      </c>
      <c r="D84" s="102">
        <f>TrAvia_emi!D$12</f>
        <v>0.41128297648924694</v>
      </c>
      <c r="E84" s="102">
        <f>TrAvia_emi!E$12</f>
        <v>0.34605017658062254</v>
      </c>
      <c r="F84" s="102">
        <f>TrAvia_emi!F$12</f>
        <v>0.34075745883981473</v>
      </c>
      <c r="G84" s="102">
        <f>TrAvia_emi!G$12</f>
        <v>0.38891917565311784</v>
      </c>
      <c r="H84" s="102">
        <f>TrAvia_emi!H$12</f>
        <v>0.82996575426268071</v>
      </c>
      <c r="I84" s="102">
        <f>TrAvia_emi!I$12</f>
        <v>3.3797513271243615</v>
      </c>
      <c r="J84" s="102">
        <f>TrAvia_emi!J$12</f>
        <v>1.2576366807102244</v>
      </c>
      <c r="K84" s="102">
        <f>TrAvia_emi!K$12</f>
        <v>0.59032496498239051</v>
      </c>
      <c r="L84" s="102">
        <f>TrAvia_emi!L$12</f>
        <v>0.96660395317881065</v>
      </c>
      <c r="M84" s="102">
        <f>TrAvia_emi!M$12</f>
        <v>0.8089587601889584</v>
      </c>
      <c r="N84" s="102">
        <f>TrAvia_emi!N$12</f>
        <v>0.98350965877396634</v>
      </c>
      <c r="O84" s="102">
        <f>TrAvia_emi!O$12</f>
        <v>1.0958772589947123</v>
      </c>
      <c r="P84" s="102">
        <f>TrAvia_emi!P$12</f>
        <v>0.97960840474483846</v>
      </c>
      <c r="Q84" s="102">
        <f>TrAvia_emi!Q$12</f>
        <v>1.1078245554158368</v>
      </c>
      <c r="R84" s="102">
        <f>TrAvia_emi!R$12</f>
        <v>0.80405239688536989</v>
      </c>
      <c r="S84" s="102">
        <f>TrAvia_emi!S$12</f>
        <v>1.3335461786738609</v>
      </c>
      <c r="T84" s="102">
        <f>TrAvia_emi!T$12</f>
        <v>1.5132909087681321</v>
      </c>
      <c r="U84" s="102">
        <f>TrAvia_emi!U$12</f>
        <v>1.05191923189929</v>
      </c>
      <c r="V84" s="102">
        <f>TrAvia_emi!V$12</f>
        <v>1.7530968361043553</v>
      </c>
      <c r="W84" s="102">
        <f>TrAvia_emi!W$12</f>
        <v>1.7753692098739864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0.48577566706572017</v>
      </c>
      <c r="C85" s="102">
        <f>TrAvia_emi!C$13</f>
        <v>0.51042783094921262</v>
      </c>
      <c r="D85" s="102">
        <f>TrAvia_emi!D$13</f>
        <v>0.55903499157152703</v>
      </c>
      <c r="E85" s="102">
        <f>TrAvia_emi!E$13</f>
        <v>0.67851317656650456</v>
      </c>
      <c r="F85" s="102">
        <f>TrAvia_emi!F$13</f>
        <v>0.74653665429855742</v>
      </c>
      <c r="G85" s="102">
        <f>TrAvia_emi!G$13</f>
        <v>0.74067907316520987</v>
      </c>
      <c r="H85" s="102">
        <f>TrAvia_emi!H$13</f>
        <v>0.47570794143345085</v>
      </c>
      <c r="I85" s="102">
        <f>TrAvia_emi!I$13</f>
        <v>0.33087115449757071</v>
      </c>
      <c r="J85" s="102">
        <f>TrAvia_emi!J$13</f>
        <v>0.22634599345487599</v>
      </c>
      <c r="K85" s="102">
        <f>TrAvia_emi!K$13</f>
        <v>9.6361530252230196E-2</v>
      </c>
      <c r="L85" s="102">
        <f>TrAvia_emi!L$13</f>
        <v>8.271943365024674E-2</v>
      </c>
      <c r="M85" s="102">
        <f>TrAvia_emi!M$13</f>
        <v>7.5415251756603505E-2</v>
      </c>
      <c r="N85" s="102">
        <f>TrAvia_emi!N$13</f>
        <v>7.094835278280015E-2</v>
      </c>
      <c r="O85" s="102">
        <f>TrAvia_emi!O$13</f>
        <v>7.405168807132359E-2</v>
      </c>
      <c r="P85" s="102">
        <f>TrAvia_emi!P$13</f>
        <v>6.8798655597221189E-2</v>
      </c>
      <c r="Q85" s="102">
        <f>TrAvia_emi!Q$13</f>
        <v>3.6222858347519989E-2</v>
      </c>
      <c r="R85" s="102">
        <f>TrAvia_emi!R$13</f>
        <v>3.4096928573676195E-2</v>
      </c>
      <c r="S85" s="102">
        <f>TrAvia_emi!S$13</f>
        <v>7.1936451711367491E-2</v>
      </c>
      <c r="T85" s="102">
        <f>TrAvia_emi!T$13</f>
        <v>9.9523861758350693E-2</v>
      </c>
      <c r="U85" s="102">
        <f>TrAvia_emi!U$13</f>
        <v>8.3527538204541743E-2</v>
      </c>
      <c r="V85" s="102">
        <f>TrAvia_emi!V$13</f>
        <v>0.18696972371252671</v>
      </c>
      <c r="W85" s="102">
        <f>TrAvia_emi!W$13</f>
        <v>0.15856876262481134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0</v>
      </c>
      <c r="J86" s="110">
        <f t="shared" si="69"/>
        <v>0</v>
      </c>
      <c r="K86" s="110">
        <f t="shared" si="69"/>
        <v>0</v>
      </c>
      <c r="L86" s="110">
        <f t="shared" si="69"/>
        <v>0</v>
      </c>
      <c r="M86" s="110">
        <f t="shared" si="69"/>
        <v>0</v>
      </c>
      <c r="N86" s="110">
        <f t="shared" si="69"/>
        <v>0</v>
      </c>
      <c r="O86" s="110">
        <f t="shared" si="69"/>
        <v>0</v>
      </c>
      <c r="P86" s="110">
        <f t="shared" si="69"/>
        <v>0</v>
      </c>
      <c r="Q86" s="110">
        <f t="shared" si="69"/>
        <v>0</v>
      </c>
      <c r="R86" s="110">
        <f t="shared" ref="R86:V86" si="70">R87+R88</f>
        <v>0</v>
      </c>
      <c r="S86" s="110">
        <f t="shared" si="70"/>
        <v>0</v>
      </c>
      <c r="T86" s="110">
        <f t="shared" si="70"/>
        <v>0</v>
      </c>
      <c r="U86" s="110">
        <f t="shared" si="70"/>
        <v>0</v>
      </c>
      <c r="V86" s="110">
        <f t="shared" si="70"/>
        <v>0</v>
      </c>
      <c r="W86" s="110">
        <f t="shared" ref="W86" si="71">W87+W88</f>
        <v>0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68.793150960000006</v>
      </c>
      <c r="H89" s="28">
        <f t="shared" si="72"/>
        <v>93.808892880000002</v>
      </c>
      <c r="I89" s="28">
        <f t="shared" si="72"/>
        <v>156.17158992</v>
      </c>
      <c r="J89" s="28">
        <f t="shared" si="72"/>
        <v>213.24012696</v>
      </c>
      <c r="K89" s="28">
        <f t="shared" si="72"/>
        <v>105.18966504000002</v>
      </c>
      <c r="L89" s="28">
        <f t="shared" si="72"/>
        <v>60.532868159999992</v>
      </c>
      <c r="M89" s="28">
        <f t="shared" si="72"/>
        <v>105.01328592000002</v>
      </c>
      <c r="N89" s="28">
        <f t="shared" si="72"/>
        <v>162.20665368000004</v>
      </c>
      <c r="O89" s="28">
        <f t="shared" si="72"/>
        <v>197.17318727999998</v>
      </c>
      <c r="P89" s="28">
        <f t="shared" si="72"/>
        <v>184.38500448000002</v>
      </c>
      <c r="Q89" s="28">
        <f t="shared" si="72"/>
        <v>206.49230208000006</v>
      </c>
      <c r="R89" s="28">
        <f t="shared" si="72"/>
        <v>393.89497776000007</v>
      </c>
      <c r="S89" s="28">
        <f t="shared" si="72"/>
        <v>499.67870328000015</v>
      </c>
      <c r="T89" s="28">
        <f t="shared" si="72"/>
        <v>727.73474111999997</v>
      </c>
      <c r="U89" s="28">
        <f t="shared" si="72"/>
        <v>613.18946159999996</v>
      </c>
      <c r="V89" s="28">
        <f t="shared" si="72"/>
        <v>372.8783851199999</v>
      </c>
      <c r="W89" s="28">
        <f t="shared" si="72"/>
        <v>276.42560472000002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24.087323362523225</v>
      </c>
      <c r="H90" s="102">
        <f>MBunk_emi!H$4</f>
        <v>32.6079397063112</v>
      </c>
      <c r="I90" s="102">
        <f>MBunk_emi!I$4</f>
        <v>52.015533138475753</v>
      </c>
      <c r="J90" s="102">
        <f>MBunk_emi!J$4</f>
        <v>71.048114083775374</v>
      </c>
      <c r="K90" s="102">
        <f>MBunk_emi!K$4</f>
        <v>36.038919365066739</v>
      </c>
      <c r="L90" s="102">
        <f>MBunk_emi!L$4</f>
        <v>17.107399467611653</v>
      </c>
      <c r="M90" s="102">
        <f>MBunk_emi!M$4</f>
        <v>24.725578811645644</v>
      </c>
      <c r="N90" s="102">
        <f>MBunk_emi!N$4</f>
        <v>46.273328877298688</v>
      </c>
      <c r="O90" s="102">
        <f>MBunk_emi!O$4</f>
        <v>49.614233495909659</v>
      </c>
      <c r="P90" s="102">
        <f>MBunk_emi!P$4</f>
        <v>49.621387300574973</v>
      </c>
      <c r="Q90" s="102">
        <f>MBunk_emi!Q$4</f>
        <v>54.067142396260564</v>
      </c>
      <c r="R90" s="102">
        <f>MBunk_emi!R$4</f>
        <v>108.67549854281161</v>
      </c>
      <c r="S90" s="102">
        <f>MBunk_emi!S$4</f>
        <v>127.8612568243533</v>
      </c>
      <c r="T90" s="102">
        <f>MBunk_emi!T$4</f>
        <v>174.71991766472743</v>
      </c>
      <c r="U90" s="102">
        <f>MBunk_emi!U$4</f>
        <v>139.40451860229959</v>
      </c>
      <c r="V90" s="102">
        <f>MBunk_emi!V$4</f>
        <v>69.952722927691795</v>
      </c>
      <c r="W90" s="102">
        <f>MBunk_emi!W$4</f>
        <v>42.91023080363302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44.705827597476777</v>
      </c>
      <c r="H91" s="86">
        <f>MBunk_emi!H$5</f>
        <v>61.200953173688809</v>
      </c>
      <c r="I91" s="86">
        <f>MBunk_emi!I$5</f>
        <v>104.15605678152426</v>
      </c>
      <c r="J91" s="86">
        <f>MBunk_emi!J$5</f>
        <v>142.19201287622462</v>
      </c>
      <c r="K91" s="86">
        <f>MBunk_emi!K$5</f>
        <v>69.150745674933276</v>
      </c>
      <c r="L91" s="86">
        <f>MBunk_emi!L$5</f>
        <v>43.425468692388343</v>
      </c>
      <c r="M91" s="86">
        <f>MBunk_emi!M$5</f>
        <v>80.287707108354368</v>
      </c>
      <c r="N91" s="86">
        <f>MBunk_emi!N$5</f>
        <v>115.93332480270135</v>
      </c>
      <c r="O91" s="86">
        <f>MBunk_emi!O$5</f>
        <v>147.55895378409033</v>
      </c>
      <c r="P91" s="86">
        <f>MBunk_emi!P$5</f>
        <v>134.76361717942504</v>
      </c>
      <c r="Q91" s="86">
        <f>MBunk_emi!Q$5</f>
        <v>152.42515968373948</v>
      </c>
      <c r="R91" s="86">
        <f>MBunk_emi!R$5</f>
        <v>285.21947921718845</v>
      </c>
      <c r="S91" s="86">
        <f>MBunk_emi!S$5</f>
        <v>371.81744645564686</v>
      </c>
      <c r="T91" s="86">
        <f>MBunk_emi!T$5</f>
        <v>553.01482345527256</v>
      </c>
      <c r="U91" s="86">
        <f>MBunk_emi!U$5</f>
        <v>473.7849429977004</v>
      </c>
      <c r="V91" s="86">
        <f>MBunk_emi!V$5</f>
        <v>302.9256621923081</v>
      </c>
      <c r="W91" s="86">
        <f>MBunk_emi!W$5</f>
        <v>233.51537391636703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0.94548270372509446</v>
      </c>
      <c r="C97" s="139">
        <f t="shared" si="76"/>
        <v>0.9436386468317034</v>
      </c>
      <c r="D97" s="139">
        <f t="shared" si="76"/>
        <v>0.94127676216184852</v>
      </c>
      <c r="E97" s="139">
        <f t="shared" si="76"/>
        <v>0.94383541643786995</v>
      </c>
      <c r="F97" s="139">
        <f t="shared" si="76"/>
        <v>0.95377079725815817</v>
      </c>
      <c r="G97" s="139">
        <f t="shared" si="76"/>
        <v>0.95001724798629927</v>
      </c>
      <c r="H97" s="139">
        <f t="shared" si="76"/>
        <v>0.94958945847649434</v>
      </c>
      <c r="I97" s="139">
        <f t="shared" si="76"/>
        <v>0.94844719253687493</v>
      </c>
      <c r="J97" s="139">
        <f t="shared" si="76"/>
        <v>0.94693161829113293</v>
      </c>
      <c r="K97" s="139">
        <f t="shared" si="76"/>
        <v>0.95135988154449747</v>
      </c>
      <c r="L97" s="139">
        <f t="shared" si="76"/>
        <v>0.95319050671630223</v>
      </c>
      <c r="M97" s="139">
        <f t="shared" si="76"/>
        <v>0.95477397517611595</v>
      </c>
      <c r="N97" s="139">
        <f t="shared" si="76"/>
        <v>0.95728370935295526</v>
      </c>
      <c r="O97" s="139">
        <f t="shared" si="76"/>
        <v>0.95462522203282796</v>
      </c>
      <c r="P97" s="139">
        <f t="shared" si="76"/>
        <v>0.95806110194666239</v>
      </c>
      <c r="Q97" s="139">
        <f t="shared" si="76"/>
        <v>0.95719427321880146</v>
      </c>
      <c r="R97" s="139">
        <f t="shared" ref="R97:V97" si="77">IF(R5=0,0,R5/R$4)</f>
        <v>0.95943215971016593</v>
      </c>
      <c r="S97" s="139">
        <f t="shared" si="77"/>
        <v>0.9573847663334375</v>
      </c>
      <c r="T97" s="139">
        <f t="shared" si="77"/>
        <v>0.95585227443143983</v>
      </c>
      <c r="U97" s="139">
        <f t="shared" si="77"/>
        <v>0.95638271565684352</v>
      </c>
      <c r="V97" s="139">
        <f t="shared" si="77"/>
        <v>0.98173081479298163</v>
      </c>
      <c r="W97" s="139">
        <f t="shared" ref="W97" si="78">IF(W5=0,0,W5/W$4)</f>
        <v>0.97490845712196073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3.5612468995015107E-3</v>
      </c>
      <c r="C98" s="140">
        <f t="shared" si="79"/>
        <v>3.2769058321898354E-3</v>
      </c>
      <c r="D98" s="140">
        <f t="shared" si="79"/>
        <v>3.2110023568886615E-3</v>
      </c>
      <c r="E98" s="140">
        <f t="shared" si="79"/>
        <v>3.8566718848502416E-3</v>
      </c>
      <c r="F98" s="140">
        <f t="shared" si="79"/>
        <v>4.3425782507712958E-3</v>
      </c>
      <c r="G98" s="140">
        <f t="shared" si="79"/>
        <v>4.7789998524618146E-3</v>
      </c>
      <c r="H98" s="140">
        <f t="shared" si="79"/>
        <v>5.2974590675679287E-3</v>
      </c>
      <c r="I98" s="140">
        <f t="shared" si="79"/>
        <v>5.769094236293469E-3</v>
      </c>
      <c r="J98" s="140">
        <f t="shared" si="79"/>
        <v>6.2035922118803023E-3</v>
      </c>
      <c r="K98" s="140">
        <f t="shared" si="79"/>
        <v>6.2314798571600416E-3</v>
      </c>
      <c r="L98" s="140">
        <f t="shared" si="79"/>
        <v>8.1290271178167967E-3</v>
      </c>
      <c r="M98" s="140">
        <f t="shared" si="79"/>
        <v>9.5864088131999807E-3</v>
      </c>
      <c r="N98" s="140">
        <f t="shared" si="79"/>
        <v>8.8044975723040337E-3</v>
      </c>
      <c r="O98" s="140">
        <f t="shared" si="79"/>
        <v>7.8712905367666151E-3</v>
      </c>
      <c r="P98" s="140">
        <f t="shared" si="79"/>
        <v>7.9361532768859305E-3</v>
      </c>
      <c r="Q98" s="140">
        <f t="shared" si="79"/>
        <v>8.4248597018115757E-3</v>
      </c>
      <c r="R98" s="140">
        <f t="shared" ref="R98:V98" si="80">IF(R6=0,0,R6/R$4)</f>
        <v>8.6977766635057928E-3</v>
      </c>
      <c r="S98" s="140">
        <f t="shared" si="80"/>
        <v>8.0908912293911062E-3</v>
      </c>
      <c r="T98" s="140">
        <f t="shared" si="80"/>
        <v>7.6515830981225708E-3</v>
      </c>
      <c r="U98" s="140">
        <f t="shared" si="80"/>
        <v>8.0676246036345944E-3</v>
      </c>
      <c r="V98" s="140">
        <f t="shared" si="80"/>
        <v>9.1033834295759421E-3</v>
      </c>
      <c r="W98" s="140">
        <f t="shared" ref="W98" si="81">IF(W6=0,0,W6/W$4)</f>
        <v>8.7734039425986649E-3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0.80348149620095599</v>
      </c>
      <c r="C99" s="140">
        <f t="shared" si="82"/>
        <v>0.80848411071054316</v>
      </c>
      <c r="D99" s="140">
        <f t="shared" si="82"/>
        <v>0.8108749219917234</v>
      </c>
      <c r="E99" s="140">
        <f t="shared" si="82"/>
        <v>0.80924593776730291</v>
      </c>
      <c r="F99" s="140">
        <f t="shared" si="82"/>
        <v>0.82847572459860741</v>
      </c>
      <c r="G99" s="140">
        <f t="shared" si="82"/>
        <v>0.83205067174707859</v>
      </c>
      <c r="H99" s="140">
        <f t="shared" si="82"/>
        <v>0.83110990238347915</v>
      </c>
      <c r="I99" s="140">
        <f t="shared" si="82"/>
        <v>0.83214661413956736</v>
      </c>
      <c r="J99" s="140">
        <f t="shared" si="82"/>
        <v>0.83512103314300767</v>
      </c>
      <c r="K99" s="140">
        <f t="shared" si="82"/>
        <v>0.8408644697625598</v>
      </c>
      <c r="L99" s="140">
        <f t="shared" si="82"/>
        <v>0.84068135920700837</v>
      </c>
      <c r="M99" s="140">
        <f t="shared" si="82"/>
        <v>0.83846444765131845</v>
      </c>
      <c r="N99" s="140">
        <f t="shared" si="82"/>
        <v>0.84090099002630381</v>
      </c>
      <c r="O99" s="140">
        <f t="shared" si="82"/>
        <v>0.83635279281762964</v>
      </c>
      <c r="P99" s="140">
        <f t="shared" si="82"/>
        <v>0.83746649364196968</v>
      </c>
      <c r="Q99" s="140">
        <f t="shared" si="82"/>
        <v>0.83403902123748996</v>
      </c>
      <c r="R99" s="140">
        <f t="shared" ref="R99:V99" si="83">IF(R7=0,0,R7/R$4)</f>
        <v>0.83674371659999713</v>
      </c>
      <c r="S99" s="140">
        <f t="shared" si="83"/>
        <v>0.8359169830002886</v>
      </c>
      <c r="T99" s="140">
        <f t="shared" si="83"/>
        <v>0.8344268687162063</v>
      </c>
      <c r="U99" s="140">
        <f t="shared" si="83"/>
        <v>0.83559730050063252</v>
      </c>
      <c r="V99" s="140">
        <f t="shared" si="83"/>
        <v>0.89760690953062261</v>
      </c>
      <c r="W99" s="140">
        <f t="shared" ref="W99" si="84">IF(W7=0,0,W7/W$4)</f>
        <v>0.88543523165445637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0.13843996062463704</v>
      </c>
      <c r="C100" s="140">
        <f t="shared" si="85"/>
        <v>0.1318776302889704</v>
      </c>
      <c r="D100" s="140">
        <f t="shared" si="85"/>
        <v>0.12719083781323645</v>
      </c>
      <c r="E100" s="140">
        <f t="shared" si="85"/>
        <v>0.13073280678571683</v>
      </c>
      <c r="F100" s="140">
        <f t="shared" si="85"/>
        <v>0.12095249440877955</v>
      </c>
      <c r="G100" s="140">
        <f t="shared" si="85"/>
        <v>0.11318757638675883</v>
      </c>
      <c r="H100" s="140">
        <f t="shared" si="85"/>
        <v>0.11318209702544729</v>
      </c>
      <c r="I100" s="140">
        <f t="shared" si="85"/>
        <v>0.11053148416101419</v>
      </c>
      <c r="J100" s="140">
        <f t="shared" si="85"/>
        <v>0.10560699293624497</v>
      </c>
      <c r="K100" s="140">
        <f t="shared" si="85"/>
        <v>0.10426393192477754</v>
      </c>
      <c r="L100" s="140">
        <f t="shared" si="85"/>
        <v>0.10438012039147712</v>
      </c>
      <c r="M100" s="140">
        <f t="shared" si="85"/>
        <v>0.10672311871159752</v>
      </c>
      <c r="N100" s="140">
        <f t="shared" si="85"/>
        <v>0.10757822175434735</v>
      </c>
      <c r="O100" s="140">
        <f t="shared" si="85"/>
        <v>0.11040113867843164</v>
      </c>
      <c r="P100" s="140">
        <f t="shared" si="85"/>
        <v>0.11265845502780682</v>
      </c>
      <c r="Q100" s="140">
        <f t="shared" si="85"/>
        <v>0.11473039227949995</v>
      </c>
      <c r="R100" s="140">
        <f t="shared" ref="R100:V100" si="86">IF(R8=0,0,R8/R$4)</f>
        <v>0.11399066644666296</v>
      </c>
      <c r="S100" s="140">
        <f t="shared" si="86"/>
        <v>0.1133768921037578</v>
      </c>
      <c r="T100" s="140">
        <f t="shared" si="86"/>
        <v>0.11377382261711093</v>
      </c>
      <c r="U100" s="140">
        <f t="shared" si="86"/>
        <v>0.11271779055257648</v>
      </c>
      <c r="V100" s="140">
        <f t="shared" si="86"/>
        <v>7.5020521832782947E-2</v>
      </c>
      <c r="W100" s="140">
        <f t="shared" ref="W100" si="87">IF(W8=0,0,W8/W$4)</f>
        <v>8.0699821524905777E-2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2.7869837875605114E-2</v>
      </c>
      <c r="C101" s="124">
        <f t="shared" si="88"/>
        <v>2.7790305233307937E-2</v>
      </c>
      <c r="D101" s="124">
        <f t="shared" si="88"/>
        <v>2.8531278083891616E-2</v>
      </c>
      <c r="E101" s="124">
        <f t="shared" si="88"/>
        <v>2.9477478488828202E-2</v>
      </c>
      <c r="F101" s="124">
        <f t="shared" si="88"/>
        <v>2.6122431203884956E-2</v>
      </c>
      <c r="G101" s="124">
        <f t="shared" si="88"/>
        <v>2.6467114530672541E-2</v>
      </c>
      <c r="H101" s="124">
        <f t="shared" si="88"/>
        <v>2.6155071256439146E-2</v>
      </c>
      <c r="I101" s="124">
        <f t="shared" si="88"/>
        <v>2.5283863455687942E-2</v>
      </c>
      <c r="J101" s="124">
        <f t="shared" si="88"/>
        <v>2.5680022122132041E-2</v>
      </c>
      <c r="K101" s="124">
        <f t="shared" si="88"/>
        <v>2.5217778278427107E-2</v>
      </c>
      <c r="L101" s="124">
        <f t="shared" si="88"/>
        <v>2.3906097318688917E-2</v>
      </c>
      <c r="M101" s="124">
        <f t="shared" si="88"/>
        <v>2.2666148115225847E-2</v>
      </c>
      <c r="N101" s="124">
        <f t="shared" si="88"/>
        <v>2.1900907400540737E-2</v>
      </c>
      <c r="O101" s="124">
        <f t="shared" si="88"/>
        <v>2.2563395590863324E-2</v>
      </c>
      <c r="P101" s="124">
        <f t="shared" si="88"/>
        <v>2.0251782244721888E-2</v>
      </c>
      <c r="Q101" s="124">
        <f t="shared" si="88"/>
        <v>2.0147937028924326E-2</v>
      </c>
      <c r="R101" s="124">
        <f t="shared" ref="R101:V101" si="89">IF(R9=0,0,R9/R$4)</f>
        <v>1.9308136170590389E-2</v>
      </c>
      <c r="S101" s="124">
        <f t="shared" si="89"/>
        <v>1.7560037989468973E-2</v>
      </c>
      <c r="T101" s="124">
        <f t="shared" si="89"/>
        <v>1.7225730792378817E-2</v>
      </c>
      <c r="U101" s="124">
        <f t="shared" si="89"/>
        <v>1.7123369670419955E-2</v>
      </c>
      <c r="V101" s="124">
        <f t="shared" si="89"/>
        <v>1.2712464816758579E-2</v>
      </c>
      <c r="W101" s="124">
        <f t="shared" ref="W101" si="90">IF(W9=0,0,W9/W$4)</f>
        <v>1.7510004407454271E-2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2.7869837875605114E-2</v>
      </c>
      <c r="C103" s="140">
        <f t="shared" si="94"/>
        <v>2.7790305233307937E-2</v>
      </c>
      <c r="D103" s="140">
        <f t="shared" si="94"/>
        <v>2.8531278083891616E-2</v>
      </c>
      <c r="E103" s="140">
        <f t="shared" si="94"/>
        <v>2.9477478488828202E-2</v>
      </c>
      <c r="F103" s="140">
        <f t="shared" si="94"/>
        <v>2.6122431203884956E-2</v>
      </c>
      <c r="G103" s="140">
        <f t="shared" si="94"/>
        <v>2.6467114530672541E-2</v>
      </c>
      <c r="H103" s="140">
        <f t="shared" si="94"/>
        <v>2.6155071256439146E-2</v>
      </c>
      <c r="I103" s="140">
        <f t="shared" si="94"/>
        <v>2.5283863455687942E-2</v>
      </c>
      <c r="J103" s="140">
        <f t="shared" si="94"/>
        <v>2.521006093296884E-2</v>
      </c>
      <c r="K103" s="140">
        <f t="shared" si="94"/>
        <v>2.4695806153647245E-2</v>
      </c>
      <c r="L103" s="140">
        <f t="shared" si="94"/>
        <v>2.3410923012087817E-2</v>
      </c>
      <c r="M103" s="140">
        <f t="shared" si="94"/>
        <v>2.222729990643468E-2</v>
      </c>
      <c r="N103" s="140">
        <f t="shared" si="94"/>
        <v>2.1506092863486984E-2</v>
      </c>
      <c r="O103" s="140">
        <f t="shared" si="94"/>
        <v>2.2196200419612896E-2</v>
      </c>
      <c r="P103" s="140">
        <f t="shared" si="94"/>
        <v>2.0000268174908405E-2</v>
      </c>
      <c r="Q103" s="140">
        <f t="shared" si="94"/>
        <v>1.9968273896182324E-2</v>
      </c>
      <c r="R103" s="140">
        <f t="shared" ref="R103:V103" si="95">IF(R11=0,0,R11/R$4)</f>
        <v>1.9184892748224922E-2</v>
      </c>
      <c r="S103" s="140">
        <f t="shared" si="95"/>
        <v>1.7512595079813217E-2</v>
      </c>
      <c r="T103" s="140">
        <f t="shared" si="95"/>
        <v>1.7171445478790161E-2</v>
      </c>
      <c r="U103" s="140">
        <f t="shared" si="95"/>
        <v>1.7071281098345603E-2</v>
      </c>
      <c r="V103" s="140">
        <f t="shared" si="95"/>
        <v>1.2697420479697326E-2</v>
      </c>
      <c r="W103" s="140">
        <f t="shared" ref="W103" si="96">IF(W11=0,0,W11/W$4)</f>
        <v>1.6571968457054935E-2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4.6996118916320075E-4</v>
      </c>
      <c r="K104" s="140">
        <f t="shared" si="97"/>
        <v>5.2197212477986255E-4</v>
      </c>
      <c r="L104" s="140">
        <f t="shared" si="97"/>
        <v>4.9517430660110098E-4</v>
      </c>
      <c r="M104" s="140">
        <f t="shared" si="97"/>
        <v>4.3884820879116511E-4</v>
      </c>
      <c r="N104" s="140">
        <f t="shared" si="97"/>
        <v>3.9481453705375417E-4</v>
      </c>
      <c r="O104" s="140">
        <f t="shared" si="97"/>
        <v>3.6719517125042672E-4</v>
      </c>
      <c r="P104" s="140">
        <f t="shared" si="97"/>
        <v>2.5151406981348154E-4</v>
      </c>
      <c r="Q104" s="140">
        <f t="shared" si="97"/>
        <v>1.7966313274200035E-4</v>
      </c>
      <c r="R104" s="140">
        <f t="shared" ref="R104:V104" si="98">IF(R12=0,0,R12/R$4)</f>
        <v>1.2324342236547057E-4</v>
      </c>
      <c r="S104" s="140">
        <f t="shared" si="98"/>
        <v>4.7442909655758282E-5</v>
      </c>
      <c r="T104" s="140">
        <f t="shared" si="98"/>
        <v>5.4285313588658593E-5</v>
      </c>
      <c r="U104" s="140">
        <f t="shared" si="98"/>
        <v>5.2088572074354414E-5</v>
      </c>
      <c r="V104" s="140">
        <f t="shared" si="98"/>
        <v>1.5044337061252756E-5</v>
      </c>
      <c r="W104" s="140">
        <f t="shared" ref="W104" si="99">IF(W12=0,0,W12/W$4)</f>
        <v>9.3803595039933599E-4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2.6647458399300508E-2</v>
      </c>
      <c r="C105" s="124">
        <f t="shared" si="100"/>
        <v>2.8571047934988662E-2</v>
      </c>
      <c r="D105" s="124">
        <f t="shared" si="100"/>
        <v>3.0191959754259826E-2</v>
      </c>
      <c r="E105" s="124">
        <f t="shared" si="100"/>
        <v>2.6687105073301787E-2</v>
      </c>
      <c r="F105" s="124">
        <f t="shared" si="100"/>
        <v>2.0106771537956855E-2</v>
      </c>
      <c r="G105" s="124">
        <f t="shared" si="100"/>
        <v>2.35156374830282E-2</v>
      </c>
      <c r="H105" s="124">
        <f t="shared" si="100"/>
        <v>2.4255470267066519E-2</v>
      </c>
      <c r="I105" s="124">
        <f t="shared" si="100"/>
        <v>2.6268944007437095E-2</v>
      </c>
      <c r="J105" s="124">
        <f t="shared" si="100"/>
        <v>2.7388359586734964E-2</v>
      </c>
      <c r="K105" s="124">
        <f t="shared" si="100"/>
        <v>2.3422340177075472E-2</v>
      </c>
      <c r="L105" s="124">
        <f t="shared" si="100"/>
        <v>2.2903395965008906E-2</v>
      </c>
      <c r="M105" s="124">
        <f t="shared" si="100"/>
        <v>2.2559876708658267E-2</v>
      </c>
      <c r="N105" s="124">
        <f t="shared" si="100"/>
        <v>2.0815383246503994E-2</v>
      </c>
      <c r="O105" s="124">
        <f t="shared" si="100"/>
        <v>2.2811382376308705E-2</v>
      </c>
      <c r="P105" s="124">
        <f t="shared" si="100"/>
        <v>2.1687115808615688E-2</v>
      </c>
      <c r="Q105" s="124">
        <f t="shared" si="100"/>
        <v>2.2657789752274185E-2</v>
      </c>
      <c r="R105" s="124">
        <f t="shared" ref="R105:V105" si="101">IF(R13=0,0,R13/R$4)</f>
        <v>2.1259704119243689E-2</v>
      </c>
      <c r="S105" s="124">
        <f t="shared" si="101"/>
        <v>2.5055195677093564E-2</v>
      </c>
      <c r="T105" s="124">
        <f t="shared" si="101"/>
        <v>2.6921994776181419E-2</v>
      </c>
      <c r="U105" s="124">
        <f t="shared" si="101"/>
        <v>2.6493914672736461E-2</v>
      </c>
      <c r="V105" s="124">
        <f t="shared" si="101"/>
        <v>5.5567203902598204E-3</v>
      </c>
      <c r="W105" s="124">
        <f t="shared" ref="W105" si="102">IF(W13=0,0,W13/W$4)</f>
        <v>7.5815384705850463E-3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1.4607861467423041E-2</v>
      </c>
      <c r="C107" s="140">
        <f t="shared" si="106"/>
        <v>1.5737455929263771E-2</v>
      </c>
      <c r="D107" s="140">
        <f t="shared" si="106"/>
        <v>1.6649489485814063E-2</v>
      </c>
      <c r="E107" s="140">
        <f t="shared" si="106"/>
        <v>1.4640210339517446E-2</v>
      </c>
      <c r="F107" s="140">
        <f t="shared" si="106"/>
        <v>1.1003843919028233E-2</v>
      </c>
      <c r="G107" s="140">
        <f t="shared" si="106"/>
        <v>1.4205663899103837E-2</v>
      </c>
      <c r="H107" s="140">
        <f t="shared" si="106"/>
        <v>1.4801080052074275E-2</v>
      </c>
      <c r="I107" s="140">
        <f t="shared" si="106"/>
        <v>1.5238451160436853E-2</v>
      </c>
      <c r="J107" s="140">
        <f t="shared" si="106"/>
        <v>1.5375500311684005E-2</v>
      </c>
      <c r="K107" s="140">
        <f t="shared" si="106"/>
        <v>1.2097578162443171E-2</v>
      </c>
      <c r="L107" s="140">
        <f t="shared" si="106"/>
        <v>1.1447911305591743E-2</v>
      </c>
      <c r="M107" s="140">
        <f t="shared" si="106"/>
        <v>1.1808460636885221E-2</v>
      </c>
      <c r="N107" s="140">
        <f t="shared" si="106"/>
        <v>9.3959256395678321E-3</v>
      </c>
      <c r="O107" s="140">
        <f t="shared" si="106"/>
        <v>1.0586296813702444E-2</v>
      </c>
      <c r="P107" s="140">
        <f t="shared" si="106"/>
        <v>1.065661009739818E-2</v>
      </c>
      <c r="Q107" s="140">
        <f t="shared" si="106"/>
        <v>1.1531365706876838E-2</v>
      </c>
      <c r="R107" s="140">
        <f t="shared" ref="R107:V107" si="107">IF(R15=0,0,R15/R$4)</f>
        <v>1.214953280298617E-2</v>
      </c>
      <c r="S107" s="140">
        <f t="shared" si="107"/>
        <v>1.4146420755144962E-2</v>
      </c>
      <c r="T107" s="140">
        <f t="shared" si="107"/>
        <v>1.5194315250343465E-2</v>
      </c>
      <c r="U107" s="140">
        <f t="shared" si="107"/>
        <v>1.4176724679316724E-2</v>
      </c>
      <c r="V107" s="140">
        <f t="shared" si="107"/>
        <v>3.1609677080902936E-3</v>
      </c>
      <c r="W107" s="140">
        <f t="shared" ref="W107" si="108">IF(W15=0,0,W15/W$4)</f>
        <v>4.242971660788959E-3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1.2039596931877467E-2</v>
      </c>
      <c r="C108" s="140">
        <f t="shared" si="109"/>
        <v>1.2833592005724887E-2</v>
      </c>
      <c r="D108" s="140">
        <f t="shared" si="109"/>
        <v>1.3542470268445761E-2</v>
      </c>
      <c r="E108" s="140">
        <f t="shared" si="109"/>
        <v>1.2046894733784341E-2</v>
      </c>
      <c r="F108" s="140">
        <f t="shared" si="109"/>
        <v>9.1029276189286221E-3</v>
      </c>
      <c r="G108" s="140">
        <f t="shared" si="109"/>
        <v>9.3099735839243612E-3</v>
      </c>
      <c r="H108" s="140">
        <f t="shared" si="109"/>
        <v>9.4543902149922445E-3</v>
      </c>
      <c r="I108" s="140">
        <f t="shared" si="109"/>
        <v>1.103049284700024E-2</v>
      </c>
      <c r="J108" s="140">
        <f t="shared" si="109"/>
        <v>1.2012859275050957E-2</v>
      </c>
      <c r="K108" s="140">
        <f t="shared" si="109"/>
        <v>1.1324762014632299E-2</v>
      </c>
      <c r="L108" s="140">
        <f t="shared" si="109"/>
        <v>1.1455484659417162E-2</v>
      </c>
      <c r="M108" s="140">
        <f t="shared" si="109"/>
        <v>1.0751416071773047E-2</v>
      </c>
      <c r="N108" s="140">
        <f t="shared" si="109"/>
        <v>1.1419457606936165E-2</v>
      </c>
      <c r="O108" s="140">
        <f t="shared" si="109"/>
        <v>1.222508556260626E-2</v>
      </c>
      <c r="P108" s="140">
        <f t="shared" si="109"/>
        <v>1.1030505711217505E-2</v>
      </c>
      <c r="Q108" s="140">
        <f t="shared" si="109"/>
        <v>1.1126424045397347E-2</v>
      </c>
      <c r="R108" s="140">
        <f t="shared" ref="R108:V108" si="110">IF(R16=0,0,R16/R$4)</f>
        <v>9.1101713162575169E-3</v>
      </c>
      <c r="S108" s="140">
        <f t="shared" si="110"/>
        <v>1.09087749219486E-2</v>
      </c>
      <c r="T108" s="140">
        <f t="shared" si="110"/>
        <v>1.1727679525837954E-2</v>
      </c>
      <c r="U108" s="140">
        <f t="shared" si="110"/>
        <v>1.2317189993419733E-2</v>
      </c>
      <c r="V108" s="140">
        <f t="shared" si="110"/>
        <v>2.3957526821695272E-3</v>
      </c>
      <c r="W108" s="140">
        <f t="shared" ref="W108" si="111">IF(W16=0,0,W16/W$4)</f>
        <v>3.3385668097960872E-3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0.6589185079227361</v>
      </c>
      <c r="C110" s="139">
        <f t="shared" si="115"/>
        <v>0.67165343610073236</v>
      </c>
      <c r="D110" s="139">
        <f t="shared" si="115"/>
        <v>0.6629041455954886</v>
      </c>
      <c r="E110" s="139">
        <f t="shared" si="115"/>
        <v>0.67164440467537545</v>
      </c>
      <c r="F110" s="139">
        <f t="shared" si="115"/>
        <v>0.69318414512056215</v>
      </c>
      <c r="G110" s="139">
        <f t="shared" si="115"/>
        <v>0.69486911263788886</v>
      </c>
      <c r="H110" s="139">
        <f t="shared" si="115"/>
        <v>0.70690706435582096</v>
      </c>
      <c r="I110" s="139">
        <f t="shared" si="115"/>
        <v>0.70361493507261041</v>
      </c>
      <c r="J110" s="139">
        <f t="shared" si="115"/>
        <v>0.70861505078313358</v>
      </c>
      <c r="K110" s="139">
        <f t="shared" si="115"/>
        <v>0.7256033041279949</v>
      </c>
      <c r="L110" s="139">
        <f t="shared" si="115"/>
        <v>0.68565254244954221</v>
      </c>
      <c r="M110" s="139">
        <f t="shared" si="115"/>
        <v>0.66475488071932443</v>
      </c>
      <c r="N110" s="139">
        <f t="shared" si="115"/>
        <v>0.67651221212553603</v>
      </c>
      <c r="O110" s="139">
        <f t="shared" si="115"/>
        <v>0.65713961413752142</v>
      </c>
      <c r="P110" s="139">
        <f t="shared" si="115"/>
        <v>0.64553306766263763</v>
      </c>
      <c r="Q110" s="139">
        <f t="shared" si="115"/>
        <v>0.65516869916881326</v>
      </c>
      <c r="R110" s="139">
        <f t="shared" ref="R110:V110" si="116">IF(R18=0,0,R18/R$17)</f>
        <v>0.66568944206355141</v>
      </c>
      <c r="S110" s="139">
        <f t="shared" si="116"/>
        <v>0.65038969712281158</v>
      </c>
      <c r="T110" s="139">
        <f t="shared" si="116"/>
        <v>0.65272396215827211</v>
      </c>
      <c r="U110" s="139">
        <f t="shared" si="116"/>
        <v>0.65012069256818539</v>
      </c>
      <c r="V110" s="139">
        <f t="shared" si="116"/>
        <v>0.66095149617965443</v>
      </c>
      <c r="W110" s="139">
        <f t="shared" ref="W110" si="117">IF(W18=0,0,W18/W$17)</f>
        <v>0.67009300979398889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7.245519759364054E-3</v>
      </c>
      <c r="C111" s="140">
        <f t="shared" si="118"/>
        <v>7.4972059981951904E-3</v>
      </c>
      <c r="D111" s="140">
        <f t="shared" si="118"/>
        <v>7.7175455317611136E-3</v>
      </c>
      <c r="E111" s="140">
        <f t="shared" si="118"/>
        <v>8.3630551138748049E-3</v>
      </c>
      <c r="F111" s="140">
        <f t="shared" si="118"/>
        <v>8.4646613712857279E-3</v>
      </c>
      <c r="G111" s="140">
        <f t="shared" si="118"/>
        <v>9.0318051547316428E-3</v>
      </c>
      <c r="H111" s="140">
        <f t="shared" si="118"/>
        <v>9.1505911593581426E-3</v>
      </c>
      <c r="I111" s="140">
        <f t="shared" si="118"/>
        <v>9.9668400808267631E-3</v>
      </c>
      <c r="J111" s="140">
        <f t="shared" si="118"/>
        <v>1.1240917760823905E-2</v>
      </c>
      <c r="K111" s="140">
        <f t="shared" si="118"/>
        <v>1.3899220637714586E-2</v>
      </c>
      <c r="L111" s="140">
        <f t="shared" si="118"/>
        <v>1.3419360921899045E-2</v>
      </c>
      <c r="M111" s="140">
        <f t="shared" si="118"/>
        <v>1.3643517509702538E-2</v>
      </c>
      <c r="N111" s="140">
        <f t="shared" si="118"/>
        <v>1.4571016222146247E-2</v>
      </c>
      <c r="O111" s="140">
        <f t="shared" si="118"/>
        <v>1.4619867795110106E-2</v>
      </c>
      <c r="P111" s="140">
        <f t="shared" si="118"/>
        <v>1.4768828163315467E-2</v>
      </c>
      <c r="Q111" s="140">
        <f t="shared" si="118"/>
        <v>1.5075921338445361E-2</v>
      </c>
      <c r="R111" s="140">
        <f t="shared" ref="R111:V111" si="119">IF(R19=0,0,R19/R$17)</f>
        <v>1.5012269123592919E-2</v>
      </c>
      <c r="S111" s="140">
        <f t="shared" si="119"/>
        <v>1.4461379232640919E-2</v>
      </c>
      <c r="T111" s="140">
        <f t="shared" si="119"/>
        <v>1.5432069819562766E-2</v>
      </c>
      <c r="U111" s="140">
        <f t="shared" si="119"/>
        <v>1.6177120492386687E-2</v>
      </c>
      <c r="V111" s="140">
        <f t="shared" si="119"/>
        <v>1.8279003028292932E-2</v>
      </c>
      <c r="W111" s="140">
        <f t="shared" ref="W111" si="120">IF(W19=0,0,W19/W$17)</f>
        <v>1.7122038741181417E-2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0.65167298816337205</v>
      </c>
      <c r="C112" s="140">
        <f t="shared" si="121"/>
        <v>0.6641562301025371</v>
      </c>
      <c r="D112" s="140">
        <f t="shared" si="121"/>
        <v>0.65518660006372753</v>
      </c>
      <c r="E112" s="140">
        <f t="shared" si="121"/>
        <v>0.66328134956150064</v>
      </c>
      <c r="F112" s="140">
        <f t="shared" si="121"/>
        <v>0.68471948374927638</v>
      </c>
      <c r="G112" s="140">
        <f t="shared" si="121"/>
        <v>0.68583730748315719</v>
      </c>
      <c r="H112" s="140">
        <f t="shared" si="121"/>
        <v>0.69775647319646283</v>
      </c>
      <c r="I112" s="140">
        <f t="shared" si="121"/>
        <v>0.69364809499178359</v>
      </c>
      <c r="J112" s="140">
        <f t="shared" si="121"/>
        <v>0.69737413302230966</v>
      </c>
      <c r="K112" s="140">
        <f t="shared" si="121"/>
        <v>0.71170408349028025</v>
      </c>
      <c r="L112" s="140">
        <f t="shared" si="121"/>
        <v>0.67223318152764322</v>
      </c>
      <c r="M112" s="140">
        <f t="shared" si="121"/>
        <v>0.65111136320962193</v>
      </c>
      <c r="N112" s="140">
        <f t="shared" si="121"/>
        <v>0.66194119590338973</v>
      </c>
      <c r="O112" s="140">
        <f t="shared" si="121"/>
        <v>0.64251974634241127</v>
      </c>
      <c r="P112" s="140">
        <f t="shared" si="121"/>
        <v>0.63076423949932214</v>
      </c>
      <c r="Q112" s="140">
        <f t="shared" si="121"/>
        <v>0.64009277783036789</v>
      </c>
      <c r="R112" s="140">
        <f t="shared" ref="R112:V112" si="122">IF(R20=0,0,R20/R$17)</f>
        <v>0.65067717293995841</v>
      </c>
      <c r="S112" s="140">
        <f t="shared" si="122"/>
        <v>0.63592831789017068</v>
      </c>
      <c r="T112" s="140">
        <f t="shared" si="122"/>
        <v>0.63729189233870931</v>
      </c>
      <c r="U112" s="140">
        <f t="shared" si="122"/>
        <v>0.63394357207579877</v>
      </c>
      <c r="V112" s="140">
        <f t="shared" si="122"/>
        <v>0.64267249315136143</v>
      </c>
      <c r="W112" s="140">
        <f t="shared" ref="W112" si="123">IF(W20=0,0,W20/W$17)</f>
        <v>0.65297097105280755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0.34041231127388127</v>
      </c>
      <c r="C113" s="124">
        <f t="shared" si="124"/>
        <v>0.32766029511941719</v>
      </c>
      <c r="D113" s="124">
        <f t="shared" si="124"/>
        <v>0.33645012838260563</v>
      </c>
      <c r="E113" s="124">
        <f t="shared" si="124"/>
        <v>0.32767055825106939</v>
      </c>
      <c r="F113" s="124">
        <f t="shared" si="124"/>
        <v>0.30617024222563355</v>
      </c>
      <c r="G113" s="124">
        <f t="shared" si="124"/>
        <v>0.30456370103965863</v>
      </c>
      <c r="H113" s="124">
        <f t="shared" si="124"/>
        <v>0.29262258927741319</v>
      </c>
      <c r="I113" s="124">
        <f t="shared" si="124"/>
        <v>0.29552408438140737</v>
      </c>
      <c r="J113" s="124">
        <f t="shared" si="124"/>
        <v>0.29100589726856502</v>
      </c>
      <c r="K113" s="124">
        <f t="shared" si="124"/>
        <v>0.27416200184053541</v>
      </c>
      <c r="L113" s="124">
        <f t="shared" si="124"/>
        <v>0.31410306332898719</v>
      </c>
      <c r="M113" s="124">
        <f t="shared" si="124"/>
        <v>0.33500859619433121</v>
      </c>
      <c r="N113" s="124">
        <f t="shared" si="124"/>
        <v>0.32322680469485188</v>
      </c>
      <c r="O113" s="124">
        <f t="shared" si="124"/>
        <v>0.34260735431221528</v>
      </c>
      <c r="P113" s="124">
        <f t="shared" si="124"/>
        <v>0.35424388051594385</v>
      </c>
      <c r="Q113" s="124">
        <f t="shared" si="124"/>
        <v>0.34461479696593089</v>
      </c>
      <c r="R113" s="124">
        <f t="shared" ref="R113:V113" si="125">IF(R21=0,0,R21/R$17)</f>
        <v>0.33410978013124365</v>
      </c>
      <c r="S113" s="124">
        <f t="shared" si="125"/>
        <v>0.34933523944504857</v>
      </c>
      <c r="T113" s="124">
        <f t="shared" si="125"/>
        <v>0.3470074563886566</v>
      </c>
      <c r="U113" s="124">
        <f t="shared" si="125"/>
        <v>0.34964350009641759</v>
      </c>
      <c r="V113" s="124">
        <f t="shared" si="125"/>
        <v>0.33886758927070559</v>
      </c>
      <c r="W113" s="124">
        <f t="shared" ref="W113" si="126">IF(W21=0,0,W21/W$17)</f>
        <v>0.32969090653382194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6.6918080338251992E-4</v>
      </c>
      <c r="C114" s="124">
        <f t="shared" si="127"/>
        <v>6.8626877985046965E-4</v>
      </c>
      <c r="D114" s="124">
        <f t="shared" si="127"/>
        <v>6.4572602190584335E-4</v>
      </c>
      <c r="E114" s="124">
        <f t="shared" si="127"/>
        <v>6.8503707355521801E-4</v>
      </c>
      <c r="F114" s="124">
        <f t="shared" si="127"/>
        <v>6.4561265380441734E-4</v>
      </c>
      <c r="G114" s="124">
        <f t="shared" si="127"/>
        <v>5.6718632245248834E-4</v>
      </c>
      <c r="H114" s="124">
        <f t="shared" si="127"/>
        <v>4.7034636676587409E-4</v>
      </c>
      <c r="I114" s="124">
        <f t="shared" si="127"/>
        <v>8.609805459821922E-4</v>
      </c>
      <c r="J114" s="124">
        <f t="shared" si="127"/>
        <v>3.7905194830142788E-4</v>
      </c>
      <c r="K114" s="124">
        <f t="shared" si="127"/>
        <v>2.3469403146974505E-4</v>
      </c>
      <c r="L114" s="124">
        <f t="shared" si="127"/>
        <v>2.4439422147055147E-4</v>
      </c>
      <c r="M114" s="124">
        <f t="shared" si="127"/>
        <v>2.3652308634440907E-4</v>
      </c>
      <c r="N114" s="124">
        <f t="shared" si="127"/>
        <v>2.6098317961232204E-4</v>
      </c>
      <c r="O114" s="124">
        <f t="shared" si="127"/>
        <v>2.530315502634718E-4</v>
      </c>
      <c r="P114" s="124">
        <f t="shared" si="127"/>
        <v>2.2305182141841507E-4</v>
      </c>
      <c r="Q114" s="124">
        <f t="shared" si="127"/>
        <v>2.1650386525589839E-4</v>
      </c>
      <c r="R114" s="124">
        <f t="shared" ref="R114:V114" si="128">IF(R22=0,0,R22/R$17)</f>
        <v>2.0077780520501588E-4</v>
      </c>
      <c r="S114" s="124">
        <f t="shared" si="128"/>
        <v>2.7506343213983984E-4</v>
      </c>
      <c r="T114" s="124">
        <f t="shared" si="128"/>
        <v>2.6858145307123423E-4</v>
      </c>
      <c r="U114" s="124">
        <f t="shared" si="128"/>
        <v>2.3580733539693891E-4</v>
      </c>
      <c r="V114" s="124">
        <f t="shared" si="128"/>
        <v>1.8091454963997569E-4</v>
      </c>
      <c r="W114" s="124">
        <f t="shared" ref="W114" si="129">IF(W22=0,0,W22/W$17)</f>
        <v>2.1608367218916376E-4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1.4519729203293555E-4</v>
      </c>
      <c r="C116" s="140">
        <f t="shared" si="133"/>
        <v>1.2759415048517816E-4</v>
      </c>
      <c r="D116" s="140">
        <f t="shared" si="133"/>
        <v>9.8809389653727397E-5</v>
      </c>
      <c r="E116" s="140">
        <f t="shared" si="133"/>
        <v>8.4038870194861817E-5</v>
      </c>
      <c r="F116" s="140">
        <f t="shared" si="133"/>
        <v>6.7216281020475907E-5</v>
      </c>
      <c r="G116" s="140">
        <f t="shared" si="133"/>
        <v>8.5119112538011065E-5</v>
      </c>
      <c r="H116" s="140">
        <f t="shared" si="133"/>
        <v>1.5372364864877202E-4</v>
      </c>
      <c r="I116" s="140">
        <f t="shared" si="133"/>
        <v>6.3334573820384289E-4</v>
      </c>
      <c r="J116" s="140">
        <f t="shared" si="133"/>
        <v>2.1793739540761057E-4</v>
      </c>
      <c r="K116" s="140">
        <f t="shared" si="133"/>
        <v>1.251621363917332E-4</v>
      </c>
      <c r="L116" s="140">
        <f t="shared" si="133"/>
        <v>1.7920989917634371E-4</v>
      </c>
      <c r="M116" s="140">
        <f t="shared" si="133"/>
        <v>1.7080565827866975E-4</v>
      </c>
      <c r="N116" s="140">
        <f t="shared" si="133"/>
        <v>1.8360735544039621E-4</v>
      </c>
      <c r="O116" s="140">
        <f t="shared" si="133"/>
        <v>1.7643563083620542E-4</v>
      </c>
      <c r="P116" s="140">
        <f t="shared" si="133"/>
        <v>1.5659721736102387E-4</v>
      </c>
      <c r="Q116" s="140">
        <f t="shared" si="133"/>
        <v>1.8403281601774937E-4</v>
      </c>
      <c r="R116" s="140">
        <f t="shared" si="131"/>
        <v>1.7190983866950362E-4</v>
      </c>
      <c r="S116" s="140">
        <f t="shared" si="131"/>
        <v>2.1690306102436236E-4</v>
      </c>
      <c r="T116" s="140">
        <f t="shared" si="131"/>
        <v>2.0119389865733595E-4</v>
      </c>
      <c r="U116" s="140">
        <f t="shared" si="131"/>
        <v>1.6687673661031028E-4</v>
      </c>
      <c r="V116" s="140">
        <f t="shared" si="131"/>
        <v>1.3242883588715488E-4</v>
      </c>
      <c r="W116" s="140">
        <f t="shared" ref="W116" si="134">IF(W24=0,0,W24/W$17)</f>
        <v>1.5920834928281747E-4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5.2398351134958431E-4</v>
      </c>
      <c r="C117" s="140">
        <f t="shared" si="135"/>
        <v>5.5867462936529154E-4</v>
      </c>
      <c r="D117" s="140">
        <f t="shared" si="135"/>
        <v>5.4691663225211605E-4</v>
      </c>
      <c r="E117" s="140">
        <f t="shared" si="135"/>
        <v>6.0099820336035616E-4</v>
      </c>
      <c r="F117" s="140">
        <f t="shared" si="135"/>
        <v>5.7839637278394142E-4</v>
      </c>
      <c r="G117" s="140">
        <f t="shared" si="135"/>
        <v>4.8206720991447722E-4</v>
      </c>
      <c r="H117" s="140">
        <f t="shared" si="135"/>
        <v>3.1662271811710204E-4</v>
      </c>
      <c r="I117" s="140">
        <f t="shared" si="135"/>
        <v>2.2763480777834939E-4</v>
      </c>
      <c r="J117" s="140">
        <f t="shared" si="135"/>
        <v>1.6111455289381725E-4</v>
      </c>
      <c r="K117" s="140">
        <f t="shared" si="135"/>
        <v>1.0953189507801185E-4</v>
      </c>
      <c r="L117" s="140">
        <f t="shared" si="135"/>
        <v>6.5184322294207765E-5</v>
      </c>
      <c r="M117" s="140">
        <f t="shared" si="135"/>
        <v>6.571742806573933E-5</v>
      </c>
      <c r="N117" s="140">
        <f t="shared" si="135"/>
        <v>7.7375824171925826E-5</v>
      </c>
      <c r="O117" s="140">
        <f t="shared" si="135"/>
        <v>7.6595919427266385E-5</v>
      </c>
      <c r="P117" s="140">
        <f t="shared" si="135"/>
        <v>6.6454604057391209E-5</v>
      </c>
      <c r="Q117" s="140">
        <f t="shared" si="135"/>
        <v>3.2471049238149034E-5</v>
      </c>
      <c r="R117" s="140">
        <f t="shared" ref="R117:V117" si="136">IF(R25=0,0,R25/R$17)</f>
        <v>2.8867966535512253E-5</v>
      </c>
      <c r="S117" s="140">
        <f t="shared" si="136"/>
        <v>5.8160371115477479E-5</v>
      </c>
      <c r="T117" s="140">
        <f t="shared" si="136"/>
        <v>6.7387554413898292E-5</v>
      </c>
      <c r="U117" s="140">
        <f t="shared" si="136"/>
        <v>6.8930598786628631E-5</v>
      </c>
      <c r="V117" s="140">
        <f t="shared" si="136"/>
        <v>4.8485713752820791E-5</v>
      </c>
      <c r="W117" s="140">
        <f t="shared" ref="W117" si="137">IF(W25=0,0,W25/W$17)</f>
        <v>5.6875322906346281E-5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0</v>
      </c>
      <c r="H118" s="124">
        <f t="shared" si="138"/>
        <v>0</v>
      </c>
      <c r="I118" s="124">
        <f t="shared" si="138"/>
        <v>0</v>
      </c>
      <c r="J118" s="124">
        <f t="shared" si="138"/>
        <v>0</v>
      </c>
      <c r="K118" s="124">
        <f t="shared" si="138"/>
        <v>0</v>
      </c>
      <c r="L118" s="124">
        <f t="shared" si="138"/>
        <v>0</v>
      </c>
      <c r="M118" s="124">
        <f t="shared" si="138"/>
        <v>0</v>
      </c>
      <c r="N118" s="124">
        <f t="shared" si="138"/>
        <v>0</v>
      </c>
      <c r="O118" s="124">
        <f t="shared" si="138"/>
        <v>0</v>
      </c>
      <c r="P118" s="124">
        <f t="shared" si="138"/>
        <v>0</v>
      </c>
      <c r="Q118" s="124">
        <f t="shared" si="138"/>
        <v>0</v>
      </c>
      <c r="R118" s="124">
        <f t="shared" ref="R118:V118" si="139">IF(R26=0,0,R26/R$17)</f>
        <v>0</v>
      </c>
      <c r="S118" s="124">
        <f t="shared" si="139"/>
        <v>0</v>
      </c>
      <c r="T118" s="124">
        <f t="shared" si="139"/>
        <v>0</v>
      </c>
      <c r="U118" s="124">
        <f t="shared" si="139"/>
        <v>0</v>
      </c>
      <c r="V118" s="124">
        <f t="shared" si="139"/>
        <v>0</v>
      </c>
      <c r="W118" s="124">
        <f t="shared" ref="W118" si="140">IF(W26=0,0,W26/W$17)</f>
        <v>0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0.16003620799331622</v>
      </c>
      <c r="H122" s="140">
        <f t="shared" si="150"/>
        <v>0.15973939801716638</v>
      </c>
      <c r="I122" s="140">
        <f t="shared" si="150"/>
        <v>0.14637614014171296</v>
      </c>
      <c r="J122" s="140">
        <f t="shared" si="150"/>
        <v>0.14523755990670748</v>
      </c>
      <c r="K122" s="140">
        <f t="shared" si="150"/>
        <v>0.15109299921307659</v>
      </c>
      <c r="L122" s="140">
        <f t="shared" si="150"/>
        <v>0.10794461421589703</v>
      </c>
      <c r="M122" s="140">
        <f t="shared" si="150"/>
        <v>8.1702671556328862E-2</v>
      </c>
      <c r="N122" s="140">
        <f t="shared" si="150"/>
        <v>0.10855315854933337</v>
      </c>
      <c r="O122" s="140">
        <f t="shared" si="150"/>
        <v>8.9333269223304423E-2</v>
      </c>
      <c r="P122" s="140">
        <f t="shared" si="150"/>
        <v>9.9460323907102327E-2</v>
      </c>
      <c r="Q122" s="140">
        <f t="shared" si="150"/>
        <v>9.5211325658845922E-2</v>
      </c>
      <c r="R122" s="140">
        <f t="shared" si="150"/>
        <v>0.10454526887347956</v>
      </c>
      <c r="S122" s="140">
        <f t="shared" si="150"/>
        <v>9.2727300352712441E-2</v>
      </c>
      <c r="T122" s="140">
        <f t="shared" si="150"/>
        <v>8.4770830916993056E-2</v>
      </c>
      <c r="U122" s="140">
        <f t="shared" si="150"/>
        <v>7.8061447700517303E-2</v>
      </c>
      <c r="V122" s="140">
        <f t="shared" si="150"/>
        <v>7.2664113102002506E-2</v>
      </c>
      <c r="W122" s="140">
        <f t="shared" si="150"/>
        <v>5.3345584739814281E-2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0.83996379200668381</v>
      </c>
      <c r="H123" s="127">
        <f t="shared" si="152"/>
        <v>0.84026060198283359</v>
      </c>
      <c r="I123" s="127">
        <f t="shared" si="152"/>
        <v>0.85362385985828715</v>
      </c>
      <c r="J123" s="127">
        <f t="shared" si="152"/>
        <v>0.8547624400932925</v>
      </c>
      <c r="K123" s="127">
        <f t="shared" si="152"/>
        <v>0.84890700078692338</v>
      </c>
      <c r="L123" s="127">
        <f t="shared" si="152"/>
        <v>0.89205538578410293</v>
      </c>
      <c r="M123" s="127">
        <f t="shared" si="152"/>
        <v>0.91829732844367107</v>
      </c>
      <c r="N123" s="127">
        <f t="shared" si="152"/>
        <v>0.89144684145066655</v>
      </c>
      <c r="O123" s="127">
        <f t="shared" si="152"/>
        <v>0.91066673077669558</v>
      </c>
      <c r="P123" s="127">
        <f t="shared" si="152"/>
        <v>0.90053967609289765</v>
      </c>
      <c r="Q123" s="127">
        <f t="shared" si="152"/>
        <v>0.90478867434115406</v>
      </c>
      <c r="R123" s="127">
        <f t="shared" si="152"/>
        <v>0.89545473112652052</v>
      </c>
      <c r="S123" s="127">
        <f t="shared" si="152"/>
        <v>0.90727269964728763</v>
      </c>
      <c r="T123" s="127">
        <f t="shared" si="152"/>
        <v>0.915229169083007</v>
      </c>
      <c r="U123" s="127">
        <f t="shared" si="152"/>
        <v>0.92193855229948263</v>
      </c>
      <c r="V123" s="127">
        <f t="shared" si="152"/>
        <v>0.9273358868979974</v>
      </c>
      <c r="W123" s="127">
        <f t="shared" si="152"/>
        <v>0.94665441526018579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0.96851507794423652</v>
      </c>
      <c r="C127" s="139">
        <f t="shared" ref="C127:W127" si="155">IF(C35=0,0,C35/C$34)</f>
        <v>0.96641465867355059</v>
      </c>
      <c r="D127" s="139">
        <f t="shared" si="155"/>
        <v>0.96474810529785271</v>
      </c>
      <c r="E127" s="139">
        <f t="shared" si="155"/>
        <v>0.96608368683560208</v>
      </c>
      <c r="F127" s="139">
        <f t="shared" si="155"/>
        <v>0.97035341343808434</v>
      </c>
      <c r="G127" s="139">
        <f t="shared" si="155"/>
        <v>0.96808694358122338</v>
      </c>
      <c r="H127" s="139">
        <f t="shared" si="155"/>
        <v>0.96698982196948713</v>
      </c>
      <c r="I127" s="139">
        <f t="shared" si="155"/>
        <v>0.9627268971765075</v>
      </c>
      <c r="J127" s="139">
        <f t="shared" si="155"/>
        <v>0.96232600350538866</v>
      </c>
      <c r="K127" s="139">
        <f t="shared" si="155"/>
        <v>0.96808164100247163</v>
      </c>
      <c r="L127" s="139">
        <f t="shared" si="155"/>
        <v>0.96892718327172267</v>
      </c>
      <c r="M127" s="139">
        <f t="shared" si="155"/>
        <v>0.97311352662102812</v>
      </c>
      <c r="N127" s="139">
        <f t="shared" si="155"/>
        <v>0.9724173403038493</v>
      </c>
      <c r="O127" s="139">
        <f t="shared" si="155"/>
        <v>0.97050404305559057</v>
      </c>
      <c r="P127" s="139">
        <f t="shared" si="155"/>
        <v>0.97075822118392219</v>
      </c>
      <c r="Q127" s="139">
        <f t="shared" si="155"/>
        <v>0.96986778397992079</v>
      </c>
      <c r="R127" s="139">
        <f t="shared" si="155"/>
        <v>0.97349519233016513</v>
      </c>
      <c r="S127" s="139">
        <f t="shared" si="155"/>
        <v>0.96740191137435694</v>
      </c>
      <c r="T127" s="139">
        <f t="shared" si="155"/>
        <v>0.96388019921756418</v>
      </c>
      <c r="U127" s="139">
        <f t="shared" si="155"/>
        <v>0.97013690667167662</v>
      </c>
      <c r="V127" s="139">
        <f t="shared" si="155"/>
        <v>0.98356657025438754</v>
      </c>
      <c r="W127" s="139">
        <f t="shared" si="155"/>
        <v>0.98154607220457202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3.1539055344073793E-3</v>
      </c>
      <c r="C128" s="140">
        <f t="shared" ref="C128:W128" si="156">IF(C36=0,0,C36/C$34)</f>
        <v>2.9433888455279414E-3</v>
      </c>
      <c r="D128" s="140">
        <f t="shared" si="156"/>
        <v>2.8726707188136626E-3</v>
      </c>
      <c r="E128" s="140">
        <f t="shared" si="156"/>
        <v>3.5031690819609974E-3</v>
      </c>
      <c r="F128" s="140">
        <f t="shared" si="156"/>
        <v>4.1002621464134919E-3</v>
      </c>
      <c r="G128" s="140">
        <f t="shared" si="156"/>
        <v>4.4168870317152428E-3</v>
      </c>
      <c r="H128" s="140">
        <f t="shared" si="156"/>
        <v>4.8211973936136054E-3</v>
      </c>
      <c r="I128" s="140">
        <f t="shared" si="156"/>
        <v>5.1600891583115493E-3</v>
      </c>
      <c r="J128" s="140">
        <f t="shared" si="156"/>
        <v>5.159794105591968E-3</v>
      </c>
      <c r="K128" s="140">
        <f t="shared" si="156"/>
        <v>5.6489525480447125E-3</v>
      </c>
      <c r="L128" s="140">
        <f t="shared" si="156"/>
        <v>6.8164460683465345E-3</v>
      </c>
      <c r="M128" s="140">
        <f t="shared" si="156"/>
        <v>7.9265050042351369E-3</v>
      </c>
      <c r="N128" s="140">
        <f t="shared" si="156"/>
        <v>7.4180372090702964E-3</v>
      </c>
      <c r="O128" s="140">
        <f t="shared" si="156"/>
        <v>6.7284655413733015E-3</v>
      </c>
      <c r="P128" s="140">
        <f t="shared" si="156"/>
        <v>6.8532886391518104E-3</v>
      </c>
      <c r="Q128" s="140">
        <f t="shared" si="156"/>
        <v>7.2105953889819155E-3</v>
      </c>
      <c r="R128" s="140">
        <f t="shared" si="156"/>
        <v>7.4355502630893515E-3</v>
      </c>
      <c r="S128" s="140">
        <f t="shared" si="156"/>
        <v>6.9580787776853444E-3</v>
      </c>
      <c r="T128" s="140">
        <f t="shared" si="156"/>
        <v>6.4025735858417344E-3</v>
      </c>
      <c r="U128" s="140">
        <f t="shared" si="156"/>
        <v>6.7891940238844258E-3</v>
      </c>
      <c r="V128" s="140">
        <f t="shared" si="156"/>
        <v>7.3093965707520109E-3</v>
      </c>
      <c r="W128" s="140">
        <f t="shared" si="156"/>
        <v>6.5882853398729737E-3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0.89391563894315318</v>
      </c>
      <c r="C129" s="140">
        <f t="shared" ref="C129:W129" si="157">IF(C37=0,0,C37/C$34)</f>
        <v>0.89817980018602306</v>
      </c>
      <c r="D129" s="140">
        <f t="shared" si="157"/>
        <v>0.90007344391456034</v>
      </c>
      <c r="E129" s="140">
        <f t="shared" si="157"/>
        <v>0.90157950678433829</v>
      </c>
      <c r="F129" s="140">
        <f t="shared" si="157"/>
        <v>0.90161768423115363</v>
      </c>
      <c r="G129" s="140">
        <f t="shared" si="157"/>
        <v>0.90304616315368136</v>
      </c>
      <c r="H129" s="140">
        <f t="shared" si="157"/>
        <v>0.90255764558723406</v>
      </c>
      <c r="I129" s="140">
        <f t="shared" si="157"/>
        <v>0.89957284335450249</v>
      </c>
      <c r="J129" s="140">
        <f t="shared" si="157"/>
        <v>0.90279298635141758</v>
      </c>
      <c r="K129" s="140">
        <f t="shared" si="157"/>
        <v>0.90588275325784939</v>
      </c>
      <c r="L129" s="140">
        <f t="shared" si="157"/>
        <v>0.90668325219706603</v>
      </c>
      <c r="M129" s="140">
        <f t="shared" si="157"/>
        <v>0.9089629413985777</v>
      </c>
      <c r="N129" s="140">
        <f t="shared" si="157"/>
        <v>0.90750595401629686</v>
      </c>
      <c r="O129" s="140">
        <f t="shared" si="157"/>
        <v>0.90342667649045716</v>
      </c>
      <c r="P129" s="140">
        <f t="shared" si="157"/>
        <v>0.90165908299729236</v>
      </c>
      <c r="Q129" s="140">
        <f t="shared" si="157"/>
        <v>0.89891239886433827</v>
      </c>
      <c r="R129" s="140">
        <f t="shared" si="157"/>
        <v>0.9029825175819941</v>
      </c>
      <c r="S129" s="140">
        <f t="shared" si="157"/>
        <v>0.8970697515300855</v>
      </c>
      <c r="T129" s="140">
        <f t="shared" si="157"/>
        <v>0.89677534083630484</v>
      </c>
      <c r="U129" s="140">
        <f t="shared" si="157"/>
        <v>0.90102321747786018</v>
      </c>
      <c r="V129" s="140">
        <f t="shared" si="157"/>
        <v>0.92950956599428991</v>
      </c>
      <c r="W129" s="140">
        <f t="shared" si="157"/>
        <v>0.92354292160493456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7.1445533466676162E-2</v>
      </c>
      <c r="C130" s="140">
        <f t="shared" ref="C130:W130" si="158">IF(C38=0,0,C38/C$34)</f>
        <v>6.5291469641999667E-2</v>
      </c>
      <c r="D130" s="140">
        <f t="shared" si="158"/>
        <v>6.1801990664478737E-2</v>
      </c>
      <c r="E130" s="140">
        <f t="shared" si="158"/>
        <v>6.1001010969302737E-2</v>
      </c>
      <c r="F130" s="140">
        <f t="shared" si="158"/>
        <v>6.4635467060517204E-2</v>
      </c>
      <c r="G130" s="140">
        <f t="shared" si="158"/>
        <v>6.0623893395826967E-2</v>
      </c>
      <c r="H130" s="140">
        <f t="shared" si="158"/>
        <v>5.9610978988639367E-2</v>
      </c>
      <c r="I130" s="140">
        <f t="shared" si="158"/>
        <v>5.7993964663693366E-2</v>
      </c>
      <c r="J130" s="140">
        <f t="shared" si="158"/>
        <v>5.4373223048379118E-2</v>
      </c>
      <c r="K130" s="140">
        <f t="shared" si="158"/>
        <v>5.6549935196577625E-2</v>
      </c>
      <c r="L130" s="140">
        <f t="shared" si="158"/>
        <v>5.5427485006310062E-2</v>
      </c>
      <c r="M130" s="140">
        <f t="shared" si="158"/>
        <v>5.6224080218215178E-2</v>
      </c>
      <c r="N130" s="140">
        <f t="shared" si="158"/>
        <v>5.7493349078482157E-2</v>
      </c>
      <c r="O130" s="140">
        <f t="shared" si="158"/>
        <v>6.0348901023760108E-2</v>
      </c>
      <c r="P130" s="140">
        <f t="shared" si="158"/>
        <v>6.224584954747793E-2</v>
      </c>
      <c r="Q130" s="140">
        <f t="shared" si="158"/>
        <v>6.3744789726600568E-2</v>
      </c>
      <c r="R130" s="140">
        <f t="shared" si="158"/>
        <v>6.3077124485081709E-2</v>
      </c>
      <c r="S130" s="140">
        <f t="shared" si="158"/>
        <v>6.3374081066586041E-2</v>
      </c>
      <c r="T130" s="140">
        <f t="shared" si="158"/>
        <v>6.0702284795417706E-2</v>
      </c>
      <c r="U130" s="140">
        <f t="shared" si="158"/>
        <v>6.2324495169932069E-2</v>
      </c>
      <c r="V130" s="140">
        <f t="shared" si="158"/>
        <v>4.674760768934548E-2</v>
      </c>
      <c r="W130" s="140">
        <f t="shared" si="158"/>
        <v>5.1414865259764561E-2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9.0451166916309701E-3</v>
      </c>
      <c r="C131" s="124">
        <f t="shared" ref="C131:W131" si="159">IF(C39=0,0,C39/C$34)</f>
        <v>9.1847952232678963E-3</v>
      </c>
      <c r="D131" s="124">
        <f t="shared" si="159"/>
        <v>9.4396584114375421E-3</v>
      </c>
      <c r="E131" s="124">
        <f t="shared" si="159"/>
        <v>1.0496369499585757E-2</v>
      </c>
      <c r="F131" s="124">
        <f t="shared" si="159"/>
        <v>1.1268654322124951E-2</v>
      </c>
      <c r="G131" s="124">
        <f t="shared" si="159"/>
        <v>1.1228154616925085E-2</v>
      </c>
      <c r="H131" s="124">
        <f t="shared" si="159"/>
        <v>1.0995738869865457E-2</v>
      </c>
      <c r="I131" s="124">
        <f t="shared" si="159"/>
        <v>1.0730414294898257E-2</v>
      </c>
      <c r="J131" s="124">
        <f t="shared" si="159"/>
        <v>9.772935145466493E-3</v>
      </c>
      <c r="K131" s="124">
        <f t="shared" si="159"/>
        <v>9.0537347268537724E-3</v>
      </c>
      <c r="L131" s="124">
        <f t="shared" si="159"/>
        <v>8.6249174494602149E-3</v>
      </c>
      <c r="M131" s="124">
        <f t="shared" si="159"/>
        <v>7.8363464510770395E-3</v>
      </c>
      <c r="N131" s="124">
        <f t="shared" si="159"/>
        <v>8.0532107316425051E-3</v>
      </c>
      <c r="O131" s="124">
        <f t="shared" si="159"/>
        <v>7.744082977818055E-3</v>
      </c>
      <c r="P131" s="124">
        <f t="shared" si="159"/>
        <v>7.3386788643928164E-3</v>
      </c>
      <c r="Q131" s="124">
        <f t="shared" si="159"/>
        <v>8.3931707477950153E-3</v>
      </c>
      <c r="R131" s="124">
        <f t="shared" si="159"/>
        <v>8.2520212527353344E-3</v>
      </c>
      <c r="S131" s="124">
        <f t="shared" si="159"/>
        <v>1.1415602334208935E-2</v>
      </c>
      <c r="T131" s="124">
        <f t="shared" si="159"/>
        <v>8.368127666171371E-3</v>
      </c>
      <c r="U131" s="124">
        <f t="shared" si="159"/>
        <v>8.2080440355675344E-3</v>
      </c>
      <c r="V131" s="124">
        <f t="shared" si="159"/>
        <v>7.4729906055539131E-3</v>
      </c>
      <c r="W131" s="124">
        <f t="shared" si="159"/>
        <v>9.4833094127055508E-3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9.0451166916309701E-3</v>
      </c>
      <c r="C133" s="140">
        <f t="shared" ref="C133:W133" si="161">IF(C41=0,0,C41/C$34)</f>
        <v>9.1847952232678963E-3</v>
      </c>
      <c r="D133" s="140">
        <f t="shared" si="161"/>
        <v>9.4396584114375421E-3</v>
      </c>
      <c r="E133" s="140">
        <f t="shared" si="161"/>
        <v>1.0496369499585757E-2</v>
      </c>
      <c r="F133" s="140">
        <f t="shared" si="161"/>
        <v>1.1268654322124951E-2</v>
      </c>
      <c r="G133" s="140">
        <f t="shared" si="161"/>
        <v>1.1228154616925085E-2</v>
      </c>
      <c r="H133" s="140">
        <f t="shared" si="161"/>
        <v>1.0995738869865457E-2</v>
      </c>
      <c r="I133" s="140">
        <f t="shared" si="161"/>
        <v>1.0730414294898257E-2</v>
      </c>
      <c r="J133" s="140">
        <f t="shared" si="161"/>
        <v>9.6484077054686083E-3</v>
      </c>
      <c r="K133" s="140">
        <f t="shared" si="161"/>
        <v>8.9172633298276391E-3</v>
      </c>
      <c r="L133" s="140">
        <f t="shared" si="161"/>
        <v>8.4979955785913722E-3</v>
      </c>
      <c r="M133" s="140">
        <f t="shared" si="161"/>
        <v>7.7284432559999424E-3</v>
      </c>
      <c r="N133" s="140">
        <f t="shared" si="161"/>
        <v>7.9512075515751277E-3</v>
      </c>
      <c r="O133" s="140">
        <f t="shared" si="161"/>
        <v>7.6493104550137544E-3</v>
      </c>
      <c r="P133" s="140">
        <f t="shared" si="161"/>
        <v>7.2717812299480699E-3</v>
      </c>
      <c r="Q133" s="140">
        <f t="shared" si="161"/>
        <v>8.3441518656529254E-3</v>
      </c>
      <c r="R133" s="140">
        <f t="shared" si="161"/>
        <v>8.2185203041072932E-3</v>
      </c>
      <c r="S133" s="140">
        <f t="shared" si="161"/>
        <v>1.1402830992197492E-2</v>
      </c>
      <c r="T133" s="140">
        <f t="shared" si="161"/>
        <v>8.3530384943824587E-3</v>
      </c>
      <c r="U133" s="140">
        <f t="shared" si="161"/>
        <v>8.1948719808143337E-3</v>
      </c>
      <c r="V133" s="140">
        <f t="shared" si="161"/>
        <v>7.4632602066281037E-3</v>
      </c>
      <c r="W133" s="140">
        <f t="shared" si="161"/>
        <v>8.8979790774081843E-3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1.2452743999788484E-4</v>
      </c>
      <c r="K134" s="140">
        <f t="shared" si="162"/>
        <v>1.3647139702613345E-4</v>
      </c>
      <c r="L134" s="140">
        <f t="shared" si="162"/>
        <v>1.2692187086884392E-4</v>
      </c>
      <c r="M134" s="140">
        <f t="shared" si="162"/>
        <v>1.0790319507709707E-4</v>
      </c>
      <c r="N134" s="140">
        <f t="shared" si="162"/>
        <v>1.0200318006737889E-4</v>
      </c>
      <c r="O134" s="140">
        <f t="shared" si="162"/>
        <v>9.4772522804300821E-5</v>
      </c>
      <c r="P134" s="140">
        <f t="shared" si="162"/>
        <v>6.6897634444746095E-5</v>
      </c>
      <c r="Q134" s="140">
        <f t="shared" si="162"/>
        <v>4.9018882142090282E-5</v>
      </c>
      <c r="R134" s="140">
        <f t="shared" si="162"/>
        <v>3.350094862804084E-5</v>
      </c>
      <c r="S134" s="140">
        <f t="shared" si="162"/>
        <v>1.277134201144378E-5</v>
      </c>
      <c r="T134" s="140">
        <f t="shared" si="162"/>
        <v>1.5089171788911972E-5</v>
      </c>
      <c r="U134" s="140">
        <f t="shared" si="162"/>
        <v>1.3172054753200411E-5</v>
      </c>
      <c r="V134" s="140">
        <f t="shared" si="162"/>
        <v>9.7303989258090819E-6</v>
      </c>
      <c r="W134" s="140">
        <f t="shared" si="162"/>
        <v>5.853303352973654E-4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2.2439805364132467E-2</v>
      </c>
      <c r="C135" s="124">
        <f t="shared" ref="C135:W135" si="163">IF(C43=0,0,C43/C$34)</f>
        <v>2.44005461031815E-2</v>
      </c>
      <c r="D135" s="124">
        <f t="shared" si="163"/>
        <v>2.5812236290709844E-2</v>
      </c>
      <c r="E135" s="124">
        <f t="shared" si="163"/>
        <v>2.3419943664812228E-2</v>
      </c>
      <c r="F135" s="124">
        <f t="shared" si="163"/>
        <v>1.8377932239790791E-2</v>
      </c>
      <c r="G135" s="124">
        <f t="shared" si="163"/>
        <v>2.0684901801851532E-2</v>
      </c>
      <c r="H135" s="124">
        <f t="shared" si="163"/>
        <v>2.2014439160647374E-2</v>
      </c>
      <c r="I135" s="124">
        <f t="shared" si="163"/>
        <v>2.6542688528594299E-2</v>
      </c>
      <c r="J135" s="124">
        <f t="shared" si="163"/>
        <v>2.7901061349144801E-2</v>
      </c>
      <c r="K135" s="124">
        <f t="shared" si="163"/>
        <v>2.2864624270674549E-2</v>
      </c>
      <c r="L135" s="124">
        <f t="shared" si="163"/>
        <v>2.2447899278817237E-2</v>
      </c>
      <c r="M135" s="124">
        <f t="shared" si="163"/>
        <v>1.905012692789489E-2</v>
      </c>
      <c r="N135" s="124">
        <f t="shared" si="163"/>
        <v>1.9529448964508207E-2</v>
      </c>
      <c r="O135" s="124">
        <f t="shared" si="163"/>
        <v>2.1751873966591204E-2</v>
      </c>
      <c r="P135" s="124">
        <f t="shared" si="163"/>
        <v>2.1903099951684976E-2</v>
      </c>
      <c r="Q135" s="124">
        <f t="shared" si="163"/>
        <v>2.1739045272284215E-2</v>
      </c>
      <c r="R135" s="124">
        <f t="shared" si="163"/>
        <v>1.8252786417099591E-2</v>
      </c>
      <c r="S135" s="124">
        <f t="shared" si="163"/>
        <v>2.1182486291434131E-2</v>
      </c>
      <c r="T135" s="124">
        <f t="shared" si="163"/>
        <v>2.7751673116264506E-2</v>
      </c>
      <c r="U135" s="124">
        <f t="shared" si="163"/>
        <v>2.1655049292755683E-2</v>
      </c>
      <c r="V135" s="124">
        <f t="shared" si="163"/>
        <v>8.9604391400586129E-3</v>
      </c>
      <c r="W135" s="124">
        <f t="shared" si="163"/>
        <v>8.9706183827223569E-3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1.3174897836638699E-2</v>
      </c>
      <c r="C137" s="140">
        <f t="shared" ref="C137:W137" si="165">IF(C45=0,0,C45/C$34)</f>
        <v>1.432484391190827E-2</v>
      </c>
      <c r="D137" s="140">
        <f t="shared" si="165"/>
        <v>1.5154665308996744E-2</v>
      </c>
      <c r="E137" s="140">
        <f t="shared" si="165"/>
        <v>1.375075968156772E-2</v>
      </c>
      <c r="F137" s="140">
        <f t="shared" si="165"/>
        <v>1.0790250799875859E-2</v>
      </c>
      <c r="G137" s="140">
        <f t="shared" si="165"/>
        <v>1.2334625160065773E-2</v>
      </c>
      <c r="H137" s="140">
        <f t="shared" si="165"/>
        <v>1.3452384632670586E-2</v>
      </c>
      <c r="I137" s="140">
        <f t="shared" si="165"/>
        <v>1.6341453959352374E-2</v>
      </c>
      <c r="J137" s="140">
        <f t="shared" si="165"/>
        <v>1.6820687471416355E-2</v>
      </c>
      <c r="K137" s="140">
        <f t="shared" si="165"/>
        <v>1.3343113099033552E-2</v>
      </c>
      <c r="L137" s="140">
        <f t="shared" si="165"/>
        <v>1.2908646221715947E-2</v>
      </c>
      <c r="M137" s="140">
        <f t="shared" si="165"/>
        <v>1.0915051882901131E-2</v>
      </c>
      <c r="N137" s="140">
        <f t="shared" si="165"/>
        <v>1.1035443835598024E-2</v>
      </c>
      <c r="O137" s="140">
        <f t="shared" si="165"/>
        <v>1.2378005313108825E-2</v>
      </c>
      <c r="P137" s="140">
        <f t="shared" si="165"/>
        <v>1.2497565715288431E-2</v>
      </c>
      <c r="Q137" s="140">
        <f t="shared" si="165"/>
        <v>1.2583713176516749E-2</v>
      </c>
      <c r="R137" s="140">
        <f t="shared" si="165"/>
        <v>1.0871261000358724E-2</v>
      </c>
      <c r="S137" s="140">
        <f t="shared" si="165"/>
        <v>1.3021591699695089E-2</v>
      </c>
      <c r="T137" s="140">
        <f t="shared" si="165"/>
        <v>1.6964328100022543E-2</v>
      </c>
      <c r="U137" s="140">
        <f t="shared" si="165"/>
        <v>1.2906526971655442E-2</v>
      </c>
      <c r="V137" s="140">
        <f t="shared" si="165"/>
        <v>4.6032812888908946E-3</v>
      </c>
      <c r="W137" s="140">
        <f t="shared" si="165"/>
        <v>4.9565230106520487E-3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9.2649075274937685E-3</v>
      </c>
      <c r="C138" s="140">
        <f t="shared" ref="C138:W138" si="166">IF(C46=0,0,C46/C$34)</f>
        <v>1.0075702191273231E-2</v>
      </c>
      <c r="D138" s="140">
        <f t="shared" si="166"/>
        <v>1.06575709817131E-2</v>
      </c>
      <c r="E138" s="140">
        <f t="shared" si="166"/>
        <v>9.6691839832445097E-3</v>
      </c>
      <c r="F138" s="140">
        <f t="shared" si="166"/>
        <v>7.5876814399149315E-3</v>
      </c>
      <c r="G138" s="140">
        <f t="shared" si="166"/>
        <v>8.3502766417857567E-3</v>
      </c>
      <c r="H138" s="140">
        <f t="shared" si="166"/>
        <v>8.5620545279767885E-3</v>
      </c>
      <c r="I138" s="140">
        <f t="shared" si="166"/>
        <v>1.0201234569241921E-2</v>
      </c>
      <c r="J138" s="140">
        <f t="shared" si="166"/>
        <v>1.1080373877728446E-2</v>
      </c>
      <c r="K138" s="140">
        <f t="shared" si="166"/>
        <v>9.5215111716409964E-3</v>
      </c>
      <c r="L138" s="140">
        <f t="shared" si="166"/>
        <v>9.5392530571012917E-3</v>
      </c>
      <c r="M138" s="140">
        <f t="shared" si="166"/>
        <v>8.1350750449937555E-3</v>
      </c>
      <c r="N138" s="140">
        <f t="shared" si="166"/>
        <v>8.4940051289101818E-3</v>
      </c>
      <c r="O138" s="140">
        <f t="shared" si="166"/>
        <v>9.3738686534823815E-3</v>
      </c>
      <c r="P138" s="140">
        <f t="shared" si="166"/>
        <v>9.4055342363965431E-3</v>
      </c>
      <c r="Q138" s="140">
        <f t="shared" si="166"/>
        <v>9.1553320957674655E-3</v>
      </c>
      <c r="R138" s="140">
        <f t="shared" si="166"/>
        <v>7.3815254167408665E-3</v>
      </c>
      <c r="S138" s="140">
        <f t="shared" si="166"/>
        <v>8.1608945917390416E-3</v>
      </c>
      <c r="T138" s="140">
        <f t="shared" si="166"/>
        <v>1.0787345016241963E-2</v>
      </c>
      <c r="U138" s="140">
        <f t="shared" si="166"/>
        <v>8.7485223211002418E-3</v>
      </c>
      <c r="V138" s="140">
        <f t="shared" si="166"/>
        <v>4.3571578511677174E-3</v>
      </c>
      <c r="W138" s="140">
        <f t="shared" si="166"/>
        <v>4.0140953720703082E-3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0.887502706216308</v>
      </c>
      <c r="C140" s="139">
        <f t="shared" ref="C140:W140" si="169">IF(C48=0,0,C48/C$47)</f>
        <v>0.91659439333009096</v>
      </c>
      <c r="D140" s="139">
        <f t="shared" si="169"/>
        <v>0.91855735953773232</v>
      </c>
      <c r="E140" s="139">
        <f t="shared" si="169"/>
        <v>0.93316414735237541</v>
      </c>
      <c r="F140" s="139">
        <f t="shared" si="169"/>
        <v>0.95025853608114397</v>
      </c>
      <c r="G140" s="139">
        <f t="shared" si="169"/>
        <v>0.95703894668868039</v>
      </c>
      <c r="H140" s="139">
        <f t="shared" si="169"/>
        <v>0.96131215561295091</v>
      </c>
      <c r="I140" s="139">
        <f t="shared" si="169"/>
        <v>0.97123516940257437</v>
      </c>
      <c r="J140" s="139">
        <f t="shared" si="169"/>
        <v>0.98216564767995085</v>
      </c>
      <c r="K140" s="139">
        <f t="shared" si="169"/>
        <v>0.97916339526039231</v>
      </c>
      <c r="L140" s="139">
        <f t="shared" si="169"/>
        <v>0.97724921469164816</v>
      </c>
      <c r="M140" s="139">
        <f t="shared" si="169"/>
        <v>0.9785496968732057</v>
      </c>
      <c r="N140" s="139">
        <f t="shared" si="169"/>
        <v>0.98200486812034105</v>
      </c>
      <c r="O140" s="139">
        <f t="shared" si="169"/>
        <v>0.97867812981862123</v>
      </c>
      <c r="P140" s="139">
        <f t="shared" si="169"/>
        <v>0.97494720769968291</v>
      </c>
      <c r="Q140" s="139">
        <f t="shared" si="169"/>
        <v>0.97548126810800773</v>
      </c>
      <c r="R140" s="139">
        <f t="shared" si="169"/>
        <v>0.97996133048009737</v>
      </c>
      <c r="S140" s="139">
        <f t="shared" si="169"/>
        <v>0.97934131683638992</v>
      </c>
      <c r="T140" s="139">
        <f t="shared" si="169"/>
        <v>0.97609535604780773</v>
      </c>
      <c r="U140" s="139">
        <f t="shared" si="169"/>
        <v>0.9761461022335185</v>
      </c>
      <c r="V140" s="139">
        <f t="shared" si="169"/>
        <v>0.97172871035851738</v>
      </c>
      <c r="W140" s="139">
        <f t="shared" si="169"/>
        <v>0.9766378925145236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0.32379889848523669</v>
      </c>
      <c r="C141" s="140">
        <f t="shared" ref="C141:W141" si="170">IF(C49=0,0,C49/C$47)</f>
        <v>0.23393548575152207</v>
      </c>
      <c r="D141" s="140">
        <f t="shared" si="170"/>
        <v>0.23117360737803883</v>
      </c>
      <c r="E141" s="140">
        <f t="shared" si="170"/>
        <v>0.2132083224329725</v>
      </c>
      <c r="F141" s="140">
        <f t="shared" si="170"/>
        <v>0.17363261732592794</v>
      </c>
      <c r="G141" s="140">
        <f t="shared" si="170"/>
        <v>0.16195177740765376</v>
      </c>
      <c r="H141" s="140">
        <f t="shared" si="170"/>
        <v>0.15964563745720564</v>
      </c>
      <c r="I141" s="140">
        <f t="shared" si="170"/>
        <v>0.13103730341480641</v>
      </c>
      <c r="J141" s="140">
        <f t="shared" si="170"/>
        <v>0.10531371520592575</v>
      </c>
      <c r="K141" s="140">
        <f t="shared" si="170"/>
        <v>0.17060893220595597</v>
      </c>
      <c r="L141" s="140">
        <f t="shared" si="170"/>
        <v>0.16107990154933663</v>
      </c>
      <c r="M141" s="140">
        <f t="shared" si="170"/>
        <v>0.14478775383611953</v>
      </c>
      <c r="N141" s="140">
        <f t="shared" si="170"/>
        <v>0.1360215775511949</v>
      </c>
      <c r="O141" s="140">
        <f t="shared" si="170"/>
        <v>0.15167590896997679</v>
      </c>
      <c r="P141" s="140">
        <f t="shared" si="170"/>
        <v>0.16138921787666907</v>
      </c>
      <c r="Q141" s="140">
        <f t="shared" si="170"/>
        <v>0.17792111996643323</v>
      </c>
      <c r="R141" s="140">
        <f t="shared" si="170"/>
        <v>0.16024474873705219</v>
      </c>
      <c r="S141" s="140">
        <f t="shared" si="170"/>
        <v>0.16570878087405233</v>
      </c>
      <c r="T141" s="140">
        <f t="shared" si="170"/>
        <v>0.17312766284937853</v>
      </c>
      <c r="U141" s="140">
        <f t="shared" si="170"/>
        <v>0.19473065783213775</v>
      </c>
      <c r="V141" s="140">
        <f t="shared" si="170"/>
        <v>0.25475217699675201</v>
      </c>
      <c r="W141" s="140">
        <f t="shared" si="170"/>
        <v>0.2037392957465492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0.56370380773107132</v>
      </c>
      <c r="C142" s="140">
        <f t="shared" ref="C142:W142" si="171">IF(C50=0,0,C50/C$47)</f>
        <v>0.68265890757856884</v>
      </c>
      <c r="D142" s="140">
        <f t="shared" si="171"/>
        <v>0.6873837521596935</v>
      </c>
      <c r="E142" s="140">
        <f t="shared" si="171"/>
        <v>0.7199558249194028</v>
      </c>
      <c r="F142" s="140">
        <f t="shared" si="171"/>
        <v>0.77662591875521614</v>
      </c>
      <c r="G142" s="140">
        <f t="shared" si="171"/>
        <v>0.79508716928102652</v>
      </c>
      <c r="H142" s="140">
        <f t="shared" si="171"/>
        <v>0.8016665181557453</v>
      </c>
      <c r="I142" s="140">
        <f t="shared" si="171"/>
        <v>0.84019786598776802</v>
      </c>
      <c r="J142" s="140">
        <f t="shared" si="171"/>
        <v>0.87685193247402504</v>
      </c>
      <c r="K142" s="140">
        <f t="shared" si="171"/>
        <v>0.80855446305443646</v>
      </c>
      <c r="L142" s="140">
        <f t="shared" si="171"/>
        <v>0.81616931314231145</v>
      </c>
      <c r="M142" s="140">
        <f t="shared" si="171"/>
        <v>0.83376194303708617</v>
      </c>
      <c r="N142" s="140">
        <f t="shared" si="171"/>
        <v>0.84598329056914623</v>
      </c>
      <c r="O142" s="140">
        <f t="shared" si="171"/>
        <v>0.82700222084864439</v>
      </c>
      <c r="P142" s="140">
        <f t="shared" si="171"/>
        <v>0.81355798982301386</v>
      </c>
      <c r="Q142" s="140">
        <f t="shared" si="171"/>
        <v>0.7975601481415745</v>
      </c>
      <c r="R142" s="140">
        <f t="shared" si="171"/>
        <v>0.81971658174304507</v>
      </c>
      <c r="S142" s="140">
        <f t="shared" si="171"/>
        <v>0.81363253596233764</v>
      </c>
      <c r="T142" s="140">
        <f t="shared" si="171"/>
        <v>0.8029676931984292</v>
      </c>
      <c r="U142" s="140">
        <f t="shared" si="171"/>
        <v>0.78141544440138067</v>
      </c>
      <c r="V142" s="140">
        <f t="shared" si="171"/>
        <v>0.71697653336176537</v>
      </c>
      <c r="W142" s="140">
        <f t="shared" si="171"/>
        <v>0.77289859676797434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0.10978832511865315</v>
      </c>
      <c r="C143" s="124">
        <f t="shared" ref="C143:W143" si="172">IF(C51=0,0,C51/C$47)</f>
        <v>8.1623847826155324E-2</v>
      </c>
      <c r="D143" s="124">
        <f t="shared" si="172"/>
        <v>7.9827403692098092E-2</v>
      </c>
      <c r="E143" s="124">
        <f t="shared" si="172"/>
        <v>6.538073103364124E-2</v>
      </c>
      <c r="F143" s="124">
        <f t="shared" si="172"/>
        <v>4.8626465249123875E-2</v>
      </c>
      <c r="G143" s="124">
        <f t="shared" si="172"/>
        <v>4.1978303179641539E-2</v>
      </c>
      <c r="H143" s="124">
        <f t="shared" si="172"/>
        <v>3.7664579737664197E-2</v>
      </c>
      <c r="I143" s="124">
        <f t="shared" si="172"/>
        <v>2.6688062910927724E-2</v>
      </c>
      <c r="J143" s="124">
        <f t="shared" si="172"/>
        <v>1.7233031699324591E-2</v>
      </c>
      <c r="K143" s="124">
        <f t="shared" si="172"/>
        <v>2.0404402596931697E-2</v>
      </c>
      <c r="L143" s="124">
        <f t="shared" si="172"/>
        <v>2.2138547083484814E-2</v>
      </c>
      <c r="M143" s="124">
        <f t="shared" si="172"/>
        <v>2.1008079247650645E-2</v>
      </c>
      <c r="N143" s="124">
        <f t="shared" si="172"/>
        <v>1.7504926369155578E-2</v>
      </c>
      <c r="O143" s="124">
        <f t="shared" si="172"/>
        <v>2.0729969368195156E-2</v>
      </c>
      <c r="P143" s="124">
        <f t="shared" si="172"/>
        <v>2.451568499822622E-2</v>
      </c>
      <c r="Q143" s="124">
        <f t="shared" si="172"/>
        <v>2.3904337148888441E-2</v>
      </c>
      <c r="R143" s="124">
        <f t="shared" si="172"/>
        <v>1.9652914374415752E-2</v>
      </c>
      <c r="S143" s="124">
        <f t="shared" si="172"/>
        <v>2.0025347443234542E-2</v>
      </c>
      <c r="T143" s="124">
        <f t="shared" si="172"/>
        <v>2.3188104232264369E-2</v>
      </c>
      <c r="U143" s="124">
        <f t="shared" si="172"/>
        <v>2.3315682973122639E-2</v>
      </c>
      <c r="V143" s="124">
        <f t="shared" si="172"/>
        <v>2.7108893577040969E-2</v>
      </c>
      <c r="W143" s="124">
        <f t="shared" si="172"/>
        <v>2.2430331995405037E-2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2.7089686650388928E-3</v>
      </c>
      <c r="C144" s="124">
        <f t="shared" ref="C144:W144" si="173">IF(C52=0,0,C52/C$47)</f>
        <v>1.7817588437537529E-3</v>
      </c>
      <c r="D144" s="124">
        <f t="shared" si="173"/>
        <v>1.6152367701695481E-3</v>
      </c>
      <c r="E144" s="124">
        <f t="shared" si="173"/>
        <v>1.455121613983398E-3</v>
      </c>
      <c r="F144" s="124">
        <f t="shared" si="173"/>
        <v>1.1149986697322793E-3</v>
      </c>
      <c r="G144" s="124">
        <f t="shared" si="173"/>
        <v>9.8275013167798179E-4</v>
      </c>
      <c r="H144" s="124">
        <f t="shared" si="173"/>
        <v>1.0232646493849059E-3</v>
      </c>
      <c r="I144" s="124">
        <f t="shared" si="173"/>
        <v>2.07676768649804E-3</v>
      </c>
      <c r="J144" s="124">
        <f t="shared" si="173"/>
        <v>6.0132062072465952E-4</v>
      </c>
      <c r="K144" s="124">
        <f t="shared" si="173"/>
        <v>4.3220214267594362E-4</v>
      </c>
      <c r="L144" s="124">
        <f t="shared" si="173"/>
        <v>6.1223822486710657E-4</v>
      </c>
      <c r="M144" s="124">
        <f t="shared" si="173"/>
        <v>4.4222387914366688E-4</v>
      </c>
      <c r="N144" s="124">
        <f t="shared" si="173"/>
        <v>4.9020551050333021E-4</v>
      </c>
      <c r="O144" s="124">
        <f t="shared" si="173"/>
        <v>5.9190081318355133E-4</v>
      </c>
      <c r="P144" s="124">
        <f t="shared" si="173"/>
        <v>5.3710730209092963E-4</v>
      </c>
      <c r="Q144" s="124">
        <f t="shared" si="173"/>
        <v>6.1439474310392636E-4</v>
      </c>
      <c r="R144" s="124">
        <f t="shared" si="173"/>
        <v>3.8575514548696167E-4</v>
      </c>
      <c r="S144" s="124">
        <f t="shared" si="173"/>
        <v>6.3333572037554443E-4</v>
      </c>
      <c r="T144" s="124">
        <f t="shared" si="173"/>
        <v>7.1653971992794829E-4</v>
      </c>
      <c r="U144" s="124">
        <f t="shared" si="173"/>
        <v>5.3821479335875724E-4</v>
      </c>
      <c r="V144" s="124">
        <f t="shared" si="173"/>
        <v>1.1623960644416911E-3</v>
      </c>
      <c r="W144" s="124">
        <f t="shared" si="173"/>
        <v>9.3177549007140504E-4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1.4330625569891218E-3</v>
      </c>
      <c r="C146" s="140">
        <f t="shared" ref="C146:W146" si="175">IF(C54=0,0,C54/C$47)</f>
        <v>8.563200603675104E-4</v>
      </c>
      <c r="D146" s="140">
        <f t="shared" si="175"/>
        <v>6.8464092023141942E-4</v>
      </c>
      <c r="E146" s="140">
        <f t="shared" si="175"/>
        <v>4.9147286980205543E-4</v>
      </c>
      <c r="F146" s="140">
        <f t="shared" si="175"/>
        <v>3.4944005372297324E-4</v>
      </c>
      <c r="G146" s="140">
        <f t="shared" si="175"/>
        <v>3.3835956410610925E-4</v>
      </c>
      <c r="H146" s="140">
        <f t="shared" si="175"/>
        <v>6.5044935755122386E-4</v>
      </c>
      <c r="I146" s="140">
        <f t="shared" si="175"/>
        <v>1.8915851395108017E-3</v>
      </c>
      <c r="J146" s="140">
        <f t="shared" si="175"/>
        <v>5.0960357061866665E-4</v>
      </c>
      <c r="K146" s="140">
        <f t="shared" si="175"/>
        <v>3.7155196222887239E-4</v>
      </c>
      <c r="L146" s="140">
        <f t="shared" si="175"/>
        <v>5.6397474398436355E-4</v>
      </c>
      <c r="M146" s="140">
        <f t="shared" si="175"/>
        <v>4.0451310889496537E-4</v>
      </c>
      <c r="N146" s="140">
        <f t="shared" si="175"/>
        <v>4.5722242998795157E-4</v>
      </c>
      <c r="O146" s="140">
        <f t="shared" si="175"/>
        <v>5.54435927391169E-4</v>
      </c>
      <c r="P146" s="140">
        <f t="shared" si="175"/>
        <v>5.0186120189464687E-4</v>
      </c>
      <c r="Q146" s="140">
        <f t="shared" si="175"/>
        <v>5.9494176110232741E-4</v>
      </c>
      <c r="R146" s="140">
        <f t="shared" si="175"/>
        <v>3.7006215947233567E-4</v>
      </c>
      <c r="S146" s="140">
        <f t="shared" si="175"/>
        <v>6.0091986301742683E-4</v>
      </c>
      <c r="T146" s="140">
        <f t="shared" si="175"/>
        <v>6.7232335898328934E-4</v>
      </c>
      <c r="U146" s="140">
        <f t="shared" si="175"/>
        <v>4.9862178213339427E-4</v>
      </c>
      <c r="V146" s="140">
        <f t="shared" si="175"/>
        <v>1.0503726547738781E-3</v>
      </c>
      <c r="W146" s="140">
        <f t="shared" si="175"/>
        <v>8.5537671792575815E-4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1.2759061080497714E-3</v>
      </c>
      <c r="C147" s="140">
        <f t="shared" ref="C147:W147" si="176">IF(C55=0,0,C55/C$47)</f>
        <v>9.254387833862427E-4</v>
      </c>
      <c r="D147" s="140">
        <f t="shared" si="176"/>
        <v>9.3059584993812844E-4</v>
      </c>
      <c r="E147" s="140">
        <f t="shared" si="176"/>
        <v>9.6364874418134263E-4</v>
      </c>
      <c r="F147" s="140">
        <f t="shared" si="176"/>
        <v>7.6555861600930602E-4</v>
      </c>
      <c r="G147" s="140">
        <f t="shared" si="176"/>
        <v>6.4439056757187253E-4</v>
      </c>
      <c r="H147" s="140">
        <f t="shared" si="176"/>
        <v>3.7281529183368209E-4</v>
      </c>
      <c r="I147" s="140">
        <f t="shared" si="176"/>
        <v>1.851825469872381E-4</v>
      </c>
      <c r="J147" s="140">
        <f t="shared" si="176"/>
        <v>9.1717050105992844E-5</v>
      </c>
      <c r="K147" s="140">
        <f t="shared" si="176"/>
        <v>6.0650180447071209E-5</v>
      </c>
      <c r="L147" s="140">
        <f t="shared" si="176"/>
        <v>4.8263480882743126E-5</v>
      </c>
      <c r="M147" s="140">
        <f t="shared" si="176"/>
        <v>3.7710770248701446E-5</v>
      </c>
      <c r="N147" s="140">
        <f t="shared" si="176"/>
        <v>3.2983080515378665E-5</v>
      </c>
      <c r="O147" s="140">
        <f t="shared" si="176"/>
        <v>3.74648857923823E-5</v>
      </c>
      <c r="P147" s="140">
        <f t="shared" si="176"/>
        <v>3.524610019628277E-5</v>
      </c>
      <c r="Q147" s="140">
        <f t="shared" si="176"/>
        <v>1.9452982001598994E-5</v>
      </c>
      <c r="R147" s="140">
        <f t="shared" si="176"/>
        <v>1.5692986014625967E-5</v>
      </c>
      <c r="S147" s="140">
        <f t="shared" si="176"/>
        <v>3.2415857358117607E-5</v>
      </c>
      <c r="T147" s="140">
        <f t="shared" si="176"/>
        <v>4.4216360944659068E-5</v>
      </c>
      <c r="U147" s="140">
        <f t="shared" si="176"/>
        <v>3.959301122536295E-5</v>
      </c>
      <c r="V147" s="140">
        <f t="shared" si="176"/>
        <v>1.1202340966781309E-4</v>
      </c>
      <c r="W147" s="140">
        <f t="shared" si="176"/>
        <v>7.6398772145646842E-5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</v>
      </c>
      <c r="H148" s="124">
        <f t="shared" si="177"/>
        <v>0</v>
      </c>
      <c r="I148" s="124">
        <f t="shared" si="177"/>
        <v>0</v>
      </c>
      <c r="J148" s="124">
        <f t="shared" si="177"/>
        <v>0</v>
      </c>
      <c r="K148" s="124">
        <f t="shared" si="177"/>
        <v>0</v>
      </c>
      <c r="L148" s="124">
        <f t="shared" si="177"/>
        <v>0</v>
      </c>
      <c r="M148" s="124">
        <f t="shared" si="177"/>
        <v>0</v>
      </c>
      <c r="N148" s="124">
        <f t="shared" si="177"/>
        <v>0</v>
      </c>
      <c r="O148" s="124">
        <f t="shared" si="177"/>
        <v>0</v>
      </c>
      <c r="P148" s="124">
        <f t="shared" si="177"/>
        <v>0</v>
      </c>
      <c r="Q148" s="124">
        <f t="shared" si="177"/>
        <v>0</v>
      </c>
      <c r="R148" s="124">
        <f t="shared" si="177"/>
        <v>0</v>
      </c>
      <c r="S148" s="124">
        <f t="shared" si="177"/>
        <v>0</v>
      </c>
      <c r="T148" s="124">
        <f t="shared" si="177"/>
        <v>0</v>
      </c>
      <c r="U148" s="124">
        <f t="shared" si="177"/>
        <v>0</v>
      </c>
      <c r="V148" s="124">
        <f t="shared" si="177"/>
        <v>0</v>
      </c>
      <c r="W148" s="124">
        <f t="shared" si="177"/>
        <v>0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0.35014130078921496</v>
      </c>
      <c r="H152" s="140">
        <f t="shared" si="181"/>
        <v>0.34759966465037762</v>
      </c>
      <c r="I152" s="140">
        <f t="shared" si="181"/>
        <v>0.33306655304669097</v>
      </c>
      <c r="J152" s="140">
        <f t="shared" si="181"/>
        <v>0.3331836043086896</v>
      </c>
      <c r="K152" s="140">
        <f t="shared" si="181"/>
        <v>0.34260893740238052</v>
      </c>
      <c r="L152" s="140">
        <f t="shared" si="181"/>
        <v>0.28261339645089195</v>
      </c>
      <c r="M152" s="140">
        <f t="shared" si="181"/>
        <v>0.2354519106323536</v>
      </c>
      <c r="N152" s="140">
        <f t="shared" si="181"/>
        <v>0.28527392574528004</v>
      </c>
      <c r="O152" s="140">
        <f t="shared" si="181"/>
        <v>0.25162768924282747</v>
      </c>
      <c r="P152" s="140">
        <f t="shared" si="181"/>
        <v>0.26911834528255973</v>
      </c>
      <c r="Q152" s="140">
        <f t="shared" si="181"/>
        <v>0.26183611617305552</v>
      </c>
      <c r="R152" s="140">
        <f t="shared" si="181"/>
        <v>0.27589968057177799</v>
      </c>
      <c r="S152" s="140">
        <f t="shared" si="181"/>
        <v>0.25588694492089431</v>
      </c>
      <c r="T152" s="140">
        <f t="shared" si="181"/>
        <v>0.24149165486511731</v>
      </c>
      <c r="U152" s="140">
        <f t="shared" si="181"/>
        <v>0.22974394987204358</v>
      </c>
      <c r="V152" s="140">
        <f t="shared" si="181"/>
        <v>0.18877261189892031</v>
      </c>
      <c r="W152" s="140">
        <f t="shared" si="181"/>
        <v>0.15722503125025539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0.6498586992107851</v>
      </c>
      <c r="H153" s="127">
        <f t="shared" si="182"/>
        <v>0.65240033534962238</v>
      </c>
      <c r="I153" s="127">
        <f t="shared" si="182"/>
        <v>0.66693344695330892</v>
      </c>
      <c r="J153" s="127">
        <f t="shared" si="182"/>
        <v>0.66681639569131035</v>
      </c>
      <c r="K153" s="127">
        <f t="shared" si="182"/>
        <v>0.65739106259761948</v>
      </c>
      <c r="L153" s="127">
        <f t="shared" si="182"/>
        <v>0.71738660354910799</v>
      </c>
      <c r="M153" s="127">
        <f t="shared" si="182"/>
        <v>0.7645480893676464</v>
      </c>
      <c r="N153" s="127">
        <f t="shared" si="182"/>
        <v>0.71472607425472001</v>
      </c>
      <c r="O153" s="127">
        <f t="shared" si="182"/>
        <v>0.74837231075717259</v>
      </c>
      <c r="P153" s="127">
        <f t="shared" si="182"/>
        <v>0.73088165471744027</v>
      </c>
      <c r="Q153" s="127">
        <f t="shared" si="182"/>
        <v>0.73816388382694442</v>
      </c>
      <c r="R153" s="127">
        <f t="shared" si="182"/>
        <v>0.72410031942822206</v>
      </c>
      <c r="S153" s="127">
        <f t="shared" si="182"/>
        <v>0.74411305507910563</v>
      </c>
      <c r="T153" s="127">
        <f t="shared" si="182"/>
        <v>0.75850834513488274</v>
      </c>
      <c r="U153" s="127">
        <f t="shared" si="182"/>
        <v>0.77025605012795639</v>
      </c>
      <c r="V153" s="127">
        <f t="shared" si="182"/>
        <v>0.81122738810107964</v>
      </c>
      <c r="W153" s="127">
        <f t="shared" si="182"/>
        <v>0.84277496874974467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0.97161071706113233</v>
      </c>
      <c r="C157" s="139">
        <f t="shared" ref="C157:W157" si="185">IF(C65=0,0,C65/C$64)</f>
        <v>0.96968208581586102</v>
      </c>
      <c r="D157" s="139">
        <f t="shared" si="185"/>
        <v>0.96827913067153526</v>
      </c>
      <c r="E157" s="139">
        <f t="shared" si="185"/>
        <v>0.97021544683892058</v>
      </c>
      <c r="F157" s="139">
        <f t="shared" si="185"/>
        <v>0.97565159678033198</v>
      </c>
      <c r="G157" s="139">
        <f t="shared" si="185"/>
        <v>0.97370233194574174</v>
      </c>
      <c r="H157" s="139">
        <f t="shared" si="185"/>
        <v>0.97246269710362532</v>
      </c>
      <c r="I157" s="139">
        <f t="shared" si="185"/>
        <v>0.96787149885439439</v>
      </c>
      <c r="J157" s="139">
        <f t="shared" si="185"/>
        <v>0.96713432421157219</v>
      </c>
      <c r="K157" s="139">
        <f t="shared" si="185"/>
        <v>0.97229530651673546</v>
      </c>
      <c r="L157" s="139">
        <f t="shared" si="185"/>
        <v>0.97306547855072767</v>
      </c>
      <c r="M157" s="139">
        <f t="shared" si="185"/>
        <v>0.97656854057726594</v>
      </c>
      <c r="N157" s="139">
        <f t="shared" si="185"/>
        <v>0.97623054688862199</v>
      </c>
      <c r="O157" s="139">
        <f t="shared" si="185"/>
        <v>0.97334883405238992</v>
      </c>
      <c r="P157" s="139">
        <f t="shared" si="185"/>
        <v>0.97308186471709235</v>
      </c>
      <c r="Q157" s="139">
        <f t="shared" si="185"/>
        <v>0.97305585463647648</v>
      </c>
      <c r="R157" s="139">
        <f t="shared" si="185"/>
        <v>0.97729150592755154</v>
      </c>
      <c r="S157" s="139">
        <f t="shared" si="185"/>
        <v>0.97428678565344329</v>
      </c>
      <c r="T157" s="139">
        <f t="shared" si="185"/>
        <v>0.96734464773714812</v>
      </c>
      <c r="U157" s="139">
        <f t="shared" si="185"/>
        <v>0.97377071366459511</v>
      </c>
      <c r="V157" s="139">
        <f t="shared" si="185"/>
        <v>0.98770221298088146</v>
      </c>
      <c r="W157" s="139">
        <f t="shared" si="185"/>
        <v>0.98647704072288633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3.1169441766972891E-3</v>
      </c>
      <c r="C158" s="140">
        <f t="shared" ref="C158:W158" si="186">IF(C66=0,0,C66/C$64)</f>
        <v>2.908671793437686E-3</v>
      </c>
      <c r="D158" s="140">
        <f t="shared" si="186"/>
        <v>2.8307989832694605E-3</v>
      </c>
      <c r="E158" s="140">
        <f t="shared" si="186"/>
        <v>3.4529619307987623E-3</v>
      </c>
      <c r="F158" s="140">
        <f t="shared" si="186"/>
        <v>4.0299239033036111E-3</v>
      </c>
      <c r="G158" s="140">
        <f t="shared" si="186"/>
        <v>4.3340503480287151E-3</v>
      </c>
      <c r="H158" s="140">
        <f t="shared" si="186"/>
        <v>4.7294944436129752E-3</v>
      </c>
      <c r="I158" s="140">
        <f t="shared" si="186"/>
        <v>5.0639780432456712E-3</v>
      </c>
      <c r="J158" s="140">
        <f t="shared" si="186"/>
        <v>5.0616991164790567E-3</v>
      </c>
      <c r="K158" s="140">
        <f t="shared" si="186"/>
        <v>5.5540649156251322E-3</v>
      </c>
      <c r="L158" s="140">
        <f t="shared" si="186"/>
        <v>6.7217161419437111E-3</v>
      </c>
      <c r="M158" s="140">
        <f t="shared" si="186"/>
        <v>7.7535380862875421E-3</v>
      </c>
      <c r="N158" s="140">
        <f t="shared" si="186"/>
        <v>7.2769605858386778E-3</v>
      </c>
      <c r="O158" s="140">
        <f t="shared" si="186"/>
        <v>6.5985243186125067E-3</v>
      </c>
      <c r="P158" s="140">
        <f t="shared" si="186"/>
        <v>6.6515240151525049E-3</v>
      </c>
      <c r="Q158" s="140">
        <f t="shared" si="186"/>
        <v>6.9666942891017285E-3</v>
      </c>
      <c r="R158" s="140">
        <f t="shared" si="186"/>
        <v>7.1746355054042605E-3</v>
      </c>
      <c r="S158" s="140">
        <f t="shared" si="186"/>
        <v>6.7454764567671764E-3</v>
      </c>
      <c r="T158" s="140">
        <f t="shared" si="186"/>
        <v>6.2736754162163195E-3</v>
      </c>
      <c r="U158" s="140">
        <f t="shared" si="186"/>
        <v>6.7678959670259631E-3</v>
      </c>
      <c r="V158" s="140">
        <f t="shared" si="186"/>
        <v>7.2589175405865063E-3</v>
      </c>
      <c r="W158" s="140">
        <f t="shared" si="186"/>
        <v>6.5563981006517115E-3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0.89302041997115855</v>
      </c>
      <c r="C159" s="140">
        <f t="shared" ref="C159:W159" si="187">IF(C67=0,0,C67/C$64)</f>
        <v>0.89780594306400818</v>
      </c>
      <c r="D159" s="140">
        <f t="shared" si="187"/>
        <v>0.90034905434311485</v>
      </c>
      <c r="E159" s="140">
        <f t="shared" si="187"/>
        <v>0.90248883842740779</v>
      </c>
      <c r="F159" s="140">
        <f t="shared" si="187"/>
        <v>0.90371056072505906</v>
      </c>
      <c r="G159" s="140">
        <f t="shared" si="187"/>
        <v>0.90577440742318105</v>
      </c>
      <c r="H159" s="140">
        <f t="shared" si="187"/>
        <v>0.90554728265689899</v>
      </c>
      <c r="I159" s="140">
        <f t="shared" si="187"/>
        <v>0.9026633800303252</v>
      </c>
      <c r="J159" s="140">
        <f t="shared" si="187"/>
        <v>0.90577646608758278</v>
      </c>
      <c r="K159" s="140">
        <f t="shared" si="187"/>
        <v>0.90861074764551641</v>
      </c>
      <c r="L159" s="140">
        <f t="shared" si="187"/>
        <v>0.90961555611356393</v>
      </c>
      <c r="M159" s="140">
        <f t="shared" si="187"/>
        <v>0.9109902634751964</v>
      </c>
      <c r="N159" s="140">
        <f t="shared" si="187"/>
        <v>0.91018176148128993</v>
      </c>
      <c r="O159" s="140">
        <f t="shared" si="187"/>
        <v>0.90524873700527531</v>
      </c>
      <c r="P159" s="140">
        <f t="shared" si="187"/>
        <v>0.90279202654535229</v>
      </c>
      <c r="Q159" s="140">
        <f t="shared" si="187"/>
        <v>0.90085511458426826</v>
      </c>
      <c r="R159" s="140">
        <f t="shared" si="187"/>
        <v>0.9056423121951932</v>
      </c>
      <c r="S159" s="140">
        <f t="shared" si="187"/>
        <v>0.90276921365644014</v>
      </c>
      <c r="T159" s="140">
        <f t="shared" si="187"/>
        <v>0.89973516778177942</v>
      </c>
      <c r="U159" s="140">
        <f t="shared" si="187"/>
        <v>0.90475813708814434</v>
      </c>
      <c r="V159" s="140">
        <f t="shared" si="187"/>
        <v>0.93379686575166398</v>
      </c>
      <c r="W159" s="140">
        <f t="shared" si="187"/>
        <v>0.9285972828353759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7.5473352913276504E-2</v>
      </c>
      <c r="C160" s="140">
        <f t="shared" ref="C160:W160" si="188">IF(C68=0,0,C68/C$64)</f>
        <v>6.8967470958415281E-2</v>
      </c>
      <c r="D160" s="140">
        <f t="shared" si="188"/>
        <v>6.5099277345150891E-2</v>
      </c>
      <c r="E160" s="140">
        <f t="shared" si="188"/>
        <v>6.4273646480714181E-2</v>
      </c>
      <c r="F160" s="140">
        <f t="shared" si="188"/>
        <v>6.7911112151969349E-2</v>
      </c>
      <c r="G160" s="140">
        <f t="shared" si="188"/>
        <v>6.3593874174531967E-2</v>
      </c>
      <c r="H160" s="140">
        <f t="shared" si="188"/>
        <v>6.2185920003113487E-2</v>
      </c>
      <c r="I160" s="140">
        <f t="shared" si="188"/>
        <v>6.0144140780823557E-2</v>
      </c>
      <c r="J160" s="140">
        <f t="shared" si="188"/>
        <v>5.6296159007510303E-2</v>
      </c>
      <c r="K160" s="140">
        <f t="shared" si="188"/>
        <v>5.8130493955593929E-2</v>
      </c>
      <c r="L160" s="140">
        <f t="shared" si="188"/>
        <v>5.6728206295219998E-2</v>
      </c>
      <c r="M160" s="140">
        <f t="shared" si="188"/>
        <v>5.7824739015781966E-2</v>
      </c>
      <c r="N160" s="140">
        <f t="shared" si="188"/>
        <v>5.8771824821493346E-2</v>
      </c>
      <c r="O160" s="140">
        <f t="shared" si="188"/>
        <v>6.1501572728502207E-2</v>
      </c>
      <c r="P160" s="140">
        <f t="shared" si="188"/>
        <v>6.363831415658755E-2</v>
      </c>
      <c r="Q160" s="140">
        <f t="shared" si="188"/>
        <v>6.5234045763106638E-2</v>
      </c>
      <c r="R160" s="140">
        <f t="shared" si="188"/>
        <v>6.4474558226954096E-2</v>
      </c>
      <c r="S160" s="140">
        <f t="shared" si="188"/>
        <v>6.4772095540235844E-2</v>
      </c>
      <c r="T160" s="140">
        <f t="shared" si="188"/>
        <v>6.1335804539152376E-2</v>
      </c>
      <c r="U160" s="140">
        <f t="shared" si="188"/>
        <v>6.2244680609424792E-2</v>
      </c>
      <c r="V160" s="140">
        <f t="shared" si="188"/>
        <v>4.6646429688630961E-2</v>
      </c>
      <c r="W160" s="140">
        <f t="shared" si="188"/>
        <v>5.1323359786858827E-2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5.3804238439466839E-3</v>
      </c>
      <c r="C161" s="124">
        <f t="shared" ref="C161:W161" si="189">IF(C69=0,0,C69/C$64)</f>
        <v>5.3005078893499178E-3</v>
      </c>
      <c r="D161" s="124">
        <f t="shared" si="189"/>
        <v>5.3305605825314101E-3</v>
      </c>
      <c r="E161" s="124">
        <f t="shared" si="189"/>
        <v>5.8341850471518358E-3</v>
      </c>
      <c r="F161" s="124">
        <f t="shared" si="189"/>
        <v>5.6080607397827721E-3</v>
      </c>
      <c r="G161" s="124">
        <f t="shared" si="189"/>
        <v>5.2391997353602492E-3</v>
      </c>
      <c r="H161" s="124">
        <f t="shared" si="189"/>
        <v>5.1313670522463509E-3</v>
      </c>
      <c r="I161" s="124">
        <f t="shared" si="189"/>
        <v>5.0761857086080581E-3</v>
      </c>
      <c r="J161" s="124">
        <f t="shared" si="189"/>
        <v>4.3602938976054131E-3</v>
      </c>
      <c r="K161" s="124">
        <f t="shared" si="189"/>
        <v>4.2822649645727568E-3</v>
      </c>
      <c r="L161" s="124">
        <f t="shared" si="189"/>
        <v>3.8028172015758827E-3</v>
      </c>
      <c r="M161" s="124">
        <f t="shared" si="189"/>
        <v>3.9297647913688408E-3</v>
      </c>
      <c r="N161" s="124">
        <f t="shared" si="189"/>
        <v>3.6657589847651903E-3</v>
      </c>
      <c r="O161" s="124">
        <f t="shared" si="189"/>
        <v>4.167845732049682E-3</v>
      </c>
      <c r="P161" s="124">
        <f t="shared" si="189"/>
        <v>4.4880175016310808E-3</v>
      </c>
      <c r="Q161" s="124">
        <f t="shared" si="189"/>
        <v>4.8271650217156913E-3</v>
      </c>
      <c r="R161" s="124">
        <f t="shared" si="189"/>
        <v>4.2522840767650156E-3</v>
      </c>
      <c r="S161" s="124">
        <f t="shared" si="189"/>
        <v>4.1945698503594057E-3</v>
      </c>
      <c r="T161" s="124">
        <f t="shared" si="189"/>
        <v>3.9254491792838058E-3</v>
      </c>
      <c r="U161" s="124">
        <f t="shared" si="189"/>
        <v>3.5994531451236864E-3</v>
      </c>
      <c r="V161" s="124">
        <f t="shared" si="189"/>
        <v>2.8347211656559968E-3</v>
      </c>
      <c r="W161" s="124">
        <f t="shared" si="189"/>
        <v>4.0435418459261732E-3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5.3804238439466839E-3</v>
      </c>
      <c r="C163" s="140">
        <f t="shared" ref="C163:W163" si="191">IF(C71=0,0,C71/C$64)</f>
        <v>5.3005078893499178E-3</v>
      </c>
      <c r="D163" s="140">
        <f t="shared" si="191"/>
        <v>5.3305605825314101E-3</v>
      </c>
      <c r="E163" s="140">
        <f t="shared" si="191"/>
        <v>5.8341850471518358E-3</v>
      </c>
      <c r="F163" s="140">
        <f t="shared" si="191"/>
        <v>5.6080607397827721E-3</v>
      </c>
      <c r="G163" s="140">
        <f t="shared" si="191"/>
        <v>5.2391997353602492E-3</v>
      </c>
      <c r="H163" s="140">
        <f t="shared" si="191"/>
        <v>5.1313670522463509E-3</v>
      </c>
      <c r="I163" s="140">
        <f t="shared" si="191"/>
        <v>5.0761857086080581E-3</v>
      </c>
      <c r="J163" s="140">
        <f t="shared" si="191"/>
        <v>4.3602938976054131E-3</v>
      </c>
      <c r="K163" s="140">
        <f t="shared" si="191"/>
        <v>4.2822649645727568E-3</v>
      </c>
      <c r="L163" s="140">
        <f t="shared" si="191"/>
        <v>3.8028172015758827E-3</v>
      </c>
      <c r="M163" s="140">
        <f t="shared" si="191"/>
        <v>3.9297647913688408E-3</v>
      </c>
      <c r="N163" s="140">
        <f t="shared" si="191"/>
        <v>3.6657589847651903E-3</v>
      </c>
      <c r="O163" s="140">
        <f t="shared" si="191"/>
        <v>4.167845732049682E-3</v>
      </c>
      <c r="P163" s="140">
        <f t="shared" si="191"/>
        <v>4.4880175016310808E-3</v>
      </c>
      <c r="Q163" s="140">
        <f t="shared" si="191"/>
        <v>4.8271650217156913E-3</v>
      </c>
      <c r="R163" s="140">
        <f t="shared" si="191"/>
        <v>4.2522840767650156E-3</v>
      </c>
      <c r="S163" s="140">
        <f t="shared" si="191"/>
        <v>4.1945698503594057E-3</v>
      </c>
      <c r="T163" s="140">
        <f t="shared" si="191"/>
        <v>3.9254491792838058E-3</v>
      </c>
      <c r="U163" s="140">
        <f t="shared" si="191"/>
        <v>3.5994531451236864E-3</v>
      </c>
      <c r="V163" s="140">
        <f t="shared" si="191"/>
        <v>2.8347211656559968E-3</v>
      </c>
      <c r="W163" s="140">
        <f t="shared" si="191"/>
        <v>4.0435418459261732E-3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2.3008859094920946E-2</v>
      </c>
      <c r="C165" s="124">
        <f t="shared" ref="C165:W165" si="193">IF(C73=0,0,C73/C$64)</f>
        <v>2.5017406294789126E-2</v>
      </c>
      <c r="D165" s="124">
        <f t="shared" si="193"/>
        <v>2.6390308745933351E-2</v>
      </c>
      <c r="E165" s="124">
        <f t="shared" si="193"/>
        <v>2.3950368113927513E-2</v>
      </c>
      <c r="F165" s="124">
        <f t="shared" si="193"/>
        <v>1.8740342479885229E-2</v>
      </c>
      <c r="G165" s="124">
        <f t="shared" si="193"/>
        <v>2.1058468318897947E-2</v>
      </c>
      <c r="H165" s="124">
        <f t="shared" si="193"/>
        <v>2.2405935844128408E-2</v>
      </c>
      <c r="I165" s="124">
        <f t="shared" si="193"/>
        <v>2.7052315436997623E-2</v>
      </c>
      <c r="J165" s="124">
        <f t="shared" si="193"/>
        <v>2.8505381890822357E-2</v>
      </c>
      <c r="K165" s="124">
        <f t="shared" si="193"/>
        <v>2.3422428518691835E-2</v>
      </c>
      <c r="L165" s="124">
        <f t="shared" si="193"/>
        <v>2.3131704247696519E-2</v>
      </c>
      <c r="M165" s="124">
        <f t="shared" si="193"/>
        <v>1.9501694631365325E-2</v>
      </c>
      <c r="N165" s="124">
        <f t="shared" si="193"/>
        <v>2.0103694126612868E-2</v>
      </c>
      <c r="O165" s="124">
        <f t="shared" si="193"/>
        <v>2.2483320215560362E-2</v>
      </c>
      <c r="P165" s="124">
        <f t="shared" si="193"/>
        <v>2.2430117781276508E-2</v>
      </c>
      <c r="Q165" s="124">
        <f t="shared" si="193"/>
        <v>2.2116980341807705E-2</v>
      </c>
      <c r="R165" s="124">
        <f t="shared" si="193"/>
        <v>1.8456209995683412E-2</v>
      </c>
      <c r="S165" s="124">
        <f t="shared" si="193"/>
        <v>2.1518644496197278E-2</v>
      </c>
      <c r="T165" s="124">
        <f t="shared" si="193"/>
        <v>2.8729903083567966E-2</v>
      </c>
      <c r="U165" s="124">
        <f t="shared" si="193"/>
        <v>2.262983319028122E-2</v>
      </c>
      <c r="V165" s="124">
        <f t="shared" si="193"/>
        <v>9.4630658534625364E-3</v>
      </c>
      <c r="W165" s="124">
        <f t="shared" si="193"/>
        <v>9.4794174311874368E-3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1.3509001659957942E-2</v>
      </c>
      <c r="C167" s="140">
        <f t="shared" ref="C167:W167" si="195">IF(C75=0,0,C75/C$64)</f>
        <v>1.4686984411669336E-2</v>
      </c>
      <c r="D167" s="140">
        <f t="shared" si="195"/>
        <v>1.5494058397011177E-2</v>
      </c>
      <c r="E167" s="140">
        <f t="shared" si="195"/>
        <v>1.406219250281617E-2</v>
      </c>
      <c r="F167" s="140">
        <f t="shared" si="195"/>
        <v>1.1003033028694586E-2</v>
      </c>
      <c r="G167" s="140">
        <f t="shared" si="195"/>
        <v>1.2557386815125039E-2</v>
      </c>
      <c r="H167" s="140">
        <f t="shared" si="195"/>
        <v>1.3691616889743758E-2</v>
      </c>
      <c r="I167" s="140">
        <f t="shared" si="195"/>
        <v>1.6655214362754928E-2</v>
      </c>
      <c r="J167" s="140">
        <f t="shared" si="195"/>
        <v>1.7185013646571937E-2</v>
      </c>
      <c r="K167" s="140">
        <f t="shared" si="195"/>
        <v>1.3668631029278398E-2</v>
      </c>
      <c r="L167" s="140">
        <f t="shared" si="195"/>
        <v>1.3301867712879872E-2</v>
      </c>
      <c r="M167" s="140">
        <f t="shared" si="195"/>
        <v>1.1173784275114489E-2</v>
      </c>
      <c r="N167" s="140">
        <f t="shared" si="195"/>
        <v>1.1359930729508163E-2</v>
      </c>
      <c r="O167" s="140">
        <f t="shared" si="195"/>
        <v>1.2794238211933982E-2</v>
      </c>
      <c r="P167" s="140">
        <f t="shared" si="195"/>
        <v>1.2798273832996775E-2</v>
      </c>
      <c r="Q167" s="140">
        <f t="shared" si="195"/>
        <v>1.280248205319294E-2</v>
      </c>
      <c r="R167" s="140">
        <f t="shared" si="195"/>
        <v>1.0992418985001549E-2</v>
      </c>
      <c r="S167" s="140">
        <f t="shared" si="195"/>
        <v>1.3228239532659735E-2</v>
      </c>
      <c r="T167" s="140">
        <f t="shared" si="195"/>
        <v>1.7562310573118349E-2</v>
      </c>
      <c r="U167" s="140">
        <f t="shared" si="195"/>
        <v>1.3487503467938805E-2</v>
      </c>
      <c r="V167" s="140">
        <f t="shared" si="195"/>
        <v>4.861497667457121E-3</v>
      </c>
      <c r="W167" s="140">
        <f t="shared" si="195"/>
        <v>5.2376490249268545E-3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9.4998574349630018E-3</v>
      </c>
      <c r="C168" s="140">
        <f t="shared" ref="C168:W168" si="196">IF(C76=0,0,C76/C$64)</f>
        <v>1.033042188311979E-2</v>
      </c>
      <c r="D168" s="140">
        <f t="shared" si="196"/>
        <v>1.0896250348922174E-2</v>
      </c>
      <c r="E168" s="140">
        <f t="shared" si="196"/>
        <v>9.8881756111113446E-3</v>
      </c>
      <c r="F168" s="140">
        <f t="shared" si="196"/>
        <v>7.7373094511906425E-3</v>
      </c>
      <c r="G168" s="140">
        <f t="shared" si="196"/>
        <v>8.5010815037729059E-3</v>
      </c>
      <c r="H168" s="140">
        <f t="shared" si="196"/>
        <v>8.7143189543846464E-3</v>
      </c>
      <c r="I168" s="140">
        <f t="shared" si="196"/>
        <v>1.0397101074242696E-2</v>
      </c>
      <c r="J168" s="140">
        <f t="shared" si="196"/>
        <v>1.1320368244250419E-2</v>
      </c>
      <c r="K168" s="140">
        <f t="shared" si="196"/>
        <v>9.7537974894134349E-3</v>
      </c>
      <c r="L168" s="140">
        <f t="shared" si="196"/>
        <v>9.8298365348166456E-3</v>
      </c>
      <c r="M168" s="140">
        <f t="shared" si="196"/>
        <v>8.3279103562508353E-3</v>
      </c>
      <c r="N168" s="140">
        <f t="shared" si="196"/>
        <v>8.7437633971047032E-3</v>
      </c>
      <c r="O168" s="140">
        <f t="shared" si="196"/>
        <v>9.6890820036263786E-3</v>
      </c>
      <c r="P168" s="140">
        <f t="shared" si="196"/>
        <v>9.6318439482797318E-3</v>
      </c>
      <c r="Q168" s="140">
        <f t="shared" si="196"/>
        <v>9.3144982886147615E-3</v>
      </c>
      <c r="R168" s="140">
        <f t="shared" si="196"/>
        <v>7.4637910106818642E-3</v>
      </c>
      <c r="S168" s="140">
        <f t="shared" si="196"/>
        <v>8.2904049635375426E-3</v>
      </c>
      <c r="T168" s="140">
        <f t="shared" si="196"/>
        <v>1.1167592510449617E-2</v>
      </c>
      <c r="U168" s="140">
        <f t="shared" si="196"/>
        <v>9.1423297223424144E-3</v>
      </c>
      <c r="V168" s="140">
        <f t="shared" si="196"/>
        <v>4.6015681860054145E-3</v>
      </c>
      <c r="W168" s="140">
        <f t="shared" si="196"/>
        <v>4.2417684062605824E-3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0.94929645396599793</v>
      </c>
      <c r="C170" s="139">
        <f t="shared" ref="C170:W170" si="199">IF(C78=0,0,C78/C$77)</f>
        <v>0.96512931050297868</v>
      </c>
      <c r="D170" s="139">
        <f t="shared" si="199"/>
        <v>0.96353127664630756</v>
      </c>
      <c r="E170" s="139">
        <f t="shared" si="199"/>
        <v>0.97097259835827876</v>
      </c>
      <c r="F170" s="139">
        <f t="shared" si="199"/>
        <v>0.97782824453540707</v>
      </c>
      <c r="G170" s="139">
        <f t="shared" si="199"/>
        <v>0.98069243857365718</v>
      </c>
      <c r="H170" s="139">
        <f t="shared" si="199"/>
        <v>0.98274166877615821</v>
      </c>
      <c r="I170" s="139">
        <f t="shared" si="199"/>
        <v>0.98653933326561927</v>
      </c>
      <c r="J170" s="139">
        <f t="shared" si="199"/>
        <v>0.99312495398011513</v>
      </c>
      <c r="K170" s="139">
        <f t="shared" si="199"/>
        <v>0.99125241184902679</v>
      </c>
      <c r="L170" s="139">
        <f t="shared" si="199"/>
        <v>0.99062591090839369</v>
      </c>
      <c r="M170" s="139">
        <f t="shared" si="199"/>
        <v>0.99086412457376061</v>
      </c>
      <c r="N170" s="139">
        <f t="shared" si="199"/>
        <v>0.99219659702605612</v>
      </c>
      <c r="O170" s="139">
        <f t="shared" si="199"/>
        <v>0.99043972392078494</v>
      </c>
      <c r="P170" s="139">
        <f t="shared" si="199"/>
        <v>0.98621749584923979</v>
      </c>
      <c r="Q170" s="139">
        <f t="shared" si="199"/>
        <v>0.98806689227504041</v>
      </c>
      <c r="R170" s="139">
        <f t="shared" si="199"/>
        <v>0.99202625719434134</v>
      </c>
      <c r="S170" s="139">
        <f t="shared" si="199"/>
        <v>0.99305334479283636</v>
      </c>
      <c r="T170" s="139">
        <f t="shared" si="199"/>
        <v>0.99366204221326682</v>
      </c>
      <c r="U170" s="139">
        <f t="shared" si="199"/>
        <v>0.99424161027332347</v>
      </c>
      <c r="V170" s="139">
        <f t="shared" si="199"/>
        <v>0.99318769493213299</v>
      </c>
      <c r="W170" s="139">
        <f t="shared" si="199"/>
        <v>0.99502961700395931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0.34396247783114836</v>
      </c>
      <c r="C171" s="140">
        <f t="shared" ref="C171:W171" si="200">IF(C79=0,0,C79/C$77)</f>
        <v>0.24435708470399631</v>
      </c>
      <c r="D171" s="140">
        <f t="shared" si="200"/>
        <v>0.24062898393045951</v>
      </c>
      <c r="E171" s="140">
        <f t="shared" si="200"/>
        <v>0.22022755622637902</v>
      </c>
      <c r="F171" s="140">
        <f t="shared" si="200"/>
        <v>0.17740083077266061</v>
      </c>
      <c r="G171" s="140">
        <f t="shared" si="200"/>
        <v>0.16489394979090111</v>
      </c>
      <c r="H171" s="140">
        <f t="shared" si="200"/>
        <v>0.16222770133474643</v>
      </c>
      <c r="I171" s="140">
        <f t="shared" si="200"/>
        <v>0.1324212921367785</v>
      </c>
      <c r="J171" s="140">
        <f t="shared" si="200"/>
        <v>0.10596754890890477</v>
      </c>
      <c r="K171" s="140">
        <f t="shared" si="200"/>
        <v>0.17220911946236997</v>
      </c>
      <c r="L171" s="140">
        <f t="shared" si="200"/>
        <v>0.16294366077891126</v>
      </c>
      <c r="M171" s="140">
        <f t="shared" si="200"/>
        <v>0.14623583353367883</v>
      </c>
      <c r="N171" s="140">
        <f t="shared" si="200"/>
        <v>0.13714453643035918</v>
      </c>
      <c r="O171" s="140">
        <f t="shared" si="200"/>
        <v>0.15322217465701524</v>
      </c>
      <c r="P171" s="140">
        <f t="shared" si="200"/>
        <v>0.16282588833236303</v>
      </c>
      <c r="Q171" s="140">
        <f t="shared" si="200"/>
        <v>0.17969301650646996</v>
      </c>
      <c r="R171" s="140">
        <f t="shared" si="200"/>
        <v>0.16175409743980659</v>
      </c>
      <c r="S171" s="140">
        <f t="shared" si="200"/>
        <v>0.16759518012971744</v>
      </c>
      <c r="T171" s="140">
        <f t="shared" si="200"/>
        <v>0.17593672617657552</v>
      </c>
      <c r="U171" s="140">
        <f t="shared" si="200"/>
        <v>0.19813335699664505</v>
      </c>
      <c r="V171" s="140">
        <f t="shared" si="200"/>
        <v>0.26011084749263391</v>
      </c>
      <c r="W171" s="140">
        <f t="shared" si="200"/>
        <v>0.20730454322704642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0.60533397613484963</v>
      </c>
      <c r="C172" s="140">
        <f t="shared" ref="C172:W172" si="201">IF(C80=0,0,C80/C$77)</f>
        <v>0.72077222579898248</v>
      </c>
      <c r="D172" s="140">
        <f t="shared" si="201"/>
        <v>0.72290229271584805</v>
      </c>
      <c r="E172" s="140">
        <f t="shared" si="201"/>
        <v>0.75074504213189974</v>
      </c>
      <c r="F172" s="140">
        <f t="shared" si="201"/>
        <v>0.80042741376274651</v>
      </c>
      <c r="G172" s="140">
        <f t="shared" si="201"/>
        <v>0.81579848878275596</v>
      </c>
      <c r="H172" s="140">
        <f t="shared" si="201"/>
        <v>0.8205139674414117</v>
      </c>
      <c r="I172" s="140">
        <f t="shared" si="201"/>
        <v>0.85411804112884071</v>
      </c>
      <c r="J172" s="140">
        <f t="shared" si="201"/>
        <v>0.88715740507121033</v>
      </c>
      <c r="K172" s="140">
        <f t="shared" si="201"/>
        <v>0.81904329238665685</v>
      </c>
      <c r="L172" s="140">
        <f t="shared" si="201"/>
        <v>0.82768225012948238</v>
      </c>
      <c r="M172" s="140">
        <f t="shared" si="201"/>
        <v>0.84462829104008175</v>
      </c>
      <c r="N172" s="140">
        <f t="shared" si="201"/>
        <v>0.85505206059569705</v>
      </c>
      <c r="O172" s="140">
        <f t="shared" si="201"/>
        <v>0.83721754926376968</v>
      </c>
      <c r="P172" s="140">
        <f t="shared" si="201"/>
        <v>0.82339160751687679</v>
      </c>
      <c r="Q172" s="140">
        <f t="shared" si="201"/>
        <v>0.80837387576857045</v>
      </c>
      <c r="R172" s="140">
        <f t="shared" si="201"/>
        <v>0.83027215975453483</v>
      </c>
      <c r="S172" s="140">
        <f t="shared" si="201"/>
        <v>0.82545816466311883</v>
      </c>
      <c r="T172" s="140">
        <f t="shared" si="201"/>
        <v>0.8177253160366913</v>
      </c>
      <c r="U172" s="140">
        <f t="shared" si="201"/>
        <v>0.79610825327667845</v>
      </c>
      <c r="V172" s="140">
        <f t="shared" si="201"/>
        <v>0.73307684743949897</v>
      </c>
      <c r="W172" s="140">
        <f t="shared" si="201"/>
        <v>0.78772507377691281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4.7880884881953023E-2</v>
      </c>
      <c r="C173" s="124">
        <f t="shared" ref="C173:W173" si="202">IF(C81=0,0,C81/C$77)</f>
        <v>3.3045306977434533E-2</v>
      </c>
      <c r="D173" s="124">
        <f t="shared" si="202"/>
        <v>3.4820457678204741E-2</v>
      </c>
      <c r="E173" s="124">
        <f t="shared" si="202"/>
        <v>2.7555100675501324E-2</v>
      </c>
      <c r="F173" s="124">
        <f t="shared" si="202"/>
        <v>2.1056703504195834E-2</v>
      </c>
      <c r="G173" s="124">
        <f t="shared" si="202"/>
        <v>1.8329149034582517E-2</v>
      </c>
      <c r="H173" s="124">
        <f t="shared" si="202"/>
        <v>1.6236696895915597E-2</v>
      </c>
      <c r="I173" s="124">
        <f t="shared" si="202"/>
        <v>1.1386154067607301E-2</v>
      </c>
      <c r="J173" s="124">
        <f t="shared" si="202"/>
        <v>6.2747727817346081E-3</v>
      </c>
      <c r="K173" s="124">
        <f t="shared" si="202"/>
        <v>8.3113234084533708E-3</v>
      </c>
      <c r="L173" s="124">
        <f t="shared" si="202"/>
        <v>8.7490016375563508E-3</v>
      </c>
      <c r="M173" s="124">
        <f t="shared" si="202"/>
        <v>8.6899862691801385E-3</v>
      </c>
      <c r="N173" s="124">
        <f t="shared" si="202"/>
        <v>7.3055482558719124E-3</v>
      </c>
      <c r="O173" s="124">
        <f t="shared" si="202"/>
        <v>8.9539229512269024E-3</v>
      </c>
      <c r="P173" s="124">
        <f t="shared" si="202"/>
        <v>1.3239960945782062E-2</v>
      </c>
      <c r="Q173" s="124">
        <f t="shared" si="202"/>
        <v>1.1317914316546079E-2</v>
      </c>
      <c r="R173" s="124">
        <f t="shared" si="202"/>
        <v>7.5907655976553039E-3</v>
      </c>
      <c r="S173" s="124">
        <f t="shared" si="202"/>
        <v>6.3141657717800739E-3</v>
      </c>
      <c r="T173" s="124">
        <f t="shared" si="202"/>
        <v>5.5971976234602512E-3</v>
      </c>
      <c r="U173" s="124">
        <f t="shared" si="202"/>
        <v>5.1912446228792302E-3</v>
      </c>
      <c r="V173" s="124">
        <f t="shared" si="202"/>
        <v>5.5722065141260201E-3</v>
      </c>
      <c r="W173" s="124">
        <f t="shared" si="202"/>
        <v>3.9808792740813311E-3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2.8226611520489374E-3</v>
      </c>
      <c r="C174" s="124">
        <f t="shared" ref="C174:W174" si="203">IF(C82=0,0,C82/C$77)</f>
        <v>1.8253825195866629E-3</v>
      </c>
      <c r="D174" s="124">
        <f t="shared" si="203"/>
        <v>1.6482656754876815E-3</v>
      </c>
      <c r="E174" s="124">
        <f t="shared" si="203"/>
        <v>1.4723009662200217E-3</v>
      </c>
      <c r="F174" s="124">
        <f t="shared" si="203"/>
        <v>1.1150519603971285E-3</v>
      </c>
      <c r="G174" s="124">
        <f t="shared" si="203"/>
        <v>9.7841239176017693E-4</v>
      </c>
      <c r="H174" s="124">
        <f t="shared" si="203"/>
        <v>1.0216343279260841E-3</v>
      </c>
      <c r="I174" s="124">
        <f t="shared" si="203"/>
        <v>2.0745126667734287E-3</v>
      </c>
      <c r="J174" s="124">
        <f t="shared" si="203"/>
        <v>6.0027323815038224E-4</v>
      </c>
      <c r="K174" s="124">
        <f t="shared" si="203"/>
        <v>4.3626474251981279E-4</v>
      </c>
      <c r="L174" s="124">
        <f t="shared" si="203"/>
        <v>6.2508745405009871E-4</v>
      </c>
      <c r="M174" s="124">
        <f t="shared" si="203"/>
        <v>4.4588915705923832E-4</v>
      </c>
      <c r="N174" s="124">
        <f t="shared" si="203"/>
        <v>4.9785471807202951E-4</v>
      </c>
      <c r="O174" s="124">
        <f t="shared" si="203"/>
        <v>6.0635312798819948E-4</v>
      </c>
      <c r="P174" s="124">
        <f t="shared" si="203"/>
        <v>5.4254320497813292E-4</v>
      </c>
      <c r="Q174" s="124">
        <f t="shared" si="203"/>
        <v>6.1519340841353529E-4</v>
      </c>
      <c r="R174" s="124">
        <f t="shared" si="203"/>
        <v>3.8297720800333353E-4</v>
      </c>
      <c r="S174" s="124">
        <f t="shared" si="203"/>
        <v>6.3248943538348889E-4</v>
      </c>
      <c r="T174" s="124">
        <f t="shared" si="203"/>
        <v>7.4076016327294316E-4</v>
      </c>
      <c r="U174" s="124">
        <f t="shared" si="203"/>
        <v>5.6714510379738835E-4</v>
      </c>
      <c r="V174" s="124">
        <f t="shared" si="203"/>
        <v>1.2400985537410827E-3</v>
      </c>
      <c r="W174" s="124">
        <f t="shared" si="203"/>
        <v>9.8950372195937822E-4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1.4932066436475504E-3</v>
      </c>
      <c r="C176" s="140">
        <f t="shared" ref="C176:W176" si="205">IF(C84=0,0,C84/C$77)</f>
        <v>8.7728576448265882E-4</v>
      </c>
      <c r="D176" s="140">
        <f t="shared" si="205"/>
        <v>6.9864068828330063E-4</v>
      </c>
      <c r="E176" s="140">
        <f t="shared" si="205"/>
        <v>4.972752614811677E-4</v>
      </c>
      <c r="F176" s="140">
        <f t="shared" si="205"/>
        <v>3.4945675499203606E-4</v>
      </c>
      <c r="G176" s="140">
        <f t="shared" si="205"/>
        <v>3.3686608601795254E-4</v>
      </c>
      <c r="H176" s="140">
        <f t="shared" si="205"/>
        <v>6.4941302589828346E-4</v>
      </c>
      <c r="I176" s="140">
        <f t="shared" si="205"/>
        <v>1.8895311968247178E-3</v>
      </c>
      <c r="J176" s="140">
        <f t="shared" si="205"/>
        <v>5.08715941155682E-4</v>
      </c>
      <c r="K176" s="140">
        <f t="shared" si="205"/>
        <v>3.7504446445108393E-4</v>
      </c>
      <c r="L176" s="140">
        <f t="shared" si="205"/>
        <v>5.7581105286633064E-4</v>
      </c>
      <c r="M176" s="140">
        <f t="shared" si="205"/>
        <v>4.0786582916747289E-4</v>
      </c>
      <c r="N176" s="140">
        <f t="shared" si="205"/>
        <v>4.6435696682425084E-4</v>
      </c>
      <c r="O176" s="140">
        <f t="shared" si="205"/>
        <v>5.6797347014020958E-4</v>
      </c>
      <c r="P176" s="140">
        <f t="shared" si="205"/>
        <v>5.0694038950899168E-4</v>
      </c>
      <c r="Q176" s="140">
        <f t="shared" si="205"/>
        <v>5.9571513905056568E-4</v>
      </c>
      <c r="R176" s="140">
        <f t="shared" si="205"/>
        <v>3.6739723184635976E-4</v>
      </c>
      <c r="S176" s="140">
        <f t="shared" si="205"/>
        <v>6.0011689320988446E-4</v>
      </c>
      <c r="T176" s="140">
        <f t="shared" si="205"/>
        <v>6.9504920288683287E-4</v>
      </c>
      <c r="U176" s="140">
        <f t="shared" si="205"/>
        <v>5.2542387513897823E-4</v>
      </c>
      <c r="V176" s="140">
        <f t="shared" si="205"/>
        <v>1.1205867345222829E-3</v>
      </c>
      <c r="W176" s="140">
        <f t="shared" si="205"/>
        <v>9.0837165721119437E-4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1.3294545084013871E-3</v>
      </c>
      <c r="C177" s="140">
        <f t="shared" ref="C177:W177" si="206">IF(C85=0,0,C85/C$77)</f>
        <v>9.4809675510400422E-4</v>
      </c>
      <c r="D177" s="140">
        <f t="shared" si="206"/>
        <v>9.4962498720438089E-4</v>
      </c>
      <c r="E177" s="140">
        <f t="shared" si="206"/>
        <v>9.7502570473885378E-4</v>
      </c>
      <c r="F177" s="140">
        <f t="shared" si="206"/>
        <v>7.6559520540509245E-4</v>
      </c>
      <c r="G177" s="140">
        <f t="shared" si="206"/>
        <v>6.4154630574222429E-4</v>
      </c>
      <c r="H177" s="140">
        <f t="shared" si="206"/>
        <v>3.7222130202780077E-4</v>
      </c>
      <c r="I177" s="140">
        <f t="shared" si="206"/>
        <v>1.8498146994871091E-4</v>
      </c>
      <c r="J177" s="140">
        <f t="shared" si="206"/>
        <v>9.1557296994700295E-5</v>
      </c>
      <c r="K177" s="140">
        <f t="shared" si="206"/>
        <v>6.1220278068728891E-5</v>
      </c>
      <c r="L177" s="140">
        <f t="shared" si="206"/>
        <v>4.9276401183767983E-5</v>
      </c>
      <c r="M177" s="140">
        <f t="shared" si="206"/>
        <v>3.8023327891765434E-5</v>
      </c>
      <c r="N177" s="140">
        <f t="shared" si="206"/>
        <v>3.3497751247778641E-5</v>
      </c>
      <c r="O177" s="140">
        <f t="shared" si="206"/>
        <v>3.8379657847989861E-5</v>
      </c>
      <c r="P177" s="140">
        <f t="shared" si="206"/>
        <v>3.5602815469141217E-5</v>
      </c>
      <c r="Q177" s="140">
        <f t="shared" si="206"/>
        <v>1.9478269362969693E-5</v>
      </c>
      <c r="R177" s="140">
        <f t="shared" si="206"/>
        <v>1.557997615697378E-5</v>
      </c>
      <c r="S177" s="140">
        <f t="shared" si="206"/>
        <v>3.2372542173604536E-5</v>
      </c>
      <c r="T177" s="140">
        <f t="shared" si="206"/>
        <v>4.5710960386110334E-5</v>
      </c>
      <c r="U177" s="140">
        <f t="shared" si="206"/>
        <v>4.172122865841008E-5</v>
      </c>
      <c r="V177" s="140">
        <f t="shared" si="206"/>
        <v>1.1951181921879987E-4</v>
      </c>
      <c r="W177" s="140">
        <f t="shared" si="206"/>
        <v>8.1132064748183915E-5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</v>
      </c>
      <c r="H178" s="124">
        <f t="shared" si="207"/>
        <v>0</v>
      </c>
      <c r="I178" s="124">
        <f t="shared" si="207"/>
        <v>0</v>
      </c>
      <c r="J178" s="124">
        <f t="shared" si="207"/>
        <v>0</v>
      </c>
      <c r="K178" s="124">
        <f t="shared" si="207"/>
        <v>0</v>
      </c>
      <c r="L178" s="124">
        <f t="shared" si="207"/>
        <v>0</v>
      </c>
      <c r="M178" s="124">
        <f t="shared" si="207"/>
        <v>0</v>
      </c>
      <c r="N178" s="124">
        <f t="shared" si="207"/>
        <v>0</v>
      </c>
      <c r="O178" s="124">
        <f t="shared" si="207"/>
        <v>0</v>
      </c>
      <c r="P178" s="124">
        <f t="shared" si="207"/>
        <v>0</v>
      </c>
      <c r="Q178" s="124">
        <f t="shared" si="207"/>
        <v>0</v>
      </c>
      <c r="R178" s="124">
        <f t="shared" si="207"/>
        <v>0</v>
      </c>
      <c r="S178" s="124">
        <f t="shared" si="207"/>
        <v>0</v>
      </c>
      <c r="T178" s="124">
        <f t="shared" si="207"/>
        <v>0</v>
      </c>
      <c r="U178" s="124">
        <f t="shared" si="207"/>
        <v>0</v>
      </c>
      <c r="V178" s="124">
        <f t="shared" si="207"/>
        <v>0</v>
      </c>
      <c r="W178" s="124">
        <f t="shared" si="207"/>
        <v>0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0.35014130078921485</v>
      </c>
      <c r="H182" s="140">
        <f t="shared" si="211"/>
        <v>0.34759966465037767</v>
      </c>
      <c r="I182" s="140">
        <f t="shared" si="211"/>
        <v>0.33306655304669097</v>
      </c>
      <c r="J182" s="140">
        <f t="shared" si="211"/>
        <v>0.3331836043086896</v>
      </c>
      <c r="K182" s="140">
        <f t="shared" si="211"/>
        <v>0.34260893740238052</v>
      </c>
      <c r="L182" s="140">
        <f t="shared" si="211"/>
        <v>0.28261339645089195</v>
      </c>
      <c r="M182" s="140">
        <f t="shared" si="211"/>
        <v>0.23545191063235363</v>
      </c>
      <c r="N182" s="140">
        <f t="shared" si="211"/>
        <v>0.28527392574528004</v>
      </c>
      <c r="O182" s="140">
        <f t="shared" si="211"/>
        <v>0.25162768924282747</v>
      </c>
      <c r="P182" s="140">
        <f t="shared" si="211"/>
        <v>0.26911834528255973</v>
      </c>
      <c r="Q182" s="140">
        <f t="shared" si="211"/>
        <v>0.26183611617305552</v>
      </c>
      <c r="R182" s="140">
        <f t="shared" si="211"/>
        <v>0.27589968057177799</v>
      </c>
      <c r="S182" s="140">
        <f t="shared" si="211"/>
        <v>0.25588694492089437</v>
      </c>
      <c r="T182" s="140">
        <f t="shared" si="211"/>
        <v>0.24008736671802913</v>
      </c>
      <c r="U182" s="140">
        <f t="shared" si="211"/>
        <v>0.22734330469175107</v>
      </c>
      <c r="V182" s="140">
        <f t="shared" si="211"/>
        <v>0.18760197887356644</v>
      </c>
      <c r="W182" s="140">
        <f t="shared" si="211"/>
        <v>0.15523247510699348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0.6498586992107851</v>
      </c>
      <c r="H183" s="127">
        <f t="shared" si="212"/>
        <v>0.65240033534962238</v>
      </c>
      <c r="I183" s="127">
        <f t="shared" si="212"/>
        <v>0.66693344695330903</v>
      </c>
      <c r="J183" s="127">
        <f t="shared" si="212"/>
        <v>0.66681639569131035</v>
      </c>
      <c r="K183" s="127">
        <f t="shared" si="212"/>
        <v>0.65739106259761948</v>
      </c>
      <c r="L183" s="127">
        <f t="shared" si="212"/>
        <v>0.7173866035491081</v>
      </c>
      <c r="M183" s="127">
        <f t="shared" si="212"/>
        <v>0.76454808936764629</v>
      </c>
      <c r="N183" s="127">
        <f t="shared" si="212"/>
        <v>0.7147260742547199</v>
      </c>
      <c r="O183" s="127">
        <f t="shared" si="212"/>
        <v>0.74837231075717259</v>
      </c>
      <c r="P183" s="127">
        <f t="shared" si="212"/>
        <v>0.73088165471744015</v>
      </c>
      <c r="Q183" s="127">
        <f t="shared" si="212"/>
        <v>0.73816388382694442</v>
      </c>
      <c r="R183" s="127">
        <f t="shared" si="212"/>
        <v>0.72410031942822195</v>
      </c>
      <c r="S183" s="127">
        <f t="shared" si="212"/>
        <v>0.74411305507910563</v>
      </c>
      <c r="T183" s="127">
        <f t="shared" si="212"/>
        <v>0.7599126332819709</v>
      </c>
      <c r="U183" s="127">
        <f t="shared" si="212"/>
        <v>0.77265669530824899</v>
      </c>
      <c r="V183" s="127">
        <f t="shared" si="212"/>
        <v>0.81239802112643356</v>
      </c>
      <c r="W183" s="127">
        <f t="shared" si="212"/>
        <v>0.84476752489300666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43.930638701124607</v>
      </c>
      <c r="C186" s="32">
        <f t="shared" si="213"/>
        <v>43.103182410984545</v>
      </c>
      <c r="D186" s="32">
        <f t="shared" si="213"/>
        <v>43.048255896698826</v>
      </c>
      <c r="E186" s="32">
        <f t="shared" si="213"/>
        <v>42.10464317875973</v>
      </c>
      <c r="F186" s="32">
        <f t="shared" si="213"/>
        <v>40.19133527543643</v>
      </c>
      <c r="G186" s="32">
        <f t="shared" si="213"/>
        <v>40.74074500678001</v>
      </c>
      <c r="H186" s="32">
        <f t="shared" si="213"/>
        <v>40.771925830480725</v>
      </c>
      <c r="I186" s="32">
        <f t="shared" si="213"/>
        <v>39.912017357419238</v>
      </c>
      <c r="J186" s="32">
        <f t="shared" si="213"/>
        <v>41.946970070346552</v>
      </c>
      <c r="K186" s="32">
        <f t="shared" si="213"/>
        <v>39.736586101104791</v>
      </c>
      <c r="L186" s="32">
        <f t="shared" si="213"/>
        <v>40.508871064172951</v>
      </c>
      <c r="M186" s="32">
        <f t="shared" si="213"/>
        <v>40.796886378740027</v>
      </c>
      <c r="N186" s="32">
        <f t="shared" si="213"/>
        <v>40.106355625012867</v>
      </c>
      <c r="O186" s="32">
        <f t="shared" si="213"/>
        <v>39.123971036378805</v>
      </c>
      <c r="P186" s="32">
        <f t="shared" si="213"/>
        <v>38.252069558412039</v>
      </c>
      <c r="Q186" s="32">
        <f t="shared" si="213"/>
        <v>37.807779674141521</v>
      </c>
      <c r="R186" s="32">
        <f t="shared" si="213"/>
        <v>37.326938204621932</v>
      </c>
      <c r="S186" s="32">
        <f t="shared" si="213"/>
        <v>37.662956718439517</v>
      </c>
      <c r="T186" s="32">
        <f t="shared" si="213"/>
        <v>38.261395731020968</v>
      </c>
      <c r="U186" s="32">
        <f t="shared" si="213"/>
        <v>37.494604019971305</v>
      </c>
      <c r="V186" s="32">
        <f t="shared" si="213"/>
        <v>39.046508394480824</v>
      </c>
      <c r="W186" s="32">
        <f t="shared" ref="W186" si="214">IF(W34=0,0,W34/W4*1000)</f>
        <v>38.923027771403575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45.000808368177999</v>
      </c>
      <c r="C187" s="141">
        <f t="shared" si="215"/>
        <v>44.14353678425023</v>
      </c>
      <c r="D187" s="141">
        <f t="shared" si="215"/>
        <v>44.121691921229299</v>
      </c>
      <c r="E187" s="141">
        <f t="shared" si="215"/>
        <v>43.097141945098137</v>
      </c>
      <c r="F187" s="141">
        <f t="shared" si="215"/>
        <v>40.890116878466465</v>
      </c>
      <c r="G187" s="141">
        <f t="shared" si="215"/>
        <v>41.515649738397641</v>
      </c>
      <c r="H187" s="141">
        <f t="shared" si="215"/>
        <v>41.519034302912516</v>
      </c>
      <c r="I187" s="141">
        <f t="shared" si="215"/>
        <v>40.512927797052043</v>
      </c>
      <c r="J187" s="141">
        <f t="shared" si="215"/>
        <v>42.628907185298011</v>
      </c>
      <c r="K187" s="141">
        <f t="shared" si="215"/>
        <v>40.435023829406951</v>
      </c>
      <c r="L187" s="141">
        <f t="shared" si="215"/>
        <v>41.177651331150422</v>
      </c>
      <c r="M187" s="141">
        <f t="shared" si="215"/>
        <v>41.580523779829775</v>
      </c>
      <c r="N187" s="141">
        <f t="shared" si="215"/>
        <v>40.740394185247538</v>
      </c>
      <c r="O187" s="141">
        <f t="shared" si="215"/>
        <v>39.77474216566398</v>
      </c>
      <c r="P187" s="141">
        <f t="shared" si="215"/>
        <v>38.759021659137396</v>
      </c>
      <c r="Q187" s="141">
        <f t="shared" si="215"/>
        <v>38.308364890706777</v>
      </c>
      <c r="R187" s="141">
        <f t="shared" si="215"/>
        <v>37.874063860421167</v>
      </c>
      <c r="S187" s="141">
        <f t="shared" si="215"/>
        <v>38.057025345166636</v>
      </c>
      <c r="T187" s="141">
        <f t="shared" si="215"/>
        <v>38.582742047138147</v>
      </c>
      <c r="U187" s="141">
        <f t="shared" si="215"/>
        <v>38.03383160875309</v>
      </c>
      <c r="V187" s="141">
        <f t="shared" si="215"/>
        <v>39.11952213710142</v>
      </c>
      <c r="W187" s="141">
        <f t="shared" ref="W187" si="216">IF(W35=0,0,W35/W5*1000)</f>
        <v>39.188033243772814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38.905778913818644</v>
      </c>
      <c r="C188" s="97">
        <f t="shared" si="217"/>
        <v>38.716225858240755</v>
      </c>
      <c r="D188" s="97">
        <f t="shared" si="217"/>
        <v>38.512417764236552</v>
      </c>
      <c r="E188" s="97">
        <f t="shared" si="217"/>
        <v>38.245328769149019</v>
      </c>
      <c r="F188" s="97">
        <f t="shared" si="217"/>
        <v>37.94865656466078</v>
      </c>
      <c r="G188" s="97">
        <f t="shared" si="217"/>
        <v>37.653750541584053</v>
      </c>
      <c r="H188" s="97">
        <f t="shared" si="217"/>
        <v>37.10637496945612</v>
      </c>
      <c r="I188" s="97">
        <f t="shared" si="217"/>
        <v>35.698769965782354</v>
      </c>
      <c r="J188" s="97">
        <f t="shared" si="217"/>
        <v>34.889096756218734</v>
      </c>
      <c r="K188" s="97">
        <f t="shared" si="217"/>
        <v>36.021955370443081</v>
      </c>
      <c r="L188" s="97">
        <f t="shared" si="217"/>
        <v>33.967968232426983</v>
      </c>
      <c r="M188" s="97">
        <f t="shared" si="217"/>
        <v>33.732832632072018</v>
      </c>
      <c r="N188" s="97">
        <f t="shared" si="217"/>
        <v>33.790734326785234</v>
      </c>
      <c r="O188" s="97">
        <f t="shared" si="217"/>
        <v>33.443599843044026</v>
      </c>
      <c r="P188" s="97">
        <f t="shared" si="217"/>
        <v>33.032687825250285</v>
      </c>
      <c r="Q188" s="97">
        <f t="shared" si="217"/>
        <v>32.358592479277604</v>
      </c>
      <c r="R188" s="97">
        <f t="shared" si="217"/>
        <v>31.910031255714795</v>
      </c>
      <c r="S188" s="97">
        <f t="shared" si="217"/>
        <v>32.389734630900186</v>
      </c>
      <c r="T188" s="97">
        <f t="shared" si="217"/>
        <v>32.015780071052212</v>
      </c>
      <c r="U188" s="97">
        <f t="shared" si="217"/>
        <v>31.553047402034505</v>
      </c>
      <c r="V188" s="97">
        <f t="shared" si="217"/>
        <v>31.351685531689473</v>
      </c>
      <c r="W188" s="97">
        <f t="shared" ref="W188" si="218">IF(W36=0,0,W36/W6*1000)</f>
        <v>29.228793627602073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48.875157859111233</v>
      </c>
      <c r="C189" s="97">
        <f t="shared" si="219"/>
        <v>47.885180738128923</v>
      </c>
      <c r="D189" s="97">
        <f t="shared" si="219"/>
        <v>47.783685114203685</v>
      </c>
      <c r="E189" s="97">
        <f t="shared" si="219"/>
        <v>46.908710515334434</v>
      </c>
      <c r="F189" s="97">
        <f t="shared" si="219"/>
        <v>43.739626353872502</v>
      </c>
      <c r="G189" s="97">
        <f t="shared" si="219"/>
        <v>44.216986671189922</v>
      </c>
      <c r="H189" s="97">
        <f t="shared" si="219"/>
        <v>44.276952155283944</v>
      </c>
      <c r="I189" s="97">
        <f t="shared" si="219"/>
        <v>43.145962896637002</v>
      </c>
      <c r="J189" s="97">
        <f t="shared" si="219"/>
        <v>45.346038328933886</v>
      </c>
      <c r="K189" s="97">
        <f t="shared" si="219"/>
        <v>42.809143823737749</v>
      </c>
      <c r="L189" s="97">
        <f t="shared" si="219"/>
        <v>43.689222506302677</v>
      </c>
      <c r="M189" s="97">
        <f t="shared" si="219"/>
        <v>44.227108193553697</v>
      </c>
      <c r="N189" s="97">
        <f t="shared" si="219"/>
        <v>43.283046345867263</v>
      </c>
      <c r="O189" s="97">
        <f t="shared" si="219"/>
        <v>42.261638184320482</v>
      </c>
      <c r="P189" s="97">
        <f t="shared" si="219"/>
        <v>41.184126436862087</v>
      </c>
      <c r="Q189" s="97">
        <f t="shared" si="219"/>
        <v>40.748551395342389</v>
      </c>
      <c r="R189" s="97">
        <f t="shared" si="219"/>
        <v>40.281835363634869</v>
      </c>
      <c r="S189" s="97">
        <f t="shared" si="219"/>
        <v>40.418247161377792</v>
      </c>
      <c r="T189" s="97">
        <f t="shared" si="219"/>
        <v>41.120291644430196</v>
      </c>
      <c r="U189" s="97">
        <f t="shared" si="219"/>
        <v>40.430370863922249</v>
      </c>
      <c r="V189" s="97">
        <f t="shared" si="219"/>
        <v>40.434295554080812</v>
      </c>
      <c r="W189" s="97">
        <f t="shared" ref="W189" si="220">IF(W37=0,0,W37/W7*1000)</f>
        <v>40.598211479053184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22.671545869936466</v>
      </c>
      <c r="C190" s="97">
        <f t="shared" si="221"/>
        <v>21.340011340010733</v>
      </c>
      <c r="D190" s="97">
        <f t="shared" si="221"/>
        <v>20.917134872218003</v>
      </c>
      <c r="E190" s="97">
        <f t="shared" si="221"/>
        <v>19.646375409165564</v>
      </c>
      <c r="F190" s="97">
        <f t="shared" si="221"/>
        <v>21.477735866562746</v>
      </c>
      <c r="G190" s="97">
        <f t="shared" si="221"/>
        <v>21.820968881939383</v>
      </c>
      <c r="H190" s="97">
        <f t="shared" si="221"/>
        <v>21.473841516301807</v>
      </c>
      <c r="I190" s="97">
        <f t="shared" si="221"/>
        <v>20.941147600181193</v>
      </c>
      <c r="J190" s="97">
        <f t="shared" si="221"/>
        <v>21.596978537354548</v>
      </c>
      <c r="K190" s="97">
        <f t="shared" si="221"/>
        <v>21.552048992089624</v>
      </c>
      <c r="L190" s="97">
        <f t="shared" si="221"/>
        <v>21.510847421050954</v>
      </c>
      <c r="M190" s="97">
        <f t="shared" si="221"/>
        <v>21.492694742272626</v>
      </c>
      <c r="N190" s="97">
        <f t="shared" si="221"/>
        <v>21.434158946036206</v>
      </c>
      <c r="O190" s="97">
        <f t="shared" si="221"/>
        <v>21.386452023906095</v>
      </c>
      <c r="P190" s="97">
        <f t="shared" si="221"/>
        <v>21.134965556068384</v>
      </c>
      <c r="Q190" s="97">
        <f t="shared" si="221"/>
        <v>21.006194762121648</v>
      </c>
      <c r="R190" s="97">
        <f t="shared" si="221"/>
        <v>20.654988703672206</v>
      </c>
      <c r="S190" s="97">
        <f t="shared" si="221"/>
        <v>21.052396374539509</v>
      </c>
      <c r="T190" s="97">
        <f t="shared" si="221"/>
        <v>20.413783126113536</v>
      </c>
      <c r="U190" s="97">
        <f t="shared" si="221"/>
        <v>20.731707529799539</v>
      </c>
      <c r="V190" s="97">
        <f t="shared" si="221"/>
        <v>24.331087167488612</v>
      </c>
      <c r="W190" s="97">
        <f t="shared" ref="W190" si="222">IF(W38=0,0,W38/W8*1000)</f>
        <v>24.798347636384381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14.257627014664653</v>
      </c>
      <c r="C191" s="130">
        <f t="shared" si="223"/>
        <v>14.24575587034427</v>
      </c>
      <c r="D191" s="130">
        <f t="shared" si="223"/>
        <v>14.242643798786386</v>
      </c>
      <c r="E191" s="130">
        <f t="shared" si="223"/>
        <v>14.992662707564019</v>
      </c>
      <c r="F191" s="130">
        <f t="shared" si="223"/>
        <v>17.337676590231144</v>
      </c>
      <c r="G191" s="130">
        <f t="shared" si="223"/>
        <v>17.283462600908642</v>
      </c>
      <c r="H191" s="130">
        <f t="shared" si="223"/>
        <v>17.140746636012953</v>
      </c>
      <c r="I191" s="130">
        <f t="shared" si="223"/>
        <v>16.938569627258968</v>
      </c>
      <c r="J191" s="130">
        <f t="shared" si="223"/>
        <v>15.96357729353412</v>
      </c>
      <c r="K191" s="130">
        <f t="shared" si="223"/>
        <v>14.266304729070953</v>
      </c>
      <c r="L191" s="130">
        <f t="shared" si="223"/>
        <v>14.61491870637464</v>
      </c>
      <c r="M191" s="130">
        <f t="shared" si="223"/>
        <v>14.104669843495691</v>
      </c>
      <c r="N191" s="130">
        <f t="shared" si="223"/>
        <v>14.747559433014624</v>
      </c>
      <c r="O191" s="130">
        <f t="shared" si="223"/>
        <v>13.427911455408521</v>
      </c>
      <c r="P191" s="130">
        <f t="shared" si="223"/>
        <v>13.861479004435015</v>
      </c>
      <c r="Q191" s="130">
        <f t="shared" si="223"/>
        <v>15.749858158903791</v>
      </c>
      <c r="R191" s="130">
        <f t="shared" si="223"/>
        <v>15.952999535669848</v>
      </c>
      <c r="S191" s="130">
        <f t="shared" si="223"/>
        <v>24.484305608340545</v>
      </c>
      <c r="T191" s="130">
        <f t="shared" si="223"/>
        <v>18.587092067219775</v>
      </c>
      <c r="U191" s="130">
        <f t="shared" si="223"/>
        <v>17.972943808118121</v>
      </c>
      <c r="V191" s="130">
        <f t="shared" si="223"/>
        <v>22.95339217198627</v>
      </c>
      <c r="W191" s="130">
        <f t="shared" ref="W191" si="224">IF(W39=0,0,W39/W9*1000)</f>
        <v>21.080469601618805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14.257627014664653</v>
      </c>
      <c r="C193" s="97">
        <f t="shared" si="227"/>
        <v>14.24575587034427</v>
      </c>
      <c r="D193" s="97">
        <f t="shared" si="227"/>
        <v>14.242643798786386</v>
      </c>
      <c r="E193" s="97">
        <f t="shared" si="227"/>
        <v>14.992662707564019</v>
      </c>
      <c r="F193" s="97">
        <f t="shared" si="227"/>
        <v>17.337676590231144</v>
      </c>
      <c r="G193" s="97">
        <f t="shared" si="227"/>
        <v>17.283462600908642</v>
      </c>
      <c r="H193" s="97">
        <f t="shared" si="227"/>
        <v>17.140746636012953</v>
      </c>
      <c r="I193" s="97">
        <f t="shared" si="227"/>
        <v>16.938569627258968</v>
      </c>
      <c r="J193" s="97">
        <f t="shared" si="227"/>
        <v>16.05396632415561</v>
      </c>
      <c r="K193" s="97">
        <f t="shared" si="227"/>
        <v>14.348250058627416</v>
      </c>
      <c r="L193" s="97">
        <f t="shared" si="227"/>
        <v>14.704426947170145</v>
      </c>
      <c r="M193" s="97">
        <f t="shared" si="227"/>
        <v>14.185097727875293</v>
      </c>
      <c r="N193" s="97">
        <f t="shared" si="227"/>
        <v>14.828074989538317</v>
      </c>
      <c r="O193" s="97">
        <f t="shared" si="227"/>
        <v>13.483001371071916</v>
      </c>
      <c r="P193" s="97">
        <f t="shared" si="227"/>
        <v>13.907847584288829</v>
      </c>
      <c r="Q193" s="97">
        <f t="shared" si="227"/>
        <v>15.798754411341344</v>
      </c>
      <c r="R193" s="97">
        <f t="shared" si="227"/>
        <v>15.990300469791663</v>
      </c>
      <c r="S193" s="97">
        <f t="shared" si="227"/>
        <v>24.523169077429237</v>
      </c>
      <c r="T193" s="97">
        <f t="shared" si="227"/>
        <v>18.612231089385066</v>
      </c>
      <c r="U193" s="97">
        <f t="shared" si="227"/>
        <v>17.998853052965579</v>
      </c>
      <c r="V193" s="97">
        <f t="shared" si="227"/>
        <v>22.950665670579216</v>
      </c>
      <c r="W193" s="97">
        <f t="shared" ref="W193" si="228">IF(W41=0,0,W41/W11*1000)</f>
        <v>20.898922637756176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11.114851436624054</v>
      </c>
      <c r="K194" s="97">
        <f t="shared" si="229"/>
        <v>10.389266324430782</v>
      </c>
      <c r="L194" s="97">
        <f t="shared" si="229"/>
        <v>10.383135057109151</v>
      </c>
      <c r="M194" s="97">
        <f t="shared" si="229"/>
        <v>10.031063819513468</v>
      </c>
      <c r="N194" s="97">
        <f t="shared" si="229"/>
        <v>10.361765919747613</v>
      </c>
      <c r="O194" s="97">
        <f t="shared" si="229"/>
        <v>10.097838227592725</v>
      </c>
      <c r="P194" s="97">
        <f t="shared" si="229"/>
        <v>10.174273622033706</v>
      </c>
      <c r="Q194" s="97">
        <f t="shared" si="229"/>
        <v>10.315388959415657</v>
      </c>
      <c r="R194" s="97">
        <f t="shared" si="229"/>
        <v>10.146487457374008</v>
      </c>
      <c r="S194" s="97">
        <f t="shared" si="229"/>
        <v>10.138638310835859</v>
      </c>
      <c r="T194" s="97">
        <f t="shared" si="229"/>
        <v>10.635155899505316</v>
      </c>
      <c r="U194" s="97">
        <f t="shared" si="229"/>
        <v>9.4815610686281513</v>
      </c>
      <c r="V194" s="97">
        <f t="shared" si="229"/>
        <v>25.254559359534429</v>
      </c>
      <c r="W194" s="97">
        <f t="shared" ref="W194" si="230">IF(W42=0,0,W42/W12*1000)</f>
        <v>24.287799296525179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36.99395894360935</v>
      </c>
      <c r="C195" s="130">
        <f t="shared" si="231"/>
        <v>36.811432048492961</v>
      </c>
      <c r="D195" s="130">
        <f t="shared" si="231"/>
        <v>36.803564993880755</v>
      </c>
      <c r="E195" s="130">
        <f t="shared" si="231"/>
        <v>36.949993960194369</v>
      </c>
      <c r="F195" s="130">
        <f t="shared" si="231"/>
        <v>36.735566171044297</v>
      </c>
      <c r="G195" s="130">
        <f t="shared" si="231"/>
        <v>35.836507107567371</v>
      </c>
      <c r="H195" s="130">
        <f t="shared" si="231"/>
        <v>37.004892948880283</v>
      </c>
      <c r="I195" s="130">
        <f t="shared" si="231"/>
        <v>40.327934193544493</v>
      </c>
      <c r="J195" s="130">
        <f t="shared" si="231"/>
        <v>42.732204593601296</v>
      </c>
      <c r="K195" s="130">
        <f t="shared" si="231"/>
        <v>38.790407112706923</v>
      </c>
      <c r="L195" s="130">
        <f t="shared" si="231"/>
        <v>39.703241341869493</v>
      </c>
      <c r="M195" s="130">
        <f t="shared" si="231"/>
        <v>34.449916274570199</v>
      </c>
      <c r="N195" s="130">
        <f t="shared" si="231"/>
        <v>37.628662228097831</v>
      </c>
      <c r="O195" s="130">
        <f t="shared" si="231"/>
        <v>37.306800307714923</v>
      </c>
      <c r="P195" s="130">
        <f t="shared" si="231"/>
        <v>38.633025723220186</v>
      </c>
      <c r="Q195" s="130">
        <f t="shared" si="231"/>
        <v>36.274722422923624</v>
      </c>
      <c r="R195" s="130">
        <f t="shared" si="231"/>
        <v>32.047512365730753</v>
      </c>
      <c r="S195" s="130">
        <f t="shared" si="231"/>
        <v>31.841502044727495</v>
      </c>
      <c r="T195" s="130">
        <f t="shared" si="231"/>
        <v>39.440530173445744</v>
      </c>
      <c r="U195" s="130">
        <f t="shared" si="231"/>
        <v>30.646565760263726</v>
      </c>
      <c r="V195" s="130">
        <f t="shared" si="231"/>
        <v>62.964093481078287</v>
      </c>
      <c r="W195" s="130">
        <f t="shared" ref="W195" si="232">IF(W43=0,0,W43/W13*1000)</f>
        <v>46.054455806305725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39.621246277310512</v>
      </c>
      <c r="C197" s="97">
        <f t="shared" si="235"/>
        <v>39.234191531283223</v>
      </c>
      <c r="D197" s="97">
        <f t="shared" si="235"/>
        <v>39.183298130934766</v>
      </c>
      <c r="E197" s="97">
        <f t="shared" si="235"/>
        <v>39.54661964565517</v>
      </c>
      <c r="F197" s="97">
        <f t="shared" si="235"/>
        <v>39.411190379930005</v>
      </c>
      <c r="G197" s="97">
        <f t="shared" si="235"/>
        <v>35.374750660696279</v>
      </c>
      <c r="H197" s="97">
        <f t="shared" si="235"/>
        <v>37.056730087036989</v>
      </c>
      <c r="I197" s="97">
        <f t="shared" si="235"/>
        <v>42.800963641533343</v>
      </c>
      <c r="J197" s="97">
        <f t="shared" si="235"/>
        <v>45.889685514166956</v>
      </c>
      <c r="K197" s="97">
        <f t="shared" si="235"/>
        <v>43.827760845766434</v>
      </c>
      <c r="L197" s="97">
        <f t="shared" si="235"/>
        <v>45.677737313801209</v>
      </c>
      <c r="M197" s="97">
        <f t="shared" si="235"/>
        <v>37.710260903425336</v>
      </c>
      <c r="N197" s="97">
        <f t="shared" si="235"/>
        <v>47.104612353095149</v>
      </c>
      <c r="O197" s="97">
        <f t="shared" si="235"/>
        <v>45.745620955137568</v>
      </c>
      <c r="P197" s="97">
        <f t="shared" si="235"/>
        <v>44.860208704525725</v>
      </c>
      <c r="Q197" s="97">
        <f t="shared" si="235"/>
        <v>41.258101369260316</v>
      </c>
      <c r="R197" s="97">
        <f t="shared" si="235"/>
        <v>33.399711260252687</v>
      </c>
      <c r="S197" s="97">
        <f t="shared" si="235"/>
        <v>34.668249522582634</v>
      </c>
      <c r="T197" s="97">
        <f t="shared" si="235"/>
        <v>42.71853387609351</v>
      </c>
      <c r="U197" s="97">
        <f t="shared" si="235"/>
        <v>34.135184890860415</v>
      </c>
      <c r="V197" s="97">
        <f t="shared" si="235"/>
        <v>56.862985670115059</v>
      </c>
      <c r="W197" s="97">
        <f t="shared" ref="W197" si="236">IF(W45=0,0,W45/W15*1000)</f>
        <v>45.468812477841887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33.806223538264938</v>
      </c>
      <c r="C198" s="97">
        <f t="shared" si="237"/>
        <v>33.840473444650094</v>
      </c>
      <c r="D198" s="97">
        <f t="shared" si="237"/>
        <v>33.877854908569169</v>
      </c>
      <c r="E198" s="97">
        <f t="shared" si="237"/>
        <v>33.794396850050276</v>
      </c>
      <c r="F198" s="97">
        <f t="shared" si="237"/>
        <v>33.501205489176428</v>
      </c>
      <c r="G198" s="97">
        <f t="shared" si="237"/>
        <v>36.541080200967066</v>
      </c>
      <c r="H198" s="97">
        <f t="shared" si="237"/>
        <v>36.923740636136586</v>
      </c>
      <c r="I198" s="97">
        <f t="shared" si="237"/>
        <v>36.911483180501257</v>
      </c>
      <c r="J198" s="97">
        <f t="shared" si="237"/>
        <v>38.69088122780439</v>
      </c>
      <c r="K198" s="97">
        <f t="shared" si="237"/>
        <v>33.409297961024592</v>
      </c>
      <c r="L198" s="97">
        <f t="shared" si="237"/>
        <v>33.732695178546429</v>
      </c>
      <c r="M198" s="97">
        <f t="shared" si="237"/>
        <v>30.86902507330845</v>
      </c>
      <c r="N198" s="97">
        <f t="shared" si="237"/>
        <v>29.831853850382199</v>
      </c>
      <c r="O198" s="97">
        <f t="shared" si="237"/>
        <v>29.999214632856781</v>
      </c>
      <c r="P198" s="97">
        <f t="shared" si="237"/>
        <v>32.616922493298375</v>
      </c>
      <c r="Q198" s="97">
        <f t="shared" si="237"/>
        <v>31.109975433981514</v>
      </c>
      <c r="R198" s="97">
        <f t="shared" si="237"/>
        <v>30.24418899728451</v>
      </c>
      <c r="S198" s="97">
        <f t="shared" si="237"/>
        <v>28.175796273328128</v>
      </c>
      <c r="T198" s="97">
        <f t="shared" si="237"/>
        <v>35.193567119920075</v>
      </c>
      <c r="U198" s="97">
        <f t="shared" si="237"/>
        <v>26.631267388485092</v>
      </c>
      <c r="V198" s="97">
        <f t="shared" si="237"/>
        <v>71.013924716816618</v>
      </c>
      <c r="W198" s="97">
        <f t="shared" ref="W198" si="238">IF(W46=0,0,W46/W16*1000)</f>
        <v>46.79874764995283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15.069573197588541</v>
      </c>
      <c r="C199" s="32">
        <f t="shared" si="239"/>
        <v>21.161187074054535</v>
      </c>
      <c r="D199" s="32">
        <f t="shared" si="239"/>
        <v>21.813173715137399</v>
      </c>
      <c r="E199" s="32">
        <f t="shared" si="239"/>
        <v>25.394905784788385</v>
      </c>
      <c r="F199" s="32">
        <f t="shared" si="239"/>
        <v>31.495745949639907</v>
      </c>
      <c r="G199" s="32">
        <f t="shared" si="239"/>
        <v>35.837130989038144</v>
      </c>
      <c r="H199" s="32">
        <f t="shared" si="239"/>
        <v>36.772832687812802</v>
      </c>
      <c r="I199" s="32">
        <f t="shared" si="239"/>
        <v>48.682891626664905</v>
      </c>
      <c r="J199" s="32">
        <f t="shared" si="239"/>
        <v>67.7751916205752</v>
      </c>
      <c r="K199" s="32">
        <f t="shared" si="239"/>
        <v>51.366609473208612</v>
      </c>
      <c r="L199" s="32">
        <f t="shared" si="239"/>
        <v>52.275344442279795</v>
      </c>
      <c r="M199" s="32">
        <f t="shared" si="239"/>
        <v>59.3165382736033</v>
      </c>
      <c r="N199" s="32">
        <f t="shared" si="239"/>
        <v>66.560701461688737</v>
      </c>
      <c r="O199" s="32">
        <f t="shared" si="239"/>
        <v>59.21433165092197</v>
      </c>
      <c r="P199" s="32">
        <f t="shared" si="239"/>
        <v>55.887966647989835</v>
      </c>
      <c r="Q199" s="32">
        <f t="shared" si="239"/>
        <v>51.057890544961829</v>
      </c>
      <c r="R199" s="32">
        <f t="shared" si="239"/>
        <v>55.309695248483749</v>
      </c>
      <c r="S199" s="32">
        <f t="shared" si="239"/>
        <v>50.219776421011012</v>
      </c>
      <c r="T199" s="32">
        <f t="shared" si="239"/>
        <v>50.370976893201806</v>
      </c>
      <c r="U199" s="32">
        <f t="shared" si="239"/>
        <v>46.302630702597568</v>
      </c>
      <c r="V199" s="32">
        <f t="shared" si="239"/>
        <v>39.754629374695959</v>
      </c>
      <c r="W199" s="32">
        <f t="shared" ref="W199" si="240">IF(W47=0,0,W47/W17*1000)</f>
        <v>46.043040396912083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20.297330904465692</v>
      </c>
      <c r="C200" s="141">
        <f t="shared" si="241"/>
        <v>28.878323828568341</v>
      </c>
      <c r="D200" s="141">
        <f t="shared" si="241"/>
        <v>30.225563354888205</v>
      </c>
      <c r="E200" s="141">
        <f t="shared" si="241"/>
        <v>35.28297926521055</v>
      </c>
      <c r="F200" s="141">
        <f t="shared" si="241"/>
        <v>43.176263694956575</v>
      </c>
      <c r="G200" s="141">
        <f t="shared" si="241"/>
        <v>49.358259664027557</v>
      </c>
      <c r="H200" s="141">
        <f t="shared" si="241"/>
        <v>50.006815381494391</v>
      </c>
      <c r="I200" s="141">
        <f t="shared" si="241"/>
        <v>67.199449783071586</v>
      </c>
      <c r="J200" s="141">
        <f t="shared" si="241"/>
        <v>93.938824614419872</v>
      </c>
      <c r="K200" s="141">
        <f t="shared" si="241"/>
        <v>69.31653073885316</v>
      </c>
      <c r="L200" s="141">
        <f t="shared" si="241"/>
        <v>74.507182780136489</v>
      </c>
      <c r="M200" s="141">
        <f t="shared" si="241"/>
        <v>87.316666986173018</v>
      </c>
      <c r="N200" s="141">
        <f t="shared" si="241"/>
        <v>96.617520998651358</v>
      </c>
      <c r="O200" s="141">
        <f t="shared" si="241"/>
        <v>88.18791336243531</v>
      </c>
      <c r="P200" s="141">
        <f t="shared" si="241"/>
        <v>84.407476172772306</v>
      </c>
      <c r="Q200" s="141">
        <f t="shared" si="241"/>
        <v>76.020139360909866</v>
      </c>
      <c r="R200" s="141">
        <f t="shared" si="241"/>
        <v>81.421394300825341</v>
      </c>
      <c r="S200" s="141">
        <f t="shared" si="241"/>
        <v>75.619743346111193</v>
      </c>
      <c r="T200" s="141">
        <f t="shared" si="241"/>
        <v>75.325680495124459</v>
      </c>
      <c r="U200" s="141">
        <f t="shared" si="241"/>
        <v>69.522679404268047</v>
      </c>
      <c r="V200" s="141">
        <f t="shared" si="241"/>
        <v>58.447125025576547</v>
      </c>
      <c r="W200" s="141">
        <f t="shared" ref="W200" si="242">IF(W48=0,0,W48/W18*1000)</f>
        <v>67.106173741501806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673.45219723065043</v>
      </c>
      <c r="C201" s="97">
        <f t="shared" si="243"/>
        <v>660.2929916077378</v>
      </c>
      <c r="D201" s="97">
        <f t="shared" si="243"/>
        <v>653.39816076749742</v>
      </c>
      <c r="E201" s="97">
        <f t="shared" si="243"/>
        <v>647.41953592238076</v>
      </c>
      <c r="F201" s="97">
        <f t="shared" si="243"/>
        <v>646.06114338131067</v>
      </c>
      <c r="G201" s="97">
        <f t="shared" si="243"/>
        <v>642.60543284916378</v>
      </c>
      <c r="H201" s="97">
        <f t="shared" si="243"/>
        <v>641.55661785296422</v>
      </c>
      <c r="I201" s="97">
        <f t="shared" si="243"/>
        <v>640.04988436257293</v>
      </c>
      <c r="J201" s="97">
        <f t="shared" si="243"/>
        <v>634.97103886232389</v>
      </c>
      <c r="K201" s="97">
        <f t="shared" si="243"/>
        <v>630.51034455018487</v>
      </c>
      <c r="L201" s="97">
        <f t="shared" si="243"/>
        <v>627.48944493166368</v>
      </c>
      <c r="M201" s="97">
        <f t="shared" si="243"/>
        <v>629.47904276603833</v>
      </c>
      <c r="N201" s="97">
        <f t="shared" si="243"/>
        <v>621.34936079286433</v>
      </c>
      <c r="O201" s="97">
        <f t="shared" si="243"/>
        <v>614.32755091036142</v>
      </c>
      <c r="P201" s="97">
        <f t="shared" si="243"/>
        <v>610.7265333644184</v>
      </c>
      <c r="Q201" s="97">
        <f t="shared" si="243"/>
        <v>602.56861686570369</v>
      </c>
      <c r="R201" s="97">
        <f t="shared" si="243"/>
        <v>590.38964362070976</v>
      </c>
      <c r="S201" s="97">
        <f t="shared" si="243"/>
        <v>575.45395861757549</v>
      </c>
      <c r="T201" s="97">
        <f t="shared" si="243"/>
        <v>565.09655586869019</v>
      </c>
      <c r="U201" s="97">
        <f t="shared" si="243"/>
        <v>557.36382382258626</v>
      </c>
      <c r="V201" s="97">
        <f t="shared" si="243"/>
        <v>554.05529301718332</v>
      </c>
      <c r="W201" s="97">
        <f t="shared" ref="W201" si="244">IF(W49=0,0,W49/W19*1000)</f>
        <v>547.87731568054551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13.0353351246057</v>
      </c>
      <c r="C202" s="97">
        <f t="shared" si="245"/>
        <v>21.750714961763659</v>
      </c>
      <c r="D202" s="97">
        <f t="shared" si="245"/>
        <v>22.88511577215397</v>
      </c>
      <c r="E202" s="97">
        <f t="shared" si="245"/>
        <v>27.564788841303887</v>
      </c>
      <c r="F202" s="97">
        <f t="shared" si="245"/>
        <v>35.723260715590548</v>
      </c>
      <c r="G202" s="97">
        <f t="shared" si="245"/>
        <v>41.545775830993911</v>
      </c>
      <c r="H202" s="97">
        <f t="shared" si="245"/>
        <v>42.249050888077257</v>
      </c>
      <c r="I202" s="97">
        <f t="shared" si="245"/>
        <v>58.968318301691781</v>
      </c>
      <c r="J202" s="97">
        <f t="shared" si="245"/>
        <v>85.217969712675767</v>
      </c>
      <c r="K202" s="97">
        <f t="shared" si="245"/>
        <v>58.356699511763203</v>
      </c>
      <c r="L202" s="97">
        <f t="shared" si="245"/>
        <v>63.468351667461953</v>
      </c>
      <c r="M202" s="97">
        <f t="shared" si="245"/>
        <v>75.956088312516698</v>
      </c>
      <c r="N202" s="97">
        <f t="shared" si="245"/>
        <v>85.06683311695312</v>
      </c>
      <c r="O202" s="97">
        <f t="shared" si="245"/>
        <v>76.216153760484389</v>
      </c>
      <c r="P202" s="97">
        <f t="shared" si="245"/>
        <v>72.084146427713137</v>
      </c>
      <c r="Q202" s="97">
        <f t="shared" si="245"/>
        <v>63.618494314003627</v>
      </c>
      <c r="R202" s="97">
        <f t="shared" si="245"/>
        <v>69.678599790867807</v>
      </c>
      <c r="S202" s="97">
        <f t="shared" si="245"/>
        <v>64.253223036917319</v>
      </c>
      <c r="T202" s="97">
        <f t="shared" si="245"/>
        <v>63.465842899173687</v>
      </c>
      <c r="U202" s="97">
        <f t="shared" si="245"/>
        <v>57.073834866641995</v>
      </c>
      <c r="V202" s="97">
        <f t="shared" si="245"/>
        <v>44.35095115769689</v>
      </c>
      <c r="W202" s="97">
        <f t="shared" ref="W202" si="246">IF(W50=0,0,W50/W20*1000)</f>
        <v>54.499515125958823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4.860174402696857</v>
      </c>
      <c r="C203" s="130">
        <f t="shared" si="247"/>
        <v>5.2714886096404392</v>
      </c>
      <c r="D203" s="130">
        <f t="shared" si="247"/>
        <v>5.1754743929952394</v>
      </c>
      <c r="E203" s="130">
        <f t="shared" si="247"/>
        <v>5.0670939543726634</v>
      </c>
      <c r="F203" s="130">
        <f t="shared" si="247"/>
        <v>5.0022065658057429</v>
      </c>
      <c r="G203" s="130">
        <f t="shared" si="247"/>
        <v>4.9394656835696837</v>
      </c>
      <c r="H203" s="130">
        <f t="shared" si="247"/>
        <v>4.7331728297874687</v>
      </c>
      <c r="I203" s="130">
        <f t="shared" si="247"/>
        <v>4.3964338038231681</v>
      </c>
      <c r="J203" s="130">
        <f t="shared" si="247"/>
        <v>4.0135682355167761</v>
      </c>
      <c r="K203" s="130">
        <f t="shared" si="247"/>
        <v>3.8229403516696587</v>
      </c>
      <c r="L203" s="130">
        <f t="shared" si="247"/>
        <v>3.6844600048636185</v>
      </c>
      <c r="M203" s="130">
        <f t="shared" si="247"/>
        <v>3.7196852585397835</v>
      </c>
      <c r="N203" s="130">
        <f t="shared" si="247"/>
        <v>3.6047139693942754</v>
      </c>
      <c r="O203" s="130">
        <f t="shared" si="247"/>
        <v>3.582851523272149</v>
      </c>
      <c r="P203" s="130">
        <f t="shared" si="247"/>
        <v>3.8677641616220515</v>
      </c>
      <c r="Q203" s="130">
        <f t="shared" si="247"/>
        <v>3.541650098728848</v>
      </c>
      <c r="R203" s="130">
        <f t="shared" si="247"/>
        <v>3.2534118108320307</v>
      </c>
      <c r="S203" s="130">
        <f t="shared" si="247"/>
        <v>2.878806251982768</v>
      </c>
      <c r="T203" s="130">
        <f t="shared" si="247"/>
        <v>3.3659434141159994</v>
      </c>
      <c r="U203" s="130">
        <f t="shared" si="247"/>
        <v>3.0876520169419299</v>
      </c>
      <c r="V203" s="130">
        <f t="shared" si="247"/>
        <v>3.1803101005697298</v>
      </c>
      <c r="W203" s="130">
        <f t="shared" ref="W203" si="248">IF(W51=0,0,W51/W21*1000)</f>
        <v>3.1325118822306255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61.004442120019846</v>
      </c>
      <c r="C204" s="130">
        <f t="shared" si="249"/>
        <v>54.940765659978851</v>
      </c>
      <c r="D204" s="130">
        <f t="shared" si="249"/>
        <v>54.564070617434993</v>
      </c>
      <c r="E204" s="130">
        <f t="shared" si="249"/>
        <v>53.942593355918568</v>
      </c>
      <c r="F204" s="130">
        <f t="shared" si="249"/>
        <v>54.394402942902865</v>
      </c>
      <c r="G204" s="130">
        <f t="shared" si="249"/>
        <v>62.094136978044837</v>
      </c>
      <c r="H204" s="130">
        <f t="shared" si="249"/>
        <v>80.001340301444202</v>
      </c>
      <c r="I204" s="130">
        <f t="shared" si="249"/>
        <v>117.42780564246897</v>
      </c>
      <c r="J204" s="130">
        <f t="shared" si="249"/>
        <v>107.51724263031178</v>
      </c>
      <c r="K204" s="130">
        <f t="shared" si="249"/>
        <v>94.594474930996014</v>
      </c>
      <c r="L204" s="130">
        <f t="shared" si="249"/>
        <v>130.95630450294595</v>
      </c>
      <c r="M204" s="130">
        <f t="shared" si="249"/>
        <v>110.90329514189806</v>
      </c>
      <c r="N204" s="130">
        <f t="shared" si="249"/>
        <v>125.02117066684085</v>
      </c>
      <c r="O204" s="130">
        <f t="shared" si="249"/>
        <v>138.51636691079059</v>
      </c>
      <c r="P204" s="130">
        <f t="shared" si="249"/>
        <v>134.57785188555027</v>
      </c>
      <c r="Q204" s="130">
        <f t="shared" si="249"/>
        <v>144.892099306045</v>
      </c>
      <c r="R204" s="130">
        <f t="shared" si="249"/>
        <v>106.26672363328204</v>
      </c>
      <c r="S204" s="130">
        <f t="shared" si="249"/>
        <v>115.63143100944767</v>
      </c>
      <c r="T204" s="130">
        <f t="shared" si="249"/>
        <v>134.38309035426695</v>
      </c>
      <c r="U204" s="130">
        <f t="shared" si="249"/>
        <v>105.68272091118715</v>
      </c>
      <c r="V204" s="130">
        <f t="shared" si="249"/>
        <v>255.42790682366285</v>
      </c>
      <c r="W204" s="130">
        <f t="shared" ref="W204" si="250">IF(W52=0,0,W52/W22*1000)</f>
        <v>198.54242616097909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148.73308445981465</v>
      </c>
      <c r="C206" s="97">
        <f t="shared" si="253"/>
        <v>142.01864994436042</v>
      </c>
      <c r="D206" s="97">
        <f t="shared" si="253"/>
        <v>151.14141862261889</v>
      </c>
      <c r="E206" s="97">
        <f t="shared" si="253"/>
        <v>148.51350566069192</v>
      </c>
      <c r="F206" s="97">
        <f t="shared" si="253"/>
        <v>163.7382340944242</v>
      </c>
      <c r="G206" s="97">
        <f t="shared" si="253"/>
        <v>142.45726557416268</v>
      </c>
      <c r="H206" s="97">
        <f t="shared" si="253"/>
        <v>155.59652407012751</v>
      </c>
      <c r="I206" s="97">
        <f t="shared" si="253"/>
        <v>145.39899583215578</v>
      </c>
      <c r="J206" s="97">
        <f t="shared" si="253"/>
        <v>158.47890438725204</v>
      </c>
      <c r="K206" s="97">
        <f t="shared" si="253"/>
        <v>152.48512923334386</v>
      </c>
      <c r="L206" s="97">
        <f t="shared" si="253"/>
        <v>164.51085645396586</v>
      </c>
      <c r="M206" s="97">
        <f t="shared" si="253"/>
        <v>140.47729769464488</v>
      </c>
      <c r="N206" s="97">
        <f t="shared" si="253"/>
        <v>165.75068896896832</v>
      </c>
      <c r="O206" s="97">
        <f t="shared" si="253"/>
        <v>186.07665995881254</v>
      </c>
      <c r="P206" s="97">
        <f t="shared" si="253"/>
        <v>179.1091986567387</v>
      </c>
      <c r="Q206" s="97">
        <f t="shared" si="253"/>
        <v>165.06007991563717</v>
      </c>
      <c r="R206" s="97">
        <f t="shared" si="253"/>
        <v>119.06255873324635</v>
      </c>
      <c r="S206" s="97">
        <f t="shared" si="253"/>
        <v>139.13155962464802</v>
      </c>
      <c r="T206" s="97">
        <f t="shared" si="253"/>
        <v>168.32311817658731</v>
      </c>
      <c r="U206" s="97">
        <f t="shared" si="253"/>
        <v>138.35062158668305</v>
      </c>
      <c r="V206" s="97">
        <f t="shared" si="253"/>
        <v>315.31784838336182</v>
      </c>
      <c r="W206" s="97">
        <f t="shared" ref="W206" si="254">IF(W54=0,0,W54/W24*1000)</f>
        <v>247.37487044772897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36.694590711421249</v>
      </c>
      <c r="C207" s="97">
        <f t="shared" si="255"/>
        <v>35.0532889654759</v>
      </c>
      <c r="D207" s="97">
        <f t="shared" si="255"/>
        <v>37.11580108598497</v>
      </c>
      <c r="E207" s="97">
        <f t="shared" si="255"/>
        <v>40.71853947530299</v>
      </c>
      <c r="F207" s="97">
        <f t="shared" si="255"/>
        <v>41.687397801842636</v>
      </c>
      <c r="G207" s="97">
        <f t="shared" si="255"/>
        <v>47.90433512843726</v>
      </c>
      <c r="H207" s="97">
        <f t="shared" si="255"/>
        <v>43.299086153974855</v>
      </c>
      <c r="I207" s="97">
        <f t="shared" si="255"/>
        <v>39.603881120446736</v>
      </c>
      <c r="J207" s="97">
        <f t="shared" si="255"/>
        <v>38.582117717847105</v>
      </c>
      <c r="K207" s="97">
        <f t="shared" si="255"/>
        <v>28.442803178795216</v>
      </c>
      <c r="L207" s="97">
        <f t="shared" si="255"/>
        <v>38.705473928858723</v>
      </c>
      <c r="M207" s="97">
        <f t="shared" si="255"/>
        <v>34.037734169184802</v>
      </c>
      <c r="N207" s="97">
        <f t="shared" si="255"/>
        <v>28.372905865182478</v>
      </c>
      <c r="O207" s="97">
        <f t="shared" si="255"/>
        <v>28.96313784287992</v>
      </c>
      <c r="P207" s="97">
        <f t="shared" si="255"/>
        <v>29.641781787464744</v>
      </c>
      <c r="Q207" s="97">
        <f t="shared" si="255"/>
        <v>30.588116156217296</v>
      </c>
      <c r="R207" s="97">
        <f t="shared" si="255"/>
        <v>30.067038942279893</v>
      </c>
      <c r="S207" s="97">
        <f t="shared" si="255"/>
        <v>27.990143078485854</v>
      </c>
      <c r="T207" s="97">
        <f t="shared" si="255"/>
        <v>33.05092928235932</v>
      </c>
      <c r="U207" s="97">
        <f t="shared" si="255"/>
        <v>26.59574426223325</v>
      </c>
      <c r="V207" s="97">
        <f t="shared" si="255"/>
        <v>91.850749178144255</v>
      </c>
      <c r="W207" s="97">
        <f t="shared" ref="W207" si="256">IF(W55=0,0,W55/W25*1000)</f>
        <v>61.848119226835969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0</v>
      </c>
      <c r="H208" s="130">
        <f t="shared" si="257"/>
        <v>0</v>
      </c>
      <c r="I208" s="130">
        <f t="shared" si="257"/>
        <v>0</v>
      </c>
      <c r="J208" s="130">
        <f t="shared" si="257"/>
        <v>0</v>
      </c>
      <c r="K208" s="130">
        <f t="shared" si="257"/>
        <v>0</v>
      </c>
      <c r="L208" s="130">
        <f t="shared" si="257"/>
        <v>0</v>
      </c>
      <c r="M208" s="130">
        <f t="shared" si="257"/>
        <v>0</v>
      </c>
      <c r="N208" s="130">
        <f t="shared" si="257"/>
        <v>0</v>
      </c>
      <c r="O208" s="130">
        <f t="shared" si="257"/>
        <v>0</v>
      </c>
      <c r="P208" s="130">
        <f t="shared" si="257"/>
        <v>0</v>
      </c>
      <c r="Q208" s="130">
        <f t="shared" si="257"/>
        <v>0</v>
      </c>
      <c r="R208" s="130">
        <f t="shared" si="257"/>
        <v>0</v>
      </c>
      <c r="S208" s="130">
        <f t="shared" si="257"/>
        <v>0</v>
      </c>
      <c r="T208" s="130">
        <f t="shared" si="257"/>
        <v>0</v>
      </c>
      <c r="U208" s="130">
        <f t="shared" si="257"/>
        <v>0</v>
      </c>
      <c r="V208" s="130">
        <f t="shared" si="257"/>
        <v>0</v>
      </c>
      <c r="W208" s="130">
        <f t="shared" ref="W208" si="258">IF(W56=0,0,W56/W26*1000)</f>
        <v>0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0.55621458574994931</v>
      </c>
      <c r="H211" s="32">
        <f t="shared" si="263"/>
        <v>0.59336564455019714</v>
      </c>
      <c r="I211" s="32">
        <f t="shared" si="263"/>
        <v>0.93967086318093318</v>
      </c>
      <c r="J211" s="32">
        <f t="shared" si="263"/>
        <v>1.1864155985616864</v>
      </c>
      <c r="K211" s="32">
        <f t="shared" si="263"/>
        <v>0.76069981762777228</v>
      </c>
      <c r="L211" s="32">
        <f t="shared" si="263"/>
        <v>0.3781935830183708</v>
      </c>
      <c r="M211" s="32">
        <f t="shared" si="263"/>
        <v>0.54516451741972805</v>
      </c>
      <c r="N211" s="32">
        <f t="shared" si="263"/>
        <v>0.85970255879445834</v>
      </c>
      <c r="O211" s="32">
        <f t="shared" si="263"/>
        <v>1.0865000552149087</v>
      </c>
      <c r="P211" s="32">
        <f t="shared" si="263"/>
        <v>0.94691090067421502</v>
      </c>
      <c r="Q211" s="32">
        <f t="shared" si="263"/>
        <v>0.96773705343272787</v>
      </c>
      <c r="R211" s="32">
        <f t="shared" si="263"/>
        <v>1.7315226602098246</v>
      </c>
      <c r="S211" s="32">
        <f t="shared" si="263"/>
        <v>1.9484154069655943</v>
      </c>
      <c r="T211" s="32">
        <f t="shared" si="263"/>
        <v>2.5415416806259357</v>
      </c>
      <c r="U211" s="32">
        <f t="shared" si="263"/>
        <v>2.3598502233719181</v>
      </c>
      <c r="V211" s="32">
        <f t="shared" si="263"/>
        <v>1.6800601090645118</v>
      </c>
      <c r="W211" s="32">
        <f t="shared" si="262"/>
        <v>1.0864134842937407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1.2169352236873503</v>
      </c>
      <c r="H212" s="97">
        <f t="shared" si="264"/>
        <v>1.2911886586585146</v>
      </c>
      <c r="I212" s="97">
        <f t="shared" si="264"/>
        <v>2.138141742876126</v>
      </c>
      <c r="J212" s="97">
        <f t="shared" si="264"/>
        <v>2.7217079768535704</v>
      </c>
      <c r="K212" s="97">
        <f t="shared" si="264"/>
        <v>1.7249148375967884</v>
      </c>
      <c r="L212" s="97">
        <f t="shared" si="264"/>
        <v>0.99016123953142554</v>
      </c>
      <c r="M212" s="97">
        <f t="shared" si="264"/>
        <v>1.5710627913426771</v>
      </c>
      <c r="N212" s="97">
        <f t="shared" si="264"/>
        <v>2.2592684284640163</v>
      </c>
      <c r="O212" s="97">
        <f t="shared" si="264"/>
        <v>3.0603771767552366</v>
      </c>
      <c r="P212" s="97">
        <f t="shared" si="264"/>
        <v>2.562138194497332</v>
      </c>
      <c r="Q212" s="97">
        <f t="shared" si="264"/>
        <v>2.6613274187096696</v>
      </c>
      <c r="R212" s="97">
        <f t="shared" si="264"/>
        <v>4.5695664089097088</v>
      </c>
      <c r="S212" s="97">
        <f t="shared" si="264"/>
        <v>5.3767775404737392</v>
      </c>
      <c r="T212" s="97">
        <f t="shared" si="264"/>
        <v>7.2402393573801209</v>
      </c>
      <c r="U212" s="97">
        <f t="shared" si="264"/>
        <v>6.9453145873477808</v>
      </c>
      <c r="V212" s="97">
        <f t="shared" si="264"/>
        <v>4.3645937643261847</v>
      </c>
      <c r="W212" s="97">
        <f t="shared" si="262"/>
        <v>3.2019780990665154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0.4303291292044783</v>
      </c>
      <c r="H213" s="98">
        <f t="shared" si="265"/>
        <v>0.46070462494134901</v>
      </c>
      <c r="I213" s="98">
        <f t="shared" si="265"/>
        <v>0.73416168086830558</v>
      </c>
      <c r="J213" s="98">
        <f t="shared" si="265"/>
        <v>0.92554531658937411</v>
      </c>
      <c r="K213" s="98">
        <f t="shared" si="265"/>
        <v>0.58908368168076464</v>
      </c>
      <c r="L213" s="98">
        <f t="shared" si="265"/>
        <v>0.30414144046351838</v>
      </c>
      <c r="M213" s="98">
        <f t="shared" si="265"/>
        <v>0.45388838372282719</v>
      </c>
      <c r="N213" s="98">
        <f t="shared" si="265"/>
        <v>0.68927479049002283</v>
      </c>
      <c r="O213" s="98">
        <f t="shared" si="265"/>
        <v>0.89286950920617147</v>
      </c>
      <c r="P213" s="98">
        <f t="shared" si="265"/>
        <v>0.76851672872141008</v>
      </c>
      <c r="Q213" s="98">
        <f t="shared" si="265"/>
        <v>0.7895197653809245</v>
      </c>
      <c r="R213" s="98">
        <f t="shared" si="265"/>
        <v>1.4001781081415579</v>
      </c>
      <c r="S213" s="98">
        <f t="shared" si="265"/>
        <v>1.5980215668387343</v>
      </c>
      <c r="T213" s="98">
        <f t="shared" si="265"/>
        <v>2.1063364667391475</v>
      </c>
      <c r="U213" s="98">
        <f t="shared" si="265"/>
        <v>1.971594427214679</v>
      </c>
      <c r="V213" s="98">
        <f t="shared" si="265"/>
        <v>1.4697056302741065</v>
      </c>
      <c r="W213" s="98">
        <f t="shared" si="262"/>
        <v>0.96719782374152619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128.97413519338863</v>
      </c>
      <c r="C216" s="32">
        <f t="shared" si="266"/>
        <v>126.55453334387545</v>
      </c>
      <c r="D216" s="32">
        <f t="shared" si="266"/>
        <v>126.74995898553837</v>
      </c>
      <c r="E216" s="32">
        <f t="shared" si="266"/>
        <v>123.94092992381462</v>
      </c>
      <c r="F216" s="32">
        <f t="shared" si="266"/>
        <v>118.64861238401484</v>
      </c>
      <c r="G216" s="32">
        <f t="shared" si="266"/>
        <v>120.46662855918001</v>
      </c>
      <c r="H216" s="32">
        <f t="shared" si="266"/>
        <v>120.59154772887629</v>
      </c>
      <c r="I216" s="32">
        <f t="shared" si="266"/>
        <v>117.88410583838404</v>
      </c>
      <c r="J216" s="32">
        <f t="shared" si="266"/>
        <v>123.59632634396196</v>
      </c>
      <c r="K216" s="32">
        <f t="shared" si="266"/>
        <v>116.77067898127144</v>
      </c>
      <c r="L216" s="32">
        <f t="shared" si="266"/>
        <v>118.33938829328166</v>
      </c>
      <c r="M216" s="32">
        <f t="shared" si="266"/>
        <v>119.96751051971404</v>
      </c>
      <c r="N216" s="32">
        <f t="shared" si="266"/>
        <v>117.28390781568839</v>
      </c>
      <c r="O216" s="32">
        <f t="shared" si="266"/>
        <v>113.94368664252804</v>
      </c>
      <c r="P216" s="32">
        <f t="shared" si="266"/>
        <v>112.44498054366976</v>
      </c>
      <c r="Q216" s="32">
        <f t="shared" si="266"/>
        <v>111.8682680493</v>
      </c>
      <c r="R216" s="32">
        <f t="shared" si="266"/>
        <v>111.12713623679716</v>
      </c>
      <c r="S216" s="32">
        <f t="shared" si="266"/>
        <v>111.60599927434153</v>
      </c>
      <c r="T216" s="32">
        <f t="shared" si="266"/>
        <v>111.25689230906706</v>
      </c>
      <c r="U216" s="32">
        <f t="shared" si="266"/>
        <v>108.00844192670961</v>
      </c>
      <c r="V216" s="32">
        <f t="shared" si="266"/>
        <v>111.29886679752838</v>
      </c>
      <c r="W216" s="32">
        <f t="shared" ref="W216" si="267">IF(W4=0,0,W64/W4*1000)</f>
        <v>110.88133744720207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132.53828069394621</v>
      </c>
      <c r="C217" s="141">
        <f t="shared" si="268"/>
        <v>130.04730600465606</v>
      </c>
      <c r="D217" s="141">
        <f t="shared" si="268"/>
        <v>130.38602994648991</v>
      </c>
      <c r="E217" s="141">
        <f t="shared" si="268"/>
        <v>127.4050566586053</v>
      </c>
      <c r="F217" s="141">
        <f t="shared" si="268"/>
        <v>121.37057295213236</v>
      </c>
      <c r="G217" s="141">
        <f t="shared" si="268"/>
        <v>123.47000793758926</v>
      </c>
      <c r="H217" s="141">
        <f t="shared" si="268"/>
        <v>123.49629695813063</v>
      </c>
      <c r="I217" s="141">
        <f t="shared" si="268"/>
        <v>120.29838572638386</v>
      </c>
      <c r="J217" s="141">
        <f t="shared" si="268"/>
        <v>126.23324350433712</v>
      </c>
      <c r="K217" s="141">
        <f t="shared" si="268"/>
        <v>119.34030992345592</v>
      </c>
      <c r="L217" s="141">
        <f t="shared" si="268"/>
        <v>120.80688245385048</v>
      </c>
      <c r="M217" s="141">
        <f t="shared" si="268"/>
        <v>122.70600132697841</v>
      </c>
      <c r="N217" s="141">
        <f t="shared" si="268"/>
        <v>119.60522502313775</v>
      </c>
      <c r="O217" s="141">
        <f t="shared" si="268"/>
        <v>116.17852952278443</v>
      </c>
      <c r="P217" s="141">
        <f t="shared" si="268"/>
        <v>114.2079259070085</v>
      </c>
      <c r="Q217" s="141">
        <f t="shared" si="268"/>
        <v>113.72202719868498</v>
      </c>
      <c r="R217" s="141">
        <f t="shared" si="268"/>
        <v>113.19571188345788</v>
      </c>
      <c r="S217" s="141">
        <f t="shared" si="268"/>
        <v>113.57633222959402</v>
      </c>
      <c r="T217" s="141">
        <f t="shared" si="268"/>
        <v>112.59455271272026</v>
      </c>
      <c r="U217" s="141">
        <f t="shared" si="268"/>
        <v>109.97214384467257</v>
      </c>
      <c r="V217" s="141">
        <f t="shared" si="268"/>
        <v>111.97584447969496</v>
      </c>
      <c r="W217" s="141">
        <f t="shared" ref="W217" si="269">IF(W5=0,0,W65/W5*1000)</f>
        <v>112.19709177538505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112.8832656033685</v>
      </c>
      <c r="C218" s="97">
        <f t="shared" si="270"/>
        <v>112.33328643533471</v>
      </c>
      <c r="D218" s="97">
        <f t="shared" si="270"/>
        <v>111.74194695184678</v>
      </c>
      <c r="E218" s="97">
        <f t="shared" si="270"/>
        <v>110.96700094603648</v>
      </c>
      <c r="F218" s="97">
        <f t="shared" si="270"/>
        <v>110.10622066631079</v>
      </c>
      <c r="G218" s="97">
        <f t="shared" si="270"/>
        <v>109.25056487788038</v>
      </c>
      <c r="H218" s="97">
        <f t="shared" si="270"/>
        <v>107.66238071042838</v>
      </c>
      <c r="I218" s="97">
        <f t="shared" si="270"/>
        <v>103.47595292476318</v>
      </c>
      <c r="J218" s="97">
        <f t="shared" si="270"/>
        <v>100.84599285188483</v>
      </c>
      <c r="K218" s="97">
        <f t="shared" si="270"/>
        <v>104.07671149869982</v>
      </c>
      <c r="L218" s="97">
        <f t="shared" si="270"/>
        <v>97.852272478619483</v>
      </c>
      <c r="M218" s="97">
        <f t="shared" si="270"/>
        <v>97.030356211275432</v>
      </c>
      <c r="N218" s="97">
        <f t="shared" si="270"/>
        <v>96.935727168876724</v>
      </c>
      <c r="O218" s="97">
        <f t="shared" si="270"/>
        <v>95.519303188106562</v>
      </c>
      <c r="P218" s="97">
        <f t="shared" si="270"/>
        <v>94.243453014941792</v>
      </c>
      <c r="Q218" s="97">
        <f t="shared" si="270"/>
        <v>92.50623176350075</v>
      </c>
      <c r="R218" s="97">
        <f t="shared" si="270"/>
        <v>91.666724509462938</v>
      </c>
      <c r="S218" s="97">
        <f t="shared" si="270"/>
        <v>93.047307051203717</v>
      </c>
      <c r="T218" s="97">
        <f t="shared" si="270"/>
        <v>91.221597049018868</v>
      </c>
      <c r="U218" s="97">
        <f t="shared" si="270"/>
        <v>90.607822554263777</v>
      </c>
      <c r="V218" s="97">
        <f t="shared" si="270"/>
        <v>88.748244286752424</v>
      </c>
      <c r="W218" s="97">
        <f t="shared" ref="W218" si="271">IF(W6=0,0,W66/W6*1000)</f>
        <v>82.862044765401109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143.34684360548172</v>
      </c>
      <c r="C219" s="97">
        <f t="shared" si="272"/>
        <v>140.53635767555951</v>
      </c>
      <c r="D219" s="97">
        <f t="shared" si="272"/>
        <v>140.73589232523199</v>
      </c>
      <c r="E219" s="97">
        <f t="shared" si="272"/>
        <v>138.22164642452611</v>
      </c>
      <c r="F219" s="97">
        <f t="shared" si="272"/>
        <v>129.42322972559967</v>
      </c>
      <c r="G219" s="97">
        <f t="shared" si="272"/>
        <v>131.14055766381017</v>
      </c>
      <c r="H219" s="97">
        <f t="shared" si="272"/>
        <v>131.39218777697525</v>
      </c>
      <c r="I219" s="97">
        <f t="shared" si="272"/>
        <v>127.87369872069365</v>
      </c>
      <c r="J219" s="97">
        <f t="shared" si="272"/>
        <v>134.0531961887144</v>
      </c>
      <c r="K219" s="97">
        <f t="shared" si="272"/>
        <v>126.17859089968151</v>
      </c>
      <c r="L219" s="97">
        <f t="shared" si="272"/>
        <v>128.04298241377612</v>
      </c>
      <c r="M219" s="97">
        <f t="shared" si="272"/>
        <v>130.3445057485209</v>
      </c>
      <c r="N219" s="97">
        <f t="shared" si="272"/>
        <v>126.94678098280428</v>
      </c>
      <c r="O219" s="97">
        <f t="shared" si="272"/>
        <v>123.32998623149822</v>
      </c>
      <c r="P219" s="97">
        <f t="shared" si="272"/>
        <v>121.21611148692878</v>
      </c>
      <c r="Q219" s="97">
        <f t="shared" si="272"/>
        <v>120.83019962587558</v>
      </c>
      <c r="R219" s="97">
        <f t="shared" si="272"/>
        <v>120.27749311111296</v>
      </c>
      <c r="S219" s="97">
        <f t="shared" si="272"/>
        <v>120.53165835034093</v>
      </c>
      <c r="T219" s="97">
        <f t="shared" si="272"/>
        <v>119.96466367698311</v>
      </c>
      <c r="U219" s="97">
        <f t="shared" si="272"/>
        <v>116.94810005831133</v>
      </c>
      <c r="V219" s="97">
        <f t="shared" si="272"/>
        <v>115.78624437237383</v>
      </c>
      <c r="W219" s="97">
        <f t="shared" ref="W219" si="273">IF(W7=0,0,W67/W7*1000)</f>
        <v>116.28643743736447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70.312866156673508</v>
      </c>
      <c r="C220" s="97">
        <f t="shared" si="274"/>
        <v>66.183674091841098</v>
      </c>
      <c r="D220" s="97">
        <f t="shared" si="274"/>
        <v>64.873625139588199</v>
      </c>
      <c r="E220" s="97">
        <f t="shared" si="274"/>
        <v>60.934479342063419</v>
      </c>
      <c r="F220" s="97">
        <f t="shared" si="274"/>
        <v>66.61755312837515</v>
      </c>
      <c r="G220" s="97">
        <f t="shared" si="274"/>
        <v>67.683573262893731</v>
      </c>
      <c r="H220" s="97">
        <f t="shared" si="274"/>
        <v>66.256912861700059</v>
      </c>
      <c r="I220" s="97">
        <f t="shared" si="274"/>
        <v>64.144965673644847</v>
      </c>
      <c r="J220" s="97">
        <f t="shared" si="274"/>
        <v>65.885773727165656</v>
      </c>
      <c r="K220" s="97">
        <f t="shared" si="274"/>
        <v>65.103407510169845</v>
      </c>
      <c r="L220" s="97">
        <f t="shared" si="274"/>
        <v>64.314748888712444</v>
      </c>
      <c r="M220" s="97">
        <f t="shared" si="274"/>
        <v>65.000817722746092</v>
      </c>
      <c r="N220" s="97">
        <f t="shared" si="274"/>
        <v>64.074207326681901</v>
      </c>
      <c r="O220" s="97">
        <f t="shared" si="274"/>
        <v>63.475033091920054</v>
      </c>
      <c r="P220" s="97">
        <f t="shared" si="274"/>
        <v>63.517727057442826</v>
      </c>
      <c r="Q220" s="97">
        <f t="shared" si="274"/>
        <v>63.606683219468565</v>
      </c>
      <c r="R220" s="97">
        <f t="shared" si="274"/>
        <v>62.854909434594219</v>
      </c>
      <c r="S220" s="97">
        <f t="shared" si="274"/>
        <v>63.760386386720711</v>
      </c>
      <c r="T220" s="97">
        <f t="shared" si="274"/>
        <v>59.978919960066179</v>
      </c>
      <c r="U220" s="97">
        <f t="shared" si="274"/>
        <v>59.644098219914703</v>
      </c>
      <c r="V220" s="97">
        <f t="shared" si="274"/>
        <v>69.203661047136436</v>
      </c>
      <c r="W220" s="97">
        <f t="shared" ref="W220" si="275">IF(W8=0,0,W68/W8*1000)</f>
        <v>70.51815813117436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24.899158557873186</v>
      </c>
      <c r="C221" s="130">
        <f t="shared" si="276"/>
        <v>24.138032914378392</v>
      </c>
      <c r="D221" s="130">
        <f t="shared" si="276"/>
        <v>23.680969819127938</v>
      </c>
      <c r="E221" s="130">
        <f t="shared" si="276"/>
        <v>24.530399381536704</v>
      </c>
      <c r="F221" s="130">
        <f t="shared" si="276"/>
        <v>25.471925631544597</v>
      </c>
      <c r="G221" s="130">
        <f t="shared" si="276"/>
        <v>23.846525760696878</v>
      </c>
      <c r="H221" s="130">
        <f t="shared" si="276"/>
        <v>23.658872450710916</v>
      </c>
      <c r="I221" s="130">
        <f t="shared" si="276"/>
        <v>23.667332897031066</v>
      </c>
      <c r="J221" s="130">
        <f t="shared" si="276"/>
        <v>20.985819442093295</v>
      </c>
      <c r="K221" s="130">
        <f t="shared" si="276"/>
        <v>19.828986597072259</v>
      </c>
      <c r="L221" s="130">
        <f t="shared" si="276"/>
        <v>18.824614299292065</v>
      </c>
      <c r="M221" s="130">
        <f t="shared" si="276"/>
        <v>20.799480200689835</v>
      </c>
      <c r="N221" s="130">
        <f t="shared" si="276"/>
        <v>19.630900719351786</v>
      </c>
      <c r="O221" s="130">
        <f t="shared" si="276"/>
        <v>21.047351058249834</v>
      </c>
      <c r="P221" s="130">
        <f t="shared" si="276"/>
        <v>24.919043398369627</v>
      </c>
      <c r="Q221" s="130">
        <f t="shared" si="276"/>
        <v>26.80207853500157</v>
      </c>
      <c r="R221" s="130">
        <f t="shared" si="276"/>
        <v>24.473835679489095</v>
      </c>
      <c r="S221" s="130">
        <f t="shared" si="276"/>
        <v>26.659347773400999</v>
      </c>
      <c r="T221" s="130">
        <f t="shared" si="276"/>
        <v>25.353541273123692</v>
      </c>
      <c r="U221" s="130">
        <f t="shared" si="276"/>
        <v>22.704136713499405</v>
      </c>
      <c r="V221" s="130">
        <f t="shared" si="276"/>
        <v>24.818259713770253</v>
      </c>
      <c r="W221" s="130">
        <f t="shared" ref="W221" si="277">IF(W9=0,0,W69/W9*1000)</f>
        <v>25.605551972856819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24.899158557873186</v>
      </c>
      <c r="C223" s="97">
        <f t="shared" si="280"/>
        <v>24.138032914378392</v>
      </c>
      <c r="D223" s="97">
        <f t="shared" si="280"/>
        <v>23.680969819127938</v>
      </c>
      <c r="E223" s="97">
        <f t="shared" si="280"/>
        <v>24.530399381536704</v>
      </c>
      <c r="F223" s="97">
        <f t="shared" si="280"/>
        <v>25.471925631544597</v>
      </c>
      <c r="G223" s="97">
        <f t="shared" si="280"/>
        <v>23.846525760696878</v>
      </c>
      <c r="H223" s="97">
        <f t="shared" si="280"/>
        <v>23.658872450710916</v>
      </c>
      <c r="I223" s="97">
        <f t="shared" si="280"/>
        <v>23.667332897031066</v>
      </c>
      <c r="J223" s="97">
        <f t="shared" si="280"/>
        <v>21.377033120108351</v>
      </c>
      <c r="K223" s="97">
        <f t="shared" si="280"/>
        <v>20.248093315108132</v>
      </c>
      <c r="L223" s="97">
        <f t="shared" si="280"/>
        <v>19.222781655951696</v>
      </c>
      <c r="M223" s="97">
        <f t="shared" si="280"/>
        <v>21.210138025449631</v>
      </c>
      <c r="N223" s="97">
        <f t="shared" si="280"/>
        <v>19.991289983392303</v>
      </c>
      <c r="O223" s="97">
        <f t="shared" si="280"/>
        <v>21.395540637101035</v>
      </c>
      <c r="P223" s="97">
        <f t="shared" si="280"/>
        <v>25.232413697516201</v>
      </c>
      <c r="Q223" s="97">
        <f t="shared" si="280"/>
        <v>27.043228341871767</v>
      </c>
      <c r="R223" s="97">
        <f t="shared" si="280"/>
        <v>24.631055180642132</v>
      </c>
      <c r="S223" s="97">
        <f t="shared" si="280"/>
        <v>26.731569909648119</v>
      </c>
      <c r="T223" s="97">
        <f t="shared" si="280"/>
        <v>25.433693228897862</v>
      </c>
      <c r="U223" s="97">
        <f t="shared" si="280"/>
        <v>22.773412478731913</v>
      </c>
      <c r="V223" s="97">
        <f t="shared" si="280"/>
        <v>24.847665234758132</v>
      </c>
      <c r="W223" s="97">
        <f t="shared" ref="W223" si="281">IF(W11=0,0,W71/W11*1000)</f>
        <v>27.054922839244941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111.36325495236954</v>
      </c>
      <c r="C225" s="130">
        <f t="shared" si="284"/>
        <v>110.81379256075321</v>
      </c>
      <c r="D225" s="130">
        <f t="shared" si="284"/>
        <v>110.79011029387716</v>
      </c>
      <c r="E225" s="130">
        <f t="shared" si="284"/>
        <v>111.23090675831754</v>
      </c>
      <c r="F225" s="130">
        <f t="shared" si="284"/>
        <v>110.58541281190345</v>
      </c>
      <c r="G225" s="130">
        <f t="shared" si="284"/>
        <v>107.87896704177548</v>
      </c>
      <c r="H225" s="130">
        <f t="shared" si="284"/>
        <v>111.39616968902946</v>
      </c>
      <c r="I225" s="130">
        <f t="shared" si="284"/>
        <v>121.39955131982155</v>
      </c>
      <c r="J225" s="130">
        <f t="shared" si="284"/>
        <v>128.63714862440025</v>
      </c>
      <c r="K225" s="130">
        <f t="shared" si="284"/>
        <v>116.7711194031271</v>
      </c>
      <c r="L225" s="130">
        <f t="shared" si="284"/>
        <v>119.51903268125008</v>
      </c>
      <c r="M225" s="130">
        <f t="shared" si="284"/>
        <v>103.70489990056842</v>
      </c>
      <c r="N225" s="130">
        <f t="shared" si="284"/>
        <v>113.27390808893541</v>
      </c>
      <c r="O225" s="130">
        <f t="shared" si="284"/>
        <v>112.30500418887706</v>
      </c>
      <c r="P225" s="130">
        <f t="shared" si="284"/>
        <v>116.29735275844639</v>
      </c>
      <c r="Q225" s="130">
        <f t="shared" si="284"/>
        <v>109.19813063717329</v>
      </c>
      <c r="R225" s="130">
        <f t="shared" si="284"/>
        <v>96.472921311673076</v>
      </c>
      <c r="S225" s="130">
        <f t="shared" si="284"/>
        <v>95.852766547062018</v>
      </c>
      <c r="T225" s="130">
        <f t="shared" si="284"/>
        <v>118.72819083400134</v>
      </c>
      <c r="U225" s="130">
        <f t="shared" si="284"/>
        <v>92.255638856526915</v>
      </c>
      <c r="V225" s="130">
        <f t="shared" si="284"/>
        <v>189.54138987574993</v>
      </c>
      <c r="W225" s="130">
        <f t="shared" ref="W225" si="285">IF(W13=0,0,W73/W13*1000)</f>
        <v>138.63815201471556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119.27220218405361</v>
      </c>
      <c r="C227" s="97">
        <f t="shared" si="288"/>
        <v>118.10704772118396</v>
      </c>
      <c r="D227" s="97">
        <f t="shared" si="288"/>
        <v>117.95384284989572</v>
      </c>
      <c r="E227" s="97">
        <f t="shared" si="288"/>
        <v>119.04755294821653</v>
      </c>
      <c r="F227" s="97">
        <f t="shared" si="288"/>
        <v>118.63986898365484</v>
      </c>
      <c r="G227" s="97">
        <f t="shared" si="288"/>
        <v>106.48893736160014</v>
      </c>
      <c r="H227" s="97">
        <f t="shared" si="288"/>
        <v>111.55221550292427</v>
      </c>
      <c r="I227" s="97">
        <f t="shared" si="288"/>
        <v>128.84413461897333</v>
      </c>
      <c r="J227" s="97">
        <f t="shared" si="288"/>
        <v>138.14214248840352</v>
      </c>
      <c r="K227" s="97">
        <f t="shared" si="288"/>
        <v>131.93511168941052</v>
      </c>
      <c r="L227" s="97">
        <f t="shared" si="288"/>
        <v>137.50411287091907</v>
      </c>
      <c r="M227" s="97">
        <f t="shared" si="288"/>
        <v>113.51954533198165</v>
      </c>
      <c r="N227" s="97">
        <f t="shared" si="288"/>
        <v>141.79944792895597</v>
      </c>
      <c r="O227" s="97">
        <f t="shared" si="288"/>
        <v>137.70846362096341</v>
      </c>
      <c r="P227" s="97">
        <f t="shared" si="288"/>
        <v>135.04309897715387</v>
      </c>
      <c r="Q227" s="97">
        <f t="shared" si="288"/>
        <v>124.19964212641695</v>
      </c>
      <c r="R227" s="97">
        <f t="shared" si="288"/>
        <v>100.54345808408229</v>
      </c>
      <c r="S227" s="97">
        <f t="shared" si="288"/>
        <v>104.36215048572615</v>
      </c>
      <c r="T227" s="97">
        <f t="shared" si="288"/>
        <v>128.59599553771596</v>
      </c>
      <c r="U227" s="97">
        <f t="shared" si="288"/>
        <v>102.75746112065814</v>
      </c>
      <c r="V227" s="97">
        <f t="shared" si="288"/>
        <v>171.17516890221549</v>
      </c>
      <c r="W227" s="97">
        <f t="shared" ref="W227" si="289">IF(W15=0,0,W75/W15*1000)</f>
        <v>136.87518451512224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101.7671857344955</v>
      </c>
      <c r="C228" s="97">
        <f t="shared" si="290"/>
        <v>101.87028854278586</v>
      </c>
      <c r="D228" s="97">
        <f t="shared" si="290"/>
        <v>101.98281830753092</v>
      </c>
      <c r="E228" s="97">
        <f t="shared" si="290"/>
        <v>101.73158374615738</v>
      </c>
      <c r="F228" s="97">
        <f t="shared" si="290"/>
        <v>100.84898709515832</v>
      </c>
      <c r="G228" s="97">
        <f t="shared" si="290"/>
        <v>109.99994990690905</v>
      </c>
      <c r="H228" s="97">
        <f t="shared" si="290"/>
        <v>111.15187613537583</v>
      </c>
      <c r="I228" s="97">
        <f t="shared" si="290"/>
        <v>111.11497740390818</v>
      </c>
      <c r="J228" s="97">
        <f t="shared" si="290"/>
        <v>116.47151571616688</v>
      </c>
      <c r="K228" s="97">
        <f t="shared" si="290"/>
        <v>100.57231701761356</v>
      </c>
      <c r="L228" s="97">
        <f t="shared" si="290"/>
        <v>101.54584263677397</v>
      </c>
      <c r="M228" s="97">
        <f t="shared" si="290"/>
        <v>92.925310173211116</v>
      </c>
      <c r="N228" s="97">
        <f t="shared" si="290"/>
        <v>89.803104098860985</v>
      </c>
      <c r="O228" s="97">
        <f t="shared" si="290"/>
        <v>90.306911802063382</v>
      </c>
      <c r="P228" s="97">
        <f t="shared" si="290"/>
        <v>98.187021857263019</v>
      </c>
      <c r="Q228" s="97">
        <f t="shared" si="290"/>
        <v>93.650645260688563</v>
      </c>
      <c r="R228" s="97">
        <f t="shared" si="290"/>
        <v>91.044360385064365</v>
      </c>
      <c r="S228" s="97">
        <f t="shared" si="290"/>
        <v>84.817858738925409</v>
      </c>
      <c r="T228" s="97">
        <f t="shared" si="290"/>
        <v>105.94351888191294</v>
      </c>
      <c r="U228" s="97">
        <f t="shared" si="290"/>
        <v>80.16834922721668</v>
      </c>
      <c r="V228" s="97">
        <f t="shared" si="290"/>
        <v>213.77387090314039</v>
      </c>
      <c r="W228" s="97">
        <f t="shared" ref="W228" si="291">IF(W16=0,0,W76/W16*1000)</f>
        <v>140.87870059913138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43.536879076716787</v>
      </c>
      <c r="C229" s="32">
        <f t="shared" si="292"/>
        <v>62.179348636520047</v>
      </c>
      <c r="D229" s="32">
        <f t="shared" si="292"/>
        <v>64.348576164635404</v>
      </c>
      <c r="E229" s="32">
        <f t="shared" si="292"/>
        <v>75.554512263604678</v>
      </c>
      <c r="F229" s="32">
        <f t="shared" si="292"/>
        <v>94.807402532488567</v>
      </c>
      <c r="G229" s="32">
        <f t="shared" si="292"/>
        <v>108.35912917499287</v>
      </c>
      <c r="H229" s="32">
        <f t="shared" si="292"/>
        <v>110.87424749285715</v>
      </c>
      <c r="I229" s="32">
        <f t="shared" si="292"/>
        <v>146.70985872896023</v>
      </c>
      <c r="J229" s="32">
        <f t="shared" si="292"/>
        <v>204.3802732146145</v>
      </c>
      <c r="K229" s="32">
        <f t="shared" si="292"/>
        <v>153.18943195889446</v>
      </c>
      <c r="L229" s="32">
        <f t="shared" si="292"/>
        <v>154.13017363967765</v>
      </c>
      <c r="M229" s="32">
        <f t="shared" si="292"/>
        <v>177.0933208139374</v>
      </c>
      <c r="N229" s="32">
        <f t="shared" si="292"/>
        <v>197.28976604561373</v>
      </c>
      <c r="O229" s="32">
        <f t="shared" si="292"/>
        <v>174.00480934888259</v>
      </c>
      <c r="P229" s="32">
        <f t="shared" si="292"/>
        <v>166.55441261129636</v>
      </c>
      <c r="Q229" s="32">
        <f t="shared" si="292"/>
        <v>153.50049894791789</v>
      </c>
      <c r="R229" s="32">
        <f t="shared" si="292"/>
        <v>167.70699236526679</v>
      </c>
      <c r="S229" s="32">
        <f t="shared" si="292"/>
        <v>151.37933325842391</v>
      </c>
      <c r="T229" s="32">
        <f t="shared" si="292"/>
        <v>146.67433585908506</v>
      </c>
      <c r="U229" s="32">
        <f t="shared" si="292"/>
        <v>132.27513567832284</v>
      </c>
      <c r="V229" s="32">
        <f t="shared" si="292"/>
        <v>112.17517215728394</v>
      </c>
      <c r="W229" s="32">
        <f t="shared" ref="W229" si="293">IF(W17=0,0,W77/W17*1000)</f>
        <v>130.51756119674084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62.723090074622597</v>
      </c>
      <c r="C230" s="141">
        <f t="shared" si="294"/>
        <v>89.348328544973981</v>
      </c>
      <c r="D230" s="141">
        <f t="shared" si="294"/>
        <v>93.530665261697621</v>
      </c>
      <c r="E230" s="141">
        <f t="shared" si="294"/>
        <v>109.22649035651875</v>
      </c>
      <c r="F230" s="141">
        <f t="shared" si="294"/>
        <v>133.73842526531132</v>
      </c>
      <c r="G230" s="141">
        <f t="shared" si="294"/>
        <v>152.9309285729033</v>
      </c>
      <c r="H230" s="141">
        <f t="shared" si="294"/>
        <v>154.13729540915426</v>
      </c>
      <c r="I230" s="141">
        <f t="shared" si="294"/>
        <v>205.70206657001319</v>
      </c>
      <c r="J230" s="141">
        <f t="shared" si="294"/>
        <v>286.43922988424703</v>
      </c>
      <c r="K230" s="141">
        <f t="shared" si="294"/>
        <v>209.27329442294078</v>
      </c>
      <c r="L230" s="141">
        <f t="shared" si="294"/>
        <v>222.68617733815344</v>
      </c>
      <c r="M230" s="141">
        <f t="shared" si="294"/>
        <v>263.97010896148976</v>
      </c>
      <c r="N230" s="141">
        <f t="shared" si="294"/>
        <v>289.35210775204837</v>
      </c>
      <c r="O230" s="141">
        <f t="shared" si="294"/>
        <v>262.25975671637076</v>
      </c>
      <c r="P230" s="141">
        <f t="shared" si="294"/>
        <v>254.45462665902835</v>
      </c>
      <c r="Q230" s="141">
        <f t="shared" si="294"/>
        <v>231.49573712931269</v>
      </c>
      <c r="R230" s="141">
        <f t="shared" si="294"/>
        <v>249.92095326870566</v>
      </c>
      <c r="S230" s="141">
        <f t="shared" si="294"/>
        <v>231.13489326446273</v>
      </c>
      <c r="T230" s="141">
        <f t="shared" si="294"/>
        <v>223.28691538778375</v>
      </c>
      <c r="U230" s="141">
        <f t="shared" si="294"/>
        <v>202.29081368940544</v>
      </c>
      <c r="V230" s="141">
        <f t="shared" si="294"/>
        <v>168.56153788511162</v>
      </c>
      <c r="W230" s="141">
        <f t="shared" ref="W230" si="295">IF(W18=0,0,W78/W18*1000)</f>
        <v>193.80718352786624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2066.8017342591529</v>
      </c>
      <c r="C231" s="97">
        <f t="shared" si="296"/>
        <v>2026.6168977177772</v>
      </c>
      <c r="D231" s="97">
        <f t="shared" si="296"/>
        <v>2006.3545379996724</v>
      </c>
      <c r="E231" s="97">
        <f t="shared" si="296"/>
        <v>1989.6061153637797</v>
      </c>
      <c r="F231" s="97">
        <f t="shared" si="296"/>
        <v>1986.9562685301885</v>
      </c>
      <c r="G231" s="97">
        <f t="shared" si="296"/>
        <v>1978.3160176131962</v>
      </c>
      <c r="H231" s="97">
        <f t="shared" si="296"/>
        <v>1965.6516169003071</v>
      </c>
      <c r="I231" s="97">
        <f t="shared" si="296"/>
        <v>1949.2144856889897</v>
      </c>
      <c r="J231" s="97">
        <f t="shared" si="296"/>
        <v>1926.6822388261628</v>
      </c>
      <c r="K231" s="97">
        <f t="shared" si="296"/>
        <v>1897.9925476540641</v>
      </c>
      <c r="L231" s="97">
        <f t="shared" si="296"/>
        <v>1871.5149607723818</v>
      </c>
      <c r="M231" s="97">
        <f t="shared" si="296"/>
        <v>1898.1460876241408</v>
      </c>
      <c r="N231" s="97">
        <f t="shared" si="296"/>
        <v>1856.920141620315</v>
      </c>
      <c r="O231" s="97">
        <f t="shared" si="296"/>
        <v>1823.6413395018894</v>
      </c>
      <c r="P231" s="97">
        <f t="shared" si="296"/>
        <v>1836.2574125191263</v>
      </c>
      <c r="Q231" s="97">
        <f t="shared" si="296"/>
        <v>1829.6041132066532</v>
      </c>
      <c r="R231" s="97">
        <f t="shared" si="296"/>
        <v>1807.0081851753953</v>
      </c>
      <c r="S231" s="97">
        <f t="shared" si="296"/>
        <v>1754.3587106891023</v>
      </c>
      <c r="T231" s="97">
        <f t="shared" si="296"/>
        <v>1672.1932162630703</v>
      </c>
      <c r="U231" s="97">
        <f t="shared" si="296"/>
        <v>1620.0730341018923</v>
      </c>
      <c r="V231" s="97">
        <f t="shared" si="296"/>
        <v>1596.2565930045778</v>
      </c>
      <c r="W231" s="97">
        <f t="shared" ref="W231" si="297">IF(W19=0,0,W79/W19*1000)</f>
        <v>1580.2372495468096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40.441068754877058</v>
      </c>
      <c r="C232" s="97">
        <f t="shared" si="298"/>
        <v>67.479827010816848</v>
      </c>
      <c r="D232" s="97">
        <f t="shared" si="298"/>
        <v>70.99921341170699</v>
      </c>
      <c r="E232" s="97">
        <f t="shared" si="298"/>
        <v>85.517519119291407</v>
      </c>
      <c r="F232" s="97">
        <f t="shared" si="298"/>
        <v>110.82851564134957</v>
      </c>
      <c r="G232" s="97">
        <f t="shared" si="298"/>
        <v>128.89239599866116</v>
      </c>
      <c r="H232" s="97">
        <f t="shared" si="298"/>
        <v>130.38054420432485</v>
      </c>
      <c r="I232" s="97">
        <f t="shared" si="298"/>
        <v>180.65001267444231</v>
      </c>
      <c r="J232" s="97">
        <f t="shared" si="298"/>
        <v>260.0002842764199</v>
      </c>
      <c r="K232" s="97">
        <f t="shared" si="298"/>
        <v>176.29346187693778</v>
      </c>
      <c r="L232" s="97">
        <f t="shared" si="298"/>
        <v>189.77166322113527</v>
      </c>
      <c r="M232" s="97">
        <f t="shared" si="298"/>
        <v>229.72725921469291</v>
      </c>
      <c r="N232" s="97">
        <f t="shared" si="298"/>
        <v>254.84593198874683</v>
      </c>
      <c r="O232" s="97">
        <f t="shared" si="298"/>
        <v>226.73214461107835</v>
      </c>
      <c r="P232" s="97">
        <f t="shared" si="298"/>
        <v>217.4180096955098</v>
      </c>
      <c r="Q232" s="97">
        <f t="shared" si="298"/>
        <v>193.85594958208063</v>
      </c>
      <c r="R232" s="97">
        <f t="shared" si="298"/>
        <v>213.99620664100965</v>
      </c>
      <c r="S232" s="97">
        <f t="shared" si="298"/>
        <v>196.49589911957062</v>
      </c>
      <c r="T232" s="97">
        <f t="shared" si="298"/>
        <v>188.20154325939006</v>
      </c>
      <c r="U232" s="97">
        <f t="shared" si="298"/>
        <v>166.11151505486706</v>
      </c>
      <c r="V232" s="97">
        <f t="shared" si="298"/>
        <v>127.95478636842381</v>
      </c>
      <c r="W232" s="97">
        <f t="shared" ref="W232" si="299">IF(W20=0,0,W80/W20*1000)</f>
        <v>157.4525669297644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6.1237041850540415</v>
      </c>
      <c r="C233" s="130">
        <f t="shared" si="300"/>
        <v>6.2709327128020584</v>
      </c>
      <c r="D233" s="130">
        <f t="shared" si="300"/>
        <v>6.6596701382303962</v>
      </c>
      <c r="E233" s="130">
        <f t="shared" si="300"/>
        <v>6.3536748709562527</v>
      </c>
      <c r="F233" s="130">
        <f t="shared" si="300"/>
        <v>6.5203311419741157</v>
      </c>
      <c r="G233" s="130">
        <f t="shared" si="300"/>
        <v>6.5212322450973881</v>
      </c>
      <c r="H233" s="130">
        <f t="shared" si="300"/>
        <v>6.1520593968826827</v>
      </c>
      <c r="I233" s="130">
        <f t="shared" si="300"/>
        <v>5.6525377896744393</v>
      </c>
      <c r="J233" s="130">
        <f t="shared" si="300"/>
        <v>4.4069202292041565</v>
      </c>
      <c r="K233" s="130">
        <f t="shared" si="300"/>
        <v>4.6439948031463061</v>
      </c>
      <c r="L233" s="130">
        <f t="shared" si="300"/>
        <v>4.2931295456930965</v>
      </c>
      <c r="M233" s="130">
        <f t="shared" si="300"/>
        <v>4.5937284706089283</v>
      </c>
      <c r="N233" s="130">
        <f t="shared" si="300"/>
        <v>4.4591286530107119</v>
      </c>
      <c r="O233" s="130">
        <f t="shared" si="300"/>
        <v>4.5475546173857246</v>
      </c>
      <c r="P233" s="130">
        <f t="shared" si="300"/>
        <v>6.2250162659393764</v>
      </c>
      <c r="Q233" s="130">
        <f t="shared" si="300"/>
        <v>5.0412968622799985</v>
      </c>
      <c r="R233" s="130">
        <f t="shared" si="300"/>
        <v>3.8101981559248084</v>
      </c>
      <c r="S233" s="130">
        <f t="shared" si="300"/>
        <v>2.7361516866539444</v>
      </c>
      <c r="T233" s="130">
        <f t="shared" si="300"/>
        <v>2.3658432375976988</v>
      </c>
      <c r="U233" s="130">
        <f t="shared" si="300"/>
        <v>1.9639220710276533</v>
      </c>
      <c r="V233" s="130">
        <f t="shared" si="300"/>
        <v>1.8445647940638292</v>
      </c>
      <c r="W233" s="130">
        <f t="shared" ref="W233" si="301">IF(W21=0,0,W81/W21*1000)</f>
        <v>1.5759447530241357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183.64223335476328</v>
      </c>
      <c r="C234" s="130">
        <f t="shared" si="302"/>
        <v>165.38869232127846</v>
      </c>
      <c r="D234" s="130">
        <f t="shared" si="302"/>
        <v>164.25472376911421</v>
      </c>
      <c r="E234" s="130">
        <f t="shared" si="302"/>
        <v>162.38388505118058</v>
      </c>
      <c r="F234" s="130">
        <f t="shared" si="302"/>
        <v>163.74397160752764</v>
      </c>
      <c r="G234" s="130">
        <f t="shared" si="302"/>
        <v>186.92255181106864</v>
      </c>
      <c r="H234" s="130">
        <f t="shared" si="302"/>
        <v>240.82877072176831</v>
      </c>
      <c r="I234" s="130">
        <f t="shared" si="302"/>
        <v>353.49400366133619</v>
      </c>
      <c r="J234" s="130">
        <f t="shared" si="302"/>
        <v>323.66014464865981</v>
      </c>
      <c r="K234" s="130">
        <f t="shared" si="302"/>
        <v>284.75861815394666</v>
      </c>
      <c r="L234" s="130">
        <f t="shared" si="302"/>
        <v>394.21896824321971</v>
      </c>
      <c r="M234" s="130">
        <f t="shared" si="302"/>
        <v>333.85320967597102</v>
      </c>
      <c r="N234" s="130">
        <f t="shared" si="302"/>
        <v>376.35238025316113</v>
      </c>
      <c r="O234" s="130">
        <f t="shared" si="302"/>
        <v>416.97709366212854</v>
      </c>
      <c r="P234" s="130">
        <f t="shared" si="302"/>
        <v>405.12094564730938</v>
      </c>
      <c r="Q234" s="130">
        <f t="shared" si="302"/>
        <v>436.17001954830084</v>
      </c>
      <c r="R234" s="130">
        <f t="shared" si="302"/>
        <v>319.89569580712646</v>
      </c>
      <c r="S234" s="130">
        <f t="shared" si="302"/>
        <v>348.0863605769058</v>
      </c>
      <c r="T234" s="130">
        <f t="shared" si="302"/>
        <v>404.53465321788116</v>
      </c>
      <c r="U234" s="130">
        <f t="shared" si="302"/>
        <v>318.13766703997908</v>
      </c>
      <c r="V234" s="130">
        <f t="shared" si="302"/>
        <v>768.91697784801499</v>
      </c>
      <c r="W234" s="130">
        <f t="shared" ref="W234" si="303">IF(W22=0,0,W82/W22*1000)</f>
        <v>597.674092062716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447.73257249375712</v>
      </c>
      <c r="C236" s="97">
        <f t="shared" si="306"/>
        <v>427.52004849908769</v>
      </c>
      <c r="D236" s="97">
        <f t="shared" si="306"/>
        <v>454.98240298072091</v>
      </c>
      <c r="E236" s="97">
        <f t="shared" si="306"/>
        <v>447.07157241463301</v>
      </c>
      <c r="F236" s="97">
        <f t="shared" si="306"/>
        <v>492.90271248619905</v>
      </c>
      <c r="G236" s="97">
        <f t="shared" si="306"/>
        <v>428.84041716474542</v>
      </c>
      <c r="H236" s="97">
        <f t="shared" si="306"/>
        <v>468.39364789632651</v>
      </c>
      <c r="I236" s="97">
        <f t="shared" si="306"/>
        <v>437.6959348243002</v>
      </c>
      <c r="J236" s="97">
        <f t="shared" si="306"/>
        <v>477.0705038828653</v>
      </c>
      <c r="K236" s="97">
        <f t="shared" si="306"/>
        <v>459.02738739432397</v>
      </c>
      <c r="L236" s="97">
        <f t="shared" si="306"/>
        <v>495.22854468325278</v>
      </c>
      <c r="M236" s="97">
        <f t="shared" si="306"/>
        <v>422.88010164132834</v>
      </c>
      <c r="N236" s="97">
        <f t="shared" si="306"/>
        <v>498.96082390962397</v>
      </c>
      <c r="O236" s="97">
        <f t="shared" si="306"/>
        <v>560.14828137928498</v>
      </c>
      <c r="P236" s="97">
        <f t="shared" si="306"/>
        <v>539.17406852100817</v>
      </c>
      <c r="Q236" s="97">
        <f t="shared" si="306"/>
        <v>496.88187712277784</v>
      </c>
      <c r="R236" s="97">
        <f t="shared" si="306"/>
        <v>358.41511593023188</v>
      </c>
      <c r="S236" s="97">
        <f t="shared" si="306"/>
        <v>418.82901394842656</v>
      </c>
      <c r="T236" s="97">
        <f t="shared" si="306"/>
        <v>506.70463121966816</v>
      </c>
      <c r="U236" s="97">
        <f t="shared" si="306"/>
        <v>416.4781489881106</v>
      </c>
      <c r="V236" s="97">
        <f t="shared" si="306"/>
        <v>949.20421991263879</v>
      </c>
      <c r="W236" s="97">
        <f t="shared" ref="W236" si="307">IF(W24=0,0,W84/W24*1000)</f>
        <v>744.67484835760672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110.46206400882592</v>
      </c>
      <c r="C237" s="97">
        <f t="shared" si="308"/>
        <v>105.5212382630306</v>
      </c>
      <c r="D237" s="97">
        <f t="shared" si="308"/>
        <v>111.73003747451055</v>
      </c>
      <c r="E237" s="97">
        <f t="shared" si="308"/>
        <v>122.57539399306778</v>
      </c>
      <c r="F237" s="97">
        <f t="shared" si="308"/>
        <v>125.49195712694672</v>
      </c>
      <c r="G237" s="97">
        <f t="shared" si="308"/>
        <v>144.20686075701792</v>
      </c>
      <c r="H237" s="97">
        <f t="shared" si="308"/>
        <v>130.34363740090313</v>
      </c>
      <c r="I237" s="97">
        <f t="shared" si="308"/>
        <v>119.21992769258711</v>
      </c>
      <c r="J237" s="97">
        <f t="shared" si="308"/>
        <v>116.14410392151817</v>
      </c>
      <c r="K237" s="97">
        <f t="shared" si="308"/>
        <v>85.621632082916506</v>
      </c>
      <c r="L237" s="97">
        <f t="shared" si="308"/>
        <v>116.51544425840356</v>
      </c>
      <c r="M237" s="97">
        <f t="shared" si="308"/>
        <v>102.4641043166514</v>
      </c>
      <c r="N237" s="97">
        <f t="shared" si="308"/>
        <v>85.411219556692771</v>
      </c>
      <c r="O237" s="97">
        <f t="shared" si="308"/>
        <v>87.188000309289578</v>
      </c>
      <c r="P237" s="97">
        <f t="shared" si="308"/>
        <v>89.230928419197568</v>
      </c>
      <c r="Q237" s="97">
        <f t="shared" si="308"/>
        <v>92.079687475729585</v>
      </c>
      <c r="R237" s="97">
        <f t="shared" si="308"/>
        <v>90.511083944703472</v>
      </c>
      <c r="S237" s="97">
        <f t="shared" si="308"/>
        <v>84.258985218482337</v>
      </c>
      <c r="T237" s="97">
        <f t="shared" si="308"/>
        <v>99.493516487235667</v>
      </c>
      <c r="U237" s="97">
        <f t="shared" si="308"/>
        <v>80.061413633447998</v>
      </c>
      <c r="V237" s="97">
        <f t="shared" si="308"/>
        <v>276.49915527785998</v>
      </c>
      <c r="W237" s="97">
        <f t="shared" ref="W237" si="309">IF(W25=0,0,W85/W25*1000)</f>
        <v>186.18196231124119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0</v>
      </c>
      <c r="H238" s="130">
        <f t="shared" si="310"/>
        <v>0</v>
      </c>
      <c r="I238" s="130">
        <f t="shared" si="310"/>
        <v>0</v>
      </c>
      <c r="J238" s="130">
        <f t="shared" si="310"/>
        <v>0</v>
      </c>
      <c r="K238" s="130">
        <f t="shared" si="310"/>
        <v>0</v>
      </c>
      <c r="L238" s="130">
        <f t="shared" si="310"/>
        <v>0</v>
      </c>
      <c r="M238" s="130">
        <f t="shared" si="310"/>
        <v>0</v>
      </c>
      <c r="N238" s="130">
        <f t="shared" si="310"/>
        <v>0</v>
      </c>
      <c r="O238" s="130">
        <f t="shared" si="310"/>
        <v>0</v>
      </c>
      <c r="P238" s="130">
        <f t="shared" si="310"/>
        <v>0</v>
      </c>
      <c r="Q238" s="130">
        <f t="shared" si="310"/>
        <v>0</v>
      </c>
      <c r="R238" s="130">
        <f t="shared" si="310"/>
        <v>0</v>
      </c>
      <c r="S238" s="130">
        <f t="shared" si="310"/>
        <v>0</v>
      </c>
      <c r="T238" s="130">
        <f t="shared" si="310"/>
        <v>0</v>
      </c>
      <c r="U238" s="130">
        <f t="shared" si="310"/>
        <v>0</v>
      </c>
      <c r="V238" s="130">
        <f t="shared" si="310"/>
        <v>0</v>
      </c>
      <c r="W238" s="130">
        <f t="shared" ref="W238" si="311">IF(W26=0,0,W86/W26*1000)</f>
        <v>0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1.8024596421762458</v>
      </c>
      <c r="H241" s="32">
        <f t="shared" si="316"/>
        <v>1.9228507391865406</v>
      </c>
      <c r="I241" s="32">
        <f t="shared" si="316"/>
        <v>3.0450816127536307</v>
      </c>
      <c r="J241" s="32">
        <f t="shared" si="316"/>
        <v>3.8446784569169461</v>
      </c>
      <c r="K241" s="32">
        <f t="shared" si="316"/>
        <v>2.4651110492476231</v>
      </c>
      <c r="L241" s="32">
        <f t="shared" si="316"/>
        <v>1.225567771477138</v>
      </c>
      <c r="M241" s="32">
        <f t="shared" si="316"/>
        <v>1.7666509763864782</v>
      </c>
      <c r="N241" s="32">
        <f t="shared" si="316"/>
        <v>2.7859376690263353</v>
      </c>
      <c r="O241" s="32">
        <f t="shared" si="316"/>
        <v>3.5208938257285056</v>
      </c>
      <c r="P241" s="32">
        <f t="shared" si="316"/>
        <v>3.0685435566217305</v>
      </c>
      <c r="Q241" s="32">
        <f t="shared" si="316"/>
        <v>3.1360324373716013</v>
      </c>
      <c r="R241" s="32">
        <f t="shared" si="316"/>
        <v>5.6111432430952677</v>
      </c>
      <c r="S241" s="32">
        <f t="shared" si="316"/>
        <v>6.3140022344338691</v>
      </c>
      <c r="T241" s="32">
        <f t="shared" si="316"/>
        <v>8.2053175450142053</v>
      </c>
      <c r="U241" s="32">
        <f t="shared" si="316"/>
        <v>7.598081180304046</v>
      </c>
      <c r="V241" s="32">
        <f t="shared" si="316"/>
        <v>5.4262306943129905</v>
      </c>
      <c r="W241" s="32">
        <f t="shared" si="315"/>
        <v>3.4993005934752972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3.9435798413694698</v>
      </c>
      <c r="H242" s="97">
        <f t="shared" si="317"/>
        <v>4.1842042752793178</v>
      </c>
      <c r="I242" s="97">
        <f t="shared" si="317"/>
        <v>6.9288262111830932</v>
      </c>
      <c r="J242" s="97">
        <f t="shared" si="317"/>
        <v>8.8199211450976716</v>
      </c>
      <c r="K242" s="97">
        <f t="shared" si="317"/>
        <v>5.5897300441468829</v>
      </c>
      <c r="L242" s="97">
        <f t="shared" si="317"/>
        <v>3.2086998781167142</v>
      </c>
      <c r="M242" s="97">
        <f t="shared" si="317"/>
        <v>5.0911596877701868</v>
      </c>
      <c r="N242" s="97">
        <f t="shared" si="317"/>
        <v>7.3213473135708957</v>
      </c>
      <c r="O242" s="97">
        <f t="shared" si="317"/>
        <v>9.9174068646564528</v>
      </c>
      <c r="P242" s="97">
        <f t="shared" si="317"/>
        <v>8.3028219891663895</v>
      </c>
      <c r="Q242" s="97">
        <f t="shared" si="317"/>
        <v>8.6242529227699229</v>
      </c>
      <c r="R242" s="97">
        <f t="shared" si="317"/>
        <v>14.808060135997135</v>
      </c>
      <c r="S242" s="97">
        <f t="shared" si="317"/>
        <v>17.423894967796524</v>
      </c>
      <c r="T242" s="97">
        <f t="shared" si="317"/>
        <v>23.239044151834563</v>
      </c>
      <c r="U242" s="97">
        <f t="shared" si="317"/>
        <v>22.128373681635871</v>
      </c>
      <c r="V242" s="97">
        <f t="shared" si="317"/>
        <v>14.009276004629989</v>
      </c>
      <c r="W242" s="97">
        <f t="shared" si="315"/>
        <v>10.182756359649057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1.394517346570662</v>
      </c>
      <c r="H243" s="98">
        <f t="shared" si="318"/>
        <v>1.4929516677472368</v>
      </c>
      <c r="I243" s="98">
        <f t="shared" si="318"/>
        <v>2.3791120091055928</v>
      </c>
      <c r="J243" s="98">
        <f t="shared" si="318"/>
        <v>2.9993066037782077</v>
      </c>
      <c r="K243" s="98">
        <f t="shared" si="318"/>
        <v>1.908974682248834</v>
      </c>
      <c r="L243" s="98">
        <f t="shared" si="318"/>
        <v>0.98559564238987796</v>
      </c>
      <c r="M243" s="98">
        <f t="shared" si="318"/>
        <v>1.4708630709673471</v>
      </c>
      <c r="N243" s="98">
        <f t="shared" si="318"/>
        <v>2.2336523062454887</v>
      </c>
      <c r="O243" s="98">
        <f t="shared" si="318"/>
        <v>2.8934179313257649</v>
      </c>
      <c r="P243" s="98">
        <f t="shared" si="318"/>
        <v>2.4904424000135594</v>
      </c>
      <c r="Q243" s="98">
        <f t="shared" si="318"/>
        <v>2.5585044877613665</v>
      </c>
      <c r="R243" s="98">
        <f t="shared" si="318"/>
        <v>4.537393654251316</v>
      </c>
      <c r="S243" s="98">
        <f t="shared" si="318"/>
        <v>5.1785218427352815</v>
      </c>
      <c r="T243" s="98">
        <f t="shared" si="318"/>
        <v>6.8128559197843774</v>
      </c>
      <c r="U243" s="98">
        <f t="shared" si="318"/>
        <v>6.3677869645595226</v>
      </c>
      <c r="V243" s="98">
        <f t="shared" si="318"/>
        <v>4.753681099284659</v>
      </c>
      <c r="W243" s="98">
        <f t="shared" si="315"/>
        <v>3.1226765053372509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23917.085886948993</v>
      </c>
      <c r="C4" s="29">
        <f t="shared" si="0"/>
        <v>24278.309533499025</v>
      </c>
      <c r="D4" s="29">
        <f t="shared" si="0"/>
        <v>24710.294883609418</v>
      </c>
      <c r="E4" s="29">
        <f t="shared" si="0"/>
        <v>24878.658425623627</v>
      </c>
      <c r="F4" s="29">
        <f t="shared" si="0"/>
        <v>25375.536408565109</v>
      </c>
      <c r="G4" s="29">
        <f t="shared" si="0"/>
        <v>25700.283601746509</v>
      </c>
      <c r="H4" s="29">
        <f t="shared" si="0"/>
        <v>26285.639262700341</v>
      </c>
      <c r="I4" s="29">
        <f t="shared" si="0"/>
        <v>27758.847998342466</v>
      </c>
      <c r="J4" s="29">
        <f t="shared" si="0"/>
        <v>28208.80311346766</v>
      </c>
      <c r="K4" s="29">
        <f t="shared" si="0"/>
        <v>29162.013414282632</v>
      </c>
      <c r="L4" s="29">
        <f t="shared" ref="L4" si="1">L5+L6+L13</f>
        <v>29066.889092472473</v>
      </c>
      <c r="M4" s="29">
        <f t="shared" ref="M4:V4" si="2">M5+M6+M13</f>
        <v>29022.984653243504</v>
      </c>
      <c r="N4" s="29">
        <f t="shared" si="2"/>
        <v>28804.740960094725</v>
      </c>
      <c r="O4" s="29">
        <f t="shared" si="2"/>
        <v>28727.525657652535</v>
      </c>
      <c r="P4" s="29">
        <f t="shared" si="2"/>
        <v>29330.647348913753</v>
      </c>
      <c r="Q4" s="29">
        <f t="shared" si="2"/>
        <v>29835.213536673451</v>
      </c>
      <c r="R4" s="29">
        <f t="shared" si="2"/>
        <v>30360.934085176723</v>
      </c>
      <c r="S4" s="29">
        <f t="shared" si="2"/>
        <v>31076.773133254592</v>
      </c>
      <c r="T4" s="29">
        <f t="shared" si="2"/>
        <v>31518.203693120748</v>
      </c>
      <c r="U4" s="29">
        <f t="shared" si="2"/>
        <v>31947.620350726091</v>
      </c>
      <c r="V4" s="29">
        <f t="shared" si="2"/>
        <v>26102.335006079211</v>
      </c>
      <c r="W4" s="29">
        <f t="shared" ref="W4" si="3">W5+W6+W13</f>
        <v>28061.321456909027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90.085886948994414</v>
      </c>
      <c r="C5" s="152">
        <f t="shared" si="4"/>
        <v>84.309533499025974</v>
      </c>
      <c r="D5" s="152">
        <f t="shared" si="4"/>
        <v>84.294883609418875</v>
      </c>
      <c r="E5" s="152">
        <f t="shared" si="4"/>
        <v>101.65842562362806</v>
      </c>
      <c r="F5" s="152">
        <f t="shared" si="4"/>
        <v>115.53640856511078</v>
      </c>
      <c r="G5" s="152">
        <f t="shared" si="4"/>
        <v>129.28360174650706</v>
      </c>
      <c r="H5" s="152">
        <f t="shared" si="4"/>
        <v>146.63926270034341</v>
      </c>
      <c r="I5" s="152">
        <f t="shared" si="4"/>
        <v>168.84799834246729</v>
      </c>
      <c r="J5" s="152">
        <f t="shared" si="4"/>
        <v>184.80311346766175</v>
      </c>
      <c r="K5" s="152">
        <f t="shared" si="4"/>
        <v>191.01341428263027</v>
      </c>
      <c r="L5" s="152">
        <f t="shared" ref="L5:L7" si="5">IF(L32=0,0,L32*L142)</f>
        <v>247.8890924724742</v>
      </c>
      <c r="M5" s="152">
        <f t="shared" ref="M5:V5" si="6">IF(M32=0,0,M32*M142)</f>
        <v>291.40529915878801</v>
      </c>
      <c r="N5" s="152">
        <f t="shared" si="6"/>
        <v>264.92801389613209</v>
      </c>
      <c r="O5" s="152">
        <f t="shared" si="6"/>
        <v>236.87065419482971</v>
      </c>
      <c r="P5" s="152">
        <f t="shared" si="6"/>
        <v>242.96207475525557</v>
      </c>
      <c r="Q5" s="152">
        <f t="shared" si="6"/>
        <v>262.59819479990404</v>
      </c>
      <c r="R5" s="152">
        <f t="shared" si="6"/>
        <v>275.2384535953654</v>
      </c>
      <c r="S5" s="152">
        <f t="shared" si="6"/>
        <v>262.63086694451931</v>
      </c>
      <c r="T5" s="152">
        <f t="shared" si="6"/>
        <v>252.30274710066092</v>
      </c>
      <c r="U5" s="152">
        <f t="shared" si="6"/>
        <v>269.49609580938346</v>
      </c>
      <c r="V5" s="152">
        <f t="shared" si="6"/>
        <v>242.04146430678003</v>
      </c>
      <c r="W5" s="152">
        <f t="shared" ref="W5" si="7">IF(W32=0,0,W32*W142)</f>
        <v>252.52966727908429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20325</v>
      </c>
      <c r="C6" s="116">
        <f t="shared" si="8"/>
        <v>20801</v>
      </c>
      <c r="D6" s="116">
        <f t="shared" si="8"/>
        <v>21287</v>
      </c>
      <c r="E6" s="116">
        <f t="shared" si="8"/>
        <v>21331</v>
      </c>
      <c r="F6" s="116">
        <f t="shared" si="8"/>
        <v>22042</v>
      </c>
      <c r="G6" s="116">
        <f t="shared" si="8"/>
        <v>22509</v>
      </c>
      <c r="H6" s="116">
        <f t="shared" si="8"/>
        <v>23005.999999999996</v>
      </c>
      <c r="I6" s="116">
        <f t="shared" si="8"/>
        <v>24355</v>
      </c>
      <c r="J6" s="116">
        <f t="shared" si="8"/>
        <v>24878</v>
      </c>
      <c r="K6" s="116">
        <f t="shared" si="8"/>
        <v>25775</v>
      </c>
      <c r="L6" s="116">
        <f t="shared" ref="L6" si="9">SUM(L7:L12)</f>
        <v>25636</v>
      </c>
      <c r="M6" s="116">
        <f t="shared" ref="M6:V6" si="10">SUM(M7:M12)</f>
        <v>25487.43621964116</v>
      </c>
      <c r="N6" s="116">
        <f t="shared" si="10"/>
        <v>25302.775921222881</v>
      </c>
      <c r="O6" s="116">
        <f t="shared" si="10"/>
        <v>25168.354826572544</v>
      </c>
      <c r="P6" s="116">
        <f t="shared" si="10"/>
        <v>25638.692920142625</v>
      </c>
      <c r="Q6" s="116">
        <f t="shared" si="10"/>
        <v>25996.532775797914</v>
      </c>
      <c r="R6" s="116">
        <f t="shared" si="10"/>
        <v>26478.496232138681</v>
      </c>
      <c r="S6" s="116">
        <f t="shared" si="10"/>
        <v>27133.920814744964</v>
      </c>
      <c r="T6" s="116">
        <f t="shared" si="10"/>
        <v>27514.331156301185</v>
      </c>
      <c r="U6" s="116">
        <f t="shared" si="10"/>
        <v>27912.827036142568</v>
      </c>
      <c r="V6" s="116">
        <f t="shared" si="10"/>
        <v>23865.64209179924</v>
      </c>
      <c r="W6" s="116">
        <f t="shared" ref="W6" si="11">SUM(W7:W12)</f>
        <v>25485.964844410129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16287.975292604728</v>
      </c>
      <c r="C7" s="87">
        <f t="shared" si="12"/>
        <v>16405.993133380336</v>
      </c>
      <c r="D7" s="87">
        <f t="shared" si="12"/>
        <v>15405.404540252039</v>
      </c>
      <c r="E7" s="87">
        <f t="shared" si="12"/>
        <v>15419.567017719095</v>
      </c>
      <c r="F7" s="87">
        <f t="shared" si="12"/>
        <v>14960.176828425694</v>
      </c>
      <c r="G7" s="87">
        <f t="shared" si="12"/>
        <v>14380.054176922196</v>
      </c>
      <c r="H7" s="87">
        <f t="shared" si="12"/>
        <v>13844.14946753882</v>
      </c>
      <c r="I7" s="87">
        <f t="shared" si="12"/>
        <v>13851.772280388737</v>
      </c>
      <c r="J7" s="87">
        <f t="shared" si="12"/>
        <v>13329.479980389611</v>
      </c>
      <c r="K7" s="87">
        <f t="shared" si="12"/>
        <v>13075.953182809371</v>
      </c>
      <c r="L7" s="87">
        <f t="shared" si="5"/>
        <v>12319.961708626857</v>
      </c>
      <c r="M7" s="87">
        <f t="shared" ref="M7:V7" si="13">IF(M34=0,0,M34*M144)</f>
        <v>11727.576904250587</v>
      </c>
      <c r="N7" s="87">
        <f t="shared" si="13"/>
        <v>11071.354823503965</v>
      </c>
      <c r="O7" s="87">
        <f t="shared" si="13"/>
        <v>10499.976391325532</v>
      </c>
      <c r="P7" s="87">
        <f t="shared" si="13"/>
        <v>10198.149161247284</v>
      </c>
      <c r="Q7" s="87">
        <f t="shared" si="13"/>
        <v>9963.10237647549</v>
      </c>
      <c r="R7" s="87">
        <f t="shared" si="13"/>
        <v>9684.6529119866009</v>
      </c>
      <c r="S7" s="87">
        <f t="shared" si="13"/>
        <v>9496.3643841479607</v>
      </c>
      <c r="T7" s="87">
        <f t="shared" si="13"/>
        <v>9297.4315320140759</v>
      </c>
      <c r="U7" s="87">
        <f t="shared" si="13"/>
        <v>9174.5901179261637</v>
      </c>
      <c r="V7" s="87">
        <f t="shared" si="13"/>
        <v>7180.5917604237993</v>
      </c>
      <c r="W7" s="87">
        <f t="shared" ref="W7" si="14">IF(W34=0,0,W34*W144)</f>
        <v>7901.1337518702076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4037.0247073952723</v>
      </c>
      <c r="C8" s="87">
        <f t="shared" si="15"/>
        <v>4395.0068666196639</v>
      </c>
      <c r="D8" s="87">
        <f t="shared" si="15"/>
        <v>5881.5954597479613</v>
      </c>
      <c r="E8" s="87">
        <f t="shared" si="15"/>
        <v>5911.432982280905</v>
      </c>
      <c r="F8" s="87">
        <f t="shared" si="15"/>
        <v>7081.8231715743059</v>
      </c>
      <c r="G8" s="87">
        <f t="shared" si="15"/>
        <v>8128.9458230778037</v>
      </c>
      <c r="H8" s="87">
        <f t="shared" si="15"/>
        <v>9145.4058182918579</v>
      </c>
      <c r="I8" s="87">
        <f t="shared" si="15"/>
        <v>10462.541057400882</v>
      </c>
      <c r="J8" s="87">
        <f t="shared" si="15"/>
        <v>11514.212289226829</v>
      </c>
      <c r="K8" s="87">
        <f t="shared" si="15"/>
        <v>12599.34969881538</v>
      </c>
      <c r="L8" s="87">
        <f t="shared" ref="L8" si="16">IF(L35=0,0,L35*L145)</f>
        <v>13195.774857471044</v>
      </c>
      <c r="M8" s="87">
        <f t="shared" ref="M8:V8" si="17">IF(M35=0,0,M35*M145)</f>
        <v>13624.672191224157</v>
      </c>
      <c r="N8" s="87">
        <f t="shared" si="17"/>
        <v>14057.68079776766</v>
      </c>
      <c r="O8" s="87">
        <f t="shared" si="17"/>
        <v>14423.189881696278</v>
      </c>
      <c r="P8" s="87">
        <f t="shared" si="17"/>
        <v>15180.849790142269</v>
      </c>
      <c r="Q8" s="87">
        <f t="shared" si="17"/>
        <v>15767.758910188235</v>
      </c>
      <c r="R8" s="87">
        <f t="shared" si="17"/>
        <v>16493.336473336953</v>
      </c>
      <c r="S8" s="87">
        <f t="shared" si="17"/>
        <v>17314.705210759981</v>
      </c>
      <c r="T8" s="87">
        <f t="shared" si="17"/>
        <v>17883.442795737334</v>
      </c>
      <c r="U8" s="87">
        <f t="shared" si="17"/>
        <v>18392.82957848849</v>
      </c>
      <c r="V8" s="87">
        <f t="shared" si="17"/>
        <v>16394.037088311605</v>
      </c>
      <c r="W8" s="87">
        <f t="shared" ref="W8" si="18">IF(W35=0,0,W35*W145)</f>
        <v>17238.42736348055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16.44471416932139</v>
      </c>
      <c r="I9" s="87">
        <f t="shared" si="19"/>
        <v>40.686662210380746</v>
      </c>
      <c r="J9" s="87">
        <f t="shared" si="19"/>
        <v>34.307730383559345</v>
      </c>
      <c r="K9" s="87">
        <f t="shared" si="19"/>
        <v>99.697118375248138</v>
      </c>
      <c r="L9" s="87">
        <f t="shared" ref="L9" si="20">IF(L36=0,0,L36*L146)</f>
        <v>120.2634339020987</v>
      </c>
      <c r="M9" s="87">
        <f t="shared" ref="M9:V9" si="21">IF(M36=0,0,M36*M146)</f>
        <v>135.06837984952557</v>
      </c>
      <c r="N9" s="87">
        <f t="shared" si="21"/>
        <v>173.31301025358019</v>
      </c>
      <c r="O9" s="87">
        <f t="shared" si="21"/>
        <v>243.95184655691392</v>
      </c>
      <c r="P9" s="87">
        <f t="shared" si="21"/>
        <v>255.24009111746622</v>
      </c>
      <c r="Q9" s="87">
        <f t="shared" si="21"/>
        <v>259.42163201132018</v>
      </c>
      <c r="R9" s="87">
        <f t="shared" si="21"/>
        <v>290.19975269160204</v>
      </c>
      <c r="S9" s="87">
        <f t="shared" si="21"/>
        <v>304.74431419990583</v>
      </c>
      <c r="T9" s="87">
        <f t="shared" si="21"/>
        <v>307.13459538131741</v>
      </c>
      <c r="U9" s="87">
        <f t="shared" si="21"/>
        <v>311.30302743758369</v>
      </c>
      <c r="V9" s="87">
        <f t="shared" si="21"/>
        <v>249.1776783028628</v>
      </c>
      <c r="W9" s="87">
        <f t="shared" ref="W9" si="22">IF(W36=0,0,W36*W146)</f>
        <v>279.61116974093579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0.13409451981640738</v>
      </c>
      <c r="O10" s="87">
        <f t="shared" si="25"/>
        <v>0.69744033829645435</v>
      </c>
      <c r="P10" s="87">
        <f t="shared" si="25"/>
        <v>3.2963457281265138</v>
      </c>
      <c r="Q10" s="87">
        <f t="shared" si="25"/>
        <v>3.3783801200292713</v>
      </c>
      <c r="R10" s="87">
        <f t="shared" si="25"/>
        <v>4.4690262621905141</v>
      </c>
      <c r="S10" s="87">
        <f t="shared" si="25"/>
        <v>6.1340607790391326</v>
      </c>
      <c r="T10" s="87">
        <f t="shared" si="25"/>
        <v>6.5426053766720251</v>
      </c>
      <c r="U10" s="87">
        <f t="shared" si="25"/>
        <v>6.0996988637298664</v>
      </c>
      <c r="V10" s="87">
        <f t="shared" si="25"/>
        <v>4.8426815183778187</v>
      </c>
      <c r="W10" s="87">
        <f t="shared" ref="W10" si="26">IF(W37=0,0,W37*W147)</f>
        <v>5.2953870860654852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0.21170199994239666</v>
      </c>
      <c r="P11" s="87">
        <f t="shared" si="29"/>
        <v>0.32692130191530144</v>
      </c>
      <c r="Q11" s="87">
        <f t="shared" si="29"/>
        <v>0.88835572893729753</v>
      </c>
      <c r="R11" s="87">
        <f t="shared" si="29"/>
        <v>2.2388699837069415</v>
      </c>
      <c r="S11" s="87">
        <f t="shared" si="29"/>
        <v>5.2316296259927482</v>
      </c>
      <c r="T11" s="87">
        <f t="shared" si="29"/>
        <v>9.0711934606250821</v>
      </c>
      <c r="U11" s="87">
        <f t="shared" si="29"/>
        <v>10.19392676430197</v>
      </c>
      <c r="V11" s="87">
        <f t="shared" si="29"/>
        <v>9.7265492397971762</v>
      </c>
      <c r="W11" s="87">
        <f t="shared" ref="W11" si="30">IF(W38=0,0,W38*W148)</f>
        <v>14.610810467545505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0.11874431688748441</v>
      </c>
      <c r="N12" s="87">
        <f t="shared" si="33"/>
        <v>0.29319517785875804</v>
      </c>
      <c r="O12" s="87">
        <f t="shared" si="33"/>
        <v>0.32756465558512948</v>
      </c>
      <c r="P12" s="87">
        <f t="shared" si="33"/>
        <v>0.83061060556505828</v>
      </c>
      <c r="Q12" s="87">
        <f t="shared" si="33"/>
        <v>1.9831212739008726</v>
      </c>
      <c r="R12" s="87">
        <f t="shared" si="33"/>
        <v>3.5991978776239217</v>
      </c>
      <c r="S12" s="87">
        <f t="shared" si="33"/>
        <v>6.7412152320820713</v>
      </c>
      <c r="T12" s="87">
        <f t="shared" si="33"/>
        <v>10.708434331162795</v>
      </c>
      <c r="U12" s="87">
        <f t="shared" si="33"/>
        <v>17.810686662296206</v>
      </c>
      <c r="V12" s="87">
        <f t="shared" si="33"/>
        <v>27.26633400280064</v>
      </c>
      <c r="W12" s="87">
        <f t="shared" ref="W12" si="34">IF(W39=0,0,W39*W149)</f>
        <v>46.886361764829282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3502</v>
      </c>
      <c r="C13" s="116">
        <f t="shared" si="35"/>
        <v>3393</v>
      </c>
      <c r="D13" s="116">
        <f t="shared" si="35"/>
        <v>3339</v>
      </c>
      <c r="E13" s="116">
        <f t="shared" si="35"/>
        <v>3446</v>
      </c>
      <c r="F13" s="116">
        <f t="shared" si="35"/>
        <v>3218</v>
      </c>
      <c r="G13" s="116">
        <f t="shared" si="35"/>
        <v>3062</v>
      </c>
      <c r="H13" s="116">
        <f t="shared" si="35"/>
        <v>3133</v>
      </c>
      <c r="I13" s="116">
        <f t="shared" si="35"/>
        <v>3235</v>
      </c>
      <c r="J13" s="116">
        <f t="shared" si="35"/>
        <v>3146</v>
      </c>
      <c r="K13" s="116">
        <f t="shared" si="35"/>
        <v>3196</v>
      </c>
      <c r="L13" s="116">
        <f t="shared" ref="L13" si="36">SUM(L14:L18)</f>
        <v>3183</v>
      </c>
      <c r="M13" s="116">
        <f t="shared" ref="M13:V13" si="37">SUM(M14:M18)</f>
        <v>3244.1431344435568</v>
      </c>
      <c r="N13" s="116">
        <f t="shared" si="37"/>
        <v>3237.0370249757102</v>
      </c>
      <c r="O13" s="116">
        <f t="shared" si="37"/>
        <v>3322.3001768851614</v>
      </c>
      <c r="P13" s="116">
        <f t="shared" si="37"/>
        <v>3448.9923540158738</v>
      </c>
      <c r="Q13" s="116">
        <f t="shared" si="37"/>
        <v>3576.0825660756332</v>
      </c>
      <c r="R13" s="116">
        <f t="shared" si="37"/>
        <v>3607.1993994426762</v>
      </c>
      <c r="S13" s="116">
        <f t="shared" si="37"/>
        <v>3680.2214515651081</v>
      </c>
      <c r="T13" s="116">
        <f t="shared" si="37"/>
        <v>3751.5697897189016</v>
      </c>
      <c r="U13" s="116">
        <f t="shared" si="37"/>
        <v>3765.2972187741411</v>
      </c>
      <c r="V13" s="116">
        <f t="shared" si="37"/>
        <v>1994.6514499731882</v>
      </c>
      <c r="W13" s="116">
        <f t="shared" ref="W13" si="38">SUM(W14:W18)</f>
        <v>2322.8269452198156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20.290774712136063</v>
      </c>
      <c r="C14" s="101">
        <f t="shared" si="39"/>
        <v>18.539878302492188</v>
      </c>
      <c r="D14" s="101">
        <f t="shared" si="39"/>
        <v>16.910356005175895</v>
      </c>
      <c r="E14" s="101">
        <f t="shared" si="39"/>
        <v>15.435132965537287</v>
      </c>
      <c r="F14" s="101">
        <f t="shared" si="39"/>
        <v>12.020703597210908</v>
      </c>
      <c r="G14" s="101">
        <f t="shared" si="39"/>
        <v>10.346192047387801</v>
      </c>
      <c r="H14" s="101">
        <f t="shared" si="39"/>
        <v>9.3254189706859787</v>
      </c>
      <c r="I14" s="101">
        <f t="shared" si="39"/>
        <v>8.2074808484399213</v>
      </c>
      <c r="J14" s="101">
        <f t="shared" si="39"/>
        <v>6.2823580254924414</v>
      </c>
      <c r="K14" s="101">
        <f t="shared" si="39"/>
        <v>5.3153641654256045</v>
      </c>
      <c r="L14" s="101">
        <f t="shared" ref="L14" si="40">IF(L41=0,0,L41*L151)</f>
        <v>4.3935104775699125</v>
      </c>
      <c r="M14" s="101">
        <f t="shared" ref="M14:V14" si="41">IF(M41=0,0,M41*M151)</f>
        <v>3.5051892390452664</v>
      </c>
      <c r="N14" s="101">
        <f t="shared" si="41"/>
        <v>3.0310512236287739</v>
      </c>
      <c r="O14" s="101">
        <f t="shared" si="41"/>
        <v>2.5614947617556707</v>
      </c>
      <c r="P14" s="101">
        <f t="shared" si="41"/>
        <v>2.1025285090102588</v>
      </c>
      <c r="Q14" s="101">
        <f t="shared" si="41"/>
        <v>1.6727123544710338</v>
      </c>
      <c r="R14" s="101">
        <f t="shared" si="41"/>
        <v>1.6945084463816984</v>
      </c>
      <c r="S14" s="101">
        <f t="shared" si="41"/>
        <v>1.6199821163460992</v>
      </c>
      <c r="T14" s="101">
        <f t="shared" si="41"/>
        <v>1.5817461476214878</v>
      </c>
      <c r="U14" s="101">
        <f t="shared" si="41"/>
        <v>1.5240986020537615</v>
      </c>
      <c r="V14" s="101">
        <f t="shared" si="41"/>
        <v>1.009085812941527</v>
      </c>
      <c r="W14" s="101">
        <f t="shared" ref="W14" si="42">IF(W41=0,0,W41*W151)</f>
        <v>0.99746736241076361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3481.7092252878638</v>
      </c>
      <c r="C15" s="101">
        <f t="shared" si="43"/>
        <v>3374.4601216975079</v>
      </c>
      <c r="D15" s="101">
        <f t="shared" si="43"/>
        <v>3322.0896439948242</v>
      </c>
      <c r="E15" s="101">
        <f t="shared" si="43"/>
        <v>3430.5648670344626</v>
      </c>
      <c r="F15" s="101">
        <f t="shared" si="43"/>
        <v>3205.9792964027893</v>
      </c>
      <c r="G15" s="101">
        <f t="shared" si="43"/>
        <v>3051.6538079526122</v>
      </c>
      <c r="H15" s="101">
        <f t="shared" si="43"/>
        <v>3123.6745810293141</v>
      </c>
      <c r="I15" s="101">
        <f t="shared" si="43"/>
        <v>3226.7925191515601</v>
      </c>
      <c r="J15" s="101">
        <f t="shared" si="43"/>
        <v>3139.7176419745074</v>
      </c>
      <c r="K15" s="101">
        <f t="shared" si="43"/>
        <v>3190.6846358345742</v>
      </c>
      <c r="L15" s="101">
        <f t="shared" ref="L15" si="44">IF(L42=0,0,L42*L152)</f>
        <v>3178.6064895224299</v>
      </c>
      <c r="M15" s="101">
        <f t="shared" ref="M15:V15" si="45">IF(M42=0,0,M42*M152)</f>
        <v>3240.6379452045117</v>
      </c>
      <c r="N15" s="101">
        <f t="shared" si="45"/>
        <v>3197.9256592556794</v>
      </c>
      <c r="O15" s="101">
        <f t="shared" si="45"/>
        <v>3277.0627235773854</v>
      </c>
      <c r="P15" s="101">
        <f t="shared" si="45"/>
        <v>3362.0748374853147</v>
      </c>
      <c r="Q15" s="101">
        <f t="shared" si="45"/>
        <v>3451.7396170736224</v>
      </c>
      <c r="R15" s="101">
        <f t="shared" si="45"/>
        <v>3454.9859588082982</v>
      </c>
      <c r="S15" s="101">
        <f t="shared" si="45"/>
        <v>3531.8696990595358</v>
      </c>
      <c r="T15" s="101">
        <f t="shared" si="45"/>
        <v>3588.989064197257</v>
      </c>
      <c r="U15" s="101">
        <f t="shared" si="45"/>
        <v>3554.1470840023812</v>
      </c>
      <c r="V15" s="101">
        <f t="shared" si="45"/>
        <v>1870.6354948432902</v>
      </c>
      <c r="W15" s="101">
        <f t="shared" ref="W15" si="46">IF(W42=0,0,W42*W152)</f>
        <v>2195.6432245180245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36.080314496401861</v>
      </c>
      <c r="O17" s="101">
        <f t="shared" si="53"/>
        <v>42.675958546020283</v>
      </c>
      <c r="P17" s="101">
        <f t="shared" si="53"/>
        <v>82.297594430724885</v>
      </c>
      <c r="Q17" s="101">
        <f t="shared" si="53"/>
        <v>120.1237812511322</v>
      </c>
      <c r="R17" s="101">
        <f t="shared" si="53"/>
        <v>145.31413729829183</v>
      </c>
      <c r="S17" s="101">
        <f t="shared" si="53"/>
        <v>142.86527142312531</v>
      </c>
      <c r="T17" s="101">
        <f t="shared" si="53"/>
        <v>155.67767138384627</v>
      </c>
      <c r="U17" s="101">
        <f t="shared" si="53"/>
        <v>201.73107914589201</v>
      </c>
      <c r="V17" s="101">
        <f t="shared" si="53"/>
        <v>117.27520979296321</v>
      </c>
      <c r="W17" s="101">
        <f t="shared" ref="W17" si="54">IF(W44=0,0,W44*W154)</f>
        <v>119.39803422191828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2.5173935908239282</v>
      </c>
      <c r="Q18" s="101">
        <f t="shared" si="57"/>
        <v>2.5464553964074166</v>
      </c>
      <c r="R18" s="101">
        <f t="shared" si="57"/>
        <v>5.204794889704349</v>
      </c>
      <c r="S18" s="101">
        <f t="shared" si="57"/>
        <v>3.8664989661011719</v>
      </c>
      <c r="T18" s="101">
        <f t="shared" si="57"/>
        <v>5.3213079901769706</v>
      </c>
      <c r="U18" s="101">
        <f t="shared" si="57"/>
        <v>7.8949570238136895</v>
      </c>
      <c r="V18" s="101">
        <f t="shared" si="57"/>
        <v>5.7316595239933568</v>
      </c>
      <c r="W18" s="101">
        <f t="shared" ref="W18" si="58">IF(W45=0,0,W45*W155)</f>
        <v>6.7882191174622699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5530.1471621002956</v>
      </c>
      <c r="C19" s="29">
        <f t="shared" si="59"/>
        <v>5815.4156197757102</v>
      </c>
      <c r="D19" s="29">
        <f t="shared" si="59"/>
        <v>6064.5509928965839</v>
      </c>
      <c r="E19" s="29">
        <f t="shared" si="59"/>
        <v>6186.160954250664</v>
      </c>
      <c r="F19" s="29">
        <f t="shared" si="59"/>
        <v>7129.4873633604093</v>
      </c>
      <c r="G19" s="29">
        <f t="shared" si="59"/>
        <v>7403.5423880547569</v>
      </c>
      <c r="H19" s="29">
        <f t="shared" si="59"/>
        <v>8148.3713679114444</v>
      </c>
      <c r="I19" s="29">
        <f t="shared" si="59"/>
        <v>8578.4027260355178</v>
      </c>
      <c r="J19" s="29">
        <f t="shared" si="59"/>
        <v>8571.3897971444021</v>
      </c>
      <c r="K19" s="29">
        <f t="shared" si="59"/>
        <v>7455.5353915071555</v>
      </c>
      <c r="L19" s="29">
        <f t="shared" ref="L19" si="60">L20+L26</f>
        <v>7467.6678503549556</v>
      </c>
      <c r="M19" s="29">
        <f t="shared" ref="M19:V19" si="61">M20+M26</f>
        <v>7445.0636216274797</v>
      </c>
      <c r="N19" s="29">
        <f t="shared" si="61"/>
        <v>7262.6940030292581</v>
      </c>
      <c r="O19" s="29">
        <f t="shared" si="61"/>
        <v>7286.6894498517622</v>
      </c>
      <c r="P19" s="29">
        <f t="shared" si="61"/>
        <v>7489.5885406100269</v>
      </c>
      <c r="Q19" s="29">
        <f t="shared" si="61"/>
        <v>7937.3530768622632</v>
      </c>
      <c r="R19" s="29">
        <f t="shared" si="61"/>
        <v>8686.982961878497</v>
      </c>
      <c r="S19" s="29">
        <f t="shared" si="61"/>
        <v>9547.27147522835</v>
      </c>
      <c r="T19" s="29">
        <f t="shared" si="61"/>
        <v>9689.074592424713</v>
      </c>
      <c r="U19" s="29">
        <f t="shared" si="61"/>
        <v>9839.8474564008848</v>
      </c>
      <c r="V19" s="29">
        <f t="shared" si="61"/>
        <v>9217.9272076967573</v>
      </c>
      <c r="W19" s="29">
        <f t="shared" ref="W19" si="62">W20+W26</f>
        <v>10034.396229286174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60.809933327729738</v>
      </c>
      <c r="C20" s="152">
        <f t="shared" si="63"/>
        <v>64.913490385302765</v>
      </c>
      <c r="D20" s="152">
        <f t="shared" si="63"/>
        <v>70.603644174411954</v>
      </c>
      <c r="E20" s="152">
        <f t="shared" si="63"/>
        <v>77.027672148484186</v>
      </c>
      <c r="F20" s="152">
        <f t="shared" si="63"/>
        <v>87.060122056326662</v>
      </c>
      <c r="G20" s="152">
        <f t="shared" si="63"/>
        <v>96.230140450282434</v>
      </c>
      <c r="H20" s="152">
        <f t="shared" si="63"/>
        <v>105.47696969236476</v>
      </c>
      <c r="I20" s="152">
        <f t="shared" si="63"/>
        <v>121.51471473598146</v>
      </c>
      <c r="J20" s="152">
        <f t="shared" si="63"/>
        <v>135.96985796333672</v>
      </c>
      <c r="K20" s="152">
        <f t="shared" si="63"/>
        <v>142.81375345083643</v>
      </c>
      <c r="L20" s="152">
        <f t="shared" ref="L20" si="64">SUM(L21:L25)</f>
        <v>146.15468320260734</v>
      </c>
      <c r="M20" s="152">
        <f t="shared" ref="M20:V20" si="65">SUM(M21:M25)</f>
        <v>152.80347512846936</v>
      </c>
      <c r="N20" s="152">
        <f t="shared" si="65"/>
        <v>156.4270832630385</v>
      </c>
      <c r="O20" s="152">
        <f t="shared" si="65"/>
        <v>162.11233370959499</v>
      </c>
      <c r="P20" s="152">
        <f t="shared" si="65"/>
        <v>171.35054997370543</v>
      </c>
      <c r="Q20" s="152">
        <f t="shared" si="65"/>
        <v>182.64442543432608</v>
      </c>
      <c r="R20" s="152">
        <f t="shared" si="65"/>
        <v>195.90415268045717</v>
      </c>
      <c r="S20" s="152">
        <f t="shared" si="65"/>
        <v>212.28305745160267</v>
      </c>
      <c r="T20" s="152">
        <f t="shared" si="65"/>
        <v>229.07459242471279</v>
      </c>
      <c r="U20" s="152">
        <f t="shared" si="65"/>
        <v>244.84745640088474</v>
      </c>
      <c r="V20" s="152">
        <f t="shared" si="65"/>
        <v>254.92720769675665</v>
      </c>
      <c r="W20" s="152">
        <f t="shared" ref="W20" si="66">SUM(W21:W25)</f>
        <v>256.3962292861749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10.706344041804098</v>
      </c>
      <c r="C21" s="87">
        <f t="shared" si="67"/>
        <v>11.301160706226941</v>
      </c>
      <c r="D21" s="87">
        <f t="shared" si="67"/>
        <v>11.741367586115173</v>
      </c>
      <c r="E21" s="87">
        <f t="shared" si="67"/>
        <v>11.773633796612408</v>
      </c>
      <c r="F21" s="87">
        <f t="shared" si="67"/>
        <v>12.143339576072085</v>
      </c>
      <c r="G21" s="87">
        <f t="shared" si="67"/>
        <v>11.868294452989693</v>
      </c>
      <c r="H21" s="87">
        <f t="shared" si="67"/>
        <v>11.00277592051923</v>
      </c>
      <c r="I21" s="87">
        <f t="shared" si="67"/>
        <v>11.376631854038591</v>
      </c>
      <c r="J21" s="87">
        <f t="shared" si="67"/>
        <v>11.220005266923264</v>
      </c>
      <c r="K21" s="87">
        <f t="shared" si="67"/>
        <v>10.58752040245926</v>
      </c>
      <c r="L21" s="87">
        <f t="shared" ref="L21" si="68">IF(L48=0,0,L48*L158)</f>
        <v>9.9260172374829061</v>
      </c>
      <c r="M21" s="87">
        <f t="shared" ref="M21:V21" si="69">IF(M48=0,0,M48*M158)</f>
        <v>9.4946670768129735</v>
      </c>
      <c r="N21" s="87">
        <f t="shared" si="69"/>
        <v>9.0026560596815415</v>
      </c>
      <c r="O21" s="87">
        <f t="shared" si="69"/>
        <v>8.5691577788662396</v>
      </c>
      <c r="P21" s="87">
        <f t="shared" si="69"/>
        <v>7.6936399913408646</v>
      </c>
      <c r="Q21" s="87">
        <f t="shared" si="69"/>
        <v>7.3451227743702896</v>
      </c>
      <c r="R21" s="87">
        <f t="shared" si="69"/>
        <v>7.027384368767768</v>
      </c>
      <c r="S21" s="87">
        <f t="shared" si="69"/>
        <v>6.9573307450276989</v>
      </c>
      <c r="T21" s="87">
        <f t="shared" si="69"/>
        <v>7.1174362661672594</v>
      </c>
      <c r="U21" s="87">
        <f t="shared" si="69"/>
        <v>7.1686306865676279</v>
      </c>
      <c r="V21" s="87">
        <f t="shared" si="69"/>
        <v>7.0345313605940429</v>
      </c>
      <c r="W21" s="87">
        <f t="shared" ref="W21" si="70">IF(W48=0,0,W48*W158)</f>
        <v>7.0303155309128913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50.103589285925644</v>
      </c>
      <c r="C22" s="87">
        <f t="shared" si="71"/>
        <v>53.61232967907582</v>
      </c>
      <c r="D22" s="87">
        <f t="shared" si="71"/>
        <v>58.862276588296787</v>
      </c>
      <c r="E22" s="87">
        <f t="shared" si="71"/>
        <v>65.254038351871785</v>
      </c>
      <c r="F22" s="87">
        <f t="shared" si="71"/>
        <v>74.916782480254582</v>
      </c>
      <c r="G22" s="87">
        <f t="shared" si="71"/>
        <v>84.361845997292747</v>
      </c>
      <c r="H22" s="87">
        <f t="shared" si="71"/>
        <v>93.896174960732239</v>
      </c>
      <c r="I22" s="87">
        <f t="shared" si="71"/>
        <v>109.50349521919745</v>
      </c>
      <c r="J22" s="87">
        <f t="shared" si="71"/>
        <v>123.82279173873083</v>
      </c>
      <c r="K22" s="87">
        <f t="shared" si="71"/>
        <v>131.85760267527493</v>
      </c>
      <c r="L22" s="87">
        <f t="shared" ref="L22" si="72">IF(L49=0,0,L49*L159)</f>
        <v>136.09782128457789</v>
      </c>
      <c r="M22" s="87">
        <f t="shared" ref="M22:V22" si="73">IF(M49=0,0,M49*M159)</f>
        <v>143.19559455303187</v>
      </c>
      <c r="N22" s="87">
        <f t="shared" si="73"/>
        <v>147.31898909242759</v>
      </c>
      <c r="O22" s="87">
        <f t="shared" si="73"/>
        <v>153.43547798470169</v>
      </c>
      <c r="P22" s="87">
        <f t="shared" si="73"/>
        <v>162.95985833966907</v>
      </c>
      <c r="Q22" s="87">
        <f t="shared" si="73"/>
        <v>174.37378067833035</v>
      </c>
      <c r="R22" s="87">
        <f t="shared" si="73"/>
        <v>187.89273066080534</v>
      </c>
      <c r="S22" s="87">
        <f t="shared" si="73"/>
        <v>204.11006674307518</v>
      </c>
      <c r="T22" s="87">
        <f t="shared" si="73"/>
        <v>220.70945847937568</v>
      </c>
      <c r="U22" s="87">
        <f t="shared" si="73"/>
        <v>236.1819944676204</v>
      </c>
      <c r="V22" s="87">
        <f t="shared" si="73"/>
        <v>246.3158661356556</v>
      </c>
      <c r="W22" s="87">
        <f t="shared" ref="W22" si="74">IF(W49=0,0,W49*W159)</f>
        <v>247.66308633430077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0.57801881111330078</v>
      </c>
      <c r="I23" s="87">
        <f t="shared" si="75"/>
        <v>0.63458766274542289</v>
      </c>
      <c r="J23" s="87">
        <f t="shared" si="75"/>
        <v>0.92706095768262808</v>
      </c>
      <c r="K23" s="87">
        <f t="shared" si="75"/>
        <v>0.36863037310224234</v>
      </c>
      <c r="L23" s="87">
        <f t="shared" ref="L23" si="76">IF(L50=0,0,L50*L160)</f>
        <v>0.13084468054653939</v>
      </c>
      <c r="M23" s="87">
        <f t="shared" ref="M23:V23" si="77">IF(M50=0,0,M50*M160)</f>
        <v>0.11321349862454314</v>
      </c>
      <c r="N23" s="87">
        <f t="shared" si="77"/>
        <v>0.1054381109293738</v>
      </c>
      <c r="O23" s="87">
        <f t="shared" si="77"/>
        <v>0.10769794602706922</v>
      </c>
      <c r="P23" s="87">
        <f t="shared" si="77"/>
        <v>0.60705221594712078</v>
      </c>
      <c r="Q23" s="87">
        <f t="shared" si="77"/>
        <v>0.69135011627242915</v>
      </c>
      <c r="R23" s="87">
        <f t="shared" si="77"/>
        <v>0.68669010488018356</v>
      </c>
      <c r="S23" s="87">
        <f t="shared" si="77"/>
        <v>0.74987900244827954</v>
      </c>
      <c r="T23" s="87">
        <f t="shared" si="77"/>
        <v>0.74493334108702536</v>
      </c>
      <c r="U23" s="87">
        <f t="shared" si="77"/>
        <v>0.86621547235298368</v>
      </c>
      <c r="V23" s="87">
        <f t="shared" si="77"/>
        <v>0.89574480723995464</v>
      </c>
      <c r="W23" s="87">
        <f t="shared" ref="W23" si="78">IF(W50=0,0,W50*W160)</f>
        <v>0.88865667137023363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4.7727477234762804E-2</v>
      </c>
      <c r="Q24" s="87">
        <f t="shared" si="81"/>
        <v>0.12976434332040493</v>
      </c>
      <c r="R24" s="87">
        <f t="shared" si="81"/>
        <v>0.11959527644436271</v>
      </c>
      <c r="S24" s="87">
        <f t="shared" si="81"/>
        <v>0.12161357493063429</v>
      </c>
      <c r="T24" s="87">
        <f t="shared" si="81"/>
        <v>0.12197757334862086</v>
      </c>
      <c r="U24" s="87">
        <f t="shared" si="81"/>
        <v>0.16526791352600728</v>
      </c>
      <c r="V24" s="87">
        <f t="shared" si="81"/>
        <v>0.16552498897381246</v>
      </c>
      <c r="W24" s="87">
        <f t="shared" ref="W24" si="82">IF(W51=0,0,W51*W161)</f>
        <v>0.16555824887255216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4.2271949513638316E-2</v>
      </c>
      <c r="Q25" s="87">
        <f t="shared" si="85"/>
        <v>0.10440752203261647</v>
      </c>
      <c r="R25" s="87">
        <f t="shared" si="85"/>
        <v>0.17775226955952331</v>
      </c>
      <c r="S25" s="87">
        <f t="shared" si="85"/>
        <v>0.34416738612090458</v>
      </c>
      <c r="T25" s="87">
        <f t="shared" si="85"/>
        <v>0.38078676473417383</v>
      </c>
      <c r="U25" s="87">
        <f t="shared" si="85"/>
        <v>0.4653478608176993</v>
      </c>
      <c r="V25" s="87">
        <f t="shared" si="85"/>
        <v>0.51554040429326076</v>
      </c>
      <c r="W25" s="87">
        <f t="shared" ref="W25" si="86">IF(W52=0,0,W52*W162)</f>
        <v>0.64861250071847121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5469.337228772566</v>
      </c>
      <c r="C26" s="116">
        <f t="shared" si="87"/>
        <v>5750.5021293904074</v>
      </c>
      <c r="D26" s="116">
        <f t="shared" si="87"/>
        <v>5993.9473487221721</v>
      </c>
      <c r="E26" s="116">
        <f t="shared" si="87"/>
        <v>6109.1332821021797</v>
      </c>
      <c r="F26" s="116">
        <f t="shared" si="87"/>
        <v>7042.4272413040826</v>
      </c>
      <c r="G26" s="116">
        <f t="shared" si="87"/>
        <v>7307.3122476044746</v>
      </c>
      <c r="H26" s="116">
        <f t="shared" si="87"/>
        <v>8042.8943982190794</v>
      </c>
      <c r="I26" s="116">
        <f t="shared" si="87"/>
        <v>8456.8880112995357</v>
      </c>
      <c r="J26" s="116">
        <f t="shared" si="87"/>
        <v>8435.4199391810653</v>
      </c>
      <c r="K26" s="116">
        <f t="shared" si="87"/>
        <v>7312.7216380563186</v>
      </c>
      <c r="L26" s="116">
        <f t="shared" ref="L26" si="88">SUM(L27:L28)</f>
        <v>7321.5131671523486</v>
      </c>
      <c r="M26" s="116">
        <f t="shared" ref="M26:V26" si="89">SUM(M27:M28)</f>
        <v>7292.2601464990103</v>
      </c>
      <c r="N26" s="116">
        <f t="shared" si="89"/>
        <v>7106.2669197662199</v>
      </c>
      <c r="O26" s="116">
        <f t="shared" si="89"/>
        <v>7124.5771161421671</v>
      </c>
      <c r="P26" s="116">
        <f t="shared" si="89"/>
        <v>7318.2379906363212</v>
      </c>
      <c r="Q26" s="116">
        <f t="shared" si="89"/>
        <v>7754.7086514279372</v>
      </c>
      <c r="R26" s="116">
        <f t="shared" si="89"/>
        <v>8491.0788091980394</v>
      </c>
      <c r="S26" s="116">
        <f t="shared" si="89"/>
        <v>9334.9884177767472</v>
      </c>
      <c r="T26" s="116">
        <f t="shared" si="89"/>
        <v>9460</v>
      </c>
      <c r="U26" s="116">
        <f t="shared" si="89"/>
        <v>9595</v>
      </c>
      <c r="V26" s="116">
        <f t="shared" si="89"/>
        <v>8963</v>
      </c>
      <c r="W26" s="116">
        <f t="shared" ref="W26" si="90">SUM(W27:W28)</f>
        <v>9778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1900</v>
      </c>
      <c r="C27" s="101">
        <f t="shared" si="91"/>
        <v>1927</v>
      </c>
      <c r="D27" s="101">
        <f t="shared" si="91"/>
        <v>1945</v>
      </c>
      <c r="E27" s="101">
        <f t="shared" si="91"/>
        <v>1995</v>
      </c>
      <c r="F27" s="101">
        <f t="shared" si="91"/>
        <v>2267</v>
      </c>
      <c r="G27" s="101">
        <f t="shared" si="91"/>
        <v>2361</v>
      </c>
      <c r="H27" s="101">
        <f t="shared" si="91"/>
        <v>2279</v>
      </c>
      <c r="I27" s="101">
        <f t="shared" si="91"/>
        <v>2573</v>
      </c>
      <c r="J27" s="101">
        <f t="shared" si="91"/>
        <v>2636</v>
      </c>
      <c r="K27" s="101">
        <f t="shared" si="91"/>
        <v>2276</v>
      </c>
      <c r="L27" s="101">
        <f t="shared" ref="L27:V27" si="92">IF(L54=0,0,L54*L164)</f>
        <v>2288</v>
      </c>
      <c r="M27" s="101">
        <f t="shared" si="92"/>
        <v>2177</v>
      </c>
      <c r="N27" s="101">
        <f t="shared" si="92"/>
        <v>1848.9999999999998</v>
      </c>
      <c r="O27" s="101">
        <f t="shared" si="92"/>
        <v>1889</v>
      </c>
      <c r="P27" s="101">
        <f t="shared" si="92"/>
        <v>2062</v>
      </c>
      <c r="Q27" s="101">
        <f t="shared" si="92"/>
        <v>2069</v>
      </c>
      <c r="R27" s="101">
        <f t="shared" si="92"/>
        <v>2134</v>
      </c>
      <c r="S27" s="101">
        <f t="shared" si="92"/>
        <v>2310</v>
      </c>
      <c r="T27" s="101">
        <f t="shared" si="92"/>
        <v>2256</v>
      </c>
      <c r="U27" s="101">
        <f t="shared" si="92"/>
        <v>2306</v>
      </c>
      <c r="V27" s="101">
        <f t="shared" si="92"/>
        <v>2275</v>
      </c>
      <c r="W27" s="101">
        <f t="shared" ref="W27" si="93">IF(W54=0,0,W54*W164)</f>
        <v>2464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3569.337228772566</v>
      </c>
      <c r="C28" s="88">
        <f t="shared" si="94"/>
        <v>3823.5021293904074</v>
      </c>
      <c r="D28" s="88">
        <f t="shared" si="94"/>
        <v>4048.9473487221721</v>
      </c>
      <c r="E28" s="88">
        <f t="shared" si="94"/>
        <v>4114.1332821021797</v>
      </c>
      <c r="F28" s="88">
        <f t="shared" si="94"/>
        <v>4775.4272413040826</v>
      </c>
      <c r="G28" s="88">
        <f t="shared" si="94"/>
        <v>4946.3122476044746</v>
      </c>
      <c r="H28" s="88">
        <f t="shared" si="94"/>
        <v>5763.8943982190794</v>
      </c>
      <c r="I28" s="88">
        <f t="shared" si="94"/>
        <v>5883.8880112995357</v>
      </c>
      <c r="J28" s="88">
        <f t="shared" si="94"/>
        <v>5799.4199391810653</v>
      </c>
      <c r="K28" s="88">
        <f t="shared" si="94"/>
        <v>5036.7216380563186</v>
      </c>
      <c r="L28" s="88">
        <f t="shared" ref="L28:V28" si="95">IF(L55=0,0,L55*L165)</f>
        <v>5033.5131671523486</v>
      </c>
      <c r="M28" s="88">
        <f t="shared" si="95"/>
        <v>5115.2601464990103</v>
      </c>
      <c r="N28" s="88">
        <f t="shared" si="95"/>
        <v>5257.2669197662199</v>
      </c>
      <c r="O28" s="88">
        <f t="shared" si="95"/>
        <v>5235.5771161421671</v>
      </c>
      <c r="P28" s="88">
        <f t="shared" si="95"/>
        <v>5256.2379906363212</v>
      </c>
      <c r="Q28" s="88">
        <f t="shared" si="95"/>
        <v>5685.7086514279372</v>
      </c>
      <c r="R28" s="88">
        <f t="shared" si="95"/>
        <v>6357.0788091980394</v>
      </c>
      <c r="S28" s="88">
        <f t="shared" si="95"/>
        <v>7024.9884177767472</v>
      </c>
      <c r="T28" s="88">
        <f t="shared" si="95"/>
        <v>7204</v>
      </c>
      <c r="U28" s="88">
        <f t="shared" si="95"/>
        <v>7289</v>
      </c>
      <c r="V28" s="88">
        <f t="shared" si="95"/>
        <v>6688</v>
      </c>
      <c r="W28" s="88">
        <f t="shared" ref="W28" si="96">IF(W55=0,0,W55*W165)</f>
        <v>7314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11634.344702220451</v>
      </c>
      <c r="C30" s="62">
        <f t="shared" ref="C30:V30" si="98">C31+C46</f>
        <v>11919.814747418459</v>
      </c>
      <c r="D30" s="62">
        <f t="shared" si="98"/>
        <v>12561.943280502974</v>
      </c>
      <c r="E30" s="62">
        <f t="shared" si="98"/>
        <v>12830.436881080681</v>
      </c>
      <c r="F30" s="62">
        <f t="shared" si="98"/>
        <v>13657.556386377808</v>
      </c>
      <c r="G30" s="62">
        <f t="shared" si="98"/>
        <v>14154.042570758847</v>
      </c>
      <c r="H30" s="62">
        <f t="shared" si="98"/>
        <v>14707.078920316328</v>
      </c>
      <c r="I30" s="62">
        <f t="shared" si="98"/>
        <v>15387.177749273111</v>
      </c>
      <c r="J30" s="62">
        <f t="shared" si="98"/>
        <v>15693.228390531058</v>
      </c>
      <c r="K30" s="62">
        <f t="shared" si="98"/>
        <v>16310.216213713524</v>
      </c>
      <c r="L30" s="62">
        <f t="shared" si="98"/>
        <v>16439.930803460167</v>
      </c>
      <c r="M30" s="62">
        <f t="shared" si="98"/>
        <v>16583.585160526116</v>
      </c>
      <c r="N30" s="62">
        <f t="shared" si="98"/>
        <v>16640.001766266978</v>
      </c>
      <c r="O30" s="62">
        <f t="shared" si="98"/>
        <v>16771.478095549159</v>
      </c>
      <c r="P30" s="62">
        <f t="shared" si="98"/>
        <v>17287.336546315008</v>
      </c>
      <c r="Q30" s="62">
        <f t="shared" si="98"/>
        <v>17710.175159494793</v>
      </c>
      <c r="R30" s="62">
        <f t="shared" si="98"/>
        <v>17806.072835966821</v>
      </c>
      <c r="S30" s="62">
        <f t="shared" si="98"/>
        <v>18899.080556977809</v>
      </c>
      <c r="T30" s="62">
        <f t="shared" si="98"/>
        <v>19667.26710526778</v>
      </c>
      <c r="U30" s="62">
        <f t="shared" si="98"/>
        <v>20365.86571026831</v>
      </c>
      <c r="V30" s="62">
        <f t="shared" si="98"/>
        <v>18203.206036436924</v>
      </c>
      <c r="W30" s="62">
        <f t="shared" ref="W30" si="99">W31+W46</f>
        <v>19006.710554409416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10795.365619883101</v>
      </c>
      <c r="C31" s="29">
        <f t="shared" ref="C31:V31" si="101">C32+C33+C40</f>
        <v>11034.233487755979</v>
      </c>
      <c r="D31" s="29">
        <f t="shared" si="101"/>
        <v>11586.414679947471</v>
      </c>
      <c r="E31" s="29">
        <f t="shared" si="101"/>
        <v>11790.0997439777</v>
      </c>
      <c r="F31" s="29">
        <f t="shared" si="101"/>
        <v>12407.604308276521</v>
      </c>
      <c r="G31" s="29">
        <f t="shared" si="101"/>
        <v>12825.3736933455</v>
      </c>
      <c r="H31" s="29">
        <f t="shared" si="101"/>
        <v>13299.049677015975</v>
      </c>
      <c r="I31" s="29">
        <f t="shared" si="101"/>
        <v>13850.331569632279</v>
      </c>
      <c r="J31" s="29">
        <f t="shared" si="101"/>
        <v>14075.852480460091</v>
      </c>
      <c r="K31" s="29">
        <f t="shared" si="101"/>
        <v>14761.247657630614</v>
      </c>
      <c r="L31" s="29">
        <f t="shared" si="101"/>
        <v>14880.696160133837</v>
      </c>
      <c r="M31" s="29">
        <f t="shared" si="101"/>
        <v>15005.113347035831</v>
      </c>
      <c r="N31" s="29">
        <f t="shared" si="101"/>
        <v>15065.290932281472</v>
      </c>
      <c r="O31" s="29">
        <f t="shared" si="101"/>
        <v>15180.610861899002</v>
      </c>
      <c r="P31" s="29">
        <f t="shared" si="101"/>
        <v>15615.159826600626</v>
      </c>
      <c r="Q31" s="29">
        <f t="shared" si="101"/>
        <v>15948.308358922852</v>
      </c>
      <c r="R31" s="29">
        <f t="shared" si="101"/>
        <v>15915.616394174771</v>
      </c>
      <c r="S31" s="29">
        <f t="shared" si="101"/>
        <v>16847.263960075095</v>
      </c>
      <c r="T31" s="29">
        <f t="shared" si="101"/>
        <v>17526.221959677627</v>
      </c>
      <c r="U31" s="29">
        <f t="shared" si="101"/>
        <v>18114.073164381531</v>
      </c>
      <c r="V31" s="29">
        <f t="shared" si="101"/>
        <v>15940.931900179157</v>
      </c>
      <c r="W31" s="29">
        <f t="shared" ref="W31" si="102">W32+W33+W40</f>
        <v>16667.50575124456</v>
      </c>
      <c r="DA31" s="173" t="s">
        <v>474</v>
      </c>
    </row>
    <row r="32" spans="1:105" ht="11.45" customHeight="1" x14ac:dyDescent="0.25">
      <c r="A32" s="136" t="s">
        <v>180</v>
      </c>
      <c r="B32" s="152">
        <v>78</v>
      </c>
      <c r="C32" s="152">
        <v>73</v>
      </c>
      <c r="D32" s="152">
        <v>73</v>
      </c>
      <c r="E32" s="152">
        <v>88</v>
      </c>
      <c r="F32" s="152">
        <v>100</v>
      </c>
      <c r="G32" s="152">
        <v>112</v>
      </c>
      <c r="H32" s="152">
        <v>127</v>
      </c>
      <c r="I32" s="152">
        <v>146</v>
      </c>
      <c r="J32" s="152">
        <v>159.71206479251944</v>
      </c>
      <c r="K32" s="152">
        <v>165</v>
      </c>
      <c r="L32" s="152">
        <v>214.49849536488378</v>
      </c>
      <c r="M32" s="152">
        <v>252.37416050481943</v>
      </c>
      <c r="N32" s="152">
        <v>230.86814268435916</v>
      </c>
      <c r="O32" s="152">
        <v>206.52415784094734</v>
      </c>
      <c r="P32" s="152">
        <v>211.37622441597239</v>
      </c>
      <c r="Q32" s="152">
        <v>228.06541463138279</v>
      </c>
      <c r="R32" s="152">
        <v>238.74602391779197</v>
      </c>
      <c r="S32" s="152">
        <v>228.08286638637705</v>
      </c>
      <c r="T32" s="152">
        <v>219.34136858330416</v>
      </c>
      <c r="U32" s="152">
        <v>234.07138860147302</v>
      </c>
      <c r="V32" s="152">
        <v>210.46932086343043</v>
      </c>
      <c r="W32" s="152">
        <v>219.57414872156383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10582.884804838417</v>
      </c>
      <c r="C33" s="116">
        <f t="shared" ref="C33:V33" si="104">SUM(C34:C39)</f>
        <v>10832.515430831094</v>
      </c>
      <c r="D33" s="116">
        <f t="shared" si="104"/>
        <v>11388.459932770311</v>
      </c>
      <c r="E33" s="116">
        <f t="shared" si="104"/>
        <v>11580.023820403478</v>
      </c>
      <c r="F33" s="116">
        <f t="shared" si="104"/>
        <v>12182.382216990907</v>
      </c>
      <c r="G33" s="116">
        <f t="shared" si="104"/>
        <v>12591.570275828492</v>
      </c>
      <c r="H33" s="116">
        <f t="shared" si="104"/>
        <v>13048.826045446674</v>
      </c>
      <c r="I33" s="116">
        <f t="shared" si="104"/>
        <v>13579.947463349459</v>
      </c>
      <c r="J33" s="116">
        <f t="shared" si="104"/>
        <v>13791.015367490456</v>
      </c>
      <c r="K33" s="116">
        <f t="shared" si="104"/>
        <v>14469.156966642071</v>
      </c>
      <c r="L33" s="116">
        <f t="shared" si="104"/>
        <v>14539.669715048627</v>
      </c>
      <c r="M33" s="116">
        <f t="shared" si="104"/>
        <v>14623.874012950044</v>
      </c>
      <c r="N33" s="116">
        <f t="shared" si="104"/>
        <v>14706.02585075885</v>
      </c>
      <c r="O33" s="116">
        <f t="shared" si="104"/>
        <v>14842.688700574223</v>
      </c>
      <c r="P33" s="116">
        <f t="shared" si="104"/>
        <v>15268.162297725723</v>
      </c>
      <c r="Q33" s="116">
        <f t="shared" si="104"/>
        <v>15581.242944291469</v>
      </c>
      <c r="R33" s="116">
        <f t="shared" si="104"/>
        <v>15539.870370256978</v>
      </c>
      <c r="S33" s="116">
        <f t="shared" si="104"/>
        <v>16478.18109368872</v>
      </c>
      <c r="T33" s="116">
        <f t="shared" si="104"/>
        <v>17167.880591094323</v>
      </c>
      <c r="U33" s="116">
        <f t="shared" si="104"/>
        <v>17739.001775780056</v>
      </c>
      <c r="V33" s="116">
        <f t="shared" si="104"/>
        <v>15644.462579315727</v>
      </c>
      <c r="W33" s="116">
        <f t="shared" ref="W33" si="105">SUM(W34:W39)</f>
        <v>16347.931602522995</v>
      </c>
      <c r="DA33" s="176" t="s">
        <v>476</v>
      </c>
    </row>
    <row r="34" spans="1:105" ht="11.45" customHeight="1" x14ac:dyDescent="0.25">
      <c r="A34" s="111" t="s">
        <v>110</v>
      </c>
      <c r="B34" s="87">
        <v>8532.028980112842</v>
      </c>
      <c r="C34" s="87">
        <v>8598.5732401014866</v>
      </c>
      <c r="D34" s="87">
        <v>8311.1477872611631</v>
      </c>
      <c r="E34" s="87">
        <v>8441.4826668339483</v>
      </c>
      <c r="F34" s="87">
        <v>8349.3073430535223</v>
      </c>
      <c r="G34" s="87">
        <v>8132.8848453041819</v>
      </c>
      <c r="H34" s="87">
        <v>7947.5567411825141</v>
      </c>
      <c r="I34" s="87">
        <v>7824.7572422052044</v>
      </c>
      <c r="J34" s="87">
        <v>7493.6633204097016</v>
      </c>
      <c r="K34" s="87">
        <v>7449.840593761247</v>
      </c>
      <c r="L34" s="87">
        <v>7097.1432285457386</v>
      </c>
      <c r="M34" s="87">
        <v>6838.7313897754602</v>
      </c>
      <c r="N34" s="87">
        <v>6543.8046147238674</v>
      </c>
      <c r="O34" s="87">
        <v>6300.3724066967816</v>
      </c>
      <c r="P34" s="87">
        <v>6182.7960237486077</v>
      </c>
      <c r="Q34" s="87">
        <v>6081.9613885523067</v>
      </c>
      <c r="R34" s="87">
        <v>5791.7430488451555</v>
      </c>
      <c r="S34" s="87">
        <v>5879.1764702652827</v>
      </c>
      <c r="T34" s="87">
        <v>5915.9920521685599</v>
      </c>
      <c r="U34" s="87">
        <v>5947.2337147430435</v>
      </c>
      <c r="V34" s="87">
        <v>4804.8772895862658</v>
      </c>
      <c r="W34" s="87">
        <v>5170.9220781292806</v>
      </c>
      <c r="DA34" s="171" t="s">
        <v>477</v>
      </c>
    </row>
    <row r="35" spans="1:105" ht="11.45" customHeight="1" x14ac:dyDescent="0.25">
      <c r="A35" s="111" t="s">
        <v>111</v>
      </c>
      <c r="B35" s="87">
        <v>2050.8558247255746</v>
      </c>
      <c r="C35" s="87">
        <v>2233.9421907296073</v>
      </c>
      <c r="D35" s="87">
        <v>3077.3121455091486</v>
      </c>
      <c r="E35" s="87">
        <v>3138.5411535695289</v>
      </c>
      <c r="F35" s="87">
        <v>3833.0748739373857</v>
      </c>
      <c r="G35" s="87">
        <v>4458.6854305243096</v>
      </c>
      <c r="H35" s="87">
        <v>5091.6535153501718</v>
      </c>
      <c r="I35" s="87">
        <v>5731.8023719430703</v>
      </c>
      <c r="J35" s="87">
        <v>6277.7455037702912</v>
      </c>
      <c r="K35" s="87">
        <v>6961.619081495488</v>
      </c>
      <c r="L35" s="87">
        <v>7372.2085457312078</v>
      </c>
      <c r="M35" s="87">
        <v>7705.1628397159611</v>
      </c>
      <c r="N35" s="87">
        <v>8058.0829719198246</v>
      </c>
      <c r="O35" s="87">
        <v>8393.2029062564052</v>
      </c>
      <c r="P35" s="87">
        <v>8925.820427386303</v>
      </c>
      <c r="Q35" s="87">
        <v>9334.8542130832411</v>
      </c>
      <c r="R35" s="87">
        <v>9565.8209459812897</v>
      </c>
      <c r="S35" s="87">
        <v>10395.915257961426</v>
      </c>
      <c r="T35" s="87">
        <v>11035.810285380086</v>
      </c>
      <c r="U35" s="87">
        <v>11562.863126583468</v>
      </c>
      <c r="V35" s="87">
        <v>10638.893973526303</v>
      </c>
      <c r="W35" s="87">
        <v>10941.194184965261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9.6157889139886823</v>
      </c>
      <c r="I36" s="87">
        <v>23.387849201185062</v>
      </c>
      <c r="J36" s="87">
        <v>19.606543310463771</v>
      </c>
      <c r="K36" s="87">
        <v>57.697291385337465</v>
      </c>
      <c r="L36" s="87">
        <v>70.317940771679673</v>
      </c>
      <c r="M36" s="87">
        <v>79.894749817611469</v>
      </c>
      <c r="N36" s="87">
        <v>103.84523820738225</v>
      </c>
      <c r="O36" s="87">
        <v>148.31672474214039</v>
      </c>
      <c r="P36" s="87">
        <v>156.69965624198568</v>
      </c>
      <c r="Q36" s="87">
        <v>160.29542347896816</v>
      </c>
      <c r="R36" s="87">
        <v>175.58175208981226</v>
      </c>
      <c r="S36" s="87">
        <v>190.79219100274688</v>
      </c>
      <c r="T36" s="87">
        <v>197.56714654969295</v>
      </c>
      <c r="U36" s="87">
        <v>203.95622389540182</v>
      </c>
      <c r="V36" s="87">
        <v>168.39334588430467</v>
      </c>
      <c r="W36" s="87">
        <v>184.90323709548898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8.0346405225234438E-2</v>
      </c>
      <c r="O37" s="87">
        <v>0.42402657794618287</v>
      </c>
      <c r="P37" s="87">
        <v>2.023726916060546</v>
      </c>
      <c r="Q37" s="87">
        <v>2.0874854105820622</v>
      </c>
      <c r="R37" s="87">
        <v>2.7039287731050594</v>
      </c>
      <c r="S37" s="87">
        <v>3.8403699142002048</v>
      </c>
      <c r="T37" s="87">
        <v>4.2085909393077721</v>
      </c>
      <c r="U37" s="87">
        <v>3.9963361660363335</v>
      </c>
      <c r="V37" s="87">
        <v>3.2726661131361734</v>
      </c>
      <c r="W37" s="87">
        <v>3.5017707439739989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0.13153672701794691</v>
      </c>
      <c r="P38" s="87">
        <v>0.20511547463803817</v>
      </c>
      <c r="Q38" s="87">
        <v>0.56096775370050034</v>
      </c>
      <c r="R38" s="87">
        <v>1.3843543448035269</v>
      </c>
      <c r="S38" s="87">
        <v>3.3473261331546436</v>
      </c>
      <c r="T38" s="87">
        <v>5.963297451434161</v>
      </c>
      <c r="U38" s="87">
        <v>6.8254483009913924</v>
      </c>
      <c r="V38" s="87">
        <v>6.7175457785268078</v>
      </c>
      <c r="W38" s="87">
        <v>9.8741645184245073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8.5033641010417757E-2</v>
      </c>
      <c r="N39" s="87">
        <v>0.21267950254947229</v>
      </c>
      <c r="O39" s="87">
        <v>0.24109957393062148</v>
      </c>
      <c r="P39" s="87">
        <v>0.61734795812612209</v>
      </c>
      <c r="Q39" s="87">
        <v>1.4834660126697268</v>
      </c>
      <c r="R39" s="87">
        <v>2.6363402228104951</v>
      </c>
      <c r="S39" s="87">
        <v>5.1094784119092234</v>
      </c>
      <c r="T39" s="87">
        <v>8.3392186052450512</v>
      </c>
      <c r="U39" s="87">
        <v>14.126926091114015</v>
      </c>
      <c r="V39" s="87">
        <v>22.307758427190333</v>
      </c>
      <c r="W39" s="87">
        <v>37.536167070565249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134.48081504468416</v>
      </c>
      <c r="C40" s="116">
        <f t="shared" ref="C40:V40" si="107">SUM(C41:C45)</f>
        <v>128.7180569248857</v>
      </c>
      <c r="D40" s="116">
        <f t="shared" si="107"/>
        <v>124.9547471771601</v>
      </c>
      <c r="E40" s="116">
        <f t="shared" si="107"/>
        <v>122.0759235742227</v>
      </c>
      <c r="F40" s="116">
        <f t="shared" si="107"/>
        <v>125.22209128561431</v>
      </c>
      <c r="G40" s="116">
        <f t="shared" si="107"/>
        <v>121.80341751700897</v>
      </c>
      <c r="H40" s="116">
        <f t="shared" si="107"/>
        <v>123.22363156930021</v>
      </c>
      <c r="I40" s="116">
        <f t="shared" si="107"/>
        <v>124.38410628282006</v>
      </c>
      <c r="J40" s="116">
        <f t="shared" si="107"/>
        <v>125.12504817711539</v>
      </c>
      <c r="K40" s="116">
        <f t="shared" si="107"/>
        <v>127.09069098854272</v>
      </c>
      <c r="L40" s="116">
        <f t="shared" si="107"/>
        <v>126.52794972032667</v>
      </c>
      <c r="M40" s="116">
        <f t="shared" si="107"/>
        <v>128.86517358096782</v>
      </c>
      <c r="N40" s="116">
        <f t="shared" si="107"/>
        <v>128.39693883826283</v>
      </c>
      <c r="O40" s="116">
        <f t="shared" si="107"/>
        <v>131.39800348383062</v>
      </c>
      <c r="P40" s="116">
        <f t="shared" si="107"/>
        <v>135.6213044589316</v>
      </c>
      <c r="Q40" s="116">
        <f t="shared" si="107"/>
        <v>139</v>
      </c>
      <c r="R40" s="116">
        <f t="shared" si="107"/>
        <v>136.99999999999997</v>
      </c>
      <c r="S40" s="116">
        <f t="shared" si="107"/>
        <v>141.00000000000003</v>
      </c>
      <c r="T40" s="116">
        <f t="shared" si="107"/>
        <v>138.99999999999997</v>
      </c>
      <c r="U40" s="116">
        <f t="shared" si="107"/>
        <v>141.00000000000003</v>
      </c>
      <c r="V40" s="116">
        <f t="shared" si="107"/>
        <v>86</v>
      </c>
      <c r="W40" s="116">
        <f t="shared" ref="W40" si="108">SUM(W41:W45)</f>
        <v>100</v>
      </c>
      <c r="DA40" s="176" t="s">
        <v>483</v>
      </c>
    </row>
    <row r="41" spans="1:105" ht="11.45" customHeight="1" x14ac:dyDescent="0.25">
      <c r="A41" s="111" t="s">
        <v>110</v>
      </c>
      <c r="B41" s="101">
        <v>2.0258914320553751</v>
      </c>
      <c r="C41" s="101">
        <v>1.8286721154947452</v>
      </c>
      <c r="D41" s="101">
        <v>1.6453657005650091</v>
      </c>
      <c r="E41" s="101">
        <v>1.421668918129172</v>
      </c>
      <c r="F41" s="101">
        <v>1.2161808179723017</v>
      </c>
      <c r="G41" s="101">
        <v>1.0700601009515835</v>
      </c>
      <c r="H41" s="101">
        <v>0.95361990993624213</v>
      </c>
      <c r="I41" s="101">
        <v>0.82049101775365052</v>
      </c>
      <c r="J41" s="101">
        <v>0.64965318231870184</v>
      </c>
      <c r="K41" s="101">
        <v>0.54955775721625932</v>
      </c>
      <c r="L41" s="101">
        <v>0.45408258538624097</v>
      </c>
      <c r="M41" s="101">
        <v>0.36200983822592048</v>
      </c>
      <c r="N41" s="101">
        <v>0.31258895356779143</v>
      </c>
      <c r="O41" s="101">
        <v>0.26340057407329542</v>
      </c>
      <c r="P41" s="101">
        <v>0.21495667065696078</v>
      </c>
      <c r="Q41" s="101">
        <v>0.1690448231370747</v>
      </c>
      <c r="R41" s="101">
        <v>0.16732756960827189</v>
      </c>
      <c r="S41" s="101">
        <v>0.16137220318628243</v>
      </c>
      <c r="T41" s="101">
        <v>0.15237436321109671</v>
      </c>
      <c r="U41" s="101">
        <v>0.14839055592397959</v>
      </c>
      <c r="V41" s="101">
        <v>0.11311830333904119</v>
      </c>
      <c r="W41" s="101">
        <v>0.11164908981295477</v>
      </c>
      <c r="DA41" s="175" t="s">
        <v>484</v>
      </c>
    </row>
    <row r="42" spans="1:105" ht="11.45" customHeight="1" x14ac:dyDescent="0.25">
      <c r="A42" s="111" t="s">
        <v>111</v>
      </c>
      <c r="B42" s="101">
        <v>132.45492361262879</v>
      </c>
      <c r="C42" s="101">
        <v>126.88938480939096</v>
      </c>
      <c r="D42" s="101">
        <v>123.30938147659509</v>
      </c>
      <c r="E42" s="101">
        <v>120.65425465609353</v>
      </c>
      <c r="F42" s="101">
        <v>124.00591046764201</v>
      </c>
      <c r="G42" s="101">
        <v>120.73335741605739</v>
      </c>
      <c r="H42" s="101">
        <v>122.27001165936397</v>
      </c>
      <c r="I42" s="101">
        <v>123.5636152650664</v>
      </c>
      <c r="J42" s="101">
        <v>124.47539499479669</v>
      </c>
      <c r="K42" s="101">
        <v>126.54113323132646</v>
      </c>
      <c r="L42" s="101">
        <v>126.07386713494043</v>
      </c>
      <c r="M42" s="101">
        <v>128.50316374274189</v>
      </c>
      <c r="N42" s="101">
        <v>126.65537181124228</v>
      </c>
      <c r="O42" s="101">
        <v>129.44883923568824</v>
      </c>
      <c r="P42" s="101">
        <v>132.074507100847</v>
      </c>
      <c r="Q42" s="101">
        <v>134.06641310628305</v>
      </c>
      <c r="R42" s="101">
        <v>131.12032190936353</v>
      </c>
      <c r="S42" s="101">
        <v>135.22086752366499</v>
      </c>
      <c r="T42" s="101">
        <v>132.88645302602492</v>
      </c>
      <c r="U42" s="101">
        <v>133.0067783043778</v>
      </c>
      <c r="V42" s="101">
        <v>80.587698341198859</v>
      </c>
      <c r="W42" s="101">
        <v>94.459641836669149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1.4289780734527611</v>
      </c>
      <c r="O44" s="101">
        <v>1.6857636740690907</v>
      </c>
      <c r="P44" s="101">
        <v>3.2329483266806904</v>
      </c>
      <c r="Q44" s="101">
        <v>4.6656371185832617</v>
      </c>
      <c r="R44" s="101">
        <v>5.5148231245216106</v>
      </c>
      <c r="S44" s="101">
        <v>5.4697278175304573</v>
      </c>
      <c r="T44" s="101">
        <v>5.7641450546402151</v>
      </c>
      <c r="U44" s="101">
        <v>7.5493783140919035</v>
      </c>
      <c r="V44" s="101">
        <v>5.0522612533276403</v>
      </c>
      <c r="W44" s="101">
        <v>5.1366703946541756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9.8892360746968042E-2</v>
      </c>
      <c r="Q45" s="101">
        <v>9.8904951996614879E-2</v>
      </c>
      <c r="R45" s="101">
        <v>0.19752739650659484</v>
      </c>
      <c r="S45" s="101">
        <v>0.14803245561827305</v>
      </c>
      <c r="T45" s="101">
        <v>0.19702755612375364</v>
      </c>
      <c r="U45" s="101">
        <v>0.29545282560632324</v>
      </c>
      <c r="V45" s="101">
        <v>0.24692210213445742</v>
      </c>
      <c r="W45" s="101">
        <v>0.29203867886371743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838.97908233734915</v>
      </c>
      <c r="C46" s="29">
        <f t="shared" ref="C46:V46" si="110">C47+C53</f>
        <v>885.58125966248076</v>
      </c>
      <c r="D46" s="29">
        <f t="shared" si="110"/>
        <v>975.52860055550241</v>
      </c>
      <c r="E46" s="29">
        <f t="shared" si="110"/>
        <v>1040.3371371029798</v>
      </c>
      <c r="F46" s="29">
        <f t="shared" si="110"/>
        <v>1249.952078101287</v>
      </c>
      <c r="G46" s="29">
        <f t="shared" si="110"/>
        <v>1328.6688774133463</v>
      </c>
      <c r="H46" s="29">
        <f t="shared" si="110"/>
        <v>1408.0292433003522</v>
      </c>
      <c r="I46" s="29">
        <f t="shared" si="110"/>
        <v>1536.8461796408321</v>
      </c>
      <c r="J46" s="29">
        <f t="shared" si="110"/>
        <v>1617.3759100709667</v>
      </c>
      <c r="K46" s="29">
        <f t="shared" si="110"/>
        <v>1548.9685560829093</v>
      </c>
      <c r="L46" s="29">
        <f t="shared" si="110"/>
        <v>1559.2346433263294</v>
      </c>
      <c r="M46" s="29">
        <f t="shared" si="110"/>
        <v>1578.4718134902864</v>
      </c>
      <c r="N46" s="29">
        <f t="shared" si="110"/>
        <v>1574.7108339855049</v>
      </c>
      <c r="O46" s="29">
        <f t="shared" si="110"/>
        <v>1590.8672336501581</v>
      </c>
      <c r="P46" s="29">
        <f t="shared" si="110"/>
        <v>1672.1767197143815</v>
      </c>
      <c r="Q46" s="29">
        <f t="shared" si="110"/>
        <v>1761.8668005719423</v>
      </c>
      <c r="R46" s="29">
        <f t="shared" si="110"/>
        <v>1890.4564417920517</v>
      </c>
      <c r="S46" s="29">
        <f t="shared" si="110"/>
        <v>2051.8165969027127</v>
      </c>
      <c r="T46" s="29">
        <f t="shared" si="110"/>
        <v>2141.0451455901525</v>
      </c>
      <c r="U46" s="29">
        <f t="shared" si="110"/>
        <v>2251.792545886778</v>
      </c>
      <c r="V46" s="29">
        <f t="shared" si="110"/>
        <v>2262.2741362577676</v>
      </c>
      <c r="W46" s="29">
        <f t="shared" ref="W46" si="111">W47+W53</f>
        <v>2339.2048031648537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346.07647734477979</v>
      </c>
      <c r="C47" s="152">
        <f t="shared" ref="C47:V47" si="113">SUM(C48:C52)</f>
        <v>371.17224193153265</v>
      </c>
      <c r="D47" s="152">
        <f t="shared" si="113"/>
        <v>404.14773304847387</v>
      </c>
      <c r="E47" s="152">
        <f t="shared" si="113"/>
        <v>440.71013639036693</v>
      </c>
      <c r="F47" s="152">
        <f t="shared" si="113"/>
        <v>500.68285930671925</v>
      </c>
      <c r="G47" s="152">
        <f t="shared" si="113"/>
        <v>552.34581105023358</v>
      </c>
      <c r="H47" s="152">
        <f t="shared" si="113"/>
        <v>604.91886287624629</v>
      </c>
      <c r="I47" s="152">
        <f t="shared" si="113"/>
        <v>696.00035862967047</v>
      </c>
      <c r="J47" s="152">
        <f t="shared" si="113"/>
        <v>775.61462910131445</v>
      </c>
      <c r="K47" s="152">
        <f t="shared" si="113"/>
        <v>812.17606949020865</v>
      </c>
      <c r="L47" s="152">
        <f t="shared" si="113"/>
        <v>827.22938175199715</v>
      </c>
      <c r="M47" s="152">
        <f t="shared" si="113"/>
        <v>865.53970908060899</v>
      </c>
      <c r="N47" s="152">
        <f t="shared" si="113"/>
        <v>886.495736535471</v>
      </c>
      <c r="O47" s="152">
        <f t="shared" si="113"/>
        <v>921.68570936661467</v>
      </c>
      <c r="P47" s="152">
        <f t="shared" si="113"/>
        <v>977.40140966160857</v>
      </c>
      <c r="Q47" s="152">
        <f t="shared" si="113"/>
        <v>1042.9058717492455</v>
      </c>
      <c r="R47" s="152">
        <f t="shared" si="113"/>
        <v>1118.1318185164137</v>
      </c>
      <c r="S47" s="152">
        <f t="shared" si="113"/>
        <v>1211.8053581456434</v>
      </c>
      <c r="T47" s="152">
        <f t="shared" si="113"/>
        <v>1308.1433042089834</v>
      </c>
      <c r="U47" s="152">
        <f t="shared" si="113"/>
        <v>1398.9166877558764</v>
      </c>
      <c r="V47" s="152">
        <f t="shared" si="113"/>
        <v>1456.6653622141216</v>
      </c>
      <c r="W47" s="152">
        <f t="shared" ref="W47" si="114">SUM(W48:W52)</f>
        <v>1465.2933744088723</v>
      </c>
      <c r="DA47" s="174" t="s">
        <v>490</v>
      </c>
    </row>
    <row r="48" spans="1:105" ht="11.45" customHeight="1" x14ac:dyDescent="0.25">
      <c r="A48" s="111" t="s">
        <v>110</v>
      </c>
      <c r="B48" s="87">
        <v>72.330165988051476</v>
      </c>
      <c r="C48" s="87">
        <v>76.937859184278508</v>
      </c>
      <c r="D48" s="87">
        <v>80.251864104743916</v>
      </c>
      <c r="E48" s="87">
        <v>80.763083130487416</v>
      </c>
      <c r="F48" s="87">
        <v>84.413080774566865</v>
      </c>
      <c r="G48" s="87">
        <v>82.707297029046543</v>
      </c>
      <c r="H48" s="87">
        <v>76.881174964693457</v>
      </c>
      <c r="I48" s="87">
        <v>79.639236560529653</v>
      </c>
      <c r="J48" s="87">
        <v>78.347136044457386</v>
      </c>
      <c r="K48" s="87">
        <v>74.049996684333891</v>
      </c>
      <c r="L48" s="87">
        <v>69.148824338600377</v>
      </c>
      <c r="M48" s="87">
        <v>66.349751580405766</v>
      </c>
      <c r="N48" s="87">
        <v>63.035331293870811</v>
      </c>
      <c r="O48" s="87">
        <v>60.429865104569672</v>
      </c>
      <c r="P48" s="87">
        <v>54.651353732287873</v>
      </c>
      <c r="Q48" s="87">
        <v>52.315260708428816</v>
      </c>
      <c r="R48" s="87">
        <v>50.075731479125977</v>
      </c>
      <c r="S48" s="87">
        <v>49.62399928342527</v>
      </c>
      <c r="T48" s="87">
        <v>50.793750355747441</v>
      </c>
      <c r="U48" s="87">
        <v>51.18244949687216</v>
      </c>
      <c r="V48" s="87">
        <v>50.234476777867897</v>
      </c>
      <c r="W48" s="87">
        <v>50.196847382268615</v>
      </c>
      <c r="DA48" s="171" t="s">
        <v>491</v>
      </c>
    </row>
    <row r="49" spans="1:105" ht="11.45" customHeight="1" x14ac:dyDescent="0.25">
      <c r="A49" s="111" t="s">
        <v>111</v>
      </c>
      <c r="B49" s="87">
        <v>273.74631135672831</v>
      </c>
      <c r="C49" s="87">
        <v>294.23438274725413</v>
      </c>
      <c r="D49" s="87">
        <v>323.89586894372997</v>
      </c>
      <c r="E49" s="87">
        <v>359.94705325987951</v>
      </c>
      <c r="F49" s="87">
        <v>416.26977853215237</v>
      </c>
      <c r="G49" s="87">
        <v>469.63851402118701</v>
      </c>
      <c r="H49" s="87">
        <v>523.75304370556205</v>
      </c>
      <c r="I49" s="87">
        <v>611.64706145477817</v>
      </c>
      <c r="J49" s="87">
        <v>690.383757983235</v>
      </c>
      <c r="K49" s="87">
        <v>735.38335442389337</v>
      </c>
      <c r="L49" s="87">
        <v>757.10830525880442</v>
      </c>
      <c r="M49" s="87">
        <v>798.34626993433778</v>
      </c>
      <c r="N49" s="87">
        <v>822.67291273286799</v>
      </c>
      <c r="O49" s="87">
        <v>860.44719780785692</v>
      </c>
      <c r="P49" s="87">
        <v>917.56584919070963</v>
      </c>
      <c r="Q49" s="87">
        <v>983.77965269512276</v>
      </c>
      <c r="R49" s="87">
        <v>1060.9736724958268</v>
      </c>
      <c r="S49" s="87">
        <v>1153.6807906549691</v>
      </c>
      <c r="T49" s="87">
        <v>1248.6866855521682</v>
      </c>
      <c r="U49" s="87">
        <v>1337.3688571054297</v>
      </c>
      <c r="V49" s="87">
        <v>1395.5724215339512</v>
      </c>
      <c r="W49" s="87">
        <v>1403.5565060340359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4.284644205990876</v>
      </c>
      <c r="I50" s="87">
        <v>4.7140606143626602</v>
      </c>
      <c r="J50" s="87">
        <v>6.8837350736221392</v>
      </c>
      <c r="K50" s="87">
        <v>2.7427183819813297</v>
      </c>
      <c r="L50" s="87">
        <v>0.97225215459229786</v>
      </c>
      <c r="M50" s="87">
        <v>0.84368756586545213</v>
      </c>
      <c r="N50" s="87">
        <v>0.78749250873218968</v>
      </c>
      <c r="O50" s="87">
        <v>0.80864645418806258</v>
      </c>
      <c r="P50" s="87">
        <v>4.5826088113786989</v>
      </c>
      <c r="Q50" s="87">
        <v>5.2327810771791849</v>
      </c>
      <c r="R50" s="87">
        <v>5.1887291587825084</v>
      </c>
      <c r="S50" s="87">
        <v>5.6569227789526115</v>
      </c>
      <c r="T50" s="87">
        <v>5.6103250587206244</v>
      </c>
      <c r="U50" s="87">
        <v>6.5126739316108173</v>
      </c>
      <c r="V50" s="87">
        <v>6.7224115419797332</v>
      </c>
      <c r="W50" s="87">
        <v>6.6559833855724975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0.36436699928183314</v>
      </c>
      <c r="Q51" s="87">
        <v>0.9920484427628169</v>
      </c>
      <c r="R51" s="87">
        <v>0.89584154029044905</v>
      </c>
      <c r="S51" s="87">
        <v>0.91167284065653198</v>
      </c>
      <c r="T51" s="87">
        <v>0.91508499607000637</v>
      </c>
      <c r="U51" s="87">
        <v>1.2406665077053309</v>
      </c>
      <c r="V51" s="87">
        <v>1.2430793088525667</v>
      </c>
      <c r="W51" s="87">
        <v>1.2433915406385023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0.23723092795047751</v>
      </c>
      <c r="Q52" s="87">
        <v>0.58612882575205216</v>
      </c>
      <c r="R52" s="87">
        <v>0.99784384238797841</v>
      </c>
      <c r="S52" s="87">
        <v>1.93197258763996</v>
      </c>
      <c r="T52" s="87">
        <v>2.1374582462768936</v>
      </c>
      <c r="U52" s="87">
        <v>2.6120407142585034</v>
      </c>
      <c r="V52" s="87">
        <v>2.8929730514700167</v>
      </c>
      <c r="W52" s="87">
        <v>3.6406460663570295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492.90260499256937</v>
      </c>
      <c r="C53" s="116">
        <f t="shared" ref="C53:V53" si="116">SUM(C54:C55)</f>
        <v>514.40901773094811</v>
      </c>
      <c r="D53" s="116">
        <f t="shared" si="116"/>
        <v>571.3808675070286</v>
      </c>
      <c r="E53" s="116">
        <f t="shared" si="116"/>
        <v>599.62700071261293</v>
      </c>
      <c r="F53" s="116">
        <f t="shared" si="116"/>
        <v>749.26921879456791</v>
      </c>
      <c r="G53" s="116">
        <f t="shared" si="116"/>
        <v>776.32306636311273</v>
      </c>
      <c r="H53" s="116">
        <f t="shared" si="116"/>
        <v>803.11038042410587</v>
      </c>
      <c r="I53" s="116">
        <f t="shared" si="116"/>
        <v>840.84582101116166</v>
      </c>
      <c r="J53" s="116">
        <f t="shared" si="116"/>
        <v>841.76128096965238</v>
      </c>
      <c r="K53" s="116">
        <f t="shared" si="116"/>
        <v>736.7924865927007</v>
      </c>
      <c r="L53" s="116">
        <f t="shared" si="116"/>
        <v>732.00526157433228</v>
      </c>
      <c r="M53" s="116">
        <f t="shared" si="116"/>
        <v>712.93210440967732</v>
      </c>
      <c r="N53" s="116">
        <f t="shared" si="116"/>
        <v>688.21509745003391</v>
      </c>
      <c r="O53" s="116">
        <f t="shared" si="116"/>
        <v>669.18152428354347</v>
      </c>
      <c r="P53" s="116">
        <f t="shared" si="116"/>
        <v>694.77531005277297</v>
      </c>
      <c r="Q53" s="116">
        <f t="shared" si="116"/>
        <v>718.96092882269681</v>
      </c>
      <c r="R53" s="116">
        <f t="shared" si="116"/>
        <v>772.32462327563803</v>
      </c>
      <c r="S53" s="116">
        <f t="shared" si="116"/>
        <v>840.01123875706935</v>
      </c>
      <c r="T53" s="116">
        <f t="shared" si="116"/>
        <v>832.90184138116911</v>
      </c>
      <c r="U53" s="116">
        <f t="shared" si="116"/>
        <v>852.87585813090152</v>
      </c>
      <c r="V53" s="116">
        <f t="shared" si="116"/>
        <v>805.60877404364601</v>
      </c>
      <c r="W53" s="116">
        <f t="shared" ref="W53" si="117">SUM(W54:W55)</f>
        <v>873.91142875598166</v>
      </c>
      <c r="DA53" s="176" t="s">
        <v>496</v>
      </c>
    </row>
    <row r="54" spans="1:105" ht="11.45" customHeight="1" x14ac:dyDescent="0.25">
      <c r="A54" s="128" t="s">
        <v>27</v>
      </c>
      <c r="B54" s="101">
        <v>242.55319148936172</v>
      </c>
      <c r="C54" s="101">
        <v>246</v>
      </c>
      <c r="D54" s="101">
        <v>289</v>
      </c>
      <c r="E54" s="101">
        <v>311</v>
      </c>
      <c r="F54" s="101">
        <v>408</v>
      </c>
      <c r="G54" s="101">
        <v>423</v>
      </c>
      <c r="H54" s="101">
        <v>394</v>
      </c>
      <c r="I54" s="101">
        <v>424</v>
      </c>
      <c r="J54" s="101">
        <v>425</v>
      </c>
      <c r="K54" s="101">
        <v>370</v>
      </c>
      <c r="L54" s="101">
        <v>377</v>
      </c>
      <c r="M54" s="101">
        <v>351</v>
      </c>
      <c r="N54" s="101">
        <v>315</v>
      </c>
      <c r="O54" s="101">
        <v>298</v>
      </c>
      <c r="P54" s="101">
        <v>323</v>
      </c>
      <c r="Q54" s="101">
        <v>313</v>
      </c>
      <c r="R54" s="101">
        <v>316</v>
      </c>
      <c r="S54" s="101">
        <v>340</v>
      </c>
      <c r="T54" s="101">
        <v>324</v>
      </c>
      <c r="U54" s="101">
        <v>336</v>
      </c>
      <c r="V54" s="101">
        <v>324</v>
      </c>
      <c r="W54" s="101">
        <v>353</v>
      </c>
      <c r="DA54" s="175" t="s">
        <v>497</v>
      </c>
    </row>
    <row r="55" spans="1:105" ht="11.45" customHeight="1" x14ac:dyDescent="0.25">
      <c r="A55" s="138" t="s">
        <v>116</v>
      </c>
      <c r="B55" s="88">
        <v>250.34941350320764</v>
      </c>
      <c r="C55" s="88">
        <v>268.40901773094811</v>
      </c>
      <c r="D55" s="88">
        <v>282.3808675070286</v>
      </c>
      <c r="E55" s="88">
        <v>288.62700071261293</v>
      </c>
      <c r="F55" s="88">
        <v>341.26921879456785</v>
      </c>
      <c r="G55" s="88">
        <v>353.32306636311267</v>
      </c>
      <c r="H55" s="88">
        <v>409.11038042410581</v>
      </c>
      <c r="I55" s="88">
        <v>416.84582101116166</v>
      </c>
      <c r="J55" s="88">
        <v>416.76128096965238</v>
      </c>
      <c r="K55" s="88">
        <v>366.79248659270075</v>
      </c>
      <c r="L55" s="88">
        <v>355.00526157433234</v>
      </c>
      <c r="M55" s="88">
        <v>361.93210440967738</v>
      </c>
      <c r="N55" s="88">
        <v>373.21509745003391</v>
      </c>
      <c r="O55" s="88">
        <v>371.18152428354347</v>
      </c>
      <c r="P55" s="88">
        <v>371.77531005277302</v>
      </c>
      <c r="Q55" s="88">
        <v>405.96092882269676</v>
      </c>
      <c r="R55" s="88">
        <v>456.32462327563798</v>
      </c>
      <c r="S55" s="88">
        <v>500.01123875706935</v>
      </c>
      <c r="T55" s="88">
        <v>508.90184138116916</v>
      </c>
      <c r="U55" s="88">
        <v>516.87585813090152</v>
      </c>
      <c r="V55" s="88">
        <v>481.60877404364595</v>
      </c>
      <c r="W55" s="88">
        <v>520.91142875598166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1016810</v>
      </c>
      <c r="C57" s="54">
        <f t="shared" si="118"/>
        <v>1034777</v>
      </c>
      <c r="D57" s="54">
        <f t="shared" si="118"/>
        <v>1067281</v>
      </c>
      <c r="E57" s="54">
        <f t="shared" si="118"/>
        <v>1063325</v>
      </c>
      <c r="F57" s="54">
        <f t="shared" si="118"/>
        <v>1070993</v>
      </c>
      <c r="G57" s="54">
        <f t="shared" si="118"/>
        <v>1124116</v>
      </c>
      <c r="H57" s="54">
        <f t="shared" si="118"/>
        <v>1152437</v>
      </c>
      <c r="I57" s="54">
        <f t="shared" si="118"/>
        <v>1180081</v>
      </c>
      <c r="J57" s="54">
        <f t="shared" si="118"/>
        <v>1206225</v>
      </c>
      <c r="K57" s="54">
        <f t="shared" si="118"/>
        <v>1226345</v>
      </c>
      <c r="L57" s="54">
        <f t="shared" ref="L57" si="119">L58+L73</f>
        <v>1230718</v>
      </c>
      <c r="M57" s="54">
        <f t="shared" ref="M57:V57" si="120">M58+M73</f>
        <v>1237393</v>
      </c>
      <c r="N57" s="54">
        <f t="shared" si="120"/>
        <v>1238227</v>
      </c>
      <c r="O57" s="54">
        <f t="shared" si="120"/>
        <v>1239382</v>
      </c>
      <c r="P57" s="54">
        <f t="shared" si="120"/>
        <v>1245930</v>
      </c>
      <c r="Q57" s="54">
        <f t="shared" si="120"/>
        <v>1264282</v>
      </c>
      <c r="R57" s="54">
        <f t="shared" si="120"/>
        <v>1291360</v>
      </c>
      <c r="S57" s="54">
        <f t="shared" si="120"/>
        <v>1339731</v>
      </c>
      <c r="T57" s="54">
        <f t="shared" si="120"/>
        <v>1376782</v>
      </c>
      <c r="U57" s="54">
        <f t="shared" si="120"/>
        <v>1408073</v>
      </c>
      <c r="V57" s="54">
        <f t="shared" si="120"/>
        <v>1420471</v>
      </c>
      <c r="W57" s="54">
        <f t="shared" ref="W57" si="121">W58+W73</f>
        <v>1444264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962418</v>
      </c>
      <c r="C58" s="28">
        <f t="shared" si="122"/>
        <v>980134</v>
      </c>
      <c r="D58" s="28">
        <f t="shared" si="122"/>
        <v>1010665</v>
      </c>
      <c r="E58" s="28">
        <f t="shared" si="122"/>
        <v>1005310</v>
      </c>
      <c r="F58" s="28">
        <f t="shared" si="122"/>
        <v>1010240</v>
      </c>
      <c r="G58" s="28">
        <f t="shared" si="122"/>
        <v>1061530</v>
      </c>
      <c r="H58" s="28">
        <f t="shared" si="122"/>
        <v>1086074</v>
      </c>
      <c r="I58" s="28">
        <f t="shared" si="122"/>
        <v>1107427</v>
      </c>
      <c r="J58" s="28">
        <f t="shared" si="122"/>
        <v>1129158</v>
      </c>
      <c r="K58" s="28">
        <f t="shared" si="122"/>
        <v>1149292</v>
      </c>
      <c r="L58" s="28">
        <f t="shared" ref="L58" si="123">L59+L60+L67</f>
        <v>1154669</v>
      </c>
      <c r="M58" s="28">
        <f t="shared" ref="M58:V58" si="124">M59+M60+M67</f>
        <v>1160709</v>
      </c>
      <c r="N58" s="28">
        <f t="shared" si="124"/>
        <v>1161149</v>
      </c>
      <c r="O58" s="28">
        <f t="shared" si="124"/>
        <v>1161858</v>
      </c>
      <c r="P58" s="28">
        <f t="shared" si="124"/>
        <v>1166324</v>
      </c>
      <c r="Q58" s="28">
        <f t="shared" si="124"/>
        <v>1181208</v>
      </c>
      <c r="R58" s="28">
        <f t="shared" si="124"/>
        <v>1202494</v>
      </c>
      <c r="S58" s="28">
        <f t="shared" si="124"/>
        <v>1245452</v>
      </c>
      <c r="T58" s="28">
        <f t="shared" si="124"/>
        <v>1276526</v>
      </c>
      <c r="U58" s="28">
        <f t="shared" si="124"/>
        <v>1303642</v>
      </c>
      <c r="V58" s="28">
        <f t="shared" si="124"/>
        <v>1312936</v>
      </c>
      <c r="W58" s="28">
        <f t="shared" ref="W58" si="125">W59+W60+W67</f>
        <v>1337103</v>
      </c>
      <c r="DA58" s="173" t="s">
        <v>500</v>
      </c>
    </row>
    <row r="59" spans="1:105" ht="11.45" customHeight="1" x14ac:dyDescent="0.25">
      <c r="A59" s="136" t="s">
        <v>180</v>
      </c>
      <c r="B59" s="137">
        <v>41559</v>
      </c>
      <c r="C59" s="137">
        <v>42317</v>
      </c>
      <c r="D59" s="137">
        <v>43265</v>
      </c>
      <c r="E59" s="137">
        <v>44516</v>
      </c>
      <c r="F59" s="137">
        <v>46367</v>
      </c>
      <c r="G59" s="137">
        <v>48671</v>
      </c>
      <c r="H59" s="137">
        <v>53193</v>
      </c>
      <c r="I59" s="137">
        <v>71493</v>
      </c>
      <c r="J59" s="137">
        <v>81996</v>
      </c>
      <c r="K59" s="137">
        <v>88428</v>
      </c>
      <c r="L59" s="137">
        <v>91008</v>
      </c>
      <c r="M59" s="137">
        <v>92183</v>
      </c>
      <c r="N59" s="137">
        <v>93100</v>
      </c>
      <c r="O59" s="137">
        <v>92986</v>
      </c>
      <c r="P59" s="137">
        <v>95796</v>
      </c>
      <c r="Q59" s="137">
        <v>100216</v>
      </c>
      <c r="R59" s="137">
        <v>103684</v>
      </c>
      <c r="S59" s="137">
        <v>125127</v>
      </c>
      <c r="T59" s="137">
        <v>130935</v>
      </c>
      <c r="U59" s="137">
        <v>135780</v>
      </c>
      <c r="V59" s="137">
        <v>140316</v>
      </c>
      <c r="W59" s="137">
        <v>145417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919000</v>
      </c>
      <c r="C60" s="110">
        <f t="shared" si="126"/>
        <v>936000</v>
      </c>
      <c r="D60" s="110">
        <f t="shared" si="126"/>
        <v>965600</v>
      </c>
      <c r="E60" s="110">
        <f t="shared" si="126"/>
        <v>959000</v>
      </c>
      <c r="F60" s="110">
        <f t="shared" si="126"/>
        <v>962000</v>
      </c>
      <c r="G60" s="110">
        <f t="shared" si="126"/>
        <v>1011000</v>
      </c>
      <c r="H60" s="110">
        <f t="shared" si="126"/>
        <v>1031000</v>
      </c>
      <c r="I60" s="110">
        <f t="shared" si="126"/>
        <v>1034000</v>
      </c>
      <c r="J60" s="110">
        <f t="shared" si="126"/>
        <v>1045180</v>
      </c>
      <c r="K60" s="110">
        <f t="shared" si="126"/>
        <v>1058858</v>
      </c>
      <c r="L60" s="110">
        <f t="shared" ref="L60" si="127">SUM(L61:L66)</f>
        <v>1061650</v>
      </c>
      <c r="M60" s="110">
        <f t="shared" ref="M60:V60" si="128">SUM(M61:M66)</f>
        <v>1066500</v>
      </c>
      <c r="N60" s="110">
        <f t="shared" si="128"/>
        <v>1066030</v>
      </c>
      <c r="O60" s="110">
        <f t="shared" si="128"/>
        <v>1066795</v>
      </c>
      <c r="P60" s="110">
        <f t="shared" si="128"/>
        <v>1068362</v>
      </c>
      <c r="Q60" s="110">
        <f t="shared" si="128"/>
        <v>1078737</v>
      </c>
      <c r="R60" s="110">
        <f t="shared" si="128"/>
        <v>1096523</v>
      </c>
      <c r="S60" s="110">
        <f t="shared" si="128"/>
        <v>1117935</v>
      </c>
      <c r="T60" s="110">
        <f t="shared" si="128"/>
        <v>1143150</v>
      </c>
      <c r="U60" s="110">
        <f t="shared" si="128"/>
        <v>1165371</v>
      </c>
      <c r="V60" s="110">
        <f t="shared" si="128"/>
        <v>1170690</v>
      </c>
      <c r="W60" s="110">
        <f t="shared" ref="W60" si="129">SUM(W61:W66)</f>
        <v>1189457</v>
      </c>
      <c r="DA60" s="176" t="s">
        <v>502</v>
      </c>
    </row>
    <row r="61" spans="1:105" ht="11.45" customHeight="1" x14ac:dyDescent="0.25">
      <c r="A61" s="111" t="s">
        <v>110</v>
      </c>
      <c r="B61" s="84">
        <v>805000</v>
      </c>
      <c r="C61" s="84">
        <v>813890</v>
      </c>
      <c r="D61" s="84">
        <v>798289</v>
      </c>
      <c r="E61" s="84">
        <v>795000</v>
      </c>
      <c r="F61" s="84">
        <v>769799</v>
      </c>
      <c r="G61" s="84">
        <v>780572</v>
      </c>
      <c r="H61" s="84">
        <v>768137</v>
      </c>
      <c r="I61" s="84">
        <v>744826</v>
      </c>
      <c r="J61" s="84">
        <v>726218</v>
      </c>
      <c r="K61" s="84">
        <v>711775</v>
      </c>
      <c r="L61" s="84">
        <v>690542</v>
      </c>
      <c r="M61" s="84">
        <v>673777</v>
      </c>
      <c r="N61" s="84">
        <v>650531</v>
      </c>
      <c r="O61" s="84">
        <v>629603</v>
      </c>
      <c r="P61" s="84">
        <v>609566</v>
      </c>
      <c r="Q61" s="84">
        <v>596305</v>
      </c>
      <c r="R61" s="84">
        <v>585720</v>
      </c>
      <c r="S61" s="84">
        <v>577849</v>
      </c>
      <c r="T61" s="84">
        <v>575399</v>
      </c>
      <c r="U61" s="84">
        <v>574208</v>
      </c>
      <c r="V61" s="84">
        <v>566496</v>
      </c>
      <c r="W61" s="84">
        <v>569766</v>
      </c>
      <c r="DA61" s="171" t="s">
        <v>503</v>
      </c>
    </row>
    <row r="62" spans="1:105" ht="11.45" customHeight="1" x14ac:dyDescent="0.25">
      <c r="A62" s="111" t="s">
        <v>111</v>
      </c>
      <c r="B62" s="84">
        <v>114000</v>
      </c>
      <c r="C62" s="84">
        <v>122110</v>
      </c>
      <c r="D62" s="84">
        <v>167311</v>
      </c>
      <c r="E62" s="84">
        <v>164000</v>
      </c>
      <c r="F62" s="84">
        <v>192201</v>
      </c>
      <c r="G62" s="84">
        <v>230428</v>
      </c>
      <c r="H62" s="84">
        <v>262363</v>
      </c>
      <c r="I62" s="84">
        <v>288000</v>
      </c>
      <c r="J62" s="84">
        <v>317960</v>
      </c>
      <c r="K62" s="84">
        <v>344176</v>
      </c>
      <c r="L62" s="84">
        <v>367500</v>
      </c>
      <c r="M62" s="84">
        <v>388560</v>
      </c>
      <c r="N62" s="84">
        <v>410020</v>
      </c>
      <c r="O62" s="84">
        <v>429303</v>
      </c>
      <c r="P62" s="84">
        <v>450422</v>
      </c>
      <c r="Q62" s="84">
        <v>473666</v>
      </c>
      <c r="R62" s="84">
        <v>500660</v>
      </c>
      <c r="S62" s="84">
        <v>528811</v>
      </c>
      <c r="T62" s="84">
        <v>555502</v>
      </c>
      <c r="U62" s="84">
        <v>577776</v>
      </c>
      <c r="V62" s="84">
        <v>588707</v>
      </c>
      <c r="W62" s="84">
        <v>601946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500</v>
      </c>
      <c r="I63" s="84">
        <v>1174</v>
      </c>
      <c r="J63" s="84">
        <v>1002</v>
      </c>
      <c r="K63" s="84">
        <v>2907</v>
      </c>
      <c r="L63" s="84">
        <v>3608</v>
      </c>
      <c r="M63" s="84">
        <v>4151</v>
      </c>
      <c r="N63" s="84">
        <v>5444</v>
      </c>
      <c r="O63" s="84">
        <v>7816</v>
      </c>
      <c r="P63" s="84">
        <v>8147</v>
      </c>
      <c r="Q63" s="84">
        <v>8380</v>
      </c>
      <c r="R63" s="84">
        <v>9468</v>
      </c>
      <c r="S63" s="84">
        <v>9999</v>
      </c>
      <c r="T63" s="84">
        <v>10246</v>
      </c>
      <c r="U63" s="84">
        <v>10500</v>
      </c>
      <c r="V63" s="84">
        <v>10800</v>
      </c>
      <c r="W63" s="84">
        <v>11083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5</v>
      </c>
      <c r="O64" s="84">
        <v>26</v>
      </c>
      <c r="P64" s="84">
        <v>120</v>
      </c>
      <c r="Q64" s="84">
        <v>122</v>
      </c>
      <c r="R64" s="84">
        <v>163</v>
      </c>
      <c r="S64" s="84">
        <v>225</v>
      </c>
      <c r="T64" s="84">
        <v>244</v>
      </c>
      <c r="U64" s="84">
        <v>230</v>
      </c>
      <c r="V64" s="84">
        <v>230</v>
      </c>
      <c r="W64" s="84">
        <v>230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13</v>
      </c>
      <c r="P65" s="84">
        <v>20</v>
      </c>
      <c r="Q65" s="84">
        <v>55</v>
      </c>
      <c r="R65" s="84">
        <v>140</v>
      </c>
      <c r="S65" s="84">
        <v>329</v>
      </c>
      <c r="T65" s="84">
        <v>580</v>
      </c>
      <c r="U65" s="84">
        <v>659</v>
      </c>
      <c r="V65" s="84">
        <v>792</v>
      </c>
      <c r="W65" s="84">
        <v>1088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12</v>
      </c>
      <c r="N66" s="84">
        <v>30</v>
      </c>
      <c r="O66" s="84">
        <v>34</v>
      </c>
      <c r="P66" s="84">
        <v>87</v>
      </c>
      <c r="Q66" s="84">
        <v>209</v>
      </c>
      <c r="R66" s="84">
        <v>372</v>
      </c>
      <c r="S66" s="84">
        <v>722</v>
      </c>
      <c r="T66" s="84">
        <v>1179</v>
      </c>
      <c r="U66" s="84">
        <v>1998</v>
      </c>
      <c r="V66" s="84">
        <v>3665</v>
      </c>
      <c r="W66" s="84">
        <v>5344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1859</v>
      </c>
      <c r="C67" s="110">
        <f t="shared" si="130"/>
        <v>1817</v>
      </c>
      <c r="D67" s="110">
        <f t="shared" si="130"/>
        <v>1800</v>
      </c>
      <c r="E67" s="110">
        <f t="shared" si="130"/>
        <v>1794</v>
      </c>
      <c r="F67" s="110">
        <f t="shared" si="130"/>
        <v>1873</v>
      </c>
      <c r="G67" s="110">
        <f t="shared" si="130"/>
        <v>1859</v>
      </c>
      <c r="H67" s="110">
        <f t="shared" si="130"/>
        <v>1881</v>
      </c>
      <c r="I67" s="110">
        <f t="shared" si="130"/>
        <v>1934</v>
      </c>
      <c r="J67" s="110">
        <f t="shared" si="130"/>
        <v>1982</v>
      </c>
      <c r="K67" s="110">
        <f t="shared" si="130"/>
        <v>2006</v>
      </c>
      <c r="L67" s="110">
        <f t="shared" ref="L67" si="131">SUM(L68:L72)</f>
        <v>2011</v>
      </c>
      <c r="M67" s="110">
        <f t="shared" ref="M67:V67" si="132">SUM(M68:M72)</f>
        <v>2026</v>
      </c>
      <c r="N67" s="110">
        <f t="shared" si="132"/>
        <v>2019</v>
      </c>
      <c r="O67" s="110">
        <f t="shared" si="132"/>
        <v>2077</v>
      </c>
      <c r="P67" s="110">
        <f t="shared" si="132"/>
        <v>2166</v>
      </c>
      <c r="Q67" s="110">
        <f t="shared" si="132"/>
        <v>2255</v>
      </c>
      <c r="R67" s="110">
        <f t="shared" si="132"/>
        <v>2287</v>
      </c>
      <c r="S67" s="110">
        <f t="shared" si="132"/>
        <v>2390</v>
      </c>
      <c r="T67" s="110">
        <f t="shared" si="132"/>
        <v>2441</v>
      </c>
      <c r="U67" s="110">
        <f t="shared" si="132"/>
        <v>2491</v>
      </c>
      <c r="V67" s="110">
        <f t="shared" si="132"/>
        <v>1930</v>
      </c>
      <c r="W67" s="110">
        <f t="shared" ref="W67" si="133">SUM(W68:W72)</f>
        <v>2229</v>
      </c>
      <c r="DA67" s="176" t="s">
        <v>509</v>
      </c>
    </row>
    <row r="68" spans="1:105" ht="11.45" customHeight="1" x14ac:dyDescent="0.25">
      <c r="A68" s="111" t="s">
        <v>110</v>
      </c>
      <c r="B68" s="102">
        <v>34</v>
      </c>
      <c r="C68" s="102">
        <v>32</v>
      </c>
      <c r="D68" s="102">
        <v>30</v>
      </c>
      <c r="E68" s="102">
        <v>27</v>
      </c>
      <c r="F68" s="102">
        <v>24</v>
      </c>
      <c r="G68" s="102">
        <v>22</v>
      </c>
      <c r="H68" s="102">
        <v>19</v>
      </c>
      <c r="I68" s="102">
        <v>17</v>
      </c>
      <c r="J68" s="102">
        <v>14</v>
      </c>
      <c r="K68" s="102">
        <v>12</v>
      </c>
      <c r="L68" s="102">
        <v>10</v>
      </c>
      <c r="M68" s="102">
        <v>8</v>
      </c>
      <c r="N68" s="102">
        <v>7</v>
      </c>
      <c r="O68" s="102">
        <v>6</v>
      </c>
      <c r="P68" s="102">
        <v>5</v>
      </c>
      <c r="Q68" s="102">
        <v>4</v>
      </c>
      <c r="R68" s="102">
        <v>4</v>
      </c>
      <c r="S68" s="102">
        <v>4</v>
      </c>
      <c r="T68" s="102">
        <v>4</v>
      </c>
      <c r="U68" s="102">
        <v>4</v>
      </c>
      <c r="V68" s="102">
        <v>4</v>
      </c>
      <c r="W68" s="102">
        <v>4</v>
      </c>
      <c r="DA68" s="175" t="s">
        <v>510</v>
      </c>
    </row>
    <row r="69" spans="1:105" ht="11.45" customHeight="1" x14ac:dyDescent="0.25">
      <c r="A69" s="111" t="s">
        <v>111</v>
      </c>
      <c r="B69" s="102">
        <v>1825</v>
      </c>
      <c r="C69" s="102">
        <v>1785</v>
      </c>
      <c r="D69" s="102">
        <v>1770</v>
      </c>
      <c r="E69" s="102">
        <v>1767</v>
      </c>
      <c r="F69" s="102">
        <v>1849</v>
      </c>
      <c r="G69" s="102">
        <v>1837</v>
      </c>
      <c r="H69" s="102">
        <v>1862</v>
      </c>
      <c r="I69" s="102">
        <v>1917</v>
      </c>
      <c r="J69" s="102">
        <v>1968</v>
      </c>
      <c r="K69" s="102">
        <v>1994</v>
      </c>
      <c r="L69" s="102">
        <v>2001</v>
      </c>
      <c r="M69" s="102">
        <v>2018</v>
      </c>
      <c r="N69" s="102">
        <v>1992</v>
      </c>
      <c r="O69" s="102">
        <v>2047</v>
      </c>
      <c r="P69" s="102">
        <v>2112</v>
      </c>
      <c r="Q69" s="102">
        <v>2180</v>
      </c>
      <c r="R69" s="102">
        <v>2195</v>
      </c>
      <c r="S69" s="102">
        <v>2300</v>
      </c>
      <c r="T69" s="102">
        <v>2344</v>
      </c>
      <c r="U69" s="102">
        <v>2366</v>
      </c>
      <c r="V69" s="102">
        <v>1823</v>
      </c>
      <c r="W69" s="102">
        <v>2123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20</v>
      </c>
      <c r="O71" s="102">
        <v>24</v>
      </c>
      <c r="P71" s="102">
        <v>47</v>
      </c>
      <c r="Q71" s="102">
        <v>69</v>
      </c>
      <c r="R71" s="102">
        <v>84</v>
      </c>
      <c r="S71" s="102">
        <v>83</v>
      </c>
      <c r="T71" s="102">
        <v>89</v>
      </c>
      <c r="U71" s="102">
        <v>115</v>
      </c>
      <c r="V71" s="102">
        <v>97</v>
      </c>
      <c r="W71" s="102">
        <v>96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2</v>
      </c>
      <c r="Q72" s="102">
        <v>2</v>
      </c>
      <c r="R72" s="102">
        <v>4</v>
      </c>
      <c r="S72" s="102">
        <v>3</v>
      </c>
      <c r="T72" s="102">
        <v>4</v>
      </c>
      <c r="U72" s="102">
        <v>6</v>
      </c>
      <c r="V72" s="102">
        <v>6</v>
      </c>
      <c r="W72" s="102">
        <v>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54392</v>
      </c>
      <c r="C73" s="28">
        <f t="shared" si="134"/>
        <v>54643</v>
      </c>
      <c r="D73" s="28">
        <f t="shared" si="134"/>
        <v>56616</v>
      </c>
      <c r="E73" s="28">
        <f t="shared" si="134"/>
        <v>58015</v>
      </c>
      <c r="F73" s="28">
        <f t="shared" si="134"/>
        <v>60753</v>
      </c>
      <c r="G73" s="28">
        <f t="shared" si="134"/>
        <v>62586</v>
      </c>
      <c r="H73" s="28">
        <f t="shared" si="134"/>
        <v>66363</v>
      </c>
      <c r="I73" s="28">
        <f t="shared" si="134"/>
        <v>72654</v>
      </c>
      <c r="J73" s="28">
        <f t="shared" si="134"/>
        <v>77067</v>
      </c>
      <c r="K73" s="28">
        <f t="shared" si="134"/>
        <v>77053</v>
      </c>
      <c r="L73" s="28">
        <f t="shared" ref="L73" si="135">L74+L80</f>
        <v>76049</v>
      </c>
      <c r="M73" s="28">
        <f t="shared" ref="M73:V73" si="136">M74+M80</f>
        <v>76684</v>
      </c>
      <c r="N73" s="28">
        <f t="shared" si="136"/>
        <v>77078</v>
      </c>
      <c r="O73" s="28">
        <f t="shared" si="136"/>
        <v>77524</v>
      </c>
      <c r="P73" s="28">
        <f t="shared" si="136"/>
        <v>79606</v>
      </c>
      <c r="Q73" s="28">
        <f t="shared" si="136"/>
        <v>83074</v>
      </c>
      <c r="R73" s="28">
        <f t="shared" si="136"/>
        <v>88866</v>
      </c>
      <c r="S73" s="28">
        <f t="shared" si="136"/>
        <v>94279</v>
      </c>
      <c r="T73" s="28">
        <f t="shared" si="136"/>
        <v>100256</v>
      </c>
      <c r="U73" s="28">
        <f t="shared" si="136"/>
        <v>104431</v>
      </c>
      <c r="V73" s="28">
        <f t="shared" si="136"/>
        <v>107535</v>
      </c>
      <c r="W73" s="28">
        <f t="shared" ref="W73" si="137">W74+W80</f>
        <v>107161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25174</v>
      </c>
      <c r="C74" s="137">
        <f t="shared" si="138"/>
        <v>26266</v>
      </c>
      <c r="D74" s="137">
        <f t="shared" si="138"/>
        <v>28080</v>
      </c>
      <c r="E74" s="137">
        <f t="shared" si="138"/>
        <v>30025</v>
      </c>
      <c r="F74" s="137">
        <f t="shared" si="138"/>
        <v>32489</v>
      </c>
      <c r="G74" s="137">
        <f t="shared" si="138"/>
        <v>35248</v>
      </c>
      <c r="H74" s="137">
        <f t="shared" si="138"/>
        <v>37980</v>
      </c>
      <c r="I74" s="137">
        <f t="shared" si="138"/>
        <v>43189</v>
      </c>
      <c r="J74" s="137">
        <f t="shared" si="138"/>
        <v>48389</v>
      </c>
      <c r="K74" s="137">
        <f t="shared" si="138"/>
        <v>50301</v>
      </c>
      <c r="L74" s="137">
        <f t="shared" ref="L74" si="139">SUM(L75:L79)</f>
        <v>51759</v>
      </c>
      <c r="M74" s="137">
        <f t="shared" ref="M74:V74" si="140">SUM(M75:M79)</f>
        <v>53404</v>
      </c>
      <c r="N74" s="137">
        <f t="shared" si="140"/>
        <v>54138</v>
      </c>
      <c r="O74" s="137">
        <f t="shared" si="140"/>
        <v>54937</v>
      </c>
      <c r="P74" s="137">
        <f t="shared" si="140"/>
        <v>56905</v>
      </c>
      <c r="Q74" s="137">
        <f t="shared" si="140"/>
        <v>60016</v>
      </c>
      <c r="R74" s="137">
        <f t="shared" si="140"/>
        <v>63973</v>
      </c>
      <c r="S74" s="137">
        <f t="shared" si="140"/>
        <v>68922</v>
      </c>
      <c r="T74" s="137">
        <f t="shared" si="140"/>
        <v>74005</v>
      </c>
      <c r="U74" s="137">
        <f t="shared" si="140"/>
        <v>78779</v>
      </c>
      <c r="V74" s="137">
        <f t="shared" si="140"/>
        <v>81749</v>
      </c>
      <c r="W74" s="137">
        <f t="shared" ref="W74" si="141">SUM(W75:W79)</f>
        <v>82141</v>
      </c>
      <c r="DA74" s="174" t="s">
        <v>516</v>
      </c>
    </row>
    <row r="75" spans="1:105" ht="11.45" customHeight="1" x14ac:dyDescent="0.25">
      <c r="A75" s="111" t="s">
        <v>110</v>
      </c>
      <c r="B75" s="84">
        <v>6994</v>
      </c>
      <c r="C75" s="84">
        <v>7159</v>
      </c>
      <c r="D75" s="84">
        <v>7321</v>
      </c>
      <c r="E75" s="84">
        <v>7236</v>
      </c>
      <c r="F75" s="84">
        <v>7077</v>
      </c>
      <c r="G75" s="84">
        <v>6848</v>
      </c>
      <c r="H75" s="84">
        <v>6281</v>
      </c>
      <c r="I75" s="84">
        <v>6447</v>
      </c>
      <c r="J75" s="84">
        <v>6422</v>
      </c>
      <c r="K75" s="84">
        <v>6021</v>
      </c>
      <c r="L75" s="84">
        <v>5735</v>
      </c>
      <c r="M75" s="84">
        <v>5418</v>
      </c>
      <c r="N75" s="84">
        <v>5097</v>
      </c>
      <c r="O75" s="84">
        <v>4715</v>
      </c>
      <c r="P75" s="84">
        <v>4112</v>
      </c>
      <c r="Q75" s="84">
        <v>3884</v>
      </c>
      <c r="R75" s="84">
        <v>3709</v>
      </c>
      <c r="S75" s="84">
        <v>3658</v>
      </c>
      <c r="T75" s="84">
        <v>3734</v>
      </c>
      <c r="U75" s="84">
        <v>3754</v>
      </c>
      <c r="V75" s="84">
        <v>3681</v>
      </c>
      <c r="W75" s="84">
        <v>3681</v>
      </c>
      <c r="DA75" s="171" t="s">
        <v>517</v>
      </c>
    </row>
    <row r="76" spans="1:105" ht="11.45" customHeight="1" x14ac:dyDescent="0.25">
      <c r="A76" s="111" t="s">
        <v>111</v>
      </c>
      <c r="B76" s="84">
        <v>18180</v>
      </c>
      <c r="C76" s="84">
        <v>19107</v>
      </c>
      <c r="D76" s="84">
        <v>20759</v>
      </c>
      <c r="E76" s="84">
        <v>22789</v>
      </c>
      <c r="F76" s="84">
        <v>25412</v>
      </c>
      <c r="G76" s="84">
        <v>28400</v>
      </c>
      <c r="H76" s="84">
        <v>31360</v>
      </c>
      <c r="I76" s="84">
        <v>36373</v>
      </c>
      <c r="J76" s="84">
        <v>41427</v>
      </c>
      <c r="K76" s="84">
        <v>44067</v>
      </c>
      <c r="L76" s="84">
        <v>45948</v>
      </c>
      <c r="M76" s="84">
        <v>47921</v>
      </c>
      <c r="N76" s="84">
        <v>48981</v>
      </c>
      <c r="O76" s="84">
        <v>50162</v>
      </c>
      <c r="P76" s="84">
        <v>52420</v>
      </c>
      <c r="Q76" s="84">
        <v>55649</v>
      </c>
      <c r="R76" s="84">
        <v>59755</v>
      </c>
      <c r="S76" s="84">
        <v>64658</v>
      </c>
      <c r="T76" s="84">
        <v>69652</v>
      </c>
      <c r="U76" s="84">
        <v>74280</v>
      </c>
      <c r="V76" s="84">
        <v>77285</v>
      </c>
      <c r="W76" s="84">
        <v>77630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339</v>
      </c>
      <c r="I77" s="84">
        <v>369</v>
      </c>
      <c r="J77" s="84">
        <v>540</v>
      </c>
      <c r="K77" s="84">
        <v>213</v>
      </c>
      <c r="L77" s="84">
        <v>76</v>
      </c>
      <c r="M77" s="84">
        <v>65</v>
      </c>
      <c r="N77" s="84">
        <v>60</v>
      </c>
      <c r="O77" s="84">
        <v>60</v>
      </c>
      <c r="P77" s="84">
        <v>331</v>
      </c>
      <c r="Q77" s="84">
        <v>373</v>
      </c>
      <c r="R77" s="84">
        <v>373</v>
      </c>
      <c r="S77" s="84">
        <v>410</v>
      </c>
      <c r="T77" s="84">
        <v>410</v>
      </c>
      <c r="U77" s="84">
        <v>480</v>
      </c>
      <c r="V77" s="84">
        <v>500</v>
      </c>
      <c r="W77" s="84">
        <v>500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27</v>
      </c>
      <c r="Q78" s="84">
        <v>73</v>
      </c>
      <c r="R78" s="84">
        <v>73</v>
      </c>
      <c r="S78" s="84">
        <v>74</v>
      </c>
      <c r="T78" s="84">
        <v>74</v>
      </c>
      <c r="U78" s="84">
        <v>100</v>
      </c>
      <c r="V78" s="84">
        <v>100</v>
      </c>
      <c r="W78" s="84">
        <v>100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15</v>
      </c>
      <c r="Q79" s="84">
        <v>37</v>
      </c>
      <c r="R79" s="84">
        <v>63</v>
      </c>
      <c r="S79" s="84">
        <v>122</v>
      </c>
      <c r="T79" s="84">
        <v>135</v>
      </c>
      <c r="U79" s="84">
        <v>165</v>
      </c>
      <c r="V79" s="84">
        <v>183</v>
      </c>
      <c r="W79" s="84">
        <v>230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29218</v>
      </c>
      <c r="C80" s="110">
        <f t="shared" si="142"/>
        <v>28377</v>
      </c>
      <c r="D80" s="110">
        <f t="shared" si="142"/>
        <v>28536</v>
      </c>
      <c r="E80" s="110">
        <f t="shared" si="142"/>
        <v>27990</v>
      </c>
      <c r="F80" s="110">
        <f t="shared" si="142"/>
        <v>28264</v>
      </c>
      <c r="G80" s="110">
        <f t="shared" si="142"/>
        <v>27338</v>
      </c>
      <c r="H80" s="110">
        <f t="shared" si="142"/>
        <v>28383</v>
      </c>
      <c r="I80" s="110">
        <f t="shared" si="142"/>
        <v>29465</v>
      </c>
      <c r="J80" s="110">
        <f t="shared" si="142"/>
        <v>28678</v>
      </c>
      <c r="K80" s="110">
        <f t="shared" si="142"/>
        <v>26752</v>
      </c>
      <c r="L80" s="110">
        <f t="shared" ref="L80" si="143">SUM(L81:L82)</f>
        <v>24290</v>
      </c>
      <c r="M80" s="110">
        <f t="shared" ref="M80:V80" si="144">SUM(M81:M82)</f>
        <v>23280</v>
      </c>
      <c r="N80" s="110">
        <f t="shared" si="144"/>
        <v>22940</v>
      </c>
      <c r="O80" s="110">
        <f t="shared" si="144"/>
        <v>22587</v>
      </c>
      <c r="P80" s="110">
        <f t="shared" si="144"/>
        <v>22701</v>
      </c>
      <c r="Q80" s="110">
        <f t="shared" si="144"/>
        <v>23058</v>
      </c>
      <c r="R80" s="110">
        <f t="shared" si="144"/>
        <v>24893</v>
      </c>
      <c r="S80" s="110">
        <f t="shared" si="144"/>
        <v>25357</v>
      </c>
      <c r="T80" s="110">
        <f t="shared" si="144"/>
        <v>26251</v>
      </c>
      <c r="U80" s="110">
        <f t="shared" si="144"/>
        <v>25652</v>
      </c>
      <c r="V80" s="110">
        <f t="shared" si="144"/>
        <v>25786</v>
      </c>
      <c r="W80" s="110">
        <f t="shared" ref="W80" si="145">SUM(W81:W82)</f>
        <v>25020</v>
      </c>
      <c r="DA80" s="176" t="s">
        <v>522</v>
      </c>
    </row>
    <row r="81" spans="1:105" ht="11.45" customHeight="1" x14ac:dyDescent="0.25">
      <c r="A81" s="128" t="s">
        <v>27</v>
      </c>
      <c r="B81" s="102">
        <v>26273</v>
      </c>
      <c r="C81" s="102">
        <v>25219</v>
      </c>
      <c r="D81" s="102">
        <v>25214</v>
      </c>
      <c r="E81" s="102">
        <v>24594</v>
      </c>
      <c r="F81" s="102">
        <v>24249</v>
      </c>
      <c r="G81" s="102">
        <v>23181</v>
      </c>
      <c r="H81" s="102">
        <v>23570</v>
      </c>
      <c r="I81" s="102">
        <v>24561</v>
      </c>
      <c r="J81" s="102">
        <v>23775</v>
      </c>
      <c r="K81" s="102">
        <v>22437</v>
      </c>
      <c r="L81" s="102">
        <v>20113</v>
      </c>
      <c r="M81" s="102">
        <v>19022</v>
      </c>
      <c r="N81" s="102">
        <v>18549</v>
      </c>
      <c r="O81" s="102">
        <v>18220</v>
      </c>
      <c r="P81" s="102">
        <v>18327</v>
      </c>
      <c r="Q81" s="102">
        <v>18282</v>
      </c>
      <c r="R81" s="102">
        <v>19524</v>
      </c>
      <c r="S81" s="102">
        <v>19475</v>
      </c>
      <c r="T81" s="102">
        <v>20264</v>
      </c>
      <c r="U81" s="102">
        <v>19571</v>
      </c>
      <c r="V81" s="102">
        <v>20120</v>
      </c>
      <c r="W81" s="102">
        <v>18892</v>
      </c>
      <c r="DA81" s="175" t="s">
        <v>523</v>
      </c>
    </row>
    <row r="82" spans="1:105" ht="11.45" customHeight="1" x14ac:dyDescent="0.25">
      <c r="A82" s="138" t="s">
        <v>116</v>
      </c>
      <c r="B82" s="86">
        <v>2945</v>
      </c>
      <c r="C82" s="86">
        <v>3158</v>
      </c>
      <c r="D82" s="86">
        <v>3322</v>
      </c>
      <c r="E82" s="86">
        <v>3396</v>
      </c>
      <c r="F82" s="86">
        <v>4015</v>
      </c>
      <c r="G82" s="86">
        <v>4157</v>
      </c>
      <c r="H82" s="86">
        <v>4813</v>
      </c>
      <c r="I82" s="86">
        <v>4904</v>
      </c>
      <c r="J82" s="86">
        <v>4903</v>
      </c>
      <c r="K82" s="86">
        <v>4315</v>
      </c>
      <c r="L82" s="86">
        <v>4177</v>
      </c>
      <c r="M82" s="86">
        <v>4258</v>
      </c>
      <c r="N82" s="86">
        <v>4391</v>
      </c>
      <c r="O82" s="86">
        <v>4367</v>
      </c>
      <c r="P82" s="86">
        <v>4374</v>
      </c>
      <c r="Q82" s="86">
        <v>4776</v>
      </c>
      <c r="R82" s="86">
        <v>5369</v>
      </c>
      <c r="S82" s="86">
        <v>5882</v>
      </c>
      <c r="T82" s="86">
        <v>5987</v>
      </c>
      <c r="U82" s="86">
        <v>6081</v>
      </c>
      <c r="V82" s="86">
        <v>5666</v>
      </c>
      <c r="W82" s="86">
        <v>6128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1016810</v>
      </c>
      <c r="C84" s="54">
        <f t="shared" si="146"/>
        <v>1034777</v>
      </c>
      <c r="D84" s="54">
        <f t="shared" ref="D84:V84" si="147">D85+D100</f>
        <v>1067281</v>
      </c>
      <c r="E84" s="54">
        <f t="shared" si="147"/>
        <v>1063325</v>
      </c>
      <c r="F84" s="54">
        <f t="shared" si="147"/>
        <v>1070993</v>
      </c>
      <c r="G84" s="54">
        <f t="shared" si="147"/>
        <v>1124116</v>
      </c>
      <c r="H84" s="54">
        <f t="shared" si="147"/>
        <v>1152437</v>
      </c>
      <c r="I84" s="54">
        <f t="shared" si="147"/>
        <v>1180081</v>
      </c>
      <c r="J84" s="54">
        <f t="shared" si="147"/>
        <v>1206225</v>
      </c>
      <c r="K84" s="54">
        <f t="shared" si="147"/>
        <v>1226345</v>
      </c>
      <c r="L84" s="54">
        <f t="shared" si="147"/>
        <v>1230718</v>
      </c>
      <c r="M84" s="54">
        <f t="shared" si="147"/>
        <v>1237393</v>
      </c>
      <c r="N84" s="54">
        <f t="shared" si="147"/>
        <v>1238227</v>
      </c>
      <c r="O84" s="54">
        <f t="shared" si="147"/>
        <v>1239382</v>
      </c>
      <c r="P84" s="54">
        <f t="shared" si="147"/>
        <v>1245930</v>
      </c>
      <c r="Q84" s="54">
        <f t="shared" si="147"/>
        <v>1264282</v>
      </c>
      <c r="R84" s="54">
        <f t="shared" si="147"/>
        <v>1291360</v>
      </c>
      <c r="S84" s="54">
        <f t="shared" si="147"/>
        <v>1339731</v>
      </c>
      <c r="T84" s="54">
        <f t="shared" si="147"/>
        <v>1376782</v>
      </c>
      <c r="U84" s="54">
        <f t="shared" si="147"/>
        <v>1408073</v>
      </c>
      <c r="V84" s="54">
        <f t="shared" si="147"/>
        <v>1420471</v>
      </c>
      <c r="W84" s="54">
        <f t="shared" ref="W84" si="148">W85+W100</f>
        <v>1444264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962418</v>
      </c>
      <c r="C85" s="28">
        <f t="shared" si="149"/>
        <v>980134</v>
      </c>
      <c r="D85" s="28">
        <f t="shared" ref="D85:V85" si="150">D86+D87+D94</f>
        <v>1010665</v>
      </c>
      <c r="E85" s="28">
        <f t="shared" si="150"/>
        <v>1005310</v>
      </c>
      <c r="F85" s="28">
        <f t="shared" si="150"/>
        <v>1010240</v>
      </c>
      <c r="G85" s="28">
        <f t="shared" si="150"/>
        <v>1061530</v>
      </c>
      <c r="H85" s="28">
        <f t="shared" si="150"/>
        <v>1086074</v>
      </c>
      <c r="I85" s="28">
        <f t="shared" si="150"/>
        <v>1107427</v>
      </c>
      <c r="J85" s="28">
        <f t="shared" si="150"/>
        <v>1129158</v>
      </c>
      <c r="K85" s="28">
        <f t="shared" si="150"/>
        <v>1149292</v>
      </c>
      <c r="L85" s="28">
        <f t="shared" si="150"/>
        <v>1154669</v>
      </c>
      <c r="M85" s="28">
        <f t="shared" si="150"/>
        <v>1160709</v>
      </c>
      <c r="N85" s="28">
        <f t="shared" si="150"/>
        <v>1161149</v>
      </c>
      <c r="O85" s="28">
        <f t="shared" si="150"/>
        <v>1161858</v>
      </c>
      <c r="P85" s="28">
        <f t="shared" si="150"/>
        <v>1166324</v>
      </c>
      <c r="Q85" s="28">
        <f t="shared" si="150"/>
        <v>1181208</v>
      </c>
      <c r="R85" s="28">
        <f t="shared" si="150"/>
        <v>1202494</v>
      </c>
      <c r="S85" s="28">
        <f t="shared" si="150"/>
        <v>1245452</v>
      </c>
      <c r="T85" s="28">
        <f t="shared" si="150"/>
        <v>1276526</v>
      </c>
      <c r="U85" s="28">
        <f t="shared" si="150"/>
        <v>1303642</v>
      </c>
      <c r="V85" s="28">
        <f t="shared" si="150"/>
        <v>1312936</v>
      </c>
      <c r="W85" s="28">
        <f t="shared" ref="W85" si="151">W86+W87+W94</f>
        <v>1337103</v>
      </c>
      <c r="DA85" s="173"/>
    </row>
    <row r="86" spans="1:105" ht="11.45" hidden="1" customHeight="1" x14ac:dyDescent="0.25">
      <c r="A86" s="136" t="s">
        <v>180</v>
      </c>
      <c r="B86" s="137">
        <v>41559</v>
      </c>
      <c r="C86" s="137">
        <v>42317</v>
      </c>
      <c r="D86" s="137">
        <v>43265</v>
      </c>
      <c r="E86" s="137">
        <v>44516</v>
      </c>
      <c r="F86" s="137">
        <v>46367</v>
      </c>
      <c r="G86" s="137">
        <v>48671</v>
      </c>
      <c r="H86" s="137">
        <v>53193</v>
      </c>
      <c r="I86" s="137">
        <v>71493</v>
      </c>
      <c r="J86" s="137">
        <v>81996</v>
      </c>
      <c r="K86" s="137">
        <v>88428</v>
      </c>
      <c r="L86" s="137">
        <v>91008</v>
      </c>
      <c r="M86" s="137">
        <v>92183</v>
      </c>
      <c r="N86" s="137">
        <v>93100</v>
      </c>
      <c r="O86" s="137">
        <v>92986</v>
      </c>
      <c r="P86" s="137">
        <v>95796</v>
      </c>
      <c r="Q86" s="137">
        <v>100216</v>
      </c>
      <c r="R86" s="137">
        <v>103684</v>
      </c>
      <c r="S86" s="137">
        <v>125127</v>
      </c>
      <c r="T86" s="137">
        <v>130935</v>
      </c>
      <c r="U86" s="137">
        <v>135780</v>
      </c>
      <c r="V86" s="137">
        <v>140316</v>
      </c>
      <c r="W86" s="137">
        <v>145417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919000</v>
      </c>
      <c r="C87" s="110">
        <f t="shared" si="152"/>
        <v>936000</v>
      </c>
      <c r="D87" s="110">
        <f t="shared" ref="D87:V87" si="153">SUM(D88:D93)</f>
        <v>965600</v>
      </c>
      <c r="E87" s="110">
        <f t="shared" si="153"/>
        <v>959000</v>
      </c>
      <c r="F87" s="110">
        <f t="shared" si="153"/>
        <v>962000</v>
      </c>
      <c r="G87" s="110">
        <f t="shared" si="153"/>
        <v>1011000</v>
      </c>
      <c r="H87" s="110">
        <f t="shared" si="153"/>
        <v>1031000</v>
      </c>
      <c r="I87" s="110">
        <f t="shared" si="153"/>
        <v>1034000</v>
      </c>
      <c r="J87" s="110">
        <f t="shared" si="153"/>
        <v>1045180</v>
      </c>
      <c r="K87" s="110">
        <f t="shared" si="153"/>
        <v>1058858</v>
      </c>
      <c r="L87" s="110">
        <f t="shared" si="153"/>
        <v>1061650</v>
      </c>
      <c r="M87" s="110">
        <f t="shared" si="153"/>
        <v>1066500</v>
      </c>
      <c r="N87" s="110">
        <f t="shared" si="153"/>
        <v>1066030</v>
      </c>
      <c r="O87" s="110">
        <f t="shared" si="153"/>
        <v>1066795</v>
      </c>
      <c r="P87" s="110">
        <f t="shared" si="153"/>
        <v>1068362</v>
      </c>
      <c r="Q87" s="110">
        <f t="shared" si="153"/>
        <v>1078737</v>
      </c>
      <c r="R87" s="110">
        <f t="shared" si="153"/>
        <v>1096523</v>
      </c>
      <c r="S87" s="110">
        <f t="shared" si="153"/>
        <v>1117935</v>
      </c>
      <c r="T87" s="110">
        <f t="shared" si="153"/>
        <v>1143150</v>
      </c>
      <c r="U87" s="110">
        <f t="shared" si="153"/>
        <v>1165371</v>
      </c>
      <c r="V87" s="110">
        <f t="shared" si="153"/>
        <v>1170690</v>
      </c>
      <c r="W87" s="110">
        <f t="shared" ref="W87" si="154">SUM(W88:W93)</f>
        <v>1189457</v>
      </c>
      <c r="DA87" s="176"/>
    </row>
    <row r="88" spans="1:105" ht="11.45" hidden="1" customHeight="1" x14ac:dyDescent="0.25">
      <c r="A88" s="111" t="s">
        <v>110</v>
      </c>
      <c r="B88" s="84">
        <v>805000</v>
      </c>
      <c r="C88" s="84">
        <v>813890</v>
      </c>
      <c r="D88" s="84">
        <v>798289</v>
      </c>
      <c r="E88" s="84">
        <v>795000</v>
      </c>
      <c r="F88" s="84">
        <v>769799</v>
      </c>
      <c r="G88" s="84">
        <v>780572</v>
      </c>
      <c r="H88" s="84">
        <v>768137</v>
      </c>
      <c r="I88" s="84">
        <v>744826</v>
      </c>
      <c r="J88" s="84">
        <v>726218</v>
      </c>
      <c r="K88" s="84">
        <v>711775</v>
      </c>
      <c r="L88" s="84">
        <v>690542</v>
      </c>
      <c r="M88" s="84">
        <v>673777</v>
      </c>
      <c r="N88" s="84">
        <v>650531</v>
      </c>
      <c r="O88" s="84">
        <v>629603</v>
      </c>
      <c r="P88" s="84">
        <v>609566</v>
      </c>
      <c r="Q88" s="84">
        <v>596305</v>
      </c>
      <c r="R88" s="84">
        <v>585720</v>
      </c>
      <c r="S88" s="84">
        <v>577849</v>
      </c>
      <c r="T88" s="84">
        <v>575399</v>
      </c>
      <c r="U88" s="84">
        <v>574208</v>
      </c>
      <c r="V88" s="84">
        <v>566496</v>
      </c>
      <c r="W88" s="84">
        <v>569766</v>
      </c>
      <c r="DA88" s="171"/>
    </row>
    <row r="89" spans="1:105" ht="11.45" hidden="1" customHeight="1" x14ac:dyDescent="0.25">
      <c r="A89" s="111" t="s">
        <v>111</v>
      </c>
      <c r="B89" s="84">
        <v>114000</v>
      </c>
      <c r="C89" s="84">
        <v>122110</v>
      </c>
      <c r="D89" s="84">
        <v>167311</v>
      </c>
      <c r="E89" s="84">
        <v>164000</v>
      </c>
      <c r="F89" s="84">
        <v>192201</v>
      </c>
      <c r="G89" s="84">
        <v>230428</v>
      </c>
      <c r="H89" s="84">
        <v>262363</v>
      </c>
      <c r="I89" s="84">
        <v>288000</v>
      </c>
      <c r="J89" s="84">
        <v>317960</v>
      </c>
      <c r="K89" s="84">
        <v>344176</v>
      </c>
      <c r="L89" s="84">
        <v>367500</v>
      </c>
      <c r="M89" s="84">
        <v>388560</v>
      </c>
      <c r="N89" s="84">
        <v>410020</v>
      </c>
      <c r="O89" s="84">
        <v>429303</v>
      </c>
      <c r="P89" s="84">
        <v>450422</v>
      </c>
      <c r="Q89" s="84">
        <v>473666</v>
      </c>
      <c r="R89" s="84">
        <v>500660</v>
      </c>
      <c r="S89" s="84">
        <v>528811</v>
      </c>
      <c r="T89" s="84">
        <v>555502</v>
      </c>
      <c r="U89" s="84">
        <v>577776</v>
      </c>
      <c r="V89" s="84">
        <v>588707</v>
      </c>
      <c r="W89" s="84">
        <v>601946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500</v>
      </c>
      <c r="I90" s="84">
        <v>1174</v>
      </c>
      <c r="J90" s="84">
        <v>1002</v>
      </c>
      <c r="K90" s="84">
        <v>2907</v>
      </c>
      <c r="L90" s="84">
        <v>3608</v>
      </c>
      <c r="M90" s="84">
        <v>4151</v>
      </c>
      <c r="N90" s="84">
        <v>5444</v>
      </c>
      <c r="O90" s="84">
        <v>7816</v>
      </c>
      <c r="P90" s="84">
        <v>8147</v>
      </c>
      <c r="Q90" s="84">
        <v>8380</v>
      </c>
      <c r="R90" s="84">
        <v>9468</v>
      </c>
      <c r="S90" s="84">
        <v>9999</v>
      </c>
      <c r="T90" s="84">
        <v>10246</v>
      </c>
      <c r="U90" s="84">
        <v>10500</v>
      </c>
      <c r="V90" s="84">
        <v>10800</v>
      </c>
      <c r="W90" s="84">
        <v>11083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5</v>
      </c>
      <c r="O91" s="84">
        <v>26</v>
      </c>
      <c r="P91" s="84">
        <v>120</v>
      </c>
      <c r="Q91" s="84">
        <v>122</v>
      </c>
      <c r="R91" s="84">
        <v>163</v>
      </c>
      <c r="S91" s="84">
        <v>225</v>
      </c>
      <c r="T91" s="84">
        <v>244</v>
      </c>
      <c r="U91" s="84">
        <v>230</v>
      </c>
      <c r="V91" s="84">
        <v>230</v>
      </c>
      <c r="W91" s="84">
        <v>230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13</v>
      </c>
      <c r="P92" s="84">
        <v>20</v>
      </c>
      <c r="Q92" s="84">
        <v>55</v>
      </c>
      <c r="R92" s="84">
        <v>140</v>
      </c>
      <c r="S92" s="84">
        <v>329</v>
      </c>
      <c r="T92" s="84">
        <v>580</v>
      </c>
      <c r="U92" s="84">
        <v>659</v>
      </c>
      <c r="V92" s="84">
        <v>792</v>
      </c>
      <c r="W92" s="84">
        <v>1088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12</v>
      </c>
      <c r="N93" s="84">
        <v>30</v>
      </c>
      <c r="O93" s="84">
        <v>34</v>
      </c>
      <c r="P93" s="84">
        <v>87</v>
      </c>
      <c r="Q93" s="84">
        <v>209</v>
      </c>
      <c r="R93" s="84">
        <v>372</v>
      </c>
      <c r="S93" s="84">
        <v>722</v>
      </c>
      <c r="T93" s="84">
        <v>1179</v>
      </c>
      <c r="U93" s="84">
        <v>1998</v>
      </c>
      <c r="V93" s="84">
        <v>3665</v>
      </c>
      <c r="W93" s="84">
        <v>5344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1859</v>
      </c>
      <c r="C94" s="110">
        <f t="shared" si="155"/>
        <v>1817</v>
      </c>
      <c r="D94" s="110">
        <f t="shared" ref="D94:V94" si="156">SUM(D95:D99)</f>
        <v>1800</v>
      </c>
      <c r="E94" s="110">
        <f t="shared" si="156"/>
        <v>1794</v>
      </c>
      <c r="F94" s="110">
        <f t="shared" si="156"/>
        <v>1873</v>
      </c>
      <c r="G94" s="110">
        <f t="shared" si="156"/>
        <v>1859</v>
      </c>
      <c r="H94" s="110">
        <f t="shared" si="156"/>
        <v>1881</v>
      </c>
      <c r="I94" s="110">
        <f t="shared" si="156"/>
        <v>1934</v>
      </c>
      <c r="J94" s="110">
        <f t="shared" si="156"/>
        <v>1982</v>
      </c>
      <c r="K94" s="110">
        <f t="shared" si="156"/>
        <v>2006</v>
      </c>
      <c r="L94" s="110">
        <f t="shared" si="156"/>
        <v>2011</v>
      </c>
      <c r="M94" s="110">
        <f t="shared" si="156"/>
        <v>2026</v>
      </c>
      <c r="N94" s="110">
        <f t="shared" si="156"/>
        <v>2019</v>
      </c>
      <c r="O94" s="110">
        <f t="shared" si="156"/>
        <v>2077</v>
      </c>
      <c r="P94" s="110">
        <f t="shared" si="156"/>
        <v>2166</v>
      </c>
      <c r="Q94" s="110">
        <f t="shared" si="156"/>
        <v>2255</v>
      </c>
      <c r="R94" s="110">
        <f t="shared" si="156"/>
        <v>2287</v>
      </c>
      <c r="S94" s="110">
        <f t="shared" si="156"/>
        <v>2390</v>
      </c>
      <c r="T94" s="110">
        <f t="shared" si="156"/>
        <v>2441</v>
      </c>
      <c r="U94" s="110">
        <f t="shared" si="156"/>
        <v>2491</v>
      </c>
      <c r="V94" s="110">
        <f t="shared" si="156"/>
        <v>1930</v>
      </c>
      <c r="W94" s="110">
        <f t="shared" ref="W94" si="157">SUM(W95:W99)</f>
        <v>2229</v>
      </c>
      <c r="DA94" s="176"/>
    </row>
    <row r="95" spans="1:105" ht="11.45" hidden="1" customHeight="1" x14ac:dyDescent="0.25">
      <c r="A95" s="111" t="s">
        <v>110</v>
      </c>
      <c r="B95" s="102">
        <v>34</v>
      </c>
      <c r="C95" s="102">
        <v>32</v>
      </c>
      <c r="D95" s="102">
        <v>30</v>
      </c>
      <c r="E95" s="102">
        <v>27</v>
      </c>
      <c r="F95" s="102">
        <v>24</v>
      </c>
      <c r="G95" s="102">
        <v>22</v>
      </c>
      <c r="H95" s="102">
        <v>19</v>
      </c>
      <c r="I95" s="102">
        <v>17</v>
      </c>
      <c r="J95" s="102">
        <v>14</v>
      </c>
      <c r="K95" s="102">
        <v>12</v>
      </c>
      <c r="L95" s="102">
        <v>10</v>
      </c>
      <c r="M95" s="102">
        <v>8</v>
      </c>
      <c r="N95" s="102">
        <v>7</v>
      </c>
      <c r="O95" s="102">
        <v>6</v>
      </c>
      <c r="P95" s="102">
        <v>5</v>
      </c>
      <c r="Q95" s="102">
        <v>4</v>
      </c>
      <c r="R95" s="102">
        <v>4</v>
      </c>
      <c r="S95" s="102">
        <v>4</v>
      </c>
      <c r="T95" s="102">
        <v>4</v>
      </c>
      <c r="U95" s="102">
        <v>4</v>
      </c>
      <c r="V95" s="102">
        <v>4</v>
      </c>
      <c r="W95" s="102">
        <v>4</v>
      </c>
      <c r="DA95" s="175"/>
    </row>
    <row r="96" spans="1:105" ht="11.45" hidden="1" customHeight="1" x14ac:dyDescent="0.25">
      <c r="A96" s="111" t="s">
        <v>111</v>
      </c>
      <c r="B96" s="102">
        <v>1825</v>
      </c>
      <c r="C96" s="102">
        <v>1785</v>
      </c>
      <c r="D96" s="102">
        <v>1770</v>
      </c>
      <c r="E96" s="102">
        <v>1767</v>
      </c>
      <c r="F96" s="102">
        <v>1849</v>
      </c>
      <c r="G96" s="102">
        <v>1837</v>
      </c>
      <c r="H96" s="102">
        <v>1862</v>
      </c>
      <c r="I96" s="102">
        <v>1917</v>
      </c>
      <c r="J96" s="102">
        <v>1968</v>
      </c>
      <c r="K96" s="102">
        <v>1994</v>
      </c>
      <c r="L96" s="102">
        <v>2001</v>
      </c>
      <c r="M96" s="102">
        <v>2018</v>
      </c>
      <c r="N96" s="102">
        <v>1992</v>
      </c>
      <c r="O96" s="102">
        <v>2047</v>
      </c>
      <c r="P96" s="102">
        <v>2112</v>
      </c>
      <c r="Q96" s="102">
        <v>2180</v>
      </c>
      <c r="R96" s="102">
        <v>2195</v>
      </c>
      <c r="S96" s="102">
        <v>2300</v>
      </c>
      <c r="T96" s="102">
        <v>2344</v>
      </c>
      <c r="U96" s="102">
        <v>2366</v>
      </c>
      <c r="V96" s="102">
        <v>1823</v>
      </c>
      <c r="W96" s="102">
        <v>2123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20</v>
      </c>
      <c r="O98" s="102">
        <v>24</v>
      </c>
      <c r="P98" s="102">
        <v>47</v>
      </c>
      <c r="Q98" s="102">
        <v>69</v>
      </c>
      <c r="R98" s="102">
        <v>84</v>
      </c>
      <c r="S98" s="102">
        <v>83</v>
      </c>
      <c r="T98" s="102">
        <v>89</v>
      </c>
      <c r="U98" s="102">
        <v>115</v>
      </c>
      <c r="V98" s="102">
        <v>97</v>
      </c>
      <c r="W98" s="102">
        <v>96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2</v>
      </c>
      <c r="Q99" s="102">
        <v>2</v>
      </c>
      <c r="R99" s="102">
        <v>4</v>
      </c>
      <c r="S99" s="102">
        <v>3</v>
      </c>
      <c r="T99" s="102">
        <v>4</v>
      </c>
      <c r="U99" s="102">
        <v>6</v>
      </c>
      <c r="V99" s="102">
        <v>6</v>
      </c>
      <c r="W99" s="102">
        <v>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54392</v>
      </c>
      <c r="C100" s="28">
        <f t="shared" si="158"/>
        <v>54643</v>
      </c>
      <c r="D100" s="28">
        <f t="shared" ref="D100:V100" si="159">D101+D107</f>
        <v>56616</v>
      </c>
      <c r="E100" s="28">
        <f t="shared" si="159"/>
        <v>58015</v>
      </c>
      <c r="F100" s="28">
        <f t="shared" si="159"/>
        <v>60753</v>
      </c>
      <c r="G100" s="28">
        <f t="shared" si="159"/>
        <v>62586</v>
      </c>
      <c r="H100" s="28">
        <f t="shared" si="159"/>
        <v>66363</v>
      </c>
      <c r="I100" s="28">
        <f t="shared" si="159"/>
        <v>72654</v>
      </c>
      <c r="J100" s="28">
        <f t="shared" si="159"/>
        <v>77067</v>
      </c>
      <c r="K100" s="28">
        <f t="shared" si="159"/>
        <v>77053</v>
      </c>
      <c r="L100" s="28">
        <f t="shared" si="159"/>
        <v>76049</v>
      </c>
      <c r="M100" s="28">
        <f t="shared" si="159"/>
        <v>76684</v>
      </c>
      <c r="N100" s="28">
        <f t="shared" si="159"/>
        <v>77078</v>
      </c>
      <c r="O100" s="28">
        <f t="shared" si="159"/>
        <v>77524</v>
      </c>
      <c r="P100" s="28">
        <f t="shared" si="159"/>
        <v>79606</v>
      </c>
      <c r="Q100" s="28">
        <f t="shared" si="159"/>
        <v>83074</v>
      </c>
      <c r="R100" s="28">
        <f t="shared" si="159"/>
        <v>88866</v>
      </c>
      <c r="S100" s="28">
        <f t="shared" si="159"/>
        <v>94279</v>
      </c>
      <c r="T100" s="28">
        <f t="shared" si="159"/>
        <v>100256</v>
      </c>
      <c r="U100" s="28">
        <f t="shared" si="159"/>
        <v>104431</v>
      </c>
      <c r="V100" s="28">
        <f t="shared" si="159"/>
        <v>107535</v>
      </c>
      <c r="W100" s="28">
        <f t="shared" ref="W100" si="160">W101+W107</f>
        <v>107161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25174</v>
      </c>
      <c r="C101" s="137">
        <f t="shared" si="161"/>
        <v>26266</v>
      </c>
      <c r="D101" s="137">
        <f t="shared" ref="D101:V101" si="162">SUM(D102:D106)</f>
        <v>28080</v>
      </c>
      <c r="E101" s="137">
        <f t="shared" si="162"/>
        <v>30025</v>
      </c>
      <c r="F101" s="137">
        <f t="shared" si="162"/>
        <v>32489</v>
      </c>
      <c r="G101" s="137">
        <f t="shared" si="162"/>
        <v>35248</v>
      </c>
      <c r="H101" s="137">
        <f t="shared" si="162"/>
        <v>37980</v>
      </c>
      <c r="I101" s="137">
        <f t="shared" si="162"/>
        <v>43189</v>
      </c>
      <c r="J101" s="137">
        <f t="shared" si="162"/>
        <v>48389</v>
      </c>
      <c r="K101" s="137">
        <f t="shared" si="162"/>
        <v>50301</v>
      </c>
      <c r="L101" s="137">
        <f t="shared" si="162"/>
        <v>51759</v>
      </c>
      <c r="M101" s="137">
        <f t="shared" si="162"/>
        <v>53404</v>
      </c>
      <c r="N101" s="137">
        <f t="shared" si="162"/>
        <v>54138</v>
      </c>
      <c r="O101" s="137">
        <f t="shared" si="162"/>
        <v>54937</v>
      </c>
      <c r="P101" s="137">
        <f t="shared" si="162"/>
        <v>56905</v>
      </c>
      <c r="Q101" s="137">
        <f t="shared" si="162"/>
        <v>60016</v>
      </c>
      <c r="R101" s="137">
        <f t="shared" si="162"/>
        <v>63973</v>
      </c>
      <c r="S101" s="137">
        <f t="shared" si="162"/>
        <v>68922</v>
      </c>
      <c r="T101" s="137">
        <f t="shared" si="162"/>
        <v>74005</v>
      </c>
      <c r="U101" s="137">
        <f t="shared" si="162"/>
        <v>78779</v>
      </c>
      <c r="V101" s="137">
        <f t="shared" si="162"/>
        <v>81749</v>
      </c>
      <c r="W101" s="137">
        <f t="shared" ref="W101" si="163">SUM(W102:W106)</f>
        <v>82141</v>
      </c>
      <c r="DA101" s="174"/>
    </row>
    <row r="102" spans="1:105" ht="11.45" hidden="1" customHeight="1" x14ac:dyDescent="0.25">
      <c r="A102" s="111" t="s">
        <v>110</v>
      </c>
      <c r="B102" s="84">
        <v>6994</v>
      </c>
      <c r="C102" s="84">
        <v>7159</v>
      </c>
      <c r="D102" s="84">
        <v>7321</v>
      </c>
      <c r="E102" s="84">
        <v>7236</v>
      </c>
      <c r="F102" s="84">
        <v>7077</v>
      </c>
      <c r="G102" s="84">
        <v>6848</v>
      </c>
      <c r="H102" s="84">
        <v>6281</v>
      </c>
      <c r="I102" s="84">
        <v>6447</v>
      </c>
      <c r="J102" s="84">
        <v>6422</v>
      </c>
      <c r="K102" s="84">
        <v>6021</v>
      </c>
      <c r="L102" s="84">
        <v>5735</v>
      </c>
      <c r="M102" s="84">
        <v>5418</v>
      </c>
      <c r="N102" s="84">
        <v>5097</v>
      </c>
      <c r="O102" s="84">
        <v>4715</v>
      </c>
      <c r="P102" s="84">
        <v>4112</v>
      </c>
      <c r="Q102" s="84">
        <v>3884</v>
      </c>
      <c r="R102" s="84">
        <v>3709</v>
      </c>
      <c r="S102" s="84">
        <v>3658</v>
      </c>
      <c r="T102" s="84">
        <v>3734</v>
      </c>
      <c r="U102" s="84">
        <v>3754</v>
      </c>
      <c r="V102" s="84">
        <v>3681</v>
      </c>
      <c r="W102" s="84">
        <v>3681</v>
      </c>
      <c r="DA102" s="171"/>
    </row>
    <row r="103" spans="1:105" ht="11.45" hidden="1" customHeight="1" x14ac:dyDescent="0.25">
      <c r="A103" s="111" t="s">
        <v>111</v>
      </c>
      <c r="B103" s="84">
        <v>18180</v>
      </c>
      <c r="C103" s="84">
        <v>19107</v>
      </c>
      <c r="D103" s="84">
        <v>20759</v>
      </c>
      <c r="E103" s="84">
        <v>22789</v>
      </c>
      <c r="F103" s="84">
        <v>25412</v>
      </c>
      <c r="G103" s="84">
        <v>28400</v>
      </c>
      <c r="H103" s="84">
        <v>31360</v>
      </c>
      <c r="I103" s="84">
        <v>36373</v>
      </c>
      <c r="J103" s="84">
        <v>41427</v>
      </c>
      <c r="K103" s="84">
        <v>44067</v>
      </c>
      <c r="L103" s="84">
        <v>45948</v>
      </c>
      <c r="M103" s="84">
        <v>47921</v>
      </c>
      <c r="N103" s="84">
        <v>48981</v>
      </c>
      <c r="O103" s="84">
        <v>50162</v>
      </c>
      <c r="P103" s="84">
        <v>52420</v>
      </c>
      <c r="Q103" s="84">
        <v>55649</v>
      </c>
      <c r="R103" s="84">
        <v>59755</v>
      </c>
      <c r="S103" s="84">
        <v>64658</v>
      </c>
      <c r="T103" s="84">
        <v>69652</v>
      </c>
      <c r="U103" s="84">
        <v>74280</v>
      </c>
      <c r="V103" s="84">
        <v>77285</v>
      </c>
      <c r="W103" s="84">
        <v>77630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339</v>
      </c>
      <c r="I104" s="84">
        <v>369</v>
      </c>
      <c r="J104" s="84">
        <v>540</v>
      </c>
      <c r="K104" s="84">
        <v>213</v>
      </c>
      <c r="L104" s="84">
        <v>76</v>
      </c>
      <c r="M104" s="84">
        <v>65</v>
      </c>
      <c r="N104" s="84">
        <v>60</v>
      </c>
      <c r="O104" s="84">
        <v>60</v>
      </c>
      <c r="P104" s="84">
        <v>331</v>
      </c>
      <c r="Q104" s="84">
        <v>373</v>
      </c>
      <c r="R104" s="84">
        <v>373</v>
      </c>
      <c r="S104" s="84">
        <v>410</v>
      </c>
      <c r="T104" s="84">
        <v>410</v>
      </c>
      <c r="U104" s="84">
        <v>480</v>
      </c>
      <c r="V104" s="84">
        <v>500</v>
      </c>
      <c r="W104" s="84">
        <v>500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27</v>
      </c>
      <c r="Q105" s="84">
        <v>73</v>
      </c>
      <c r="R105" s="84">
        <v>73</v>
      </c>
      <c r="S105" s="84">
        <v>74</v>
      </c>
      <c r="T105" s="84">
        <v>74</v>
      </c>
      <c r="U105" s="84">
        <v>100</v>
      </c>
      <c r="V105" s="84">
        <v>100</v>
      </c>
      <c r="W105" s="84">
        <v>100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15</v>
      </c>
      <c r="Q106" s="84">
        <v>37</v>
      </c>
      <c r="R106" s="84">
        <v>63</v>
      </c>
      <c r="S106" s="84">
        <v>122</v>
      </c>
      <c r="T106" s="84">
        <v>135</v>
      </c>
      <c r="U106" s="84">
        <v>165</v>
      </c>
      <c r="V106" s="84">
        <v>183</v>
      </c>
      <c r="W106" s="84">
        <v>230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29218</v>
      </c>
      <c r="C107" s="110">
        <f t="shared" si="164"/>
        <v>28377</v>
      </c>
      <c r="D107" s="110">
        <f t="shared" ref="D107:V107" si="165">SUM(D108:D109)</f>
        <v>28536</v>
      </c>
      <c r="E107" s="110">
        <f t="shared" si="165"/>
        <v>27990</v>
      </c>
      <c r="F107" s="110">
        <f t="shared" si="165"/>
        <v>28264</v>
      </c>
      <c r="G107" s="110">
        <f t="shared" si="165"/>
        <v>27338</v>
      </c>
      <c r="H107" s="110">
        <f t="shared" si="165"/>
        <v>28383</v>
      </c>
      <c r="I107" s="110">
        <f t="shared" si="165"/>
        <v>29465</v>
      </c>
      <c r="J107" s="110">
        <f t="shared" si="165"/>
        <v>28678</v>
      </c>
      <c r="K107" s="110">
        <f t="shared" si="165"/>
        <v>26752</v>
      </c>
      <c r="L107" s="110">
        <f t="shared" si="165"/>
        <v>24290</v>
      </c>
      <c r="M107" s="110">
        <f t="shared" si="165"/>
        <v>23280</v>
      </c>
      <c r="N107" s="110">
        <f t="shared" si="165"/>
        <v>22940</v>
      </c>
      <c r="O107" s="110">
        <f t="shared" si="165"/>
        <v>22587</v>
      </c>
      <c r="P107" s="110">
        <f t="shared" si="165"/>
        <v>22701</v>
      </c>
      <c r="Q107" s="110">
        <f t="shared" si="165"/>
        <v>23058</v>
      </c>
      <c r="R107" s="110">
        <f t="shared" si="165"/>
        <v>24893</v>
      </c>
      <c r="S107" s="110">
        <f t="shared" si="165"/>
        <v>25357</v>
      </c>
      <c r="T107" s="110">
        <f t="shared" si="165"/>
        <v>26251</v>
      </c>
      <c r="U107" s="110">
        <f t="shared" si="165"/>
        <v>25652</v>
      </c>
      <c r="V107" s="110">
        <f t="shared" si="165"/>
        <v>25786</v>
      </c>
      <c r="W107" s="110">
        <f t="shared" ref="W107" si="166">SUM(W108:W109)</f>
        <v>25020</v>
      </c>
      <c r="DA107" s="176"/>
    </row>
    <row r="108" spans="1:105" ht="11.45" hidden="1" customHeight="1" x14ac:dyDescent="0.25">
      <c r="A108" s="128" t="s">
        <v>27</v>
      </c>
      <c r="B108" s="102">
        <v>26273</v>
      </c>
      <c r="C108" s="102">
        <v>25219</v>
      </c>
      <c r="D108" s="102">
        <v>25214</v>
      </c>
      <c r="E108" s="102">
        <v>24594</v>
      </c>
      <c r="F108" s="102">
        <v>24249</v>
      </c>
      <c r="G108" s="102">
        <v>23181</v>
      </c>
      <c r="H108" s="102">
        <v>23570</v>
      </c>
      <c r="I108" s="102">
        <v>24561</v>
      </c>
      <c r="J108" s="102">
        <v>23775</v>
      </c>
      <c r="K108" s="102">
        <v>22437</v>
      </c>
      <c r="L108" s="102">
        <v>20113</v>
      </c>
      <c r="M108" s="102">
        <v>19022</v>
      </c>
      <c r="N108" s="102">
        <v>18549</v>
      </c>
      <c r="O108" s="102">
        <v>18220</v>
      </c>
      <c r="P108" s="102">
        <v>18327</v>
      </c>
      <c r="Q108" s="102">
        <v>18282</v>
      </c>
      <c r="R108" s="102">
        <v>19524</v>
      </c>
      <c r="S108" s="102">
        <v>19475</v>
      </c>
      <c r="T108" s="102">
        <v>20264</v>
      </c>
      <c r="U108" s="102">
        <v>19571</v>
      </c>
      <c r="V108" s="102">
        <v>20120</v>
      </c>
      <c r="W108" s="102">
        <v>18892</v>
      </c>
      <c r="DA108" s="175"/>
    </row>
    <row r="109" spans="1:105" ht="11.45" hidden="1" customHeight="1" x14ac:dyDescent="0.25">
      <c r="A109" s="138" t="s">
        <v>116</v>
      </c>
      <c r="B109" s="86">
        <v>2945</v>
      </c>
      <c r="C109" s="86">
        <v>3158</v>
      </c>
      <c r="D109" s="86">
        <v>3322</v>
      </c>
      <c r="E109" s="86">
        <v>3396</v>
      </c>
      <c r="F109" s="86">
        <v>4015</v>
      </c>
      <c r="G109" s="86">
        <v>4157</v>
      </c>
      <c r="H109" s="86">
        <v>4813</v>
      </c>
      <c r="I109" s="86">
        <v>4904</v>
      </c>
      <c r="J109" s="86">
        <v>4903</v>
      </c>
      <c r="K109" s="86">
        <v>4315</v>
      </c>
      <c r="L109" s="86">
        <v>4177</v>
      </c>
      <c r="M109" s="86">
        <v>4258</v>
      </c>
      <c r="N109" s="86">
        <v>4391</v>
      </c>
      <c r="O109" s="86">
        <v>4367</v>
      </c>
      <c r="P109" s="86">
        <v>4374</v>
      </c>
      <c r="Q109" s="86">
        <v>4776</v>
      </c>
      <c r="R109" s="86">
        <v>5369</v>
      </c>
      <c r="S109" s="86">
        <v>5882</v>
      </c>
      <c r="T109" s="86">
        <v>5987</v>
      </c>
      <c r="U109" s="86">
        <v>6081</v>
      </c>
      <c r="V109" s="86">
        <v>5666</v>
      </c>
      <c r="W109" s="86">
        <v>6128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61876</v>
      </c>
      <c r="C111" s="54">
        <f t="shared" si="167"/>
        <v>76374</v>
      </c>
      <c r="D111" s="54">
        <f t="shared" si="167"/>
        <v>90615</v>
      </c>
      <c r="E111" s="54">
        <f t="shared" si="167"/>
        <v>68055</v>
      </c>
      <c r="F111" s="54">
        <f t="shared" si="167"/>
        <v>73403</v>
      </c>
      <c r="G111" s="54">
        <f t="shared" si="167"/>
        <v>83568</v>
      </c>
      <c r="H111" s="54">
        <f t="shared" si="167"/>
        <v>84898</v>
      </c>
      <c r="I111" s="54">
        <f t="shared" si="167"/>
        <v>108796</v>
      </c>
      <c r="J111" s="54">
        <f t="shared" si="167"/>
        <v>110127</v>
      </c>
      <c r="K111" s="54">
        <f t="shared" si="167"/>
        <v>93254</v>
      </c>
      <c r="L111" s="54">
        <f t="shared" ref="L111" si="168">L112+L127</f>
        <v>86845</v>
      </c>
      <c r="M111" s="54">
        <f t="shared" ref="M111:V111" si="169">M112+M127</f>
        <v>81183</v>
      </c>
      <c r="N111" s="54">
        <f t="shared" si="169"/>
        <v>73896</v>
      </c>
      <c r="O111" s="54">
        <f t="shared" si="169"/>
        <v>74305</v>
      </c>
      <c r="P111" s="54">
        <f t="shared" si="169"/>
        <v>78956</v>
      </c>
      <c r="Q111" s="54">
        <f t="shared" si="169"/>
        <v>91226</v>
      </c>
      <c r="R111" s="54">
        <f t="shared" si="169"/>
        <v>97502</v>
      </c>
      <c r="S111" s="54">
        <f t="shared" si="169"/>
        <v>126147</v>
      </c>
      <c r="T111" s="54">
        <f t="shared" si="169"/>
        <v>123659</v>
      </c>
      <c r="U111" s="54">
        <f t="shared" si="169"/>
        <v>122458</v>
      </c>
      <c r="V111" s="54">
        <f t="shared" si="169"/>
        <v>95418</v>
      </c>
      <c r="W111" s="54">
        <f t="shared" ref="W111" si="170">W112+W127</f>
        <v>112941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57043</v>
      </c>
      <c r="C112" s="28">
        <f t="shared" si="171"/>
        <v>71024</v>
      </c>
      <c r="D112" s="28">
        <f t="shared" si="171"/>
        <v>84935</v>
      </c>
      <c r="E112" s="28">
        <f t="shared" si="171"/>
        <v>62048</v>
      </c>
      <c r="F112" s="28">
        <f t="shared" si="171"/>
        <v>65963</v>
      </c>
      <c r="G112" s="28">
        <f t="shared" si="171"/>
        <v>76370</v>
      </c>
      <c r="H112" s="28">
        <f t="shared" si="171"/>
        <v>74651</v>
      </c>
      <c r="I112" s="28">
        <f t="shared" si="171"/>
        <v>97574</v>
      </c>
      <c r="J112" s="28">
        <f t="shared" si="171"/>
        <v>98787</v>
      </c>
      <c r="K112" s="28">
        <f t="shared" si="171"/>
        <v>87300</v>
      </c>
      <c r="L112" s="28">
        <f t="shared" ref="L112" si="172">L113+L114+L121</f>
        <v>80251</v>
      </c>
      <c r="M112" s="28">
        <f t="shared" ref="M112:V112" si="173">M113+M114+M121</f>
        <v>73258</v>
      </c>
      <c r="N112" s="28">
        <f t="shared" si="173"/>
        <v>66159</v>
      </c>
      <c r="O112" s="28">
        <f t="shared" si="173"/>
        <v>65927</v>
      </c>
      <c r="P112" s="28">
        <f t="shared" si="173"/>
        <v>69526</v>
      </c>
      <c r="Q112" s="28">
        <f t="shared" si="173"/>
        <v>80517</v>
      </c>
      <c r="R112" s="28">
        <f t="shared" si="173"/>
        <v>84506</v>
      </c>
      <c r="S112" s="28">
        <f t="shared" si="173"/>
        <v>111427</v>
      </c>
      <c r="T112" s="28">
        <f t="shared" si="173"/>
        <v>107999</v>
      </c>
      <c r="U112" s="28">
        <f t="shared" si="173"/>
        <v>106739</v>
      </c>
      <c r="V112" s="28">
        <f t="shared" si="173"/>
        <v>84162</v>
      </c>
      <c r="W112" s="28">
        <f t="shared" ref="W112" si="174">W113+W114+W121</f>
        <v>98885</v>
      </c>
      <c r="DA112" s="173" t="s">
        <v>526</v>
      </c>
    </row>
    <row r="113" spans="1:105" ht="11.45" customHeight="1" x14ac:dyDescent="0.25">
      <c r="A113" s="136" t="s">
        <v>180</v>
      </c>
      <c r="B113" s="137">
        <v>1636</v>
      </c>
      <c r="C113" s="137">
        <v>1838</v>
      </c>
      <c r="D113" s="137">
        <v>2105</v>
      </c>
      <c r="E113" s="137">
        <v>2527</v>
      </c>
      <c r="F113" s="137">
        <v>3349</v>
      </c>
      <c r="G113" s="137">
        <v>3990</v>
      </c>
      <c r="H113" s="137">
        <v>6985</v>
      </c>
      <c r="I113" s="137">
        <v>25400</v>
      </c>
      <c r="J113" s="137">
        <v>15395</v>
      </c>
      <c r="K113" s="137">
        <v>10190</v>
      </c>
      <c r="L113" s="137">
        <v>5195</v>
      </c>
      <c r="M113" s="137">
        <v>3378</v>
      </c>
      <c r="N113" s="137">
        <v>3059</v>
      </c>
      <c r="O113" s="137">
        <v>3165</v>
      </c>
      <c r="P113" s="137">
        <v>5593</v>
      </c>
      <c r="Q113" s="137">
        <v>7928</v>
      </c>
      <c r="R113" s="137">
        <v>7439</v>
      </c>
      <c r="S113" s="137">
        <v>24707</v>
      </c>
      <c r="T113" s="137">
        <v>10643</v>
      </c>
      <c r="U113" s="137">
        <v>9021</v>
      </c>
      <c r="V113" s="137">
        <v>8676</v>
      </c>
      <c r="W113" s="137">
        <v>9512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54984</v>
      </c>
      <c r="C114" s="110">
        <f t="shared" si="175"/>
        <v>69055</v>
      </c>
      <c r="D114" s="110">
        <f t="shared" si="175"/>
        <v>82738</v>
      </c>
      <c r="E114" s="110">
        <f t="shared" si="175"/>
        <v>59390</v>
      </c>
      <c r="F114" s="110">
        <f t="shared" si="175"/>
        <v>62471</v>
      </c>
      <c r="G114" s="110">
        <f t="shared" si="175"/>
        <v>72243</v>
      </c>
      <c r="H114" s="110">
        <f t="shared" si="175"/>
        <v>67513</v>
      </c>
      <c r="I114" s="110">
        <f t="shared" si="175"/>
        <v>72026</v>
      </c>
      <c r="J114" s="110">
        <f t="shared" si="175"/>
        <v>83195</v>
      </c>
      <c r="K114" s="110">
        <f t="shared" si="175"/>
        <v>76976</v>
      </c>
      <c r="L114" s="110">
        <f t="shared" ref="L114" si="176">SUM(L115:L120)</f>
        <v>74913</v>
      </c>
      <c r="M114" s="110">
        <f t="shared" ref="M114:V114" si="177">SUM(M115:M120)</f>
        <v>69755</v>
      </c>
      <c r="N114" s="110">
        <f t="shared" si="177"/>
        <v>62980</v>
      </c>
      <c r="O114" s="110">
        <f t="shared" si="177"/>
        <v>62562</v>
      </c>
      <c r="P114" s="110">
        <f t="shared" si="177"/>
        <v>63720</v>
      </c>
      <c r="Q114" s="110">
        <f t="shared" si="177"/>
        <v>72376</v>
      </c>
      <c r="R114" s="110">
        <f t="shared" si="177"/>
        <v>76869</v>
      </c>
      <c r="S114" s="110">
        <f t="shared" si="177"/>
        <v>86529</v>
      </c>
      <c r="T114" s="110">
        <f t="shared" si="177"/>
        <v>97175</v>
      </c>
      <c r="U114" s="110">
        <f t="shared" si="177"/>
        <v>97523</v>
      </c>
      <c r="V114" s="110">
        <f t="shared" si="177"/>
        <v>75330</v>
      </c>
      <c r="W114" s="110">
        <f t="shared" ref="W114" si="178">SUM(W115:W120)</f>
        <v>89073</v>
      </c>
      <c r="DA114" s="176" t="s">
        <v>528</v>
      </c>
    </row>
    <row r="115" spans="1:105" ht="11.45" customHeight="1" x14ac:dyDescent="0.25">
      <c r="A115" s="111" t="s">
        <v>110</v>
      </c>
      <c r="B115" s="84">
        <v>49755</v>
      </c>
      <c r="C115" s="84">
        <v>53704</v>
      </c>
      <c r="D115" s="84">
        <v>34955</v>
      </c>
      <c r="E115" s="84">
        <v>35071</v>
      </c>
      <c r="F115" s="84">
        <v>33965</v>
      </c>
      <c r="G115" s="84">
        <v>34016</v>
      </c>
      <c r="H115" s="84">
        <v>35078</v>
      </c>
      <c r="I115" s="84">
        <v>38584</v>
      </c>
      <c r="J115" s="84">
        <v>43543</v>
      </c>
      <c r="K115" s="84">
        <v>37442</v>
      </c>
      <c r="L115" s="84">
        <v>38173</v>
      </c>
      <c r="M115" s="84">
        <v>34075</v>
      </c>
      <c r="N115" s="84">
        <v>24853</v>
      </c>
      <c r="O115" s="84">
        <v>23944</v>
      </c>
      <c r="P115" s="84">
        <v>23916</v>
      </c>
      <c r="Q115" s="84">
        <v>29038</v>
      </c>
      <c r="R115" s="84">
        <v>31429</v>
      </c>
      <c r="S115" s="84">
        <v>38229</v>
      </c>
      <c r="T115" s="84">
        <v>48240</v>
      </c>
      <c r="U115" s="84">
        <v>50555</v>
      </c>
      <c r="V115" s="84">
        <v>36238</v>
      </c>
      <c r="W115" s="84">
        <v>41989</v>
      </c>
      <c r="DA115" s="171" t="s">
        <v>529</v>
      </c>
    </row>
    <row r="116" spans="1:105" ht="11.45" customHeight="1" x14ac:dyDescent="0.25">
      <c r="A116" s="111" t="s">
        <v>111</v>
      </c>
      <c r="B116" s="84">
        <v>5229</v>
      </c>
      <c r="C116" s="84">
        <v>15351</v>
      </c>
      <c r="D116" s="84">
        <v>47783</v>
      </c>
      <c r="E116" s="84">
        <v>24319</v>
      </c>
      <c r="F116" s="84">
        <v>28506</v>
      </c>
      <c r="G116" s="84">
        <v>38227</v>
      </c>
      <c r="H116" s="84">
        <v>31935</v>
      </c>
      <c r="I116" s="84">
        <v>32767</v>
      </c>
      <c r="J116" s="84">
        <v>39652</v>
      </c>
      <c r="K116" s="84">
        <v>37626</v>
      </c>
      <c r="L116" s="84">
        <v>36034</v>
      </c>
      <c r="M116" s="84">
        <v>35116</v>
      </c>
      <c r="N116" s="84">
        <v>36796</v>
      </c>
      <c r="O116" s="84">
        <v>36186</v>
      </c>
      <c r="P116" s="84">
        <v>39289</v>
      </c>
      <c r="Q116" s="84">
        <v>42867</v>
      </c>
      <c r="R116" s="84">
        <v>44014</v>
      </c>
      <c r="S116" s="84">
        <v>47104</v>
      </c>
      <c r="T116" s="84">
        <v>47823</v>
      </c>
      <c r="U116" s="84">
        <v>45614</v>
      </c>
      <c r="V116" s="84">
        <v>36653</v>
      </c>
      <c r="W116" s="84">
        <v>44258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500</v>
      </c>
      <c r="I117" s="84">
        <v>675</v>
      </c>
      <c r="J117" s="84">
        <v>0</v>
      </c>
      <c r="K117" s="84">
        <v>1908</v>
      </c>
      <c r="L117" s="84">
        <v>706</v>
      </c>
      <c r="M117" s="84">
        <v>552</v>
      </c>
      <c r="N117" s="84">
        <v>1307</v>
      </c>
      <c r="O117" s="84">
        <v>2393</v>
      </c>
      <c r="P117" s="84">
        <v>360</v>
      </c>
      <c r="Q117" s="84">
        <v>272</v>
      </c>
      <c r="R117" s="84">
        <v>1137</v>
      </c>
      <c r="S117" s="84">
        <v>591</v>
      </c>
      <c r="T117" s="84">
        <v>319</v>
      </c>
      <c r="U117" s="84">
        <v>338</v>
      </c>
      <c r="V117" s="84">
        <v>396</v>
      </c>
      <c r="W117" s="84">
        <v>557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5</v>
      </c>
      <c r="O118" s="84">
        <v>21</v>
      </c>
      <c r="P118" s="84">
        <v>94</v>
      </c>
      <c r="Q118" s="84">
        <v>41</v>
      </c>
      <c r="R118" s="84">
        <v>41</v>
      </c>
      <c r="S118" s="84">
        <v>65</v>
      </c>
      <c r="T118" s="84">
        <v>20</v>
      </c>
      <c r="U118" s="84">
        <v>28</v>
      </c>
      <c r="V118" s="84">
        <v>50</v>
      </c>
      <c r="W118" s="84">
        <v>16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13</v>
      </c>
      <c r="P119" s="84">
        <v>8</v>
      </c>
      <c r="Q119" s="84">
        <v>35</v>
      </c>
      <c r="R119" s="84">
        <v>85</v>
      </c>
      <c r="S119" s="84">
        <v>189</v>
      </c>
      <c r="T119" s="84">
        <v>252</v>
      </c>
      <c r="U119" s="84">
        <v>166</v>
      </c>
      <c r="V119" s="84">
        <v>245</v>
      </c>
      <c r="W119" s="84">
        <v>511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12</v>
      </c>
      <c r="N120" s="84">
        <v>19</v>
      </c>
      <c r="O120" s="84">
        <v>5</v>
      </c>
      <c r="P120" s="84">
        <v>53</v>
      </c>
      <c r="Q120" s="84">
        <v>123</v>
      </c>
      <c r="R120" s="84">
        <v>163</v>
      </c>
      <c r="S120" s="84">
        <v>351</v>
      </c>
      <c r="T120" s="84">
        <v>521</v>
      </c>
      <c r="U120" s="84">
        <v>822</v>
      </c>
      <c r="V120" s="84">
        <v>1748</v>
      </c>
      <c r="W120" s="84">
        <v>1742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423</v>
      </c>
      <c r="C121" s="110">
        <f t="shared" si="179"/>
        <v>131</v>
      </c>
      <c r="D121" s="110">
        <f t="shared" si="179"/>
        <v>92</v>
      </c>
      <c r="E121" s="110">
        <f t="shared" si="179"/>
        <v>131</v>
      </c>
      <c r="F121" s="110">
        <f t="shared" si="179"/>
        <v>143</v>
      </c>
      <c r="G121" s="110">
        <f t="shared" si="179"/>
        <v>137</v>
      </c>
      <c r="H121" s="110">
        <f t="shared" si="179"/>
        <v>153</v>
      </c>
      <c r="I121" s="110">
        <f t="shared" si="179"/>
        <v>148</v>
      </c>
      <c r="J121" s="110">
        <f t="shared" si="179"/>
        <v>197</v>
      </c>
      <c r="K121" s="110">
        <f t="shared" si="179"/>
        <v>134</v>
      </c>
      <c r="L121" s="110">
        <f t="shared" ref="L121" si="180">SUM(L122:L126)</f>
        <v>143</v>
      </c>
      <c r="M121" s="110">
        <f t="shared" ref="M121:V121" si="181">SUM(M122:M126)</f>
        <v>125</v>
      </c>
      <c r="N121" s="110">
        <f t="shared" si="181"/>
        <v>120</v>
      </c>
      <c r="O121" s="110">
        <f t="shared" si="181"/>
        <v>200</v>
      </c>
      <c r="P121" s="110">
        <f t="shared" si="181"/>
        <v>213</v>
      </c>
      <c r="Q121" s="110">
        <f t="shared" si="181"/>
        <v>213</v>
      </c>
      <c r="R121" s="110">
        <f t="shared" si="181"/>
        <v>198</v>
      </c>
      <c r="S121" s="110">
        <f t="shared" si="181"/>
        <v>191</v>
      </c>
      <c r="T121" s="110">
        <f t="shared" si="181"/>
        <v>181</v>
      </c>
      <c r="U121" s="110">
        <f t="shared" si="181"/>
        <v>195</v>
      </c>
      <c r="V121" s="110">
        <f t="shared" si="181"/>
        <v>156</v>
      </c>
      <c r="W121" s="110">
        <f t="shared" ref="W121" si="182">SUM(W122:W126)</f>
        <v>300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1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1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423</v>
      </c>
      <c r="C123" s="102">
        <v>130</v>
      </c>
      <c r="D123" s="102">
        <v>92</v>
      </c>
      <c r="E123" s="102">
        <v>131</v>
      </c>
      <c r="F123" s="102">
        <v>143</v>
      </c>
      <c r="G123" s="102">
        <v>137</v>
      </c>
      <c r="H123" s="102">
        <v>153</v>
      </c>
      <c r="I123" s="102">
        <v>148</v>
      </c>
      <c r="J123" s="102">
        <v>197</v>
      </c>
      <c r="K123" s="102">
        <v>134</v>
      </c>
      <c r="L123" s="102">
        <v>143</v>
      </c>
      <c r="M123" s="102">
        <v>125</v>
      </c>
      <c r="N123" s="102">
        <v>100</v>
      </c>
      <c r="O123" s="102">
        <v>179</v>
      </c>
      <c r="P123" s="102">
        <v>188</v>
      </c>
      <c r="Q123" s="102">
        <v>191</v>
      </c>
      <c r="R123" s="102">
        <v>160</v>
      </c>
      <c r="S123" s="102">
        <v>191</v>
      </c>
      <c r="T123" s="102">
        <v>171</v>
      </c>
      <c r="U123" s="102">
        <v>163</v>
      </c>
      <c r="V123" s="102">
        <v>153</v>
      </c>
      <c r="W123" s="102">
        <v>300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20</v>
      </c>
      <c r="O125" s="102">
        <v>20</v>
      </c>
      <c r="P125" s="102">
        <v>23</v>
      </c>
      <c r="Q125" s="102">
        <v>22</v>
      </c>
      <c r="R125" s="102">
        <v>36</v>
      </c>
      <c r="S125" s="102">
        <v>0</v>
      </c>
      <c r="T125" s="102">
        <v>8</v>
      </c>
      <c r="U125" s="102">
        <v>27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2</v>
      </c>
      <c r="Q126" s="102">
        <v>0</v>
      </c>
      <c r="R126" s="102">
        <v>2</v>
      </c>
      <c r="S126" s="102">
        <v>0</v>
      </c>
      <c r="T126" s="102">
        <v>2</v>
      </c>
      <c r="U126" s="102">
        <v>5</v>
      </c>
      <c r="V126" s="102">
        <v>3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4833</v>
      </c>
      <c r="C127" s="28">
        <f t="shared" si="183"/>
        <v>5350</v>
      </c>
      <c r="D127" s="28">
        <f t="shared" si="183"/>
        <v>5680</v>
      </c>
      <c r="E127" s="28">
        <f t="shared" si="183"/>
        <v>6007</v>
      </c>
      <c r="F127" s="28">
        <f t="shared" si="183"/>
        <v>7440</v>
      </c>
      <c r="G127" s="28">
        <f t="shared" si="183"/>
        <v>7198</v>
      </c>
      <c r="H127" s="28">
        <f t="shared" si="183"/>
        <v>10247</v>
      </c>
      <c r="I127" s="28">
        <f t="shared" si="183"/>
        <v>11222</v>
      </c>
      <c r="J127" s="28">
        <f t="shared" si="183"/>
        <v>11340</v>
      </c>
      <c r="K127" s="28">
        <f t="shared" si="183"/>
        <v>5954</v>
      </c>
      <c r="L127" s="28">
        <f t="shared" ref="L127" si="184">L128+L134</f>
        <v>6594</v>
      </c>
      <c r="M127" s="28">
        <f t="shared" ref="M127:V127" si="185">M128+M134</f>
        <v>7925</v>
      </c>
      <c r="N127" s="28">
        <f t="shared" si="185"/>
        <v>7737</v>
      </c>
      <c r="O127" s="28">
        <f t="shared" si="185"/>
        <v>8378</v>
      </c>
      <c r="P127" s="28">
        <f t="shared" si="185"/>
        <v>9430</v>
      </c>
      <c r="Q127" s="28">
        <f t="shared" si="185"/>
        <v>10709</v>
      </c>
      <c r="R127" s="28">
        <f t="shared" si="185"/>
        <v>12996</v>
      </c>
      <c r="S127" s="28">
        <f t="shared" si="185"/>
        <v>14720</v>
      </c>
      <c r="T127" s="28">
        <f t="shared" si="185"/>
        <v>15660</v>
      </c>
      <c r="U127" s="28">
        <f t="shared" si="185"/>
        <v>15719</v>
      </c>
      <c r="V127" s="28">
        <f t="shared" si="185"/>
        <v>11256</v>
      </c>
      <c r="W127" s="28">
        <f t="shared" ref="W127" si="186">W128+W134</f>
        <v>14056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2153</v>
      </c>
      <c r="C128" s="137">
        <f t="shared" si="187"/>
        <v>2546</v>
      </c>
      <c r="D128" s="137">
        <f t="shared" si="187"/>
        <v>3209</v>
      </c>
      <c r="E128" s="137">
        <f t="shared" si="187"/>
        <v>3665</v>
      </c>
      <c r="F128" s="137">
        <f t="shared" si="187"/>
        <v>4075</v>
      </c>
      <c r="G128" s="137">
        <f t="shared" si="187"/>
        <v>4415</v>
      </c>
      <c r="H128" s="137">
        <f t="shared" si="187"/>
        <v>6206</v>
      </c>
      <c r="I128" s="137">
        <f t="shared" si="187"/>
        <v>7291</v>
      </c>
      <c r="J128" s="137">
        <f t="shared" si="187"/>
        <v>8086</v>
      </c>
      <c r="K128" s="137">
        <f t="shared" si="187"/>
        <v>4777</v>
      </c>
      <c r="L128" s="137">
        <f t="shared" ref="L128" si="188">SUM(L129:L133)</f>
        <v>4887</v>
      </c>
      <c r="M128" s="137">
        <f t="shared" ref="M128:V128" si="189">SUM(M129:M133)</f>
        <v>5722</v>
      </c>
      <c r="N128" s="137">
        <f t="shared" si="189"/>
        <v>5587</v>
      </c>
      <c r="O128" s="137">
        <f t="shared" si="189"/>
        <v>6154</v>
      </c>
      <c r="P128" s="137">
        <f t="shared" si="189"/>
        <v>6847</v>
      </c>
      <c r="Q128" s="137">
        <f t="shared" si="189"/>
        <v>7517</v>
      </c>
      <c r="R128" s="137">
        <f t="shared" si="189"/>
        <v>9164</v>
      </c>
      <c r="S128" s="137">
        <f t="shared" si="189"/>
        <v>10970</v>
      </c>
      <c r="T128" s="137">
        <f t="shared" si="189"/>
        <v>11987</v>
      </c>
      <c r="U128" s="137">
        <f t="shared" si="189"/>
        <v>12503</v>
      </c>
      <c r="V128" s="137">
        <f t="shared" si="189"/>
        <v>9333</v>
      </c>
      <c r="W128" s="137">
        <f t="shared" ref="W128" si="190">SUM(W129:W133)</f>
        <v>11013</v>
      </c>
      <c r="DA128" s="174" t="s">
        <v>542</v>
      </c>
    </row>
    <row r="129" spans="1:105" ht="11.45" customHeight="1" x14ac:dyDescent="0.25">
      <c r="A129" s="111" t="s">
        <v>110</v>
      </c>
      <c r="B129" s="84">
        <v>677</v>
      </c>
      <c r="C129" s="84">
        <v>768</v>
      </c>
      <c r="D129" s="84">
        <v>701</v>
      </c>
      <c r="E129" s="84">
        <v>589</v>
      </c>
      <c r="F129" s="84">
        <v>446</v>
      </c>
      <c r="G129" s="84">
        <v>345</v>
      </c>
      <c r="H129" s="84">
        <v>473</v>
      </c>
      <c r="I129" s="84">
        <v>592</v>
      </c>
      <c r="J129" s="84">
        <v>815</v>
      </c>
      <c r="K129" s="84">
        <v>302</v>
      </c>
      <c r="L129" s="84">
        <v>340</v>
      </c>
      <c r="M129" s="84">
        <v>343</v>
      </c>
      <c r="N129" s="84">
        <v>230</v>
      </c>
      <c r="O129" s="84">
        <v>116</v>
      </c>
      <c r="P129" s="84">
        <v>106</v>
      </c>
      <c r="Q129" s="84">
        <v>171</v>
      </c>
      <c r="R129" s="84">
        <v>240</v>
      </c>
      <c r="S129" s="84">
        <v>345</v>
      </c>
      <c r="T129" s="84">
        <v>802</v>
      </c>
      <c r="U129" s="84">
        <v>818</v>
      </c>
      <c r="V129" s="84">
        <v>189</v>
      </c>
      <c r="W129" s="84">
        <v>174</v>
      </c>
      <c r="DA129" s="171" t="s">
        <v>543</v>
      </c>
    </row>
    <row r="130" spans="1:105" ht="11.45" customHeight="1" x14ac:dyDescent="0.25">
      <c r="A130" s="111" t="s">
        <v>111</v>
      </c>
      <c r="B130" s="84">
        <v>1476</v>
      </c>
      <c r="C130" s="84">
        <v>1778</v>
      </c>
      <c r="D130" s="84">
        <v>2508</v>
      </c>
      <c r="E130" s="84">
        <v>3076</v>
      </c>
      <c r="F130" s="84">
        <v>3629</v>
      </c>
      <c r="G130" s="84">
        <v>4070</v>
      </c>
      <c r="H130" s="84">
        <v>5394</v>
      </c>
      <c r="I130" s="84">
        <v>6669</v>
      </c>
      <c r="J130" s="84">
        <v>7100</v>
      </c>
      <c r="K130" s="84">
        <v>4470</v>
      </c>
      <c r="L130" s="84">
        <v>4546</v>
      </c>
      <c r="M130" s="84">
        <v>5379</v>
      </c>
      <c r="N130" s="84">
        <v>5353</v>
      </c>
      <c r="O130" s="84">
        <v>6025</v>
      </c>
      <c r="P130" s="84">
        <v>6428</v>
      </c>
      <c r="Q130" s="84">
        <v>7225</v>
      </c>
      <c r="R130" s="84">
        <v>8885</v>
      </c>
      <c r="S130" s="84">
        <v>10492</v>
      </c>
      <c r="T130" s="84">
        <v>11131</v>
      </c>
      <c r="U130" s="84">
        <v>11532</v>
      </c>
      <c r="V130" s="84">
        <v>9083</v>
      </c>
      <c r="W130" s="84">
        <v>10763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339</v>
      </c>
      <c r="I131" s="84">
        <v>30</v>
      </c>
      <c r="J131" s="84">
        <v>171</v>
      </c>
      <c r="K131" s="84">
        <v>5</v>
      </c>
      <c r="L131" s="84">
        <v>1</v>
      </c>
      <c r="M131" s="84">
        <v>0</v>
      </c>
      <c r="N131" s="84">
        <v>4</v>
      </c>
      <c r="O131" s="84">
        <v>13</v>
      </c>
      <c r="P131" s="84">
        <v>271</v>
      </c>
      <c r="Q131" s="84">
        <v>53</v>
      </c>
      <c r="R131" s="84">
        <v>12</v>
      </c>
      <c r="S131" s="84">
        <v>50</v>
      </c>
      <c r="T131" s="84">
        <v>16</v>
      </c>
      <c r="U131" s="84">
        <v>85</v>
      </c>
      <c r="V131" s="84">
        <v>35</v>
      </c>
      <c r="W131" s="84">
        <v>15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27</v>
      </c>
      <c r="Q132" s="84">
        <v>46</v>
      </c>
      <c r="R132" s="84">
        <v>1</v>
      </c>
      <c r="S132" s="84">
        <v>24</v>
      </c>
      <c r="T132" s="84">
        <v>6</v>
      </c>
      <c r="U132" s="84">
        <v>27</v>
      </c>
      <c r="V132" s="84">
        <v>5</v>
      </c>
      <c r="W132" s="84">
        <v>4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15</v>
      </c>
      <c r="Q133" s="84">
        <v>22</v>
      </c>
      <c r="R133" s="84">
        <v>26</v>
      </c>
      <c r="S133" s="84">
        <v>59</v>
      </c>
      <c r="T133" s="84">
        <v>32</v>
      </c>
      <c r="U133" s="84">
        <v>41</v>
      </c>
      <c r="V133" s="84">
        <v>21</v>
      </c>
      <c r="W133" s="84">
        <v>57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2680</v>
      </c>
      <c r="C134" s="110">
        <f t="shared" si="191"/>
        <v>2804</v>
      </c>
      <c r="D134" s="110">
        <f t="shared" si="191"/>
        <v>2471</v>
      </c>
      <c r="E134" s="110">
        <f t="shared" si="191"/>
        <v>2342</v>
      </c>
      <c r="F134" s="110">
        <f t="shared" si="191"/>
        <v>3365</v>
      </c>
      <c r="G134" s="110">
        <f t="shared" si="191"/>
        <v>2783</v>
      </c>
      <c r="H134" s="110">
        <f t="shared" si="191"/>
        <v>4041</v>
      </c>
      <c r="I134" s="110">
        <f t="shared" si="191"/>
        <v>3931</v>
      </c>
      <c r="J134" s="110">
        <f t="shared" si="191"/>
        <v>3254</v>
      </c>
      <c r="K134" s="110">
        <f t="shared" si="191"/>
        <v>1177</v>
      </c>
      <c r="L134" s="110">
        <f t="shared" ref="L134" si="192">SUM(L135:L136)</f>
        <v>1707</v>
      </c>
      <c r="M134" s="110">
        <f t="shared" ref="M134:V134" si="193">SUM(M135:M136)</f>
        <v>2203</v>
      </c>
      <c r="N134" s="110">
        <f t="shared" si="193"/>
        <v>2150</v>
      </c>
      <c r="O134" s="110">
        <f t="shared" si="193"/>
        <v>2224</v>
      </c>
      <c r="P134" s="110">
        <f t="shared" si="193"/>
        <v>2583</v>
      </c>
      <c r="Q134" s="110">
        <f t="shared" si="193"/>
        <v>3192</v>
      </c>
      <c r="R134" s="110">
        <f t="shared" si="193"/>
        <v>3832</v>
      </c>
      <c r="S134" s="110">
        <f t="shared" si="193"/>
        <v>3750</v>
      </c>
      <c r="T134" s="110">
        <f t="shared" si="193"/>
        <v>3673</v>
      </c>
      <c r="U134" s="110">
        <f t="shared" si="193"/>
        <v>3216</v>
      </c>
      <c r="V134" s="110">
        <f t="shared" si="193"/>
        <v>1923</v>
      </c>
      <c r="W134" s="110">
        <f t="shared" ref="W134" si="194">SUM(W135:W136)</f>
        <v>3043</v>
      </c>
      <c r="DA134" s="176" t="s">
        <v>548</v>
      </c>
    </row>
    <row r="135" spans="1:105" ht="11.45" customHeight="1" x14ac:dyDescent="0.25">
      <c r="A135" s="128" t="s">
        <v>27</v>
      </c>
      <c r="B135" s="102">
        <v>2385</v>
      </c>
      <c r="C135" s="102">
        <v>2398</v>
      </c>
      <c r="D135" s="102">
        <v>2076</v>
      </c>
      <c r="E135" s="102">
        <v>2001</v>
      </c>
      <c r="F135" s="102">
        <v>2445</v>
      </c>
      <c r="G135" s="102">
        <v>2303</v>
      </c>
      <c r="H135" s="102">
        <v>3013</v>
      </c>
      <c r="I135" s="102">
        <v>3436</v>
      </c>
      <c r="J135" s="102">
        <v>2824</v>
      </c>
      <c r="K135" s="102">
        <v>1177</v>
      </c>
      <c r="L135" s="102">
        <v>1422</v>
      </c>
      <c r="M135" s="102">
        <v>1705</v>
      </c>
      <c r="N135" s="102">
        <v>1604</v>
      </c>
      <c r="O135" s="102">
        <v>1819</v>
      </c>
      <c r="P135" s="102">
        <v>2134</v>
      </c>
      <c r="Q135" s="102">
        <v>2339</v>
      </c>
      <c r="R135" s="102">
        <v>2774</v>
      </c>
      <c r="S135" s="102">
        <v>2756</v>
      </c>
      <c r="T135" s="102">
        <v>3067</v>
      </c>
      <c r="U135" s="102">
        <v>2600</v>
      </c>
      <c r="V135" s="102">
        <v>1800</v>
      </c>
      <c r="W135" s="102">
        <v>2041</v>
      </c>
      <c r="DA135" s="175" t="s">
        <v>549</v>
      </c>
    </row>
    <row r="136" spans="1:105" ht="11.45" customHeight="1" x14ac:dyDescent="0.25">
      <c r="A136" s="138" t="s">
        <v>116</v>
      </c>
      <c r="B136" s="86">
        <v>295</v>
      </c>
      <c r="C136" s="86">
        <v>406</v>
      </c>
      <c r="D136" s="86">
        <v>395</v>
      </c>
      <c r="E136" s="86">
        <v>341</v>
      </c>
      <c r="F136" s="86">
        <v>920</v>
      </c>
      <c r="G136" s="86">
        <v>480</v>
      </c>
      <c r="H136" s="86">
        <v>1028</v>
      </c>
      <c r="I136" s="86">
        <v>495</v>
      </c>
      <c r="J136" s="86">
        <v>430</v>
      </c>
      <c r="K136" s="86">
        <v>0</v>
      </c>
      <c r="L136" s="86">
        <v>285</v>
      </c>
      <c r="M136" s="86">
        <v>498</v>
      </c>
      <c r="N136" s="86">
        <v>546</v>
      </c>
      <c r="O136" s="86">
        <v>405</v>
      </c>
      <c r="P136" s="86">
        <v>449</v>
      </c>
      <c r="Q136" s="86">
        <v>853</v>
      </c>
      <c r="R136" s="86">
        <v>1058</v>
      </c>
      <c r="S136" s="86">
        <v>994</v>
      </c>
      <c r="T136" s="86">
        <v>606</v>
      </c>
      <c r="U136" s="86">
        <v>616</v>
      </c>
      <c r="V136" s="86">
        <v>123</v>
      </c>
      <c r="W136" s="86">
        <v>1002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2.2154956792661165</v>
      </c>
      <c r="C141" s="32">
        <f t="shared" si="195"/>
        <v>2.2002715059853677</v>
      </c>
      <c r="D141" s="32">
        <f t="shared" si="195"/>
        <v>2.1326955375052612</v>
      </c>
      <c r="E141" s="32">
        <f t="shared" si="195"/>
        <v>2.1101312937010115</v>
      </c>
      <c r="F141" s="32">
        <f t="shared" si="195"/>
        <v>2.0451600307432676</v>
      </c>
      <c r="G141" s="32">
        <f t="shared" si="195"/>
        <v>2.0038623603678083</v>
      </c>
      <c r="H141" s="32">
        <f t="shared" si="195"/>
        <v>1.9765050812712117</v>
      </c>
      <c r="I141" s="32">
        <f t="shared" si="195"/>
        <v>2.0042009722861422</v>
      </c>
      <c r="J141" s="32">
        <f t="shared" si="195"/>
        <v>2.0040564614204888</v>
      </c>
      <c r="K141" s="32">
        <f t="shared" si="195"/>
        <v>1.9755791712638699</v>
      </c>
      <c r="L141" s="32">
        <f t="shared" ref="L141" si="196">IF(L4=0,0,L4/L31)</f>
        <v>1.9533285795018238</v>
      </c>
      <c r="M141" s="32">
        <f t="shared" ref="M141:V141" si="197">IF(M4=0,0,M4/M31)</f>
        <v>1.934206292348789</v>
      </c>
      <c r="N141" s="32">
        <f t="shared" si="197"/>
        <v>1.911993674040025</v>
      </c>
      <c r="O141" s="32">
        <f t="shared" si="197"/>
        <v>1.8923827189164175</v>
      </c>
      <c r="P141" s="32">
        <f t="shared" si="197"/>
        <v>1.8783443573179839</v>
      </c>
      <c r="Q141" s="32">
        <f t="shared" si="197"/>
        <v>1.8707447125563679</v>
      </c>
      <c r="R141" s="32">
        <f t="shared" si="197"/>
        <v>1.9076191165482628</v>
      </c>
      <c r="S141" s="32">
        <f t="shared" si="197"/>
        <v>1.8446184025430363</v>
      </c>
      <c r="T141" s="32">
        <f t="shared" si="197"/>
        <v>1.7983455741707659</v>
      </c>
      <c r="U141" s="32">
        <f t="shared" si="197"/>
        <v>1.7636905880200402</v>
      </c>
      <c r="V141" s="32">
        <f t="shared" si="197"/>
        <v>1.6374409707995712</v>
      </c>
      <c r="W141" s="32">
        <f t="shared" ref="W141" si="198">IF(W4=0,0,W4/W31)</f>
        <v>1.6835945267223738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1.1564931393319677</v>
      </c>
      <c r="J142" s="141">
        <v>1.1571017737935945</v>
      </c>
      <c r="K142" s="141">
        <v>1.1576570562583652</v>
      </c>
      <c r="L142" s="141">
        <v>1.1556682113354204</v>
      </c>
      <c r="M142" s="141">
        <v>1.1546558434345866</v>
      </c>
      <c r="N142" s="141">
        <v>1.1475295413899496</v>
      </c>
      <c r="O142" s="141">
        <v>1.1469392088128181</v>
      </c>
      <c r="P142" s="141">
        <v>1.1494295322312345</v>
      </c>
      <c r="Q142" s="141">
        <v>1.1514161199072461</v>
      </c>
      <c r="R142" s="141">
        <v>1.1528504185273425</v>
      </c>
      <c r="S142" s="141">
        <v>1.1514712661477047</v>
      </c>
      <c r="T142" s="141">
        <v>1.1502743359825363</v>
      </c>
      <c r="U142" s="141">
        <v>1.1513414664627128</v>
      </c>
      <c r="V142" s="141">
        <v>1.1500082924857071</v>
      </c>
      <c r="W142" s="141">
        <v>1.150088335759919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1.92055383525554</v>
      </c>
      <c r="C143" s="130">
        <f t="shared" si="199"/>
        <v>1.9202372830964989</v>
      </c>
      <c r="D143" s="130">
        <f t="shared" si="199"/>
        <v>1.869172840372088</v>
      </c>
      <c r="E143" s="130">
        <f t="shared" si="199"/>
        <v>1.842051478548407</v>
      </c>
      <c r="F143" s="130">
        <f t="shared" si="199"/>
        <v>1.8093341357536601</v>
      </c>
      <c r="G143" s="130">
        <f t="shared" si="199"/>
        <v>1.7876245382364726</v>
      </c>
      <c r="H143" s="130">
        <f t="shared" si="199"/>
        <v>1.7630704800473473</v>
      </c>
      <c r="I143" s="130">
        <f t="shared" si="199"/>
        <v>1.7934531827704805</v>
      </c>
      <c r="J143" s="130">
        <f t="shared" si="199"/>
        <v>1.8039280891996452</v>
      </c>
      <c r="K143" s="130">
        <f t="shared" si="199"/>
        <v>1.7813753807096704</v>
      </c>
      <c r="L143" s="130">
        <f t="shared" ref="L143" si="200">IF(L6=0,0,L6/L33)</f>
        <v>1.7631762276873881</v>
      </c>
      <c r="M143" s="130">
        <f t="shared" ref="M143:V143" si="201">IF(M6=0,0,M6/M33)</f>
        <v>1.7428648658399946</v>
      </c>
      <c r="N143" s="130">
        <f t="shared" si="201"/>
        <v>1.7205719735571678</v>
      </c>
      <c r="O143" s="130">
        <f t="shared" si="201"/>
        <v>1.6956735625398416</v>
      </c>
      <c r="P143" s="130">
        <f t="shared" si="201"/>
        <v>1.6792258570608494</v>
      </c>
      <c r="Q143" s="130">
        <f t="shared" si="201"/>
        <v>1.6684505125005009</v>
      </c>
      <c r="R143" s="130">
        <f t="shared" si="201"/>
        <v>1.7039071498831824</v>
      </c>
      <c r="S143" s="130">
        <f t="shared" si="201"/>
        <v>1.6466575200546547</v>
      </c>
      <c r="T143" s="130">
        <f t="shared" si="201"/>
        <v>1.6026632414122211</v>
      </c>
      <c r="U143" s="130">
        <f t="shared" si="201"/>
        <v>1.5735286229157124</v>
      </c>
      <c r="V143" s="130">
        <f t="shared" si="201"/>
        <v>1.5255009221827229</v>
      </c>
      <c r="W143" s="130">
        <f t="shared" ref="W143" si="202">IF(W6=0,0,W6/W33)</f>
        <v>1.5589718298354547</v>
      </c>
      <c r="DA143" s="176" t="s">
        <v>553</v>
      </c>
    </row>
    <row r="144" spans="1:105" ht="11.45" customHeight="1" x14ac:dyDescent="0.25">
      <c r="A144" s="111" t="s">
        <v>110</v>
      </c>
      <c r="B144" s="96">
        <v>1.9090389086312396</v>
      </c>
      <c r="C144" s="96">
        <v>1.9079901601427425</v>
      </c>
      <c r="D144" s="96">
        <v>1.8535832756896147</v>
      </c>
      <c r="E144" s="96">
        <v>1.8266420279818376</v>
      </c>
      <c r="F144" s="96">
        <v>1.7917865774664887</v>
      </c>
      <c r="G144" s="96">
        <v>1.7681369465381089</v>
      </c>
      <c r="H144" s="96">
        <v>1.7419377952725323</v>
      </c>
      <c r="I144" s="96">
        <v>1.7702494597116696</v>
      </c>
      <c r="J144" s="96">
        <v>1.7787668608069849</v>
      </c>
      <c r="K144" s="96">
        <v>1.7551990567099685</v>
      </c>
      <c r="L144" s="96">
        <v>1.7359043367018698</v>
      </c>
      <c r="M144" s="96">
        <v>1.7148760838573667</v>
      </c>
      <c r="N144" s="96">
        <v>1.6918834646427092</v>
      </c>
      <c r="O144" s="96">
        <v>1.6665644050127757</v>
      </c>
      <c r="P144" s="96">
        <v>1.6494396907281734</v>
      </c>
      <c r="Q144" s="96">
        <v>1.638139695399647</v>
      </c>
      <c r="R144" s="96">
        <v>1.6721482341861957</v>
      </c>
      <c r="S144" s="96">
        <v>1.6152541826524662</v>
      </c>
      <c r="T144" s="96">
        <v>1.5715760687349165</v>
      </c>
      <c r="U144" s="96">
        <v>1.5426651377736484</v>
      </c>
      <c r="V144" s="96">
        <v>1.4944381152015018</v>
      </c>
      <c r="W144" s="96">
        <v>1.5279931958921829</v>
      </c>
      <c r="DA144" s="171" t="s">
        <v>554</v>
      </c>
    </row>
    <row r="145" spans="1:105" ht="11.45" customHeight="1" x14ac:dyDescent="0.25">
      <c r="A145" s="111" t="s">
        <v>111</v>
      </c>
      <c r="B145" s="96">
        <v>1.9684585618959671</v>
      </c>
      <c r="C145" s="96">
        <v>1.9673771706618115</v>
      </c>
      <c r="D145" s="96">
        <v>1.9112768486392326</v>
      </c>
      <c r="E145" s="96">
        <v>1.8834970430633697</v>
      </c>
      <c r="F145" s="96">
        <v>1.8475567017295862</v>
      </c>
      <c r="G145" s="96">
        <v>1.8231709659144753</v>
      </c>
      <c r="H145" s="96">
        <v>1.7961563548502564</v>
      </c>
      <c r="I145" s="96">
        <v>1.8253492319649012</v>
      </c>
      <c r="J145" s="96">
        <v>1.8341317408154916</v>
      </c>
      <c r="K145" s="96">
        <v>1.8098303787268981</v>
      </c>
      <c r="L145" s="96">
        <v>1.7899351022987413</v>
      </c>
      <c r="M145" s="96">
        <v>1.7682523360825442</v>
      </c>
      <c r="N145" s="96">
        <v>1.7445440617520027</v>
      </c>
      <c r="O145" s="96">
        <v>1.7184369355523432</v>
      </c>
      <c r="P145" s="96">
        <v>1.7007792072047758</v>
      </c>
      <c r="Q145" s="96">
        <v>1.689127494684274</v>
      </c>
      <c r="R145" s="96">
        <v>1.7241945637991469</v>
      </c>
      <c r="S145" s="96">
        <v>1.6655296605558603</v>
      </c>
      <c r="T145" s="96">
        <v>1.6204920466446209</v>
      </c>
      <c r="U145" s="96">
        <v>1.590681250580807</v>
      </c>
      <c r="V145" s="96">
        <v>1.54095314128577</v>
      </c>
      <c r="W145" s="96">
        <v>1.5755526382274225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1.7101783656459273</v>
      </c>
      <c r="I146" s="96">
        <v>1.7396495872873661</v>
      </c>
      <c r="J146" s="96">
        <v>1.7498102465236558</v>
      </c>
      <c r="K146" s="96">
        <v>1.7279341192883801</v>
      </c>
      <c r="L146" s="96">
        <v>1.7102809408567665</v>
      </c>
      <c r="M146" s="96">
        <v>1.6905789198647942</v>
      </c>
      <c r="N146" s="96">
        <v>1.6689548143504527</v>
      </c>
      <c r="O146" s="96">
        <v>1.6448033556636465</v>
      </c>
      <c r="P146" s="96">
        <v>1.628849081349024</v>
      </c>
      <c r="Q146" s="96">
        <v>1.6183969971254859</v>
      </c>
      <c r="R146" s="96">
        <v>1.6527899353866866</v>
      </c>
      <c r="S146" s="96">
        <v>1.5972577944530149</v>
      </c>
      <c r="T146" s="96">
        <v>1.5545833441698547</v>
      </c>
      <c r="U146" s="96">
        <v>1.5263227642282409</v>
      </c>
      <c r="V146" s="96">
        <v>1.4797358945172414</v>
      </c>
      <c r="W146" s="96">
        <v>1.5122026749403912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1.6689548143504527</v>
      </c>
      <c r="O147" s="96">
        <v>1.6448033556636465</v>
      </c>
      <c r="P147" s="96">
        <v>1.628849081349024</v>
      </c>
      <c r="Q147" s="96">
        <v>1.6183969971254859</v>
      </c>
      <c r="R147" s="96">
        <v>1.6527899353866866</v>
      </c>
      <c r="S147" s="96">
        <v>1.5972577944530149</v>
      </c>
      <c r="T147" s="96">
        <v>1.5545833441698544</v>
      </c>
      <c r="U147" s="96">
        <v>1.5263227642282409</v>
      </c>
      <c r="V147" s="96">
        <v>1.4797358945172412</v>
      </c>
      <c r="W147" s="96">
        <v>1.5122026749403914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1.6094516318131586</v>
      </c>
      <c r="P148" s="96">
        <v>1.5938402623800607</v>
      </c>
      <c r="Q148" s="96">
        <v>1.5836128245824073</v>
      </c>
      <c r="R148" s="96">
        <v>1.61726655614657</v>
      </c>
      <c r="S148" s="96">
        <v>1.5629279663473565</v>
      </c>
      <c r="T148" s="96">
        <v>1.5211707171245463</v>
      </c>
      <c r="U148" s="96">
        <v>1.4935175412318791</v>
      </c>
      <c r="V148" s="96">
        <v>1.4479319621295172</v>
      </c>
      <c r="W148" s="96">
        <v>1.4797009347254388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1.3964392853992533</v>
      </c>
      <c r="N149" s="96">
        <v>1.3785775043862378</v>
      </c>
      <c r="O149" s="96">
        <v>1.3586280981126457</v>
      </c>
      <c r="P149" s="96">
        <v>1.3454496684272945</v>
      </c>
      <c r="Q149" s="96">
        <v>1.3368161164217971</v>
      </c>
      <c r="R149" s="96">
        <v>1.3652251126324519</v>
      </c>
      <c r="S149" s="96">
        <v>1.3193548712075149</v>
      </c>
      <c r="T149" s="96">
        <v>1.2841052427175368</v>
      </c>
      <c r="U149" s="96">
        <v>1.2607616510076678</v>
      </c>
      <c r="V149" s="96">
        <v>1.2222803152452302</v>
      </c>
      <c r="W149" s="96">
        <v>1.2490982810441553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26.040889169480305</v>
      </c>
      <c r="C150" s="130">
        <f t="shared" si="203"/>
        <v>26.359937999841065</v>
      </c>
      <c r="D150" s="130">
        <f t="shared" si="203"/>
        <v>26.721673849381531</v>
      </c>
      <c r="E150" s="130">
        <f t="shared" si="203"/>
        <v>28.228334458635629</v>
      </c>
      <c r="F150" s="130">
        <f t="shared" si="203"/>
        <v>25.69834097931</v>
      </c>
      <c r="G150" s="130">
        <f t="shared" si="203"/>
        <v>25.138867713399041</v>
      </c>
      <c r="H150" s="130">
        <f t="shared" si="203"/>
        <v>25.42531785583693</v>
      </c>
      <c r="I150" s="130">
        <f t="shared" si="203"/>
        <v>26.008146029882425</v>
      </c>
      <c r="J150" s="130">
        <f t="shared" si="203"/>
        <v>25.142847462059034</v>
      </c>
      <c r="K150" s="130">
        <f t="shared" si="203"/>
        <v>25.147396517720725</v>
      </c>
      <c r="L150" s="130">
        <f t="shared" ref="L150" si="204">IF(L13=0,0,L13/L40)</f>
        <v>25.156497098353377</v>
      </c>
      <c r="M150" s="130">
        <f t="shared" ref="M150:V150" si="205">IF(M13=0,0,M13/M40)</f>
        <v>25.174708141026294</v>
      </c>
      <c r="N150" s="130">
        <f t="shared" si="205"/>
        <v>25.211169785389458</v>
      </c>
      <c r="O150" s="130">
        <f t="shared" si="205"/>
        <v>25.28425157764282</v>
      </c>
      <c r="P150" s="130">
        <f t="shared" si="205"/>
        <v>25.431051321736007</v>
      </c>
      <c r="Q150" s="130">
        <f t="shared" si="205"/>
        <v>25.727212705580094</v>
      </c>
      <c r="R150" s="130">
        <f t="shared" si="205"/>
        <v>26.329922623669173</v>
      </c>
      <c r="S150" s="130">
        <f t="shared" si="205"/>
        <v>26.100861358617781</v>
      </c>
      <c r="T150" s="130">
        <f t="shared" si="205"/>
        <v>26.989710717402176</v>
      </c>
      <c r="U150" s="130">
        <f t="shared" si="205"/>
        <v>26.70423559414284</v>
      </c>
      <c r="V150" s="130">
        <f t="shared" si="205"/>
        <v>23.193621511316142</v>
      </c>
      <c r="W150" s="130">
        <f t="shared" ref="W150" si="206">IF(W13=0,0,W13/W40)</f>
        <v>23.228269452198155</v>
      </c>
      <c r="DA150" s="176" t="s">
        <v>560</v>
      </c>
    </row>
    <row r="151" spans="1:105" ht="11.45" customHeight="1" x14ac:dyDescent="0.25">
      <c r="A151" s="111" t="s">
        <v>110</v>
      </c>
      <c r="B151" s="97">
        <v>10.015726603646272</v>
      </c>
      <c r="C151" s="97">
        <v>10.138437692246564</v>
      </c>
      <c r="D151" s="97">
        <v>10.277566865146744</v>
      </c>
      <c r="E151" s="97">
        <v>10.857051714859859</v>
      </c>
      <c r="F151" s="97">
        <v>9.8839772997346156</v>
      </c>
      <c r="G151" s="97">
        <v>9.6687952743842462</v>
      </c>
      <c r="H151" s="97">
        <v>9.7789684060911277</v>
      </c>
      <c r="I151" s="97">
        <v>10.003133088416318</v>
      </c>
      <c r="J151" s="97">
        <v>9.6703259469457823</v>
      </c>
      <c r="K151" s="97">
        <v>9.6720755837387404</v>
      </c>
      <c r="L151" s="97">
        <v>9.6755758070589923</v>
      </c>
      <c r="M151" s="97">
        <v>9.6825800542408835</v>
      </c>
      <c r="N151" s="97">
        <v>9.6966037636113303</v>
      </c>
      <c r="O151" s="97">
        <v>9.7247121452472385</v>
      </c>
      <c r="P151" s="97">
        <v>9.7811735852830779</v>
      </c>
      <c r="Q151" s="97">
        <v>9.8950818098384978</v>
      </c>
      <c r="R151" s="97">
        <v>10.126893316795835</v>
      </c>
      <c r="S151" s="97">
        <v>10.038792830237613</v>
      </c>
      <c r="T151" s="97">
        <v>10.380657968231604</v>
      </c>
      <c r="U151" s="97">
        <v>10.270859843901093</v>
      </c>
      <c r="V151" s="97">
        <v>8.9206236581985152</v>
      </c>
      <c r="W151" s="97">
        <v>8.9339497893069826</v>
      </c>
      <c r="DA151" s="175" t="s">
        <v>561</v>
      </c>
    </row>
    <row r="152" spans="1:105" ht="11.45" customHeight="1" x14ac:dyDescent="0.25">
      <c r="A152" s="111" t="s">
        <v>111</v>
      </c>
      <c r="B152" s="97">
        <v>26.285993229442347</v>
      </c>
      <c r="C152" s="97">
        <v>26.593714886131021</v>
      </c>
      <c r="D152" s="97">
        <v>26.94109405313478</v>
      </c>
      <c r="E152" s="97">
        <v>28.433020259523897</v>
      </c>
      <c r="F152" s="97">
        <v>25.85343943939958</v>
      </c>
      <c r="G152" s="97">
        <v>25.275979010807713</v>
      </c>
      <c r="H152" s="97">
        <v>25.547348353344901</v>
      </c>
      <c r="I152" s="97">
        <v>26.114423021934929</v>
      </c>
      <c r="J152" s="97">
        <v>25.223600552589158</v>
      </c>
      <c r="K152" s="97">
        <v>25.214604566578121</v>
      </c>
      <c r="L152" s="97">
        <v>25.212255019672533</v>
      </c>
      <c r="M152" s="97">
        <v>25.218351446133553</v>
      </c>
      <c r="N152" s="97">
        <v>25.249032974468935</v>
      </c>
      <c r="O152" s="97">
        <v>25.315504896964111</v>
      </c>
      <c r="P152" s="97">
        <v>25.455895397876926</v>
      </c>
      <c r="Q152" s="97">
        <v>25.746490393065166</v>
      </c>
      <c r="R152" s="97">
        <v>26.349736703640382</v>
      </c>
      <c r="S152" s="97">
        <v>26.119265197299697</v>
      </c>
      <c r="T152" s="97">
        <v>27.007937848219768</v>
      </c>
      <c r="U152" s="97">
        <v>26.72154855047263</v>
      </c>
      <c r="V152" s="97">
        <v>23.212419926962536</v>
      </c>
      <c r="W152" s="97">
        <v>23.244246768524985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25.249032974468939</v>
      </c>
      <c r="O154" s="97">
        <v>25.315504896964114</v>
      </c>
      <c r="P154" s="97">
        <v>25.455895397876922</v>
      </c>
      <c r="Q154" s="97">
        <v>25.746490393065169</v>
      </c>
      <c r="R154" s="97">
        <v>26.349736703640385</v>
      </c>
      <c r="S154" s="97">
        <v>26.119265197299697</v>
      </c>
      <c r="T154" s="97">
        <v>27.007937848219768</v>
      </c>
      <c r="U154" s="97">
        <v>26.72154855047263</v>
      </c>
      <c r="V154" s="97">
        <v>23.212419926962532</v>
      </c>
      <c r="W154" s="97">
        <v>23.244246768524985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25.455895397876922</v>
      </c>
      <c r="Q155" s="97">
        <v>25.746490393065169</v>
      </c>
      <c r="R155" s="97">
        <v>26.349736703640382</v>
      </c>
      <c r="S155" s="97">
        <v>26.119265197299701</v>
      </c>
      <c r="T155" s="97">
        <v>27.007937848219768</v>
      </c>
      <c r="U155" s="97">
        <v>26.72154855047263</v>
      </c>
      <c r="V155" s="97">
        <v>23.212419926962532</v>
      </c>
      <c r="W155" s="97">
        <v>23.244246768524985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6.5915197154780216</v>
      </c>
      <c r="C156" s="32">
        <f t="shared" si="207"/>
        <v>6.5667780978022545</v>
      </c>
      <c r="D156" s="32">
        <f t="shared" si="207"/>
        <v>6.2166818988630395</v>
      </c>
      <c r="E156" s="32">
        <f t="shared" si="207"/>
        <v>5.9463040716562583</v>
      </c>
      <c r="F156" s="32">
        <f t="shared" si="207"/>
        <v>5.7038085605572215</v>
      </c>
      <c r="G156" s="32">
        <f t="shared" si="207"/>
        <v>5.5721500773525898</v>
      </c>
      <c r="H156" s="32">
        <f t="shared" si="207"/>
        <v>5.7870753797783756</v>
      </c>
      <c r="I156" s="32">
        <f t="shared" si="207"/>
        <v>5.5818225920568896</v>
      </c>
      <c r="J156" s="32">
        <f t="shared" si="207"/>
        <v>5.2995656382493719</v>
      </c>
      <c r="K156" s="32">
        <f t="shared" si="207"/>
        <v>4.8132257832018208</v>
      </c>
      <c r="L156" s="32">
        <f t="shared" ref="L156" si="208">IF(L19=0,0,L19/L46)</f>
        <v>4.7893162727734886</v>
      </c>
      <c r="M156" s="32">
        <f t="shared" ref="M156:V156" si="209">IF(M19=0,0,M19/M46)</f>
        <v>4.7166275368358326</v>
      </c>
      <c r="N156" s="32">
        <f t="shared" si="209"/>
        <v>4.6120810540483719</v>
      </c>
      <c r="O156" s="32">
        <f t="shared" si="209"/>
        <v>4.5803253066774472</v>
      </c>
      <c r="P156" s="32">
        <f t="shared" si="209"/>
        <v>4.4789455876944011</v>
      </c>
      <c r="Q156" s="32">
        <f t="shared" si="209"/>
        <v>4.5050812435341969</v>
      </c>
      <c r="R156" s="32">
        <f t="shared" si="209"/>
        <v>4.5951775295302237</v>
      </c>
      <c r="S156" s="32">
        <f t="shared" si="209"/>
        <v>4.653082292852238</v>
      </c>
      <c r="T156" s="32">
        <f t="shared" si="209"/>
        <v>4.5253948112121849</v>
      </c>
      <c r="U156" s="32">
        <f t="shared" si="209"/>
        <v>4.3697841856590109</v>
      </c>
      <c r="V156" s="32">
        <f t="shared" si="209"/>
        <v>4.0746287374990571</v>
      </c>
      <c r="W156" s="32">
        <f t="shared" ref="W156" si="210">IF(W19=0,0,W19/W46)</f>
        <v>4.2896612625410242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0.17571241418742151</v>
      </c>
      <c r="C157" s="141">
        <f t="shared" si="211"/>
        <v>0.1748877826841288</v>
      </c>
      <c r="D157" s="141">
        <f t="shared" si="211"/>
        <v>0.17469761278097701</v>
      </c>
      <c r="E157" s="141">
        <f t="shared" si="211"/>
        <v>0.1747808044066759</v>
      </c>
      <c r="F157" s="141">
        <f t="shared" si="211"/>
        <v>0.1738827691782304</v>
      </c>
      <c r="G157" s="141">
        <f t="shared" si="211"/>
        <v>0.17422082058938743</v>
      </c>
      <c r="H157" s="141">
        <f t="shared" si="211"/>
        <v>0.17436548298534896</v>
      </c>
      <c r="I157" s="141">
        <f t="shared" si="211"/>
        <v>0.17459001741784633</v>
      </c>
      <c r="J157" s="141">
        <f t="shared" si="211"/>
        <v>0.17530594816253225</v>
      </c>
      <c r="K157" s="141">
        <f t="shared" si="211"/>
        <v>0.17584087837071904</v>
      </c>
      <c r="L157" s="141">
        <f t="shared" ref="L157" si="212">IF(L20=0,0,L20/L47)</f>
        <v>0.17667975343557663</v>
      </c>
      <c r="M157" s="141">
        <f t="shared" ref="M157:V157" si="213">IF(M20=0,0,M20/M47)</f>
        <v>0.17654126497648481</v>
      </c>
      <c r="N157" s="141">
        <f t="shared" si="213"/>
        <v>0.17645553928366745</v>
      </c>
      <c r="O157" s="141">
        <f t="shared" si="213"/>
        <v>0.17588678229697094</v>
      </c>
      <c r="P157" s="141">
        <f t="shared" si="213"/>
        <v>0.1753123622289737</v>
      </c>
      <c r="Q157" s="141">
        <f t="shared" si="213"/>
        <v>0.17513030694513224</v>
      </c>
      <c r="R157" s="141">
        <f t="shared" si="213"/>
        <v>0.17520667012266175</v>
      </c>
      <c r="S157" s="141">
        <f t="shared" si="213"/>
        <v>0.17517917050346049</v>
      </c>
      <c r="T157" s="141">
        <f t="shared" si="213"/>
        <v>0.17511429496115574</v>
      </c>
      <c r="U157" s="141">
        <f t="shared" si="213"/>
        <v>0.17502647480291753</v>
      </c>
      <c r="V157" s="141">
        <f t="shared" si="213"/>
        <v>0.17500739312512312</v>
      </c>
      <c r="W157" s="141">
        <f t="shared" ref="W157" si="214">IF(W20=0,0,W20/W47)</f>
        <v>0.17497945037089252</v>
      </c>
      <c r="DA157" s="174" t="s">
        <v>567</v>
      </c>
    </row>
    <row r="158" spans="1:105" ht="11.45" customHeight="1" x14ac:dyDescent="0.25">
      <c r="A158" s="111" t="s">
        <v>110</v>
      </c>
      <c r="B158" s="96">
        <v>0.14802045447500733</v>
      </c>
      <c r="C158" s="96">
        <v>0.14688686202145096</v>
      </c>
      <c r="D158" s="96">
        <v>0.14630647795034965</v>
      </c>
      <c r="E158" s="96">
        <v>0.14577989522254822</v>
      </c>
      <c r="F158" s="96">
        <v>0.14385613538382783</v>
      </c>
      <c r="G158" s="96">
        <v>0.14349754954295732</v>
      </c>
      <c r="H158" s="96">
        <v>0.14311404483050749</v>
      </c>
      <c r="I158" s="96">
        <v>0.14285209584338246</v>
      </c>
      <c r="J158" s="96">
        <v>0.14320887569593574</v>
      </c>
      <c r="K158" s="96">
        <v>0.14297799968300565</v>
      </c>
      <c r="L158" s="96">
        <v>0.14354571220008419</v>
      </c>
      <c r="M158" s="96">
        <v>0.14310026564766995</v>
      </c>
      <c r="N158" s="96">
        <v>0.14281920749668381</v>
      </c>
      <c r="O158" s="96">
        <v>0.14180335772780411</v>
      </c>
      <c r="P158" s="96">
        <v>0.14077675054543951</v>
      </c>
      <c r="Q158" s="96">
        <v>0.14040115015974439</v>
      </c>
      <c r="R158" s="96">
        <v>0.14033513163351646</v>
      </c>
      <c r="S158" s="96">
        <v>0.14020092788755725</v>
      </c>
      <c r="T158" s="96">
        <v>0.14012425182858945</v>
      </c>
      <c r="U158" s="96">
        <v>0.14006032843359156</v>
      </c>
      <c r="V158" s="96">
        <v>0.14003393310335599</v>
      </c>
      <c r="W158" s="96">
        <v>0.1400549217239539</v>
      </c>
      <c r="DA158" s="171" t="s">
        <v>568</v>
      </c>
    </row>
    <row r="159" spans="1:105" ht="11.45" customHeight="1" x14ac:dyDescent="0.25">
      <c r="A159" s="111" t="s">
        <v>111</v>
      </c>
      <c r="B159" s="96">
        <v>0.18302927640414457</v>
      </c>
      <c r="C159" s="96">
        <v>0.18220960167367165</v>
      </c>
      <c r="D159" s="96">
        <v>0.18173210044405616</v>
      </c>
      <c r="E159" s="96">
        <v>0.18128788042823282</v>
      </c>
      <c r="F159" s="96">
        <v>0.17997170667643858</v>
      </c>
      <c r="G159" s="96">
        <v>0.17963144733373995</v>
      </c>
      <c r="H159" s="96">
        <v>0.1792756645315417</v>
      </c>
      <c r="I159" s="96">
        <v>0.17903052613176584</v>
      </c>
      <c r="J159" s="96">
        <v>0.17935357010779748</v>
      </c>
      <c r="K159" s="96">
        <v>0.17930457887311507</v>
      </c>
      <c r="L159" s="96">
        <v>0.17976004270360657</v>
      </c>
      <c r="M159" s="96">
        <v>0.17936527036671618</v>
      </c>
      <c r="N159" s="96">
        <v>0.17907358661298706</v>
      </c>
      <c r="O159" s="96">
        <v>0.17832062022586162</v>
      </c>
      <c r="P159" s="96">
        <v>0.17760017821434743</v>
      </c>
      <c r="Q159" s="96">
        <v>0.17724881806675208</v>
      </c>
      <c r="R159" s="96">
        <v>0.17709462122543326</v>
      </c>
      <c r="S159" s="96">
        <v>0.17692074653266746</v>
      </c>
      <c r="T159" s="96">
        <v>0.17675327288508577</v>
      </c>
      <c r="U159" s="96">
        <v>0.17660198472006239</v>
      </c>
      <c r="V159" s="96">
        <v>0.17649808948282034</v>
      </c>
      <c r="W159" s="96">
        <v>0.17645394771751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0.13490473965261882</v>
      </c>
      <c r="I160" s="96">
        <v>0.1346159319233147</v>
      </c>
      <c r="J160" s="96">
        <v>0.13467411917623665</v>
      </c>
      <c r="K160" s="96">
        <v>0.13440328964286341</v>
      </c>
      <c r="L160" s="96">
        <v>0.13457895663024527</v>
      </c>
      <c r="M160" s="96">
        <v>0.13418889077547216</v>
      </c>
      <c r="N160" s="96">
        <v>0.13389093833936544</v>
      </c>
      <c r="O160" s="96">
        <v>0.13318298184489719</v>
      </c>
      <c r="P160" s="96">
        <v>0.13246869652932175</v>
      </c>
      <c r="Q160" s="96">
        <v>0.13211905984133251</v>
      </c>
      <c r="R160" s="96">
        <v>0.13234263802686314</v>
      </c>
      <c r="S160" s="96">
        <v>0.13255952604449744</v>
      </c>
      <c r="T160" s="96">
        <v>0.13277899823809844</v>
      </c>
      <c r="U160" s="96">
        <v>0.13300458175076141</v>
      </c>
      <c r="V160" s="96">
        <v>0.13324754095256716</v>
      </c>
      <c r="W160" s="96">
        <v>0.13351245336586701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0.13098737626852486</v>
      </c>
      <c r="Q161" s="96">
        <v>0.1308044423304735</v>
      </c>
      <c r="R161" s="96">
        <v>0.13350048090601785</v>
      </c>
      <c r="S161" s="96">
        <v>0.13339607094476513</v>
      </c>
      <c r="T161" s="96">
        <v>0.13329644117483624</v>
      </c>
      <c r="U161" s="96">
        <v>0.13320897477250176</v>
      </c>
      <c r="V161" s="96">
        <v>0.1331572231916574</v>
      </c>
      <c r="W161" s="96">
        <v>0.13315053501774288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0.17818903242861606</v>
      </c>
      <c r="Q162" s="96">
        <v>0.1781306727213986</v>
      </c>
      <c r="R162" s="96">
        <v>0.17813635962731156</v>
      </c>
      <c r="S162" s="96">
        <v>0.17814299660500316</v>
      </c>
      <c r="T162" s="96">
        <v>0.17814933479867631</v>
      </c>
      <c r="U162" s="96">
        <v>0.17815490328212613</v>
      </c>
      <c r="V162" s="96">
        <v>0.17820435763523526</v>
      </c>
      <c r="W162" s="96">
        <v>0.17815862594066934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11.09618243720789</v>
      </c>
      <c r="C163" s="130">
        <f t="shared" si="215"/>
        <v>11.178851713672909</v>
      </c>
      <c r="D163" s="130">
        <f t="shared" si="215"/>
        <v>10.490283608679704</v>
      </c>
      <c r="E163" s="130">
        <f t="shared" si="215"/>
        <v>10.188222469705201</v>
      </c>
      <c r="F163" s="130">
        <f t="shared" si="215"/>
        <v>9.3990611981018155</v>
      </c>
      <c r="G163" s="130">
        <f t="shared" si="215"/>
        <v>9.4127207656439715</v>
      </c>
      <c r="H163" s="130">
        <f t="shared" si="215"/>
        <v>10.01468116247208</v>
      </c>
      <c r="I163" s="130">
        <f t="shared" si="215"/>
        <v>10.057596529563149</v>
      </c>
      <c r="J163" s="130">
        <f t="shared" si="215"/>
        <v>10.021154607472594</v>
      </c>
      <c r="K163" s="130">
        <f t="shared" si="215"/>
        <v>9.9250762882694747</v>
      </c>
      <c r="L163" s="130">
        <f t="shared" ref="L163" si="216">IF(L26=0,0,L26/L53)</f>
        <v>10.001995274468225</v>
      </c>
      <c r="M163" s="130">
        <f t="shared" ref="M163:V163" si="217">IF(M26=0,0,M26/M53)</f>
        <v>10.228547853848093</v>
      </c>
      <c r="N163" s="130">
        <f t="shared" si="217"/>
        <v>10.325648109284833</v>
      </c>
      <c r="O163" s="130">
        <f t="shared" si="217"/>
        <v>10.646703260031076</v>
      </c>
      <c r="P163" s="130">
        <f t="shared" si="217"/>
        <v>10.53324417944623</v>
      </c>
      <c r="Q163" s="130">
        <f t="shared" si="217"/>
        <v>10.785994538154283</v>
      </c>
      <c r="R163" s="130">
        <f t="shared" si="217"/>
        <v>10.994183732204565</v>
      </c>
      <c r="S163" s="130">
        <f t="shared" si="217"/>
        <v>11.112932764553666</v>
      </c>
      <c r="T163" s="130">
        <f t="shared" si="217"/>
        <v>11.357881001094734</v>
      </c>
      <c r="U163" s="130">
        <f t="shared" si="217"/>
        <v>11.250171884367415</v>
      </c>
      <c r="V163" s="130">
        <f t="shared" si="217"/>
        <v>11.12574774354978</v>
      </c>
      <c r="W163" s="130">
        <f t="shared" ref="W163" si="218">IF(W26=0,0,W26/W53)</f>
        <v>11.188776892320821</v>
      </c>
      <c r="DA163" s="176" t="s">
        <v>573</v>
      </c>
    </row>
    <row r="164" spans="1:105" ht="11.45" customHeight="1" x14ac:dyDescent="0.25">
      <c r="A164" s="128" t="s">
        <v>27</v>
      </c>
      <c r="B164" s="97">
        <v>7.833333333333333</v>
      </c>
      <c r="C164" s="97">
        <v>7.833333333333333</v>
      </c>
      <c r="D164" s="97">
        <v>6.7301038062283736</v>
      </c>
      <c r="E164" s="97">
        <v>6.414790996784566</v>
      </c>
      <c r="F164" s="97">
        <v>5.5563725490196081</v>
      </c>
      <c r="G164" s="97">
        <v>5.581560283687943</v>
      </c>
      <c r="H164" s="97">
        <v>5.7842639593908629</v>
      </c>
      <c r="I164" s="97">
        <v>6.0683962264150946</v>
      </c>
      <c r="J164" s="97">
        <v>6.2023529411764704</v>
      </c>
      <c r="K164" s="97">
        <v>6.1513513513513516</v>
      </c>
      <c r="L164" s="97">
        <v>6.068965517241379</v>
      </c>
      <c r="M164" s="97">
        <v>6.2022792022792022</v>
      </c>
      <c r="N164" s="97">
        <v>5.8698412698412694</v>
      </c>
      <c r="O164" s="97">
        <v>6.3389261744966445</v>
      </c>
      <c r="P164" s="97">
        <v>6.3839009287925697</v>
      </c>
      <c r="Q164" s="97">
        <v>6.6102236421725236</v>
      </c>
      <c r="R164" s="97">
        <v>6.7531645569620249</v>
      </c>
      <c r="S164" s="97">
        <v>6.7941176470588234</v>
      </c>
      <c r="T164" s="97">
        <v>6.9629629629629628</v>
      </c>
      <c r="U164" s="97">
        <v>6.8630952380952381</v>
      </c>
      <c r="V164" s="97">
        <v>7.0216049382716053</v>
      </c>
      <c r="W164" s="97">
        <v>6.9801699716713879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14.254152494203545</v>
      </c>
      <c r="F165" s="98">
        <v>13.993137904941621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14.040774681152573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11442.004604813535</v>
      </c>
      <c r="C167" s="54">
        <f t="shared" si="219"/>
        <v>11519.211141548816</v>
      </c>
      <c r="D167" s="54">
        <f t="shared" si="219"/>
        <v>11770.043016321824</v>
      </c>
      <c r="E167" s="54">
        <f t="shared" si="219"/>
        <v>12066.336144716508</v>
      </c>
      <c r="F167" s="54">
        <f t="shared" si="219"/>
        <v>12752.236836634607</v>
      </c>
      <c r="G167" s="54">
        <f t="shared" si="219"/>
        <v>12591.265110325669</v>
      </c>
      <c r="H167" s="54">
        <f t="shared" si="219"/>
        <v>12761.720528164515</v>
      </c>
      <c r="I167" s="54">
        <f t="shared" si="219"/>
        <v>13039.08608754239</v>
      </c>
      <c r="J167" s="54">
        <f t="shared" si="219"/>
        <v>13010.199913391827</v>
      </c>
      <c r="K167" s="54">
        <f t="shared" si="219"/>
        <v>13299.859512383158</v>
      </c>
      <c r="L167" s="54">
        <f t="shared" si="219"/>
        <v>13357.99980455325</v>
      </c>
      <c r="M167" s="54">
        <f>IF(M30=0,0,M30*1000000/M57)</f>
        <v>13402.035699673519</v>
      </c>
      <c r="N167" s="54">
        <f t="shared" ref="N167:V167" si="220">IF(N30=0,0,N30*1000000/N57)</f>
        <v>13438.57125249811</v>
      </c>
      <c r="O167" s="54">
        <f t="shared" si="220"/>
        <v>13532.12979981084</v>
      </c>
      <c r="P167" s="54">
        <f t="shared" si="220"/>
        <v>13875.046388091632</v>
      </c>
      <c r="Q167" s="54">
        <f t="shared" si="220"/>
        <v>14008.089302461629</v>
      </c>
      <c r="R167" s="54">
        <f t="shared" si="220"/>
        <v>13788.620397075038</v>
      </c>
      <c r="S167" s="54">
        <f t="shared" si="220"/>
        <v>14106.623312424517</v>
      </c>
      <c r="T167" s="54">
        <f t="shared" si="220"/>
        <v>14284.953685672663</v>
      </c>
      <c r="U167" s="54">
        <f t="shared" si="220"/>
        <v>14463.643369532909</v>
      </c>
      <c r="V167" s="54">
        <f t="shared" si="220"/>
        <v>12814.908601750352</v>
      </c>
      <c r="W167" s="54">
        <f t="shared" ref="W167:W191" si="221">IF(W30=0,0,W30*1000000/W57)</f>
        <v>13160.135926956164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11216.919903704109</v>
      </c>
      <c r="C168" s="28">
        <f t="shared" si="219"/>
        <v>11257.882583152896</v>
      </c>
      <c r="D168" s="28">
        <f t="shared" si="219"/>
        <v>11464.149525260567</v>
      </c>
      <c r="E168" s="28">
        <f t="shared" si="219"/>
        <v>11727.82499326347</v>
      </c>
      <c r="F168" s="28">
        <f t="shared" si="219"/>
        <v>12281.838284245845</v>
      </c>
      <c r="G168" s="28">
        <f t="shared" si="219"/>
        <v>12081.970074652154</v>
      </c>
      <c r="H168" s="28">
        <f t="shared" si="219"/>
        <v>12245.067718236489</v>
      </c>
      <c r="I168" s="28">
        <f t="shared" si="219"/>
        <v>12506.767100343661</v>
      </c>
      <c r="J168" s="28">
        <f t="shared" si="219"/>
        <v>12465.795292120403</v>
      </c>
      <c r="K168" s="28">
        <f t="shared" si="219"/>
        <v>12843.774826267489</v>
      </c>
      <c r="L168" s="28">
        <f t="shared" si="219"/>
        <v>12887.412895066756</v>
      </c>
      <c r="M168" s="28">
        <f t="shared" ref="M168:M192" si="222">IF(M31=0,0,M31*1000000/M58)</f>
        <v>12927.541138248976</v>
      </c>
      <c r="N168" s="28">
        <f t="shared" si="219"/>
        <v>12974.468334624989</v>
      </c>
      <c r="O168" s="28">
        <f t="shared" si="219"/>
        <v>13065.805685289426</v>
      </c>
      <c r="P168" s="28">
        <f t="shared" si="219"/>
        <v>13388.355059658059</v>
      </c>
      <c r="Q168" s="28">
        <f t="shared" si="219"/>
        <v>13501.693485755981</v>
      </c>
      <c r="R168" s="28">
        <f t="shared" si="219"/>
        <v>13235.505868781691</v>
      </c>
      <c r="S168" s="28">
        <f t="shared" si="219"/>
        <v>13527.027906394704</v>
      </c>
      <c r="T168" s="28">
        <f t="shared" si="219"/>
        <v>13729.623963536682</v>
      </c>
      <c r="U168" s="28">
        <f t="shared" si="219"/>
        <v>13894.97512689951</v>
      </c>
      <c r="V168" s="28">
        <f t="shared" si="219"/>
        <v>12141.438653658028</v>
      </c>
      <c r="W168" s="28">
        <f t="shared" si="221"/>
        <v>12465.386549311877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1876.8497798310834</v>
      </c>
      <c r="C169" s="137">
        <f t="shared" si="219"/>
        <v>1725.0750289481769</v>
      </c>
      <c r="D169" s="137">
        <f t="shared" si="219"/>
        <v>1687.2760892176125</v>
      </c>
      <c r="E169" s="137">
        <f t="shared" si="219"/>
        <v>1976.8173241081859</v>
      </c>
      <c r="F169" s="137">
        <f t="shared" si="219"/>
        <v>2156.7062781719756</v>
      </c>
      <c r="G169" s="137">
        <f t="shared" si="219"/>
        <v>2301.1649647634113</v>
      </c>
      <c r="H169" s="137">
        <f t="shared" si="219"/>
        <v>2387.5321940856879</v>
      </c>
      <c r="I169" s="137">
        <f t="shared" si="219"/>
        <v>2042.1579735078958</v>
      </c>
      <c r="J169" s="137">
        <f t="shared" si="219"/>
        <v>1947.8031220122866</v>
      </c>
      <c r="K169" s="137">
        <f t="shared" si="219"/>
        <v>1865.9248201926991</v>
      </c>
      <c r="L169" s="137">
        <f t="shared" si="219"/>
        <v>2356.9191210100626</v>
      </c>
      <c r="M169" s="137">
        <f t="shared" si="222"/>
        <v>2737.7516516583255</v>
      </c>
      <c r="N169" s="137">
        <f t="shared" si="219"/>
        <v>2479.7867098212587</v>
      </c>
      <c r="O169" s="137">
        <f t="shared" si="219"/>
        <v>2221.024216989088</v>
      </c>
      <c r="P169" s="137">
        <f t="shared" si="219"/>
        <v>2206.5245356379428</v>
      </c>
      <c r="Q169" s="137">
        <f t="shared" si="219"/>
        <v>2275.7385510435738</v>
      </c>
      <c r="R169" s="137">
        <f t="shared" si="219"/>
        <v>2302.6313020118046</v>
      </c>
      <c r="S169" s="137">
        <f t="shared" si="219"/>
        <v>1822.8109551605733</v>
      </c>
      <c r="T169" s="137">
        <f t="shared" si="219"/>
        <v>1675.1927947707195</v>
      </c>
      <c r="U169" s="137">
        <f t="shared" si="219"/>
        <v>1723.90181618407</v>
      </c>
      <c r="V169" s="137">
        <f t="shared" si="219"/>
        <v>1499.966652865179</v>
      </c>
      <c r="W169" s="137">
        <f t="shared" si="221"/>
        <v>1509.9620314101089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11515.652671206111</v>
      </c>
      <c r="C170" s="110">
        <f t="shared" si="219"/>
        <v>11573.200246614417</v>
      </c>
      <c r="D170" s="110">
        <f t="shared" si="219"/>
        <v>11794.179714965112</v>
      </c>
      <c r="E170" s="110">
        <f t="shared" si="219"/>
        <v>12075.1030452591</v>
      </c>
      <c r="F170" s="110">
        <f t="shared" si="219"/>
        <v>12663.598978161026</v>
      </c>
      <c r="G170" s="110">
        <f t="shared" si="219"/>
        <v>12454.570005765076</v>
      </c>
      <c r="H170" s="110">
        <f t="shared" si="219"/>
        <v>12656.475310811516</v>
      </c>
      <c r="I170" s="110">
        <f t="shared" si="219"/>
        <v>13133.411473258664</v>
      </c>
      <c r="J170" s="110">
        <f t="shared" si="219"/>
        <v>13194.871091573179</v>
      </c>
      <c r="K170" s="110">
        <f t="shared" si="219"/>
        <v>13664.870045503807</v>
      </c>
      <c r="L170" s="110">
        <f t="shared" si="219"/>
        <v>13695.3513069737</v>
      </c>
      <c r="M170" s="110">
        <f t="shared" si="222"/>
        <v>13712.024390951754</v>
      </c>
      <c r="N170" s="110">
        <f t="shared" si="219"/>
        <v>13795.133205218286</v>
      </c>
      <c r="O170" s="110">
        <f t="shared" si="219"/>
        <v>13913.346707262615</v>
      </c>
      <c r="P170" s="110">
        <f t="shared" si="219"/>
        <v>14291.188097036138</v>
      </c>
      <c r="Q170" s="110">
        <f t="shared" si="219"/>
        <v>14443.968218658922</v>
      </c>
      <c r="R170" s="110">
        <f t="shared" si="219"/>
        <v>14171.951131218386</v>
      </c>
      <c r="S170" s="110">
        <f t="shared" si="219"/>
        <v>14739.838267599385</v>
      </c>
      <c r="T170" s="110">
        <f t="shared" si="219"/>
        <v>15018.047142627234</v>
      </c>
      <c r="U170" s="110">
        <f t="shared" si="219"/>
        <v>15221.763520612798</v>
      </c>
      <c r="V170" s="110">
        <f t="shared" si="219"/>
        <v>13363.454526233014</v>
      </c>
      <c r="W170" s="110">
        <f t="shared" si="221"/>
        <v>13744.029084298965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10598.793764115331</v>
      </c>
      <c r="C171" s="84">
        <f t="shared" si="219"/>
        <v>10564.785462533619</v>
      </c>
      <c r="D171" s="84">
        <f t="shared" si="219"/>
        <v>10411.201691694565</v>
      </c>
      <c r="E171" s="84">
        <f t="shared" si="219"/>
        <v>10618.217190986099</v>
      </c>
      <c r="F171" s="84">
        <f t="shared" si="219"/>
        <v>10846.087541102966</v>
      </c>
      <c r="G171" s="84">
        <f t="shared" si="219"/>
        <v>10419.134743885486</v>
      </c>
      <c r="H171" s="84">
        <f t="shared" si="219"/>
        <v>10346.535502368086</v>
      </c>
      <c r="I171" s="84">
        <f t="shared" si="219"/>
        <v>10505.483485008854</v>
      </c>
      <c r="J171" s="84">
        <f t="shared" si="219"/>
        <v>10318.751835412646</v>
      </c>
      <c r="K171" s="84">
        <f t="shared" si="219"/>
        <v>10466.566813615604</v>
      </c>
      <c r="L171" s="84">
        <f t="shared" si="219"/>
        <v>10277.641661978183</v>
      </c>
      <c r="M171" s="84">
        <f t="shared" si="222"/>
        <v>10149.843924288689</v>
      </c>
      <c r="N171" s="84">
        <f t="shared" si="219"/>
        <v>10059.174143467209</v>
      </c>
      <c r="O171" s="84">
        <f t="shared" si="219"/>
        <v>10006.897055282108</v>
      </c>
      <c r="P171" s="84">
        <f t="shared" si="219"/>
        <v>10142.947644305304</v>
      </c>
      <c r="Q171" s="84">
        <f t="shared" si="219"/>
        <v>10199.413703645461</v>
      </c>
      <c r="R171" s="84">
        <f t="shared" si="219"/>
        <v>9888.245320025193</v>
      </c>
      <c r="S171" s="84">
        <f t="shared" si="219"/>
        <v>10174.243565819586</v>
      </c>
      <c r="T171" s="84">
        <f t="shared" si="219"/>
        <v>10281.547330058898</v>
      </c>
      <c r="U171" s="84">
        <f t="shared" si="219"/>
        <v>10357.281185115922</v>
      </c>
      <c r="V171" s="84">
        <f t="shared" si="219"/>
        <v>8481.7497203621315</v>
      </c>
      <c r="W171" s="84">
        <f t="shared" si="221"/>
        <v>9075.5188588460551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17989.963374785744</v>
      </c>
      <c r="C172" s="84">
        <f t="shared" si="219"/>
        <v>18294.506516498299</v>
      </c>
      <c r="D172" s="84">
        <f t="shared" si="219"/>
        <v>18392.766438005561</v>
      </c>
      <c r="E172" s="84">
        <f t="shared" si="219"/>
        <v>19137.446058350786</v>
      </c>
      <c r="F172" s="84">
        <f t="shared" si="219"/>
        <v>19943.05375069529</v>
      </c>
      <c r="G172" s="84">
        <f t="shared" si="219"/>
        <v>19349.581780531487</v>
      </c>
      <c r="H172" s="84">
        <f t="shared" si="219"/>
        <v>19406.903852106327</v>
      </c>
      <c r="I172" s="84">
        <f t="shared" si="219"/>
        <v>19902.091569246772</v>
      </c>
      <c r="J172" s="84">
        <f t="shared" si="219"/>
        <v>19743.821561738241</v>
      </c>
      <c r="K172" s="84">
        <f t="shared" si="219"/>
        <v>20226.916117031658</v>
      </c>
      <c r="L172" s="84">
        <f t="shared" si="219"/>
        <v>20060.431416955667</v>
      </c>
      <c r="M172" s="84">
        <f t="shared" si="222"/>
        <v>19830.04642710511</v>
      </c>
      <c r="N172" s="84">
        <f t="shared" si="219"/>
        <v>19652.902228964012</v>
      </c>
      <c r="O172" s="84">
        <f t="shared" si="219"/>
        <v>19550.766955405401</v>
      </c>
      <c r="P172" s="84">
        <f t="shared" si="219"/>
        <v>19816.572963545968</v>
      </c>
      <c r="Q172" s="84">
        <f t="shared" si="219"/>
        <v>19707.672100347587</v>
      </c>
      <c r="R172" s="84">
        <f t="shared" si="219"/>
        <v>19106.421415693861</v>
      </c>
      <c r="S172" s="84">
        <f t="shared" si="219"/>
        <v>19659.037459435272</v>
      </c>
      <c r="T172" s="84">
        <f t="shared" si="219"/>
        <v>19866.373632102292</v>
      </c>
      <c r="U172" s="84">
        <f t="shared" si="219"/>
        <v>20012.709296653837</v>
      </c>
      <c r="V172" s="84">
        <f t="shared" si="219"/>
        <v>18071.628116408167</v>
      </c>
      <c r="W172" s="84">
        <f t="shared" si="221"/>
        <v>18176.371609688013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19231.577827977362</v>
      </c>
      <c r="I173" s="84">
        <f t="shared" si="219"/>
        <v>19921.506985677224</v>
      </c>
      <c r="J173" s="84">
        <f t="shared" si="219"/>
        <v>19567.408493476818</v>
      </c>
      <c r="K173" s="84">
        <f t="shared" si="219"/>
        <v>19847.709454880449</v>
      </c>
      <c r="L173" s="84">
        <f t="shared" si="219"/>
        <v>19489.451433392369</v>
      </c>
      <c r="M173" s="84">
        <f t="shared" si="222"/>
        <v>19247.109086391585</v>
      </c>
      <c r="N173" s="84">
        <f t="shared" si="219"/>
        <v>19075.1723378733</v>
      </c>
      <c r="O173" s="84">
        <f t="shared" si="219"/>
        <v>18976.03950129739</v>
      </c>
      <c r="P173" s="84">
        <f t="shared" si="219"/>
        <v>19234.031697801114</v>
      </c>
      <c r="Q173" s="84">
        <f t="shared" si="219"/>
        <v>19128.332157394769</v>
      </c>
      <c r="R173" s="84">
        <f t="shared" si="219"/>
        <v>18544.75624100256</v>
      </c>
      <c r="S173" s="84">
        <f t="shared" si="219"/>
        <v>19081.127212995987</v>
      </c>
      <c r="T173" s="84">
        <f t="shared" si="219"/>
        <v>19282.368392513465</v>
      </c>
      <c r="U173" s="84">
        <f t="shared" si="219"/>
        <v>19424.402275752553</v>
      </c>
      <c r="V173" s="84">
        <f t="shared" si="219"/>
        <v>15591.976470768952</v>
      </c>
      <c r="W173" s="84">
        <f t="shared" si="221"/>
        <v>16683.500595099609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16069.281045046888</v>
      </c>
      <c r="O174" s="84">
        <f t="shared" si="219"/>
        <v>16308.714536391648</v>
      </c>
      <c r="P174" s="84">
        <f t="shared" si="219"/>
        <v>16864.390967171217</v>
      </c>
      <c r="Q174" s="84">
        <f t="shared" si="219"/>
        <v>17110.536152311983</v>
      </c>
      <c r="R174" s="84">
        <f t="shared" si="219"/>
        <v>16588.520080399136</v>
      </c>
      <c r="S174" s="84">
        <f t="shared" si="219"/>
        <v>17068.310729778688</v>
      </c>
      <c r="T174" s="84">
        <f t="shared" si="219"/>
        <v>17248.323521753162</v>
      </c>
      <c r="U174" s="84">
        <f t="shared" si="219"/>
        <v>17375.374634940581</v>
      </c>
      <c r="V174" s="84">
        <f t="shared" si="219"/>
        <v>14228.983100592057</v>
      </c>
      <c r="W174" s="84">
        <f t="shared" si="221"/>
        <v>15225.090191191299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10118.209770611302</v>
      </c>
      <c r="P175" s="84">
        <f t="shared" si="219"/>
        <v>10255.773731901909</v>
      </c>
      <c r="Q175" s="84">
        <f t="shared" si="219"/>
        <v>10199.413703645461</v>
      </c>
      <c r="R175" s="84">
        <f t="shared" si="219"/>
        <v>9888.245320025193</v>
      </c>
      <c r="S175" s="84">
        <f t="shared" si="219"/>
        <v>10174.243565819586</v>
      </c>
      <c r="T175" s="84">
        <f t="shared" si="219"/>
        <v>10281.547330058898</v>
      </c>
      <c r="U175" s="84">
        <f t="shared" si="219"/>
        <v>10357.281185115922</v>
      </c>
      <c r="V175" s="84">
        <f t="shared" si="219"/>
        <v>8481.7497203621315</v>
      </c>
      <c r="W175" s="84">
        <f t="shared" si="221"/>
        <v>9075.5188588460551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7086.1367508681469</v>
      </c>
      <c r="N176" s="84">
        <f t="shared" si="219"/>
        <v>7089.3167516490767</v>
      </c>
      <c r="O176" s="84">
        <f t="shared" si="219"/>
        <v>7091.1639391359258</v>
      </c>
      <c r="P176" s="84">
        <f t="shared" si="219"/>
        <v>7095.9535416795643</v>
      </c>
      <c r="Q176" s="84">
        <f t="shared" si="219"/>
        <v>7097.9235055967783</v>
      </c>
      <c r="R176" s="84">
        <f t="shared" si="219"/>
        <v>7086.9360828239114</v>
      </c>
      <c r="S176" s="84">
        <f t="shared" si="219"/>
        <v>7076.839905691445</v>
      </c>
      <c r="T176" s="84">
        <f t="shared" si="219"/>
        <v>7073.1285879941061</v>
      </c>
      <c r="U176" s="84">
        <f t="shared" si="219"/>
        <v>7070.5335791361431</v>
      </c>
      <c r="V176" s="84">
        <f t="shared" si="219"/>
        <v>6086.7007986876761</v>
      </c>
      <c r="W176" s="84">
        <f t="shared" si="221"/>
        <v>7023.9833590129574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72340.406156365876</v>
      </c>
      <c r="C177" s="110">
        <f t="shared" si="219"/>
        <v>70840.977944350961</v>
      </c>
      <c r="D177" s="110">
        <f t="shared" si="219"/>
        <v>69419.30398731117</v>
      </c>
      <c r="E177" s="110">
        <f t="shared" si="219"/>
        <v>68046.78014170719</v>
      </c>
      <c r="F177" s="110">
        <f t="shared" si="219"/>
        <v>66856.428876462523</v>
      </c>
      <c r="G177" s="110">
        <f t="shared" si="219"/>
        <v>65520.934651430318</v>
      </c>
      <c r="H177" s="110">
        <f t="shared" si="219"/>
        <v>65509.639324455187</v>
      </c>
      <c r="I177" s="110">
        <f t="shared" si="219"/>
        <v>64314.429308593622</v>
      </c>
      <c r="J177" s="110">
        <f t="shared" si="219"/>
        <v>63130.700392086474</v>
      </c>
      <c r="K177" s="110">
        <f t="shared" si="219"/>
        <v>63355.279655305443</v>
      </c>
      <c r="L177" s="110">
        <f t="shared" si="219"/>
        <v>62917.926265701979</v>
      </c>
      <c r="M177" s="110">
        <f t="shared" si="222"/>
        <v>63605.712527624783</v>
      </c>
      <c r="N177" s="110">
        <f t="shared" si="219"/>
        <v>63594.32334733176</v>
      </c>
      <c r="O177" s="110">
        <f t="shared" si="219"/>
        <v>63263.362293611273</v>
      </c>
      <c r="P177" s="110">
        <f t="shared" si="219"/>
        <v>62613.713969959186</v>
      </c>
      <c r="Q177" s="110">
        <f t="shared" si="219"/>
        <v>61640.798226164079</v>
      </c>
      <c r="R177" s="110">
        <f t="shared" si="219"/>
        <v>59903.804110188008</v>
      </c>
      <c r="S177" s="110">
        <f t="shared" si="219"/>
        <v>58995.815899581605</v>
      </c>
      <c r="T177" s="110">
        <f t="shared" si="219"/>
        <v>56943.875460876676</v>
      </c>
      <c r="U177" s="110">
        <f t="shared" si="219"/>
        <v>56603.77358490567</v>
      </c>
      <c r="V177" s="110">
        <f t="shared" si="219"/>
        <v>44559.585492227976</v>
      </c>
      <c r="W177" s="110">
        <f t="shared" si="221"/>
        <v>44863.167339614178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59585.042119275735</v>
      </c>
      <c r="C178" s="102">
        <f t="shared" si="219"/>
        <v>57146.003609210784</v>
      </c>
      <c r="D178" s="102">
        <f t="shared" si="219"/>
        <v>54845.523352166972</v>
      </c>
      <c r="E178" s="102">
        <f t="shared" si="219"/>
        <v>52654.404375154518</v>
      </c>
      <c r="F178" s="102">
        <f t="shared" si="219"/>
        <v>50674.200748845906</v>
      </c>
      <c r="G178" s="102">
        <f t="shared" si="219"/>
        <v>48639.095497799251</v>
      </c>
      <c r="H178" s="102">
        <f t="shared" si="219"/>
        <v>50190.521575591694</v>
      </c>
      <c r="I178" s="102">
        <f t="shared" si="219"/>
        <v>48264.177514920622</v>
      </c>
      <c r="J178" s="102">
        <f t="shared" si="219"/>
        <v>46403.798737050136</v>
      </c>
      <c r="K178" s="102">
        <f t="shared" si="219"/>
        <v>45796.479768021614</v>
      </c>
      <c r="L178" s="102">
        <f t="shared" si="219"/>
        <v>45408.258538624097</v>
      </c>
      <c r="M178" s="102">
        <f t="shared" si="222"/>
        <v>45251.229778240056</v>
      </c>
      <c r="N178" s="102">
        <f t="shared" si="219"/>
        <v>44655.564795398779</v>
      </c>
      <c r="O178" s="102">
        <f t="shared" si="219"/>
        <v>43900.095678882564</v>
      </c>
      <c r="P178" s="102">
        <f t="shared" si="219"/>
        <v>42991.334131392156</v>
      </c>
      <c r="Q178" s="102">
        <f t="shared" si="219"/>
        <v>42261.205784268677</v>
      </c>
      <c r="R178" s="102">
        <f t="shared" si="219"/>
        <v>41831.89240206797</v>
      </c>
      <c r="S178" s="102">
        <f t="shared" si="219"/>
        <v>40343.050796570606</v>
      </c>
      <c r="T178" s="102">
        <f t="shared" si="219"/>
        <v>38093.590802774175</v>
      </c>
      <c r="U178" s="102">
        <f t="shared" si="219"/>
        <v>37097.638980994896</v>
      </c>
      <c r="V178" s="102">
        <f t="shared" si="219"/>
        <v>28279.575834760297</v>
      </c>
      <c r="W178" s="102">
        <f t="shared" si="221"/>
        <v>27912.272453238693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72578.040335687008</v>
      </c>
      <c r="C179" s="102">
        <f t="shared" si="219"/>
        <v>71086.490089294661</v>
      </c>
      <c r="D179" s="102">
        <f t="shared" si="219"/>
        <v>69666.317218415308</v>
      </c>
      <c r="E179" s="102">
        <f t="shared" si="219"/>
        <v>68281.977734065382</v>
      </c>
      <c r="F179" s="102">
        <f t="shared" si="219"/>
        <v>67066.474022521361</v>
      </c>
      <c r="G179" s="102">
        <f t="shared" si="219"/>
        <v>65723.112365845067</v>
      </c>
      <c r="H179" s="102">
        <f t="shared" si="219"/>
        <v>65665.956852504823</v>
      </c>
      <c r="I179" s="102">
        <f t="shared" si="219"/>
        <v>64456.763309893795</v>
      </c>
      <c r="J179" s="102">
        <f t="shared" si="219"/>
        <v>63249.692578656854</v>
      </c>
      <c r="K179" s="102">
        <f t="shared" si="219"/>
        <v>63460.949464055397</v>
      </c>
      <c r="L179" s="102">
        <f t="shared" si="219"/>
        <v>63005.430852044192</v>
      </c>
      <c r="M179" s="102">
        <f t="shared" si="222"/>
        <v>63678.47559105148</v>
      </c>
      <c r="N179" s="102">
        <f t="shared" si="219"/>
        <v>63582.013961467012</v>
      </c>
      <c r="O179" s="102">
        <f t="shared" si="219"/>
        <v>63238.319118558007</v>
      </c>
      <c r="P179" s="102">
        <f t="shared" si="219"/>
        <v>62535.277983355591</v>
      </c>
      <c r="Q179" s="102">
        <f t="shared" si="219"/>
        <v>61498.354635909658</v>
      </c>
      <c r="R179" s="102">
        <f t="shared" si="219"/>
        <v>59735.909753696367</v>
      </c>
      <c r="S179" s="102">
        <f t="shared" si="219"/>
        <v>58791.681532028255</v>
      </c>
      <c r="T179" s="102">
        <f t="shared" si="219"/>
        <v>56692.172792672747</v>
      </c>
      <c r="U179" s="102">
        <f t="shared" si="219"/>
        <v>56215.88263075985</v>
      </c>
      <c r="V179" s="102">
        <f t="shared" si="219"/>
        <v>44206.087954579736</v>
      </c>
      <c r="W179" s="102">
        <f t="shared" si="221"/>
        <v>44493.472367719805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71448.903672638058</v>
      </c>
      <c r="O181" s="102">
        <f t="shared" si="223"/>
        <v>70240.153086212114</v>
      </c>
      <c r="P181" s="102">
        <f t="shared" si="223"/>
        <v>68786.134610227455</v>
      </c>
      <c r="Q181" s="102">
        <f t="shared" si="223"/>
        <v>67617.929254829884</v>
      </c>
      <c r="R181" s="102">
        <f t="shared" si="223"/>
        <v>65652.65624430489</v>
      </c>
      <c r="S181" s="102">
        <f t="shared" si="223"/>
        <v>65900.33515096936</v>
      </c>
      <c r="T181" s="102">
        <f t="shared" si="223"/>
        <v>64765.674771238373</v>
      </c>
      <c r="U181" s="102">
        <f t="shared" si="223"/>
        <v>65646.767948625245</v>
      </c>
      <c r="V181" s="102">
        <f t="shared" si="223"/>
        <v>52085.167560078771</v>
      </c>
      <c r="W181" s="102">
        <f t="shared" si="221"/>
        <v>53506.983277647661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49446.180373484021</v>
      </c>
      <c r="Q182" s="102">
        <f t="shared" si="223"/>
        <v>49452.47599830744</v>
      </c>
      <c r="R182" s="102">
        <f t="shared" si="223"/>
        <v>49381.849126648711</v>
      </c>
      <c r="S182" s="102">
        <f t="shared" si="223"/>
        <v>49344.151872757684</v>
      </c>
      <c r="T182" s="102">
        <f t="shared" si="223"/>
        <v>49256.889030938408</v>
      </c>
      <c r="U182" s="102">
        <f t="shared" si="223"/>
        <v>49242.137601053873</v>
      </c>
      <c r="V182" s="102">
        <f t="shared" si="223"/>
        <v>41153.683689076235</v>
      </c>
      <c r="W182" s="102">
        <f t="shared" si="221"/>
        <v>48673.113143952905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15424.67793678021</v>
      </c>
      <c r="C183" s="28">
        <f t="shared" si="223"/>
        <v>16206.673492716005</v>
      </c>
      <c r="D183" s="28">
        <f t="shared" si="223"/>
        <v>17230.616796585815</v>
      </c>
      <c r="E183" s="28">
        <f t="shared" si="223"/>
        <v>17932.209551029558</v>
      </c>
      <c r="F183" s="28">
        <f t="shared" si="223"/>
        <v>20574.326833263989</v>
      </c>
      <c r="G183" s="28">
        <f t="shared" si="223"/>
        <v>21229.490260015758</v>
      </c>
      <c r="H183" s="28">
        <f t="shared" si="223"/>
        <v>21217.082460111087</v>
      </c>
      <c r="I183" s="28">
        <f t="shared" si="223"/>
        <v>21152.946563724396</v>
      </c>
      <c r="J183" s="28">
        <f t="shared" si="223"/>
        <v>20986.620863287357</v>
      </c>
      <c r="K183" s="28">
        <f t="shared" si="223"/>
        <v>20102.637873709125</v>
      </c>
      <c r="L183" s="28">
        <f t="shared" si="223"/>
        <v>20503.026250527022</v>
      </c>
      <c r="M183" s="28">
        <f t="shared" si="222"/>
        <v>20584.108986102528</v>
      </c>
      <c r="N183" s="28">
        <f t="shared" si="223"/>
        <v>20430.094631224278</v>
      </c>
      <c r="O183" s="28">
        <f t="shared" si="223"/>
        <v>20520.964264616869</v>
      </c>
      <c r="P183" s="28">
        <f t="shared" si="223"/>
        <v>21005.66188119465</v>
      </c>
      <c r="Q183" s="28">
        <f t="shared" si="223"/>
        <v>21208.402154367701</v>
      </c>
      <c r="R183" s="28">
        <f t="shared" si="223"/>
        <v>21273.112796705733</v>
      </c>
      <c r="S183" s="28">
        <f t="shared" si="223"/>
        <v>21763.240985826247</v>
      </c>
      <c r="T183" s="28">
        <f t="shared" si="223"/>
        <v>21355.780657418534</v>
      </c>
      <c r="U183" s="28">
        <f t="shared" si="223"/>
        <v>21562.491462178645</v>
      </c>
      <c r="V183" s="28">
        <f t="shared" si="223"/>
        <v>21037.561131331822</v>
      </c>
      <c r="W183" s="28">
        <f t="shared" si="221"/>
        <v>21828.881805552894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13747.377347452919</v>
      </c>
      <c r="C184" s="137">
        <f t="shared" si="223"/>
        <v>14131.281578144091</v>
      </c>
      <c r="D184" s="137">
        <f t="shared" si="223"/>
        <v>14392.725535914313</v>
      </c>
      <c r="E184" s="137">
        <f t="shared" si="223"/>
        <v>14678.106124575084</v>
      </c>
      <c r="F184" s="137">
        <f t="shared" si="223"/>
        <v>15410.84241764041</v>
      </c>
      <c r="G184" s="137">
        <f t="shared" si="223"/>
        <v>15670.273804194099</v>
      </c>
      <c r="H184" s="137">
        <f t="shared" si="223"/>
        <v>15927.300233708434</v>
      </c>
      <c r="I184" s="137">
        <f t="shared" si="223"/>
        <v>16115.222825943423</v>
      </c>
      <c r="J184" s="137">
        <f t="shared" si="223"/>
        <v>16028.738537711348</v>
      </c>
      <c r="K184" s="137">
        <f t="shared" si="223"/>
        <v>16146.320540152456</v>
      </c>
      <c r="L184" s="137">
        <f t="shared" si="223"/>
        <v>15982.329290596748</v>
      </c>
      <c r="M184" s="137">
        <f t="shared" si="222"/>
        <v>16207.394747221349</v>
      </c>
      <c r="N184" s="137">
        <f t="shared" si="223"/>
        <v>16374.741152895765</v>
      </c>
      <c r="O184" s="137">
        <f t="shared" si="223"/>
        <v>16777.139439114162</v>
      </c>
      <c r="P184" s="137">
        <f t="shared" si="223"/>
        <v>17176.019851710898</v>
      </c>
      <c r="Q184" s="137">
        <f t="shared" si="223"/>
        <v>17377.130627653383</v>
      </c>
      <c r="R184" s="137">
        <f t="shared" si="223"/>
        <v>17478.183272887214</v>
      </c>
      <c r="S184" s="137">
        <f t="shared" si="223"/>
        <v>17582.27210681123</v>
      </c>
      <c r="T184" s="137">
        <f t="shared" si="223"/>
        <v>17676.41786648177</v>
      </c>
      <c r="U184" s="137">
        <f t="shared" si="223"/>
        <v>17757.482168545885</v>
      </c>
      <c r="V184" s="137">
        <f t="shared" si="223"/>
        <v>17818.754507261514</v>
      </c>
      <c r="W184" s="137">
        <f t="shared" si="221"/>
        <v>17838.757434276089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10341.745208471757</v>
      </c>
      <c r="C185" s="84">
        <f t="shared" si="223"/>
        <v>10747.012038591773</v>
      </c>
      <c r="D185" s="84">
        <f t="shared" si="223"/>
        <v>10961.871889734177</v>
      </c>
      <c r="E185" s="84">
        <f t="shared" si="223"/>
        <v>11161.288437049117</v>
      </c>
      <c r="F185" s="84">
        <f t="shared" si="223"/>
        <v>11927.805676779266</v>
      </c>
      <c r="G185" s="84">
        <f t="shared" si="223"/>
        <v>12077.584262419181</v>
      </c>
      <c r="H185" s="84">
        <f t="shared" si="223"/>
        <v>12240.276224278532</v>
      </c>
      <c r="I185" s="84">
        <f t="shared" si="223"/>
        <v>12352.914000392377</v>
      </c>
      <c r="J185" s="84">
        <f t="shared" si="223"/>
        <v>12199.803183503174</v>
      </c>
      <c r="K185" s="84">
        <f t="shared" si="223"/>
        <v>12298.620940762978</v>
      </c>
      <c r="L185" s="84">
        <f t="shared" si="223"/>
        <v>12057.336414751593</v>
      </c>
      <c r="M185" s="84">
        <f t="shared" si="222"/>
        <v>12246.170465191171</v>
      </c>
      <c r="N185" s="84">
        <f t="shared" si="223"/>
        <v>12367.143671546168</v>
      </c>
      <c r="O185" s="84">
        <f t="shared" si="223"/>
        <v>12816.514338190811</v>
      </c>
      <c r="P185" s="84">
        <f t="shared" si="223"/>
        <v>13290.698864856002</v>
      </c>
      <c r="Q185" s="84">
        <f t="shared" si="223"/>
        <v>13469.428606701549</v>
      </c>
      <c r="R185" s="84">
        <f t="shared" si="223"/>
        <v>13501.140867922884</v>
      </c>
      <c r="S185" s="84">
        <f t="shared" si="223"/>
        <v>13565.882800280282</v>
      </c>
      <c r="T185" s="84">
        <f t="shared" si="223"/>
        <v>13603.039731051806</v>
      </c>
      <c r="U185" s="84">
        <f t="shared" si="223"/>
        <v>13634.110148341011</v>
      </c>
      <c r="V185" s="84">
        <f t="shared" si="223"/>
        <v>13646.964623164329</v>
      </c>
      <c r="W185" s="84">
        <f t="shared" si="221"/>
        <v>13636.742021806198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15057.552879908048</v>
      </c>
      <c r="C186" s="84">
        <f t="shared" si="223"/>
        <v>15399.297783391121</v>
      </c>
      <c r="D186" s="84">
        <f t="shared" si="223"/>
        <v>15602.672043148992</v>
      </c>
      <c r="E186" s="84">
        <f t="shared" si="223"/>
        <v>15794.771743379681</v>
      </c>
      <c r="F186" s="84">
        <f t="shared" si="223"/>
        <v>16380.834980802469</v>
      </c>
      <c r="G186" s="84">
        <f t="shared" si="223"/>
        <v>16536.567395112219</v>
      </c>
      <c r="H186" s="84">
        <f t="shared" si="223"/>
        <v>16701.308791631443</v>
      </c>
      <c r="I186" s="84">
        <f t="shared" si="223"/>
        <v>16815.964079255991</v>
      </c>
      <c r="J186" s="84">
        <f t="shared" si="223"/>
        <v>16665.067660782461</v>
      </c>
      <c r="K186" s="84">
        <f t="shared" si="223"/>
        <v>16687.847015315165</v>
      </c>
      <c r="L186" s="84">
        <f t="shared" si="223"/>
        <v>16477.502943736494</v>
      </c>
      <c r="M186" s="84">
        <f t="shared" si="222"/>
        <v>16659.63293617282</v>
      </c>
      <c r="N186" s="84">
        <f t="shared" si="223"/>
        <v>16795.755756984709</v>
      </c>
      <c r="O186" s="84">
        <f t="shared" si="223"/>
        <v>17153.367046925101</v>
      </c>
      <c r="P186" s="84">
        <f t="shared" si="223"/>
        <v>17504.11768772815</v>
      </c>
      <c r="Q186" s="84">
        <f t="shared" si="223"/>
        <v>17678.298849846768</v>
      </c>
      <c r="R186" s="84">
        <f t="shared" si="223"/>
        <v>17755.395740872344</v>
      </c>
      <c r="S186" s="84">
        <f t="shared" si="223"/>
        <v>17842.815902981361</v>
      </c>
      <c r="T186" s="84">
        <f t="shared" si="223"/>
        <v>17927.506540403265</v>
      </c>
      <c r="U186" s="84">
        <f t="shared" si="223"/>
        <v>18004.427263131794</v>
      </c>
      <c r="V186" s="84">
        <f t="shared" si="223"/>
        <v>18057.481031687279</v>
      </c>
      <c r="W186" s="84">
        <f t="shared" si="221"/>
        <v>18080.078655597525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12639.068454250371</v>
      </c>
      <c r="I187" s="84">
        <f t="shared" si="223"/>
        <v>12775.232017242981</v>
      </c>
      <c r="J187" s="84">
        <f t="shared" si="223"/>
        <v>12747.657543744703</v>
      </c>
      <c r="K187" s="84">
        <f t="shared" si="223"/>
        <v>12876.612121978073</v>
      </c>
      <c r="L187" s="84">
        <f t="shared" si="223"/>
        <v>12792.791507793392</v>
      </c>
      <c r="M187" s="84">
        <f t="shared" si="222"/>
        <v>12979.808705622341</v>
      </c>
      <c r="N187" s="84">
        <f t="shared" si="223"/>
        <v>13124.875145536495</v>
      </c>
      <c r="O187" s="84">
        <f t="shared" si="223"/>
        <v>13477.440903134377</v>
      </c>
      <c r="P187" s="84">
        <f t="shared" si="223"/>
        <v>13844.739611416009</v>
      </c>
      <c r="Q187" s="84">
        <f t="shared" si="223"/>
        <v>14028.903692169397</v>
      </c>
      <c r="R187" s="84">
        <f t="shared" si="223"/>
        <v>13910.80203426946</v>
      </c>
      <c r="S187" s="84">
        <f t="shared" si="223"/>
        <v>13797.372631591736</v>
      </c>
      <c r="T187" s="84">
        <f t="shared" si="223"/>
        <v>13683.719655416156</v>
      </c>
      <c r="U187" s="84">
        <f t="shared" si="223"/>
        <v>13568.07069085587</v>
      </c>
      <c r="V187" s="84">
        <f t="shared" si="223"/>
        <v>13444.823083959465</v>
      </c>
      <c r="W187" s="84">
        <f t="shared" si="221"/>
        <v>13311.966771144995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13495.0740474753</v>
      </c>
      <c r="Q188" s="84">
        <f t="shared" si="223"/>
        <v>13589.704695381053</v>
      </c>
      <c r="R188" s="84">
        <f t="shared" si="223"/>
        <v>12271.801921786973</v>
      </c>
      <c r="S188" s="84">
        <f t="shared" si="223"/>
        <v>12319.903252115297</v>
      </c>
      <c r="T188" s="84">
        <f t="shared" si="223"/>
        <v>12366.013460405491</v>
      </c>
      <c r="U188" s="84">
        <f t="shared" si="223"/>
        <v>12406.665077053309</v>
      </c>
      <c r="V188" s="84">
        <f t="shared" si="223"/>
        <v>12430.793088525666</v>
      </c>
      <c r="W188" s="84">
        <f t="shared" si="221"/>
        <v>12433.915406385022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15815.395196698501</v>
      </c>
      <c r="Q189" s="84">
        <f t="shared" si="223"/>
        <v>15841.319614920329</v>
      </c>
      <c r="R189" s="84">
        <f t="shared" si="223"/>
        <v>15838.791149015531</v>
      </c>
      <c r="S189" s="84">
        <f t="shared" si="223"/>
        <v>15835.840882294755</v>
      </c>
      <c r="T189" s="84">
        <f t="shared" si="223"/>
        <v>15833.024046495508</v>
      </c>
      <c r="U189" s="84">
        <f t="shared" si="223"/>
        <v>15830.549783384868</v>
      </c>
      <c r="V189" s="84">
        <f t="shared" si="223"/>
        <v>15808.595909672222</v>
      </c>
      <c r="W189" s="84">
        <f t="shared" si="221"/>
        <v>15828.895940682738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16869.826989957197</v>
      </c>
      <c r="C190" s="110">
        <f t="shared" si="223"/>
        <v>18127.674445182653</v>
      </c>
      <c r="D190" s="110">
        <f t="shared" si="223"/>
        <v>20023.159080005207</v>
      </c>
      <c r="E190" s="110">
        <f t="shared" si="223"/>
        <v>21422.901061543867</v>
      </c>
      <c r="F190" s="110">
        <f t="shared" si="223"/>
        <v>26509.666671191902</v>
      </c>
      <c r="G190" s="110">
        <f t="shared" si="223"/>
        <v>28397.215098511693</v>
      </c>
      <c r="H190" s="110">
        <f t="shared" si="223"/>
        <v>28295.471952369582</v>
      </c>
      <c r="I190" s="110">
        <f t="shared" si="223"/>
        <v>28537.105752966629</v>
      </c>
      <c r="J190" s="110">
        <f t="shared" si="223"/>
        <v>29352.161272391812</v>
      </c>
      <c r="K190" s="110">
        <f t="shared" si="223"/>
        <v>27541.58517466734</v>
      </c>
      <c r="L190" s="110">
        <f t="shared" si="223"/>
        <v>30136.074992767899</v>
      </c>
      <c r="M190" s="110">
        <f t="shared" si="222"/>
        <v>30624.231289075484</v>
      </c>
      <c r="N190" s="110">
        <f t="shared" si="223"/>
        <v>30000.658127725976</v>
      </c>
      <c r="O190" s="110">
        <f t="shared" si="223"/>
        <v>29626.843949331185</v>
      </c>
      <c r="P190" s="110">
        <f t="shared" si="223"/>
        <v>30605.493592915424</v>
      </c>
      <c r="Q190" s="110">
        <f t="shared" si="223"/>
        <v>31180.541626450551</v>
      </c>
      <c r="R190" s="110">
        <f t="shared" si="223"/>
        <v>31025.775249091632</v>
      </c>
      <c r="S190" s="110">
        <f t="shared" si="223"/>
        <v>33127.390415154368</v>
      </c>
      <c r="T190" s="110">
        <f t="shared" si="223"/>
        <v>31728.385256987127</v>
      </c>
      <c r="U190" s="110">
        <f t="shared" si="223"/>
        <v>33247.928353769748</v>
      </c>
      <c r="V190" s="110">
        <f t="shared" si="223"/>
        <v>31242.099357932442</v>
      </c>
      <c r="W190" s="110">
        <f t="shared" si="221"/>
        <v>34928.514338768255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9232.032561540811</v>
      </c>
      <c r="C191" s="102">
        <f t="shared" si="223"/>
        <v>9754.5501407668817</v>
      </c>
      <c r="D191" s="102">
        <f t="shared" si="223"/>
        <v>11461.886253668597</v>
      </c>
      <c r="E191" s="102">
        <f t="shared" si="223"/>
        <v>12645.360657070831</v>
      </c>
      <c r="F191" s="102">
        <f t="shared" si="223"/>
        <v>16825.436100457751</v>
      </c>
      <c r="G191" s="102">
        <f t="shared" si="223"/>
        <v>18247.702860100944</v>
      </c>
      <c r="H191" s="102">
        <f t="shared" si="223"/>
        <v>16716.164616037335</v>
      </c>
      <c r="I191" s="102">
        <f t="shared" si="223"/>
        <v>17263.140751598061</v>
      </c>
      <c r="J191" s="102">
        <f t="shared" si="223"/>
        <v>17875.920084121975</v>
      </c>
      <c r="K191" s="102">
        <f t="shared" si="223"/>
        <v>16490.618175335385</v>
      </c>
      <c r="L191" s="102">
        <f t="shared" si="223"/>
        <v>18744.09585840004</v>
      </c>
      <c r="M191" s="102">
        <f t="shared" si="222"/>
        <v>18452.318368205237</v>
      </c>
      <c r="N191" s="102">
        <f t="shared" si="223"/>
        <v>16982.047549733139</v>
      </c>
      <c r="O191" s="102">
        <f t="shared" si="223"/>
        <v>16355.653128430296</v>
      </c>
      <c r="P191" s="102">
        <f t="shared" si="223"/>
        <v>17624.270202433567</v>
      </c>
      <c r="Q191" s="102">
        <f t="shared" si="223"/>
        <v>17120.66513510557</v>
      </c>
      <c r="R191" s="102">
        <f t="shared" si="223"/>
        <v>16185.207949190739</v>
      </c>
      <c r="S191" s="102">
        <f t="shared" si="223"/>
        <v>17458.279845956353</v>
      </c>
      <c r="T191" s="102">
        <f t="shared" si="223"/>
        <v>15988.945913936044</v>
      </c>
      <c r="U191" s="102">
        <f t="shared" si="223"/>
        <v>17168.259158959685</v>
      </c>
      <c r="V191" s="102">
        <f t="shared" si="223"/>
        <v>16103.37972166998</v>
      </c>
      <c r="W191" s="102">
        <f t="shared" si="221"/>
        <v>18685.157738725386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85008.289814331976</v>
      </c>
      <c r="C192" s="86">
        <f t="shared" si="223"/>
        <v>84993.355836272356</v>
      </c>
      <c r="D192" s="86">
        <f t="shared" si="223"/>
        <v>85003.271374782838</v>
      </c>
      <c r="E192" s="86">
        <f t="shared" si="223"/>
        <v>84990.28289535128</v>
      </c>
      <c r="F192" s="86">
        <f t="shared" si="223"/>
        <v>84998.560098273432</v>
      </c>
      <c r="G192" s="86">
        <f t="shared" si="223"/>
        <v>84994.72368609879</v>
      </c>
      <c r="H192" s="86">
        <f t="shared" si="223"/>
        <v>85001.117894058974</v>
      </c>
      <c r="I192" s="86">
        <f t="shared" si="223"/>
        <v>85001.186992488103</v>
      </c>
      <c r="J192" s="86">
        <f t="shared" si="223"/>
        <v>85001.281046227276</v>
      </c>
      <c r="K192" s="86">
        <f t="shared" si="223"/>
        <v>85004.052512792769</v>
      </c>
      <c r="L192" s="86">
        <f t="shared" si="223"/>
        <v>84990.486371638108</v>
      </c>
      <c r="M192" s="86">
        <f t="shared" si="222"/>
        <v>85000.494224912487</v>
      </c>
      <c r="N192" s="86">
        <f t="shared" si="223"/>
        <v>84995.467422007263</v>
      </c>
      <c r="O192" s="86">
        <f t="shared" si="223"/>
        <v>84996.914193621124</v>
      </c>
      <c r="P192" s="86">
        <f t="shared" si="223"/>
        <v>84996.641530126435</v>
      </c>
      <c r="Q192" s="86">
        <f t="shared" si="223"/>
        <v>85000.194477114055</v>
      </c>
      <c r="R192" s="86">
        <f t="shared" si="223"/>
        <v>84992.479656479409</v>
      </c>
      <c r="S192" s="86">
        <f t="shared" si="223"/>
        <v>85007.011009362352</v>
      </c>
      <c r="T192" s="86">
        <f t="shared" si="223"/>
        <v>85001.142706057988</v>
      </c>
      <c r="U192" s="86">
        <f t="shared" si="223"/>
        <v>84998.49665037026</v>
      </c>
      <c r="V192" s="86">
        <f t="shared" ref="V192:W192" si="224">IF(V55=0,0,V55*1000000/V82)</f>
        <v>84999.783629305675</v>
      </c>
      <c r="W192" s="86">
        <f t="shared" si="224"/>
        <v>85005.128713443482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24851.037581330558</v>
      </c>
      <c r="C195" s="28">
        <f t="shared" si="225"/>
        <v>24770.398265440261</v>
      </c>
      <c r="D195" s="28">
        <f t="shared" si="225"/>
        <v>24449.540533816267</v>
      </c>
      <c r="E195" s="28">
        <f t="shared" si="225"/>
        <v>24747.250525334104</v>
      </c>
      <c r="F195" s="28">
        <f t="shared" si="225"/>
        <v>25118.32476299207</v>
      </c>
      <c r="G195" s="28">
        <f t="shared" si="225"/>
        <v>24210.605071685688</v>
      </c>
      <c r="H195" s="28">
        <f t="shared" si="225"/>
        <v>24202.438565604498</v>
      </c>
      <c r="I195" s="28">
        <f t="shared" si="225"/>
        <v>25066.074782665102</v>
      </c>
      <c r="J195" s="28">
        <f t="shared" si="225"/>
        <v>24982.157601919003</v>
      </c>
      <c r="K195" s="28">
        <f t="shared" si="225"/>
        <v>25373.894027177281</v>
      </c>
      <c r="L195" s="28">
        <f t="shared" si="225"/>
        <v>25173.351923774237</v>
      </c>
      <c r="M195" s="28">
        <f>IF(M4=0,0,M4*1000000/M58)</f>
        <v>25004.531414198998</v>
      </c>
      <c r="N195" s="28">
        <f t="shared" ref="N195:V195" si="226">IF(N4=0,0,N4*1000000/N58)</f>
        <v>24807.1013798356</v>
      </c>
      <c r="O195" s="28">
        <f t="shared" si="226"/>
        <v>24725.50488756159</v>
      </c>
      <c r="P195" s="28">
        <f t="shared" si="226"/>
        <v>25147.941180078393</v>
      </c>
      <c r="Q195" s="28">
        <f t="shared" si="226"/>
        <v>25258.221699034759</v>
      </c>
      <c r="R195" s="28">
        <f t="shared" si="226"/>
        <v>25248.304012474677</v>
      </c>
      <c r="S195" s="28">
        <f t="shared" si="226"/>
        <v>24952.204607848871</v>
      </c>
      <c r="T195" s="28">
        <f t="shared" si="226"/>
        <v>24690.60848985508</v>
      </c>
      <c r="U195" s="28">
        <f t="shared" si="226"/>
        <v>24506.436852085226</v>
      </c>
      <c r="V195" s="28">
        <f t="shared" si="226"/>
        <v>19880.889095949242</v>
      </c>
      <c r="W195" s="28">
        <f t="shared" ref="W195" si="227">IF(W4=0,0,W4*1000000/W58)</f>
        <v>20986.656567900176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2167.6625267449749</v>
      </c>
      <c r="C196" s="137">
        <f t="shared" si="228"/>
        <v>1992.3324786498563</v>
      </c>
      <c r="D196" s="137">
        <f t="shared" si="228"/>
        <v>1948.3389254459464</v>
      </c>
      <c r="E196" s="137">
        <f t="shared" si="228"/>
        <v>2283.6379194812666</v>
      </c>
      <c r="F196" s="137">
        <f t="shared" si="228"/>
        <v>2491.7809770981685</v>
      </c>
      <c r="G196" s="137">
        <f t="shared" si="228"/>
        <v>2656.2758469418559</v>
      </c>
      <c r="H196" s="137">
        <f t="shared" si="228"/>
        <v>2756.739847354791</v>
      </c>
      <c r="I196" s="137">
        <f t="shared" si="228"/>
        <v>2361.7416857939556</v>
      </c>
      <c r="J196" s="137">
        <f t="shared" si="228"/>
        <v>2253.8064474811176</v>
      </c>
      <c r="K196" s="137">
        <f t="shared" si="228"/>
        <v>2160.1010345436994</v>
      </c>
      <c r="L196" s="137">
        <f t="shared" si="228"/>
        <v>2723.8165048399505</v>
      </c>
      <c r="M196" s="137">
        <f>IF(M5=0,0,M5*1000000/M59)</f>
        <v>3161.1609424599765</v>
      </c>
      <c r="N196" s="137">
        <f t="shared" ref="N196:V196" si="229">IF(N5=0,0,N5*1000000/N59)</f>
        <v>2845.6285058660806</v>
      </c>
      <c r="O196" s="137">
        <f t="shared" si="229"/>
        <v>2547.3797581875733</v>
      </c>
      <c r="P196" s="137">
        <f t="shared" si="229"/>
        <v>2536.2444648550627</v>
      </c>
      <c r="Q196" s="137">
        <f t="shared" si="229"/>
        <v>2620.3220523659302</v>
      </c>
      <c r="R196" s="137">
        <f t="shared" si="229"/>
        <v>2654.5894602384687</v>
      </c>
      <c r="S196" s="137">
        <f t="shared" si="229"/>
        <v>2098.9144384866522</v>
      </c>
      <c r="T196" s="137">
        <f t="shared" si="229"/>
        <v>1926.9312796476183</v>
      </c>
      <c r="U196" s="137">
        <f t="shared" si="229"/>
        <v>1984.799645083101</v>
      </c>
      <c r="V196" s="137">
        <f t="shared" si="229"/>
        <v>1724.9740892469856</v>
      </c>
      <c r="W196" s="137">
        <f t="shared" ref="W196" si="230">IF(W5=0,0,W5*1000000/W59)</f>
        <v>1736.5897197651188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22116.430903155604</v>
      </c>
      <c r="C197" s="110">
        <f t="shared" si="231"/>
        <v>22223.290598290598</v>
      </c>
      <c r="D197" s="110">
        <f t="shared" si="231"/>
        <v>22045.360397680201</v>
      </c>
      <c r="E197" s="110">
        <f t="shared" si="231"/>
        <v>22242.961418143899</v>
      </c>
      <c r="F197" s="110">
        <f t="shared" si="231"/>
        <v>22912.681912681914</v>
      </c>
      <c r="G197" s="110">
        <f t="shared" si="231"/>
        <v>22264.094955489614</v>
      </c>
      <c r="H197" s="110">
        <f t="shared" si="231"/>
        <v>22314.258001939859</v>
      </c>
      <c r="I197" s="110">
        <f t="shared" si="231"/>
        <v>23554.158607350098</v>
      </c>
      <c r="J197" s="110">
        <f t="shared" si="231"/>
        <v>23802.598595457242</v>
      </c>
      <c r="K197" s="110">
        <f t="shared" si="231"/>
        <v>24342.263079657518</v>
      </c>
      <c r="L197" s="110">
        <f t="shared" si="231"/>
        <v>24147.317854283428</v>
      </c>
      <c r="M197" s="110">
        <f>IF(M6=0,0,M6*1000000/M60)</f>
        <v>23898.205550530856</v>
      </c>
      <c r="N197" s="110">
        <f t="shared" ref="N197:V197" si="232">IF(N6=0,0,N6*1000000/N60)</f>
        <v>23735.519564386443</v>
      </c>
      <c r="O197" s="110">
        <f t="shared" si="232"/>
        <v>23592.494177955974</v>
      </c>
      <c r="P197" s="110">
        <f t="shared" si="232"/>
        <v>23998.132580663318</v>
      </c>
      <c r="Q197" s="110">
        <f t="shared" si="232"/>
        <v>24099.046176962423</v>
      </c>
      <c r="R197" s="110">
        <f t="shared" si="232"/>
        <v>24147.68886027806</v>
      </c>
      <c r="S197" s="110">
        <f t="shared" si="232"/>
        <v>24271.465527731903</v>
      </c>
      <c r="T197" s="110">
        <f t="shared" si="232"/>
        <v>24068.872113284509</v>
      </c>
      <c r="U197" s="110">
        <f t="shared" si="232"/>
        <v>23951.880590938479</v>
      </c>
      <c r="V197" s="110">
        <f t="shared" si="232"/>
        <v>20385.962203315343</v>
      </c>
      <c r="W197" s="110">
        <f t="shared" ref="W197:W209" si="233">IF(W6=0,0,W6*1000000/W60)</f>
        <v>21426.554170861265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20233.509680254319</v>
      </c>
      <c r="C198" s="84">
        <f t="shared" si="231"/>
        <v>20157.506706533237</v>
      </c>
      <c r="D198" s="84">
        <f t="shared" si="231"/>
        <v>19298.029335556472</v>
      </c>
      <c r="E198" s="84">
        <f t="shared" si="231"/>
        <v>19395.681783294458</v>
      </c>
      <c r="F198" s="84">
        <f t="shared" si="231"/>
        <v>19433.874074174808</v>
      </c>
      <c r="G198" s="84">
        <f t="shared" si="231"/>
        <v>18422.457091622804</v>
      </c>
      <c r="H198" s="84">
        <f t="shared" si="231"/>
        <v>18023.021241704046</v>
      </c>
      <c r="I198" s="84">
        <f t="shared" si="231"/>
        <v>18597.326463346792</v>
      </c>
      <c r="J198" s="84">
        <f t="shared" si="231"/>
        <v>18354.653809723266</v>
      </c>
      <c r="K198" s="84">
        <f t="shared" si="231"/>
        <v>18370.90819824997</v>
      </c>
      <c r="L198" s="84">
        <f t="shared" si="231"/>
        <v>17841.002732095742</v>
      </c>
      <c r="M198" s="84">
        <f t="shared" ref="M198:M219" si="234">IF(M7=0,0,M7*1000000/M61)</f>
        <v>17405.724600647674</v>
      </c>
      <c r="N198" s="84">
        <f t="shared" si="231"/>
        <v>17018.95040129366</v>
      </c>
      <c r="O198" s="84">
        <f t="shared" si="231"/>
        <v>16677.138436960326</v>
      </c>
      <c r="P198" s="84">
        <f t="shared" si="231"/>
        <v>16730.180425494997</v>
      </c>
      <c r="Q198" s="84">
        <f t="shared" si="231"/>
        <v>16708.064457744764</v>
      </c>
      <c r="R198" s="84">
        <f t="shared" si="231"/>
        <v>16534.611951080038</v>
      </c>
      <c r="S198" s="84">
        <f t="shared" si="231"/>
        <v>16433.989475015031</v>
      </c>
      <c r="T198" s="84">
        <f t="shared" si="231"/>
        <v>16158.23373348594</v>
      </c>
      <c r="U198" s="84">
        <f t="shared" si="231"/>
        <v>15977.816606397268</v>
      </c>
      <c r="V198" s="84">
        <f t="shared" si="231"/>
        <v>12675.450065708848</v>
      </c>
      <c r="W198" s="84">
        <f t="shared" si="233"/>
        <v>13867.331065507959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35412.497433291865</v>
      </c>
      <c r="C199" s="84">
        <f t="shared" si="231"/>
        <v>35992.194469082504</v>
      </c>
      <c r="D199" s="84">
        <f t="shared" si="231"/>
        <v>35153.668675388712</v>
      </c>
      <c r="E199" s="84">
        <f t="shared" si="231"/>
        <v>36045.323062688447</v>
      </c>
      <c r="F199" s="84">
        <f t="shared" si="231"/>
        <v>36845.922610050446</v>
      </c>
      <c r="G199" s="84">
        <f t="shared" si="231"/>
        <v>35277.595704852727</v>
      </c>
      <c r="H199" s="84">
        <f t="shared" si="231"/>
        <v>34857.8336819287</v>
      </c>
      <c r="I199" s="84">
        <f t="shared" si="231"/>
        <v>36328.267560419728</v>
      </c>
      <c r="J199" s="84">
        <f t="shared" si="231"/>
        <v>36212.769811381397</v>
      </c>
      <c r="K199" s="84">
        <f t="shared" si="231"/>
        <v>36607.28725656461</v>
      </c>
      <c r="L199" s="84">
        <f t="shared" si="231"/>
        <v>35906.870360465429</v>
      </c>
      <c r="M199" s="84">
        <f t="shared" si="234"/>
        <v>35064.525919353917</v>
      </c>
      <c r="N199" s="84">
        <f t="shared" si="231"/>
        <v>34285.353879731869</v>
      </c>
      <c r="O199" s="84">
        <f t="shared" si="231"/>
        <v>33596.760054544873</v>
      </c>
      <c r="P199" s="84">
        <f t="shared" si="231"/>
        <v>33703.615254455312</v>
      </c>
      <c r="Q199" s="84">
        <f t="shared" si="231"/>
        <v>33288.770800919287</v>
      </c>
      <c r="R199" s="84">
        <f t="shared" si="231"/>
        <v>32943.187938594958</v>
      </c>
      <c r="S199" s="84">
        <f t="shared" si="231"/>
        <v>32742.709986668164</v>
      </c>
      <c r="T199" s="84">
        <f t="shared" si="231"/>
        <v>32193.300466492172</v>
      </c>
      <c r="U199" s="84">
        <f t="shared" si="231"/>
        <v>31833.841451511471</v>
      </c>
      <c r="V199" s="84">
        <f t="shared" si="231"/>
        <v>27847.532114127411</v>
      </c>
      <c r="W199" s="84">
        <f t="shared" si="233"/>
        <v>28637.83024304597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32889.428338642778</v>
      </c>
      <c r="I200" s="84">
        <f t="shared" si="231"/>
        <v>34656.441405775768</v>
      </c>
      <c r="J200" s="84">
        <f t="shared" si="231"/>
        <v>34239.251879799747</v>
      </c>
      <c r="K200" s="84">
        <f t="shared" si="231"/>
        <v>34295.534356810502</v>
      </c>
      <c r="L200" s="84">
        <f t="shared" si="231"/>
        <v>33332.437334284565</v>
      </c>
      <c r="M200" s="84">
        <f t="shared" si="234"/>
        <v>32538.756889791755</v>
      </c>
      <c r="N200" s="84">
        <f t="shared" si="231"/>
        <v>31835.600707858226</v>
      </c>
      <c r="O200" s="84">
        <f t="shared" si="231"/>
        <v>31211.853448939855</v>
      </c>
      <c r="P200" s="84">
        <f t="shared" si="231"/>
        <v>31329.33486160135</v>
      </c>
      <c r="Q200" s="84">
        <f t="shared" si="231"/>
        <v>30957.23532354656</v>
      </c>
      <c r="R200" s="84">
        <f t="shared" si="231"/>
        <v>30650.586469328482</v>
      </c>
      <c r="S200" s="84">
        <f t="shared" si="231"/>
        <v>30477.479167907371</v>
      </c>
      <c r="T200" s="84">
        <f t="shared" si="231"/>
        <v>29976.048739148686</v>
      </c>
      <c r="U200" s="84">
        <f t="shared" si="231"/>
        <v>29647.90737500797</v>
      </c>
      <c r="V200" s="84">
        <f t="shared" si="231"/>
        <v>23072.007250265073</v>
      </c>
      <c r="W200" s="84">
        <f t="shared" si="233"/>
        <v>25228.83422727924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26818.903963281475</v>
      </c>
      <c r="O201" s="84">
        <f t="shared" si="231"/>
        <v>26824.628396017477</v>
      </c>
      <c r="P201" s="84">
        <f t="shared" si="231"/>
        <v>27469.547734387615</v>
      </c>
      <c r="Q201" s="84">
        <f t="shared" si="231"/>
        <v>27691.640328108784</v>
      </c>
      <c r="R201" s="84">
        <f t="shared" si="231"/>
        <v>27417.339031843647</v>
      </c>
      <c r="S201" s="84">
        <f t="shared" si="231"/>
        <v>27262.492351285033</v>
      </c>
      <c r="T201" s="84">
        <f t="shared" si="231"/>
        <v>26813.956461770595</v>
      </c>
      <c r="U201" s="84">
        <f t="shared" si="231"/>
        <v>26520.429842303765</v>
      </c>
      <c r="V201" s="84">
        <f t="shared" si="231"/>
        <v>21055.137036425302</v>
      </c>
      <c r="W201" s="84">
        <f t="shared" si="233"/>
        <v>23023.422113328197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16284.769226338203</v>
      </c>
      <c r="P202" s="84">
        <f t="shared" si="231"/>
        <v>16346.065095765071</v>
      </c>
      <c r="Q202" s="84">
        <f t="shared" si="231"/>
        <v>16151.9223443145</v>
      </c>
      <c r="R202" s="84">
        <f t="shared" si="231"/>
        <v>15991.928455049581</v>
      </c>
      <c r="S202" s="84">
        <f t="shared" si="231"/>
        <v>15901.609805449081</v>
      </c>
      <c r="T202" s="84">
        <f t="shared" si="231"/>
        <v>15639.988725215659</v>
      </c>
      <c r="U202" s="84">
        <f t="shared" si="231"/>
        <v>15468.781129441533</v>
      </c>
      <c r="V202" s="84">
        <f t="shared" si="231"/>
        <v>12280.996514895425</v>
      </c>
      <c r="W202" s="84">
        <f t="shared" si="233"/>
        <v>13429.053738552855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9895.3597406237004</v>
      </c>
      <c r="N203" s="84">
        <f t="shared" si="231"/>
        <v>9773.1725952919332</v>
      </c>
      <c r="O203" s="84">
        <f t="shared" si="231"/>
        <v>9634.2545760332196</v>
      </c>
      <c r="P203" s="84">
        <f t="shared" si="231"/>
        <v>9547.2483398282566</v>
      </c>
      <c r="Q203" s="84">
        <f t="shared" si="231"/>
        <v>9488.6185354108729</v>
      </c>
      <c r="R203" s="84">
        <f t="shared" si="231"/>
        <v>9675.2631118922618</v>
      </c>
      <c r="S203" s="84">
        <f t="shared" si="231"/>
        <v>9336.8632023297396</v>
      </c>
      <c r="T203" s="84">
        <f t="shared" si="231"/>
        <v>9082.6415022585206</v>
      </c>
      <c r="U203" s="84">
        <f t="shared" si="231"/>
        <v>8914.2575887368403</v>
      </c>
      <c r="V203" s="84">
        <f t="shared" si="231"/>
        <v>7439.6545710233668</v>
      </c>
      <c r="W203" s="84">
        <f t="shared" si="233"/>
        <v>8773.6455398258386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1883808.4991931145</v>
      </c>
      <c r="C204" s="110">
        <f t="shared" si="231"/>
        <v>1867363.7864611999</v>
      </c>
      <c r="D204" s="110">
        <f t="shared" si="231"/>
        <v>1855000</v>
      </c>
      <c r="E204" s="110">
        <f t="shared" si="231"/>
        <v>1920847.2686733557</v>
      </c>
      <c r="F204" s="110">
        <f t="shared" si="231"/>
        <v>1718099.3059263213</v>
      </c>
      <c r="G204" s="110">
        <f t="shared" si="231"/>
        <v>1647122.1086605701</v>
      </c>
      <c r="H204" s="110">
        <f t="shared" si="231"/>
        <v>1665603.4024455077</v>
      </c>
      <c r="I204" s="110">
        <f t="shared" si="231"/>
        <v>1672699.0692864528</v>
      </c>
      <c r="J204" s="110">
        <f t="shared" si="231"/>
        <v>1587285.5701311806</v>
      </c>
      <c r="K204" s="110">
        <f t="shared" si="231"/>
        <v>1593220.3389830508</v>
      </c>
      <c r="L204" s="110">
        <f t="shared" si="231"/>
        <v>1582794.6295375435</v>
      </c>
      <c r="M204" s="110">
        <f t="shared" si="234"/>
        <v>1601255.2489849736</v>
      </c>
      <c r="N204" s="110">
        <f t="shared" si="231"/>
        <v>1603287.2832965381</v>
      </c>
      <c r="O204" s="110">
        <f t="shared" si="231"/>
        <v>1599566.7678792304</v>
      </c>
      <c r="P204" s="110">
        <f t="shared" si="231"/>
        <v>1592332.5734145308</v>
      </c>
      <c r="Q204" s="110">
        <f t="shared" si="231"/>
        <v>1585845.9273062674</v>
      </c>
      <c r="R204" s="110">
        <f t="shared" si="231"/>
        <v>1577262.5270846856</v>
      </c>
      <c r="S204" s="110">
        <f t="shared" si="231"/>
        <v>1539841.6115335179</v>
      </c>
      <c r="T204" s="110">
        <f t="shared" si="231"/>
        <v>1536898.725816838</v>
      </c>
      <c r="U204" s="110">
        <f t="shared" si="231"/>
        <v>1511560.5053288403</v>
      </c>
      <c r="V204" s="110">
        <f t="shared" si="231"/>
        <v>1033498.1606078695</v>
      </c>
      <c r="W204" s="110">
        <f t="shared" si="233"/>
        <v>1042093.739443614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596787.49153341365</v>
      </c>
      <c r="C205" s="102">
        <f t="shared" si="231"/>
        <v>579371.19695288083</v>
      </c>
      <c r="D205" s="102">
        <f t="shared" si="231"/>
        <v>563678.53350586316</v>
      </c>
      <c r="E205" s="102">
        <f t="shared" si="231"/>
        <v>571671.59131619579</v>
      </c>
      <c r="F205" s="102">
        <f t="shared" si="231"/>
        <v>500862.64988378785</v>
      </c>
      <c r="G205" s="102">
        <f t="shared" si="231"/>
        <v>470281.45669944549</v>
      </c>
      <c r="H205" s="102">
        <f t="shared" si="231"/>
        <v>490811.52477294626</v>
      </c>
      <c r="I205" s="102">
        <f t="shared" si="231"/>
        <v>482792.99108470127</v>
      </c>
      <c r="J205" s="102">
        <f t="shared" si="231"/>
        <v>448739.85896374582</v>
      </c>
      <c r="K205" s="102">
        <f t="shared" si="231"/>
        <v>442947.01378546702</v>
      </c>
      <c r="L205" s="102">
        <f t="shared" si="231"/>
        <v>439351.04775699123</v>
      </c>
      <c r="M205" s="102">
        <f t="shared" si="234"/>
        <v>438148.65488065832</v>
      </c>
      <c r="N205" s="102">
        <f t="shared" si="231"/>
        <v>433007.31766125339</v>
      </c>
      <c r="O205" s="102">
        <f t="shared" si="231"/>
        <v>426915.79362594517</v>
      </c>
      <c r="P205" s="102">
        <f t="shared" si="231"/>
        <v>420505.70180205174</v>
      </c>
      <c r="Q205" s="102">
        <f t="shared" si="231"/>
        <v>418178.08861775848</v>
      </c>
      <c r="R205" s="102">
        <f t="shared" si="231"/>
        <v>423627.11159542459</v>
      </c>
      <c r="S205" s="102">
        <f t="shared" si="231"/>
        <v>404995.5290865248</v>
      </c>
      <c r="T205" s="102">
        <f t="shared" si="231"/>
        <v>395436.53690537193</v>
      </c>
      <c r="U205" s="102">
        <f t="shared" si="231"/>
        <v>381024.65051344037</v>
      </c>
      <c r="V205" s="102">
        <f t="shared" si="231"/>
        <v>252271.45323538175</v>
      </c>
      <c r="W205" s="102">
        <f t="shared" si="233"/>
        <v>249366.84060269091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1907785.8768700622</v>
      </c>
      <c r="C206" s="102">
        <f t="shared" si="231"/>
        <v>1890453.8496904806</v>
      </c>
      <c r="D206" s="102">
        <f t="shared" si="231"/>
        <v>1876886.80451685</v>
      </c>
      <c r="E206" s="102">
        <f t="shared" si="231"/>
        <v>1941462.8562730404</v>
      </c>
      <c r="F206" s="102">
        <f t="shared" si="231"/>
        <v>1733899.0245553213</v>
      </c>
      <c r="G206" s="102">
        <f t="shared" si="231"/>
        <v>1661216.0086840568</v>
      </c>
      <c r="H206" s="102">
        <f t="shared" si="231"/>
        <v>1677591.0746666563</v>
      </c>
      <c r="I206" s="102">
        <f t="shared" si="231"/>
        <v>1683251.1836993012</v>
      </c>
      <c r="J206" s="102">
        <f t="shared" si="231"/>
        <v>1595384.9806781034</v>
      </c>
      <c r="K206" s="102">
        <f t="shared" si="231"/>
        <v>1600142.7461557544</v>
      </c>
      <c r="L206" s="102">
        <f t="shared" si="231"/>
        <v>1588508.9902660819</v>
      </c>
      <c r="M206" s="102">
        <f t="shared" si="234"/>
        <v>1605866.1770091732</v>
      </c>
      <c r="N206" s="102">
        <f t="shared" si="231"/>
        <v>1605384.3670962248</v>
      </c>
      <c r="O206" s="102">
        <f t="shared" si="231"/>
        <v>1600909.9773216343</v>
      </c>
      <c r="P206" s="102">
        <f t="shared" si="231"/>
        <v>1591891.4950214559</v>
      </c>
      <c r="Q206" s="102">
        <f t="shared" si="231"/>
        <v>1583366.7968227626</v>
      </c>
      <c r="R206" s="102">
        <f t="shared" si="231"/>
        <v>1574025.4937623227</v>
      </c>
      <c r="S206" s="102">
        <f t="shared" si="231"/>
        <v>1535595.521330233</v>
      </c>
      <c r="T206" s="102">
        <f t="shared" si="231"/>
        <v>1531138.6792650414</v>
      </c>
      <c r="U206" s="102">
        <f t="shared" si="231"/>
        <v>1502175.4370255205</v>
      </c>
      <c r="V206" s="102">
        <f t="shared" si="231"/>
        <v>1026130.2769299452</v>
      </c>
      <c r="W206" s="102">
        <f t="shared" si="233"/>
        <v>1034217.2513038269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1804015.724820093</v>
      </c>
      <c r="O208" s="102">
        <f t="shared" si="231"/>
        <v>1778164.9394175119</v>
      </c>
      <c r="P208" s="102">
        <f t="shared" si="231"/>
        <v>1751012.6474622316</v>
      </c>
      <c r="Q208" s="102">
        <f t="shared" si="231"/>
        <v>1740924.3659584378</v>
      </c>
      <c r="R208" s="102">
        <f t="shared" si="231"/>
        <v>1729930.2059320456</v>
      </c>
      <c r="S208" s="102">
        <f t="shared" si="231"/>
        <v>1721268.3303991</v>
      </c>
      <c r="T208" s="102">
        <f t="shared" si="231"/>
        <v>1749187.3189196212</v>
      </c>
      <c r="U208" s="102">
        <f t="shared" si="231"/>
        <v>1754183.2969208001</v>
      </c>
      <c r="V208" s="102">
        <f t="shared" si="231"/>
        <v>1209022.7813707548</v>
      </c>
      <c r="W208" s="102">
        <f t="shared" si="233"/>
        <v>1243729.5231449821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1258696.7954119642</v>
      </c>
      <c r="Q209" s="102">
        <f t="shared" si="231"/>
        <v>1273227.6982037083</v>
      </c>
      <c r="R209" s="102">
        <f t="shared" si="231"/>
        <v>1301198.7224260874</v>
      </c>
      <c r="S209" s="102">
        <f t="shared" si="231"/>
        <v>1288832.9887003906</v>
      </c>
      <c r="T209" s="102">
        <f t="shared" si="231"/>
        <v>1330326.9975442428</v>
      </c>
      <c r="U209" s="102">
        <f t="shared" si="231"/>
        <v>1315826.1706356148</v>
      </c>
      <c r="V209" s="102">
        <f t="shared" si="231"/>
        <v>955276.58733222622</v>
      </c>
      <c r="W209" s="102">
        <f t="shared" si="233"/>
        <v>1131369.8529103782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101672.06872518561</v>
      </c>
      <c r="C210" s="28">
        <f t="shared" si="231"/>
        <v>106425.62853019984</v>
      </c>
      <c r="D210" s="28">
        <f t="shared" si="231"/>
        <v>107117.26354558047</v>
      </c>
      <c r="E210" s="28">
        <f t="shared" si="231"/>
        <v>106630.37066708031</v>
      </c>
      <c r="F210" s="28">
        <f t="shared" ref="B210:V219" si="235">IF(F19=0,0,F19*1000000/F73)</f>
        <v>117352.02151927329</v>
      </c>
      <c r="G210" s="28">
        <f t="shared" si="235"/>
        <v>118293.90579450288</v>
      </c>
      <c r="H210" s="28">
        <f t="shared" si="235"/>
        <v>122784.8555356365</v>
      </c>
      <c r="I210" s="28">
        <f t="shared" si="235"/>
        <v>118071.99501796898</v>
      </c>
      <c r="J210" s="28">
        <f t="shared" si="235"/>
        <v>111219.97479004506</v>
      </c>
      <c r="K210" s="28">
        <f t="shared" si="235"/>
        <v>96758.534924106207</v>
      </c>
      <c r="L210" s="28">
        <f t="shared" si="235"/>
        <v>98195.477262751068</v>
      </c>
      <c r="M210" s="28">
        <f t="shared" si="234"/>
        <v>97087.575265081105</v>
      </c>
      <c r="N210" s="28">
        <f t="shared" si="235"/>
        <v>94225.252381084851</v>
      </c>
      <c r="O210" s="28">
        <f t="shared" si="235"/>
        <v>93992.69193864819</v>
      </c>
      <c r="P210" s="28">
        <f t="shared" si="235"/>
        <v>94083.21659937728</v>
      </c>
      <c r="Q210" s="28">
        <f t="shared" si="235"/>
        <v>95545.574750972184</v>
      </c>
      <c r="R210" s="28">
        <f t="shared" si="235"/>
        <v>97753.729906584034</v>
      </c>
      <c r="S210" s="28">
        <f t="shared" si="235"/>
        <v>101266.15126622419</v>
      </c>
      <c r="T210" s="28">
        <f t="shared" si="235"/>
        <v>96643.338976467378</v>
      </c>
      <c r="U210" s="28">
        <f t="shared" si="235"/>
        <v>94223.434194835674</v>
      </c>
      <c r="V210" s="28">
        <f t="shared" si="235"/>
        <v>85720.251152617813</v>
      </c>
      <c r="W210" s="28">
        <f t="shared" ref="W210" si="236">IF(W19=0,0,W19*1000000/W73)</f>
        <v>93638.508685866822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2415.5848624664231</v>
      </c>
      <c r="C211" s="137">
        <f t="shared" si="235"/>
        <v>2471.3885016866966</v>
      </c>
      <c r="D211" s="137">
        <f t="shared" si="235"/>
        <v>2514.3747925360381</v>
      </c>
      <c r="E211" s="137">
        <f t="shared" si="235"/>
        <v>2565.4511956197898</v>
      </c>
      <c r="F211" s="137">
        <f t="shared" si="235"/>
        <v>2679.6799549486491</v>
      </c>
      <c r="G211" s="137">
        <f t="shared" si="235"/>
        <v>2730.0879610270777</v>
      </c>
      <c r="H211" s="137">
        <f t="shared" si="235"/>
        <v>2777.1713979032324</v>
      </c>
      <c r="I211" s="137">
        <f t="shared" si="235"/>
        <v>2813.5570338739367</v>
      </c>
      <c r="J211" s="137">
        <f t="shared" si="235"/>
        <v>2809.9332072028092</v>
      </c>
      <c r="K211" s="137">
        <f t="shared" si="235"/>
        <v>2839.1831862355903</v>
      </c>
      <c r="L211" s="137">
        <f t="shared" si="235"/>
        <v>2823.7539983888278</v>
      </c>
      <c r="M211" s="137">
        <f t="shared" si="234"/>
        <v>2861.2739706476923</v>
      </c>
      <c r="N211" s="137">
        <f t="shared" si="235"/>
        <v>2889.4137807646844</v>
      </c>
      <c r="O211" s="137">
        <f t="shared" si="235"/>
        <v>2950.8770720933976</v>
      </c>
      <c r="P211" s="137">
        <f t="shared" si="235"/>
        <v>3011.1686138951841</v>
      </c>
      <c r="Q211" s="137">
        <f t="shared" si="235"/>
        <v>3043.2622206465958</v>
      </c>
      <c r="R211" s="137">
        <f t="shared" si="235"/>
        <v>3062.2942910361744</v>
      </c>
      <c r="S211" s="137">
        <f t="shared" si="235"/>
        <v>3080.0478432373216</v>
      </c>
      <c r="T211" s="137">
        <f t="shared" si="235"/>
        <v>3095.3934521277315</v>
      </c>
      <c r="U211" s="137">
        <f t="shared" si="235"/>
        <v>3108.0295053362538</v>
      </c>
      <c r="V211" s="137">
        <f t="shared" si="235"/>
        <v>3118.4137750523755</v>
      </c>
      <c r="W211" s="137">
        <f t="shared" ref="W211" si="237">IF(W20=0,0,W20*1000000/W74)</f>
        <v>3121.415971149303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1530.7898258227192</v>
      </c>
      <c r="C212" s="84">
        <f t="shared" si="235"/>
        <v>1578.5948744555023</v>
      </c>
      <c r="D212" s="84">
        <f t="shared" si="235"/>
        <v>1603.7928679299512</v>
      </c>
      <c r="E212" s="84">
        <f t="shared" si="235"/>
        <v>1627.0914589016595</v>
      </c>
      <c r="F212" s="84">
        <f t="shared" si="235"/>
        <v>1715.8880282707482</v>
      </c>
      <c r="G212" s="84">
        <f t="shared" si="235"/>
        <v>1733.1037460557377</v>
      </c>
      <c r="H212" s="84">
        <f t="shared" si="235"/>
        <v>1751.755440299193</v>
      </c>
      <c r="I212" s="84">
        <f t="shared" si="235"/>
        <v>1764.6396547291129</v>
      </c>
      <c r="J212" s="84">
        <f t="shared" si="235"/>
        <v>1747.1200976211871</v>
      </c>
      <c r="K212" s="84">
        <f t="shared" si="235"/>
        <v>1758.4322209698157</v>
      </c>
      <c r="L212" s="84">
        <f t="shared" si="235"/>
        <v>1730.7789428915266</v>
      </c>
      <c r="M212" s="84">
        <f t="shared" si="234"/>
        <v>1752.4302467355062</v>
      </c>
      <c r="N212" s="84">
        <f t="shared" si="235"/>
        <v>1766.2656581678521</v>
      </c>
      <c r="O212" s="84">
        <f t="shared" si="235"/>
        <v>1817.424767522002</v>
      </c>
      <c r="P212" s="84">
        <f t="shared" si="235"/>
        <v>1871.0213986723893</v>
      </c>
      <c r="Q212" s="84">
        <f t="shared" si="235"/>
        <v>1891.1232683754606</v>
      </c>
      <c r="R212" s="84">
        <f t="shared" si="235"/>
        <v>1894.6843809026066</v>
      </c>
      <c r="S212" s="84">
        <f t="shared" si="235"/>
        <v>1901.9493562131488</v>
      </c>
      <c r="T212" s="84">
        <f t="shared" si="235"/>
        <v>1906.1157649082111</v>
      </c>
      <c r="U212" s="84">
        <f t="shared" si="235"/>
        <v>1909.5979452764059</v>
      </c>
      <c r="V212" s="84">
        <f t="shared" si="235"/>
        <v>1911.0381311040594</v>
      </c>
      <c r="W212" s="84">
        <f t="shared" ref="W212" si="238">IF(W21=0,0,W21*1000000/W75)</f>
        <v>1909.8928364338199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2755.9730080267132</v>
      </c>
      <c r="C213" s="84">
        <f t="shared" si="235"/>
        <v>2805.8999151659509</v>
      </c>
      <c r="D213" s="84">
        <f t="shared" si="235"/>
        <v>2835.5063629412198</v>
      </c>
      <c r="E213" s="84">
        <f t="shared" si="235"/>
        <v>2863.4006912050454</v>
      </c>
      <c r="F213" s="84">
        <f t="shared" si="235"/>
        <v>2948.0868282801266</v>
      </c>
      <c r="G213" s="84">
        <f t="shared" si="235"/>
        <v>2970.4875351159417</v>
      </c>
      <c r="H213" s="84">
        <f t="shared" si="235"/>
        <v>2994.1382321662063</v>
      </c>
      <c r="I213" s="84">
        <f t="shared" si="235"/>
        <v>3010.5708965220756</v>
      </c>
      <c r="J213" s="84">
        <f t="shared" si="235"/>
        <v>2988.9393810493357</v>
      </c>
      <c r="K213" s="84">
        <f t="shared" si="235"/>
        <v>2992.2073813800562</v>
      </c>
      <c r="L213" s="84">
        <f t="shared" si="235"/>
        <v>2961.9966328148748</v>
      </c>
      <c r="M213" s="84">
        <f t="shared" si="234"/>
        <v>2988.1595658068877</v>
      </c>
      <c r="N213" s="84">
        <f t="shared" si="235"/>
        <v>3007.676223278977</v>
      </c>
      <c r="O213" s="84">
        <f t="shared" si="235"/>
        <v>3058.7990507695404</v>
      </c>
      <c r="P213" s="84">
        <f t="shared" si="235"/>
        <v>3108.7344208254308</v>
      </c>
      <c r="Q213" s="84">
        <f t="shared" si="235"/>
        <v>3133.4575765661621</v>
      </c>
      <c r="R213" s="84">
        <f t="shared" si="235"/>
        <v>3144.3850834374589</v>
      </c>
      <c r="S213" s="84">
        <f t="shared" si="235"/>
        <v>3156.7643098004141</v>
      </c>
      <c r="T213" s="84">
        <f t="shared" si="235"/>
        <v>3168.7454556850585</v>
      </c>
      <c r="U213" s="84">
        <f t="shared" si="235"/>
        <v>3179.6175884170761</v>
      </c>
      <c r="V213" s="84">
        <f t="shared" si="235"/>
        <v>3187.110902965072</v>
      </c>
      <c r="W213" s="84">
        <f t="shared" ref="W213" si="239">IF(W22=0,0,W22*1000000/W76)</f>
        <v>3190.3012538232742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1705.0702392722735</v>
      </c>
      <c r="I214" s="84">
        <f t="shared" si="235"/>
        <v>1719.7497635377315</v>
      </c>
      <c r="J214" s="84">
        <f t="shared" si="235"/>
        <v>1716.779551264126</v>
      </c>
      <c r="K214" s="84">
        <f t="shared" si="235"/>
        <v>1730.6590286490252</v>
      </c>
      <c r="L214" s="84">
        <f t="shared" si="235"/>
        <v>1721.6405335070972</v>
      </c>
      <c r="M214" s="84">
        <f t="shared" si="234"/>
        <v>1741.746132685279</v>
      </c>
      <c r="N214" s="84">
        <f t="shared" si="235"/>
        <v>1757.3018488228965</v>
      </c>
      <c r="O214" s="84">
        <f t="shared" si="235"/>
        <v>1794.9657671178204</v>
      </c>
      <c r="P214" s="84">
        <f t="shared" si="235"/>
        <v>1833.9946101121475</v>
      </c>
      <c r="Q214" s="84">
        <f t="shared" si="235"/>
        <v>1853.4855664140191</v>
      </c>
      <c r="R214" s="84">
        <f t="shared" si="235"/>
        <v>1840.9922382846744</v>
      </c>
      <c r="S214" s="84">
        <f t="shared" si="235"/>
        <v>1828.9731767031208</v>
      </c>
      <c r="T214" s="84">
        <f t="shared" si="235"/>
        <v>1816.9105880171351</v>
      </c>
      <c r="U214" s="84">
        <f t="shared" si="235"/>
        <v>1804.6155674020492</v>
      </c>
      <c r="V214" s="84">
        <f t="shared" si="235"/>
        <v>1791.4896144799093</v>
      </c>
      <c r="W214" s="84">
        <f t="shared" ref="W214" si="240">IF(W23=0,0,W23*1000000/W77)</f>
        <v>1777.3133427404673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1767.6843420282519</v>
      </c>
      <c r="Q215" s="84">
        <f t="shared" si="235"/>
        <v>1777.5937441151361</v>
      </c>
      <c r="R215" s="84">
        <f t="shared" si="235"/>
        <v>1638.291458141955</v>
      </c>
      <c r="S215" s="84">
        <f t="shared" si="235"/>
        <v>1643.4266882518148</v>
      </c>
      <c r="T215" s="84">
        <f t="shared" si="235"/>
        <v>1648.3455857921738</v>
      </c>
      <c r="U215" s="84">
        <f t="shared" si="235"/>
        <v>1652.6791352600731</v>
      </c>
      <c r="V215" s="84">
        <f t="shared" si="235"/>
        <v>1655.2498897381247</v>
      </c>
      <c r="W215" s="84">
        <f t="shared" ref="W215" si="241">IF(W24=0,0,W24*1000000/W78)</f>
        <v>1655.5824887255214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0</v>
      </c>
      <c r="P216" s="84">
        <f t="shared" si="235"/>
        <v>2818.1299675758873</v>
      </c>
      <c r="Q216" s="84">
        <f t="shared" si="235"/>
        <v>2821.8249198004451</v>
      </c>
      <c r="R216" s="84">
        <f t="shared" si="235"/>
        <v>2821.4645961829096</v>
      </c>
      <c r="S216" s="84">
        <f t="shared" si="235"/>
        <v>2821.0441485320048</v>
      </c>
      <c r="T216" s="84">
        <f t="shared" si="235"/>
        <v>2820.6427017346209</v>
      </c>
      <c r="U216" s="84">
        <f t="shared" si="235"/>
        <v>2820.2900655618137</v>
      </c>
      <c r="V216" s="84">
        <f t="shared" si="235"/>
        <v>2817.1606791981462</v>
      </c>
      <c r="W216" s="84">
        <f t="shared" ref="W216" si="242">IF(W25=0,0,W25*1000000/W79)</f>
        <v>2820.0543509498748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187190.67796469867</v>
      </c>
      <c r="C217" s="110">
        <f t="shared" si="235"/>
        <v>202646.5845364347</v>
      </c>
      <c r="D217" s="110">
        <f t="shared" si="235"/>
        <v>210048.6174909648</v>
      </c>
      <c r="E217" s="110">
        <f t="shared" si="235"/>
        <v>218261.28196149267</v>
      </c>
      <c r="F217" s="110">
        <f t="shared" si="235"/>
        <v>249165.97938381272</v>
      </c>
      <c r="G217" s="110">
        <f t="shared" si="235"/>
        <v>267295.0562442196</v>
      </c>
      <c r="H217" s="110">
        <f t="shared" si="235"/>
        <v>283370.12994465273</v>
      </c>
      <c r="I217" s="110">
        <f t="shared" si="235"/>
        <v>287014.69578481372</v>
      </c>
      <c r="J217" s="110">
        <f t="shared" si="235"/>
        <v>294142.54617410788</v>
      </c>
      <c r="K217" s="110">
        <f t="shared" si="235"/>
        <v>273352.33395844488</v>
      </c>
      <c r="L217" s="110">
        <f t="shared" si="235"/>
        <v>301420.87966868456</v>
      </c>
      <c r="M217" s="110">
        <f t="shared" si="234"/>
        <v>313241.41522762069</v>
      </c>
      <c r="N217" s="110">
        <f t="shared" si="235"/>
        <v>309776.2388738544</v>
      </c>
      <c r="O217" s="110">
        <f t="shared" si="235"/>
        <v>315428.21605977631</v>
      </c>
      <c r="P217" s="110">
        <f t="shared" si="235"/>
        <v>322375.13724665524</v>
      </c>
      <c r="Q217" s="110">
        <f t="shared" si="235"/>
        <v>336313.1516795879</v>
      </c>
      <c r="R217" s="110">
        <f t="shared" si="235"/>
        <v>341103.07352259831</v>
      </c>
      <c r="S217" s="110">
        <f t="shared" si="235"/>
        <v>368142.46234873001</v>
      </c>
      <c r="T217" s="110">
        <f t="shared" si="235"/>
        <v>360367.22410574835</v>
      </c>
      <c r="U217" s="110">
        <f t="shared" si="235"/>
        <v>374044.9087790426</v>
      </c>
      <c r="V217" s="110">
        <f t="shared" si="235"/>
        <v>347591.71643527498</v>
      </c>
      <c r="W217" s="110">
        <f t="shared" ref="W217" si="243">IF(W26=0,0,W26*1000000/W80)</f>
        <v>390807.35411670664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72317.588398736349</v>
      </c>
      <c r="C218" s="163">
        <f t="shared" si="235"/>
        <v>76410.642769340571</v>
      </c>
      <c r="D218" s="163">
        <f t="shared" si="235"/>
        <v>77139.684302371694</v>
      </c>
      <c r="E218" s="163">
        <f t="shared" si="235"/>
        <v>81117.34569407173</v>
      </c>
      <c r="F218" s="163">
        <f t="shared" si="235"/>
        <v>93488.391273866961</v>
      </c>
      <c r="G218" s="163">
        <f t="shared" si="235"/>
        <v>101850.65355247832</v>
      </c>
      <c r="H218" s="163">
        <f t="shared" si="235"/>
        <v>96690.708527789568</v>
      </c>
      <c r="I218" s="163">
        <f t="shared" si="235"/>
        <v>104759.57819307031</v>
      </c>
      <c r="J218" s="163">
        <f t="shared" si="235"/>
        <v>110872.76550998949</v>
      </c>
      <c r="K218" s="163">
        <f t="shared" si="235"/>
        <v>101439.58639746846</v>
      </c>
      <c r="L218" s="163">
        <f t="shared" si="235"/>
        <v>113757.27141649679</v>
      </c>
      <c r="M218" s="163">
        <f t="shared" si="234"/>
        <v>114446.43044895385</v>
      </c>
      <c r="N218" s="163">
        <f t="shared" si="235"/>
        <v>99681.923553830376</v>
      </c>
      <c r="O218" s="163">
        <f t="shared" si="235"/>
        <v>103677.27771679474</v>
      </c>
      <c r="P218" s="163">
        <f t="shared" si="235"/>
        <v>112511.59491460686</v>
      </c>
      <c r="Q218" s="163">
        <f t="shared" si="235"/>
        <v>113171.42544579368</v>
      </c>
      <c r="R218" s="163">
        <f t="shared" si="235"/>
        <v>109301.37266953493</v>
      </c>
      <c r="S218" s="163">
        <f t="shared" si="235"/>
        <v>118613.60718870346</v>
      </c>
      <c r="T218" s="163">
        <f t="shared" si="235"/>
        <v>111330.43821555468</v>
      </c>
      <c r="U218" s="163">
        <f t="shared" si="235"/>
        <v>117827.39768024118</v>
      </c>
      <c r="V218" s="163">
        <f t="shared" si="235"/>
        <v>113071.57057654076</v>
      </c>
      <c r="W218" s="163">
        <f t="shared" ref="W218" si="244">IF(W27=0,0,W27*1000000/W81)</f>
        <v>130425.5769637942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1211999.0590059645</v>
      </c>
      <c r="C219" s="86">
        <f t="shared" si="235"/>
        <v>1210735.3164630802</v>
      </c>
      <c r="D219" s="86">
        <f t="shared" si="235"/>
        <v>1218828.220566578</v>
      </c>
      <c r="E219" s="86">
        <f t="shared" si="235"/>
        <v>1211464.4529158361</v>
      </c>
      <c r="F219" s="86">
        <f t="shared" si="235"/>
        <v>1189396.5731766084</v>
      </c>
      <c r="G219" s="86">
        <f t="shared" si="235"/>
        <v>1189875.4504701649</v>
      </c>
      <c r="H219" s="86">
        <f t="shared" si="235"/>
        <v>1197567.9198460584</v>
      </c>
      <c r="I219" s="86">
        <f t="shared" si="235"/>
        <v>1199814.0316679315</v>
      </c>
      <c r="J219" s="86">
        <f t="shared" si="235"/>
        <v>1182830.9074405599</v>
      </c>
      <c r="K219" s="86">
        <f t="shared" si="235"/>
        <v>1167258.7805460761</v>
      </c>
      <c r="L219" s="86">
        <f t="shared" si="235"/>
        <v>1205054.6246474381</v>
      </c>
      <c r="M219" s="86">
        <f t="shared" si="234"/>
        <v>1201329.296970176</v>
      </c>
      <c r="N219" s="86">
        <f t="shared" si="235"/>
        <v>1197282.3775372854</v>
      </c>
      <c r="O219" s="86">
        <f t="shared" si="235"/>
        <v>1198895.6070854515</v>
      </c>
      <c r="P219" s="86">
        <f t="shared" si="235"/>
        <v>1201700.5008313491</v>
      </c>
      <c r="Q219" s="86">
        <f t="shared" si="235"/>
        <v>1190475.0107679935</v>
      </c>
      <c r="R219" s="86">
        <f t="shared" si="235"/>
        <v>1184034.0490217991</v>
      </c>
      <c r="S219" s="86">
        <f t="shared" si="235"/>
        <v>1194319.6902034592</v>
      </c>
      <c r="T219" s="86">
        <f t="shared" si="235"/>
        <v>1203273.759812928</v>
      </c>
      <c r="U219" s="86">
        <f t="shared" si="235"/>
        <v>1198651.5375760566</v>
      </c>
      <c r="V219" s="86">
        <f t="shared" si="235"/>
        <v>1180374.1616660783</v>
      </c>
      <c r="W219" s="86">
        <f t="shared" ref="W219" si="245">IF(W28=0,0,W28*1000000/W82)</f>
        <v>1193537.8590078328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3.7665912718134369E-3</v>
      </c>
      <c r="C223" s="154">
        <f t="shared" si="250"/>
        <v>3.4726278360812696E-3</v>
      </c>
      <c r="D223" s="154">
        <f t="shared" si="250"/>
        <v>3.4113264939356308E-3</v>
      </c>
      <c r="E223" s="154">
        <f t="shared" si="250"/>
        <v>4.0861699165790051E-3</v>
      </c>
      <c r="F223" s="154">
        <f t="shared" si="250"/>
        <v>4.5530627098827872E-3</v>
      </c>
      <c r="G223" s="154">
        <f t="shared" si="250"/>
        <v>5.0304348290429509E-3</v>
      </c>
      <c r="H223" s="154">
        <f t="shared" si="250"/>
        <v>5.5786835250541695E-3</v>
      </c>
      <c r="I223" s="154">
        <f t="shared" si="250"/>
        <v>6.0826731121028342E-3</v>
      </c>
      <c r="J223" s="154">
        <f t="shared" si="250"/>
        <v>6.5512568088871397E-3</v>
      </c>
      <c r="K223" s="154">
        <f t="shared" si="250"/>
        <v>6.5500763465487586E-3</v>
      </c>
      <c r="L223" s="154">
        <f t="shared" ref="L223" si="251">IF(L5=0,0,L5/L$4)</f>
        <v>8.5282292055351289E-3</v>
      </c>
      <c r="M223" s="154">
        <f t="shared" ref="M223:V223" si="252">IF(M5=0,0,M5/M$4)</f>
        <v>1.0040500749333566E-2</v>
      </c>
      <c r="N223" s="154">
        <f t="shared" si="252"/>
        <v>9.1973753300943015E-3</v>
      </c>
      <c r="O223" s="154">
        <f t="shared" si="252"/>
        <v>8.2454248589882047E-3</v>
      </c>
      <c r="P223" s="154">
        <f t="shared" si="252"/>
        <v>8.2835565088287613E-3</v>
      </c>
      <c r="Q223" s="154">
        <f t="shared" si="252"/>
        <v>8.8016194178438933E-3</v>
      </c>
      <c r="R223" s="154">
        <f t="shared" si="252"/>
        <v>9.065546297857368E-3</v>
      </c>
      <c r="S223" s="154">
        <f t="shared" si="252"/>
        <v>8.4510340188275086E-3</v>
      </c>
      <c r="T223" s="154">
        <f t="shared" si="252"/>
        <v>8.004984978116924E-3</v>
      </c>
      <c r="U223" s="154">
        <f t="shared" si="252"/>
        <v>8.4355608602710366E-3</v>
      </c>
      <c r="V223" s="154">
        <f t="shared" si="252"/>
        <v>9.2727897427723905E-3</v>
      </c>
      <c r="W223" s="154">
        <f t="shared" ref="W223" si="253">IF(W5=0,0,W5/W$4)</f>
        <v>8.9992079548665924E-3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0.84981088816890049</v>
      </c>
      <c r="C224" s="156">
        <f t="shared" si="254"/>
        <v>0.85677299613051483</v>
      </c>
      <c r="D224" s="156">
        <f t="shared" si="254"/>
        <v>0.86146280731436664</v>
      </c>
      <c r="E224" s="156">
        <f t="shared" si="254"/>
        <v>0.85740153810023223</v>
      </c>
      <c r="F224" s="156">
        <f t="shared" si="254"/>
        <v>0.86863188407556469</v>
      </c>
      <c r="G224" s="156">
        <f t="shared" si="254"/>
        <v>0.87582691104896448</v>
      </c>
      <c r="H224" s="156">
        <f t="shared" si="254"/>
        <v>0.87523075889753255</v>
      </c>
      <c r="I224" s="156">
        <f t="shared" si="254"/>
        <v>0.87737790853043629</v>
      </c>
      <c r="J224" s="156">
        <f t="shared" si="254"/>
        <v>0.88192327409036919</v>
      </c>
      <c r="K224" s="156">
        <f t="shared" si="254"/>
        <v>0.88385529606046409</v>
      </c>
      <c r="L224" s="156">
        <f t="shared" ref="L224" si="255">IF(L6=0,0,L6/L$4)</f>
        <v>0.88196572802966455</v>
      </c>
      <c r="M224" s="156">
        <f t="shared" ref="M224:V224" si="256">IF(M6=0,0,M6/M$4)</f>
        <v>0.87818108730567024</v>
      </c>
      <c r="N224" s="156">
        <f t="shared" si="256"/>
        <v>0.87842400514125896</v>
      </c>
      <c r="O224" s="156">
        <f t="shared" si="256"/>
        <v>0.87610590367249785</v>
      </c>
      <c r="P224" s="156">
        <f t="shared" si="256"/>
        <v>0.87412639125034997</v>
      </c>
      <c r="Q224" s="156">
        <f t="shared" si="256"/>
        <v>0.87133724529381928</v>
      </c>
      <c r="R224" s="156">
        <f t="shared" si="256"/>
        <v>0.87212389967495818</v>
      </c>
      <c r="S224" s="156">
        <f t="shared" si="256"/>
        <v>0.87312542709621077</v>
      </c>
      <c r="T224" s="156">
        <f t="shared" si="256"/>
        <v>0.87296634745420276</v>
      </c>
      <c r="U224" s="156">
        <f t="shared" si="256"/>
        <v>0.87370598278404099</v>
      </c>
      <c r="V224" s="156">
        <f t="shared" si="256"/>
        <v>0.91431061957640769</v>
      </c>
      <c r="W224" s="156">
        <f t="shared" ref="W224" si="257">IF(W6=0,0,W6/W$4)</f>
        <v>0.90822397240081454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0.68101838867805808</v>
      </c>
      <c r="C225" s="103">
        <f t="shared" si="258"/>
        <v>0.67574693002177411</v>
      </c>
      <c r="D225" s="103">
        <f t="shared" si="258"/>
        <v>0.6234407405016682</v>
      </c>
      <c r="E225" s="103">
        <f t="shared" si="258"/>
        <v>0.61979093703211119</v>
      </c>
      <c r="F225" s="103">
        <f t="shared" si="258"/>
        <v>0.58955115618269749</v>
      </c>
      <c r="G225" s="103">
        <f t="shared" si="258"/>
        <v>0.55952900752990031</v>
      </c>
      <c r="H225" s="103">
        <f t="shared" si="258"/>
        <v>0.52668110252824807</v>
      </c>
      <c r="I225" s="103">
        <f t="shared" si="258"/>
        <v>0.49900385928176316</v>
      </c>
      <c r="J225" s="103">
        <f t="shared" si="258"/>
        <v>0.47252908699361834</v>
      </c>
      <c r="K225" s="103">
        <f t="shared" si="258"/>
        <v>0.44838993100542168</v>
      </c>
      <c r="L225" s="103">
        <f t="shared" ref="L225" si="259">IF(L7=0,0,L7/L$4)</f>
        <v>0.42384865024366813</v>
      </c>
      <c r="M225" s="103">
        <f t="shared" ref="M225:V225" si="260">IF(M7=0,0,M7/M$4)</f>
        <v>0.40407894103130965</v>
      </c>
      <c r="N225" s="103">
        <f t="shared" si="260"/>
        <v>0.3843587706218885</v>
      </c>
      <c r="O225" s="103">
        <f t="shared" si="260"/>
        <v>0.36550228921398642</v>
      </c>
      <c r="P225" s="103">
        <f t="shared" si="260"/>
        <v>0.34769601365872915</v>
      </c>
      <c r="Q225" s="103">
        <f t="shared" si="260"/>
        <v>0.33393769292882192</v>
      </c>
      <c r="R225" s="103">
        <f t="shared" si="260"/>
        <v>0.31898402350917754</v>
      </c>
      <c r="S225" s="103">
        <f t="shared" si="260"/>
        <v>0.30557755605539699</v>
      </c>
      <c r="T225" s="103">
        <f t="shared" si="260"/>
        <v>0.29498608558213485</v>
      </c>
      <c r="U225" s="103">
        <f t="shared" si="260"/>
        <v>0.28717600926785924</v>
      </c>
      <c r="V225" s="103">
        <f t="shared" si="260"/>
        <v>0.27509384730337133</v>
      </c>
      <c r="W225" s="103">
        <f t="shared" ref="W225" si="261">IF(W7=0,0,W7/W$4)</f>
        <v>0.28156670255188054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0.16879249949084241</v>
      </c>
      <c r="C226" s="103">
        <f t="shared" si="262"/>
        <v>0.1810260661087407</v>
      </c>
      <c r="D226" s="103">
        <f t="shared" si="262"/>
        <v>0.23802206681269844</v>
      </c>
      <c r="E226" s="103">
        <f t="shared" si="262"/>
        <v>0.23761060106812107</v>
      </c>
      <c r="F226" s="103">
        <f t="shared" si="262"/>
        <v>0.27908072789286731</v>
      </c>
      <c r="G226" s="103">
        <f t="shared" si="262"/>
        <v>0.31629790351906417</v>
      </c>
      <c r="H226" s="103">
        <f t="shared" si="262"/>
        <v>0.34792404045768466</v>
      </c>
      <c r="I226" s="103">
        <f t="shared" si="262"/>
        <v>0.37690833056276762</v>
      </c>
      <c r="J226" s="103">
        <f t="shared" si="262"/>
        <v>0.40817798057265414</v>
      </c>
      <c r="K226" s="103">
        <f t="shared" si="262"/>
        <v>0.43204663271448251</v>
      </c>
      <c r="L226" s="103">
        <f t="shared" ref="L226" si="263">IF(L8=0,0,L8/L$4)</f>
        <v>0.45397960598708814</v>
      </c>
      <c r="M226" s="103">
        <f t="shared" ref="M226:V226" si="264">IF(M8=0,0,M8/M$4)</f>
        <v>0.4694442130610269</v>
      </c>
      <c r="N226" s="103">
        <f t="shared" si="264"/>
        <v>0.48803357812669707</v>
      </c>
      <c r="O226" s="103">
        <f t="shared" si="264"/>
        <v>0.502068645019352</v>
      </c>
      <c r="P226" s="103">
        <f t="shared" si="264"/>
        <v>0.51757636337012125</v>
      </c>
      <c r="Q226" s="103">
        <f t="shared" si="264"/>
        <v>0.5284949239866007</v>
      </c>
      <c r="R226" s="103">
        <f t="shared" si="264"/>
        <v>0.54324206320745516</v>
      </c>
      <c r="S226" s="103">
        <f t="shared" si="264"/>
        <v>0.55715904403961058</v>
      </c>
      <c r="T226" s="103">
        <f t="shared" si="264"/>
        <v>0.56740044483057339</v>
      </c>
      <c r="U226" s="103">
        <f t="shared" si="264"/>
        <v>0.57571829690502963</v>
      </c>
      <c r="V226" s="103">
        <f t="shared" si="264"/>
        <v>0.6280678370150965</v>
      </c>
      <c r="W226" s="103">
        <f t="shared" ref="W226" si="265">IF(W8=0,0,W8/W$4)</f>
        <v>0.61431274325237617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6.2561591159993784E-4</v>
      </c>
      <c r="I227" s="103">
        <f t="shared" si="266"/>
        <v>1.4657186859054895E-3</v>
      </c>
      <c r="J227" s="103">
        <f t="shared" si="266"/>
        <v>1.216206524096724E-3</v>
      </c>
      <c r="K227" s="103">
        <f t="shared" si="266"/>
        <v>3.4187323405598475E-3</v>
      </c>
      <c r="L227" s="103">
        <f t="shared" ref="L227" si="267">IF(L9=0,0,L9/L$4)</f>
        <v>4.1374717989082505E-3</v>
      </c>
      <c r="M227" s="103">
        <f t="shared" ref="M227:V227" si="268">IF(M9=0,0,M9/M$4)</f>
        <v>4.6538418244462263E-3</v>
      </c>
      <c r="N227" s="103">
        <f t="shared" si="268"/>
        <v>6.0168223867620657E-3</v>
      </c>
      <c r="O227" s="103">
        <f t="shared" si="268"/>
        <v>8.4919198911908092E-3</v>
      </c>
      <c r="P227" s="103">
        <f t="shared" si="268"/>
        <v>8.7021635793155753E-3</v>
      </c>
      <c r="Q227" s="103">
        <f t="shared" si="268"/>
        <v>8.6951491629995905E-3</v>
      </c>
      <c r="R227" s="103">
        <f t="shared" si="268"/>
        <v>9.5583275493914318E-3</v>
      </c>
      <c r="S227" s="103">
        <f t="shared" si="268"/>
        <v>9.8061762362902944E-3</v>
      </c>
      <c r="T227" s="103">
        <f t="shared" si="268"/>
        <v>9.7446732171590569E-3</v>
      </c>
      <c r="U227" s="103">
        <f t="shared" si="268"/>
        <v>9.7441694880573016E-3</v>
      </c>
      <c r="V227" s="103">
        <f t="shared" si="268"/>
        <v>9.5461834446929576E-3</v>
      </c>
      <c r="W227" s="103">
        <f t="shared" ref="W227" si="269">IF(W9=0,0,W9/W$4)</f>
        <v>9.9642908895187562E-3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4.6552933769540977E-6</v>
      </c>
      <c r="O228" s="103">
        <f t="shared" si="272"/>
        <v>2.4277772705101311E-5</v>
      </c>
      <c r="P228" s="103">
        <f t="shared" si="272"/>
        <v>1.1238571344551632E-4</v>
      </c>
      <c r="Q228" s="103">
        <f t="shared" si="272"/>
        <v>1.132346552799619E-4</v>
      </c>
      <c r="R228" s="103">
        <f t="shared" si="272"/>
        <v>1.4719659973743858E-4</v>
      </c>
      <c r="S228" s="103">
        <f t="shared" si="272"/>
        <v>1.9738409624245077E-4</v>
      </c>
      <c r="T228" s="103">
        <f t="shared" si="272"/>
        <v>2.0758179750262967E-4</v>
      </c>
      <c r="U228" s="103">
        <f t="shared" si="272"/>
        <v>1.9092811285367723E-4</v>
      </c>
      <c r="V228" s="103">
        <f t="shared" si="272"/>
        <v>1.8552675525963338E-4</v>
      </c>
      <c r="W228" s="103">
        <f t="shared" ref="W228" si="273">IF(W10=0,0,W10/W$4)</f>
        <v>1.8870768770448259E-4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7.3693085323553709E-6</v>
      </c>
      <c r="P229" s="103">
        <f t="shared" si="276"/>
        <v>1.1146065002462647E-5</v>
      </c>
      <c r="Q229" s="103">
        <f t="shared" si="276"/>
        <v>2.9775410450651893E-5</v>
      </c>
      <c r="R229" s="103">
        <f t="shared" si="276"/>
        <v>7.3741801797858275E-5</v>
      </c>
      <c r="S229" s="103">
        <f t="shared" si="276"/>
        <v>1.6834532992083702E-4</v>
      </c>
      <c r="T229" s="103">
        <f t="shared" si="276"/>
        <v>2.8780807272354124E-4</v>
      </c>
      <c r="U229" s="103">
        <f t="shared" si="276"/>
        <v>3.1908250606434564E-4</v>
      </c>
      <c r="V229" s="103">
        <f t="shared" si="276"/>
        <v>3.72631384798788E-4</v>
      </c>
      <c r="W229" s="103">
        <f t="shared" ref="W229" si="277">IF(W11=0,0,W11/W$4)</f>
        <v>5.2067435562440888E-4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4.0913888873318882E-6</v>
      </c>
      <c r="N230" s="103">
        <f t="shared" si="280"/>
        <v>1.0178712534333927E-5</v>
      </c>
      <c r="O230" s="103">
        <f t="shared" si="280"/>
        <v>1.140246673134105E-5</v>
      </c>
      <c r="P230" s="103">
        <f t="shared" si="280"/>
        <v>2.8318863736085238E-5</v>
      </c>
      <c r="Q230" s="103">
        <f t="shared" si="280"/>
        <v>6.6469149666491226E-5</v>
      </c>
      <c r="R230" s="103">
        <f t="shared" si="280"/>
        <v>1.1854700739860229E-4</v>
      </c>
      <c r="S230" s="103">
        <f t="shared" si="280"/>
        <v>2.1692133874956409E-4</v>
      </c>
      <c r="T230" s="103">
        <f t="shared" si="280"/>
        <v>3.3975395410938502E-4</v>
      </c>
      <c r="U230" s="103">
        <f t="shared" si="280"/>
        <v>5.5749650417676294E-4</v>
      </c>
      <c r="V230" s="103">
        <f t="shared" si="280"/>
        <v>1.0445936731886376E-3</v>
      </c>
      <c r="W230" s="103">
        <f t="shared" ref="W230" si="281">IF(W12=0,0,W12/W$4)</f>
        <v>1.6708536637103136E-3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0.14642252055928609</v>
      </c>
      <c r="C231" s="156">
        <f t="shared" si="282"/>
        <v>0.13975437603340402</v>
      </c>
      <c r="D231" s="156">
        <f t="shared" si="282"/>
        <v>0.13512586619169775</v>
      </c>
      <c r="E231" s="156">
        <f t="shared" si="282"/>
        <v>0.13851229198318879</v>
      </c>
      <c r="F231" s="156">
        <f t="shared" si="282"/>
        <v>0.12681505321455255</v>
      </c>
      <c r="G231" s="156">
        <f t="shared" si="282"/>
        <v>0.1191426541219925</v>
      </c>
      <c r="H231" s="156">
        <f t="shared" si="282"/>
        <v>0.11919055757741327</v>
      </c>
      <c r="I231" s="156">
        <f t="shared" si="282"/>
        <v>0.11653941835746094</v>
      </c>
      <c r="J231" s="156">
        <f t="shared" si="282"/>
        <v>0.11152546910074369</v>
      </c>
      <c r="K231" s="156">
        <f t="shared" si="282"/>
        <v>0.10959462759298713</v>
      </c>
      <c r="L231" s="156">
        <f t="shared" ref="L231" si="283">IF(L13=0,0,L13/L$4)</f>
        <v>0.10950604276480037</v>
      </c>
      <c r="M231" s="156">
        <f t="shared" ref="M231:V231" si="284">IF(M13=0,0,M13/M$4)</f>
        <v>0.11177841194499626</v>
      </c>
      <c r="N231" s="156">
        <f t="shared" si="284"/>
        <v>0.11237861952864669</v>
      </c>
      <c r="O231" s="156">
        <f t="shared" si="284"/>
        <v>0.11564867146851389</v>
      </c>
      <c r="P231" s="156">
        <f t="shared" si="284"/>
        <v>0.11759005224082127</v>
      </c>
      <c r="Q231" s="156">
        <f t="shared" si="284"/>
        <v>0.11986113528833678</v>
      </c>
      <c r="R231" s="156">
        <f t="shared" si="284"/>
        <v>0.11881055402718449</v>
      </c>
      <c r="S231" s="156">
        <f t="shared" si="284"/>
        <v>0.1184235388849617</v>
      </c>
      <c r="T231" s="156">
        <f t="shared" si="284"/>
        <v>0.11902866756768025</v>
      </c>
      <c r="U231" s="156">
        <f t="shared" si="284"/>
        <v>0.11785845635568801</v>
      </c>
      <c r="V231" s="156">
        <f t="shared" si="284"/>
        <v>7.6416590680819768E-2</v>
      </c>
      <c r="W231" s="156">
        <f t="shared" ref="W231" si="285">IF(W13=0,0,W13/W$4)</f>
        <v>8.2776819644318933E-2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8.4837989076287407E-4</v>
      </c>
      <c r="C232" s="103">
        <f t="shared" si="286"/>
        <v>7.6363958853523171E-4</v>
      </c>
      <c r="D232" s="103">
        <f t="shared" si="286"/>
        <v>6.8434456508217152E-4</v>
      </c>
      <c r="E232" s="103">
        <f t="shared" si="286"/>
        <v>6.2041661175909557E-4</v>
      </c>
      <c r="F232" s="103">
        <f t="shared" si="286"/>
        <v>4.7371229532525312E-4</v>
      </c>
      <c r="G232" s="103">
        <f t="shared" si="286"/>
        <v>4.0257112363867873E-4</v>
      </c>
      <c r="H232" s="103">
        <f t="shared" si="286"/>
        <v>3.547723864535746E-4</v>
      </c>
      <c r="I232" s="103">
        <f t="shared" si="286"/>
        <v>2.9567080193421591E-4</v>
      </c>
      <c r="J232" s="103">
        <f t="shared" si="286"/>
        <v>2.2270913091286282E-4</v>
      </c>
      <c r="K232" s="103">
        <f t="shared" si="286"/>
        <v>1.8227013649278095E-4</v>
      </c>
      <c r="L232" s="103">
        <f t="shared" ref="L232" si="287">IF(L14=0,0,L14/L$4)</f>
        <v>1.5115172674972331E-4</v>
      </c>
      <c r="M232" s="103">
        <f t="shared" ref="M232:V232" si="288">IF(M14=0,0,M14/M$4)</f>
        <v>1.2077287298064085E-4</v>
      </c>
      <c r="N232" s="103">
        <f t="shared" si="288"/>
        <v>1.0522751195117174E-4</v>
      </c>
      <c r="O232" s="103">
        <f t="shared" si="288"/>
        <v>8.9165171838366498E-5</v>
      </c>
      <c r="P232" s="103">
        <f t="shared" si="288"/>
        <v>7.168367216716493E-5</v>
      </c>
      <c r="Q232" s="103">
        <f t="shared" si="288"/>
        <v>5.606503712182034E-5</v>
      </c>
      <c r="R232" s="103">
        <f t="shared" si="288"/>
        <v>5.5812131524932798E-5</v>
      </c>
      <c r="S232" s="103">
        <f t="shared" si="288"/>
        <v>5.2128388922484068E-5</v>
      </c>
      <c r="T232" s="103">
        <f t="shared" si="288"/>
        <v>5.0185161661567794E-5</v>
      </c>
      <c r="U232" s="103">
        <f t="shared" si="288"/>
        <v>4.7706169828048631E-5</v>
      </c>
      <c r="V232" s="103">
        <f t="shared" si="288"/>
        <v>3.8658833116137379E-5</v>
      </c>
      <c r="W232" s="103">
        <f t="shared" ref="W232" si="289">IF(W14=0,0,W14/W$4)</f>
        <v>3.5545986811151239E-5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0.1455741406685232</v>
      </c>
      <c r="C233" s="103">
        <f t="shared" si="290"/>
        <v>0.13899073644486878</v>
      </c>
      <c r="D233" s="103">
        <f t="shared" si="290"/>
        <v>0.1344415216266156</v>
      </c>
      <c r="E233" s="103">
        <f t="shared" si="290"/>
        <v>0.13789187537142969</v>
      </c>
      <c r="F233" s="103">
        <f t="shared" si="290"/>
        <v>0.1263413409192273</v>
      </c>
      <c r="G233" s="103">
        <f t="shared" si="290"/>
        <v>0.11874008299835383</v>
      </c>
      <c r="H233" s="103">
        <f t="shared" si="290"/>
        <v>0.11883578519095971</v>
      </c>
      <c r="I233" s="103">
        <f t="shared" si="290"/>
        <v>0.11624374755552673</v>
      </c>
      <c r="J233" s="103">
        <f t="shared" si="290"/>
        <v>0.11130275996983083</v>
      </c>
      <c r="K233" s="103">
        <f t="shared" si="290"/>
        <v>0.10941235745649434</v>
      </c>
      <c r="L233" s="103">
        <f t="shared" ref="L233" si="291">IF(L15=0,0,L15/L$4)</f>
        <v>0.10935489103805064</v>
      </c>
      <c r="M233" s="103">
        <f t="shared" ref="M233:V233" si="292">IF(M15=0,0,M15/M$4)</f>
        <v>0.11165763907201562</v>
      </c>
      <c r="N233" s="103">
        <f t="shared" si="292"/>
        <v>0.11102080951486408</v>
      </c>
      <c r="O233" s="103">
        <f t="shared" si="292"/>
        <v>0.11407396385718414</v>
      </c>
      <c r="P233" s="103">
        <f t="shared" si="292"/>
        <v>0.11462668373767848</v>
      </c>
      <c r="Q233" s="103">
        <f t="shared" si="292"/>
        <v>0.11569347787072962</v>
      </c>
      <c r="R233" s="103">
        <f t="shared" si="292"/>
        <v>0.11379709033705732</v>
      </c>
      <c r="S233" s="103">
        <f t="shared" si="292"/>
        <v>0.11364982084578651</v>
      </c>
      <c r="T233" s="103">
        <f t="shared" si="292"/>
        <v>0.11387035565674068</v>
      </c>
      <c r="U233" s="103">
        <f t="shared" si="292"/>
        <v>0.11124919618376534</v>
      </c>
      <c r="V233" s="103">
        <f t="shared" si="292"/>
        <v>7.1665446574324512E-2</v>
      </c>
      <c r="W233" s="103">
        <f t="shared" ref="W233" si="293">IF(W15=0,0,W15/W$4)</f>
        <v>7.8244469986549089E-2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1.252582501831435E-3</v>
      </c>
      <c r="O235" s="103">
        <f t="shared" si="300"/>
        <v>1.4855424394913774E-3</v>
      </c>
      <c r="P235" s="103">
        <f t="shared" si="300"/>
        <v>2.8058567358477597E-3</v>
      </c>
      <c r="Q235" s="103">
        <f t="shared" si="300"/>
        <v>4.0262417127826496E-3</v>
      </c>
      <c r="R235" s="103">
        <f t="shared" si="300"/>
        <v>4.7862209011955035E-3</v>
      </c>
      <c r="S235" s="103">
        <f t="shared" si="300"/>
        <v>4.5971720040086216E-3</v>
      </c>
      <c r="T235" s="103">
        <f t="shared" si="300"/>
        <v>4.939293904551576E-3</v>
      </c>
      <c r="U235" s="103">
        <f t="shared" si="300"/>
        <v>6.3144320901292782E-3</v>
      </c>
      <c r="V235" s="103">
        <f t="shared" si="300"/>
        <v>4.4929011050409825E-3</v>
      </c>
      <c r="W235" s="103">
        <f t="shared" ref="W235" si="301">IF(W17=0,0,W17/W$4)</f>
        <v>4.2548970619671611E-3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8.5828095127847852E-5</v>
      </c>
      <c r="Q236" s="103">
        <f t="shared" si="304"/>
        <v>8.5350667702690082E-5</v>
      </c>
      <c r="R236" s="103">
        <f t="shared" si="304"/>
        <v>1.7143065740673352E-4</v>
      </c>
      <c r="S236" s="103">
        <f t="shared" si="304"/>
        <v>1.24417646244092E-4</v>
      </c>
      <c r="T236" s="103">
        <f t="shared" si="304"/>
        <v>1.6883284472644024E-4</v>
      </c>
      <c r="U236" s="103">
        <f t="shared" si="304"/>
        <v>2.4712191196532286E-4</v>
      </c>
      <c r="V236" s="103">
        <f t="shared" si="304"/>
        <v>2.195841683381375E-4</v>
      </c>
      <c r="W236" s="103">
        <f t="shared" ref="W236" si="305">IF(W18=0,0,W18/W$4)</f>
        <v>2.4190660899153524E-4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1.0996078683850923E-2</v>
      </c>
      <c r="C238" s="154">
        <f t="shared" si="310"/>
        <v>1.116231317406792E-2</v>
      </c>
      <c r="D238" s="154">
        <f t="shared" si="310"/>
        <v>1.1642023334804191E-2</v>
      </c>
      <c r="E238" s="154">
        <f t="shared" si="310"/>
        <v>1.2451611381943848E-2</v>
      </c>
      <c r="F238" s="154">
        <f t="shared" si="310"/>
        <v>1.2211273773166741E-2</v>
      </c>
      <c r="G238" s="154">
        <f t="shared" si="310"/>
        <v>1.299785094842503E-2</v>
      </c>
      <c r="H238" s="154">
        <f t="shared" si="310"/>
        <v>1.2944546208060246E-2</v>
      </c>
      <c r="I238" s="154">
        <f t="shared" si="310"/>
        <v>1.4165191191966702E-2</v>
      </c>
      <c r="J238" s="154">
        <f t="shared" si="310"/>
        <v>1.5863221855647692E-2</v>
      </c>
      <c r="K238" s="154">
        <f t="shared" si="310"/>
        <v>1.9155398767675393E-2</v>
      </c>
      <c r="L238" s="154">
        <f t="shared" ref="L238" si="311">IF(L20=0,0,L20/L$19)</f>
        <v>1.9571663621281748E-2</v>
      </c>
      <c r="M238" s="154">
        <f t="shared" ref="M238:V238" si="312">IF(M20=0,0,M20/M$19)</f>
        <v>2.0524132887808251E-2</v>
      </c>
      <c r="N238" s="154">
        <f t="shared" si="312"/>
        <v>2.1538437830065951E-2</v>
      </c>
      <c r="O238" s="154">
        <f t="shared" si="312"/>
        <v>2.2247734698353713E-2</v>
      </c>
      <c r="P238" s="154">
        <f t="shared" si="312"/>
        <v>2.2878499806045276E-2</v>
      </c>
      <c r="Q238" s="154">
        <f t="shared" si="312"/>
        <v>2.3010747243529167E-2</v>
      </c>
      <c r="R238" s="154">
        <f t="shared" si="312"/>
        <v>2.2551460448368869E-2</v>
      </c>
      <c r="S238" s="154">
        <f t="shared" si="312"/>
        <v>2.2234945136146902E-2</v>
      </c>
      <c r="T238" s="154">
        <f t="shared" si="312"/>
        <v>2.3642566711563149E-2</v>
      </c>
      <c r="U238" s="154">
        <f t="shared" si="312"/>
        <v>2.4883257335621588E-2</v>
      </c>
      <c r="V238" s="154">
        <f t="shared" si="312"/>
        <v>2.7655589152830184E-2</v>
      </c>
      <c r="W238" s="154">
        <f t="shared" ref="W238" si="313">IF(W20=0,0,W20/W$19)</f>
        <v>2.5551734596433649E-2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1.9359962272211817E-3</v>
      </c>
      <c r="C239" s="103">
        <f t="shared" si="314"/>
        <v>1.9433109248110467E-3</v>
      </c>
      <c r="D239" s="103">
        <f t="shared" si="314"/>
        <v>1.9360654399423554E-3</v>
      </c>
      <c r="E239" s="103">
        <f t="shared" si="314"/>
        <v>1.9032213813516207E-3</v>
      </c>
      <c r="F239" s="103">
        <f t="shared" si="314"/>
        <v>1.7032556419804704E-3</v>
      </c>
      <c r="G239" s="103">
        <f t="shared" si="314"/>
        <v>1.6030561899852951E-3</v>
      </c>
      <c r="H239" s="103">
        <f t="shared" si="314"/>
        <v>1.3503036893787789E-3</v>
      </c>
      <c r="I239" s="103">
        <f t="shared" si="314"/>
        <v>1.3261946562045199E-3</v>
      </c>
      <c r="J239" s="103">
        <f t="shared" si="314"/>
        <v>1.3090065359833783E-3</v>
      </c>
      <c r="K239" s="103">
        <f t="shared" si="314"/>
        <v>1.4200885444819766E-3</v>
      </c>
      <c r="L239" s="103">
        <f t="shared" ref="L239" si="315">IF(L21=0,0,L21/L$19)</f>
        <v>1.3291990801400065E-3</v>
      </c>
      <c r="M239" s="103">
        <f t="shared" ref="M239:V239" si="316">IF(M21=0,0,M21/M$19)</f>
        <v>1.2752969698246117E-3</v>
      </c>
      <c r="N239" s="103">
        <f t="shared" si="316"/>
        <v>1.2395752947771926E-3</v>
      </c>
      <c r="O239" s="103">
        <f t="shared" si="316"/>
        <v>1.1760015076586758E-3</v>
      </c>
      <c r="P239" s="103">
        <f t="shared" si="316"/>
        <v>1.0272446810161105E-3</v>
      </c>
      <c r="Q239" s="103">
        <f t="shared" si="316"/>
        <v>9.2538692725937176E-4</v>
      </c>
      <c r="R239" s="103">
        <f t="shared" si="316"/>
        <v>8.089556983830146E-4</v>
      </c>
      <c r="S239" s="103">
        <f t="shared" si="316"/>
        <v>7.287245118230279E-4</v>
      </c>
      <c r="T239" s="103">
        <f t="shared" si="316"/>
        <v>7.3458370025677598E-4</v>
      </c>
      <c r="U239" s="103">
        <f t="shared" si="316"/>
        <v>7.2853067268887251E-4</v>
      </c>
      <c r="V239" s="103">
        <f t="shared" si="316"/>
        <v>7.6313592004939796E-4</v>
      </c>
      <c r="W239" s="103">
        <f t="shared" ref="W239" si="317">IF(W21=0,0,W21/W$19)</f>
        <v>7.006216787009429E-4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9.0600824566297415E-3</v>
      </c>
      <c r="C240" s="103">
        <f t="shared" si="318"/>
        <v>9.2190022492568725E-3</v>
      </c>
      <c r="D240" s="103">
        <f t="shared" si="318"/>
        <v>9.7059578948618368E-3</v>
      </c>
      <c r="E240" s="103">
        <f t="shared" si="318"/>
        <v>1.0548390000592229E-2</v>
      </c>
      <c r="F240" s="103">
        <f t="shared" si="318"/>
        <v>1.0508018131186271E-2</v>
      </c>
      <c r="G240" s="103">
        <f t="shared" si="318"/>
        <v>1.1394794758439736E-2</v>
      </c>
      <c r="H240" s="103">
        <f t="shared" si="318"/>
        <v>1.1523305789730999E-2</v>
      </c>
      <c r="I240" s="103">
        <f t="shared" si="318"/>
        <v>1.2765021498332493E-2</v>
      </c>
      <c r="J240" s="103">
        <f t="shared" si="318"/>
        <v>1.4446057718665759E-2</v>
      </c>
      <c r="K240" s="103">
        <f t="shared" si="318"/>
        <v>1.7685866373255803E-2</v>
      </c>
      <c r="L240" s="103">
        <f t="shared" ref="L240" si="319">IF(L22=0,0,L22/L$19)</f>
        <v>1.8224943049403149E-2</v>
      </c>
      <c r="M240" s="103">
        <f t="shared" ref="M240:V240" si="320">IF(M22=0,0,M22/M$19)</f>
        <v>1.9233629399358916E-2</v>
      </c>
      <c r="N240" s="103">
        <f t="shared" si="320"/>
        <v>2.0284344766691404E-2</v>
      </c>
      <c r="O240" s="103">
        <f t="shared" si="320"/>
        <v>2.1056953097928873E-2</v>
      </c>
      <c r="P240" s="103">
        <f t="shared" si="320"/>
        <v>2.1758185707541684E-2</v>
      </c>
      <c r="Q240" s="103">
        <f t="shared" si="320"/>
        <v>2.1968756963406059E-2</v>
      </c>
      <c r="R240" s="103">
        <f t="shared" si="320"/>
        <v>2.1629227487304167E-2</v>
      </c>
      <c r="S240" s="103">
        <f t="shared" si="320"/>
        <v>2.1378890007754107E-2</v>
      </c>
      <c r="T240" s="103">
        <f t="shared" si="320"/>
        <v>2.2779209342854552E-2</v>
      </c>
      <c r="U240" s="103">
        <f t="shared" si="320"/>
        <v>2.4002607308102372E-2</v>
      </c>
      <c r="V240" s="103">
        <f t="shared" si="320"/>
        <v>2.6721394147047235E-2</v>
      </c>
      <c r="W240" s="103">
        <f t="shared" ref="W240" si="321">IF(W22=0,0,W22/W$19)</f>
        <v>2.4681413876350287E-2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7.0936728950469525E-5</v>
      </c>
      <c r="I241" s="103">
        <f t="shared" si="322"/>
        <v>7.3975037429688915E-5</v>
      </c>
      <c r="J241" s="103">
        <f t="shared" si="322"/>
        <v>1.0815760099855484E-4</v>
      </c>
      <c r="K241" s="103">
        <f t="shared" si="322"/>
        <v>4.9443849937612967E-5</v>
      </c>
      <c r="L241" s="103">
        <f t="shared" ref="L241" si="323">IF(L23=0,0,L23/L$19)</f>
        <v>1.752149173859146E-5</v>
      </c>
      <c r="M241" s="103">
        <f t="shared" ref="M241:V241" si="324">IF(M23=0,0,M23/M$19)</f>
        <v>1.520651862472531E-5</v>
      </c>
      <c r="N241" s="103">
        <f t="shared" si="324"/>
        <v>1.4517768597354608E-5</v>
      </c>
      <c r="O241" s="103">
        <f t="shared" si="324"/>
        <v>1.4780092766168344E-5</v>
      </c>
      <c r="P241" s="103">
        <f t="shared" si="324"/>
        <v>8.105281253510308E-5</v>
      </c>
      <c r="Q241" s="103">
        <f t="shared" si="324"/>
        <v>8.7100839483598809E-5</v>
      </c>
      <c r="R241" s="103">
        <f t="shared" si="324"/>
        <v>7.9048169875964837E-5</v>
      </c>
      <c r="S241" s="103">
        <f t="shared" si="324"/>
        <v>7.8543802215527144E-5</v>
      </c>
      <c r="T241" s="103">
        <f t="shared" si="324"/>
        <v>7.6883848295423654E-5</v>
      </c>
      <c r="U241" s="103">
        <f t="shared" si="324"/>
        <v>8.8031392375854855E-5</v>
      </c>
      <c r="V241" s="103">
        <f t="shared" si="324"/>
        <v>9.7174211409700471E-5</v>
      </c>
      <c r="W241" s="103">
        <f t="shared" ref="W241" si="325">IF(W23=0,0,W23/W$19)</f>
        <v>8.856105051708236E-5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6.3725099150607543E-6</v>
      </c>
      <c r="Q242" s="103">
        <f t="shared" si="328"/>
        <v>1.6348566337394485E-5</v>
      </c>
      <c r="R242" s="103">
        <f t="shared" si="328"/>
        <v>1.3767182112499631E-5</v>
      </c>
      <c r="S242" s="103">
        <f t="shared" si="328"/>
        <v>1.2738045131132669E-5</v>
      </c>
      <c r="T242" s="103">
        <f t="shared" si="328"/>
        <v>1.258918714940925E-5</v>
      </c>
      <c r="U242" s="103">
        <f t="shared" si="328"/>
        <v>1.6795780042148869E-5</v>
      </c>
      <c r="V242" s="103">
        <f t="shared" si="328"/>
        <v>1.795685572734865E-5</v>
      </c>
      <c r="W242" s="103">
        <f t="shared" ref="W242" si="329">IF(W24=0,0,W24/W$19)</f>
        <v>1.6499074293015996E-5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0</v>
      </c>
      <c r="P243" s="103">
        <f t="shared" si="332"/>
        <v>5.6440950373216722E-6</v>
      </c>
      <c r="Q243" s="103">
        <f t="shared" si="332"/>
        <v>1.3153947042745148E-5</v>
      </c>
      <c r="R243" s="103">
        <f t="shared" si="332"/>
        <v>2.0461910693224804E-5</v>
      </c>
      <c r="S243" s="103">
        <f t="shared" si="332"/>
        <v>3.6048769223111766E-5</v>
      </c>
      <c r="T243" s="103">
        <f t="shared" si="332"/>
        <v>3.9300633006983703E-5</v>
      </c>
      <c r="U243" s="103">
        <f t="shared" si="332"/>
        <v>4.7292182412338869E-5</v>
      </c>
      <c r="V243" s="103">
        <f t="shared" si="332"/>
        <v>5.5928018596501431E-5</v>
      </c>
      <c r="W243" s="103">
        <f t="shared" ref="W243" si="333">IF(W25=0,0,W25/W$19)</f>
        <v>6.4638916572323966E-5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0.98900392131614911</v>
      </c>
      <c r="C244" s="156">
        <f t="shared" si="334"/>
        <v>0.98883768682593209</v>
      </c>
      <c r="D244" s="156">
        <f t="shared" si="334"/>
        <v>0.98835797666519587</v>
      </c>
      <c r="E244" s="156">
        <f t="shared" si="334"/>
        <v>0.98754838861805616</v>
      </c>
      <c r="F244" s="156">
        <f t="shared" si="334"/>
        <v>0.98778872622683322</v>
      </c>
      <c r="G244" s="156">
        <f t="shared" si="334"/>
        <v>0.98700214905157502</v>
      </c>
      <c r="H244" s="156">
        <f t="shared" si="334"/>
        <v>0.98705545379193971</v>
      </c>
      <c r="I244" s="156">
        <f t="shared" si="334"/>
        <v>0.9858348088080332</v>
      </c>
      <c r="J244" s="156">
        <f t="shared" si="334"/>
        <v>0.9841367781443523</v>
      </c>
      <c r="K244" s="156">
        <f t="shared" si="334"/>
        <v>0.98084460123232453</v>
      </c>
      <c r="L244" s="156">
        <f t="shared" ref="L244" si="335">IF(L26=0,0,L26/L$19)</f>
        <v>0.98042833637871829</v>
      </c>
      <c r="M244" s="156">
        <f t="shared" ref="M244:V244" si="336">IF(M26=0,0,M26/M$19)</f>
        <v>0.9794758671121917</v>
      </c>
      <c r="N244" s="156">
        <f t="shared" si="336"/>
        <v>0.97846156216993407</v>
      </c>
      <c r="O244" s="156">
        <f t="shared" si="336"/>
        <v>0.97775226530164627</v>
      </c>
      <c r="P244" s="156">
        <f t="shared" si="336"/>
        <v>0.97712150019395472</v>
      </c>
      <c r="Q244" s="156">
        <f t="shared" si="336"/>
        <v>0.97698925275647086</v>
      </c>
      <c r="R244" s="156">
        <f t="shared" si="336"/>
        <v>0.97744853955163102</v>
      </c>
      <c r="S244" s="156">
        <f t="shared" si="336"/>
        <v>0.97776505486385312</v>
      </c>
      <c r="T244" s="156">
        <f t="shared" si="336"/>
        <v>0.97635743328843683</v>
      </c>
      <c r="U244" s="156">
        <f t="shared" si="336"/>
        <v>0.97511674266437842</v>
      </c>
      <c r="V244" s="156">
        <f t="shared" si="336"/>
        <v>0.97234441084716972</v>
      </c>
      <c r="W244" s="156">
        <f t="shared" ref="W244" si="337">IF(W26=0,0,W26/W$19)</f>
        <v>0.97444826540356644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0.343571327182982</v>
      </c>
      <c r="C245" s="103">
        <f t="shared" si="338"/>
        <v>0.33136066723195284</v>
      </c>
      <c r="D245" s="103">
        <f t="shared" si="338"/>
        <v>0.32071624136365262</v>
      </c>
      <c r="E245" s="103">
        <f t="shared" si="338"/>
        <v>0.32249403382063413</v>
      </c>
      <c r="F245" s="103">
        <f t="shared" si="338"/>
        <v>0.31797517611861975</v>
      </c>
      <c r="G245" s="103">
        <f t="shared" si="338"/>
        <v>0.31890139560885811</v>
      </c>
      <c r="H245" s="103">
        <f t="shared" si="338"/>
        <v>0.27968779245565284</v>
      </c>
      <c r="I245" s="103">
        <f t="shared" si="338"/>
        <v>0.29993928732104469</v>
      </c>
      <c r="J245" s="103">
        <f t="shared" si="338"/>
        <v>0.30753472451786007</v>
      </c>
      <c r="K245" s="103">
        <f t="shared" si="338"/>
        <v>0.30527653353945128</v>
      </c>
      <c r="L245" s="103">
        <f t="shared" ref="L245" si="339">IF(L27=0,0,L27/L$19)</f>
        <v>0.30638748881837935</v>
      </c>
      <c r="M245" s="103">
        <f t="shared" ref="M245:V245" si="340">IF(M27=0,0,M27/M$19)</f>
        <v>0.2924085153115335</v>
      </c>
      <c r="N245" s="103">
        <f t="shared" si="340"/>
        <v>0.25458872413305378</v>
      </c>
      <c r="O245" s="103">
        <f t="shared" si="340"/>
        <v>0.25923981157704329</v>
      </c>
      <c r="P245" s="103">
        <f t="shared" si="340"/>
        <v>0.27531552485419314</v>
      </c>
      <c r="Q245" s="103">
        <f t="shared" si="340"/>
        <v>0.26066624225539708</v>
      </c>
      <c r="R245" s="103">
        <f t="shared" si="340"/>
        <v>0.2456549079657154</v>
      </c>
      <c r="S245" s="103">
        <f t="shared" si="340"/>
        <v>0.24195394527049938</v>
      </c>
      <c r="T245" s="103">
        <f t="shared" si="340"/>
        <v>0.23283957394278154</v>
      </c>
      <c r="U245" s="103">
        <f t="shared" si="340"/>
        <v>0.23435322653299184</v>
      </c>
      <c r="V245" s="103">
        <f t="shared" si="340"/>
        <v>0.24680168857272244</v>
      </c>
      <c r="W245" s="103">
        <f t="shared" ref="W245" si="341">IF(W27=0,0,W27/W$19)</f>
        <v>0.24555538207756061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0.64543259413316711</v>
      </c>
      <c r="C246" s="105">
        <f t="shared" si="342"/>
        <v>0.6574770195939792</v>
      </c>
      <c r="D246" s="105">
        <f t="shared" si="342"/>
        <v>0.66764173530154325</v>
      </c>
      <c r="E246" s="105">
        <f t="shared" si="342"/>
        <v>0.66505435479742203</v>
      </c>
      <c r="F246" s="105">
        <f t="shared" si="342"/>
        <v>0.66981355010821353</v>
      </c>
      <c r="G246" s="105">
        <f t="shared" si="342"/>
        <v>0.66810075344271691</v>
      </c>
      <c r="H246" s="105">
        <f t="shared" si="342"/>
        <v>0.70736766133628692</v>
      </c>
      <c r="I246" s="105">
        <f t="shared" si="342"/>
        <v>0.68589552148698851</v>
      </c>
      <c r="J246" s="105">
        <f t="shared" si="342"/>
        <v>0.67660205362649228</v>
      </c>
      <c r="K246" s="105">
        <f t="shared" si="342"/>
        <v>0.67556806769287325</v>
      </c>
      <c r="L246" s="105">
        <f t="shared" ref="L246" si="343">IF(L28=0,0,L28/L$19)</f>
        <v>0.674040847560339</v>
      </c>
      <c r="M246" s="105">
        <f t="shared" ref="M246:V246" si="344">IF(M28=0,0,M28/M$19)</f>
        <v>0.68706735180065825</v>
      </c>
      <c r="N246" s="105">
        <f t="shared" si="344"/>
        <v>0.7238728380368803</v>
      </c>
      <c r="O246" s="105">
        <f t="shared" si="344"/>
        <v>0.71851245372460304</v>
      </c>
      <c r="P246" s="105">
        <f t="shared" si="344"/>
        <v>0.70180597533976152</v>
      </c>
      <c r="Q246" s="105">
        <f t="shared" si="344"/>
        <v>0.71632301050107383</v>
      </c>
      <c r="R246" s="105">
        <f t="shared" si="344"/>
        <v>0.7317936315859157</v>
      </c>
      <c r="S246" s="105">
        <f t="shared" si="344"/>
        <v>0.73581110959335372</v>
      </c>
      <c r="T246" s="105">
        <f t="shared" si="344"/>
        <v>0.74351785934565529</v>
      </c>
      <c r="U246" s="105">
        <f t="shared" si="344"/>
        <v>0.74076351613138658</v>
      </c>
      <c r="V246" s="105">
        <f t="shared" si="344"/>
        <v>0.72554272227444727</v>
      </c>
      <c r="W246" s="105">
        <f t="shared" ref="W246" si="345">IF(W28=0,0,W28/W$19)</f>
        <v>0.72889288332600577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7.2253226751614764E-3</v>
      </c>
      <c r="C250" s="154">
        <f t="shared" si="350"/>
        <v>6.615774451483529E-3</v>
      </c>
      <c r="D250" s="154">
        <f t="shared" si="350"/>
        <v>6.3004822472253301E-3</v>
      </c>
      <c r="E250" s="154">
        <f t="shared" si="350"/>
        <v>7.4638893572507546E-3</v>
      </c>
      <c r="F250" s="154">
        <f t="shared" si="350"/>
        <v>8.0595735901486457E-3</v>
      </c>
      <c r="G250" s="154">
        <f t="shared" si="350"/>
        <v>8.7326890177174075E-3</v>
      </c>
      <c r="H250" s="154">
        <f t="shared" si="350"/>
        <v>9.5495545233947963E-3</v>
      </c>
      <c r="I250" s="154">
        <f t="shared" si="350"/>
        <v>1.0541263887148678E-2</v>
      </c>
      <c r="J250" s="154">
        <f t="shared" si="350"/>
        <v>1.1346528745895113E-2</v>
      </c>
      <c r="K250" s="154">
        <f t="shared" si="350"/>
        <v>1.1177916923215202E-2</v>
      </c>
      <c r="L250" s="154">
        <f t="shared" ref="L250" si="351">IF(L32=0,0,L32/L$31)</f>
        <v>1.4414547078754048E-2</v>
      </c>
      <c r="M250" s="154">
        <f t="shared" ref="M250:V250" si="352">IF(M32=0,0,M32/M$31)</f>
        <v>1.6819210536298576E-2</v>
      </c>
      <c r="N250" s="154">
        <f t="shared" si="352"/>
        <v>1.5324506092986332E-2</v>
      </c>
      <c r="O250" s="154">
        <f t="shared" si="352"/>
        <v>1.3604469524957735E-2</v>
      </c>
      <c r="P250" s="154">
        <f t="shared" si="352"/>
        <v>1.3536603324154919E-2</v>
      </c>
      <c r="Q250" s="154">
        <f t="shared" si="352"/>
        <v>1.4300288751551725E-2</v>
      </c>
      <c r="R250" s="154">
        <f t="shared" si="352"/>
        <v>1.5000740028213718E-2</v>
      </c>
      <c r="S250" s="154">
        <f t="shared" si="352"/>
        <v>1.3538273450626246E-2</v>
      </c>
      <c r="T250" s="154">
        <f t="shared" si="352"/>
        <v>1.2515039983399747E-2</v>
      </c>
      <c r="U250" s="154">
        <f t="shared" si="352"/>
        <v>1.2922073709061611E-2</v>
      </c>
      <c r="V250" s="154">
        <f t="shared" si="352"/>
        <v>1.3203075088794839E-2</v>
      </c>
      <c r="W250" s="154">
        <f t="shared" ref="W250" si="353">IF(W32=0,0,W32/W$31)</f>
        <v>1.3173785688069629E-2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0.98031740447462634</v>
      </c>
      <c r="C251" s="156">
        <f t="shared" si="354"/>
        <v>0.98171888811771846</v>
      </c>
      <c r="D251" s="156">
        <f t="shared" si="354"/>
        <v>0.98291492643364831</v>
      </c>
      <c r="E251" s="156">
        <f t="shared" si="354"/>
        <v>0.9821820062479516</v>
      </c>
      <c r="F251" s="156">
        <f t="shared" si="354"/>
        <v>0.9818480598115642</v>
      </c>
      <c r="G251" s="156">
        <f t="shared" si="354"/>
        <v>0.98177024521021805</v>
      </c>
      <c r="H251" s="156">
        <f t="shared" si="354"/>
        <v>0.98118484871879619</v>
      </c>
      <c r="I251" s="156">
        <f t="shared" si="354"/>
        <v>0.9804781492108352</v>
      </c>
      <c r="J251" s="156">
        <f t="shared" si="354"/>
        <v>0.97976413056580114</v>
      </c>
      <c r="K251" s="156">
        <f t="shared" si="354"/>
        <v>0.98021233043688205</v>
      </c>
      <c r="L251" s="156">
        <f t="shared" ref="L251" si="355">IF(L33=0,0,L33/L$31)</f>
        <v>0.97708262829807402</v>
      </c>
      <c r="M251" s="156">
        <f t="shared" ref="M251:V251" si="356">IF(M33=0,0,M33/M$31)</f>
        <v>0.97459270548188837</v>
      </c>
      <c r="N251" s="156">
        <f t="shared" si="356"/>
        <v>0.97615279498168872</v>
      </c>
      <c r="O251" s="156">
        <f t="shared" si="356"/>
        <v>0.97773988382951627</v>
      </c>
      <c r="P251" s="156">
        <f t="shared" si="356"/>
        <v>0.97777816348163227</v>
      </c>
      <c r="Q251" s="156">
        <f t="shared" si="356"/>
        <v>0.97698405333215077</v>
      </c>
      <c r="R251" s="156">
        <f t="shared" si="356"/>
        <v>0.97639136213063549</v>
      </c>
      <c r="S251" s="156">
        <f t="shared" si="356"/>
        <v>0.97809241504964639</v>
      </c>
      <c r="T251" s="156">
        <f t="shared" si="356"/>
        <v>0.97955398662599757</v>
      </c>
      <c r="U251" s="156">
        <f t="shared" si="356"/>
        <v>0.97929392328286535</v>
      </c>
      <c r="V251" s="156">
        <f t="shared" si="356"/>
        <v>0.98140200819375567</v>
      </c>
      <c r="W251" s="156">
        <f t="shared" ref="W251" si="357">IF(W33=0,0,W33/W$31)</f>
        <v>0.98082651636717133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0.7903418263480021</v>
      </c>
      <c r="C252" s="103">
        <f t="shared" si="358"/>
        <v>0.77926330357634743</v>
      </c>
      <c r="D252" s="103">
        <f t="shared" si="358"/>
        <v>0.71731834366719238</v>
      </c>
      <c r="E252" s="103">
        <f t="shared" si="358"/>
        <v>0.71598059814089343</v>
      </c>
      <c r="F252" s="103">
        <f t="shared" si="358"/>
        <v>0.6729185695810832</v>
      </c>
      <c r="G252" s="103">
        <f t="shared" si="358"/>
        <v>0.6341245908120372</v>
      </c>
      <c r="H252" s="103">
        <f t="shared" si="358"/>
        <v>0.5976033576983959</v>
      </c>
      <c r="I252" s="103">
        <f t="shared" si="358"/>
        <v>0.5649508968696082</v>
      </c>
      <c r="J252" s="103">
        <f t="shared" si="358"/>
        <v>0.532377227653693</v>
      </c>
      <c r="K252" s="103">
        <f t="shared" si="358"/>
        <v>0.5046890863530874</v>
      </c>
      <c r="L252" s="103">
        <f t="shared" ref="L252" si="359">IF(L34=0,0,L34/L$31)</f>
        <v>0.47693623686500342</v>
      </c>
      <c r="M252" s="103">
        <f t="shared" ref="M252:V252" si="360">IF(M34=0,0,M34/M$31)</f>
        <v>0.45576006202754943</v>
      </c>
      <c r="N252" s="103">
        <f t="shared" si="360"/>
        <v>0.43436297673495244</v>
      </c>
      <c r="O252" s="103">
        <f t="shared" si="360"/>
        <v>0.41502759434468789</v>
      </c>
      <c r="P252" s="103">
        <f t="shared" si="360"/>
        <v>0.39594830231683797</v>
      </c>
      <c r="Q252" s="103">
        <f t="shared" si="360"/>
        <v>0.38135463973202749</v>
      </c>
      <c r="R252" s="103">
        <f t="shared" si="360"/>
        <v>0.36390315683688979</v>
      </c>
      <c r="S252" s="103">
        <f t="shared" si="360"/>
        <v>0.34896921447885221</v>
      </c>
      <c r="T252" s="103">
        <f t="shared" si="360"/>
        <v>0.33755090319975484</v>
      </c>
      <c r="U252" s="103">
        <f t="shared" si="360"/>
        <v>0.32832117110122649</v>
      </c>
      <c r="V252" s="103">
        <f t="shared" si="360"/>
        <v>0.30141759087072345</v>
      </c>
      <c r="W252" s="103">
        <f t="shared" ref="W252" si="361">IF(W34=0,0,W34/W$31)</f>
        <v>0.31023970564660935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0.18997557812662416</v>
      </c>
      <c r="C253" s="103">
        <f t="shared" si="362"/>
        <v>0.20245558454137097</v>
      </c>
      <c r="D253" s="103">
        <f t="shared" si="362"/>
        <v>0.26559658276645592</v>
      </c>
      <c r="E253" s="103">
        <f t="shared" si="362"/>
        <v>0.26620140810705811</v>
      </c>
      <c r="F253" s="103">
        <f t="shared" si="362"/>
        <v>0.30892949023048105</v>
      </c>
      <c r="G253" s="103">
        <f t="shared" si="362"/>
        <v>0.34764565439818079</v>
      </c>
      <c r="H253" s="103">
        <f t="shared" si="362"/>
        <v>0.38285844770922239</v>
      </c>
      <c r="I253" s="103">
        <f t="shared" si="362"/>
        <v>0.41383863939477139</v>
      </c>
      <c r="J253" s="103">
        <f t="shared" si="362"/>
        <v>0.44599398242379801</v>
      </c>
      <c r="K253" s="103">
        <f t="shared" si="362"/>
        <v>0.47161454390318958</v>
      </c>
      <c r="L253" s="103">
        <f t="shared" ref="L253" si="363">IF(L35=0,0,L35/L$31)</f>
        <v>0.49542094445028317</v>
      </c>
      <c r="M253" s="103">
        <f t="shared" ref="M253:V253" si="364">IF(M35=0,0,M35/M$31)</f>
        <v>0.51350247489053913</v>
      </c>
      <c r="N253" s="103">
        <f t="shared" si="364"/>
        <v>0.53487735538204551</v>
      </c>
      <c r="O253" s="103">
        <f t="shared" si="364"/>
        <v>0.55288966844687737</v>
      </c>
      <c r="P253" s="103">
        <f t="shared" si="364"/>
        <v>0.57161249237942813</v>
      </c>
      <c r="Q253" s="103">
        <f t="shared" si="364"/>
        <v>0.58531939582548409</v>
      </c>
      <c r="R253" s="103">
        <f t="shared" si="364"/>
        <v>0.6010336457645743</v>
      </c>
      <c r="S253" s="103">
        <f t="shared" si="364"/>
        <v>0.61706846183438602</v>
      </c>
      <c r="T253" s="103">
        <f t="shared" si="364"/>
        <v>0.62967422818049701</v>
      </c>
      <c r="U253" s="103">
        <f t="shared" si="364"/>
        <v>0.63833589616497832</v>
      </c>
      <c r="V253" s="103">
        <f t="shared" si="364"/>
        <v>0.66739473201103972</v>
      </c>
      <c r="W253" s="103">
        <f t="shared" ref="W253" si="365">IF(W35=0,0,W35/W$31)</f>
        <v>0.6564386026474468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7.2304331117787517E-4</v>
      </c>
      <c r="I254" s="103">
        <f t="shared" si="366"/>
        <v>1.6886129464556928E-3</v>
      </c>
      <c r="J254" s="103">
        <f t="shared" si="366"/>
        <v>1.3929204883101262E-3</v>
      </c>
      <c r="K254" s="103">
        <f t="shared" si="366"/>
        <v>3.9087001806051049E-3</v>
      </c>
      <c r="L254" s="103">
        <f t="shared" ref="L254" si="367">IF(L36=0,0,L36/L$31)</f>
        <v>4.7254469827873449E-3</v>
      </c>
      <c r="M254" s="103">
        <f t="shared" ref="M254:V254" si="368">IF(M36=0,0,M36/M$31)</f>
        <v>5.3245015862138888E-3</v>
      </c>
      <c r="N254" s="103">
        <f t="shared" si="368"/>
        <v>6.8930124664811927E-3</v>
      </c>
      <c r="O254" s="103">
        <f t="shared" si="368"/>
        <v>9.7701420642032633E-3</v>
      </c>
      <c r="P254" s="103">
        <f t="shared" si="368"/>
        <v>1.003509781405156E-2</v>
      </c>
      <c r="Q254" s="103">
        <f t="shared" si="368"/>
        <v>1.0050935802811033E-2</v>
      </c>
      <c r="R254" s="103">
        <f t="shared" si="368"/>
        <v>1.1032042224520843E-2</v>
      </c>
      <c r="S254" s="103">
        <f t="shared" si="368"/>
        <v>1.1324817576010511E-2</v>
      </c>
      <c r="T254" s="103">
        <f t="shared" si="368"/>
        <v>1.1272660303186469E-2</v>
      </c>
      <c r="U254" s="103">
        <f t="shared" si="368"/>
        <v>1.1259545108631315E-2</v>
      </c>
      <c r="V254" s="103">
        <f t="shared" si="368"/>
        <v>1.0563582288587038E-2</v>
      </c>
      <c r="W254" s="103">
        <f t="shared" ref="W254" si="369">IF(W36=0,0,W36/W$31)</f>
        <v>1.1093635715810825E-2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5.3332129851585188E-6</v>
      </c>
      <c r="O255" s="103">
        <f t="shared" si="372"/>
        <v>2.793211563115845E-5</v>
      </c>
      <c r="P255" s="103">
        <f t="shared" si="372"/>
        <v>1.2960014105094852E-4</v>
      </c>
      <c r="Q255" s="103">
        <f t="shared" si="372"/>
        <v>1.3089071038773487E-4</v>
      </c>
      <c r="R255" s="103">
        <f t="shared" si="372"/>
        <v>1.6989155217982739E-4</v>
      </c>
      <c r="S255" s="103">
        <f t="shared" si="372"/>
        <v>2.279521424547732E-4</v>
      </c>
      <c r="T255" s="103">
        <f t="shared" si="372"/>
        <v>2.4013109893224153E-4</v>
      </c>
      <c r="U255" s="103">
        <f t="shared" si="372"/>
        <v>2.2062051587019637E-4</v>
      </c>
      <c r="V255" s="103">
        <f t="shared" si="372"/>
        <v>2.0529954795800819E-4</v>
      </c>
      <c r="W255" s="103">
        <f t="shared" ref="W255" si="373">IF(W37=0,0,W37/W$31)</f>
        <v>2.1009566735637829E-4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8.6647848505282389E-6</v>
      </c>
      <c r="P256" s="103">
        <f t="shared" si="376"/>
        <v>1.3135662837636878E-5</v>
      </c>
      <c r="Q256" s="103">
        <f t="shared" si="376"/>
        <v>3.5174122613866243E-5</v>
      </c>
      <c r="R256" s="103">
        <f t="shared" si="376"/>
        <v>8.698088157680217E-5</v>
      </c>
      <c r="S256" s="103">
        <f t="shared" si="376"/>
        <v>1.9868663191169726E-4</v>
      </c>
      <c r="T256" s="103">
        <f t="shared" si="376"/>
        <v>3.4025002451491538E-4</v>
      </c>
      <c r="U256" s="103">
        <f t="shared" si="376"/>
        <v>3.7680361777562877E-4</v>
      </c>
      <c r="V256" s="103">
        <f t="shared" si="376"/>
        <v>4.2140232582332972E-4</v>
      </c>
      <c r="W256" s="103">
        <f t="shared" ref="W256" si="377">IF(W38=0,0,W38/W$31)</f>
        <v>5.9242004567403288E-4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5.6669775858251435E-6</v>
      </c>
      <c r="N257" s="103">
        <f t="shared" si="380"/>
        <v>1.4117185224332361E-5</v>
      </c>
      <c r="O257" s="103">
        <f t="shared" si="380"/>
        <v>1.5882073265954293E-5</v>
      </c>
      <c r="P257" s="103">
        <f t="shared" si="380"/>
        <v>3.9535167425853807E-5</v>
      </c>
      <c r="Q257" s="103">
        <f t="shared" si="380"/>
        <v>9.3017138826498088E-5</v>
      </c>
      <c r="R257" s="103">
        <f t="shared" si="380"/>
        <v>1.6564487089393626E-4</v>
      </c>
      <c r="S257" s="103">
        <f t="shared" si="380"/>
        <v>3.0328238603121219E-4</v>
      </c>
      <c r="T257" s="103">
        <f t="shared" si="380"/>
        <v>4.7581381911235597E-4</v>
      </c>
      <c r="U257" s="103">
        <f t="shared" si="380"/>
        <v>7.7988677438337766E-4</v>
      </c>
      <c r="V257" s="103">
        <f t="shared" si="380"/>
        <v>1.3994011496241082E-3</v>
      </c>
      <c r="W257" s="103">
        <f t="shared" ref="W257" si="381">IF(W39=0,0,W39/W$31)</f>
        <v>2.2520566442739897E-3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1.245727285021222E-2</v>
      </c>
      <c r="C258" s="156">
        <f t="shared" si="382"/>
        <v>1.1665337430798102E-2</v>
      </c>
      <c r="D258" s="156">
        <f t="shared" si="382"/>
        <v>1.0784591319126393E-2</v>
      </c>
      <c r="E258" s="156">
        <f t="shared" si="382"/>
        <v>1.0354104394797696E-2</v>
      </c>
      <c r="F258" s="156">
        <f t="shared" si="382"/>
        <v>1.0092366598287199E-2</v>
      </c>
      <c r="G258" s="156">
        <f t="shared" si="382"/>
        <v>9.4970657720645744E-3</v>
      </c>
      <c r="H258" s="156">
        <f t="shared" si="382"/>
        <v>9.2655967578090127E-3</v>
      </c>
      <c r="I258" s="156">
        <f t="shared" si="382"/>
        <v>8.9805869020161237E-3</v>
      </c>
      <c r="J258" s="156">
        <f t="shared" si="382"/>
        <v>8.8893406883037672E-3</v>
      </c>
      <c r="K258" s="156">
        <f t="shared" si="382"/>
        <v>8.6097526399026986E-3</v>
      </c>
      <c r="L258" s="156">
        <f t="shared" ref="L258" si="383">IF(L40=0,0,L40/L$31)</f>
        <v>8.5028246231719767E-3</v>
      </c>
      <c r="M258" s="156">
        <f t="shared" ref="M258:V258" si="384">IF(M40=0,0,M40/M$31)</f>
        <v>8.588083981813063E-3</v>
      </c>
      <c r="N258" s="156">
        <f t="shared" si="384"/>
        <v>8.5226989253249369E-3</v>
      </c>
      <c r="O258" s="156">
        <f t="shared" si="384"/>
        <v>8.6556466455259325E-3</v>
      </c>
      <c r="P258" s="156">
        <f t="shared" si="384"/>
        <v>8.6852331942129067E-3</v>
      </c>
      <c r="Q258" s="156">
        <f t="shared" si="384"/>
        <v>8.7156579162975291E-3</v>
      </c>
      <c r="R258" s="156">
        <f t="shared" si="384"/>
        <v>8.6078978411507166E-3</v>
      </c>
      <c r="S258" s="156">
        <f t="shared" si="384"/>
        <v>8.3693114997274339E-3</v>
      </c>
      <c r="T258" s="156">
        <f t="shared" si="384"/>
        <v>7.9309733906027004E-3</v>
      </c>
      <c r="U258" s="156">
        <f t="shared" si="384"/>
        <v>7.7840030080729879E-3</v>
      </c>
      <c r="V258" s="156">
        <f t="shared" si="384"/>
        <v>5.3949167174494649E-3</v>
      </c>
      <c r="W258" s="156">
        <f t="shared" ref="W258" si="385">IF(W40=0,0,W40/W$31)</f>
        <v>5.9996979447589516E-3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1.8766306796724432E-4</v>
      </c>
      <c r="C259" s="103">
        <f t="shared" si="386"/>
        <v>1.6572715427165031E-4</v>
      </c>
      <c r="D259" s="103">
        <f t="shared" si="386"/>
        <v>1.4200818337812752E-4</v>
      </c>
      <c r="E259" s="103">
        <f t="shared" si="386"/>
        <v>1.20581585313165E-4</v>
      </c>
      <c r="F259" s="103">
        <f t="shared" si="386"/>
        <v>9.8018988013749396E-5</v>
      </c>
      <c r="G259" s="103">
        <f t="shared" si="386"/>
        <v>8.343305439176316E-5</v>
      </c>
      <c r="H259" s="103">
        <f t="shared" si="386"/>
        <v>7.1705868697094312E-5</v>
      </c>
      <c r="I259" s="103">
        <f t="shared" si="386"/>
        <v>5.9239810514906994E-5</v>
      </c>
      <c r="J259" s="103">
        <f t="shared" si="386"/>
        <v>4.6153736210331959E-5</v>
      </c>
      <c r="K259" s="103">
        <f t="shared" si="386"/>
        <v>3.722976336164737E-5</v>
      </c>
      <c r="L259" s="103">
        <f t="shared" ref="L259" si="387">IF(L41=0,0,L41/L$31)</f>
        <v>3.0514875144265896E-5</v>
      </c>
      <c r="M259" s="103">
        <f t="shared" ref="M259:V259" si="388">IF(M41=0,0,M41/M$31)</f>
        <v>2.4125764987802197E-5</v>
      </c>
      <c r="N259" s="103">
        <f t="shared" si="388"/>
        <v>2.0748949022815406E-5</v>
      </c>
      <c r="O259" s="103">
        <f t="shared" si="388"/>
        <v>1.7351118243495084E-5</v>
      </c>
      <c r="P259" s="103">
        <f t="shared" si="388"/>
        <v>1.3765896285658204E-5</v>
      </c>
      <c r="Q259" s="103">
        <f t="shared" si="388"/>
        <v>1.0599545690530653E-5</v>
      </c>
      <c r="R259" s="103">
        <f t="shared" si="388"/>
        <v>1.0513420621868906E-5</v>
      </c>
      <c r="S259" s="103">
        <f t="shared" si="388"/>
        <v>9.5785406798815975E-6</v>
      </c>
      <c r="T259" s="103">
        <f t="shared" si="388"/>
        <v>8.694079280843448E-6</v>
      </c>
      <c r="U259" s="103">
        <f t="shared" si="388"/>
        <v>8.1920037849778723E-6</v>
      </c>
      <c r="V259" s="103">
        <f t="shared" si="388"/>
        <v>7.0960909968989879E-6</v>
      </c>
      <c r="W259" s="103">
        <f t="shared" ref="W259" si="389">IF(W41=0,0,W41/W$31)</f>
        <v>6.6986081468499233E-6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1.2269609782244974E-2</v>
      </c>
      <c r="C260" s="103">
        <f t="shared" si="390"/>
        <v>1.1499610276526451E-2</v>
      </c>
      <c r="D260" s="103">
        <f t="shared" si="390"/>
        <v>1.0642583135748266E-2</v>
      </c>
      <c r="E260" s="103">
        <f t="shared" si="390"/>
        <v>1.0233522809484532E-2</v>
      </c>
      <c r="F260" s="103">
        <f t="shared" si="390"/>
        <v>9.9943476102734505E-3</v>
      </c>
      <c r="G260" s="103">
        <f t="shared" si="390"/>
        <v>9.4136327176728117E-3</v>
      </c>
      <c r="H260" s="103">
        <f t="shared" si="390"/>
        <v>9.1938908891119175E-3</v>
      </c>
      <c r="I260" s="103">
        <f t="shared" si="390"/>
        <v>8.9213470915012159E-3</v>
      </c>
      <c r="J260" s="103">
        <f t="shared" si="390"/>
        <v>8.8431869520934347E-3</v>
      </c>
      <c r="K260" s="103">
        <f t="shared" si="390"/>
        <v>8.5725228765410524E-3</v>
      </c>
      <c r="L260" s="103">
        <f t="shared" ref="L260" si="391">IF(L42=0,0,L42/L$31)</f>
        <v>8.47230974802771E-3</v>
      </c>
      <c r="M260" s="103">
        <f t="shared" ref="M260:V260" si="392">IF(M42=0,0,M42/M$31)</f>
        <v>8.5639582168252609E-3</v>
      </c>
      <c r="N260" s="103">
        <f t="shared" si="392"/>
        <v>8.4070976379121091E-3</v>
      </c>
      <c r="O260" s="103">
        <f t="shared" si="392"/>
        <v>8.5272483705240692E-3</v>
      </c>
      <c r="P260" s="103">
        <f t="shared" si="392"/>
        <v>8.4580951183001272E-3</v>
      </c>
      <c r="Q260" s="103">
        <f t="shared" si="392"/>
        <v>8.4063093143841045E-3</v>
      </c>
      <c r="R260" s="103">
        <f t="shared" si="392"/>
        <v>8.2384696050700548E-3</v>
      </c>
      <c r="S260" s="103">
        <f t="shared" si="392"/>
        <v>8.0262805785030426E-3</v>
      </c>
      <c r="T260" s="103">
        <f t="shared" si="392"/>
        <v>7.5821505246113641E-3</v>
      </c>
      <c r="U260" s="103">
        <f t="shared" si="392"/>
        <v>7.3427316483359838E-3</v>
      </c>
      <c r="V260" s="103">
        <f t="shared" si="392"/>
        <v>5.0553944302524217E-3</v>
      </c>
      <c r="W260" s="103">
        <f t="shared" ref="W260" si="393">IF(W42=0,0,W42/W$31)</f>
        <v>5.6672931899013059E-3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9.4852338390013295E-5</v>
      </c>
      <c r="O262" s="103">
        <f t="shared" si="400"/>
        <v>1.1104715675836854E-4</v>
      </c>
      <c r="P262" s="103">
        <f t="shared" si="400"/>
        <v>2.0703908013629943E-4</v>
      </c>
      <c r="Q262" s="103">
        <f t="shared" si="400"/>
        <v>2.92547461058646E-4</v>
      </c>
      <c r="R262" s="103">
        <f t="shared" si="400"/>
        <v>3.4650389830582216E-4</v>
      </c>
      <c r="S262" s="103">
        <f t="shared" si="400"/>
        <v>3.2466564484848708E-4</v>
      </c>
      <c r="T262" s="103">
        <f t="shared" si="400"/>
        <v>3.2888691401385399E-4</v>
      </c>
      <c r="U262" s="103">
        <f t="shared" si="400"/>
        <v>4.1676867734732166E-4</v>
      </c>
      <c r="V262" s="103">
        <f t="shared" si="400"/>
        <v>3.1693638019185432E-4</v>
      </c>
      <c r="W262" s="103">
        <f t="shared" ref="W262" si="401">IF(W44=0,0,W44/W$31)</f>
        <v>3.081847080971081E-4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6.3330994908232466E-6</v>
      </c>
      <c r="Q263" s="103">
        <f t="shared" si="404"/>
        <v>6.201595164246932E-6</v>
      </c>
      <c r="R263" s="103">
        <f t="shared" si="404"/>
        <v>1.2410917152972553E-5</v>
      </c>
      <c r="S263" s="103">
        <f t="shared" si="404"/>
        <v>8.7867356960205905E-6</v>
      </c>
      <c r="T263" s="103">
        <f t="shared" si="404"/>
        <v>1.1241872696640076E-5</v>
      </c>
      <c r="U263" s="103">
        <f t="shared" si="404"/>
        <v>1.6310678604704139E-5</v>
      </c>
      <c r="V263" s="103">
        <f t="shared" si="404"/>
        <v>1.54898160082901E-5</v>
      </c>
      <c r="W263" s="103">
        <f t="shared" ref="W263" si="405">IF(W45=0,0,W45/W$31)</f>
        <v>1.7521438613687651E-5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0.41249714638966911</v>
      </c>
      <c r="C265" s="154">
        <f t="shared" si="410"/>
        <v>0.41912838362568394</v>
      </c>
      <c r="D265" s="154">
        <f t="shared" si="410"/>
        <v>0.41428588851043124</v>
      </c>
      <c r="E265" s="154">
        <f t="shared" si="410"/>
        <v>0.42362242072565981</v>
      </c>
      <c r="F265" s="154">
        <f t="shared" si="410"/>
        <v>0.40056164398500049</v>
      </c>
      <c r="G265" s="154">
        <f t="shared" si="410"/>
        <v>0.41571366684342065</v>
      </c>
      <c r="H265" s="154">
        <f t="shared" si="410"/>
        <v>0.42962095123702537</v>
      </c>
      <c r="I265" s="154">
        <f t="shared" si="410"/>
        <v>0.45287574504842698</v>
      </c>
      <c r="J265" s="154">
        <f t="shared" si="410"/>
        <v>0.47955124363592277</v>
      </c>
      <c r="K265" s="154">
        <f t="shared" si="410"/>
        <v>0.52433347746197667</v>
      </c>
      <c r="L265" s="154">
        <f t="shared" ref="L265" si="411">IF(L47=0,0,L47/L$46)</f>
        <v>0.53053553247589547</v>
      </c>
      <c r="M265" s="154">
        <f t="shared" ref="M265:V265" si="412">IF(M47=0,0,M47/M$46)</f>
        <v>0.54834030084246121</v>
      </c>
      <c r="N265" s="154">
        <f t="shared" si="412"/>
        <v>0.56295779352187469</v>
      </c>
      <c r="O265" s="154">
        <f t="shared" si="412"/>
        <v>0.57936054616692123</v>
      </c>
      <c r="P265" s="154">
        <f t="shared" si="412"/>
        <v>0.58450844228267629</v>
      </c>
      <c r="Q265" s="154">
        <f t="shared" si="412"/>
        <v>0.59193230237989292</v>
      </c>
      <c r="R265" s="154">
        <f t="shared" si="412"/>
        <v>0.59146129675248393</v>
      </c>
      <c r="S265" s="154">
        <f t="shared" si="412"/>
        <v>0.59060120674279803</v>
      </c>
      <c r="T265" s="154">
        <f t="shared" si="412"/>
        <v>0.61098352218463381</v>
      </c>
      <c r="U265" s="154">
        <f t="shared" si="412"/>
        <v>0.6212458116140398</v>
      </c>
      <c r="V265" s="154">
        <f t="shared" si="412"/>
        <v>0.64389427384946529</v>
      </c>
      <c r="W265" s="154">
        <f t="shared" ref="W265" si="413">IF(W47=0,0,W47/W$46)</f>
        <v>0.62640662007293546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8.621212079155019E-2</v>
      </c>
      <c r="C266" s="103">
        <f t="shared" si="414"/>
        <v>8.6878373209480095E-2</v>
      </c>
      <c r="D266" s="103">
        <f t="shared" si="414"/>
        <v>8.2265003874868972E-2</v>
      </c>
      <c r="E266" s="103">
        <f t="shared" si="414"/>
        <v>7.76316448294712E-2</v>
      </c>
      <c r="F266" s="103">
        <f t="shared" si="414"/>
        <v>6.7533053669379672E-2</v>
      </c>
      <c r="G266" s="103">
        <f t="shared" si="414"/>
        <v>6.2248238394852135E-2</v>
      </c>
      <c r="H266" s="103">
        <f t="shared" si="414"/>
        <v>5.4601973169596758E-2</v>
      </c>
      <c r="I266" s="103">
        <f t="shared" si="414"/>
        <v>5.181991380499882E-2</v>
      </c>
      <c r="J266" s="103">
        <f t="shared" si="414"/>
        <v>4.8440894634704738E-2</v>
      </c>
      <c r="K266" s="103">
        <f t="shared" si="414"/>
        <v>4.7806003803972846E-2</v>
      </c>
      <c r="L266" s="103">
        <f t="shared" ref="L266" si="415">IF(L48=0,0,L48/L$46)</f>
        <v>4.4347927128584423E-2</v>
      </c>
      <c r="M266" s="103">
        <f t="shared" ref="M266:V266" si="416">IF(M48=0,0,M48/M$46)</f>
        <v>4.2034169386714913E-2</v>
      </c>
      <c r="N266" s="103">
        <f t="shared" si="416"/>
        <v>4.0029781934205609E-2</v>
      </c>
      <c r="O266" s="103">
        <f t="shared" si="416"/>
        <v>3.7985486045819576E-2</v>
      </c>
      <c r="P266" s="103">
        <f t="shared" si="416"/>
        <v>3.2682761987992914E-2</v>
      </c>
      <c r="Q266" s="103">
        <f t="shared" si="416"/>
        <v>2.9693085022912107E-2</v>
      </c>
      <c r="R266" s="103">
        <f t="shared" si="416"/>
        <v>2.6488698904724228E-2</v>
      </c>
      <c r="S266" s="103">
        <f t="shared" si="416"/>
        <v>2.4185397154080142E-2</v>
      </c>
      <c r="T266" s="103">
        <f t="shared" si="416"/>
        <v>2.372381099033144E-2</v>
      </c>
      <c r="U266" s="103">
        <f t="shared" si="416"/>
        <v>2.2729646916348597E-2</v>
      </c>
      <c r="V266" s="103">
        <f t="shared" si="416"/>
        <v>2.2205300397840064E-2</v>
      </c>
      <c r="W266" s="103">
        <f t="shared" ref="W266" si="417">IF(W48=0,0,W48/W$46)</f>
        <v>2.1458936521656514E-2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0.32628502559811895</v>
      </c>
      <c r="C267" s="103">
        <f t="shared" si="418"/>
        <v>0.33225001041620383</v>
      </c>
      <c r="D267" s="103">
        <f t="shared" si="418"/>
        <v>0.33202088463556229</v>
      </c>
      <c r="E267" s="103">
        <f t="shared" si="418"/>
        <v>0.3459907758961886</v>
      </c>
      <c r="F267" s="103">
        <f t="shared" si="418"/>
        <v>0.33302859031562082</v>
      </c>
      <c r="G267" s="103">
        <f t="shared" si="418"/>
        <v>0.35346542844856849</v>
      </c>
      <c r="H267" s="103">
        <f t="shared" si="418"/>
        <v>0.37197597009981864</v>
      </c>
      <c r="I267" s="103">
        <f t="shared" si="418"/>
        <v>0.39798847116744163</v>
      </c>
      <c r="J267" s="103">
        <f t="shared" si="418"/>
        <v>0.4268542357311001</v>
      </c>
      <c r="K267" s="103">
        <f t="shared" si="418"/>
        <v>0.47475679963675882</v>
      </c>
      <c r="L267" s="103">
        <f t="shared" ref="L267" si="419">IF(L49=0,0,L49/L$46)</f>
        <v>0.48556406086748971</v>
      </c>
      <c r="M267" s="103">
        <f t="shared" ref="M267:V267" si="420">IF(M49=0,0,M49/M$46)</f>
        <v>0.50577163501516698</v>
      </c>
      <c r="N267" s="103">
        <f t="shared" si="420"/>
        <v>0.52242792452931119</v>
      </c>
      <c r="O267" s="103">
        <f t="shared" si="420"/>
        <v>0.5408667546905267</v>
      </c>
      <c r="P267" s="103">
        <f t="shared" si="420"/>
        <v>0.54872540585748364</v>
      </c>
      <c r="Q267" s="103">
        <f t="shared" si="420"/>
        <v>0.55837345500565949</v>
      </c>
      <c r="R267" s="103">
        <f t="shared" si="420"/>
        <v>0.56122619333671631</v>
      </c>
      <c r="S267" s="103">
        <f t="shared" si="420"/>
        <v>0.56227286220244521</v>
      </c>
      <c r="T267" s="103">
        <f t="shared" si="420"/>
        <v>0.58321361794918303</v>
      </c>
      <c r="U267" s="103">
        <f t="shared" si="420"/>
        <v>0.59391299591444413</v>
      </c>
      <c r="V267" s="103">
        <f t="shared" si="420"/>
        <v>0.61688917322924175</v>
      </c>
      <c r="W267" s="103">
        <f t="shared" ref="W267" si="421">IF(W49=0,0,W49/W$46)</f>
        <v>0.60001437417325676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3.0430079676100181E-3</v>
      </c>
      <c r="I268" s="103">
        <f t="shared" si="422"/>
        <v>3.0673600759864969E-3</v>
      </c>
      <c r="J268" s="103">
        <f t="shared" si="422"/>
        <v>4.2561132701179512E-3</v>
      </c>
      <c r="K268" s="103">
        <f t="shared" si="422"/>
        <v>1.7706740212449633E-3</v>
      </c>
      <c r="L268" s="103">
        <f t="shared" ref="L268" si="423">IF(L50=0,0,L50/L$46)</f>
        <v>6.2354447982132023E-4</v>
      </c>
      <c r="M268" s="103">
        <f t="shared" ref="M268:V268" si="424">IF(M50=0,0,M50/M$46)</f>
        <v>5.3449644057938957E-4</v>
      </c>
      <c r="N268" s="103">
        <f t="shared" si="424"/>
        <v>5.0008705835794009E-4</v>
      </c>
      <c r="O268" s="103">
        <f t="shared" si="424"/>
        <v>5.083054305749119E-4</v>
      </c>
      <c r="P268" s="103">
        <f t="shared" si="424"/>
        <v>2.7405050897739073E-3</v>
      </c>
      <c r="Q268" s="103">
        <f t="shared" si="424"/>
        <v>2.9700208185320844E-3</v>
      </c>
      <c r="R268" s="103">
        <f t="shared" si="424"/>
        <v>2.7446964892054696E-3</v>
      </c>
      <c r="S268" s="103">
        <f t="shared" si="424"/>
        <v>2.7570313971979413E-3</v>
      </c>
      <c r="T268" s="103">
        <f t="shared" si="424"/>
        <v>2.6203674734631564E-3</v>
      </c>
      <c r="U268" s="103">
        <f t="shared" si="424"/>
        <v>2.8922175550794632E-3</v>
      </c>
      <c r="V268" s="103">
        <f t="shared" si="424"/>
        <v>2.9715282662868977E-3</v>
      </c>
      <c r="W268" s="103">
        <f t="shared" ref="W268" si="425">IF(W50=0,0,W50/W$46)</f>
        <v>2.8454042914785442E-3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2.178998158424723E-4</v>
      </c>
      <c r="Q269" s="103">
        <f t="shared" si="428"/>
        <v>5.6306665318897847E-4</v>
      </c>
      <c r="R269" s="103">
        <f t="shared" si="428"/>
        <v>4.7387579025160673E-4</v>
      </c>
      <c r="S269" s="103">
        <f t="shared" si="428"/>
        <v>4.4432472280063104E-4</v>
      </c>
      <c r="T269" s="103">
        <f t="shared" si="428"/>
        <v>4.274010746362728E-4</v>
      </c>
      <c r="U269" s="103">
        <f t="shared" si="428"/>
        <v>5.5096838737280049E-4</v>
      </c>
      <c r="V269" s="103">
        <f t="shared" si="428"/>
        <v>5.4948217323867591E-4</v>
      </c>
      <c r="W269" s="103">
        <f t="shared" ref="W269" si="429">IF(W51=0,0,W51/W$46)</f>
        <v>5.3154453981807902E-4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0</v>
      </c>
      <c r="P270" s="103">
        <f t="shared" si="432"/>
        <v>1.4186953158335923E-4</v>
      </c>
      <c r="Q270" s="103">
        <f t="shared" si="432"/>
        <v>3.326748796003088E-4</v>
      </c>
      <c r="R270" s="103">
        <f t="shared" si="432"/>
        <v>5.2783223158639708E-4</v>
      </c>
      <c r="S270" s="103">
        <f t="shared" si="432"/>
        <v>9.4159126627415852E-4</v>
      </c>
      <c r="T270" s="103">
        <f t="shared" si="432"/>
        <v>9.9832469701974908E-4</v>
      </c>
      <c r="U270" s="103">
        <f t="shared" si="432"/>
        <v>1.1599828407948905E-3</v>
      </c>
      <c r="V270" s="103">
        <f t="shared" si="432"/>
        <v>1.2787897828578571E-3</v>
      </c>
      <c r="W270" s="103">
        <f t="shared" ref="W270" si="433">IF(W52=0,0,W52/W$46)</f>
        <v>1.5563605467256976E-3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0.58750285361033083</v>
      </c>
      <c r="C271" s="156">
        <f t="shared" si="434"/>
        <v>0.58087161637431606</v>
      </c>
      <c r="D271" s="156">
        <f t="shared" si="434"/>
        <v>0.58571411148956887</v>
      </c>
      <c r="E271" s="156">
        <f t="shared" si="434"/>
        <v>0.5763775792743403</v>
      </c>
      <c r="F271" s="156">
        <f t="shared" si="434"/>
        <v>0.59943835601499962</v>
      </c>
      <c r="G271" s="156">
        <f t="shared" si="434"/>
        <v>0.5842863331565793</v>
      </c>
      <c r="H271" s="156">
        <f t="shared" si="434"/>
        <v>0.57037904876297463</v>
      </c>
      <c r="I271" s="156">
        <f t="shared" si="434"/>
        <v>0.54712425495157302</v>
      </c>
      <c r="J271" s="156">
        <f t="shared" si="434"/>
        <v>0.52044875636407728</v>
      </c>
      <c r="K271" s="156">
        <f t="shared" si="434"/>
        <v>0.47566652253802338</v>
      </c>
      <c r="L271" s="156">
        <f t="shared" ref="L271" si="435">IF(L53=0,0,L53/L$46)</f>
        <v>0.46946446752410453</v>
      </c>
      <c r="M271" s="156">
        <f t="shared" ref="M271:V271" si="436">IF(M53=0,0,M53/M$46)</f>
        <v>0.45165969915753873</v>
      </c>
      <c r="N271" s="156">
        <f t="shared" si="436"/>
        <v>0.43704220647812531</v>
      </c>
      <c r="O271" s="156">
        <f t="shared" si="436"/>
        <v>0.42063945383307877</v>
      </c>
      <c r="P271" s="156">
        <f t="shared" si="436"/>
        <v>0.41549155771732371</v>
      </c>
      <c r="Q271" s="156">
        <f t="shared" si="436"/>
        <v>0.40806769762010703</v>
      </c>
      <c r="R271" s="156">
        <f t="shared" si="436"/>
        <v>0.40853870324751601</v>
      </c>
      <c r="S271" s="156">
        <f t="shared" si="436"/>
        <v>0.40939879325720197</v>
      </c>
      <c r="T271" s="156">
        <f t="shared" si="436"/>
        <v>0.38901647781536625</v>
      </c>
      <c r="U271" s="156">
        <f t="shared" si="436"/>
        <v>0.37875418838596014</v>
      </c>
      <c r="V271" s="156">
        <f t="shared" si="436"/>
        <v>0.35610572615053471</v>
      </c>
      <c r="W271" s="156">
        <f t="shared" ref="W271" si="437">IF(W53=0,0,W53/W$46)</f>
        <v>0.37359337992706465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0.28910517150632886</v>
      </c>
      <c r="C272" s="104">
        <f t="shared" si="438"/>
        <v>0.2777836560066293</v>
      </c>
      <c r="D272" s="104">
        <f t="shared" si="438"/>
        <v>0.29624964335790116</v>
      </c>
      <c r="E272" s="104">
        <f t="shared" si="438"/>
        <v>0.29894155356795177</v>
      </c>
      <c r="F272" s="104">
        <f t="shared" si="438"/>
        <v>0.32641251384594172</v>
      </c>
      <c r="G272" s="104">
        <f t="shared" si="438"/>
        <v>0.318363745242153</v>
      </c>
      <c r="H272" s="104">
        <f t="shared" si="438"/>
        <v>0.27982373368644187</v>
      </c>
      <c r="I272" s="104">
        <f t="shared" si="438"/>
        <v>0.27588967953779908</v>
      </c>
      <c r="J272" s="104">
        <f t="shared" si="438"/>
        <v>0.26277131825300404</v>
      </c>
      <c r="K272" s="104">
        <f t="shared" si="438"/>
        <v>0.23886863199836031</v>
      </c>
      <c r="L272" s="104">
        <f t="shared" ref="L272" si="439">IF(L54=0,0,L54/L$46)</f>
        <v>0.24178528973403418</v>
      </c>
      <c r="M272" s="104">
        <f t="shared" ref="M272:V272" si="440">IF(M54=0,0,M54/M$46)</f>
        <v>0.22236697355011717</v>
      </c>
      <c r="N272" s="104">
        <f t="shared" si="440"/>
        <v>0.20003672623674826</v>
      </c>
      <c r="O272" s="104">
        <f t="shared" si="440"/>
        <v>0.18731921413470515</v>
      </c>
      <c r="P272" s="104">
        <f t="shared" si="440"/>
        <v>0.19316140225607881</v>
      </c>
      <c r="Q272" s="104">
        <f t="shared" si="440"/>
        <v>0.17765247628163094</v>
      </c>
      <c r="R272" s="104">
        <f t="shared" si="440"/>
        <v>0.16715539856631073</v>
      </c>
      <c r="S272" s="104">
        <f t="shared" si="440"/>
        <v>0.16570681829615844</v>
      </c>
      <c r="T272" s="104">
        <f t="shared" si="440"/>
        <v>0.15132796273228205</v>
      </c>
      <c r="U272" s="104">
        <f t="shared" si="440"/>
        <v>0.14921445610687015</v>
      </c>
      <c r="V272" s="104">
        <f t="shared" si="440"/>
        <v>0.14321871731069591</v>
      </c>
      <c r="W272" s="104">
        <f t="shared" ref="W272" si="441">IF(W54=0,0,W54/W$46)</f>
        <v>0.15090598288888799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0.29839768210400203</v>
      </c>
      <c r="C273" s="105">
        <f t="shared" si="442"/>
        <v>0.30308796036768676</v>
      </c>
      <c r="D273" s="105">
        <f t="shared" si="442"/>
        <v>0.28946446813166771</v>
      </c>
      <c r="E273" s="105">
        <f t="shared" si="442"/>
        <v>0.27743602570638848</v>
      </c>
      <c r="F273" s="105">
        <f t="shared" si="442"/>
        <v>0.27302584216905784</v>
      </c>
      <c r="G273" s="105">
        <f t="shared" si="442"/>
        <v>0.2659225879144263</v>
      </c>
      <c r="H273" s="105">
        <f t="shared" si="442"/>
        <v>0.29055531507653276</v>
      </c>
      <c r="I273" s="105">
        <f t="shared" si="442"/>
        <v>0.27123457541377394</v>
      </c>
      <c r="J273" s="105">
        <f t="shared" si="442"/>
        <v>0.2576774381110733</v>
      </c>
      <c r="K273" s="105">
        <f t="shared" si="442"/>
        <v>0.2367978905396631</v>
      </c>
      <c r="L273" s="105">
        <f t="shared" ref="L273" si="443">IF(L55=0,0,L55/L$46)</f>
        <v>0.22767917779007038</v>
      </c>
      <c r="M273" s="105">
        <f t="shared" ref="M273:V273" si="444">IF(M55=0,0,M55/M$46)</f>
        <v>0.22929272560742159</v>
      </c>
      <c r="N273" s="105">
        <f t="shared" si="444"/>
        <v>0.23700548024137702</v>
      </c>
      <c r="O273" s="105">
        <f t="shared" si="444"/>
        <v>0.23332023969837362</v>
      </c>
      <c r="P273" s="105">
        <f t="shared" si="444"/>
        <v>0.22233015546124493</v>
      </c>
      <c r="Q273" s="105">
        <f t="shared" si="444"/>
        <v>0.23041522133847606</v>
      </c>
      <c r="R273" s="105">
        <f t="shared" si="444"/>
        <v>0.24138330468120525</v>
      </c>
      <c r="S273" s="105">
        <f t="shared" si="444"/>
        <v>0.2436919749610435</v>
      </c>
      <c r="T273" s="105">
        <f t="shared" si="444"/>
        <v>0.2376885150830842</v>
      </c>
      <c r="U273" s="105">
        <f t="shared" si="444"/>
        <v>0.22953973227909</v>
      </c>
      <c r="V273" s="105">
        <f t="shared" si="444"/>
        <v>0.21288700883983874</v>
      </c>
      <c r="W273" s="105">
        <f t="shared" ref="W273" si="445">IF(W55=0,0,W55/W$46)</f>
        <v>0.22268739703817667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1188.5354256233877</v>
      </c>
      <c r="C4" s="145">
        <f t="shared" si="0"/>
        <v>1239.6699054170249</v>
      </c>
      <c r="D4" s="145">
        <f t="shared" si="0"/>
        <v>1273.5644883920893</v>
      </c>
      <c r="E4" s="145">
        <f t="shared" si="0"/>
        <v>1290.4652622527947</v>
      </c>
      <c r="F4" s="145">
        <f t="shared" si="0"/>
        <v>1345.433276010318</v>
      </c>
      <c r="G4" s="145">
        <f t="shared" si="0"/>
        <v>1432.389939810834</v>
      </c>
      <c r="H4" s="145">
        <f t="shared" si="0"/>
        <v>1498.8284608770418</v>
      </c>
      <c r="I4" s="145">
        <f t="shared" si="0"/>
        <v>1701.0561478933794</v>
      </c>
      <c r="J4" s="145">
        <f t="shared" si="0"/>
        <v>2007.6967325881344</v>
      </c>
      <c r="K4" s="145">
        <f t="shared" si="0"/>
        <v>1695.9585554600171</v>
      </c>
      <c r="L4" s="145">
        <f t="shared" ref="L4" si="1">L5+L9+L10+L15</f>
        <v>1753.3011177987964</v>
      </c>
      <c r="M4" s="145">
        <f t="shared" ref="M4:V4" si="2">M5+M9+M10+M15</f>
        <v>1856.8690444763436</v>
      </c>
      <c r="N4" s="145">
        <f t="shared" si="2"/>
        <v>1875.2199914626635</v>
      </c>
      <c r="O4" s="145">
        <f t="shared" si="2"/>
        <v>1785.2278639931246</v>
      </c>
      <c r="P4" s="145">
        <f t="shared" si="2"/>
        <v>1769.0044621584784</v>
      </c>
      <c r="Q4" s="145">
        <f t="shared" si="2"/>
        <v>1746.3369338148566</v>
      </c>
      <c r="R4" s="145">
        <f t="shared" si="2"/>
        <v>1857.1982214276816</v>
      </c>
      <c r="S4" s="145">
        <f t="shared" si="2"/>
        <v>1904.6517613906799</v>
      </c>
      <c r="T4" s="145">
        <f t="shared" si="2"/>
        <v>1945.8948599232474</v>
      </c>
      <c r="U4" s="145">
        <f t="shared" si="2"/>
        <v>1899.1829728181506</v>
      </c>
      <c r="V4" s="145">
        <f t="shared" si="2"/>
        <v>1559.872216085269</v>
      </c>
      <c r="W4" s="145">
        <f t="shared" ref="W4" si="3">W5+W9+W10+W15</f>
        <v>1773.0379348710946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1188.5354256233877</v>
      </c>
      <c r="C5" s="97">
        <f t="shared" si="4"/>
        <v>1239.6699054170249</v>
      </c>
      <c r="D5" s="97">
        <f t="shared" si="4"/>
        <v>1273.5644883920893</v>
      </c>
      <c r="E5" s="97">
        <f t="shared" si="4"/>
        <v>1290.4652622527947</v>
      </c>
      <c r="F5" s="97">
        <f t="shared" si="4"/>
        <v>1345.433276010318</v>
      </c>
      <c r="G5" s="97">
        <f t="shared" si="4"/>
        <v>1432.389939810834</v>
      </c>
      <c r="H5" s="97">
        <f t="shared" si="4"/>
        <v>1494.4217540842646</v>
      </c>
      <c r="I5" s="97">
        <f t="shared" si="4"/>
        <v>1687.1990541702496</v>
      </c>
      <c r="J5" s="97">
        <f t="shared" si="4"/>
        <v>1983.1051590713673</v>
      </c>
      <c r="K5" s="97">
        <f t="shared" si="4"/>
        <v>1665.1607910576095</v>
      </c>
      <c r="L5" s="97">
        <f t="shared" ref="L5" si="5">SUM(L6:L8)</f>
        <v>1707.5594153052452</v>
      </c>
      <c r="M5" s="97">
        <f t="shared" ref="M5:V5" si="6">SUM(M6:M8)</f>
        <v>1820.0749785038693</v>
      </c>
      <c r="N5" s="97">
        <f t="shared" si="6"/>
        <v>1822.6975064488392</v>
      </c>
      <c r="O5" s="97">
        <f t="shared" si="6"/>
        <v>1723.9517626827173</v>
      </c>
      <c r="P5" s="97">
        <f t="shared" si="6"/>
        <v>1724.0676698194318</v>
      </c>
      <c r="Q5" s="97">
        <f t="shared" si="6"/>
        <v>1714.7239036973347</v>
      </c>
      <c r="R5" s="97">
        <f t="shared" si="6"/>
        <v>1835.7943250214958</v>
      </c>
      <c r="S5" s="97">
        <f t="shared" si="6"/>
        <v>1876.1351676698191</v>
      </c>
      <c r="T5" s="97">
        <f t="shared" si="6"/>
        <v>1868.4650042992262</v>
      </c>
      <c r="U5" s="97">
        <f t="shared" si="6"/>
        <v>1799.2294926913157</v>
      </c>
      <c r="V5" s="97">
        <f t="shared" si="6"/>
        <v>1462.5164230438525</v>
      </c>
      <c r="W5" s="97">
        <f t="shared" ref="W5" si="7">SUM(W6:W8)</f>
        <v>1664.2991401547717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1.129750644883921</v>
      </c>
      <c r="I6" s="97">
        <v>2.1997420464316422</v>
      </c>
      <c r="J6" s="97">
        <v>2.1997420464316422</v>
      </c>
      <c r="K6" s="97">
        <v>4.3995700773860706</v>
      </c>
      <c r="L6" s="97">
        <v>5.4993981083404986</v>
      </c>
      <c r="M6" s="97">
        <v>6.5993121238177119</v>
      </c>
      <c r="N6" s="97">
        <v>8.7990541702493541</v>
      </c>
      <c r="O6" s="97">
        <v>12.09871023215821</v>
      </c>
      <c r="P6" s="97">
        <v>13.19862424763542</v>
      </c>
      <c r="Q6" s="97">
        <v>14.29853826311264</v>
      </c>
      <c r="R6" s="97">
        <v>15.39836629406707</v>
      </c>
      <c r="S6" s="97">
        <v>15.096990541702491</v>
      </c>
      <c r="T6" s="97">
        <v>14.855030094582981</v>
      </c>
      <c r="U6" s="97">
        <v>14.23138435081685</v>
      </c>
      <c r="V6" s="97">
        <v>9.1510748065348242</v>
      </c>
      <c r="W6" s="97">
        <v>16.092433361994839</v>
      </c>
      <c r="DA6" s="175" t="s">
        <v>629</v>
      </c>
    </row>
    <row r="7" spans="1:105" ht="11.45" customHeight="1" x14ac:dyDescent="0.25">
      <c r="A7" s="128" t="s">
        <v>53</v>
      </c>
      <c r="B7" s="97">
        <v>848.5860705073087</v>
      </c>
      <c r="C7" s="97">
        <v>841.17944969905409</v>
      </c>
      <c r="D7" s="97">
        <v>806.26251074806532</v>
      </c>
      <c r="E7" s="97">
        <v>787.21693895098883</v>
      </c>
      <c r="F7" s="97">
        <v>700.45382631126392</v>
      </c>
      <c r="G7" s="97">
        <v>688.81487532244194</v>
      </c>
      <c r="H7" s="97">
        <v>665.06044711951847</v>
      </c>
      <c r="I7" s="97">
        <v>644.11367153912295</v>
      </c>
      <c r="J7" s="97">
        <v>673.43912295786754</v>
      </c>
      <c r="K7" s="97">
        <v>614.78813413585544</v>
      </c>
      <c r="L7" s="97">
        <v>600.12536543422175</v>
      </c>
      <c r="M7" s="97">
        <v>582.32063628546859</v>
      </c>
      <c r="N7" s="97">
        <v>525.76431642304385</v>
      </c>
      <c r="O7" s="97">
        <v>478.63404987102319</v>
      </c>
      <c r="P7" s="97">
        <v>447.21384350816851</v>
      </c>
      <c r="Q7" s="97">
        <v>436.74049871023209</v>
      </c>
      <c r="R7" s="97">
        <v>433.59845227858978</v>
      </c>
      <c r="S7" s="97">
        <v>422.88727429062772</v>
      </c>
      <c r="T7" s="97">
        <v>425.65124677558032</v>
      </c>
      <c r="U7" s="97">
        <v>407.66629406706789</v>
      </c>
      <c r="V7" s="97">
        <v>321.92063628546862</v>
      </c>
      <c r="W7" s="97">
        <v>365.83662940670678</v>
      </c>
      <c r="DA7" s="175" t="s">
        <v>630</v>
      </c>
    </row>
    <row r="8" spans="1:105" ht="11.45" customHeight="1" x14ac:dyDescent="0.25">
      <c r="A8" s="128" t="s">
        <v>54</v>
      </c>
      <c r="B8" s="97">
        <v>339.94935511607912</v>
      </c>
      <c r="C8" s="97">
        <v>398.49045571797069</v>
      </c>
      <c r="D8" s="97">
        <v>467.30197764402402</v>
      </c>
      <c r="E8" s="97">
        <v>503.24832330180573</v>
      </c>
      <c r="F8" s="97">
        <v>644.97944969905416</v>
      </c>
      <c r="G8" s="97">
        <v>743.57506448839206</v>
      </c>
      <c r="H8" s="97">
        <v>828.23155631986242</v>
      </c>
      <c r="I8" s="97">
        <v>1040.885640584695</v>
      </c>
      <c r="J8" s="97">
        <v>1307.466294067068</v>
      </c>
      <c r="K8" s="97">
        <v>1045.973086844368</v>
      </c>
      <c r="L8" s="97">
        <v>1101.934651762683</v>
      </c>
      <c r="M8" s="97">
        <v>1231.155030094583</v>
      </c>
      <c r="N8" s="97">
        <v>1288.134135855546</v>
      </c>
      <c r="O8" s="97">
        <v>1233.219002579536</v>
      </c>
      <c r="P8" s="97">
        <v>1263.6552020636279</v>
      </c>
      <c r="Q8" s="97">
        <v>1263.6848667239899</v>
      </c>
      <c r="R8" s="97">
        <v>1386.7975064488389</v>
      </c>
      <c r="S8" s="97">
        <v>1438.150902837489</v>
      </c>
      <c r="T8" s="97">
        <v>1427.9587274290629</v>
      </c>
      <c r="U8" s="97">
        <v>1377.3318142734311</v>
      </c>
      <c r="V8" s="97">
        <v>1131.4447119518491</v>
      </c>
      <c r="W8" s="97">
        <v>1282.3700773860701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0.68787618228718828</v>
      </c>
      <c r="O9" s="97">
        <v>0.7953568357695614</v>
      </c>
      <c r="P9" s="97">
        <v>1.1607910576096301</v>
      </c>
      <c r="Q9" s="97">
        <v>2.1066208082545139</v>
      </c>
      <c r="R9" s="97">
        <v>2.815993121238177</v>
      </c>
      <c r="S9" s="97">
        <v>3.2678417884780742</v>
      </c>
      <c r="T9" s="97">
        <v>3.339466895958727</v>
      </c>
      <c r="U9" s="97">
        <v>4.4180567497850376</v>
      </c>
      <c r="V9" s="97">
        <v>3.487016337059329</v>
      </c>
      <c r="W9" s="97">
        <v>4.5623387790197762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4.4067067927772996</v>
      </c>
      <c r="I10" s="97">
        <f t="shared" si="8"/>
        <v>13.857093723129838</v>
      </c>
      <c r="J10" s="97">
        <f t="shared" si="8"/>
        <v>24.591573516766982</v>
      </c>
      <c r="K10" s="97">
        <f t="shared" si="8"/>
        <v>30.797764402407566</v>
      </c>
      <c r="L10" s="97">
        <f t="shared" si="8"/>
        <v>45.741702493551159</v>
      </c>
      <c r="M10" s="97">
        <f t="shared" si="8"/>
        <v>36.792605331040413</v>
      </c>
      <c r="N10" s="97">
        <f t="shared" si="8"/>
        <v>51.831126397248497</v>
      </c>
      <c r="O10" s="97">
        <f t="shared" si="8"/>
        <v>60.475494411006018</v>
      </c>
      <c r="P10" s="97">
        <f t="shared" si="8"/>
        <v>43.72424763542562</v>
      </c>
      <c r="Q10" s="97">
        <f t="shared" si="8"/>
        <v>29.433361994840929</v>
      </c>
      <c r="R10" s="97">
        <f t="shared" si="8"/>
        <v>18.447119518486673</v>
      </c>
      <c r="S10" s="97">
        <f t="shared" si="8"/>
        <v>25.045485812553743</v>
      </c>
      <c r="T10" s="97">
        <f t="shared" si="8"/>
        <v>73.776096302665522</v>
      </c>
      <c r="U10" s="97">
        <f t="shared" si="8"/>
        <v>95.075666380051572</v>
      </c>
      <c r="V10" s="97">
        <f t="shared" si="8"/>
        <v>93.288392089423894</v>
      </c>
      <c r="W10" s="97">
        <f t="shared" si="8"/>
        <v>103.28443680137575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0.63697334479793633</v>
      </c>
      <c r="J12" s="97">
        <v>2.5580395528804809</v>
      </c>
      <c r="K12" s="97">
        <v>2.5948409286328462</v>
      </c>
      <c r="L12" s="97">
        <v>4.3186586414445394</v>
      </c>
      <c r="M12" s="97">
        <v>5.0643164230438522</v>
      </c>
      <c r="N12" s="97">
        <v>6.0013757523645754</v>
      </c>
      <c r="O12" s="97">
        <v>7.5950128976784166</v>
      </c>
      <c r="P12" s="97">
        <v>7.5892519346517631</v>
      </c>
      <c r="Q12" s="97">
        <v>6.5184866723989678</v>
      </c>
      <c r="R12" s="97">
        <v>4.3456577815993116</v>
      </c>
      <c r="S12" s="97">
        <v>4.2265692175408427</v>
      </c>
      <c r="T12" s="97">
        <v>7.7955288048151337</v>
      </c>
      <c r="U12" s="97">
        <v>4.2375752364574373</v>
      </c>
      <c r="V12" s="97">
        <v>8.0424763542562339</v>
      </c>
      <c r="W12" s="97">
        <v>8.5823731728288912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4.4067067927772996</v>
      </c>
      <c r="I13" s="97">
        <v>13.220120378331901</v>
      </c>
      <c r="J13" s="97">
        <v>22.033533963886502</v>
      </c>
      <c r="K13" s="97">
        <v>28.202923473774721</v>
      </c>
      <c r="L13" s="97">
        <v>41.423043852106623</v>
      </c>
      <c r="M13" s="97">
        <v>31.728288907996561</v>
      </c>
      <c r="N13" s="97">
        <v>45.829750644883923</v>
      </c>
      <c r="O13" s="97">
        <v>52.880481513327602</v>
      </c>
      <c r="P13" s="97">
        <v>36.134995700773857</v>
      </c>
      <c r="Q13" s="97">
        <v>22.914875322441961</v>
      </c>
      <c r="R13" s="97">
        <v>14.10146173688736</v>
      </c>
      <c r="S13" s="97">
        <v>20.818916595012901</v>
      </c>
      <c r="T13" s="97">
        <v>65.980567497850387</v>
      </c>
      <c r="U13" s="97">
        <v>90.838091143594141</v>
      </c>
      <c r="V13" s="97">
        <v>85.245915735167657</v>
      </c>
      <c r="W13" s="97">
        <v>94.702063628546853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1.4606414338527798E-3</v>
      </c>
      <c r="N15" s="98">
        <v>3.4824342885066135E-3</v>
      </c>
      <c r="O15" s="98">
        <v>5.250063631748984E-3</v>
      </c>
      <c r="P15" s="98">
        <v>5.1753646011251916E-2</v>
      </c>
      <c r="Q15" s="98">
        <v>7.304731442648095E-2</v>
      </c>
      <c r="R15" s="98">
        <v>0.14078376646113469</v>
      </c>
      <c r="S15" s="98">
        <v>0.20326611982876328</v>
      </c>
      <c r="T15" s="98">
        <v>0.3142924253968809</v>
      </c>
      <c r="U15" s="98">
        <v>0.45975699699800365</v>
      </c>
      <c r="V15" s="98">
        <v>0.5803846149333336</v>
      </c>
      <c r="W15" s="98">
        <v>0.89201913592752291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1188.5354256233877</v>
      </c>
      <c r="C17" s="79">
        <f t="shared" si="9"/>
        <v>1239.6699054170247</v>
      </c>
      <c r="D17" s="79">
        <f t="shared" si="9"/>
        <v>1273.5644883920893</v>
      </c>
      <c r="E17" s="79">
        <f t="shared" si="9"/>
        <v>1290.4652622527944</v>
      </c>
      <c r="F17" s="79">
        <f t="shared" si="9"/>
        <v>1345.4332760103182</v>
      </c>
      <c r="G17" s="79">
        <f t="shared" si="9"/>
        <v>1432.389939810834</v>
      </c>
      <c r="H17" s="79">
        <f t="shared" si="9"/>
        <v>1498.8284608770421</v>
      </c>
      <c r="I17" s="79">
        <f t="shared" si="9"/>
        <v>1701.0561478933791</v>
      </c>
      <c r="J17" s="79">
        <f t="shared" si="9"/>
        <v>2007.6967325881342</v>
      </c>
      <c r="K17" s="79">
        <f t="shared" si="9"/>
        <v>1695.9585554600169</v>
      </c>
      <c r="L17" s="79">
        <f t="shared" ref="L17" si="10">L18+L42</f>
        <v>1753.3011177987964</v>
      </c>
      <c r="M17" s="79">
        <f t="shared" ref="M17:V17" si="11">M18+M42</f>
        <v>1856.869044476344</v>
      </c>
      <c r="N17" s="79">
        <f t="shared" si="11"/>
        <v>1875.2199914626635</v>
      </c>
      <c r="O17" s="79">
        <f t="shared" si="11"/>
        <v>1785.2278639931246</v>
      </c>
      <c r="P17" s="79">
        <f t="shared" si="11"/>
        <v>1769.0044621584784</v>
      </c>
      <c r="Q17" s="79">
        <f t="shared" si="11"/>
        <v>1746.3369338148568</v>
      </c>
      <c r="R17" s="79">
        <f t="shared" si="11"/>
        <v>1857.1982214276818</v>
      </c>
      <c r="S17" s="79">
        <f t="shared" si="11"/>
        <v>1904.6517613906799</v>
      </c>
      <c r="T17" s="79">
        <f t="shared" si="11"/>
        <v>1945.8948599232472</v>
      </c>
      <c r="U17" s="79">
        <f t="shared" si="11"/>
        <v>1899.1829728181506</v>
      </c>
      <c r="V17" s="79">
        <f t="shared" si="11"/>
        <v>1559.872216085269</v>
      </c>
      <c r="W17" s="79">
        <f t="shared" ref="W17" si="12">W18+W42</f>
        <v>1773.0379348710949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1076.2881987238461</v>
      </c>
      <c r="C18" s="32">
        <f t="shared" si="13"/>
        <v>1071.7304499514273</v>
      </c>
      <c r="D18" s="32">
        <f t="shared" si="13"/>
        <v>1090.2600181373434</v>
      </c>
      <c r="E18" s="32">
        <f t="shared" si="13"/>
        <v>1072.1990735727131</v>
      </c>
      <c r="F18" s="32">
        <f t="shared" si="13"/>
        <v>1037.6086496000084</v>
      </c>
      <c r="G18" s="32">
        <f t="shared" si="13"/>
        <v>1066.9639721875926</v>
      </c>
      <c r="H18" s="32">
        <f t="shared" si="13"/>
        <v>1091.3543582220395</v>
      </c>
      <c r="I18" s="32">
        <f t="shared" si="13"/>
        <v>1124.5922046861911</v>
      </c>
      <c r="J18" s="32">
        <f t="shared" si="13"/>
        <v>1202.5104497323584</v>
      </c>
      <c r="K18" s="32">
        <f t="shared" si="13"/>
        <v>1179.1667073200035</v>
      </c>
      <c r="L18" s="32">
        <f t="shared" ref="L18" si="14">L19+L21+L33</f>
        <v>1196.9062243310509</v>
      </c>
      <c r="M18" s="32">
        <f t="shared" ref="M18:V18" si="15">M19+M21+M33</f>
        <v>1206.7909035358261</v>
      </c>
      <c r="N18" s="32">
        <f t="shared" si="15"/>
        <v>1173.5165011182048</v>
      </c>
      <c r="O18" s="32">
        <f t="shared" si="15"/>
        <v>1142.629926090626</v>
      </c>
      <c r="P18" s="32">
        <f t="shared" si="15"/>
        <v>1136.8271958730691</v>
      </c>
      <c r="Q18" s="32">
        <f t="shared" si="15"/>
        <v>1142.9382467550408</v>
      </c>
      <c r="R18" s="32">
        <f t="shared" si="15"/>
        <v>1149.8919564040209</v>
      </c>
      <c r="S18" s="32">
        <f t="shared" si="15"/>
        <v>1182.6895427782636</v>
      </c>
      <c r="T18" s="32">
        <f t="shared" si="15"/>
        <v>1216.0587228808349</v>
      </c>
      <c r="U18" s="32">
        <f t="shared" si="15"/>
        <v>1215.0904127198894</v>
      </c>
      <c r="V18" s="32">
        <f t="shared" si="15"/>
        <v>1021.1108721003529</v>
      </c>
      <c r="W18" s="32">
        <f t="shared" ref="W18" si="16">W19+W21+W33</f>
        <v>1099.6679981175462</v>
      </c>
      <c r="DA18" s="173" t="s">
        <v>390</v>
      </c>
    </row>
    <row r="19" spans="1:105" ht="11.45" customHeight="1" x14ac:dyDescent="0.25">
      <c r="A19" s="107" t="s">
        <v>181</v>
      </c>
      <c r="B19" s="129">
        <v>3.5048616008928368</v>
      </c>
      <c r="C19" s="129">
        <v>3.2641469409512047</v>
      </c>
      <c r="D19" s="129">
        <v>3.2463997729536356</v>
      </c>
      <c r="E19" s="129">
        <v>3.8879599101297382</v>
      </c>
      <c r="F19" s="129">
        <v>4.3844514893517212</v>
      </c>
      <c r="G19" s="129">
        <v>4.8680124892804777</v>
      </c>
      <c r="H19" s="129">
        <v>5.4412514670035224</v>
      </c>
      <c r="I19" s="129">
        <v>6.0276658520105402</v>
      </c>
      <c r="J19" s="129">
        <v>6.44761370662372</v>
      </c>
      <c r="K19" s="129">
        <v>6.8806766844448619</v>
      </c>
      <c r="L19" s="129">
        <v>8.4202888182701585</v>
      </c>
      <c r="M19" s="129">
        <v>9.8299261846222734</v>
      </c>
      <c r="N19" s="129">
        <v>8.9521121332870663</v>
      </c>
      <c r="O19" s="129">
        <v>7.9218073734519425</v>
      </c>
      <c r="P19" s="129">
        <v>8.0256903687654795</v>
      </c>
      <c r="Q19" s="129">
        <v>8.4973079713240498</v>
      </c>
      <c r="R19" s="129">
        <v>8.7828676570027167</v>
      </c>
      <c r="S19" s="129">
        <v>8.5065440862162358</v>
      </c>
      <c r="T19" s="129">
        <v>8.0776692624970661</v>
      </c>
      <c r="U19" s="129">
        <v>8.5034230857367081</v>
      </c>
      <c r="V19" s="129">
        <v>7.5884078745758092</v>
      </c>
      <c r="W19" s="129">
        <v>7.3811375297473711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5.954957175375454E-3</v>
      </c>
      <c r="J20" s="97">
        <v>2.4398402534678641E-2</v>
      </c>
      <c r="K20" s="97">
        <v>2.8919264376576506E-2</v>
      </c>
      <c r="L20" s="97">
        <v>6.0161655372622296E-2</v>
      </c>
      <c r="M20" s="97">
        <v>8.4751671598907022E-2</v>
      </c>
      <c r="N20" s="97">
        <v>0.1010313178899777</v>
      </c>
      <c r="O20" s="97">
        <v>0.12374050376933653</v>
      </c>
      <c r="P20" s="97">
        <v>0.13392386016802554</v>
      </c>
      <c r="Q20" s="97">
        <v>0.12495987805984755</v>
      </c>
      <c r="R20" s="97">
        <v>8.7151159934917774E-2</v>
      </c>
      <c r="S20" s="97">
        <v>8.4177785217977905E-2</v>
      </c>
      <c r="T20" s="97">
        <v>0.14527666823048291</v>
      </c>
      <c r="U20" s="97">
        <v>8.7481322169094669E-2</v>
      </c>
      <c r="V20" s="97">
        <v>0.1849588289111693</v>
      </c>
      <c r="W20" s="97">
        <v>0.16918926732840642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993.38758348643591</v>
      </c>
      <c r="C21" s="130">
        <f t="shared" si="17"/>
        <v>996.05964453381978</v>
      </c>
      <c r="D21" s="130">
        <f t="shared" si="17"/>
        <v>1017.1713050260539</v>
      </c>
      <c r="E21" s="130">
        <f t="shared" si="17"/>
        <v>1000.6097040025988</v>
      </c>
      <c r="F21" s="130">
        <f t="shared" si="17"/>
        <v>964.10884409205778</v>
      </c>
      <c r="G21" s="130">
        <f t="shared" si="17"/>
        <v>995.2801529818139</v>
      </c>
      <c r="H21" s="130">
        <f t="shared" si="17"/>
        <v>1018.6355612844624</v>
      </c>
      <c r="I21" s="130">
        <f t="shared" si="17"/>
        <v>1050.8199263475942</v>
      </c>
      <c r="J21" s="130">
        <f t="shared" si="17"/>
        <v>1128.1187415472173</v>
      </c>
      <c r="K21" s="130">
        <f t="shared" si="17"/>
        <v>1103.4056820568403</v>
      </c>
      <c r="L21" s="130">
        <f t="shared" ref="L21" si="18">L22+L24+L26+L27+L29+L32</f>
        <v>1120.0169081715756</v>
      </c>
      <c r="M21" s="130">
        <f t="shared" ref="M21:V21" si="19">M22+M24+M26+M27+M29+M32</f>
        <v>1127.2355992623689</v>
      </c>
      <c r="N21" s="130">
        <f t="shared" si="19"/>
        <v>1095.1812228773842</v>
      </c>
      <c r="O21" s="130">
        <f t="shared" si="19"/>
        <v>1063.6559053752048</v>
      </c>
      <c r="P21" s="130">
        <f t="shared" si="19"/>
        <v>1055.9071708990348</v>
      </c>
      <c r="Q21" s="130">
        <f t="shared" si="19"/>
        <v>1059.3210519153042</v>
      </c>
      <c r="R21" s="130">
        <f t="shared" si="19"/>
        <v>1066.6024258996365</v>
      </c>
      <c r="S21" s="130">
        <f t="shared" si="19"/>
        <v>1096.7055179476154</v>
      </c>
      <c r="T21" s="130">
        <f t="shared" si="19"/>
        <v>1131.3973215485369</v>
      </c>
      <c r="U21" s="130">
        <f t="shared" si="19"/>
        <v>1128.5259489317596</v>
      </c>
      <c r="V21" s="130">
        <f t="shared" si="19"/>
        <v>964.99042592772184</v>
      </c>
      <c r="W21" s="130">
        <f t="shared" ref="W21" si="20">W22+W24+W26+W27+W29+W32</f>
        <v>1034.6845905010771</v>
      </c>
      <c r="DA21" s="176" t="s">
        <v>392</v>
      </c>
    </row>
    <row r="22" spans="1:105" ht="11.45" customHeight="1" x14ac:dyDescent="0.25">
      <c r="A22" s="111" t="s">
        <v>110</v>
      </c>
      <c r="B22" s="96">
        <v>837.85010038231576</v>
      </c>
      <c r="C22" s="96">
        <v>830.47410469474607</v>
      </c>
      <c r="D22" s="96">
        <v>795.38887896758649</v>
      </c>
      <c r="E22" s="96">
        <v>775.77354860579374</v>
      </c>
      <c r="F22" s="96">
        <v>688.28706463269862</v>
      </c>
      <c r="G22" s="96">
        <v>676.39687740315048</v>
      </c>
      <c r="H22" s="96">
        <v>652.68705803986109</v>
      </c>
      <c r="I22" s="96">
        <v>631.63395699373473</v>
      </c>
      <c r="J22" s="96">
        <v>662.70138915381131</v>
      </c>
      <c r="K22" s="96">
        <v>604.0920991736873</v>
      </c>
      <c r="L22" s="96">
        <v>590.09467097685013</v>
      </c>
      <c r="M22" s="96">
        <v>571.92788913089657</v>
      </c>
      <c r="N22" s="96">
        <v>517.50327238276236</v>
      </c>
      <c r="O22" s="96">
        <v>473.26572809990972</v>
      </c>
      <c r="P22" s="96">
        <v>442.26650751019702</v>
      </c>
      <c r="Q22" s="96">
        <v>430.49725775183191</v>
      </c>
      <c r="R22" s="96">
        <v>425.13995454540333</v>
      </c>
      <c r="S22" s="96">
        <v>414.67017990323092</v>
      </c>
      <c r="T22" s="96">
        <v>421.39984288493781</v>
      </c>
      <c r="U22" s="96">
        <v>399.43761601564245</v>
      </c>
      <c r="V22" s="96">
        <v>318.52816560482614</v>
      </c>
      <c r="W22" s="96">
        <v>363.14402986430241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0.62401487686249646</v>
      </c>
      <c r="J23" s="96">
        <v>2.5077270426816858</v>
      </c>
      <c r="K23" s="96">
        <v>2.5389798016958305</v>
      </c>
      <c r="L23" s="96">
        <v>4.2161347429675757</v>
      </c>
      <c r="M23" s="96">
        <v>4.9310486902440998</v>
      </c>
      <c r="N23" s="96">
        <v>5.8404136189041171</v>
      </c>
      <c r="O23" s="96">
        <v>7.3925225458147068</v>
      </c>
      <c r="P23" s="96">
        <v>7.3800551961622052</v>
      </c>
      <c r="Q23" s="96">
        <v>6.3308150081543246</v>
      </c>
      <c r="R23" s="96">
        <v>4.21860394808163</v>
      </c>
      <c r="S23" s="96">
        <v>4.1034310745247478</v>
      </c>
      <c r="T23" s="96">
        <v>7.5788650386321734</v>
      </c>
      <c r="U23" s="96">
        <v>4.1093252000752551</v>
      </c>
      <c r="V23" s="96">
        <v>7.7637624992297818</v>
      </c>
      <c r="W23" s="96">
        <v>8.323930031084128</v>
      </c>
      <c r="DA23" s="171" t="s">
        <v>641</v>
      </c>
    </row>
    <row r="24" spans="1:105" ht="11.45" customHeight="1" x14ac:dyDescent="0.25">
      <c r="A24" s="111" t="s">
        <v>111</v>
      </c>
      <c r="B24" s="96">
        <v>155.53748310412021</v>
      </c>
      <c r="C24" s="96">
        <v>165.5855398390737</v>
      </c>
      <c r="D24" s="96">
        <v>221.78242605846748</v>
      </c>
      <c r="E24" s="96">
        <v>224.83615539680508</v>
      </c>
      <c r="F24" s="96">
        <v>275.82177945935911</v>
      </c>
      <c r="G24" s="96">
        <v>318.88327557866336</v>
      </c>
      <c r="H24" s="96">
        <v>365.38873837833177</v>
      </c>
      <c r="I24" s="96">
        <v>417.61674837440376</v>
      </c>
      <c r="J24" s="96">
        <v>464.11013307463094</v>
      </c>
      <c r="K24" s="96">
        <v>495.27052664224254</v>
      </c>
      <c r="L24" s="96">
        <v>524.55942023535806</v>
      </c>
      <c r="M24" s="96">
        <v>548.83294970095869</v>
      </c>
      <c r="N24" s="96">
        <v>568.99103533185257</v>
      </c>
      <c r="O24" s="96">
        <v>578.37423604978403</v>
      </c>
      <c r="P24" s="96">
        <v>600.92459193919422</v>
      </c>
      <c r="Q24" s="96">
        <v>615.10905059862625</v>
      </c>
      <c r="R24" s="96">
        <v>626.56238803457973</v>
      </c>
      <c r="S24" s="96">
        <v>667.23969498469808</v>
      </c>
      <c r="T24" s="96">
        <v>695.22750045470468</v>
      </c>
      <c r="U24" s="96">
        <v>714.8567309620023</v>
      </c>
      <c r="V24" s="96">
        <v>637.2136985335602</v>
      </c>
      <c r="W24" s="96">
        <v>655.19321778248877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1.933806199821853</v>
      </c>
      <c r="I25" s="96">
        <v>5.2375614383069564</v>
      </c>
      <c r="J25" s="96">
        <v>7.6916041390008179</v>
      </c>
      <c r="K25" s="96">
        <v>13.003527008176521</v>
      </c>
      <c r="L25" s="96">
        <v>19.004418259292986</v>
      </c>
      <c r="M25" s="96">
        <v>13.788708844529754</v>
      </c>
      <c r="N25" s="96">
        <v>19.548293272649055</v>
      </c>
      <c r="O25" s="96">
        <v>23.780981545753573</v>
      </c>
      <c r="P25" s="96">
        <v>16.706086554245573</v>
      </c>
      <c r="Q25" s="96">
        <v>10.955347450757133</v>
      </c>
      <c r="R25" s="96">
        <v>6.3069826884696685</v>
      </c>
      <c r="S25" s="96">
        <v>9.5212439446976127</v>
      </c>
      <c r="T25" s="96">
        <v>30.705066247258451</v>
      </c>
      <c r="U25" s="96">
        <v>44.229363810105724</v>
      </c>
      <c r="V25" s="96">
        <v>44.645585339759613</v>
      </c>
      <c r="W25" s="96">
        <v>45.05802415965875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0.5597648662695186</v>
      </c>
      <c r="I26" s="96">
        <v>1.5692209794559622</v>
      </c>
      <c r="J26" s="96">
        <v>1.3072193187750494</v>
      </c>
      <c r="K26" s="96">
        <v>4.0430562409106274</v>
      </c>
      <c r="L26" s="96">
        <v>5.3628169593672901</v>
      </c>
      <c r="M26" s="96">
        <v>6.4732997890796087</v>
      </c>
      <c r="N26" s="96">
        <v>8.6783955368879155</v>
      </c>
      <c r="O26" s="96">
        <v>11.982122928379662</v>
      </c>
      <c r="P26" s="96">
        <v>12.582807029875957</v>
      </c>
      <c r="Q26" s="96">
        <v>13.564199475893368</v>
      </c>
      <c r="R26" s="96">
        <v>14.675978363624827</v>
      </c>
      <c r="S26" s="96">
        <v>14.402397442354557</v>
      </c>
      <c r="T26" s="96">
        <v>14.207447028306948</v>
      </c>
      <c r="U26" s="96">
        <v>13.566860787434246</v>
      </c>
      <c r="V26" s="96">
        <v>8.4984839788533328</v>
      </c>
      <c r="W26" s="96">
        <v>15.249881630838141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5.0371915928416784E-3</v>
      </c>
      <c r="O27" s="96">
        <v>2.647268285976008E-2</v>
      </c>
      <c r="P27" s="96">
        <v>0.11845091294366221</v>
      </c>
      <c r="Q27" s="96">
        <v>0.11560588913076657</v>
      </c>
      <c r="R27" s="96">
        <v>0.14871798165817018</v>
      </c>
      <c r="S27" s="96">
        <v>0.20956161791765424</v>
      </c>
      <c r="T27" s="96">
        <v>0.23282884124505318</v>
      </c>
      <c r="U27" s="96">
        <v>0.22033774576508042</v>
      </c>
      <c r="V27" s="96">
        <v>0.17728511450111387</v>
      </c>
      <c r="W27" s="96">
        <v>0.18777284070159145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3.3924072330452941E-3</v>
      </c>
      <c r="P29" s="96">
        <v>5.4008338873091149E-3</v>
      </c>
      <c r="Q29" s="96">
        <v>1.4248793030885694E-2</v>
      </c>
      <c r="R29" s="96">
        <v>4.0032612646688115E-2</v>
      </c>
      <c r="S29" s="96">
        <v>0.11739330876803775</v>
      </c>
      <c r="T29" s="96">
        <v>0.22175561593850046</v>
      </c>
      <c r="U29" s="96">
        <v>0.24682257528293558</v>
      </c>
      <c r="V29" s="96">
        <v>0.24349081270776721</v>
      </c>
      <c r="W29" s="96">
        <v>0.34462264496121253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3.2732996351646767E-5</v>
      </c>
      <c r="P30" s="96">
        <v>5.5428195881321002E-5</v>
      </c>
      <c r="Q30" s="96">
        <v>1.1984586423064473E-4</v>
      </c>
      <c r="R30" s="96">
        <v>2.4355209373393182E-4</v>
      </c>
      <c r="S30" s="96">
        <v>6.7865726979110357E-4</v>
      </c>
      <c r="T30" s="96">
        <v>2.2573113007188449E-3</v>
      </c>
      <c r="U30" s="96">
        <v>1.4312370059694659E-3</v>
      </c>
      <c r="V30" s="96">
        <v>3.2907948059024495E-3</v>
      </c>
      <c r="W30" s="96">
        <v>4.4815612183112651E-3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1.29685659315928E-3</v>
      </c>
      <c r="P31" s="96">
        <v>2.0791738240116516E-3</v>
      </c>
      <c r="Q31" s="96">
        <v>6.0992394840300689E-3</v>
      </c>
      <c r="R31" s="96">
        <v>1.5488064892550852E-2</v>
      </c>
      <c r="S31" s="96">
        <v>4.8811936973092739E-2</v>
      </c>
      <c r="T31" s="96">
        <v>9.6244655838728974E-2</v>
      </c>
      <c r="U31" s="96">
        <v>0.10770243516666056</v>
      </c>
      <c r="V31" s="96">
        <v>0.10847755940307291</v>
      </c>
      <c r="W31" s="96">
        <v>0.14910776258909803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1.4606414338527798E-3</v>
      </c>
      <c r="N32" s="96">
        <v>3.4824342885066135E-3</v>
      </c>
      <c r="O32" s="96">
        <v>3.9532070385897037E-3</v>
      </c>
      <c r="P32" s="96">
        <v>9.4126729366633306E-3</v>
      </c>
      <c r="Q32" s="96">
        <v>2.0689406790800113E-2</v>
      </c>
      <c r="R32" s="96">
        <v>3.5354361723865767E-2</v>
      </c>
      <c r="S32" s="96">
        <v>6.6290690646265998E-2</v>
      </c>
      <c r="T32" s="96">
        <v>0.10794672340395549</v>
      </c>
      <c r="U32" s="96">
        <v>0.19758084563248193</v>
      </c>
      <c r="V32" s="96">
        <v>0.32930188327332977</v>
      </c>
      <c r="W32" s="96">
        <v>0.56506573778488922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79.395753636517497</v>
      </c>
      <c r="C33" s="130">
        <f t="shared" si="21"/>
        <v>72.406658476656418</v>
      </c>
      <c r="D33" s="130">
        <f t="shared" si="21"/>
        <v>69.842313338335913</v>
      </c>
      <c r="E33" s="130">
        <f t="shared" si="21"/>
        <v>67.701409659984535</v>
      </c>
      <c r="F33" s="130">
        <f t="shared" si="21"/>
        <v>69.115354018598921</v>
      </c>
      <c r="G33" s="130">
        <f t="shared" si="21"/>
        <v>66.815806716498386</v>
      </c>
      <c r="H33" s="130">
        <f t="shared" si="21"/>
        <v>67.277545470573557</v>
      </c>
      <c r="I33" s="130">
        <f t="shared" si="21"/>
        <v>67.744612486586163</v>
      </c>
      <c r="J33" s="130">
        <f t="shared" si="21"/>
        <v>67.944094478517414</v>
      </c>
      <c r="K33" s="130">
        <f t="shared" si="21"/>
        <v>68.88034857871844</v>
      </c>
      <c r="L33" s="130">
        <f t="shared" ref="L33" si="22">L34+L36+L38+L39+L41</f>
        <v>68.469027341205191</v>
      </c>
      <c r="M33" s="130">
        <f t="shared" ref="M33:V33" si="23">M34+M36+M38+M39+M41</f>
        <v>69.725378088834873</v>
      </c>
      <c r="N33" s="130">
        <f t="shared" si="23"/>
        <v>69.38316610753354</v>
      </c>
      <c r="O33" s="130">
        <f t="shared" si="23"/>
        <v>71.052213341969235</v>
      </c>
      <c r="P33" s="130">
        <f t="shared" si="23"/>
        <v>72.89433460526871</v>
      </c>
      <c r="Q33" s="130">
        <f t="shared" si="23"/>
        <v>75.119886868412507</v>
      </c>
      <c r="R33" s="130">
        <f t="shared" si="23"/>
        <v>74.506662847381648</v>
      </c>
      <c r="S33" s="130">
        <f t="shared" si="23"/>
        <v>77.477480744431801</v>
      </c>
      <c r="T33" s="130">
        <f t="shared" si="23"/>
        <v>76.58373206980103</v>
      </c>
      <c r="U33" s="130">
        <f t="shared" si="23"/>
        <v>78.061040702393129</v>
      </c>
      <c r="V33" s="130">
        <f t="shared" si="23"/>
        <v>48.532038298055191</v>
      </c>
      <c r="W33" s="130">
        <f t="shared" ref="W33" si="24">W34+W36+W38+W39+W41</f>
        <v>57.602270086721767</v>
      </c>
      <c r="DA33" s="176" t="s">
        <v>393</v>
      </c>
    </row>
    <row r="34" spans="1:105" ht="11.45" customHeight="1" x14ac:dyDescent="0.25">
      <c r="A34" s="111" t="s">
        <v>110</v>
      </c>
      <c r="B34" s="97">
        <v>0.41410624576851596</v>
      </c>
      <c r="C34" s="97">
        <v>0.37106854449994103</v>
      </c>
      <c r="D34" s="97">
        <v>0.3337453189146265</v>
      </c>
      <c r="E34" s="97">
        <v>0.28815912952172079</v>
      </c>
      <c r="F34" s="97">
        <v>0.24624867065134923</v>
      </c>
      <c r="G34" s="97">
        <v>0.21652158495282228</v>
      </c>
      <c r="H34" s="97">
        <v>0.19265877564771242</v>
      </c>
      <c r="I34" s="97">
        <v>0.16559609783111295</v>
      </c>
      <c r="J34" s="97">
        <v>0.13078149638659634</v>
      </c>
      <c r="K34" s="97">
        <v>0.11033430504226598</v>
      </c>
      <c r="L34" s="97">
        <v>9.0939580837852071E-2</v>
      </c>
      <c r="M34" s="97">
        <v>7.2129511001255558E-2</v>
      </c>
      <c r="N34" s="97">
        <v>6.213186820547105E-2</v>
      </c>
      <c r="O34" s="97">
        <v>4.7828019283994466E-2</v>
      </c>
      <c r="P34" s="97">
        <v>3.81889251346888E-2</v>
      </c>
      <c r="Q34" s="97">
        <v>2.9245354249827299E-2</v>
      </c>
      <c r="R34" s="97">
        <v>2.8948263295756033E-2</v>
      </c>
      <c r="S34" s="97">
        <v>2.7917963772431484E-2</v>
      </c>
      <c r="T34" s="97">
        <v>2.6361305528338531E-2</v>
      </c>
      <c r="U34" s="97">
        <v>2.5672092731326045E-2</v>
      </c>
      <c r="V34" s="97">
        <v>1.9569867872304775E-2</v>
      </c>
      <c r="W34" s="97">
        <v>1.9315688718861003E-2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1.6359859607423998E-4</v>
      </c>
      <c r="J35" s="97">
        <v>4.9489000708119099E-4</v>
      </c>
      <c r="K35" s="97">
        <v>4.6373156066706876E-4</v>
      </c>
      <c r="L35" s="97">
        <v>6.4974917608842133E-4</v>
      </c>
      <c r="M35" s="97">
        <v>6.2188632082826423E-4</v>
      </c>
      <c r="N35" s="97">
        <v>7.0120485917776786E-4</v>
      </c>
      <c r="O35" s="97">
        <v>7.4708496703980356E-4</v>
      </c>
      <c r="P35" s="97">
        <v>6.3725462043858578E-4</v>
      </c>
      <c r="Q35" s="97">
        <v>4.3007690355678857E-4</v>
      </c>
      <c r="R35" s="97">
        <v>2.8724954341251133E-4</v>
      </c>
      <c r="S35" s="97">
        <v>2.7626640552736527E-4</v>
      </c>
      <c r="T35" s="97">
        <v>4.7410738331949911E-4</v>
      </c>
      <c r="U35" s="97">
        <v>2.6410877035520767E-4</v>
      </c>
      <c r="V35" s="97">
        <v>4.7699331710080806E-4</v>
      </c>
      <c r="W35" s="97">
        <v>4.4275116255685179E-4</v>
      </c>
      <c r="DA35" s="175" t="s">
        <v>652</v>
      </c>
    </row>
    <row r="36" spans="1:105" ht="11.45" customHeight="1" x14ac:dyDescent="0.25">
      <c r="A36" s="111" t="s">
        <v>111</v>
      </c>
      <c r="B36" s="97">
        <v>78.981647390748975</v>
      </c>
      <c r="C36" s="97">
        <v>72.035589932156483</v>
      </c>
      <c r="D36" s="97">
        <v>69.50856801942129</v>
      </c>
      <c r="E36" s="97">
        <v>67.413250530462818</v>
      </c>
      <c r="F36" s="97">
        <v>68.869105347947567</v>
      </c>
      <c r="G36" s="97">
        <v>66.599285131545571</v>
      </c>
      <c r="H36" s="97">
        <v>67.084886694925842</v>
      </c>
      <c r="I36" s="97">
        <v>67.579016388755051</v>
      </c>
      <c r="J36" s="97">
        <v>67.813312982130824</v>
      </c>
      <c r="K36" s="97">
        <v>68.770014273676168</v>
      </c>
      <c r="L36" s="97">
        <v>68.378087760367336</v>
      </c>
      <c r="M36" s="97">
        <v>69.653248577833622</v>
      </c>
      <c r="N36" s="97">
        <v>68.638195248633721</v>
      </c>
      <c r="O36" s="97">
        <v>70.235501169775432</v>
      </c>
      <c r="P36" s="97">
        <v>71.810817404911077</v>
      </c>
      <c r="Q36" s="97">
        <v>73.159516280849701</v>
      </c>
      <c r="R36" s="97">
        <v>71.824190719578553</v>
      </c>
      <c r="S36" s="97">
        <v>74.416198779949866</v>
      </c>
      <c r="T36" s="97">
        <v>73.455391386029376</v>
      </c>
      <c r="U36" s="97">
        <v>73.831124033765363</v>
      </c>
      <c r="V36" s="97">
        <v>45.216198546496202</v>
      </c>
      <c r="W36" s="97">
        <v>53.207536379959912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0.35504424788995453</v>
      </c>
      <c r="I37" s="97">
        <v>0.84754563042364639</v>
      </c>
      <c r="J37" s="97">
        <v>1.1238564332936916</v>
      </c>
      <c r="K37" s="97">
        <v>1.805584402575189</v>
      </c>
      <c r="L37" s="97">
        <v>2.4772899493171119</v>
      </c>
      <c r="M37" s="97">
        <v>1.7499466189825348</v>
      </c>
      <c r="N37" s="97">
        <v>2.3581383310249953</v>
      </c>
      <c r="O37" s="97">
        <v>2.8878692256122784</v>
      </c>
      <c r="P37" s="97">
        <v>1.9963864804170983</v>
      </c>
      <c r="Q37" s="97">
        <v>1.3030013448932691</v>
      </c>
      <c r="R37" s="97">
        <v>0.72298295609905849</v>
      </c>
      <c r="S37" s="97">
        <v>1.0618894339571037</v>
      </c>
      <c r="T37" s="97">
        <v>3.2441936736552845</v>
      </c>
      <c r="U37" s="97">
        <v>4.5680532951042814</v>
      </c>
      <c r="V37" s="97">
        <v>3.168016719654358</v>
      </c>
      <c r="W37" s="97">
        <v>3.6591136700075766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0.68283899069434661</v>
      </c>
      <c r="O39" s="97">
        <v>0.76888415290980128</v>
      </c>
      <c r="P39" s="97">
        <v>1.0088567845936982</v>
      </c>
      <c r="Q39" s="97">
        <v>1.8946490990324107</v>
      </c>
      <c r="R39" s="97">
        <v>2.5806040311521485</v>
      </c>
      <c r="S39" s="97">
        <v>2.9786988183474139</v>
      </c>
      <c r="T39" s="97">
        <v>3.0294063643102227</v>
      </c>
      <c r="U39" s="97">
        <v>4.0961365728252597</v>
      </c>
      <c r="V39" s="97">
        <v>3.2062042963523871</v>
      </c>
      <c r="W39" s="97">
        <v>4.2688960222037196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3.6471490629235083E-2</v>
      </c>
      <c r="Q41" s="97">
        <v>3.6476134280575147E-2</v>
      </c>
      <c r="R41" s="97">
        <v>7.2919833355184802E-2</v>
      </c>
      <c r="S41" s="97">
        <v>5.4665182362079678E-2</v>
      </c>
      <c r="T41" s="97">
        <v>7.257301393309358E-2</v>
      </c>
      <c r="U41" s="97">
        <v>0.10810800307118514</v>
      </c>
      <c r="V41" s="97">
        <v>9.0065587334290903E-2</v>
      </c>
      <c r="W41" s="97">
        <v>0.10652199583927245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112.24722689954157</v>
      </c>
      <c r="C42" s="32">
        <f t="shared" si="25"/>
        <v>167.9394554655974</v>
      </c>
      <c r="D42" s="32">
        <f t="shared" si="25"/>
        <v>183.30447025474587</v>
      </c>
      <c r="E42" s="32">
        <f t="shared" si="25"/>
        <v>218.26618868008129</v>
      </c>
      <c r="F42" s="32">
        <f t="shared" si="25"/>
        <v>307.82462641030975</v>
      </c>
      <c r="G42" s="32">
        <f t="shared" si="25"/>
        <v>365.42596762324138</v>
      </c>
      <c r="H42" s="32">
        <f t="shared" si="25"/>
        <v>407.47410265500253</v>
      </c>
      <c r="I42" s="32">
        <f t="shared" si="25"/>
        <v>576.46394320718821</v>
      </c>
      <c r="J42" s="32">
        <f t="shared" si="25"/>
        <v>805.18628285577586</v>
      </c>
      <c r="K42" s="32">
        <f t="shared" si="25"/>
        <v>516.79184814001337</v>
      </c>
      <c r="L42" s="32">
        <f t="shared" ref="L42" si="26">L43+L52</f>
        <v>556.39489346774565</v>
      </c>
      <c r="M42" s="32">
        <f t="shared" ref="M42:V42" si="27">M43+M52</f>
        <v>650.07814094051787</v>
      </c>
      <c r="N42" s="32">
        <f t="shared" si="27"/>
        <v>701.7034903444586</v>
      </c>
      <c r="O42" s="32">
        <f t="shared" si="27"/>
        <v>642.59793790249864</v>
      </c>
      <c r="P42" s="32">
        <f t="shared" si="27"/>
        <v>632.17726628540936</v>
      </c>
      <c r="Q42" s="32">
        <f t="shared" si="27"/>
        <v>603.39868705981598</v>
      </c>
      <c r="R42" s="32">
        <f t="shared" si="27"/>
        <v>707.30626502366079</v>
      </c>
      <c r="S42" s="32">
        <f t="shared" si="27"/>
        <v>721.96221861241622</v>
      </c>
      <c r="T42" s="32">
        <f t="shared" si="27"/>
        <v>729.83613704241225</v>
      </c>
      <c r="U42" s="32">
        <f t="shared" si="27"/>
        <v>684.09256009826106</v>
      </c>
      <c r="V42" s="32">
        <f t="shared" si="27"/>
        <v>538.76134398491604</v>
      </c>
      <c r="W42" s="32">
        <f t="shared" ref="W42" si="28">W43+W52</f>
        <v>673.36993675354859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40.95258321300895</v>
      </c>
      <c r="C43" s="141">
        <f t="shared" si="29"/>
        <v>42.861922762211684</v>
      </c>
      <c r="D43" s="141">
        <f t="shared" si="29"/>
        <v>46.132291247043604</v>
      </c>
      <c r="E43" s="141">
        <f t="shared" si="29"/>
        <v>49.869219755552926</v>
      </c>
      <c r="F43" s="141">
        <f t="shared" si="29"/>
        <v>56.246161998626874</v>
      </c>
      <c r="G43" s="141">
        <f t="shared" si="29"/>
        <v>61.838011057189568</v>
      </c>
      <c r="H43" s="141">
        <f t="shared" si="29"/>
        <v>67.66944793721315</v>
      </c>
      <c r="I43" s="141">
        <f t="shared" si="29"/>
        <v>77.775479115115971</v>
      </c>
      <c r="J43" s="141">
        <f t="shared" si="29"/>
        <v>86.336921964942533</v>
      </c>
      <c r="K43" s="141">
        <f t="shared" si="29"/>
        <v>90.045548894792034</v>
      </c>
      <c r="L43" s="141">
        <f t="shared" ref="L43" si="30">L44+L46+L48+L49+L51</f>
        <v>91.710521036967236</v>
      </c>
      <c r="M43" s="141">
        <f t="shared" ref="M43:V43" si="31">M44+M46+M48+M49+M51</f>
        <v>96.186585255193052</v>
      </c>
      <c r="N43" s="141">
        <f t="shared" si="31"/>
        <v>97.195868196181138</v>
      </c>
      <c r="O43" s="141">
        <f t="shared" si="31"/>
        <v>99.590072940178715</v>
      </c>
      <c r="P43" s="141">
        <f t="shared" si="31"/>
        <v>104.64832737552766</v>
      </c>
      <c r="Q43" s="141">
        <f t="shared" si="31"/>
        <v>110.05579881219303</v>
      </c>
      <c r="R43" s="141">
        <f t="shared" si="31"/>
        <v>115.65978288483223</v>
      </c>
      <c r="S43" s="141">
        <f t="shared" si="31"/>
        <v>122.15912575796698</v>
      </c>
      <c r="T43" s="141">
        <f t="shared" si="31"/>
        <v>129.44926321622916</v>
      </c>
      <c r="U43" s="141">
        <f t="shared" si="31"/>
        <v>136.46911455283109</v>
      </c>
      <c r="V43" s="141">
        <f t="shared" si="31"/>
        <v>141.24376875847886</v>
      </c>
      <c r="W43" s="141">
        <f t="shared" ref="W43" si="32">W44+W46+W48+W49+W51</f>
        <v>140.47367785192318</v>
      </c>
      <c r="DA43" s="174" t="s">
        <v>399</v>
      </c>
    </row>
    <row r="44" spans="1:105" ht="11.45" customHeight="1" x14ac:dyDescent="0.25">
      <c r="A44" s="111" t="s">
        <v>110</v>
      </c>
      <c r="B44" s="96">
        <v>6.8170022783316675</v>
      </c>
      <c r="C44" s="96">
        <v>7.0701295188568709</v>
      </c>
      <c r="D44" s="96">
        <v>7.2934866886105842</v>
      </c>
      <c r="E44" s="96">
        <v>7.2672713055434892</v>
      </c>
      <c r="F44" s="96">
        <v>7.5360615185622999</v>
      </c>
      <c r="G44" s="96">
        <v>7.3334638450581791</v>
      </c>
      <c r="H44" s="96">
        <v>6.7394788370061045</v>
      </c>
      <c r="I44" s="96">
        <v>6.9234259403444938</v>
      </c>
      <c r="J44" s="96">
        <v>6.7173781539264201</v>
      </c>
      <c r="K44" s="96">
        <v>6.2998649013138444</v>
      </c>
      <c r="L44" s="96">
        <v>5.8381246997081746</v>
      </c>
      <c r="M44" s="96">
        <v>5.5550078819924247</v>
      </c>
      <c r="N44" s="96">
        <v>5.2481757911536029</v>
      </c>
      <c r="O44" s="96">
        <v>4.9916037254160512</v>
      </c>
      <c r="P44" s="96">
        <v>4.4693869786598013</v>
      </c>
      <c r="Q44" s="96">
        <v>4.22702475167846</v>
      </c>
      <c r="R44" s="96">
        <v>3.9677950467331571</v>
      </c>
      <c r="S44" s="96">
        <v>3.8406201831540603</v>
      </c>
      <c r="T44" s="96">
        <v>3.817391167332445</v>
      </c>
      <c r="U44" s="96">
        <v>3.7980379692985995</v>
      </c>
      <c r="V44" s="96">
        <v>3.6919560391458841</v>
      </c>
      <c r="W44" s="96">
        <v>3.679004614394918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6.8399121639901592E-3</v>
      </c>
      <c r="J45" s="96">
        <v>2.5419217657035423E-2</v>
      </c>
      <c r="K45" s="96">
        <v>2.647813099977232E-2</v>
      </c>
      <c r="L45" s="96">
        <v>4.1712493928253783E-2</v>
      </c>
      <c r="M45" s="96">
        <v>4.7894174880017466E-2</v>
      </c>
      <c r="N45" s="96">
        <v>5.922961071130297E-2</v>
      </c>
      <c r="O45" s="96">
        <v>7.7970030130981471E-2</v>
      </c>
      <c r="P45" s="96">
        <v>7.4580195505212374E-2</v>
      </c>
      <c r="Q45" s="96">
        <v>6.216186341700787E-2</v>
      </c>
      <c r="R45" s="96">
        <v>3.937187194561742E-2</v>
      </c>
      <c r="S45" s="96">
        <v>3.800543412279863E-2</v>
      </c>
      <c r="T45" s="96">
        <v>6.8655679268439587E-2</v>
      </c>
      <c r="U45" s="96">
        <v>3.9073368436762811E-2</v>
      </c>
      <c r="V45" s="96">
        <v>8.998723799227959E-2</v>
      </c>
      <c r="W45" s="96">
        <v>8.4329562035488387E-2</v>
      </c>
      <c r="DA45" s="171" t="s">
        <v>660</v>
      </c>
    </row>
    <row r="46" spans="1:105" ht="11.45" customHeight="1" x14ac:dyDescent="0.25">
      <c r="A46" s="111" t="s">
        <v>111</v>
      </c>
      <c r="B46" s="96">
        <v>34.135580934677286</v>
      </c>
      <c r="C46" s="96">
        <v>35.79179324335481</v>
      </c>
      <c r="D46" s="96">
        <v>38.838804558433019</v>
      </c>
      <c r="E46" s="96">
        <v>42.601948450009438</v>
      </c>
      <c r="F46" s="96">
        <v>48.710100480064575</v>
      </c>
      <c r="G46" s="96">
        <v>54.504547212131392</v>
      </c>
      <c r="H46" s="96">
        <v>60.35998332159263</v>
      </c>
      <c r="I46" s="96">
        <v>70.221532107795809</v>
      </c>
      <c r="J46" s="96">
        <v>78.727021083359517</v>
      </c>
      <c r="K46" s="96">
        <v>83.389170157002752</v>
      </c>
      <c r="L46" s="96">
        <v>85.735815188285855</v>
      </c>
      <c r="M46" s="96">
        <v>90.505565038462521</v>
      </c>
      <c r="N46" s="96">
        <v>91.827033771666095</v>
      </c>
      <c r="O46" s="96">
        <v>94.481881910984114</v>
      </c>
      <c r="P46" s="96">
        <v>99.525849510414787</v>
      </c>
      <c r="Q46" s="96">
        <v>104.98828691933289</v>
      </c>
      <c r="R46" s="96">
        <v>110.86590729273944</v>
      </c>
      <c r="S46" s="96">
        <v>117.51083281340465</v>
      </c>
      <c r="T46" s="96">
        <v>124.86952925999613</v>
      </c>
      <c r="U46" s="96">
        <v>131.85860487582752</v>
      </c>
      <c r="V46" s="96">
        <v>136.74315538052304</v>
      </c>
      <c r="W46" s="96">
        <v>135.77512795054284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0.31945294889625275</v>
      </c>
      <c r="I47" s="96">
        <v>0.88068687412146773</v>
      </c>
      <c r="J47" s="96">
        <v>1.3047271284606918</v>
      </c>
      <c r="K47" s="96">
        <v>2.1894162240534309</v>
      </c>
      <c r="L47" s="96">
        <v>3.1061481860502513</v>
      </c>
      <c r="M47" s="96">
        <v>2.2738337517909253</v>
      </c>
      <c r="N47" s="96">
        <v>3.1548155859416034</v>
      </c>
      <c r="O47" s="96">
        <v>3.8848063244984865</v>
      </c>
      <c r="P47" s="96">
        <v>2.7668820324698098</v>
      </c>
      <c r="Q47" s="96">
        <v>1.8698849583528483</v>
      </c>
      <c r="R47" s="96">
        <v>1.1159772297059758</v>
      </c>
      <c r="S47" s="96">
        <v>1.6768326491526575</v>
      </c>
      <c r="T47" s="96">
        <v>5.5149244897310545</v>
      </c>
      <c r="U47" s="96">
        <v>8.1583091463622992</v>
      </c>
      <c r="V47" s="96">
        <v>9.5807391260086341</v>
      </c>
      <c r="W47" s="96">
        <v>9.3373356582993381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0.56998577861440236</v>
      </c>
      <c r="I48" s="96">
        <v>0.63052106697567989</v>
      </c>
      <c r="J48" s="96">
        <v>0.89252272765659268</v>
      </c>
      <c r="K48" s="96">
        <v>0.35651383647544305</v>
      </c>
      <c r="L48" s="96">
        <v>0.13658114897320817</v>
      </c>
      <c r="M48" s="96">
        <v>0.12601233473810292</v>
      </c>
      <c r="N48" s="96">
        <v>0.12065863336143805</v>
      </c>
      <c r="O48" s="96">
        <v>0.1165873037785487</v>
      </c>
      <c r="P48" s="96">
        <v>0.61581721775946285</v>
      </c>
      <c r="Q48" s="96">
        <v>0.73433878721927204</v>
      </c>
      <c r="R48" s="96">
        <v>0.7223879304422437</v>
      </c>
      <c r="S48" s="96">
        <v>0.69459309934793367</v>
      </c>
      <c r="T48" s="96">
        <v>0.64758306627603313</v>
      </c>
      <c r="U48" s="96">
        <v>0.66452356338260443</v>
      </c>
      <c r="V48" s="96">
        <v>0.65259082768149179</v>
      </c>
      <c r="W48" s="96">
        <v>0.84255173115669768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3.3483360072269701E-2</v>
      </c>
      <c r="Q49" s="96">
        <v>9.6365820091336457E-2</v>
      </c>
      <c r="R49" s="96">
        <v>8.6671108427857982E-2</v>
      </c>
      <c r="S49" s="96">
        <v>7.9581352213005885E-2</v>
      </c>
      <c r="T49" s="96">
        <v>7.7231690403451E-2</v>
      </c>
      <c r="U49" s="96">
        <v>0.10158243119469694</v>
      </c>
      <c r="V49" s="96">
        <v>0.10352692620582792</v>
      </c>
      <c r="W49" s="96">
        <v>0.1056699161144654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3.7903086213418452E-3</v>
      </c>
      <c r="Q51" s="96">
        <v>9.7825338710756243E-3</v>
      </c>
      <c r="R51" s="96">
        <v>1.7021506489533267E-2</v>
      </c>
      <c r="S51" s="96">
        <v>3.3498309847324846E-2</v>
      </c>
      <c r="T51" s="96">
        <v>3.7528032221102847E-2</v>
      </c>
      <c r="U51" s="96">
        <v>4.6365713127676005E-2</v>
      </c>
      <c r="V51" s="96">
        <v>5.2539584922639999E-2</v>
      </c>
      <c r="W51" s="96">
        <v>7.132363971426324E-2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71.294643686532623</v>
      </c>
      <c r="C52" s="130">
        <f t="shared" si="33"/>
        <v>125.07753270338571</v>
      </c>
      <c r="D52" s="130">
        <f t="shared" si="33"/>
        <v>137.17217900770225</v>
      </c>
      <c r="E52" s="130">
        <f t="shared" si="33"/>
        <v>168.39696892452835</v>
      </c>
      <c r="F52" s="130">
        <f t="shared" si="33"/>
        <v>251.57846441168289</v>
      </c>
      <c r="G52" s="130">
        <f t="shared" si="33"/>
        <v>303.58795656605179</v>
      </c>
      <c r="H52" s="130">
        <f t="shared" si="33"/>
        <v>339.80465471778939</v>
      </c>
      <c r="I52" s="130">
        <f t="shared" si="33"/>
        <v>498.68846409207225</v>
      </c>
      <c r="J52" s="130">
        <f t="shared" si="33"/>
        <v>718.84936089083328</v>
      </c>
      <c r="K52" s="130">
        <f t="shared" si="33"/>
        <v>426.74629924522139</v>
      </c>
      <c r="L52" s="130">
        <f t="shared" ref="L52" si="34">L53+L55</f>
        <v>464.68437243077841</v>
      </c>
      <c r="M52" s="130">
        <f t="shared" ref="M52:V52" si="35">M53+M55</f>
        <v>553.89155568532476</v>
      </c>
      <c r="N52" s="130">
        <f t="shared" si="35"/>
        <v>604.50762214827751</v>
      </c>
      <c r="O52" s="130">
        <f t="shared" si="35"/>
        <v>543.0078649623199</v>
      </c>
      <c r="P52" s="130">
        <f t="shared" si="35"/>
        <v>527.52893890988173</v>
      </c>
      <c r="Q52" s="130">
        <f t="shared" si="35"/>
        <v>493.34288824762297</v>
      </c>
      <c r="R52" s="130">
        <f t="shared" si="35"/>
        <v>591.64648213882856</v>
      </c>
      <c r="S52" s="130">
        <f t="shared" si="35"/>
        <v>599.80309285444923</v>
      </c>
      <c r="T52" s="130">
        <f t="shared" si="35"/>
        <v>600.38687382618309</v>
      </c>
      <c r="U52" s="130">
        <f t="shared" si="35"/>
        <v>547.62344554542995</v>
      </c>
      <c r="V52" s="130">
        <f t="shared" si="35"/>
        <v>397.5175752264372</v>
      </c>
      <c r="W52" s="130">
        <f t="shared" ref="W52" si="36">W53+W55</f>
        <v>532.8962589016254</v>
      </c>
      <c r="DA52" s="176" t="s">
        <v>400</v>
      </c>
    </row>
    <row r="53" spans="1:105" ht="11.45" customHeight="1" x14ac:dyDescent="0.25">
      <c r="A53" s="128" t="s">
        <v>27</v>
      </c>
      <c r="B53" s="97">
        <v>67.629522529617901</v>
      </c>
      <c r="C53" s="97">
        <v>71.625821647068818</v>
      </c>
      <c r="D53" s="97">
        <v>83.816599669124116</v>
      </c>
      <c r="E53" s="97">
        <v>91.682002570183599</v>
      </c>
      <c r="F53" s="97">
        <v>123.10675821851962</v>
      </c>
      <c r="G53" s="97">
        <v>130.35676890796887</v>
      </c>
      <c r="H53" s="97">
        <v>122.40724008885061</v>
      </c>
      <c r="I53" s="97">
        <v>141.43666813060003</v>
      </c>
      <c r="J53" s="97">
        <v>156.84013294182614</v>
      </c>
      <c r="K53" s="97">
        <v>121.90803300011643</v>
      </c>
      <c r="L53" s="97">
        <v>126.95064454077186</v>
      </c>
      <c r="M53" s="97">
        <v>124.9172516299724</v>
      </c>
      <c r="N53" s="97">
        <v>116.18284865509777</v>
      </c>
      <c r="O53" s="97">
        <v>106.85817286748922</v>
      </c>
      <c r="P53" s="97">
        <v>113.39029119329057</v>
      </c>
      <c r="Q53" s="97">
        <v>106.18679649043241</v>
      </c>
      <c r="R53" s="97">
        <v>110.22453500736485</v>
      </c>
      <c r="S53" s="97">
        <v>115.79127013600795</v>
      </c>
      <c r="T53" s="97">
        <v>110.34192827288436</v>
      </c>
      <c r="U53" s="97">
        <v>110.58348046070435</v>
      </c>
      <c r="V53" s="97">
        <v>100.1891407050352</v>
      </c>
      <c r="W53" s="97">
        <v>114.95483012133863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0.64783572924955557</v>
      </c>
      <c r="I54" s="97">
        <v>1.7738350816795299</v>
      </c>
      <c r="J54" s="97">
        <v>2.5992800624820696</v>
      </c>
      <c r="K54" s="97">
        <v>3.2007444706593215</v>
      </c>
      <c r="L54" s="97">
        <v>4.599332418922474</v>
      </c>
      <c r="M54" s="97">
        <v>3.1383822952376565</v>
      </c>
      <c r="N54" s="97">
        <v>3.9915855571204766</v>
      </c>
      <c r="O54" s="97">
        <v>4.3936815967645799</v>
      </c>
      <c r="P54" s="97">
        <v>3.1523223454265015</v>
      </c>
      <c r="Q54" s="97">
        <v>1.89123091117483</v>
      </c>
      <c r="R54" s="97">
        <v>1.1095211704563752</v>
      </c>
      <c r="S54" s="97">
        <v>1.6522951765580993</v>
      </c>
      <c r="T54" s="97">
        <v>4.8733058103329334</v>
      </c>
      <c r="U54" s="97">
        <v>6.8419821438936523</v>
      </c>
      <c r="V54" s="97">
        <v>7.0196275468617451</v>
      </c>
      <c r="W54" s="97">
        <v>7.905511492330934</v>
      </c>
      <c r="DA54" s="175" t="s">
        <v>668</v>
      </c>
    </row>
    <row r="55" spans="1:105" ht="11.45" customHeight="1" x14ac:dyDescent="0.25">
      <c r="A55" s="128" t="s">
        <v>116</v>
      </c>
      <c r="B55" s="97">
        <v>3.6651211569147257</v>
      </c>
      <c r="C55" s="97">
        <v>53.451711056316888</v>
      </c>
      <c r="D55" s="97">
        <v>53.355579338578131</v>
      </c>
      <c r="E55" s="97">
        <v>76.714966354344753</v>
      </c>
      <c r="F55" s="97">
        <v>128.47170619316327</v>
      </c>
      <c r="G55" s="97">
        <v>173.23118765808292</v>
      </c>
      <c r="H55" s="97">
        <v>217.3974146289388</v>
      </c>
      <c r="I55" s="97">
        <v>357.25179596147223</v>
      </c>
      <c r="J55" s="97">
        <v>562.00922794900714</v>
      </c>
      <c r="K55" s="97">
        <v>304.83826624510493</v>
      </c>
      <c r="L55" s="97">
        <v>337.73372789000655</v>
      </c>
      <c r="M55" s="97">
        <v>428.97430405535238</v>
      </c>
      <c r="N55" s="97">
        <v>488.32477349317975</v>
      </c>
      <c r="O55" s="97">
        <v>436.14969209483064</v>
      </c>
      <c r="P55" s="97">
        <v>414.13864771659115</v>
      </c>
      <c r="Q55" s="97">
        <v>387.15609175719055</v>
      </c>
      <c r="R55" s="97">
        <v>481.42194713146375</v>
      </c>
      <c r="S55" s="97">
        <v>484.01182271844124</v>
      </c>
      <c r="T55" s="97">
        <v>490.04494555329876</v>
      </c>
      <c r="U55" s="97">
        <v>437.03996508472557</v>
      </c>
      <c r="V55" s="97">
        <v>297.32843452140202</v>
      </c>
      <c r="W55" s="97">
        <v>417.94142878028674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1.150567666919684</v>
      </c>
      <c r="I56" s="98">
        <v>4.4804913538003008</v>
      </c>
      <c r="J56" s="98">
        <v>9.314066200649231</v>
      </c>
      <c r="K56" s="98">
        <v>8.0036513683102584</v>
      </c>
      <c r="L56" s="98">
        <v>12.235855038523804</v>
      </c>
      <c r="M56" s="98">
        <v>10.777417397455691</v>
      </c>
      <c r="N56" s="98">
        <v>16.77691789814779</v>
      </c>
      <c r="O56" s="98">
        <v>17.933142820698688</v>
      </c>
      <c r="P56" s="98">
        <v>11.513318288214876</v>
      </c>
      <c r="Q56" s="98">
        <v>6.8954106572638825</v>
      </c>
      <c r="R56" s="98">
        <v>4.8459976921562831</v>
      </c>
      <c r="S56" s="98">
        <v>6.9066553906474288</v>
      </c>
      <c r="T56" s="98">
        <v>21.643077276872663</v>
      </c>
      <c r="U56" s="98">
        <v>27.040382748128188</v>
      </c>
      <c r="V56" s="98">
        <v>20.8319470028833</v>
      </c>
      <c r="W56" s="98">
        <v>28.74207864825026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10.215748768356089</v>
      </c>
      <c r="C60" s="79">
        <f>IF(C17=0,0,C17/TrRoad_act!C30*100)</f>
        <v>10.400076944866168</v>
      </c>
      <c r="D60" s="79">
        <f>IF(D17=0,0,D17/TrRoad_act!D30*100)</f>
        <v>10.138276060908121</v>
      </c>
      <c r="E60" s="79">
        <f>IF(E17=0,0,E17/TrRoad_act!E30*100)</f>
        <v>10.057843503019527</v>
      </c>
      <c r="F60" s="79">
        <f>IF(F17=0,0,F17/TrRoad_act!F30*100)</f>
        <v>9.8512005950952375</v>
      </c>
      <c r="G60" s="79">
        <f>IF(G17=0,0,G17/TrRoad_act!G30*100)</f>
        <v>10.120005875706777</v>
      </c>
      <c r="H60" s="79">
        <f>IF(H17=0,0,H17/TrRoad_act!H30*100)</f>
        <v>10.191204310507668</v>
      </c>
      <c r="I60" s="79">
        <f>IF(I17=0,0,I17/TrRoad_act!I30*100)</f>
        <v>11.055023706174689</v>
      </c>
      <c r="J60" s="79">
        <f>IF(J17=0,0,J17/TrRoad_act!J30*100)</f>
        <v>12.793395231535234</v>
      </c>
      <c r="K60" s="79">
        <f>IF(K17=0,0,K17/TrRoad_act!K30*100)</f>
        <v>10.398136562003794</v>
      </c>
      <c r="L60" s="79">
        <f>IF(L17=0,0,L17/TrRoad_act!L30*100)</f>
        <v>10.664893537324216</v>
      </c>
      <c r="M60" s="79">
        <f>IF(M17=0,0,M17/TrRoad_act!M30*100)</f>
        <v>11.197030235031727</v>
      </c>
      <c r="N60" s="79">
        <f>IF(N17=0,0,N17/TrRoad_act!N30*100)</f>
        <v>11.269349714037626</v>
      </c>
      <c r="O60" s="79">
        <f>IF(O17=0,0,O17/TrRoad_act!O30*100)</f>
        <v>10.644427723200444</v>
      </c>
      <c r="P60" s="79">
        <f>IF(P17=0,0,P17/TrRoad_act!P30*100)</f>
        <v>10.232949751507913</v>
      </c>
      <c r="Q60" s="79">
        <f>IF(Q17=0,0,Q17/TrRoad_act!Q30*100)</f>
        <v>9.8606417953952832</v>
      </c>
      <c r="R60" s="79">
        <f>IF(R17=0,0,R17/TrRoad_act!R30*100)</f>
        <v>10.430139416684247</v>
      </c>
      <c r="S60" s="79">
        <f>IF(S17=0,0,S17/TrRoad_act!S30*100)</f>
        <v>10.078012819980575</v>
      </c>
      <c r="T60" s="79">
        <f>IF(T17=0,0,T17/TrRoad_act!T30*100)</f>
        <v>9.8940785697777454</v>
      </c>
      <c r="U60" s="79">
        <f>IF(U17=0,0,U17/TrRoad_act!U30*100)</f>
        <v>9.3253240487616367</v>
      </c>
      <c r="V60" s="79">
        <f>IF(V17=0,0,V17/TrRoad_act!V30*100)</f>
        <v>8.5692169443278825</v>
      </c>
      <c r="W60" s="79">
        <f>IF(W17=0,0,W17/TrRoad_act!W30*100)</f>
        <v>9.3284839046478947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9.9699096503180851</v>
      </c>
      <c r="C61" s="32">
        <f>IF(C18=0,0,C18/TrRoad_act!C31*100)</f>
        <v>9.7127766159802746</v>
      </c>
      <c r="D61" s="32">
        <f>IF(D18=0,0,D18/TrRoad_act!D31*100)</f>
        <v>9.409813546758766</v>
      </c>
      <c r="E61" s="32">
        <f>IF(E18=0,0,E18/TrRoad_act!E31*100)</f>
        <v>9.0940627887426047</v>
      </c>
      <c r="F61" s="32">
        <f>IF(F18=0,0,F18/TrRoad_act!F31*100)</f>
        <v>8.3626832692260269</v>
      </c>
      <c r="G61" s="32">
        <f>IF(G18=0,0,G18/TrRoad_act!G31*100)</f>
        <v>8.3191647876988686</v>
      </c>
      <c r="H61" s="32">
        <f>IF(H18=0,0,H18/TrRoad_act!H31*100)</f>
        <v>8.2062582269180329</v>
      </c>
      <c r="I61" s="32">
        <f>IF(I18=0,0,I18/TrRoad_act!I31*100)</f>
        <v>8.1196049281009994</v>
      </c>
      <c r="J61" s="32">
        <f>IF(J18=0,0,J18/TrRoad_act!J31*100)</f>
        <v>8.5430736887990779</v>
      </c>
      <c r="K61" s="32">
        <f>IF(K18=0,0,K18/TrRoad_act!K31*100)</f>
        <v>7.9882590866934624</v>
      </c>
      <c r="L61" s="32">
        <f>IF(L18=0,0,L18/TrRoad_act!L31*100)</f>
        <v>8.0433483181897447</v>
      </c>
      <c r="M61" s="32">
        <f>IF(M18=0,0,M18/TrRoad_act!M31*100)</f>
        <v>8.0425310734105206</v>
      </c>
      <c r="N61" s="32">
        <f>IF(N18=0,0,N18/TrRoad_act!N31*100)</f>
        <v>7.7895375960090316</v>
      </c>
      <c r="O61" s="32">
        <f>IF(O18=0,0,O18/TrRoad_act!O31*100)</f>
        <v>7.5269034723658672</v>
      </c>
      <c r="P61" s="32">
        <f>IF(P18=0,0,P18/TrRoad_act!P31*100)</f>
        <v>7.2802789628606259</v>
      </c>
      <c r="Q61" s="32">
        <f>IF(Q18=0,0,Q18/TrRoad_act!Q31*100)</f>
        <v>7.1665171065969719</v>
      </c>
      <c r="R61" s="32">
        <f>IF(R18=0,0,R18/TrRoad_act!R31*100)</f>
        <v>7.2249288241509113</v>
      </c>
      <c r="S61" s="32">
        <f>IF(S18=0,0,S18/TrRoad_act!S31*100)</f>
        <v>7.020068929774113</v>
      </c>
      <c r="T61" s="32">
        <f>IF(T18=0,0,T18/TrRoad_act!T31*100)</f>
        <v>6.9385103399843215</v>
      </c>
      <c r="U61" s="32">
        <f>IF(U18=0,0,U18/TrRoad_act!U31*100)</f>
        <v>6.7079910834696914</v>
      </c>
      <c r="V61" s="32">
        <f>IF(V18=0,0,V18/TrRoad_act!V31*100)</f>
        <v>6.4055908305390652</v>
      </c>
      <c r="W61" s="32">
        <f>IF(W18=0,0,W18/TrRoad_act!W31*100)</f>
        <v>6.597675828223033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4.4934123088369704</v>
      </c>
      <c r="C62" s="141">
        <f>IF(C19=0,0,C19/TrRoad_act!C32*100)</f>
        <v>4.4714341656865813</v>
      </c>
      <c r="D62" s="141">
        <f>IF(D19=0,0,D19/TrRoad_act!D32*100)</f>
        <v>4.4471229766488163</v>
      </c>
      <c r="E62" s="141">
        <f>IF(E19=0,0,E19/TrRoad_act!E32*100)</f>
        <v>4.4181362615110658</v>
      </c>
      <c r="F62" s="141">
        <f>IF(F19=0,0,F19/TrRoad_act!F32*100)</f>
        <v>4.3844514893517212</v>
      </c>
      <c r="G62" s="141">
        <f>IF(G19=0,0,G19/TrRoad_act!G32*100)</f>
        <v>4.346439722571855</v>
      </c>
      <c r="H62" s="141">
        <f>IF(H19=0,0,H19/TrRoad_act!H32*100)</f>
        <v>4.2844499740185213</v>
      </c>
      <c r="I62" s="141">
        <f>IF(I19=0,0,I19/TrRoad_act!I32*100)</f>
        <v>4.1285382548017395</v>
      </c>
      <c r="J62" s="141">
        <f>IF(J19=0,0,J19/TrRoad_act!J32*100)</f>
        <v>4.0370235742677041</v>
      </c>
      <c r="K62" s="141">
        <f>IF(K19=0,0,K19/TrRoad_act!K32*100)</f>
        <v>4.1701070814817349</v>
      </c>
      <c r="L62" s="141">
        <f>IF(L19=0,0,L19/TrRoad_act!L32*100)</f>
        <v>3.9255701089867272</v>
      </c>
      <c r="M62" s="141">
        <f>IF(M19=0,0,M19/TrRoad_act!M32*100)</f>
        <v>3.8949812314222862</v>
      </c>
      <c r="N62" s="141">
        <f>IF(N19=0,0,N19/TrRoad_act!N32*100)</f>
        <v>3.8775865865245485</v>
      </c>
      <c r="O62" s="141">
        <f>IF(O19=0,0,O19/TrRoad_act!O32*100)</f>
        <v>3.8357775943833405</v>
      </c>
      <c r="P62" s="141">
        <f>IF(P19=0,0,P19/TrRoad_act!P32*100)</f>
        <v>3.7968746915317828</v>
      </c>
      <c r="Q62" s="141">
        <f>IF(Q19=0,0,Q19/TrRoad_act!Q32*100)</f>
        <v>3.7258204998149607</v>
      </c>
      <c r="R62" s="141">
        <f>IF(R19=0,0,R19/TrRoad_act!R32*100)</f>
        <v>3.678749288837138</v>
      </c>
      <c r="S62" s="141">
        <f>IF(S19=0,0,S19/TrRoad_act!S32*100)</f>
        <v>3.7295848745630793</v>
      </c>
      <c r="T62" s="141">
        <f>IF(T19=0,0,T19/TrRoad_act!T32*100)</f>
        <v>3.6826930162192495</v>
      </c>
      <c r="U62" s="141">
        <f>IF(U19=0,0,U19/TrRoad_act!U32*100)</f>
        <v>3.6328331867225891</v>
      </c>
      <c r="V62" s="141">
        <f>IF(V19=0,0,V19/TrRoad_act!V32*100)</f>
        <v>3.6054698344847056</v>
      </c>
      <c r="W62" s="141">
        <f>IF(W19=0,0,W19/TrRoad_act!W32*100)</f>
        <v>3.3615694619438994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9.3867371875036039</v>
      </c>
      <c r="C63" s="130">
        <f>IF(C21=0,0,C21/TrRoad_act!C33*100)</f>
        <v>9.1950909361169497</v>
      </c>
      <c r="D63" s="130">
        <f>IF(D21=0,0,D21/TrRoad_act!D33*100)</f>
        <v>8.9315966428361566</v>
      </c>
      <c r="E63" s="130">
        <f>IF(E21=0,0,E21/TrRoad_act!E33*100)</f>
        <v>8.6408259561571015</v>
      </c>
      <c r="F63" s="130">
        <f>IF(F21=0,0,F21/TrRoad_act!F33*100)</f>
        <v>7.913959904717192</v>
      </c>
      <c r="G63" s="130">
        <f>IF(G21=0,0,G21/TrRoad_act!G33*100)</f>
        <v>7.9043370380294142</v>
      </c>
      <c r="H63" s="130">
        <f>IF(H21=0,0,H21/TrRoad_act!H33*100)</f>
        <v>7.8063387291449899</v>
      </c>
      <c r="I63" s="130">
        <f>IF(I21=0,0,I21/TrRoad_act!I33*100)</f>
        <v>7.7380264480670684</v>
      </c>
      <c r="J63" s="130">
        <f>IF(J21=0,0,J21/TrRoad_act!J33*100)</f>
        <v>8.1800992275487587</v>
      </c>
      <c r="K63" s="130">
        <f>IF(K21=0,0,K21/TrRoad_act!K33*100)</f>
        <v>7.6259154876865853</v>
      </c>
      <c r="L63" s="130">
        <f>IF(L21=0,0,L21/TrRoad_act!L33*100)</f>
        <v>7.7031798529257705</v>
      </c>
      <c r="M63" s="130">
        <f>IF(M21=0,0,M21/TrRoad_act!M33*100)</f>
        <v>7.7081872988248881</v>
      </c>
      <c r="N63" s="130">
        <f>IF(N21=0,0,N21/TrRoad_act!N33*100)</f>
        <v>7.4471596472875197</v>
      </c>
      <c r="O63" s="130">
        <f>IF(O21=0,0,O21/TrRoad_act!O33*100)</f>
        <v>7.1661942578776507</v>
      </c>
      <c r="P63" s="130">
        <f>IF(P21=0,0,P21/TrRoad_act!P33*100)</f>
        <v>6.9157450013242121</v>
      </c>
      <c r="Q63" s="130">
        <f>IF(Q21=0,0,Q21/TrRoad_act!Q33*100)</f>
        <v>6.7986941459212007</v>
      </c>
      <c r="R63" s="130">
        <f>IF(R21=0,0,R21/TrRoad_act!R33*100)</f>
        <v>6.863650728651467</v>
      </c>
      <c r="S63" s="130">
        <f>IF(S21=0,0,S21/TrRoad_act!S33*100)</f>
        <v>6.6555010635710437</v>
      </c>
      <c r="T63" s="130">
        <f>IF(T21=0,0,T21/TrRoad_act!T33*100)</f>
        <v>6.5901979894678355</v>
      </c>
      <c r="U63" s="130">
        <f>IF(U21=0,0,U21/TrRoad_act!U33*100)</f>
        <v>6.3618345789479118</v>
      </c>
      <c r="V63" s="130">
        <f>IF(V21=0,0,V21/TrRoad_act!V33*100)</f>
        <v>6.1682555155559049</v>
      </c>
      <c r="W63" s="130">
        <f>IF(W21=0,0,W21/TrRoad_act!W33*100)</f>
        <v>6.3291468037546288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9.8200568977818286</v>
      </c>
      <c r="C64" s="96">
        <f>IF(C22=0,0,C22/TrRoad_act!C34*100)</f>
        <v>9.6582779666472227</v>
      </c>
      <c r="D64" s="96">
        <f>IF(D22=0,0,D22/TrRoad_act!D34*100)</f>
        <v>9.5701448142543146</v>
      </c>
      <c r="E64" s="96">
        <f>IF(E22=0,0,E22/TrRoad_act!E34*100)</f>
        <v>9.1900152997264222</v>
      </c>
      <c r="F64" s="96">
        <f>IF(F22=0,0,F22/TrRoad_act!F34*100)</f>
        <v>8.2436426921730401</v>
      </c>
      <c r="G64" s="96">
        <f>IF(G22=0,0,G22/TrRoad_act!G34*100)</f>
        <v>8.316813655534455</v>
      </c>
      <c r="H64" s="96">
        <f>IF(H22=0,0,H22/TrRoad_act!H34*100)</f>
        <v>8.2124240102342192</v>
      </c>
      <c r="I64" s="96">
        <f>IF(I22=0,0,I22/TrRoad_act!I34*100)</f>
        <v>8.0722498787160468</v>
      </c>
      <c r="J64" s="96">
        <f>IF(J22=0,0,J22/TrRoad_act!J34*100)</f>
        <v>8.8434903039863197</v>
      </c>
      <c r="K64" s="96">
        <f>IF(K22=0,0,K22/TrRoad_act!K34*100)</f>
        <v>8.108792283147304</v>
      </c>
      <c r="L64" s="96">
        <f>IF(L22=0,0,L22/TrRoad_act!L34*100)</f>
        <v>8.3145380045791359</v>
      </c>
      <c r="M64" s="96">
        <f>IF(M22=0,0,M22/TrRoad_act!M34*100)</f>
        <v>8.3630699399304085</v>
      </c>
      <c r="N64" s="96">
        <f>IF(N22=0,0,N22/TrRoad_act!N34*100)</f>
        <v>7.9082934600210359</v>
      </c>
      <c r="O64" s="96">
        <f>IF(O22=0,0,O22/TrRoad_act!O34*100)</f>
        <v>7.5117103807525236</v>
      </c>
      <c r="P64" s="96">
        <f>IF(P22=0,0,P22/TrRoad_act!P34*100)</f>
        <v>7.1531796587080736</v>
      </c>
      <c r="Q64" s="96">
        <f>IF(Q22=0,0,Q22/TrRoad_act!Q34*100)</f>
        <v>7.0782635773079683</v>
      </c>
      <c r="R64" s="96">
        <f>IF(R22=0,0,R22/TrRoad_act!R34*100)</f>
        <v>7.3404491697913663</v>
      </c>
      <c r="S64" s="96">
        <f>IF(S22=0,0,S22/TrRoad_act!S34*100)</f>
        <v>7.0532017877075219</v>
      </c>
      <c r="T64" s="96">
        <f>IF(T22=0,0,T22/TrRoad_act!T34*100)</f>
        <v>7.1230630326906867</v>
      </c>
      <c r="U64" s="96">
        <f>IF(U22=0,0,U22/TrRoad_act!U34*100)</f>
        <v>6.7163598266778477</v>
      </c>
      <c r="V64" s="96">
        <f>IF(V22=0,0,V22/TrRoad_act!V34*100)</f>
        <v>6.6292674382170054</v>
      </c>
      <c r="W64" s="96">
        <f>IF(W22=0,0,W22/TrRoad_act!W34*100)</f>
        <v>7.0228099433221294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7.584028152000041</v>
      </c>
      <c r="C65" s="96">
        <f>IF(C24=0,0,C24/TrRoad_act!C35*100)</f>
        <v>7.412257153574477</v>
      </c>
      <c r="D65" s="96">
        <f>IF(D24=0,0,D24/TrRoad_act!D35*100)</f>
        <v>7.2070175390599855</v>
      </c>
      <c r="E65" s="96">
        <f>IF(E24=0,0,E24/TrRoad_act!E35*100)</f>
        <v>7.1637153822595003</v>
      </c>
      <c r="F65" s="96">
        <f>IF(F24=0,0,F24/TrRoad_act!F35*100)</f>
        <v>7.1958359419165552</v>
      </c>
      <c r="G65" s="96">
        <f>IF(G24=0,0,G24/TrRoad_act!G35*100)</f>
        <v>7.1519572427240057</v>
      </c>
      <c r="H65" s="96">
        <f>IF(H24=0,0,H24/TrRoad_act!H35*100)</f>
        <v>7.1762294366018473</v>
      </c>
      <c r="I65" s="96">
        <f>IF(I24=0,0,I24/TrRoad_act!I35*100)</f>
        <v>7.2859586090863848</v>
      </c>
      <c r="J65" s="96">
        <f>IF(J24=0,0,J24/TrRoad_act!J35*100)</f>
        <v>7.3929427817023718</v>
      </c>
      <c r="K65" s="96">
        <f>IF(K24=0,0,K24/TrRoad_act!K35*100)</f>
        <v>7.114300866571531</v>
      </c>
      <c r="L65" s="96">
        <f>IF(L24=0,0,L24/TrRoad_act!L35*100)</f>
        <v>7.115363286068435</v>
      </c>
      <c r="M65" s="96">
        <f>IF(M24=0,0,M24/TrRoad_act!M35*100)</f>
        <v>7.1229247339461885</v>
      </c>
      <c r="N65" s="96">
        <f>IF(N24=0,0,N24/TrRoad_act!N35*100)</f>
        <v>7.0611215758714323</v>
      </c>
      <c r="O65" s="96">
        <f>IF(O24=0,0,O24/TrRoad_act!O35*100)</f>
        <v>6.8909836031565046</v>
      </c>
      <c r="P65" s="96">
        <f>IF(P24=0,0,P24/TrRoad_act!P35*100)</f>
        <v>6.7324297730148208</v>
      </c>
      <c r="Q65" s="96">
        <f>IF(Q24=0,0,Q24/TrRoad_act!Q35*100)</f>
        <v>6.5893803647894336</v>
      </c>
      <c r="R65" s="96">
        <f>IF(R24=0,0,R24/TrRoad_act!R35*100)</f>
        <v>6.5500116672976798</v>
      </c>
      <c r="S65" s="96">
        <f>IF(S24=0,0,S24/TrRoad_act!S35*100)</f>
        <v>6.418287167873082</v>
      </c>
      <c r="T65" s="96">
        <f>IF(T24=0,0,T24/TrRoad_act!T35*100)</f>
        <v>6.2997413191827096</v>
      </c>
      <c r="U65" s="96">
        <f>IF(U24=0,0,U24/TrRoad_act!U35*100)</f>
        <v>6.1823505401401757</v>
      </c>
      <c r="V65" s="96">
        <f>IF(V24=0,0,V24/TrRoad_act!V35*100)</f>
        <v>5.9894731550027211</v>
      </c>
      <c r="W65" s="96">
        <f>IF(W24=0,0,W24/TrRoad_act!W35*100)</f>
        <v>5.9883154133468937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5.8213098402689987</v>
      </c>
      <c r="I66" s="96">
        <f>IF(I26=0,0,I26/TrRoad_act!I36*100)</f>
        <v>6.7095565990584953</v>
      </c>
      <c r="J66" s="96">
        <f>IF(J26=0,0,J26/TrRoad_act!J36*100)</f>
        <v>6.6672605062280539</v>
      </c>
      <c r="K66" s="96">
        <f>IF(K26=0,0,K26/TrRoad_act!K36*100)</f>
        <v>7.0073588271391261</v>
      </c>
      <c r="L66" s="96">
        <f>IF(L26=0,0,L26/TrRoad_act!L36*100)</f>
        <v>7.6265273136768927</v>
      </c>
      <c r="M66" s="96">
        <f>IF(M26=0,0,M26/TrRoad_act!M36*100)</f>
        <v>8.1022843226335226</v>
      </c>
      <c r="N66" s="96">
        <f>IF(N26=0,0,N26/TrRoad_act!N36*100)</f>
        <v>8.3570471662425998</v>
      </c>
      <c r="O66" s="96">
        <f>IF(O26=0,0,O26/TrRoad_act!O36*100)</f>
        <v>8.0787402426877133</v>
      </c>
      <c r="P66" s="96">
        <f>IF(P26=0,0,P26/TrRoad_act!P36*100)</f>
        <v>8.0298880875940011</v>
      </c>
      <c r="Q66" s="96">
        <f>IF(Q26=0,0,Q26/TrRoad_act!Q36*100)</f>
        <v>8.4620004623357712</v>
      </c>
      <c r="R66" s="96">
        <f>IF(R26=0,0,R26/TrRoad_act!R36*100)</f>
        <v>8.3584872510657497</v>
      </c>
      <c r="S66" s="96">
        <f>IF(S26=0,0,S26/TrRoad_act!S36*100)</f>
        <v>7.5487352845312214</v>
      </c>
      <c r="T66" s="96">
        <f>IF(T26=0,0,T26/TrRoad_act!T36*100)</f>
        <v>7.1911991828729622</v>
      </c>
      <c r="U66" s="96">
        <f>IF(U26=0,0,U26/TrRoad_act!U36*100)</f>
        <v>6.6518493666523071</v>
      </c>
      <c r="V66" s="96">
        <f>IF(V26=0,0,V26/TrRoad_act!V36*100)</f>
        <v>5.0468051063563113</v>
      </c>
      <c r="W66" s="96">
        <f>IF(W26=0,0,W26/TrRoad_act!W36*100)</f>
        <v>8.2474930511696201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6.2693428271258176</v>
      </c>
      <c r="O67" s="96">
        <f>IF(O27=0,0,O27/TrRoad_act!O37*100)</f>
        <v>6.2431659326599975</v>
      </c>
      <c r="P67" s="96">
        <f>IF(P27=0,0,P27/TrRoad_act!P37*100)</f>
        <v>5.8531075514003978</v>
      </c>
      <c r="Q67" s="96">
        <f>IF(Q27=0,0,Q27/TrRoad_act!Q37*100)</f>
        <v>5.5380453700287999</v>
      </c>
      <c r="R67" s="96">
        <f>IF(R27=0,0,R27/TrRoad_act!R37*100)</f>
        <v>5.5000702362211173</v>
      </c>
      <c r="S67" s="96">
        <f>IF(S27=0,0,S27/TrRoad_act!S37*100)</f>
        <v>5.4568081356636062</v>
      </c>
      <c r="T67" s="96">
        <f>IF(T27=0,0,T27/TrRoad_act!T37*100)</f>
        <v>5.5322278787053802</v>
      </c>
      <c r="U67" s="96">
        <f>IF(U27=0,0,U27/TrRoad_act!U37*100)</f>
        <v>5.5134937755653555</v>
      </c>
      <c r="V67" s="96">
        <f>IF(V27=0,0,V27/TrRoad_act!V37*100)</f>
        <v>5.4171463990630793</v>
      </c>
      <c r="W67" s="96">
        <f>IF(W27=0,0,W27/TrRoad_act!W37*100)</f>
        <v>5.3622254119496313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2.5790570511781343</v>
      </c>
      <c r="P68" s="96">
        <f>IF(P29=0,0,P29/TrRoad_act!P38*100)</f>
        <v>2.6330699313836865</v>
      </c>
      <c r="Q68" s="96">
        <f>IF(Q29=0,0,Q29/TrRoad_act!Q38*100)</f>
        <v>2.5400378073234311</v>
      </c>
      <c r="R68" s="96">
        <f>IF(R29=0,0,R29/TrRoad_act!R38*100)</f>
        <v>2.8917894321608606</v>
      </c>
      <c r="S68" s="96">
        <f>IF(S29=0,0,S29/TrRoad_act!S38*100)</f>
        <v>3.5070771146342397</v>
      </c>
      <c r="T68" s="96">
        <f>IF(T29=0,0,T29/TrRoad_act!T38*100)</f>
        <v>3.7186744036249388</v>
      </c>
      <c r="U68" s="96">
        <f>IF(U29=0,0,U29/TrRoad_act!U38*100)</f>
        <v>3.616210458250555</v>
      </c>
      <c r="V68" s="96">
        <f>IF(V29=0,0,V29/TrRoad_act!V38*100)</f>
        <v>3.6246989709561159</v>
      </c>
      <c r="W68" s="96">
        <f>IF(W29=0,0,W29/TrRoad_act!W38*100)</f>
        <v>3.4901448554778538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1.7177218527827494</v>
      </c>
      <c r="N69" s="96">
        <f>IF(N32=0,0,N32/TrRoad_act!N39*100)</f>
        <v>1.6374094573107951</v>
      </c>
      <c r="O69" s="96">
        <f>IF(O32=0,0,O32/TrRoad_act!O39*100)</f>
        <v>1.6396574137983642</v>
      </c>
      <c r="P69" s="96">
        <f>IF(P32=0,0,P32/TrRoad_act!P39*100)</f>
        <v>1.5246949168236097</v>
      </c>
      <c r="Q69" s="96">
        <f>IF(Q32=0,0,Q32/TrRoad_act!Q39*100)</f>
        <v>1.394666720646085</v>
      </c>
      <c r="R69" s="96">
        <f>IF(R32=0,0,R32/TrRoad_act!R39*100)</f>
        <v>1.3410394234389036</v>
      </c>
      <c r="S69" s="96">
        <f>IF(S32=0,0,S32/TrRoad_act!S39*100)</f>
        <v>1.2974062184459962</v>
      </c>
      <c r="T69" s="96">
        <f>IF(T32=0,0,T32/TrRoad_act!T39*100)</f>
        <v>1.294446500491798</v>
      </c>
      <c r="U69" s="96">
        <f>IF(U32=0,0,U32/TrRoad_act!U39*100)</f>
        <v>1.3986117316545059</v>
      </c>
      <c r="V69" s="96">
        <f>IF(V32=0,0,V32/TrRoad_act!V39*100)</f>
        <v>1.4761764806989863</v>
      </c>
      <c r="W69" s="96">
        <f>IF(W32=0,0,W32/TrRoad_act!W39*100)</f>
        <v>1.5053900861071057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59.038721329980447</v>
      </c>
      <c r="C70" s="130">
        <f>IF(C33=0,0,C33/TrRoad_act!C40*100)</f>
        <v>56.252137583858818</v>
      </c>
      <c r="D70" s="130">
        <f>IF(D33=0,0,D33/TrRoad_act!D40*100)</f>
        <v>55.894085591893436</v>
      </c>
      <c r="E70" s="130">
        <f>IF(E33=0,0,E33/TrRoad_act!E40*100)</f>
        <v>55.458445594983999</v>
      </c>
      <c r="F70" s="130">
        <f>IF(F33=0,0,F33/TrRoad_act!F40*100)</f>
        <v>55.194217976248559</v>
      </c>
      <c r="G70" s="130">
        <f>IF(G33=0,0,G33/TrRoad_act!G40*100)</f>
        <v>54.855445010127113</v>
      </c>
      <c r="H70" s="130">
        <f>IF(H33=0,0,H33/TrRoad_act!H40*100)</f>
        <v>54.597924613784066</v>
      </c>
      <c r="I70" s="130">
        <f>IF(I33=0,0,I33/TrRoad_act!I40*100)</f>
        <v>54.464042481883432</v>
      </c>
      <c r="J70" s="130">
        <f>IF(J33=0,0,J33/TrRoad_act!J40*100)</f>
        <v>54.300953700606826</v>
      </c>
      <c r="K70" s="130">
        <f>IF(K33=0,0,K33/TrRoad_act!K40*100)</f>
        <v>54.197792177342109</v>
      </c>
      <c r="L70" s="130">
        <f>IF(L33=0,0,L33/TrRoad_act!L40*100)</f>
        <v>54.113757073079057</v>
      </c>
      <c r="M70" s="130">
        <f>IF(M33=0,0,M33/TrRoad_act!M40*100)</f>
        <v>54.107231730088365</v>
      </c>
      <c r="N70" s="130">
        <f>IF(N33=0,0,N33/TrRoad_act!N40*100)</f>
        <v>54.038022039554313</v>
      </c>
      <c r="O70" s="130">
        <f>IF(O33=0,0,O33/TrRoad_act!O40*100)</f>
        <v>54.074043332563015</v>
      </c>
      <c r="P70" s="130">
        <f>IF(P33=0,0,P33/TrRoad_act!P40*100)</f>
        <v>53.748439373949786</v>
      </c>
      <c r="Q70" s="130">
        <f>IF(Q33=0,0,Q33/TrRoad_act!Q40*100)</f>
        <v>54.043084077994607</v>
      </c>
      <c r="R70" s="130">
        <f>IF(R33=0,0,R33/TrRoad_act!R40*100)</f>
        <v>54.384425436045014</v>
      </c>
      <c r="S70" s="130">
        <f>IF(S33=0,0,S33/TrRoad_act!S40*100)</f>
        <v>54.948567903852329</v>
      </c>
      <c r="T70" s="130">
        <f>IF(T33=0,0,T33/TrRoad_act!T40*100)</f>
        <v>55.096210122159029</v>
      </c>
      <c r="U70" s="130">
        <f>IF(U33=0,0,U33/TrRoad_act!U40*100)</f>
        <v>55.362440214463206</v>
      </c>
      <c r="V70" s="130">
        <f>IF(V33=0,0,V33/TrRoad_act!V40*100)</f>
        <v>56.432602672157195</v>
      </c>
      <c r="W70" s="130">
        <f>IF(W33=0,0,W33/TrRoad_act!W40*100)</f>
        <v>57.602270086721759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20.291693702539391</v>
      </c>
      <c r="D71" s="97">
        <f>IF(D34=0,0,D34/TrRoad_act!D41*100)</f>
        <v>20.283959900222808</v>
      </c>
      <c r="E71" s="97">
        <f>IF(E34=0,0,E34/TrRoad_act!E41*100)</f>
        <v>20.269074314497942</v>
      </c>
      <c r="F71" s="97">
        <f>IF(F34=0,0,F34/TrRoad_act!F41*100)</f>
        <v>20.247702234106235</v>
      </c>
      <c r="G71" s="97">
        <f>IF(G34=0,0,G34/TrRoad_act!G41*100)</f>
        <v>20.234525589756487</v>
      </c>
      <c r="H71" s="97">
        <f>IF(H34=0,0,H34/TrRoad_act!H41*100)</f>
        <v>20.202889394433189</v>
      </c>
      <c r="I71" s="97">
        <f>IF(I34=0,0,I34/TrRoad_act!I41*100)</f>
        <v>20.1825607164456</v>
      </c>
      <c r="J71" s="97">
        <f>IF(J34=0,0,J34/TrRoad_act!J41*100)</f>
        <v>20.130971408439674</v>
      </c>
      <c r="K71" s="97">
        <f>IF(K34=0,0,K34/TrRoad_act!K41*100)</f>
        <v>20.076926145334667</v>
      </c>
      <c r="L71" s="97">
        <f>IF(L34=0,0,L34/TrRoad_act!L41*100)</f>
        <v>20.027101625247134</v>
      </c>
      <c r="M71" s="97">
        <f>IF(M34=0,0,M34/TrRoad_act!M41*100)</f>
        <v>19.924737779154363</v>
      </c>
      <c r="N71" s="97">
        <f>IF(N34=0,0,N34/TrRoad_act!N41*100)</f>
        <v>19.876539940492957</v>
      </c>
      <c r="O71" s="97">
        <f>IF(O34=0,0,O34/TrRoad_act!O41*100)</f>
        <v>18.157902446592828</v>
      </c>
      <c r="P71" s="97">
        <f>IF(P34=0,0,P34/TrRoad_act!P41*100)</f>
        <v>17.765871148810593</v>
      </c>
      <c r="Q71" s="97">
        <f>IF(Q34=0,0,Q34/TrRoad_act!Q41*100)</f>
        <v>17.300354845006339</v>
      </c>
      <c r="R71" s="97">
        <f>IF(R34=0,0,R34/TrRoad_act!R41*100)</f>
        <v>17.300354845006346</v>
      </c>
      <c r="S71" s="97">
        <f>IF(S34=0,0,S34/TrRoad_act!S41*100)</f>
        <v>17.300354845006339</v>
      </c>
      <c r="T71" s="97">
        <f>IF(T34=0,0,T34/TrRoad_act!T41*100)</f>
        <v>17.300354845006343</v>
      </c>
      <c r="U71" s="97">
        <f>IF(U34=0,0,U34/TrRoad_act!U41*100)</f>
        <v>17.300354845006339</v>
      </c>
      <c r="V71" s="97">
        <f>IF(V34=0,0,V34/TrRoad_act!V41*100)</f>
        <v>17.300354845006336</v>
      </c>
      <c r="W71" s="97">
        <f>IF(W34=0,0,W34/TrRoad_act!W41*100)</f>
        <v>17.300354845006343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59.629076244636138</v>
      </c>
      <c r="C72" s="97">
        <f>IF(C36=0,0,C36/TrRoad_act!C42*100)</f>
        <v>56.770383149359546</v>
      </c>
      <c r="D72" s="97">
        <f>IF(D36=0,0,D36/TrRoad_act!D42*100)</f>
        <v>56.369245540830534</v>
      </c>
      <c r="E72" s="97">
        <f>IF(E36=0,0,E36/TrRoad_act!E42*100)</f>
        <v>55.87308190880956</v>
      </c>
      <c r="F72" s="97">
        <f>IF(F36=0,0,F36/TrRoad_act!F42*100)</f>
        <v>55.536953914723455</v>
      </c>
      <c r="G72" s="97">
        <f>IF(G36=0,0,G36/TrRoad_act!G42*100)</f>
        <v>55.162290320510834</v>
      </c>
      <c r="H72" s="97">
        <f>IF(H36=0,0,H36/TrRoad_act!H42*100)</f>
        <v>54.866181645438807</v>
      </c>
      <c r="I72" s="97">
        <f>IF(I36=0,0,I36/TrRoad_act!I42*100)</f>
        <v>54.691679459026652</v>
      </c>
      <c r="J72" s="97">
        <f>IF(J36=0,0,J36/TrRoad_act!J42*100)</f>
        <v>54.479291256690168</v>
      </c>
      <c r="K72" s="97">
        <f>IF(K36=0,0,K36/TrRoad_act!K42*100)</f>
        <v>54.34597629844167</v>
      </c>
      <c r="L72" s="97">
        <f>IF(L36=0,0,L36/TrRoad_act!L42*100)</f>
        <v>54.236527612165922</v>
      </c>
      <c r="M72" s="97">
        <f>IF(M36=0,0,M36/TrRoad_act!M42*100)</f>
        <v>54.20352818493761</v>
      </c>
      <c r="N72" s="97">
        <f>IF(N36=0,0,N36/TrRoad_act!N42*100)</f>
        <v>54.192881254911931</v>
      </c>
      <c r="O72" s="97">
        <f>IF(O36=0,0,O36/TrRoad_act!O42*100)</f>
        <v>54.257343352378193</v>
      </c>
      <c r="P72" s="97">
        <f>IF(P36=0,0,P36/TrRoad_act!P42*100)</f>
        <v>54.371444559001162</v>
      </c>
      <c r="Q72" s="97">
        <f>IF(Q36=0,0,Q36/TrRoad_act!Q42*100)</f>
        <v>54.569608141042345</v>
      </c>
      <c r="R72" s="97">
        <f>IF(R36=0,0,R36/TrRoad_act!R42*100)</f>
        <v>54.777314205517882</v>
      </c>
      <c r="S72" s="97">
        <f>IF(S36=0,0,S36/TrRoad_act!S42*100)</f>
        <v>55.033073032848492</v>
      </c>
      <c r="T72" s="97">
        <f>IF(T36=0,0,T36/TrRoad_act!T42*100)</f>
        <v>55.276809421381444</v>
      </c>
      <c r="U72" s="97">
        <f>IF(U36=0,0,U36/TrRoad_act!U42*100)</f>
        <v>55.509294319427383</v>
      </c>
      <c r="V72" s="97">
        <f>IF(V36=0,0,V36/TrRoad_act!V42*100)</f>
        <v>56.108065470558699</v>
      </c>
      <c r="W72" s="97">
        <f>IF(W36=0,0,W36/TrRoad_act!W42*100)</f>
        <v>56.328327469165565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47.785127244425823</v>
      </c>
      <c r="O74" s="97">
        <f>IF(O39=0,0,O39/TrRoad_act!O44*100)</f>
        <v>45.610435480192265</v>
      </c>
      <c r="P74" s="97">
        <f>IF(P39=0,0,P39/TrRoad_act!P44*100)</f>
        <v>31.205471991861511</v>
      </c>
      <c r="Q74" s="97">
        <f>IF(Q39=0,0,Q39/TrRoad_act!Q44*100)</f>
        <v>40.608582512472125</v>
      </c>
      <c r="R74" s="97">
        <f>IF(R39=0,0,R39/TrRoad_act!R44*100)</f>
        <v>46.793958262732239</v>
      </c>
      <c r="S74" s="97">
        <f>IF(S39=0,0,S39/TrRoad_act!S44*100)</f>
        <v>54.457898413165914</v>
      </c>
      <c r="T74" s="97">
        <f>IF(T39=0,0,T39/TrRoad_act!T44*100)</f>
        <v>52.55603971783308</v>
      </c>
      <c r="U74" s="97">
        <f>IF(U39=0,0,U39/TrRoad_act!U44*100)</f>
        <v>54.257932274758105</v>
      </c>
      <c r="V74" s="97">
        <f>IF(V39=0,0,V39/TrRoad_act!V44*100)</f>
        <v>63.460777968293712</v>
      </c>
      <c r="W74" s="97">
        <f>IF(W39=0,0,W39/TrRoad_act!W44*100)</f>
        <v>83.10628664526412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36.879987851188261</v>
      </c>
      <c r="Q75" s="97">
        <f>IF(Q41=0,0,Q41/TrRoad_act!Q45*100)</f>
        <v>36.879987851188261</v>
      </c>
      <c r="R75" s="97">
        <f>IF(R41=0,0,R41/TrRoad_act!R45*100)</f>
        <v>36.916313708792401</v>
      </c>
      <c r="S75" s="97">
        <f>IF(S41=0,0,S41/TrRoad_act!S45*100)</f>
        <v>36.927835949059158</v>
      </c>
      <c r="T75" s="97">
        <f>IF(T41=0,0,T41/TrRoad_act!T45*100)</f>
        <v>36.833941079546371</v>
      </c>
      <c r="U75" s="97">
        <f>IF(U41=0,0,U41/TrRoad_act!U45*100)</f>
        <v>36.590614034348036</v>
      </c>
      <c r="V75" s="97">
        <f>IF(V41=0,0,V41/TrRoad_act!V45*100)</f>
        <v>36.475303974711487</v>
      </c>
      <c r="W75" s="97">
        <f>IF(W41=0,0,W41/TrRoad_act!W45*100)</f>
        <v>36.475303974711494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13.379025682836696</v>
      </c>
      <c r="C76" s="32">
        <f>IF(C42=0,0,C42/TrRoad_act!C46*100)</f>
        <v>18.963754441868353</v>
      </c>
      <c r="D76" s="32">
        <f>IF(D42=0,0,D42/TrRoad_act!D46*100)</f>
        <v>18.790271259127149</v>
      </c>
      <c r="E76" s="32">
        <f>IF(E42=0,0,E42/TrRoad_act!E46*100)</f>
        <v>20.980332326488483</v>
      </c>
      <c r="F76" s="32">
        <f>IF(F42=0,0,F42/TrRoad_act!F46*100)</f>
        <v>24.626914247616931</v>
      </c>
      <c r="G76" s="32">
        <f>IF(G42=0,0,G42/TrRoad_act!G46*100)</f>
        <v>27.50316304049004</v>
      </c>
      <c r="H76" s="32">
        <f>IF(H42=0,0,H42/TrRoad_act!H46*100)</f>
        <v>28.93932101153688</v>
      </c>
      <c r="I76" s="32">
        <f>IF(I42=0,0,I42/TrRoad_act!I46*100)</f>
        <v>37.509540697294149</v>
      </c>
      <c r="J76" s="32">
        <f>IF(J42=0,0,J42/TrRoad_act!J46*100)</f>
        <v>49.783496702411384</v>
      </c>
      <c r="K76" s="32">
        <f>IF(K42=0,0,K42/TrRoad_act!K46*100)</f>
        <v>33.363611295434964</v>
      </c>
      <c r="L76" s="32">
        <f>IF(L42=0,0,L42/TrRoad_act!L46*100)</f>
        <v>35.683846292741634</v>
      </c>
      <c r="M76" s="32">
        <f>IF(M42=0,0,M42/TrRoad_act!M46*100)</f>
        <v>41.184019593170788</v>
      </c>
      <c r="N76" s="32">
        <f>IF(N42=0,0,N42/TrRoad_act!N46*100)</f>
        <v>44.560783808700059</v>
      </c>
      <c r="O76" s="32">
        <f>IF(O42=0,0,O42/TrRoad_act!O46*100)</f>
        <v>40.392933131704069</v>
      </c>
      <c r="P76" s="32">
        <f>IF(P42=0,0,P42/TrRoad_act!P46*100)</f>
        <v>37.805649297245886</v>
      </c>
      <c r="Q76" s="32">
        <f>IF(Q42=0,0,Q42/TrRoad_act!Q46*100)</f>
        <v>34.247690396569084</v>
      </c>
      <c r="R76" s="32">
        <f>IF(R42=0,0,R42/TrRoad_act!R46*100)</f>
        <v>37.414576151417286</v>
      </c>
      <c r="S76" s="32">
        <f>IF(S42=0,0,S42/TrRoad_act!S46*100)</f>
        <v>35.186488875382082</v>
      </c>
      <c r="T76" s="32">
        <f>IF(T42=0,0,T42/TrRoad_act!T46*100)</f>
        <v>34.087844366366312</v>
      </c>
      <c r="U76" s="32">
        <f>IF(U42=0,0,U42/TrRoad_act!U46*100)</f>
        <v>30.37991050054119</v>
      </c>
      <c r="V76" s="32">
        <f>IF(V42=0,0,V42/TrRoad_act!V46*100)</f>
        <v>23.815033525341448</v>
      </c>
      <c r="W76" s="32">
        <f>IF(W42=0,0,W42/TrRoad_act!W46*100)</f>
        <v>28.786275397626792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11.833391141522112</v>
      </c>
      <c r="C77" s="141">
        <f>IF(C43=0,0,C43/TrRoad_act!C47*100)</f>
        <v>11.547717722414733</v>
      </c>
      <c r="D77" s="141">
        <f>IF(D43=0,0,D43/TrRoad_act!D47*100)</f>
        <v>11.414709888156283</v>
      </c>
      <c r="E77" s="141">
        <f>IF(E43=0,0,E43/TrRoad_act!E47*100)</f>
        <v>11.315650727711052</v>
      </c>
      <c r="F77" s="141">
        <f>IF(F43=0,0,F43/TrRoad_act!F47*100)</f>
        <v>11.233890066959606</v>
      </c>
      <c r="G77" s="141">
        <f>IF(G43=0,0,G43/TrRoad_act!G47*100)</f>
        <v>11.195524582617981</v>
      </c>
      <c r="H77" s="141">
        <f>IF(H43=0,0,H43/TrRoad_act!H47*100)</f>
        <v>11.186532953437906</v>
      </c>
      <c r="I77" s="141">
        <f>IF(I43=0,0,I43/TrRoad_act!I47*100)</f>
        <v>11.174632045915214</v>
      </c>
      <c r="J77" s="141">
        <f>IF(J43=0,0,J43/TrRoad_act!J47*100)</f>
        <v>11.131420002350781</v>
      </c>
      <c r="K77" s="141">
        <f>IF(K43=0,0,K43/TrRoad_act!K47*100)</f>
        <v>11.08694928075292</v>
      </c>
      <c r="L77" s="141">
        <f>IF(L43=0,0,L43/TrRoad_act!L47*100)</f>
        <v>11.086468041395319</v>
      </c>
      <c r="M77" s="141">
        <f>IF(M43=0,0,M43/TrRoad_act!M47*100)</f>
        <v>11.112902648610319</v>
      </c>
      <c r="N77" s="141">
        <f>IF(N43=0,0,N43/TrRoad_act!N47*100)</f>
        <v>10.964053654226692</v>
      </c>
      <c r="O77" s="141">
        <f>IF(O43=0,0,O43/TrRoad_act!O47*100)</f>
        <v>10.805209620600207</v>
      </c>
      <c r="P77" s="141">
        <f>IF(P43=0,0,P43/TrRoad_act!P47*100)</f>
        <v>10.706791124002832</v>
      </c>
      <c r="Q77" s="141">
        <f>IF(Q43=0,0,Q43/TrRoad_act!Q47*100)</f>
        <v>10.552802682719449</v>
      </c>
      <c r="R77" s="141">
        <f>IF(R43=0,0,R43/TrRoad_act!R47*100)</f>
        <v>10.344020353368952</v>
      </c>
      <c r="S77" s="141">
        <f>IF(S43=0,0,S43/TrRoad_act!S47*100)</f>
        <v>10.080754713355956</v>
      </c>
      <c r="T77" s="141">
        <f>IF(T43=0,0,T43/TrRoad_act!T47*100)</f>
        <v>9.8956484965923028</v>
      </c>
      <c r="U77" s="141">
        <f>IF(U43=0,0,U43/TrRoad_act!U47*100)</f>
        <v>9.7553425266341662</v>
      </c>
      <c r="V77" s="141">
        <f>IF(V43=0,0,V43/TrRoad_act!V47*100)</f>
        <v>9.6963772478113501</v>
      </c>
      <c r="W77" s="141">
        <f>IF(W43=0,0,W43/TrRoad_act!W47*100)</f>
        <v>9.5867271568461838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9.424839809517092</v>
      </c>
      <c r="C78" s="96">
        <f>IF(C44=0,0,C44/TrRoad_act!C48*100)</f>
        <v>9.1894024525985021</v>
      </c>
      <c r="D78" s="96">
        <f>IF(D44=0,0,D44/TrRoad_act!D48*100)</f>
        <v>9.0882458245346172</v>
      </c>
      <c r="E78" s="96">
        <f>IF(E44=0,0,E44/TrRoad_act!E48*100)</f>
        <v>8.998258887420004</v>
      </c>
      <c r="F78" s="96">
        <f>IF(F44=0,0,F44/TrRoad_act!F48*100)</f>
        <v>8.9275991936463814</v>
      </c>
      <c r="G78" s="96">
        <f>IF(G44=0,0,G44/TrRoad_act!G48*100)</f>
        <v>8.8667676353667915</v>
      </c>
      <c r="H78" s="96">
        <f>IF(H44=0,0,H44/TrRoad_act!H48*100)</f>
        <v>8.7660976046491363</v>
      </c>
      <c r="I78" s="96">
        <f>IF(I44=0,0,I44/TrRoad_act!I48*100)</f>
        <v>8.6934860746465805</v>
      </c>
      <c r="J78" s="96">
        <f>IF(J44=0,0,J44/TrRoad_act!J48*100)</f>
        <v>8.573865610243498</v>
      </c>
      <c r="K78" s="96">
        <f>IF(K44=0,0,K44/TrRoad_act!K48*100)</f>
        <v>8.5075829620484669</v>
      </c>
      <c r="L78" s="96">
        <f>IF(L44=0,0,L44/TrRoad_act!L48*100)</f>
        <v>8.4428401430524485</v>
      </c>
      <c r="M78" s="96">
        <f>IF(M44=0,0,M44/TrRoad_act!M48*100)</f>
        <v>8.3723115003084878</v>
      </c>
      <c r="N78" s="96">
        <f>IF(N44=0,0,N44/TrRoad_act!N48*100)</f>
        <v>8.3257685546009093</v>
      </c>
      <c r="O78" s="96">
        <f>IF(O44=0,0,O44/TrRoad_act!O48*100)</f>
        <v>8.2601602978567445</v>
      </c>
      <c r="P78" s="96">
        <f>IF(P44=0,0,P44/TrRoad_act!P48*100)</f>
        <v>8.1779986650528276</v>
      </c>
      <c r="Q78" s="96">
        <f>IF(Q44=0,0,Q44/TrRoad_act!Q48*100)</f>
        <v>8.0799076491984678</v>
      </c>
      <c r="R78" s="96">
        <f>IF(R44=0,0,R44/TrRoad_act!R48*100)</f>
        <v>7.923588791483013</v>
      </c>
      <c r="S78" s="96">
        <f>IF(S44=0,0,S44/TrRoad_act!S48*100)</f>
        <v>7.7394410741031345</v>
      </c>
      <c r="T78" s="96">
        <f>IF(T44=0,0,T44/TrRoad_act!T48*100)</f>
        <v>7.5154741293886316</v>
      </c>
      <c r="U78" s="96">
        <f>IF(U44=0,0,U44/TrRoad_act!U48*100)</f>
        <v>7.4205865616703308</v>
      </c>
      <c r="V78" s="96">
        <f>IF(V44=0,0,V44/TrRoad_act!V48*100)</f>
        <v>7.3494465871942181</v>
      </c>
      <c r="W78" s="96">
        <f>IF(W44=0,0,W44/TrRoad_act!W48*100)</f>
        <v>7.3291547303316866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12.469786630364501</v>
      </c>
      <c r="C79" s="96">
        <f>IF(C46=0,0,C46/TrRoad_act!C49*100)</f>
        <v>12.164381643358038</v>
      </c>
      <c r="D79" s="96">
        <f>IF(D46=0,0,D46/TrRoad_act!D49*100)</f>
        <v>11.991139215542274</v>
      </c>
      <c r="E79" s="96">
        <f>IF(E46=0,0,E46/TrRoad_act!E49*100)</f>
        <v>11.835615284020982</v>
      </c>
      <c r="F79" s="96">
        <f>IF(F46=0,0,F46/TrRoad_act!F49*100)</f>
        <v>11.701570229725972</v>
      </c>
      <c r="G79" s="96">
        <f>IF(G46=0,0,G46/TrRoad_act!G49*100)</f>
        <v>11.605638290915916</v>
      </c>
      <c r="H79" s="96">
        <f>IF(H46=0,0,H46/TrRoad_act!H49*100)</f>
        <v>11.524512181264795</v>
      </c>
      <c r="I79" s="96">
        <f>IF(I46=0,0,I46/TrRoad_act!I49*100)</f>
        <v>11.480727454289847</v>
      </c>
      <c r="J79" s="96">
        <f>IF(J46=0,0,J46/TrRoad_act!J49*100)</f>
        <v>11.403370976359396</v>
      </c>
      <c r="K79" s="96">
        <f>IF(K46=0,0,K46/TrRoad_act!K49*100)</f>
        <v>11.339550950582863</v>
      </c>
      <c r="L79" s="96">
        <f>IF(L46=0,0,L46/TrRoad_act!L49*100)</f>
        <v>11.324115003464206</v>
      </c>
      <c r="M79" s="96">
        <f>IF(M46=0,0,M46/TrRoad_act!M49*100)</f>
        <v>11.336630287745491</v>
      </c>
      <c r="N79" s="96">
        <f>IF(N46=0,0,N46/TrRoad_act!N49*100)</f>
        <v>11.162034430746289</v>
      </c>
      <c r="O79" s="96">
        <f>IF(O46=0,0,O46/TrRoad_act!O49*100)</f>
        <v>10.980555477627634</v>
      </c>
      <c r="P79" s="96">
        <f>IF(P46=0,0,P46/TrRoad_act!P49*100)</f>
        <v>10.846725561788977</v>
      </c>
      <c r="Q79" s="96">
        <f>IF(Q46=0,0,Q46/TrRoad_act!Q49*100)</f>
        <v>10.671931121131776</v>
      </c>
      <c r="R79" s="96">
        <f>IF(R46=0,0,R46/TrRoad_act!R49*100)</f>
        <v>10.449449422429048</v>
      </c>
      <c r="S79" s="96">
        <f>IF(S46=0,0,S46/TrRoad_act!S49*100)</f>
        <v>10.185731942948555</v>
      </c>
      <c r="T79" s="96">
        <f>IF(T46=0,0,T46/TrRoad_act!T49*100)</f>
        <v>10.000068928802499</v>
      </c>
      <c r="U79" s="96">
        <f>IF(U46=0,0,U46/TrRoad_act!U49*100)</f>
        <v>9.859554017222985</v>
      </c>
      <c r="V79" s="96">
        <f>IF(V46=0,0,V46/TrRoad_act!V49*100)</f>
        <v>9.7983560917763786</v>
      </c>
      <c r="W79" s="96">
        <f>IF(W46=0,0,W46/TrRoad_act!W49*100)</f>
        <v>9.6736488603651782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13.302989728235467</v>
      </c>
      <c r="I80" s="96">
        <f>IF(I48=0,0,I48/TrRoad_act!I50*100)</f>
        <v>13.375327950909815</v>
      </c>
      <c r="J80" s="96">
        <f>IF(J48=0,0,J48/TrRoad_act!J50*100)</f>
        <v>12.965675147445177</v>
      </c>
      <c r="K80" s="96">
        <f>IF(K48=0,0,K48/TrRoad_act!K50*100)</f>
        <v>12.998557883945006</v>
      </c>
      <c r="L80" s="96">
        <f>IF(L48=0,0,L48/TrRoad_act!L50*100)</f>
        <v>14.047914250237051</v>
      </c>
      <c r="M80" s="96">
        <f>IF(M48=0,0,M48/TrRoad_act!M50*100)</f>
        <v>14.935900425276488</v>
      </c>
      <c r="N80" s="96">
        <f>IF(N48=0,0,N48/TrRoad_act!N50*100)</f>
        <v>15.321876973241356</v>
      </c>
      <c r="O80" s="96">
        <f>IF(O48=0,0,O48/TrRoad_act!O50*100)</f>
        <v>14.417586718488796</v>
      </c>
      <c r="P80" s="96">
        <f>IF(P48=0,0,P48/TrRoad_act!P50*100)</f>
        <v>13.438136291065861</v>
      </c>
      <c r="Q80" s="96">
        <f>IF(Q48=0,0,Q48/TrRoad_act!Q50*100)</f>
        <v>14.033432249283573</v>
      </c>
      <c r="R80" s="96">
        <f>IF(R48=0,0,R48/TrRoad_act!R50*100)</f>
        <v>13.922251640741756</v>
      </c>
      <c r="S80" s="96">
        <f>IF(S48=0,0,S48/TrRoad_act!S50*100)</f>
        <v>12.278638519377822</v>
      </c>
      <c r="T80" s="96">
        <f>IF(T48=0,0,T48/TrRoad_act!T50*100)</f>
        <v>11.542701349709453</v>
      </c>
      <c r="U80" s="96">
        <f>IF(U48=0,0,U48/TrRoad_act!U50*100)</f>
        <v>10.203544202592131</v>
      </c>
      <c r="V80" s="96">
        <f>IF(V48=0,0,V48/TrRoad_act!V50*100)</f>
        <v>9.707689325567614</v>
      </c>
      <c r="W80" s="96">
        <f>IF(W48=0,0,W48/TrRoad_act!W50*100)</f>
        <v>12.658561212502603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9.1894601152863338</v>
      </c>
      <c r="Q81" s="96">
        <f>IF(Q49=0,0,Q49/TrRoad_act!Q51*100)</f>
        <v>9.7138220209248392</v>
      </c>
      <c r="R81" s="96">
        <f>IF(R49=0,0,R49/TrRoad_act!R51*100)</f>
        <v>9.6748257956153196</v>
      </c>
      <c r="S81" s="96">
        <f>IF(S49=0,0,S49/TrRoad_act!S51*100)</f>
        <v>8.7291568492592333</v>
      </c>
      <c r="T81" s="96">
        <f>IF(T49=0,0,T49/TrRoad_act!T51*100)</f>
        <v>8.4398379096079701</v>
      </c>
      <c r="U81" s="96">
        <f>IF(U49=0,0,U49/TrRoad_act!U51*100)</f>
        <v>8.1877305918879255</v>
      </c>
      <c r="V81" s="96">
        <f>IF(V49=0,0,V49/TrRoad_act!V51*100)</f>
        <v>8.3282639706543904</v>
      </c>
      <c r="W81" s="96">
        <f>IF(W49=0,0,W49/TrRoad_act!W51*100)</f>
        <v>8.4985230042824753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1.5977295431450156</v>
      </c>
      <c r="Q82" s="96">
        <f>IF(Q51=0,0,Q51/TrRoad_act!Q52*100)</f>
        <v>1.6690074675177111</v>
      </c>
      <c r="R82" s="96">
        <f>IF(R51=0,0,R51/TrRoad_act!R52*100)</f>
        <v>1.7058286844561215</v>
      </c>
      <c r="S82" s="96">
        <f>IF(S51=0,0,S51/TrRoad_act!S52*100)</f>
        <v>1.7338915708035683</v>
      </c>
      <c r="T82" s="96">
        <f>IF(T51=0,0,T51/TrRoad_act!T52*100)</f>
        <v>1.7557317101501564</v>
      </c>
      <c r="U82" s="96">
        <f>IF(U51=0,0,U51/TrRoad_act!U52*100)</f>
        <v>1.7750762028545994</v>
      </c>
      <c r="V82" s="96">
        <f>IF(V51=0,0,V51/TrRoad_act!V52*100)</f>
        <v>1.8161104160974768</v>
      </c>
      <c r="W82" s="96">
        <f>IF(W51=0,0,W51/TrRoad_act!W52*100)</f>
        <v>1.9590929306026283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14.464245667276888</v>
      </c>
      <c r="C83" s="130">
        <f>IF(C52=0,0,C52/TrRoad_act!C53*100)</f>
        <v>24.314801722392268</v>
      </c>
      <c r="D83" s="130">
        <f>IF(D52=0,0,D52/TrRoad_act!D53*100)</f>
        <v>24.007135486736416</v>
      </c>
      <c r="E83" s="130">
        <f>IF(E52=0,0,E52/TrRoad_act!E53*100)</f>
        <v>28.083620104565142</v>
      </c>
      <c r="F83" s="130">
        <f>IF(F52=0,0,F52/TrRoad_act!F53*100)</f>
        <v>33.576511366158208</v>
      </c>
      <c r="G83" s="130">
        <f>IF(G52=0,0,G52/TrRoad_act!G53*100)</f>
        <v>39.10587868891858</v>
      </c>
      <c r="H83" s="130">
        <f>IF(H52=0,0,H52/TrRoad_act!H53*100)</f>
        <v>42.31107740611516</v>
      </c>
      <c r="I83" s="130">
        <f>IF(I52=0,0,I52/TrRoad_act!I53*100)</f>
        <v>59.307955350527038</v>
      </c>
      <c r="J83" s="130">
        <f>IF(J52=0,0,J52/TrRoad_act!J53*100)</f>
        <v>85.39824498256408</v>
      </c>
      <c r="K83" s="130">
        <f>IF(K52=0,0,K52/TrRoad_act!K53*100)</f>
        <v>57.919469458586782</v>
      </c>
      <c r="L83" s="130">
        <f>IF(L52=0,0,L52/TrRoad_act!L53*100)</f>
        <v>63.481015345624193</v>
      </c>
      <c r="M83" s="130">
        <f>IF(M52=0,0,M52/TrRoad_act!M53*100)</f>
        <v>77.692048409568898</v>
      </c>
      <c r="N83" s="130">
        <f>IF(N52=0,0,N52/TrRoad_act!N53*100)</f>
        <v>87.837018453691542</v>
      </c>
      <c r="O83" s="130">
        <f>IF(O52=0,0,O52/TrRoad_act!O53*100)</f>
        <v>81.145077270877891</v>
      </c>
      <c r="P83" s="130">
        <f>IF(P52=0,0,P52/TrRoad_act!P53*100)</f>
        <v>75.927991579005919</v>
      </c>
      <c r="Q83" s="130">
        <f>IF(Q52=0,0,Q52/TrRoad_act!Q53*100)</f>
        <v>68.618873219644243</v>
      </c>
      <c r="R83" s="130">
        <f>IF(R52=0,0,R52/TrRoad_act!R53*100)</f>
        <v>76.60593283035513</v>
      </c>
      <c r="S83" s="130">
        <f>IF(S52=0,0,S52/TrRoad_act!S53*100)</f>
        <v>71.404174751513281</v>
      </c>
      <c r="T83" s="130">
        <f>IF(T52=0,0,T52/TrRoad_act!T53*100)</f>
        <v>72.083749128298791</v>
      </c>
      <c r="U83" s="130">
        <f>IF(U52=0,0,U52/TrRoad_act!U53*100)</f>
        <v>64.209045234972436</v>
      </c>
      <c r="V83" s="130">
        <f>IF(V52=0,0,V52/TrRoad_act!V53*100)</f>
        <v>49.343749476703266</v>
      </c>
      <c r="W83" s="130">
        <f>IF(W52=0,0,W52/TrRoad_act!W53*100)</f>
        <v>60.978291548401707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27.882347007824919</v>
      </c>
      <c r="C84" s="97">
        <f>IF(C53=0,0,C53/TrRoad_act!C54*100)</f>
        <v>29.116187661410088</v>
      </c>
      <c r="D84" s="97">
        <f>IF(D53=0,0,D53/TrRoad_act!D54*100)</f>
        <v>29.002283622534296</v>
      </c>
      <c r="E84" s="97">
        <f>IF(E53=0,0,E53/TrRoad_act!E54*100)</f>
        <v>29.479743591698902</v>
      </c>
      <c r="F84" s="97">
        <f>IF(F53=0,0,F53/TrRoad_act!F54*100)</f>
        <v>30.173225053558728</v>
      </c>
      <c r="G84" s="97">
        <f>IF(G53=0,0,G53/TrRoad_act!G54*100)</f>
        <v>30.817203051529283</v>
      </c>
      <c r="H84" s="97">
        <f>IF(H53=0,0,H53/TrRoad_act!H54*100)</f>
        <v>31.067827433718431</v>
      </c>
      <c r="I84" s="97">
        <f>IF(I53=0,0,I53/TrRoad_act!I54*100)</f>
        <v>33.357704747783025</v>
      </c>
      <c r="J84" s="97">
        <f>IF(J53=0,0,J53/TrRoad_act!J54*100)</f>
        <v>36.90356069219439</v>
      </c>
      <c r="K84" s="97">
        <f>IF(K53=0,0,K53/TrRoad_act!K54*100)</f>
        <v>32.948117027058494</v>
      </c>
      <c r="L84" s="97">
        <f>IF(L53=0,0,L53/TrRoad_act!L54*100)</f>
        <v>33.67391101877238</v>
      </c>
      <c r="M84" s="97">
        <f>IF(M53=0,0,M53/TrRoad_act!M54*100)</f>
        <v>35.588960578339709</v>
      </c>
      <c r="N84" s="97">
        <f>IF(N53=0,0,N53/TrRoad_act!N54*100)</f>
        <v>36.883444017491357</v>
      </c>
      <c r="O84" s="97">
        <f>IF(O53=0,0,O53/TrRoad_act!O54*100)</f>
        <v>35.858447270969535</v>
      </c>
      <c r="P84" s="97">
        <f>IF(P53=0,0,P53/TrRoad_act!P54*100)</f>
        <v>35.105353310616273</v>
      </c>
      <c r="Q84" s="97">
        <f>IF(Q53=0,0,Q53/TrRoad_act!Q54*100)</f>
        <v>33.925494086400136</v>
      </c>
      <c r="R84" s="97">
        <f>IF(R53=0,0,R53/TrRoad_act!R54*100)</f>
        <v>34.881181964355967</v>
      </c>
      <c r="S84" s="97">
        <f>IF(S53=0,0,S53/TrRoad_act!S54*100)</f>
        <v>34.056255922355277</v>
      </c>
      <c r="T84" s="97">
        <f>IF(T53=0,0,T53/TrRoad_act!T54*100)</f>
        <v>34.056150701507519</v>
      </c>
      <c r="U84" s="97">
        <f>IF(U53=0,0,U53/TrRoad_act!U54*100)</f>
        <v>32.911750137114396</v>
      </c>
      <c r="V84" s="97">
        <f>IF(V53=0,0,V53/TrRoad_act!V54*100)</f>
        <v>30.922574291677527</v>
      </c>
      <c r="W84" s="97">
        <f>IF(W53=0,0,W53/TrRoad_act!W54*100)</f>
        <v>32.565107683098759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1.4640022940847697</v>
      </c>
      <c r="C85" s="98">
        <f>IF(C55=0,0,C55/TrRoad_act!C55*100)</f>
        <v>19.914275424939941</v>
      </c>
      <c r="D85" s="98">
        <f>IF(D55=0,0,D55/TrRoad_act!D55*100)</f>
        <v>18.894898868192652</v>
      </c>
      <c r="E85" s="98">
        <f>IF(E55=0,0,E55/TrRoad_act!E55*100)</f>
        <v>26.579275731285502</v>
      </c>
      <c r="F85" s="98">
        <f>IF(F55=0,0,F55/TrRoad_act!F55*100)</f>
        <v>37.645266293558919</v>
      </c>
      <c r="G85" s="98">
        <f>IF(G55=0,0,G55/TrRoad_act!G55*100)</f>
        <v>49.029119282026144</v>
      </c>
      <c r="H85" s="98">
        <f>IF(H55=0,0,H55/TrRoad_act!H55*100)</f>
        <v>53.139061004409847</v>
      </c>
      <c r="I85" s="98">
        <f>IF(I55=0,0,I55/TrRoad_act!I55*100)</f>
        <v>85.70358102544256</v>
      </c>
      <c r="J85" s="98">
        <f>IF(J55=0,0,J55/TrRoad_act!J55*100)</f>
        <v>134.85159337292933</v>
      </c>
      <c r="K85" s="98">
        <f>IF(K55=0,0,K55/TrRoad_act!K55*100)</f>
        <v>83.109190451768455</v>
      </c>
      <c r="L85" s="98">
        <f>IF(L55=0,0,L55/TrRoad_act!L55*100)</f>
        <v>95.134851351855403</v>
      </c>
      <c r="M85" s="98">
        <f>IF(M55=0,0,M55/TrRoad_act!M55*100)</f>
        <v>118.52341884813534</v>
      </c>
      <c r="N85" s="98">
        <f>IF(N55=0,0,N55/TrRoad_act!N55*100)</f>
        <v>130.84271692909118</v>
      </c>
      <c r="O85" s="98">
        <f>IF(O55=0,0,O55/TrRoad_act!O55*100)</f>
        <v>117.50307155957967</v>
      </c>
      <c r="P85" s="98">
        <f>IF(P55=0,0,P55/TrRoad_act!P55*100)</f>
        <v>111.39487656073899</v>
      </c>
      <c r="Q85" s="98">
        <f>IF(Q55=0,0,Q55/TrRoad_act!Q55*100)</f>
        <v>95.367820957538697</v>
      </c>
      <c r="R85" s="98">
        <f>IF(R55=0,0,R55/TrRoad_act!R55*100)</f>
        <v>105.49988376162335</v>
      </c>
      <c r="S85" s="98">
        <f>IF(S55=0,0,S55/TrRoad_act!S55*100)</f>
        <v>96.800188716077756</v>
      </c>
      <c r="T85" s="98">
        <f>IF(T55=0,0,T55/TrRoad_act!T55*100)</f>
        <v>96.294590764951366</v>
      </c>
      <c r="U85" s="98">
        <f>IF(U55=0,0,U55/TrRoad_act!U55*100)</f>
        <v>84.55414548962024</v>
      </c>
      <c r="V85" s="98">
        <f>IF(V55=0,0,V55/TrRoad_act!V55*100)</f>
        <v>61.736507004429399</v>
      </c>
      <c r="W85" s="98">
        <f>IF(W55=0,0,W55/TrRoad_act!W55*100)</f>
        <v>80.2327239735163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45.000808368177999</v>
      </c>
      <c r="C88" s="29">
        <f>IF(TrRoad_act!C4=0,0,C18/TrRoad_act!C4*1000)</f>
        <v>44.14353678425023</v>
      </c>
      <c r="D88" s="29">
        <f>IF(TrRoad_act!D4=0,0,D18/TrRoad_act!D4*1000)</f>
        <v>44.121691921229299</v>
      </c>
      <c r="E88" s="29">
        <f>IF(TrRoad_act!E4=0,0,E18/TrRoad_act!E4*1000)</f>
        <v>43.097141945098137</v>
      </c>
      <c r="F88" s="29">
        <f>IF(TrRoad_act!F4=0,0,F18/TrRoad_act!F4*1000)</f>
        <v>40.890116878466465</v>
      </c>
      <c r="G88" s="29">
        <f>IF(TrRoad_act!G4=0,0,G18/TrRoad_act!G4*1000)</f>
        <v>41.515649738397641</v>
      </c>
      <c r="H88" s="29">
        <f>IF(TrRoad_act!H4=0,0,H18/TrRoad_act!H4*1000)</f>
        <v>41.519034302912516</v>
      </c>
      <c r="I88" s="29">
        <f>IF(TrRoad_act!I4=0,0,I18/TrRoad_act!I4*1000)</f>
        <v>40.512927797052043</v>
      </c>
      <c r="J88" s="29">
        <f>IF(TrRoad_act!J4=0,0,J18/TrRoad_act!J4*1000)</f>
        <v>42.628907185298011</v>
      </c>
      <c r="K88" s="29">
        <f>IF(TrRoad_act!K4=0,0,K18/TrRoad_act!K4*1000)</f>
        <v>40.435023829406951</v>
      </c>
      <c r="L88" s="29">
        <f>IF(TrRoad_act!L4=0,0,L18/TrRoad_act!L4*1000)</f>
        <v>41.177651331150422</v>
      </c>
      <c r="M88" s="29">
        <f>IF(TrRoad_act!M4=0,0,M18/TrRoad_act!M4*1000)</f>
        <v>41.580523779829775</v>
      </c>
      <c r="N88" s="29">
        <f>IF(TrRoad_act!N4=0,0,N18/TrRoad_act!N4*1000)</f>
        <v>40.740394185247538</v>
      </c>
      <c r="O88" s="29">
        <f>IF(TrRoad_act!O4=0,0,O18/TrRoad_act!O4*1000)</f>
        <v>39.77474216566398</v>
      </c>
      <c r="P88" s="29">
        <f>IF(TrRoad_act!P4=0,0,P18/TrRoad_act!P4*1000)</f>
        <v>38.759021659137396</v>
      </c>
      <c r="Q88" s="29">
        <f>IF(TrRoad_act!Q4=0,0,Q18/TrRoad_act!Q4*1000)</f>
        <v>38.308364890706777</v>
      </c>
      <c r="R88" s="29">
        <f>IF(TrRoad_act!R4=0,0,R18/TrRoad_act!R4*1000)</f>
        <v>37.874063860421167</v>
      </c>
      <c r="S88" s="29">
        <f>IF(TrRoad_act!S4=0,0,S18/TrRoad_act!S4*1000)</f>
        <v>38.057025345166636</v>
      </c>
      <c r="T88" s="29">
        <f>IF(TrRoad_act!T4=0,0,T18/TrRoad_act!T4*1000)</f>
        <v>38.582742047138147</v>
      </c>
      <c r="U88" s="29">
        <f>IF(TrRoad_act!U4=0,0,U18/TrRoad_act!U4*1000)</f>
        <v>38.03383160875309</v>
      </c>
      <c r="V88" s="29">
        <f>IF(TrRoad_act!V4=0,0,V18/TrRoad_act!V4*1000)</f>
        <v>39.11952213710142</v>
      </c>
      <c r="W88" s="29">
        <f>IF(TrRoad_act!W4=0,0,W18/TrRoad_act!W4*1000)</f>
        <v>39.188033243772814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38.905778913818644</v>
      </c>
      <c r="C89" s="152">
        <f>IF(TrRoad_act!C5=0,0,C19/TrRoad_act!C5*1000)</f>
        <v>38.716225858240755</v>
      </c>
      <c r="D89" s="152">
        <f>IF(TrRoad_act!D5=0,0,D19/TrRoad_act!D5*1000)</f>
        <v>38.512417764236552</v>
      </c>
      <c r="E89" s="152">
        <f>IF(TrRoad_act!E5=0,0,E19/TrRoad_act!E5*1000)</f>
        <v>38.245328769149019</v>
      </c>
      <c r="F89" s="152">
        <f>IF(TrRoad_act!F5=0,0,F19/TrRoad_act!F5*1000)</f>
        <v>37.94865656466078</v>
      </c>
      <c r="G89" s="152">
        <f>IF(TrRoad_act!G5=0,0,G19/TrRoad_act!G5*1000)</f>
        <v>37.653750541584053</v>
      </c>
      <c r="H89" s="152">
        <f>IF(TrRoad_act!H5=0,0,H19/TrRoad_act!H5*1000)</f>
        <v>37.10637496945612</v>
      </c>
      <c r="I89" s="152">
        <f>IF(TrRoad_act!I5=0,0,I19/TrRoad_act!I5*1000)</f>
        <v>35.698769965782354</v>
      </c>
      <c r="J89" s="152">
        <f>IF(TrRoad_act!J5=0,0,J19/TrRoad_act!J5*1000)</f>
        <v>34.889096756218734</v>
      </c>
      <c r="K89" s="152">
        <f>IF(TrRoad_act!K5=0,0,K19/TrRoad_act!K5*1000)</f>
        <v>36.021955370443081</v>
      </c>
      <c r="L89" s="152">
        <f>IF(TrRoad_act!L5=0,0,L19/TrRoad_act!L5*1000)</f>
        <v>33.967968232426983</v>
      </c>
      <c r="M89" s="152">
        <f>IF(TrRoad_act!M5=0,0,M19/TrRoad_act!M5*1000)</f>
        <v>33.732832632072018</v>
      </c>
      <c r="N89" s="152">
        <f>IF(TrRoad_act!N5=0,0,N19/TrRoad_act!N5*1000)</f>
        <v>33.790734326785234</v>
      </c>
      <c r="O89" s="152">
        <f>IF(TrRoad_act!O5=0,0,O19/TrRoad_act!O5*1000)</f>
        <v>33.443599843044026</v>
      </c>
      <c r="P89" s="152">
        <f>IF(TrRoad_act!P5=0,0,P19/TrRoad_act!P5*1000)</f>
        <v>33.032687825250285</v>
      </c>
      <c r="Q89" s="152">
        <f>IF(TrRoad_act!Q5=0,0,Q19/TrRoad_act!Q5*1000)</f>
        <v>32.358592479277604</v>
      </c>
      <c r="R89" s="152">
        <f>IF(TrRoad_act!R5=0,0,R19/TrRoad_act!R5*1000)</f>
        <v>31.910031255714795</v>
      </c>
      <c r="S89" s="152">
        <f>IF(TrRoad_act!S5=0,0,S19/TrRoad_act!S5*1000)</f>
        <v>32.389734630900186</v>
      </c>
      <c r="T89" s="152">
        <f>IF(TrRoad_act!T5=0,0,T19/TrRoad_act!T5*1000)</f>
        <v>32.015780071052212</v>
      </c>
      <c r="U89" s="152">
        <f>IF(TrRoad_act!U5=0,0,U19/TrRoad_act!U5*1000)</f>
        <v>31.553047402034505</v>
      </c>
      <c r="V89" s="152">
        <f>IF(TrRoad_act!V5=0,0,V19/TrRoad_act!V5*1000)</f>
        <v>31.351685531689473</v>
      </c>
      <c r="W89" s="152">
        <f>IF(TrRoad_act!W5=0,0,W19/TrRoad_act!W5*1000)</f>
        <v>29.228793627602073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48.875157859111233</v>
      </c>
      <c r="C90" s="116">
        <f>IF(TrRoad_act!C6=0,0,C21/TrRoad_act!C6*1000)</f>
        <v>47.885180738128923</v>
      </c>
      <c r="D90" s="116">
        <f>IF(TrRoad_act!D6=0,0,D21/TrRoad_act!D6*1000)</f>
        <v>47.783685114203685</v>
      </c>
      <c r="E90" s="116">
        <f>IF(TrRoad_act!E6=0,0,E21/TrRoad_act!E6*1000)</f>
        <v>46.908710515334434</v>
      </c>
      <c r="F90" s="116">
        <f>IF(TrRoad_act!F6=0,0,F21/TrRoad_act!F6*1000)</f>
        <v>43.739626353872502</v>
      </c>
      <c r="G90" s="116">
        <f>IF(TrRoad_act!G6=0,0,G21/TrRoad_act!G6*1000)</f>
        <v>44.216986671189922</v>
      </c>
      <c r="H90" s="116">
        <f>IF(TrRoad_act!H6=0,0,H21/TrRoad_act!H6*1000)</f>
        <v>44.276952155283944</v>
      </c>
      <c r="I90" s="116">
        <f>IF(TrRoad_act!I6=0,0,I21/TrRoad_act!I6*1000)</f>
        <v>43.145962896637002</v>
      </c>
      <c r="J90" s="116">
        <f>IF(TrRoad_act!J6=0,0,J21/TrRoad_act!J6*1000)</f>
        <v>45.346038328933886</v>
      </c>
      <c r="K90" s="116">
        <f>IF(TrRoad_act!K6=0,0,K21/TrRoad_act!K6*1000)</f>
        <v>42.809143823737749</v>
      </c>
      <c r="L90" s="116">
        <f>IF(TrRoad_act!L6=0,0,L21/TrRoad_act!L6*1000)</f>
        <v>43.689222506302677</v>
      </c>
      <c r="M90" s="116">
        <f>IF(TrRoad_act!M6=0,0,M21/TrRoad_act!M6*1000)</f>
        <v>44.227108193553697</v>
      </c>
      <c r="N90" s="116">
        <f>IF(TrRoad_act!N6=0,0,N21/TrRoad_act!N6*1000)</f>
        <v>43.283046345867263</v>
      </c>
      <c r="O90" s="116">
        <f>IF(TrRoad_act!O6=0,0,O21/TrRoad_act!O6*1000)</f>
        <v>42.261638184320482</v>
      </c>
      <c r="P90" s="116">
        <f>IF(TrRoad_act!P6=0,0,P21/TrRoad_act!P6*1000)</f>
        <v>41.184126436862087</v>
      </c>
      <c r="Q90" s="116">
        <f>IF(TrRoad_act!Q6=0,0,Q21/TrRoad_act!Q6*1000)</f>
        <v>40.748551395342389</v>
      </c>
      <c r="R90" s="116">
        <f>IF(TrRoad_act!R6=0,0,R21/TrRoad_act!R6*1000)</f>
        <v>40.281835363634869</v>
      </c>
      <c r="S90" s="116">
        <f>IF(TrRoad_act!S6=0,0,S21/TrRoad_act!S6*1000)</f>
        <v>40.418247161377792</v>
      </c>
      <c r="T90" s="116">
        <f>IF(TrRoad_act!T6=0,0,T21/TrRoad_act!T6*1000)</f>
        <v>41.120291644430196</v>
      </c>
      <c r="U90" s="116">
        <f>IF(TrRoad_act!U6=0,0,U21/TrRoad_act!U6*1000)</f>
        <v>40.430370863922249</v>
      </c>
      <c r="V90" s="116">
        <f>IF(TrRoad_act!V6=0,0,V21/TrRoad_act!V6*1000)</f>
        <v>40.434295554080812</v>
      </c>
      <c r="W90" s="116">
        <f>IF(TrRoad_act!W6=0,0,W21/TrRoad_act!W6*1000)</f>
        <v>40.598211479053184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51.439794408500056</v>
      </c>
      <c r="C91" s="87">
        <f>IF(TrRoad_act!C7=0,0,C22/TrRoad_act!C7*1000)</f>
        <v>50.620166541763808</v>
      </c>
      <c r="D91" s="87">
        <f>IF(TrRoad_act!D7=0,0,D22/TrRoad_act!D7*1000)</f>
        <v>51.630509078119516</v>
      </c>
      <c r="E91" s="87">
        <f>IF(TrRoad_act!E7=0,0,E22/TrRoad_act!E7*1000)</f>
        <v>50.310981346903496</v>
      </c>
      <c r="F91" s="87">
        <f>IF(TrRoad_act!F7=0,0,F22/TrRoad_act!F7*1000)</f>
        <v>46.007949807444163</v>
      </c>
      <c r="G91" s="87">
        <f>IF(TrRoad_act!G7=0,0,G22/TrRoad_act!G7*1000)</f>
        <v>47.03715779379084</v>
      </c>
      <c r="H91" s="87">
        <f>IF(TrRoad_act!H7=0,0,H22/TrRoad_act!H7*1000)</f>
        <v>47.145334537903842</v>
      </c>
      <c r="I91" s="87">
        <f>IF(TrRoad_act!I7=0,0,I22/TrRoad_act!I7*1000)</f>
        <v>45.599504829284456</v>
      </c>
      <c r="J91" s="87">
        <f>IF(TrRoad_act!J7=0,0,J22/TrRoad_act!J7*1000)</f>
        <v>49.716972464700831</v>
      </c>
      <c r="K91" s="87">
        <f>IF(TrRoad_act!K7=0,0,K22/TrRoad_act!K7*1000)</f>
        <v>46.198704654882988</v>
      </c>
      <c r="L91" s="87">
        <f>IF(TrRoad_act!L7=0,0,L22/TrRoad_act!L7*1000)</f>
        <v>47.897443590562922</v>
      </c>
      <c r="M91" s="87">
        <f>IF(TrRoad_act!M7=0,0,M22/TrRoad_act!M7*1000)</f>
        <v>48.767779891821036</v>
      </c>
      <c r="N91" s="87">
        <f>IF(TrRoad_act!N7=0,0,N22/TrRoad_act!N7*1000)</f>
        <v>46.742542410810216</v>
      </c>
      <c r="O91" s="87">
        <f>IF(TrRoad_act!O7=0,0,O22/TrRoad_act!O7*1000)</f>
        <v>45.073027829938198</v>
      </c>
      <c r="P91" s="87">
        <f>IF(TrRoad_act!P7=0,0,P22/TrRoad_act!P7*1000)</f>
        <v>43.367330730050398</v>
      </c>
      <c r="Q91" s="87">
        <f>IF(TrRoad_act!Q7=0,0,Q22/TrRoad_act!Q7*1000)</f>
        <v>43.209157297059015</v>
      </c>
      <c r="R91" s="87">
        <f>IF(TrRoad_act!R7=0,0,R22/TrRoad_act!R7*1000)</f>
        <v>43.898316068633882</v>
      </c>
      <c r="S91" s="87">
        <f>IF(TrRoad_act!S7=0,0,S22/TrRoad_act!S7*1000)</f>
        <v>43.666203520520895</v>
      </c>
      <c r="T91" s="87">
        <f>IF(TrRoad_act!T7=0,0,T22/TrRoad_act!T7*1000)</f>
        <v>45.324328706688647</v>
      </c>
      <c r="U91" s="87">
        <f>IF(TrRoad_act!U7=0,0,U22/TrRoad_act!U7*1000)</f>
        <v>43.537379968090811</v>
      </c>
      <c r="V91" s="87">
        <f>IF(TrRoad_act!V7=0,0,V22/TrRoad_act!V7*1000)</f>
        <v>44.359598238185676</v>
      </c>
      <c r="W91" s="87">
        <f>IF(TrRoad_act!W7=0,0,W22/TrRoad_act!W7*1000)</f>
        <v>45.96100272044449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38.527751098277157</v>
      </c>
      <c r="C92" s="87">
        <f>IF(TrRoad_act!C8=0,0,C24/TrRoad_act!C8*1000)</f>
        <v>37.675831884747581</v>
      </c>
      <c r="D92" s="87">
        <f>IF(TrRoad_act!D8=0,0,D24/TrRoad_act!D8*1000)</f>
        <v>37.707868141609879</v>
      </c>
      <c r="E92" s="87">
        <f>IF(TrRoad_act!E8=0,0,E24/TrRoad_act!E8*1000)</f>
        <v>38.034120672726104</v>
      </c>
      <c r="F92" s="87">
        <f>IF(TrRoad_act!F8=0,0,F24/TrRoad_act!F8*1000)</f>
        <v>38.947848989858819</v>
      </c>
      <c r="G92" s="87">
        <f>IF(TrRoad_act!G8=0,0,G24/TrRoad_act!G8*1000)</f>
        <v>39.228121643198122</v>
      </c>
      <c r="H92" s="87">
        <f>IF(TrRoad_act!H8=0,0,H24/TrRoad_act!H8*1000)</f>
        <v>39.953255835570737</v>
      </c>
      <c r="I92" s="87">
        <f>IF(TrRoad_act!I8=0,0,I24/TrRoad_act!I8*1000)</f>
        <v>39.915422657194199</v>
      </c>
      <c r="J92" s="87">
        <f>IF(TrRoad_act!J8=0,0,J24/TrRoad_act!J8*1000)</f>
        <v>40.307588692703845</v>
      </c>
      <c r="K92" s="87">
        <f>IF(TrRoad_act!K8=0,0,K24/TrRoad_act!K8*1000)</f>
        <v>39.309213450025048</v>
      </c>
      <c r="L92" s="87">
        <f>IF(TrRoad_act!L8=0,0,L24/TrRoad_act!L8*1000)</f>
        <v>39.752074122298971</v>
      </c>
      <c r="M92" s="87">
        <f>IF(TrRoad_act!M8=0,0,M24/TrRoad_act!M8*1000)</f>
        <v>40.282286575266724</v>
      </c>
      <c r="N92" s="87">
        <f>IF(TrRoad_act!N8=0,0,N24/TrRoad_act!N8*1000)</f>
        <v>40.475455625810454</v>
      </c>
      <c r="O92" s="87">
        <f>IF(TrRoad_act!O8=0,0,O24/TrRoad_act!O8*1000)</f>
        <v>40.10029964202085</v>
      </c>
      <c r="P92" s="87">
        <f>IF(TrRoad_act!P8=0,0,P24/TrRoad_act!P8*1000)</f>
        <v>39.584384289831149</v>
      </c>
      <c r="Q92" s="87">
        <f>IF(TrRoad_act!Q8=0,0,Q24/TrRoad_act!Q8*1000)</f>
        <v>39.010556547841276</v>
      </c>
      <c r="R92" s="87">
        <f>IF(TrRoad_act!R8=0,0,R24/TrRoad_act!R8*1000)</f>
        <v>37.988819851427721</v>
      </c>
      <c r="S92" s="87">
        <f>IF(TrRoad_act!S8=0,0,S24/TrRoad_act!S8*1000)</f>
        <v>38.536012416200499</v>
      </c>
      <c r="T92" s="87">
        <f>IF(TrRoad_act!T8=0,0,T24/TrRoad_act!T8*1000)</f>
        <v>38.875484345800459</v>
      </c>
      <c r="U92" s="87">
        <f>IF(TrRoad_act!U8=0,0,U24/TrRoad_act!U8*1000)</f>
        <v>38.866055269607337</v>
      </c>
      <c r="V92" s="87">
        <f>IF(TrRoad_act!V8=0,0,V24/TrRoad_act!V8*1000)</f>
        <v>38.868626141383565</v>
      </c>
      <c r="W92" s="87">
        <f>IF(TrRoad_act!W8=0,0,W24/TrRoad_act!W8*1000)</f>
        <v>38.007714043017032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34.039197063929137</v>
      </c>
      <c r="I93" s="87">
        <f>IF(TrRoad_act!I9=0,0,I26/TrRoad_act!I9*1000)</f>
        <v>38.568437276616734</v>
      </c>
      <c r="J93" s="87">
        <f>IF(TrRoad_act!J9=0,0,J26/TrRoad_act!J9*1000)</f>
        <v>38.102762968006871</v>
      </c>
      <c r="K93" s="87">
        <f>IF(TrRoad_act!K9=0,0,K26/TrRoad_act!K9*1000)</f>
        <v>40.553391179201824</v>
      </c>
      <c r="L93" s="87">
        <f>IF(TrRoad_act!L9=0,0,L26/TrRoad_act!L9*1000)</f>
        <v>44.592248743977571</v>
      </c>
      <c r="M93" s="87">
        <f>IF(TrRoad_act!M9=0,0,M26/TrRoad_act!M9*1000)</f>
        <v>47.926093407585554</v>
      </c>
      <c r="N93" s="87">
        <f>IF(TrRoad_act!N9=0,0,N26/TrRoad_act!N9*1000)</f>
        <v>50.073537607997572</v>
      </c>
      <c r="O93" s="87">
        <f>IF(TrRoad_act!O9=0,0,O26/TrRoad_act!O9*1000)</f>
        <v>49.116754382034308</v>
      </c>
      <c r="P93" s="87">
        <f>IF(TrRoad_act!P9=0,0,P26/TrRoad_act!P9*1000)</f>
        <v>49.297925630676552</v>
      </c>
      <c r="Q93" s="87">
        <f>IF(TrRoad_act!Q9=0,0,Q26/TrRoad_act!Q9*1000)</f>
        <v>52.286308472924404</v>
      </c>
      <c r="R93" s="87">
        <f>IF(TrRoad_act!R9=0,0,R26/TrRoad_act!R9*1000)</f>
        <v>50.571987837705443</v>
      </c>
      <c r="S93" s="87">
        <f>IF(TrRoad_act!S9=0,0,S26/TrRoad_act!S9*1000)</f>
        <v>47.260594443468072</v>
      </c>
      <c r="T93" s="87">
        <f>IF(TrRoad_act!T9=0,0,T26/TrRoad_act!T9*1000)</f>
        <v>46.258048562285694</v>
      </c>
      <c r="U93" s="87">
        <f>IF(TrRoad_act!U9=0,0,U26/TrRoad_act!U9*1000)</f>
        <v>43.580882907264382</v>
      </c>
      <c r="V93" s="87">
        <f>IF(TrRoad_act!V9=0,0,V26/TrRoad_act!V9*1000)</f>
        <v>34.106120727731714</v>
      </c>
      <c r="W93" s="87">
        <f>IF(TrRoad_act!W9=0,0,W26/TrRoad_act!W9*1000)</f>
        <v>54.53960099293387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37.564485108998049</v>
      </c>
      <c r="O94" s="87">
        <f>IF(TrRoad_act!O10=0,0,O27/TrRoad_act!O10*1000)</f>
        <v>37.956913883732931</v>
      </c>
      <c r="P94" s="87">
        <f>IF(TrRoad_act!P10=0,0,P27/TrRoad_act!P10*1000)</f>
        <v>35.934007750753764</v>
      </c>
      <c r="Q94" s="87">
        <f>IF(TrRoad_act!Q10=0,0,Q27/TrRoad_act!Q10*1000)</f>
        <v>34.219325541663714</v>
      </c>
      <c r="R94" s="87">
        <f>IF(TrRoad_act!R10=0,0,R27/TrRoad_act!R10*1000)</f>
        <v>33.27749109831263</v>
      </c>
      <c r="S94" s="87">
        <f>IF(TrRoad_act!S10=0,0,S27/TrRoad_act!S10*1000)</f>
        <v>34.163603111621093</v>
      </c>
      <c r="T94" s="87">
        <f>IF(TrRoad_act!T10=0,0,T27/TrRoad_act!T10*1000)</f>
        <v>35.586563431628576</v>
      </c>
      <c r="U94" s="87">
        <f>IF(TrRoad_act!U10=0,0,U27/TrRoad_act!U10*1000)</f>
        <v>36.122725184886832</v>
      </c>
      <c r="V94" s="87">
        <f>IF(TrRoad_act!V10=0,0,V27/TrRoad_act!V10*1000)</f>
        <v>36.608873374869404</v>
      </c>
      <c r="W94" s="87">
        <f>IF(TrRoad_act!W10=0,0,W27/TrRoad_act!W10*1000)</f>
        <v>35.459700612955217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16.024445843536462</v>
      </c>
      <c r="P95" s="87">
        <f>IF(TrRoad_act!P11=0,0,P29/TrRoad_act!P11*1000)</f>
        <v>16.520287468781586</v>
      </c>
      <c r="Q95" s="87">
        <f>IF(TrRoad_act!Q11=0,0,Q29/TrRoad_act!Q11*1000)</f>
        <v>16.039512738811201</v>
      </c>
      <c r="R95" s="87">
        <f>IF(TrRoad_act!R11=0,0,R29/TrRoad_act!R11*1000)</f>
        <v>17.8807223903218</v>
      </c>
      <c r="S95" s="87">
        <f>IF(TrRoad_act!S11=0,0,S29/TrRoad_act!S11*1000)</f>
        <v>22.439147485667302</v>
      </c>
      <c r="T95" s="87">
        <f>IF(TrRoad_act!T11=0,0,T29/TrRoad_act!T11*1000)</f>
        <v>24.44613455782472</v>
      </c>
      <c r="U95" s="87">
        <f>IF(TrRoad_act!U11=0,0,U29/TrRoad_act!U11*1000)</f>
        <v>24.212708310528729</v>
      </c>
      <c r="V95" s="87">
        <f>IF(TrRoad_act!V11=0,0,V29/TrRoad_act!V11*1000)</f>
        <v>25.033627723951628</v>
      </c>
      <c r="W95" s="87">
        <f>IF(TrRoad_act!W11=0,0,W29/TrRoad_act!W11*1000)</f>
        <v>23.586826050937493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12.300727075947588</v>
      </c>
      <c r="N96" s="87">
        <f>IF(TrRoad_act!N12=0,0,N32/TrRoad_act!N12*1000)</f>
        <v>11.8775292074695</v>
      </c>
      <c r="O96" s="87">
        <f>IF(TrRoad_act!O12=0,0,O32/TrRoad_act!O12*1000)</f>
        <v>12.068478607767011</v>
      </c>
      <c r="P96" s="87">
        <f>IF(TrRoad_act!P12=0,0,P32/TrRoad_act!P12*1000)</f>
        <v>11.332233026641839</v>
      </c>
      <c r="Q96" s="87">
        <f>IF(TrRoad_act!Q12=0,0,Q32/TrRoad_act!Q12*1000)</f>
        <v>10.432749153108166</v>
      </c>
      <c r="R96" s="87">
        <f>IF(TrRoad_act!R12=0,0,R32/TrRoad_act!R12*1000)</f>
        <v>9.822844679827833</v>
      </c>
      <c r="S96" s="87">
        <f>IF(TrRoad_act!S12=0,0,S32/TrRoad_act!S12*1000)</f>
        <v>9.8336410222866686</v>
      </c>
      <c r="T96" s="87">
        <f>IF(TrRoad_act!T12=0,0,T32/TrRoad_act!T12*1000)</f>
        <v>10.080532789916626</v>
      </c>
      <c r="U96" s="87">
        <f>IF(TrRoad_act!U12=0,0,U32/TrRoad_act!U12*1000)</f>
        <v>11.0933873229461</v>
      </c>
      <c r="V96" s="87">
        <f>IF(TrRoad_act!V12=0,0,V32/TrRoad_act!V12*1000)</f>
        <v>12.077233530532771</v>
      </c>
      <c r="W96" s="87">
        <f>IF(TrRoad_act!W12=0,0,W32/TrRoad_act!W12*1000)</f>
        <v>12.051814568575892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22.671545869936466</v>
      </c>
      <c r="C97" s="116">
        <f>IF(TrRoad_act!C13=0,0,C33/TrRoad_act!C13*1000)</f>
        <v>21.340011340010733</v>
      </c>
      <c r="D97" s="116">
        <f>IF(TrRoad_act!D13=0,0,D33/TrRoad_act!D13*1000)</f>
        <v>20.917134872218003</v>
      </c>
      <c r="E97" s="116">
        <f>IF(TrRoad_act!E13=0,0,E33/TrRoad_act!E13*1000)</f>
        <v>19.646375409165564</v>
      </c>
      <c r="F97" s="116">
        <f>IF(TrRoad_act!F13=0,0,F33/TrRoad_act!F13*1000)</f>
        <v>21.477735866562746</v>
      </c>
      <c r="G97" s="116">
        <f>IF(TrRoad_act!G13=0,0,G33/TrRoad_act!G13*1000)</f>
        <v>21.820968881939383</v>
      </c>
      <c r="H97" s="116">
        <f>IF(TrRoad_act!H13=0,0,H33/TrRoad_act!H13*1000)</f>
        <v>21.473841516301807</v>
      </c>
      <c r="I97" s="116">
        <f>IF(TrRoad_act!I13=0,0,I33/TrRoad_act!I13*1000)</f>
        <v>20.941147600181193</v>
      </c>
      <c r="J97" s="116">
        <f>IF(TrRoad_act!J13=0,0,J33/TrRoad_act!J13*1000)</f>
        <v>21.596978537354548</v>
      </c>
      <c r="K97" s="116">
        <f>IF(TrRoad_act!K13=0,0,K33/TrRoad_act!K13*1000)</f>
        <v>21.552048992089624</v>
      </c>
      <c r="L97" s="116">
        <f>IF(TrRoad_act!L13=0,0,L33/TrRoad_act!L13*1000)</f>
        <v>21.510847421050954</v>
      </c>
      <c r="M97" s="116">
        <f>IF(TrRoad_act!M13=0,0,M33/TrRoad_act!M13*1000)</f>
        <v>21.492694742272626</v>
      </c>
      <c r="N97" s="116">
        <f>IF(TrRoad_act!N13=0,0,N33/TrRoad_act!N13*1000)</f>
        <v>21.434158946036206</v>
      </c>
      <c r="O97" s="116">
        <f>IF(TrRoad_act!O13=0,0,O33/TrRoad_act!O13*1000)</f>
        <v>21.386452023906095</v>
      </c>
      <c r="P97" s="116">
        <f>IF(TrRoad_act!P13=0,0,P33/TrRoad_act!P13*1000)</f>
        <v>21.134965556068384</v>
      </c>
      <c r="Q97" s="116">
        <f>IF(TrRoad_act!Q13=0,0,Q33/TrRoad_act!Q13*1000)</f>
        <v>21.006194762121648</v>
      </c>
      <c r="R97" s="116">
        <f>IF(TrRoad_act!R13=0,0,R33/TrRoad_act!R13*1000)</f>
        <v>20.654988703672206</v>
      </c>
      <c r="S97" s="116">
        <f>IF(TrRoad_act!S13=0,0,S33/TrRoad_act!S13*1000)</f>
        <v>21.052396374539509</v>
      </c>
      <c r="T97" s="116">
        <f>IF(TrRoad_act!T13=0,0,T33/TrRoad_act!T13*1000)</f>
        <v>20.413783126113536</v>
      </c>
      <c r="U97" s="116">
        <f>IF(TrRoad_act!U13=0,0,U33/TrRoad_act!U13*1000)</f>
        <v>20.731707529799539</v>
      </c>
      <c r="V97" s="116">
        <f>IF(TrRoad_act!V13=0,0,V33/TrRoad_act!V13*1000)</f>
        <v>24.331087167488612</v>
      </c>
      <c r="W97" s="116">
        <f>IF(TrRoad_act!W13=0,0,W33/TrRoad_act!W13*1000)</f>
        <v>24.798347636384381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20.408597091210911</v>
      </c>
      <c r="C98" s="101">
        <f>IF(TrRoad_act!C14=0,0,C34/TrRoad_act!C14*1000)</f>
        <v>20.014615977822295</v>
      </c>
      <c r="D98" s="101">
        <f>IF(TrRoad_act!D14=0,0,D34/TrRoad_act!D14*1000)</f>
        <v>19.736149777832843</v>
      </c>
      <c r="E98" s="101">
        <f>IF(TrRoad_act!E14=0,0,E34/TrRoad_act!E14*1000)</f>
        <v>18.669040957736264</v>
      </c>
      <c r="F98" s="101">
        <f>IF(TrRoad_act!F14=0,0,F34/TrRoad_act!F14*1000)</f>
        <v>20.485379134419791</v>
      </c>
      <c r="G98" s="101">
        <f>IF(TrRoad_act!G14=0,0,G34/TrRoad_act!G14*1000)</f>
        <v>20.927659564128188</v>
      </c>
      <c r="H98" s="101">
        <f>IF(TrRoad_act!H14=0,0,H34/TrRoad_act!H14*1000)</f>
        <v>20.659530285269362</v>
      </c>
      <c r="I98" s="101">
        <f>IF(TrRoad_act!I14=0,0,I34/TrRoad_act!I14*1000)</f>
        <v>20.176239322275052</v>
      </c>
      <c r="J98" s="101">
        <f>IF(TrRoad_act!J14=0,0,J34/TrRoad_act!J14*1000)</f>
        <v>20.817262539943361</v>
      </c>
      <c r="K98" s="101">
        <f>IF(TrRoad_act!K14=0,0,K34/TrRoad_act!K14*1000)</f>
        <v>20.757619159934162</v>
      </c>
      <c r="L98" s="101">
        <f>IF(TrRoad_act!L14=0,0,L34/TrRoad_act!L14*1000)</f>
        <v>20.698614764235526</v>
      </c>
      <c r="M98" s="101">
        <f>IF(TrRoad_act!M14=0,0,M34/TrRoad_act!M14*1000)</f>
        <v>20.577922069880024</v>
      </c>
      <c r="N98" s="101">
        <f>IF(TrRoad_act!N14=0,0,N34/TrRoad_act!N14*1000)</f>
        <v>20.498455361333946</v>
      </c>
      <c r="O98" s="101">
        <f>IF(TrRoad_act!O14=0,0,O34/TrRoad_act!O14*1000)</f>
        <v>18.671917662331165</v>
      </c>
      <c r="P98" s="101">
        <f>IF(TrRoad_act!P14=0,0,P34/TrRoad_act!P14*1000)</f>
        <v>18.163332849486928</v>
      </c>
      <c r="Q98" s="101">
        <f>IF(TrRoad_act!Q14=0,0,Q34/TrRoad_act!Q14*1000)</f>
        <v>17.483791622424906</v>
      </c>
      <c r="R98" s="101">
        <f>IF(TrRoad_act!R14=0,0,R34/TrRoad_act!R14*1000)</f>
        <v>17.083575686842732</v>
      </c>
      <c r="S98" s="101">
        <f>IF(TrRoad_act!S14=0,0,S34/TrRoad_act!S14*1000)</f>
        <v>17.233501216297984</v>
      </c>
      <c r="T98" s="101">
        <f>IF(TrRoad_act!T14=0,0,T34/TrRoad_act!T14*1000)</f>
        <v>16.665952098558105</v>
      </c>
      <c r="U98" s="101">
        <f>IF(TrRoad_act!U14=0,0,U34/TrRoad_act!U14*1000)</f>
        <v>16.844115398263767</v>
      </c>
      <c r="V98" s="101">
        <f>IF(TrRoad_act!V14=0,0,V34/TrRoad_act!V14*1000)</f>
        <v>19.393660698942735</v>
      </c>
      <c r="W98" s="101">
        <f>IF(TrRoad_act!W14=0,0,W34/TrRoad_act!W14*1000)</f>
        <v>19.364732568469421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22.684733928123727</v>
      </c>
      <c r="C99" s="101">
        <f>IF(TrRoad_act!C15=0,0,C36/TrRoad_act!C15*1000)</f>
        <v>21.347293295592209</v>
      </c>
      <c r="D99" s="101">
        <f>IF(TrRoad_act!D15=0,0,D36/TrRoad_act!D15*1000)</f>
        <v>20.923146413302984</v>
      </c>
      <c r="E99" s="101">
        <f>IF(TrRoad_act!E15=0,0,E36/TrRoad_act!E15*1000)</f>
        <v>19.650772727914607</v>
      </c>
      <c r="F99" s="101">
        <f>IF(TrRoad_act!F15=0,0,F36/TrRoad_act!F15*1000)</f>
        <v>21.481456672293827</v>
      </c>
      <c r="G99" s="101">
        <f>IF(TrRoad_act!G15=0,0,G36/TrRoad_act!G15*1000)</f>
        <v>21.823997518325239</v>
      </c>
      <c r="H99" s="101">
        <f>IF(TrRoad_act!H15=0,0,H36/TrRoad_act!H15*1000)</f>
        <v>21.476272561279419</v>
      </c>
      <c r="I99" s="101">
        <f>IF(TrRoad_act!I15=0,0,I36/TrRoad_act!I15*1000)</f>
        <v>20.943093176168638</v>
      </c>
      <c r="J99" s="101">
        <f>IF(TrRoad_act!J15=0,0,J36/TrRoad_act!J15*1000)</f>
        <v>21.598538695181631</v>
      </c>
      <c r="K99" s="101">
        <f>IF(TrRoad_act!K15=0,0,K36/TrRoad_act!K15*1000)</f>
        <v>21.553372433401986</v>
      </c>
      <c r="L99" s="101">
        <f>IF(TrRoad_act!L15=0,0,L36/TrRoad_act!L15*1000)</f>
        <v>21.511970099400635</v>
      </c>
      <c r="M99" s="101">
        <f>IF(TrRoad_act!M15=0,0,M36/TrRoad_act!M15*1000)</f>
        <v>21.493684192924523</v>
      </c>
      <c r="N99" s="101">
        <f>IF(TrRoad_act!N15=0,0,N36/TrRoad_act!N15*1000)</f>
        <v>21.463349233893492</v>
      </c>
      <c r="O99" s="101">
        <f>IF(TrRoad_act!O15=0,0,O36/TrRoad_act!O15*1000)</f>
        <v>21.432455553704898</v>
      </c>
      <c r="P99" s="101">
        <f>IF(TrRoad_act!P15=0,0,P36/TrRoad_act!P15*1000)</f>
        <v>21.359077616077826</v>
      </c>
      <c r="Q99" s="101">
        <f>IF(TrRoad_act!Q15=0,0,Q36/TrRoad_act!Q15*1000)</f>
        <v>21.194969608650315</v>
      </c>
      <c r="R99" s="101">
        <f>IF(TrRoad_act!R15=0,0,R36/TrRoad_act!R15*1000)</f>
        <v>20.788562262161069</v>
      </c>
      <c r="S99" s="101">
        <f>IF(TrRoad_act!S15=0,0,S36/TrRoad_act!S15*1000)</f>
        <v>21.069916254205349</v>
      </c>
      <c r="T99" s="101">
        <f>IF(TrRoad_act!T15=0,0,T36/TrRoad_act!T15*1000)</f>
        <v>20.466875232025544</v>
      </c>
      <c r="U99" s="101">
        <f>IF(TrRoad_act!U15=0,0,U36/TrRoad_act!U15*1000)</f>
        <v>20.773232589638063</v>
      </c>
      <c r="V99" s="101">
        <f>IF(TrRoad_act!V15=0,0,V36/TrRoad_act!V15*1000)</f>
        <v>24.171570929313585</v>
      </c>
      <c r="W99" s="101">
        <f>IF(TrRoad_act!W15=0,0,W36/TrRoad_act!W15*1000)</f>
        <v>24.233234154715522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18.925527679711418</v>
      </c>
      <c r="O101" s="101">
        <f>IF(TrRoad_act!O17=0,0,O39/TrRoad_act!O17*1000)</f>
        <v>18.016798663834656</v>
      </c>
      <c r="P101" s="101">
        <f>IF(TrRoad_act!P17=0,0,P39/TrRoad_act!P17*1000)</f>
        <v>12.258642449663787</v>
      </c>
      <c r="Q101" s="101">
        <f>IF(TrRoad_act!Q17=0,0,Q39/TrRoad_act!Q17*1000)</f>
        <v>15.772473021569599</v>
      </c>
      <c r="R101" s="101">
        <f>IF(TrRoad_act!R17=0,0,R39/TrRoad_act!R17*1000)</f>
        <v>17.758795387229565</v>
      </c>
      <c r="S101" s="101">
        <f>IF(TrRoad_act!S17=0,0,S39/TrRoad_act!S17*1000)</f>
        <v>20.849705380990567</v>
      </c>
      <c r="T101" s="101">
        <f>IF(TrRoad_act!T17=0,0,T39/TrRoad_act!T17*1000)</f>
        <v>19.459478918083086</v>
      </c>
      <c r="U101" s="101">
        <f>IF(TrRoad_act!U17=0,0,U39/TrRoad_act!U17*1000)</f>
        <v>20.304935611150583</v>
      </c>
      <c r="V101" s="101">
        <f>IF(TrRoad_act!V17=0,0,V39/TrRoad_act!V17*1000)</f>
        <v>27.339147821714381</v>
      </c>
      <c r="W101" s="101">
        <f>IF(TrRoad_act!W17=0,0,W39/TrRoad_act!W17*1000)</f>
        <v>35.753486646768131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14.487798317345433</v>
      </c>
      <c r="Q102" s="101">
        <f>IF(TrRoad_act!Q18=0,0,Q41/TrRoad_act!Q18*1000)</f>
        <v>14.324277712476844</v>
      </c>
      <c r="R102" s="101">
        <f>IF(TrRoad_act!R18=0,0,R41/TrRoad_act!R18*1000)</f>
        <v>14.010126220233611</v>
      </c>
      <c r="S102" s="101">
        <f>IF(TrRoad_act!S18=0,0,S41/TrRoad_act!S18*1000)</f>
        <v>14.138160346439181</v>
      </c>
      <c r="T102" s="101">
        <f>IF(TrRoad_act!T18=0,0,T41/TrRoad_act!T18*1000)</f>
        <v>13.638190848389518</v>
      </c>
      <c r="U102" s="101">
        <f>IF(TrRoad_act!U18=0,0,U41/TrRoad_act!U18*1000)</f>
        <v>13.693298487261828</v>
      </c>
      <c r="V102" s="101">
        <f>IF(TrRoad_act!V18=0,0,V41/TrRoad_act!V18*1000)</f>
        <v>15.713701582807989</v>
      </c>
      <c r="W102" s="101">
        <f>IF(TrRoad_act!W18=0,0,W41/TrRoad_act!W18*1000)</f>
        <v>15.692185829012395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20.297330904465692</v>
      </c>
      <c r="C103" s="29">
        <f>IF(TrRoad_act!C19=0,0,C42/TrRoad_act!C19*1000)</f>
        <v>28.878323828568341</v>
      </c>
      <c r="D103" s="29">
        <f>IF(TrRoad_act!D19=0,0,D42/TrRoad_act!D19*1000)</f>
        <v>30.225563354888205</v>
      </c>
      <c r="E103" s="29">
        <f>IF(TrRoad_act!E19=0,0,E42/TrRoad_act!E19*1000)</f>
        <v>35.28297926521055</v>
      </c>
      <c r="F103" s="29">
        <f>IF(TrRoad_act!F19=0,0,F42/TrRoad_act!F19*1000)</f>
        <v>43.176263694956575</v>
      </c>
      <c r="G103" s="29">
        <f>IF(TrRoad_act!G19=0,0,G42/TrRoad_act!G19*1000)</f>
        <v>49.358259664027557</v>
      </c>
      <c r="H103" s="29">
        <f>IF(TrRoad_act!H19=0,0,H42/TrRoad_act!H19*1000)</f>
        <v>50.006815381494391</v>
      </c>
      <c r="I103" s="29">
        <f>IF(TrRoad_act!I19=0,0,I42/TrRoad_act!I19*1000)</f>
        <v>67.199449783071586</v>
      </c>
      <c r="J103" s="29">
        <f>IF(TrRoad_act!J19=0,0,J42/TrRoad_act!J19*1000)</f>
        <v>93.938824614419872</v>
      </c>
      <c r="K103" s="29">
        <f>IF(TrRoad_act!K19=0,0,K42/TrRoad_act!K19*1000)</f>
        <v>69.31653073885316</v>
      </c>
      <c r="L103" s="29">
        <f>IF(TrRoad_act!L19=0,0,L42/TrRoad_act!L19*1000)</f>
        <v>74.507182780136489</v>
      </c>
      <c r="M103" s="29">
        <f>IF(TrRoad_act!M19=0,0,M42/TrRoad_act!M19*1000)</f>
        <v>87.316666986173018</v>
      </c>
      <c r="N103" s="29">
        <f>IF(TrRoad_act!N19=0,0,N42/TrRoad_act!N19*1000)</f>
        <v>96.617520998651358</v>
      </c>
      <c r="O103" s="29">
        <f>IF(TrRoad_act!O19=0,0,O42/TrRoad_act!O19*1000)</f>
        <v>88.18791336243531</v>
      </c>
      <c r="P103" s="29">
        <f>IF(TrRoad_act!P19=0,0,P42/TrRoad_act!P19*1000)</f>
        <v>84.407476172772306</v>
      </c>
      <c r="Q103" s="29">
        <f>IF(TrRoad_act!Q19=0,0,Q42/TrRoad_act!Q19*1000)</f>
        <v>76.020139360909866</v>
      </c>
      <c r="R103" s="29">
        <f>IF(TrRoad_act!R19=0,0,R42/TrRoad_act!R19*1000)</f>
        <v>81.421394300825341</v>
      </c>
      <c r="S103" s="29">
        <f>IF(TrRoad_act!S19=0,0,S42/TrRoad_act!S19*1000)</f>
        <v>75.619743346111193</v>
      </c>
      <c r="T103" s="29">
        <f>IF(TrRoad_act!T19=0,0,T42/TrRoad_act!T19*1000)</f>
        <v>75.325680495124459</v>
      </c>
      <c r="U103" s="29">
        <f>IF(TrRoad_act!U19=0,0,U42/TrRoad_act!U19*1000)</f>
        <v>69.522679404268047</v>
      </c>
      <c r="V103" s="29">
        <f>IF(TrRoad_act!V19=0,0,V42/TrRoad_act!V19*1000)</f>
        <v>58.447125025576547</v>
      </c>
      <c r="W103" s="29">
        <f>IF(TrRoad_act!W19=0,0,W42/TrRoad_act!W19*1000)</f>
        <v>67.106173741501806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673.45219723065043</v>
      </c>
      <c r="C104" s="152">
        <f>IF(TrRoad_act!C20=0,0,C43/TrRoad_act!C20*1000)</f>
        <v>660.2929916077378</v>
      </c>
      <c r="D104" s="152">
        <f>IF(TrRoad_act!D20=0,0,D43/TrRoad_act!D20*1000)</f>
        <v>653.39816076749742</v>
      </c>
      <c r="E104" s="152">
        <f>IF(TrRoad_act!E20=0,0,E43/TrRoad_act!E20*1000)</f>
        <v>647.41953592238076</v>
      </c>
      <c r="F104" s="152">
        <f>IF(TrRoad_act!F20=0,0,F43/TrRoad_act!F20*1000)</f>
        <v>646.06114338131067</v>
      </c>
      <c r="G104" s="152">
        <f>IF(TrRoad_act!G20=0,0,G43/TrRoad_act!G20*1000)</f>
        <v>642.60543284916378</v>
      </c>
      <c r="H104" s="152">
        <f>IF(TrRoad_act!H20=0,0,H43/TrRoad_act!H20*1000)</f>
        <v>641.55661785296422</v>
      </c>
      <c r="I104" s="152">
        <f>IF(TrRoad_act!I20=0,0,I43/TrRoad_act!I20*1000)</f>
        <v>640.04988436257293</v>
      </c>
      <c r="J104" s="152">
        <f>IF(TrRoad_act!J20=0,0,J43/TrRoad_act!J20*1000)</f>
        <v>634.97103886232389</v>
      </c>
      <c r="K104" s="152">
        <f>IF(TrRoad_act!K20=0,0,K43/TrRoad_act!K20*1000)</f>
        <v>630.51034455018487</v>
      </c>
      <c r="L104" s="152">
        <f>IF(TrRoad_act!L20=0,0,L43/TrRoad_act!L20*1000)</f>
        <v>627.48944493166368</v>
      </c>
      <c r="M104" s="152">
        <f>IF(TrRoad_act!M20=0,0,M43/TrRoad_act!M20*1000)</f>
        <v>629.47904276603833</v>
      </c>
      <c r="N104" s="152">
        <f>IF(TrRoad_act!N20=0,0,N43/TrRoad_act!N20*1000)</f>
        <v>621.34936079286433</v>
      </c>
      <c r="O104" s="152">
        <f>IF(TrRoad_act!O20=0,0,O43/TrRoad_act!O20*1000)</f>
        <v>614.32755091036142</v>
      </c>
      <c r="P104" s="152">
        <f>IF(TrRoad_act!P20=0,0,P43/TrRoad_act!P20*1000)</f>
        <v>610.7265333644184</v>
      </c>
      <c r="Q104" s="152">
        <f>IF(TrRoad_act!Q20=0,0,Q43/TrRoad_act!Q20*1000)</f>
        <v>602.56861686570369</v>
      </c>
      <c r="R104" s="152">
        <f>IF(TrRoad_act!R20=0,0,R43/TrRoad_act!R20*1000)</f>
        <v>590.38964362070976</v>
      </c>
      <c r="S104" s="152">
        <f>IF(TrRoad_act!S20=0,0,S43/TrRoad_act!S20*1000)</f>
        <v>575.45395861757549</v>
      </c>
      <c r="T104" s="152">
        <f>IF(TrRoad_act!T20=0,0,T43/TrRoad_act!T20*1000)</f>
        <v>565.09655586869019</v>
      </c>
      <c r="U104" s="152">
        <f>IF(TrRoad_act!U20=0,0,U43/TrRoad_act!U20*1000)</f>
        <v>557.36382382258626</v>
      </c>
      <c r="V104" s="152">
        <f>IF(TrRoad_act!V20=0,0,V43/TrRoad_act!V20*1000)</f>
        <v>554.05529301718332</v>
      </c>
      <c r="W104" s="152">
        <f>IF(TrRoad_act!W20=0,0,W43/TrRoad_act!W20*1000)</f>
        <v>547.87731568054551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636.72550141429531</v>
      </c>
      <c r="C105" s="87">
        <f>IF(TrRoad_act!C21=0,0,C44/TrRoad_act!C21*1000)</f>
        <v>625.61091755479845</v>
      </c>
      <c r="D105" s="87">
        <f>IF(TrRoad_act!D21=0,0,D44/TrRoad_act!D21*1000)</f>
        <v>621.17863486665237</v>
      </c>
      <c r="E105" s="87">
        <f>IF(TrRoad_act!E21=0,0,E44/TrRoad_act!E21*1000)</f>
        <v>617.24964705751927</v>
      </c>
      <c r="F105" s="87">
        <f>IF(TrRoad_act!F21=0,0,F44/TrRoad_act!F21*1000)</f>
        <v>620.59217494104973</v>
      </c>
      <c r="G105" s="87">
        <f>IF(TrRoad_act!G21=0,0,G44/TrRoad_act!G21*1000)</f>
        <v>617.90376655264367</v>
      </c>
      <c r="H105" s="87">
        <f>IF(TrRoad_act!H21=0,0,H44/TrRoad_act!H21*1000)</f>
        <v>612.52531958208442</v>
      </c>
      <c r="I105" s="87">
        <f>IF(TrRoad_act!I21=0,0,I44/TrRoad_act!I21*1000)</f>
        <v>608.56552529532246</v>
      </c>
      <c r="J105" s="87">
        <f>IF(TrRoad_act!J21=0,0,J44/TrRoad_act!J21*1000)</f>
        <v>598.69652412101323</v>
      </c>
      <c r="K105" s="87">
        <f>IF(TrRoad_act!K21=0,0,K44/TrRoad_act!K21*1000)</f>
        <v>595.02741547024721</v>
      </c>
      <c r="L105" s="87">
        <f>IF(TrRoad_act!L21=0,0,L44/TrRoad_act!L21*1000)</f>
        <v>588.16386875312719</v>
      </c>
      <c r="M105" s="87">
        <f>IF(TrRoad_act!M21=0,0,M44/TrRoad_act!M21*1000)</f>
        <v>585.066104693483</v>
      </c>
      <c r="N105" s="87">
        <f>IF(TrRoad_act!N21=0,0,N44/TrRoad_act!N21*1000)</f>
        <v>582.95860203497</v>
      </c>
      <c r="O105" s="87">
        <f>IF(TrRoad_act!O21=0,0,O44/TrRoad_act!O21*1000)</f>
        <v>582.50808938617479</v>
      </c>
      <c r="P105" s="87">
        <f>IF(TrRoad_act!P21=0,0,P44/TrRoad_act!P21*1000)</f>
        <v>580.91969258895188</v>
      </c>
      <c r="Q105" s="87">
        <f>IF(TrRoad_act!Q21=0,0,Q44/TrRoad_act!Q21*1000)</f>
        <v>575.48728340226421</v>
      </c>
      <c r="R105" s="87">
        <f>IF(TrRoad_act!R21=0,0,R44/TrRoad_act!R21*1000)</f>
        <v>564.61904437267879</v>
      </c>
      <c r="S105" s="87">
        <f>IF(TrRoad_act!S21=0,0,S44/TrRoad_act!S21*1000)</f>
        <v>552.02495380845517</v>
      </c>
      <c r="T105" s="87">
        <f>IF(TrRoad_act!T21=0,0,T44/TrRoad_act!T21*1000)</f>
        <v>536.34356874797993</v>
      </c>
      <c r="U105" s="87">
        <f>IF(TrRoad_act!U21=0,0,U44/TrRoad_act!U21*1000)</f>
        <v>529.81359137600055</v>
      </c>
      <c r="V105" s="87">
        <f>IF(TrRoad_act!V21=0,0,V44/TrRoad_act!V21*1000)</f>
        <v>524.83326179018002</v>
      </c>
      <c r="W105" s="87">
        <f>IF(TrRoad_act!W21=0,0,W44/TrRoad_act!W21*1000)</f>
        <v>523.30576034859655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681.3001108538574</v>
      </c>
      <c r="C106" s="87">
        <f>IF(TrRoad_act!C22=0,0,C46/TrRoad_act!C22*1000)</f>
        <v>667.60376684999517</v>
      </c>
      <c r="D106" s="87">
        <f>IF(TrRoad_act!D22=0,0,D46/TrRoad_act!D22*1000)</f>
        <v>659.82504941297316</v>
      </c>
      <c r="E106" s="87">
        <f>IF(TrRoad_act!E22=0,0,E46/TrRoad_act!E22*1000)</f>
        <v>652.86301853511907</v>
      </c>
      <c r="F106" s="87">
        <f>IF(TrRoad_act!F22=0,0,F46/TrRoad_act!F22*1000)</f>
        <v>650.18943509623955</v>
      </c>
      <c r="G106" s="87">
        <f>IF(TrRoad_act!G22=0,0,G46/TrRoad_act!G22*1000)</f>
        <v>646.08054230914399</v>
      </c>
      <c r="H106" s="87">
        <f>IF(TrRoad_act!H22=0,0,H46/TrRoad_act!H22*1000)</f>
        <v>642.83751012046469</v>
      </c>
      <c r="I106" s="87">
        <f>IF(TrRoad_act!I22=0,0,I46/TrRoad_act!I22*1000)</f>
        <v>641.27206138243002</v>
      </c>
      <c r="J106" s="87">
        <f>IF(TrRoad_act!J22=0,0,J46/TrRoad_act!J22*1000)</f>
        <v>635.80395804251839</v>
      </c>
      <c r="K106" s="87">
        <f>IF(TrRoad_act!K22=0,0,K46/TrRoad_act!K22*1000)</f>
        <v>632.41837000756686</v>
      </c>
      <c r="L106" s="87">
        <f>IF(TrRoad_act!L22=0,0,L46/TrRoad_act!L22*1000)</f>
        <v>629.95729379836246</v>
      </c>
      <c r="M106" s="87">
        <f>IF(TrRoad_act!M22=0,0,M46/TrRoad_act!M22*1000)</f>
        <v>632.04154653615535</v>
      </c>
      <c r="N106" s="87">
        <f>IF(TrRoad_act!N22=0,0,N46/TrRoad_act!N22*1000)</f>
        <v>623.32109619659434</v>
      </c>
      <c r="O106" s="87">
        <f>IF(TrRoad_act!O22=0,0,O46/TrRoad_act!O22*1000)</f>
        <v>615.77598057474324</v>
      </c>
      <c r="P106" s="87">
        <f>IF(TrRoad_act!P22=0,0,P46/TrRoad_act!P22*1000)</f>
        <v>610.73843905144929</v>
      </c>
      <c r="Q106" s="87">
        <f>IF(TrRoad_act!Q22=0,0,Q46/TrRoad_act!Q22*1000)</f>
        <v>602.08757595848772</v>
      </c>
      <c r="R106" s="87">
        <f>IF(TrRoad_act!R22=0,0,R46/TrRoad_act!R22*1000)</f>
        <v>590.04894389917024</v>
      </c>
      <c r="S106" s="87">
        <f>IF(TrRoad_act!S22=0,0,S46/TrRoad_act!S22*1000)</f>
        <v>575.72286702214512</v>
      </c>
      <c r="T106" s="87">
        <f>IF(TrRoad_act!T22=0,0,T46/TrRoad_act!T22*1000)</f>
        <v>565.76428631700276</v>
      </c>
      <c r="U106" s="87">
        <f>IF(TrRoad_act!U22=0,0,U46/TrRoad_act!U22*1000)</f>
        <v>558.29236760004073</v>
      </c>
      <c r="V106" s="87">
        <f>IF(TrRoad_act!V22=0,0,V46/TrRoad_act!V22*1000)</f>
        <v>555.15366316359552</v>
      </c>
      <c r="W106" s="87">
        <f>IF(TrRoad_act!W22=0,0,W46/TrRoad_act!W22*1000)</f>
        <v>548.22513100426579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986.10247219562575</v>
      </c>
      <c r="I107" s="87">
        <f>IF(TrRoad_act!I23=0,0,I48/TrRoad_act!I23*1000)</f>
        <v>993.59175097708385</v>
      </c>
      <c r="J107" s="87">
        <f>IF(TrRoad_act!J23=0,0,J48/TrRoad_act!J23*1000)</f>
        <v>962.74438078767707</v>
      </c>
      <c r="K107" s="87">
        <f>IF(TrRoad_act!K23=0,0,K48/TrRoad_act!K23*1000)</f>
        <v>967.13093247083395</v>
      </c>
      <c r="L107" s="87">
        <f>IF(TrRoad_act!L23=0,0,L48/TrRoad_act!L23*1000)</f>
        <v>1043.8418161342709</v>
      </c>
      <c r="M107" s="87">
        <f>IF(TrRoad_act!M23=0,0,M48/TrRoad_act!M23*1000)</f>
        <v>1113.050442474226</v>
      </c>
      <c r="N107" s="87">
        <f>IF(TrRoad_act!N23=0,0,N48/TrRoad_act!N23*1000)</f>
        <v>1144.3550372621858</v>
      </c>
      <c r="O107" s="87">
        <f>IF(TrRoad_act!O23=0,0,O48/TrRoad_act!O23*1000)</f>
        <v>1082.5397148172649</v>
      </c>
      <c r="P107" s="87">
        <f>IF(TrRoad_act!P23=0,0,P48/TrRoad_act!P23*1000)</f>
        <v>1014.4386291361558</v>
      </c>
      <c r="Q107" s="87">
        <f>IF(TrRoad_act!Q23=0,0,Q48/TrRoad_act!Q23*1000)</f>
        <v>1062.1807531885959</v>
      </c>
      <c r="R107" s="87">
        <f>IF(TrRoad_act!R23=0,0,R48/TrRoad_act!R23*1000)</f>
        <v>1051.9853501723151</v>
      </c>
      <c r="S107" s="87">
        <f>IF(TrRoad_act!S23=0,0,S48/TrRoad_act!S23*1000)</f>
        <v>926.27356824255253</v>
      </c>
      <c r="T107" s="87">
        <f>IF(TrRoad_act!T23=0,0,T48/TrRoad_act!T23*1000)</f>
        <v>869.31679730036478</v>
      </c>
      <c r="U107" s="87">
        <f>IF(TrRoad_act!U23=0,0,U48/TrRoad_act!U23*1000)</f>
        <v>767.15734663281376</v>
      </c>
      <c r="V107" s="87">
        <f>IF(TrRoad_act!V23=0,0,V48/TrRoad_act!V23*1000)</f>
        <v>728.54547679970403</v>
      </c>
      <c r="W107" s="87">
        <f>IF(TrRoad_act!W23=0,0,W48/TrRoad_act!W23*1000)</f>
        <v>948.11838846329033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701.55310970179971</v>
      </c>
      <c r="Q108" s="87">
        <f>IF(TrRoad_act!Q24=0,0,Q49/TrRoad_act!Q24*1000)</f>
        <v>742.62172200414716</v>
      </c>
      <c r="R108" s="87">
        <f>IF(TrRoad_act!R24=0,0,R49/TrRoad_act!R24*1000)</f>
        <v>724.70344151241216</v>
      </c>
      <c r="S108" s="87">
        <f>IF(TrRoad_act!S24=0,0,S49/TrRoad_act!S24*1000)</f>
        <v>654.37885744578534</v>
      </c>
      <c r="T108" s="87">
        <f>IF(TrRoad_act!T24=0,0,T49/TrRoad_act!T24*1000)</f>
        <v>633.16303385309322</v>
      </c>
      <c r="U108" s="87">
        <f>IF(TrRoad_act!U24=0,0,U49/TrRoad_act!U24*1000)</f>
        <v>614.65307467992852</v>
      </c>
      <c r="V108" s="87">
        <f>IF(TrRoad_act!V24=0,0,V49/TrRoad_act!V24*1000)</f>
        <v>625.44590304855308</v>
      </c>
      <c r="W108" s="87">
        <f>IF(TrRoad_act!W24=0,0,W49/TrRoad_act!W24*1000)</f>
        <v>638.26427758251305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89.664864406572207</v>
      </c>
      <c r="Q109" s="87">
        <f>IF(TrRoad_act!Q25=0,0,Q51/TrRoad_act!Q25*1000)</f>
        <v>93.695680930149862</v>
      </c>
      <c r="R109" s="87">
        <f>IF(TrRoad_act!R25=0,0,R51/TrRoad_act!R25*1000)</f>
        <v>95.759713964345934</v>
      </c>
      <c r="S109" s="87">
        <f>IF(TrRoad_act!S25=0,0,S51/TrRoad_act!S25*1000)</f>
        <v>97.331447424123525</v>
      </c>
      <c r="T109" s="87">
        <f>IF(TrRoad_act!T25=0,0,T51/TrRoad_act!T25*1000)</f>
        <v>98.553930169555812</v>
      </c>
      <c r="U109" s="87">
        <f>IF(TrRoad_act!U25=0,0,U51/TrRoad_act!U25*1000)</f>
        <v>99.636674048964508</v>
      </c>
      <c r="V109" s="87">
        <f>IF(TrRoad_act!V25=0,0,V51/TrRoad_act!V25*1000)</f>
        <v>101.91167265476501</v>
      </c>
      <c r="W109" s="87">
        <f>IF(TrRoad_act!W25=0,0,W51/TrRoad_act!W25*1000)</f>
        <v>109.96340593999915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13.0353351246057</v>
      </c>
      <c r="C110" s="116">
        <f>IF(TrRoad_act!C26=0,0,C52/TrRoad_act!C26*1000)</f>
        <v>21.750714961763659</v>
      </c>
      <c r="D110" s="116">
        <f>IF(TrRoad_act!D26=0,0,D52/TrRoad_act!D26*1000)</f>
        <v>22.88511577215397</v>
      </c>
      <c r="E110" s="116">
        <f>IF(TrRoad_act!E26=0,0,E52/TrRoad_act!E26*1000)</f>
        <v>27.564788841303887</v>
      </c>
      <c r="F110" s="116">
        <f>IF(TrRoad_act!F26=0,0,F52/TrRoad_act!F26*1000)</f>
        <v>35.723260715590548</v>
      </c>
      <c r="G110" s="116">
        <f>IF(TrRoad_act!G26=0,0,G52/TrRoad_act!G26*1000)</f>
        <v>41.545775830993911</v>
      </c>
      <c r="H110" s="116">
        <f>IF(TrRoad_act!H26=0,0,H52/TrRoad_act!H26*1000)</f>
        <v>42.249050888077257</v>
      </c>
      <c r="I110" s="116">
        <f>IF(TrRoad_act!I26=0,0,I52/TrRoad_act!I26*1000)</f>
        <v>58.968318301691781</v>
      </c>
      <c r="J110" s="116">
        <f>IF(TrRoad_act!J26=0,0,J52/TrRoad_act!J26*1000)</f>
        <v>85.217969712675767</v>
      </c>
      <c r="K110" s="116">
        <f>IF(TrRoad_act!K26=0,0,K52/TrRoad_act!K26*1000)</f>
        <v>58.356699511763203</v>
      </c>
      <c r="L110" s="116">
        <f>IF(TrRoad_act!L26=0,0,L52/TrRoad_act!L26*1000)</f>
        <v>63.468351667461953</v>
      </c>
      <c r="M110" s="116">
        <f>IF(TrRoad_act!M26=0,0,M52/TrRoad_act!M26*1000)</f>
        <v>75.956088312516698</v>
      </c>
      <c r="N110" s="116">
        <f>IF(TrRoad_act!N26=0,0,N52/TrRoad_act!N26*1000)</f>
        <v>85.06683311695312</v>
      </c>
      <c r="O110" s="116">
        <f>IF(TrRoad_act!O26=0,0,O52/TrRoad_act!O26*1000)</f>
        <v>76.216153760484389</v>
      </c>
      <c r="P110" s="116">
        <f>IF(TrRoad_act!P26=0,0,P52/TrRoad_act!P26*1000)</f>
        <v>72.084146427713137</v>
      </c>
      <c r="Q110" s="116">
        <f>IF(TrRoad_act!Q26=0,0,Q52/TrRoad_act!Q26*1000)</f>
        <v>63.618494314003627</v>
      </c>
      <c r="R110" s="116">
        <f>IF(TrRoad_act!R26=0,0,R52/TrRoad_act!R26*1000)</f>
        <v>69.678599790867807</v>
      </c>
      <c r="S110" s="116">
        <f>IF(TrRoad_act!S26=0,0,S52/TrRoad_act!S26*1000)</f>
        <v>64.253223036917319</v>
      </c>
      <c r="T110" s="116">
        <f>IF(TrRoad_act!T26=0,0,T52/TrRoad_act!T26*1000)</f>
        <v>63.465842899173687</v>
      </c>
      <c r="U110" s="116">
        <f>IF(TrRoad_act!U26=0,0,U52/TrRoad_act!U26*1000)</f>
        <v>57.073834866641995</v>
      </c>
      <c r="V110" s="116">
        <f>IF(TrRoad_act!V26=0,0,V52/TrRoad_act!V26*1000)</f>
        <v>44.35095115769689</v>
      </c>
      <c r="W110" s="116">
        <f>IF(TrRoad_act!W26=0,0,W52/TrRoad_act!W26*1000)</f>
        <v>54.499515125958823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35.594485541904156</v>
      </c>
      <c r="C111" s="101">
        <f>IF(TrRoad_act!C27=0,0,C53/TrRoad_act!C27*1000)</f>
        <v>37.16960126988522</v>
      </c>
      <c r="D111" s="101">
        <f>IF(TrRoad_act!D27=0,0,D53/TrRoad_act!D27*1000)</f>
        <v>43.093367439138362</v>
      </c>
      <c r="E111" s="101">
        <f>IF(TrRoad_act!E27=0,0,E53/TrRoad_act!E27*1000)</f>
        <v>45.955891012623361</v>
      </c>
      <c r="F111" s="101">
        <f>IF(TrRoad_act!F27=0,0,F53/TrRoad_act!F27*1000)</f>
        <v>54.303819240635029</v>
      </c>
      <c r="G111" s="101">
        <f>IF(TrRoad_act!G27=0,0,G53/TrRoad_act!G27*1000)</f>
        <v>55.212523891558178</v>
      </c>
      <c r="H111" s="101">
        <f>IF(TrRoad_act!H27=0,0,H53/TrRoad_act!H27*1000)</f>
        <v>53.710943435213082</v>
      </c>
      <c r="I111" s="101">
        <f>IF(TrRoad_act!I27=0,0,I53/TrRoad_act!I27*1000)</f>
        <v>54.969556210882253</v>
      </c>
      <c r="J111" s="101">
        <f>IF(TrRoad_act!J27=0,0,J53/TrRoad_act!J27*1000)</f>
        <v>59.499291707824788</v>
      </c>
      <c r="K111" s="101">
        <f>IF(TrRoad_act!K27=0,0,K53/TrRoad_act!K27*1000)</f>
        <v>53.562404657344651</v>
      </c>
      <c r="L111" s="101">
        <f>IF(TrRoad_act!L27=0,0,L53/TrRoad_act!L27*1000)</f>
        <v>55.485421565022669</v>
      </c>
      <c r="M111" s="101">
        <f>IF(TrRoad_act!M27=0,0,M53/TrRoad_act!M27*1000)</f>
        <v>57.380455502973085</v>
      </c>
      <c r="N111" s="101">
        <f>IF(TrRoad_act!N27=0,0,N53/TrRoad_act!N27*1000)</f>
        <v>62.835504951377921</v>
      </c>
      <c r="O111" s="101">
        <f>IF(TrRoad_act!O27=0,0,O53/TrRoad_act!O27*1000)</f>
        <v>56.568646303594079</v>
      </c>
      <c r="P111" s="101">
        <f>IF(TrRoad_act!P27=0,0,P53/TrRoad_act!P27*1000)</f>
        <v>54.990441897813078</v>
      </c>
      <c r="Q111" s="101">
        <f>IF(TrRoad_act!Q27=0,0,Q53/TrRoad_act!Q27*1000)</f>
        <v>51.322762924326931</v>
      </c>
      <c r="R111" s="101">
        <f>IF(TrRoad_act!R27=0,0,R53/TrRoad_act!R27*1000)</f>
        <v>51.651609656684563</v>
      </c>
      <c r="S111" s="101">
        <f>IF(TrRoad_act!S27=0,0,S53/TrRoad_act!S27*1000)</f>
        <v>50.126090967968807</v>
      </c>
      <c r="T111" s="101">
        <f>IF(TrRoad_act!T27=0,0,T53/TrRoad_act!T27*1000)</f>
        <v>48.910429198973567</v>
      </c>
      <c r="U111" s="101">
        <f>IF(TrRoad_act!U27=0,0,U53/TrRoad_act!U27*1000)</f>
        <v>47.954674961276822</v>
      </c>
      <c r="V111" s="101">
        <f>IF(TrRoad_act!V27=0,0,V53/TrRoad_act!V27*1000)</f>
        <v>44.039182727488004</v>
      </c>
      <c r="W111" s="101">
        <f>IF(TrRoad_act!W27=0,0,W53/TrRoad_act!W27*1000)</f>
        <v>46.65374599080301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1.0268352139355288</v>
      </c>
      <c r="C112" s="88">
        <f>IF(TrRoad_act!C28=0,0,C55/TrRoad_act!C28*1000)</f>
        <v>13.979778027438645</v>
      </c>
      <c r="D112" s="88">
        <f>IF(TrRoad_act!D28=0,0,D55/TrRoad_act!D28*1000)</f>
        <v>13.177642172950678</v>
      </c>
      <c r="E112" s="88">
        <f>IF(TrRoad_act!E28=0,0,E55/TrRoad_act!E28*1000)</f>
        <v>18.646689617003865</v>
      </c>
      <c r="F112" s="88">
        <f>IF(TrRoad_act!F28=0,0,F55/TrRoad_act!F28*1000)</f>
        <v>26.902662254378725</v>
      </c>
      <c r="G112" s="88">
        <f>IF(TrRoad_act!G28=0,0,G55/TrRoad_act!G28*1000)</f>
        <v>35.02229115074158</v>
      </c>
      <c r="H112" s="88">
        <f>IF(TrRoad_act!H28=0,0,H55/TrRoad_act!H28*1000)</f>
        <v>37.717105763788794</v>
      </c>
      <c r="I112" s="88">
        <f>IF(TrRoad_act!I28=0,0,I55/TrRoad_act!I28*1000)</f>
        <v>60.716960498806017</v>
      </c>
      <c r="J112" s="88">
        <f>IF(TrRoad_act!J28=0,0,J55/TrRoad_act!J28*1000)</f>
        <v>96.907834549461569</v>
      </c>
      <c r="K112" s="88">
        <f>IF(TrRoad_act!K28=0,0,K55/TrRoad_act!K28*1000)</f>
        <v>60.523151397094608</v>
      </c>
      <c r="L112" s="88">
        <f>IF(TrRoad_act!L28=0,0,L55/TrRoad_act!L28*1000)</f>
        <v>67.09701885633001</v>
      </c>
      <c r="M112" s="88">
        <f>IF(TrRoad_act!M28=0,0,M55/TrRoad_act!M28*1000)</f>
        <v>83.861678931217455</v>
      </c>
      <c r="N112" s="88">
        <f>IF(TrRoad_act!N28=0,0,N55/TrRoad_act!N28*1000)</f>
        <v>92.885672526380787</v>
      </c>
      <c r="O112" s="88">
        <f>IF(TrRoad_act!O28=0,0,O55/TrRoad_act!O28*1000)</f>
        <v>83.304988622955733</v>
      </c>
      <c r="P112" s="88">
        <f>IF(TrRoad_act!P28=0,0,P55/TrRoad_act!P28*1000)</f>
        <v>78.789934636588896</v>
      </c>
      <c r="Q112" s="88">
        <f>IF(TrRoad_act!Q28=0,0,Q55/TrRoad_act!Q28*1000)</f>
        <v>68.092847434234642</v>
      </c>
      <c r="R112" s="88">
        <f>IF(TrRoad_act!R28=0,0,R55/TrRoad_act!R28*1000)</f>
        <v>75.730058031512158</v>
      </c>
      <c r="S112" s="88">
        <f>IF(TrRoad_act!S28=0,0,S55/TrRoad_act!S28*1000)</f>
        <v>68.898593696417834</v>
      </c>
      <c r="T112" s="88">
        <f>IF(TrRoad_act!T28=0,0,T55/TrRoad_act!T28*1000)</f>
        <v>68.024006878581176</v>
      </c>
      <c r="U112" s="88">
        <f>IF(TrRoad_act!U28=0,0,U55/TrRoad_act!U28*1000)</f>
        <v>59.958837300689474</v>
      </c>
      <c r="V112" s="88">
        <f>IF(TrRoad_act!V28=0,0,V55/TrRoad_act!V28*1000)</f>
        <v>44.457002769348385</v>
      </c>
      <c r="W112" s="88">
        <f>IF(TrRoad_act!W28=0,0,W55/TrRoad_act!W28*1000)</f>
        <v>57.142661851283393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84.334599025309487</v>
      </c>
      <c r="C116" s="152">
        <f>IF(C19=0,0,1000000*C19/TrRoad_act!C59)</f>
        <v>77.135594228116474</v>
      </c>
      <c r="D116" s="152">
        <f>IF(D19=0,0,1000000*D19/TrRoad_act!D59)</f>
        <v>75.035242643098016</v>
      </c>
      <c r="E116" s="152">
        <f>IF(E19=0,0,1000000*E19/TrRoad_act!E59)</f>
        <v>87.33848302025649</v>
      </c>
      <c r="F116" s="152">
        <f>IF(F19=0,0,1000000*F19/TrRoad_act!F59)</f>
        <v>94.559740534253265</v>
      </c>
      <c r="G116" s="152">
        <f>IF(G19=0,0,1000000*G19/TrRoad_act!G59)</f>
        <v>100.01874811038356</v>
      </c>
      <c r="H116" s="152">
        <f>IF(H19=0,0,1000000*H19/TrRoad_act!H59)</f>
        <v>102.2926224691881</v>
      </c>
      <c r="I116" s="152">
        <f>IF(I19=0,0,1000000*I19/TrRoad_act!I59)</f>
        <v>84.311273159757448</v>
      </c>
      <c r="J116" s="152">
        <f>IF(J19=0,0,1000000*J19/TrRoad_act!J59)</f>
        <v>78.633271215958345</v>
      </c>
      <c r="K116" s="152">
        <f>IF(K19=0,0,1000000*K19/TrRoad_act!K59)</f>
        <v>77.811063061981059</v>
      </c>
      <c r="L116" s="152">
        <f>IF(L19=0,0,1000000*L19/TrRoad_act!L59)</f>
        <v>92.522512507363729</v>
      </c>
      <c r="M116" s="152">
        <f>IF(M19=0,0,1000000*M19/TrRoad_act!M59)</f>
        <v>106.63491299504543</v>
      </c>
      <c r="N116" s="152">
        <f>IF(N19=0,0,1000000*N19/TrRoad_act!N59)</f>
        <v>96.15587683444754</v>
      </c>
      <c r="O116" s="152">
        <f>IF(O19=0,0,1000000*O19/TrRoad_act!O59)</f>
        <v>85.193549281095457</v>
      </c>
      <c r="P116" s="152">
        <f>IF(P19=0,0,1000000*P19/TrRoad_act!P59)</f>
        <v>83.778971656076237</v>
      </c>
      <c r="Q116" s="152">
        <f>IF(Q19=0,0,1000000*Q19/TrRoad_act!Q59)</f>
        <v>84.789933456973429</v>
      </c>
      <c r="R116" s="152">
        <f>IF(R19=0,0,1000000*R19/TrRoad_act!R59)</f>
        <v>84.708032647300612</v>
      </c>
      <c r="S116" s="152">
        <f>IF(S19=0,0,1000000*S19/TrRoad_act!S59)</f>
        <v>67.983281675547531</v>
      </c>
      <c r="T116" s="152">
        <f>IF(T19=0,0,1000000*T19/TrRoad_act!T59)</f>
        <v>61.692208061229366</v>
      </c>
      <c r="U116" s="152">
        <f>IF(U19=0,0,1000000*U19/TrRoad_act!U59)</f>
        <v>62.626477284848349</v>
      </c>
      <c r="V116" s="152">
        <f>IF(V19=0,0,1000000*V19/TrRoad_act!V59)</f>
        <v>54.080845196383947</v>
      </c>
      <c r="W116" s="152">
        <f>IF(W19=0,0,1000000*W19/TrRoad_act!W59)</f>
        <v>50.758422534829982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1080.9440516718562</v>
      </c>
      <c r="C117" s="116">
        <f>IF(C21=0,0,1000000*C21/TrRoad_act!C60)</f>
        <v>1064.1662868951066</v>
      </c>
      <c r="D117" s="116">
        <f>IF(D21=0,0,1000000*D21/TrRoad_act!D60)</f>
        <v>1053.4085594718867</v>
      </c>
      <c r="E117" s="116">
        <f>IF(E21=0,0,1000000*E21/TrRoad_act!E60)</f>
        <v>1043.3886381674649</v>
      </c>
      <c r="F117" s="116">
        <f>IF(F21=0,0,1000000*F21/TrRoad_act!F60)</f>
        <v>1002.1921456258398</v>
      </c>
      <c r="G117" s="116">
        <f>IF(G21=0,0,1000000*G21/TrRoad_act!G60)</f>
        <v>984.45118989299101</v>
      </c>
      <c r="H117" s="116">
        <f>IF(H21=0,0,1000000*H21/TrRoad_act!H60)</f>
        <v>988.00733393255314</v>
      </c>
      <c r="I117" s="116">
        <f>IF(I21=0,0,1000000*I21/TrRoad_act!I60)</f>
        <v>1016.2668533342304</v>
      </c>
      <c r="J117" s="116">
        <f>IF(J21=0,0,1000000*J21/TrRoad_act!J60)</f>
        <v>1079.353548237832</v>
      </c>
      <c r="K117" s="116">
        <f>IF(K21=0,0,1000000*K21/TrRoad_act!K60)</f>
        <v>1042.07144117232</v>
      </c>
      <c r="L117" s="116">
        <f>IF(L21=0,0,1000000*L21/TrRoad_act!L60)</f>
        <v>1054.977542666204</v>
      </c>
      <c r="M117" s="116">
        <f>IF(M21=0,0,1000000*M21/TrRoad_act!M60)</f>
        <v>1056.9485225151138</v>
      </c>
      <c r="N117" s="116">
        <f>IF(N21=0,0,1000000*N21/TrRoad_act!N60)</f>
        <v>1027.3455933485775</v>
      </c>
      <c r="O117" s="116">
        <f>IF(O21=0,0,1000000*O21/TrRoad_act!O60)</f>
        <v>997.05745281446275</v>
      </c>
      <c r="P117" s="116">
        <f>IF(P21=0,0,1000000*P21/TrRoad_act!P60)</f>
        <v>988.34212645061757</v>
      </c>
      <c r="Q117" s="116">
        <f>IF(Q21=0,0,1000000*Q21/TrRoad_act!Q60)</f>
        <v>982.00122172068279</v>
      </c>
      <c r="R117" s="116">
        <f>IF(R21=0,0,1000000*R21/TrRoad_act!R60)</f>
        <v>972.71322708200057</v>
      </c>
      <c r="S117" s="116">
        <f>IF(S21=0,0,1000000*S21/TrRoad_act!S60)</f>
        <v>981.01009266872882</v>
      </c>
      <c r="T117" s="116">
        <f>IF(T21=0,0,1000000*T21/TrRoad_act!T60)</f>
        <v>989.71904085075164</v>
      </c>
      <c r="U117" s="116">
        <f>IF(U21=0,0,1000000*U21/TrRoad_act!U60)</f>
        <v>968.38341518002392</v>
      </c>
      <c r="V117" s="116">
        <f>IF(V21=0,0,1000000*V21/TrRoad_act!V60)</f>
        <v>824.292020883173</v>
      </c>
      <c r="W117" s="116">
        <f>IF(W21=0,0,1000000*W21/TrRoad_act!W60)</f>
        <v>869.87977749601464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1040.8075781146779</v>
      </c>
      <c r="C118" s="87">
        <f>IF(C22=0,0,1000000*C22/TrRoad_act!C61)</f>
        <v>1020.3763465514332</v>
      </c>
      <c r="D118" s="87">
        <f>IF(D22=0,0,1000000*D22/TrRoad_act!D61)</f>
        <v>996.36707879926507</v>
      </c>
      <c r="E118" s="87">
        <f>IF(E22=0,0,1000000*E22/TrRoad_act!E61)</f>
        <v>975.81578440980343</v>
      </c>
      <c r="F118" s="87">
        <f>IF(F22=0,0,1000000*F22/TrRoad_act!F61)</f>
        <v>894.11270296882515</v>
      </c>
      <c r="G118" s="87">
        <f>IF(G22=0,0,1000000*G22/TrRoad_act!G61)</f>
        <v>866.54002116800302</v>
      </c>
      <c r="H118" s="87">
        <f>IF(H22=0,0,1000000*H22/TrRoad_act!H61)</f>
        <v>849.70136582388443</v>
      </c>
      <c r="I118" s="87">
        <f>IF(I22=0,0,1000000*I22/TrRoad_act!I61)</f>
        <v>848.02887787716156</v>
      </c>
      <c r="J118" s="87">
        <f>IF(J22=0,0,1000000*J22/TrRoad_act!J61)</f>
        <v>912.53781805712799</v>
      </c>
      <c r="K118" s="87">
        <f>IF(K22=0,0,1000000*K22/TrRoad_act!K61)</f>
        <v>848.7121620929189</v>
      </c>
      <c r="L118" s="87">
        <f>IF(L22=0,0,1000000*L22/TrRoad_act!L61)</f>
        <v>854.53842195963477</v>
      </c>
      <c r="M118" s="87">
        <f>IF(M22=0,0,1000000*M22/TrRoad_act!M61)</f>
        <v>848.83854618204032</v>
      </c>
      <c r="N118" s="87">
        <f>IF(N22=0,0,1000000*N22/TrRoad_act!N61)</f>
        <v>795.50901091994444</v>
      </c>
      <c r="O118" s="87">
        <f>IF(O22=0,0,1000000*O22/TrRoad_act!O61)</f>
        <v>751.68912489284469</v>
      </c>
      <c r="P118" s="87">
        <f>IF(P22=0,0,1000000*P22/TrRoad_act!P61)</f>
        <v>725.5432676858569</v>
      </c>
      <c r="Q118" s="87">
        <f>IF(Q22=0,0,1000000*Q22/TrRoad_act!Q61)</f>
        <v>721.94138528409439</v>
      </c>
      <c r="R118" s="87">
        <f>IF(R22=0,0,1000000*R22/TrRoad_act!R61)</f>
        <v>725.84162150072268</v>
      </c>
      <c r="S118" s="87">
        <f>IF(S22=0,0,1000000*S22/TrRoad_act!S61)</f>
        <v>717.60992907010461</v>
      </c>
      <c r="T118" s="87">
        <f>IF(T22=0,0,1000000*T22/TrRoad_act!T61)</f>
        <v>732.36109705602166</v>
      </c>
      <c r="U118" s="87">
        <f>IF(U22=0,0,1000000*U22/TrRoad_act!U61)</f>
        <v>695.63227265318915</v>
      </c>
      <c r="V118" s="87">
        <f>IF(V22=0,0,1000000*V22/TrRoad_act!V61)</f>
        <v>562.27787240302871</v>
      </c>
      <c r="W118" s="87">
        <f>IF(W22=0,0,1000000*W22/TrRoad_act!W61)</f>
        <v>637.35644082711565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1364.3638868782475</v>
      </c>
      <c r="C119" s="87">
        <f>IF(C24=0,0,1000000*C24/TrRoad_act!C62)</f>
        <v>1356.0358679802941</v>
      </c>
      <c r="D119" s="87">
        <f>IF(D24=0,0,1000000*D24/TrRoad_act!D62)</f>
        <v>1325.5699031053994</v>
      </c>
      <c r="E119" s="87">
        <f>IF(E24=0,0,1000000*E24/TrRoad_act!E62)</f>
        <v>1370.9521670536894</v>
      </c>
      <c r="F119" s="87">
        <f>IF(F24=0,0,1000000*F24/TrRoad_act!F62)</f>
        <v>1435.0694297082696</v>
      </c>
      <c r="G119" s="87">
        <f>IF(G24=0,0,1000000*G24/TrRoad_act!G62)</f>
        <v>1383.8738155895262</v>
      </c>
      <c r="H119" s="87">
        <f>IF(H24=0,0,1000000*H24/TrRoad_act!H62)</f>
        <v>1392.6839469678719</v>
      </c>
      <c r="I119" s="87">
        <f>IF(I24=0,0,1000000*I24/TrRoad_act!I62)</f>
        <v>1450.058154077791</v>
      </c>
      <c r="J119" s="87">
        <f>IF(J24=0,0,1000000*J24/TrRoad_act!J62)</f>
        <v>1459.6494309807238</v>
      </c>
      <c r="K119" s="87">
        <f>IF(K24=0,0,1000000*K24/TrRoad_act!K62)</f>
        <v>1439.00366859468</v>
      </c>
      <c r="L119" s="87">
        <f>IF(L24=0,0,1000000*L24/TrRoad_act!L62)</f>
        <v>1427.3725720690015</v>
      </c>
      <c r="M119" s="87">
        <f>IF(M24=0,0,1000000*M24/TrRoad_act!M62)</f>
        <v>1412.4792817092823</v>
      </c>
      <c r="N119" s="87">
        <f>IF(N24=0,0,1000000*N24/TrRoad_act!N62)</f>
        <v>1387.7153195742953</v>
      </c>
      <c r="O119" s="87">
        <f>IF(O24=0,0,1000000*O24/TrRoad_act!O62)</f>
        <v>1347.2401451883263</v>
      </c>
      <c r="P119" s="87">
        <f>IF(P24=0,0,1000000*P24/TrRoad_act!P62)</f>
        <v>1334.1368581889744</v>
      </c>
      <c r="Q119" s="87">
        <f>IF(Q24=0,0,1000000*Q24/TrRoad_act!Q62)</f>
        <v>1298.6134757373893</v>
      </c>
      <c r="R119" s="87">
        <f>IF(R24=0,0,1000000*R24/TrRoad_act!R62)</f>
        <v>1251.4728319310107</v>
      </c>
      <c r="S119" s="87">
        <f>IF(S24=0,0,1000000*S24/TrRoad_act!S62)</f>
        <v>1261.7734785862965</v>
      </c>
      <c r="T119" s="87">
        <f>IF(T24=0,0,1000000*T24/TrRoad_act!T62)</f>
        <v>1251.530148324767</v>
      </c>
      <c r="U119" s="87">
        <f>IF(U24=0,0,1000000*U24/TrRoad_act!U62)</f>
        <v>1237.2558412983617</v>
      </c>
      <c r="V119" s="87">
        <f>IF(V24=0,0,1000000*V24/TrRoad_act!V62)</f>
        <v>1082.3953147041909</v>
      </c>
      <c r="W119" s="87">
        <f>IF(W24=0,0,1000000*W24/TrRoad_act!W62)</f>
        <v>1088.4584626901562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1119.5297325390372</v>
      </c>
      <c r="I120" s="87">
        <f>IF(I26=0,0,1000000*I26/TrRoad_act!I63)</f>
        <v>1336.6447865894056</v>
      </c>
      <c r="J120" s="87">
        <f>IF(J26=0,0,1000000*J26/TrRoad_act!J63)</f>
        <v>1304.6100985778937</v>
      </c>
      <c r="K120" s="87">
        <f>IF(K26=0,0,1000000*K26/TrRoad_act!K63)</f>
        <v>1390.8002204714921</v>
      </c>
      <c r="L120" s="87">
        <f>IF(L26=0,0,1000000*L26/TrRoad_act!L63)</f>
        <v>1486.3683368534619</v>
      </c>
      <c r="M120" s="87">
        <f>IF(M26=0,0,1000000*M26/TrRoad_act!M63)</f>
        <v>1559.4555020668774</v>
      </c>
      <c r="N120" s="87">
        <f>IF(N26=0,0,1000000*N26/TrRoad_act!N63)</f>
        <v>1594.1211493181329</v>
      </c>
      <c r="O120" s="87">
        <f>IF(O26=0,0,1000000*O26/TrRoad_act!O63)</f>
        <v>1533.0249396596294</v>
      </c>
      <c r="P120" s="87">
        <f>IF(P26=0,0,1000000*P26/TrRoad_act!P63)</f>
        <v>1544.4712200657857</v>
      </c>
      <c r="Q120" s="87">
        <f>IF(Q26=0,0,1000000*Q26/TrRoad_act!Q63)</f>
        <v>1618.6395555958673</v>
      </c>
      <c r="R120" s="87">
        <f>IF(R26=0,0,1000000*R26/TrRoad_act!R63)</f>
        <v>1550.0610861454188</v>
      </c>
      <c r="S120" s="87">
        <f>IF(S26=0,0,1000000*S26/TrRoad_act!S63)</f>
        <v>1440.3837826137169</v>
      </c>
      <c r="T120" s="87">
        <f>IF(T26=0,0,1000000*T26/TrRoad_act!T63)</f>
        <v>1386.6335182809826</v>
      </c>
      <c r="U120" s="87">
        <f>IF(U26=0,0,1000000*U26/TrRoad_act!U63)</f>
        <v>1292.0819797556426</v>
      </c>
      <c r="V120" s="87">
        <f>IF(V26=0,0,1000000*V26/TrRoad_act!V63)</f>
        <v>786.89666470864199</v>
      </c>
      <c r="W120" s="87">
        <f>IF(W26=0,0,1000000*W26/TrRoad_act!W63)</f>
        <v>1375.9705522726827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1007.4383185683357</v>
      </c>
      <c r="O121" s="87">
        <f>IF(O27=0,0,1000000*O27/TrRoad_act!O64)</f>
        <v>1018.1801099907723</v>
      </c>
      <c r="P121" s="87">
        <f>IF(P27=0,0,1000000*P27/TrRoad_act!P64)</f>
        <v>987.09094119718497</v>
      </c>
      <c r="Q121" s="87">
        <f>IF(Q27=0,0,1000000*Q27/TrRoad_act!Q64)</f>
        <v>947.58925517021771</v>
      </c>
      <c r="R121" s="87">
        <f>IF(R27=0,0,1000000*R27/TrRoad_act!R64)</f>
        <v>912.38025557159619</v>
      </c>
      <c r="S121" s="87">
        <f>IF(S27=0,0,1000000*S27/TrRoad_act!S64)</f>
        <v>931.3849685229078</v>
      </c>
      <c r="T121" s="87">
        <f>IF(T27=0,0,1000000*T27/TrRoad_act!T64)</f>
        <v>954.21656247972624</v>
      </c>
      <c r="U121" s="87">
        <f>IF(U27=0,0,1000000*U27/TrRoad_act!U64)</f>
        <v>957.99019897861047</v>
      </c>
      <c r="V121" s="87">
        <f>IF(V27=0,0,1000000*V27/TrRoad_act!V64)</f>
        <v>770.80484565701681</v>
      </c>
      <c r="W121" s="87">
        <f>IF(W27=0,0,1000000*W27/TrRoad_act!W64)</f>
        <v>816.40365522431068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260.95440254194568</v>
      </c>
      <c r="P122" s="87">
        <f>IF(P29=0,0,1000000*P29/TrRoad_act!P65)</f>
        <v>270.04169436545578</v>
      </c>
      <c r="Q122" s="87">
        <f>IF(Q29=0,0,1000000*Q29/TrRoad_act!Q65)</f>
        <v>259.06896419792173</v>
      </c>
      <c r="R122" s="87">
        <f>IF(R29=0,0,1000000*R29/TrRoad_act!R65)</f>
        <v>285.94723319062939</v>
      </c>
      <c r="S122" s="87">
        <f>IF(S29=0,0,1000000*S29/TrRoad_act!S65)</f>
        <v>356.8185676840053</v>
      </c>
      <c r="T122" s="87">
        <f>IF(T29=0,0,1000000*T29/TrRoad_act!T65)</f>
        <v>382.33726885948357</v>
      </c>
      <c r="U122" s="87">
        <f>IF(U29=0,0,1000000*U29/TrRoad_act!U65)</f>
        <v>374.54108540657904</v>
      </c>
      <c r="V122" s="87">
        <f>IF(V29=0,0,1000000*V29/TrRoad_act!V65)</f>
        <v>307.43789483303942</v>
      </c>
      <c r="W122" s="87">
        <f>IF(W29=0,0,1000000*W29/TrRoad_act!W65)</f>
        <v>316.74875455993799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121.72011948773165</v>
      </c>
      <c r="N123" s="87">
        <f>IF(N32=0,0,1000000*N32/TrRoad_act!N66)</f>
        <v>116.08114295022045</v>
      </c>
      <c r="O123" s="87">
        <f>IF(O32=0,0,1000000*O32/TrRoad_act!O66)</f>
        <v>116.27079525263834</v>
      </c>
      <c r="P123" s="87">
        <f>IF(P32=0,0,1000000*P32/TrRoad_act!P66)</f>
        <v>108.19164295015322</v>
      </c>
      <c r="Q123" s="87">
        <f>IF(Q32=0,0,1000000*Q32/TrRoad_act!Q66)</f>
        <v>98.992376989474224</v>
      </c>
      <c r="R123" s="87">
        <f>IF(R32=0,0,1000000*R32/TrRoad_act!R66)</f>
        <v>95.038606784585397</v>
      </c>
      <c r="S123" s="87">
        <f>IF(S32=0,0,1000000*S32/TrRoad_act!S66)</f>
        <v>91.815361005908585</v>
      </c>
      <c r="T123" s="87">
        <f>IF(T32=0,0,1000000*T32/TrRoad_act!T66)</f>
        <v>91.557865482574627</v>
      </c>
      <c r="U123" s="87">
        <f>IF(U32=0,0,1000000*U32/TrRoad_act!U66)</f>
        <v>98.88931212836934</v>
      </c>
      <c r="V123" s="87">
        <f>IF(V32=0,0,1000000*V32/TrRoad_act!V66)</f>
        <v>89.850445640744823</v>
      </c>
      <c r="W123" s="87">
        <f>IF(W32=0,0,1000000*W32/TrRoad_act!W66)</f>
        <v>105.73834913639394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42708.850799632863</v>
      </c>
      <c r="C124" s="116">
        <f>IF(C33=0,0,1000000*C33/TrRoad_act!C67)</f>
        <v>39849.564379007388</v>
      </c>
      <c r="D124" s="116">
        <f>IF(D33=0,0,1000000*D33/TrRoad_act!D67)</f>
        <v>38801.2851879644</v>
      </c>
      <c r="E124" s="116">
        <f>IF(E33=0,0,1000000*E33/TrRoad_act!E67)</f>
        <v>37737.686544027049</v>
      </c>
      <c r="F124" s="116">
        <f>IF(F33=0,0,1000000*F33/TrRoad_act!F67)</f>
        <v>36900.883085210313</v>
      </c>
      <c r="G124" s="116">
        <f>IF(G33=0,0,1000000*G33/TrRoad_act!G67)</f>
        <v>35941.800277836679</v>
      </c>
      <c r="H124" s="116">
        <f>IF(H33=0,0,1000000*H33/TrRoad_act!H67)</f>
        <v>35766.903493127887</v>
      </c>
      <c r="I124" s="116">
        <f>IF(I33=0,0,1000000*I33/TrRoad_act!I67)</f>
        <v>35028.238100613322</v>
      </c>
      <c r="J124" s="116">
        <f>IF(J33=0,0,1000000*J33/TrRoad_act!J67)</f>
        <v>34280.572390775691</v>
      </c>
      <c r="K124" s="116">
        <f>IF(K33=0,0,1000000*K33/TrRoad_act!K67)</f>
        <v>34337.16280095635</v>
      </c>
      <c r="L124" s="116">
        <f>IF(L33=0,0,1000000*L33/TrRoad_act!L67)</f>
        <v>34047.253774840974</v>
      </c>
      <c r="M124" s="116">
        <f>IF(M33=0,0,1000000*M33/TrRoad_act!M67)</f>
        <v>34415.290270895792</v>
      </c>
      <c r="N124" s="116">
        <f>IF(N33=0,0,1000000*N33/TrRoad_act!N67)</f>
        <v>34365.114466336578</v>
      </c>
      <c r="O124" s="116">
        <f>IF(O33=0,0,1000000*O33/TrRoad_act!O67)</f>
        <v>34209.057940283696</v>
      </c>
      <c r="P124" s="116">
        <f>IF(P33=0,0,1000000*P33/TrRoad_act!P67)</f>
        <v>33653.894092921844</v>
      </c>
      <c r="Q124" s="116">
        <f>IF(Q33=0,0,1000000*Q33/TrRoad_act!Q67)</f>
        <v>33312.588411712866</v>
      </c>
      <c r="R124" s="116">
        <f>IF(R33=0,0,1000000*R33/TrRoad_act!R67)</f>
        <v>32578.339679659664</v>
      </c>
      <c r="S124" s="116">
        <f>IF(S33=0,0,1000000*S33/TrRoad_act!S67)</f>
        <v>32417.355960013309</v>
      </c>
      <c r="T124" s="116">
        <f>IF(T33=0,0,1000000*T33/TrRoad_act!T67)</f>
        <v>31373.917275625168</v>
      </c>
      <c r="U124" s="116">
        <f>IF(U33=0,0,1000000*U33/TrRoad_act!U67)</f>
        <v>31337.230310073515</v>
      </c>
      <c r="V124" s="116">
        <f>IF(V33=0,0,1000000*V33/TrRoad_act!V67)</f>
        <v>25146.133833189218</v>
      </c>
      <c r="W124" s="116">
        <f>IF(W33=0,0,1000000*W33/TrRoad_act!W67)</f>
        <v>25842.202820422506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12179.595463779882</v>
      </c>
      <c r="C125" s="101">
        <f>IF(C34=0,0,1000000*C34/TrRoad_act!C68)</f>
        <v>11595.892015623158</v>
      </c>
      <c r="D125" s="101">
        <f>IF(D34=0,0,1000000*D34/TrRoad_act!D68)</f>
        <v>11124.843963820884</v>
      </c>
      <c r="E125" s="101">
        <f>IF(E34=0,0,1000000*E34/TrRoad_act!E68)</f>
        <v>10672.560352656326</v>
      </c>
      <c r="F125" s="101">
        <f>IF(F34=0,0,1000000*F34/TrRoad_act!F68)</f>
        <v>10260.361277139551</v>
      </c>
      <c r="G125" s="101">
        <f>IF(G34=0,0,1000000*G34/TrRoad_act!G68)</f>
        <v>9841.8902251282852</v>
      </c>
      <c r="H125" s="101">
        <f>IF(H34=0,0,1000000*H34/TrRoad_act!H68)</f>
        <v>10139.935560405916</v>
      </c>
      <c r="I125" s="101">
        <f>IF(I34=0,0,1000000*I34/TrRoad_act!I68)</f>
        <v>9740.9469312419387</v>
      </c>
      <c r="J125" s="101">
        <f>IF(J34=0,0,1000000*J34/TrRoad_act!J68)</f>
        <v>9341.5354561854529</v>
      </c>
      <c r="K125" s="101">
        <f>IF(K34=0,0,1000000*K34/TrRoad_act!K68)</f>
        <v>9194.525420188831</v>
      </c>
      <c r="L125" s="101">
        <f>IF(L34=0,0,1000000*L34/TrRoad_act!L68)</f>
        <v>9093.9580837852081</v>
      </c>
      <c r="M125" s="101">
        <f>IF(M34=0,0,1000000*M34/TrRoad_act!M68)</f>
        <v>9016.1888751569441</v>
      </c>
      <c r="N125" s="101">
        <f>IF(N34=0,0,1000000*N34/TrRoad_act!N68)</f>
        <v>8875.9811722101495</v>
      </c>
      <c r="O125" s="101">
        <f>IF(O34=0,0,1000000*O34/TrRoad_act!O68)</f>
        <v>7971.3365473324111</v>
      </c>
      <c r="P125" s="101">
        <f>IF(P34=0,0,1000000*P34/TrRoad_act!P68)</f>
        <v>7637.7850269377595</v>
      </c>
      <c r="Q125" s="101">
        <f>IF(Q34=0,0,1000000*Q34/TrRoad_act!Q68)</f>
        <v>7311.3385624568245</v>
      </c>
      <c r="R125" s="101">
        <f>IF(R34=0,0,1000000*R34/TrRoad_act!R68)</f>
        <v>7237.0658239390077</v>
      </c>
      <c r="S125" s="101">
        <f>IF(S34=0,0,1000000*S34/TrRoad_act!S68)</f>
        <v>6979.4909431078713</v>
      </c>
      <c r="T125" s="101">
        <f>IF(T34=0,0,1000000*T34/TrRoad_act!T68)</f>
        <v>6590.3263820846323</v>
      </c>
      <c r="U125" s="101">
        <f>IF(U34=0,0,1000000*U34/TrRoad_act!U68)</f>
        <v>6418.0231828315109</v>
      </c>
      <c r="V125" s="101">
        <f>IF(V34=0,0,1000000*V34/TrRoad_act!V68)</f>
        <v>4892.4669680761936</v>
      </c>
      <c r="W125" s="101">
        <f>IF(W34=0,0,1000000*W34/TrRoad_act!W68)</f>
        <v>4828.9221797152504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43277.615008629575</v>
      </c>
      <c r="C126" s="101">
        <f>IF(C36=0,0,1000000*C36/TrRoad_act!C69)</f>
        <v>40356.072791124083</v>
      </c>
      <c r="D126" s="101">
        <f>IF(D36=0,0,1000000*D36/TrRoad_act!D69)</f>
        <v>39270.377412102425</v>
      </c>
      <c r="E126" s="101">
        <f>IF(E36=0,0,1000000*E36/TrRoad_act!E69)</f>
        <v>38151.245348309458</v>
      </c>
      <c r="F126" s="101">
        <f>IF(F36=0,0,1000000*F36/TrRoad_act!F69)</f>
        <v>37246.676770117665</v>
      </c>
      <c r="G126" s="101">
        <f>IF(G36=0,0,1000000*G36/TrRoad_act!G69)</f>
        <v>36254.374050923012</v>
      </c>
      <c r="H126" s="101">
        <f>IF(H36=0,0,1000000*H36/TrRoad_act!H69)</f>
        <v>36028.403165910764</v>
      </c>
      <c r="I126" s="101">
        <f>IF(I36=0,0,1000000*I36/TrRoad_act!I69)</f>
        <v>35252.486379110618</v>
      </c>
      <c r="J126" s="101">
        <f>IF(J36=0,0,1000000*J36/TrRoad_act!J69)</f>
        <v>34457.984238887613</v>
      </c>
      <c r="K126" s="101">
        <f>IF(K36=0,0,1000000*K36/TrRoad_act!K69)</f>
        <v>34488.47255450159</v>
      </c>
      <c r="L126" s="101">
        <f>IF(L36=0,0,1000000*L36/TrRoad_act!L69)</f>
        <v>34171.957901233051</v>
      </c>
      <c r="M126" s="101">
        <f>IF(M36=0,0,1000000*M36/TrRoad_act!M69)</f>
        <v>34515.980464734203</v>
      </c>
      <c r="N126" s="101">
        <f>IF(N36=0,0,1000000*N36/TrRoad_act!N69)</f>
        <v>34456.925325619341</v>
      </c>
      <c r="O126" s="101">
        <f>IF(O36=0,0,1000000*O36/TrRoad_act!O69)</f>
        <v>34311.431934428641</v>
      </c>
      <c r="P126" s="101">
        <f>IF(P36=0,0,1000000*P36/TrRoad_act!P69)</f>
        <v>34001.33399853744</v>
      </c>
      <c r="Q126" s="101">
        <f>IF(Q36=0,0,1000000*Q36/TrRoad_act!Q69)</f>
        <v>33559.411138004449</v>
      </c>
      <c r="R126" s="101">
        <f>IF(R36=0,0,1000000*R36/TrRoad_act!R69)</f>
        <v>32721.726979306855</v>
      </c>
      <c r="S126" s="101">
        <f>IF(S36=0,0,1000000*S36/TrRoad_act!S69)</f>
        <v>32354.86903476081</v>
      </c>
      <c r="T126" s="101">
        <f>IF(T36=0,0,1000000*T36/TrRoad_act!T69)</f>
        <v>31337.624311445979</v>
      </c>
      <c r="U126" s="101">
        <f>IF(U36=0,0,1000000*U36/TrRoad_act!U69)</f>
        <v>31205.03974377234</v>
      </c>
      <c r="V126" s="101">
        <f>IF(V36=0,0,1000000*V36/TrRoad_act!V69)</f>
        <v>24803.180771528361</v>
      </c>
      <c r="W126" s="101">
        <f>IF(W36=0,0,1000000*W36/TrRoad_act!W69)</f>
        <v>25062.428817691904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34141.949534717329</v>
      </c>
      <c r="O128" s="101">
        <f>IF(O39=0,0,1000000*O39/TrRoad_act!O71)</f>
        <v>32036.83970457505</v>
      </c>
      <c r="P128" s="101">
        <f>IF(P39=0,0,1000000*P39/TrRoad_act!P71)</f>
        <v>21465.037970078687</v>
      </c>
      <c r="Q128" s="101">
        <f>IF(Q39=0,0,1000000*Q39/TrRoad_act!Q71)</f>
        <v>27458.682594672617</v>
      </c>
      <c r="R128" s="101">
        <f>IF(R39=0,0,1000000*R39/TrRoad_act!R71)</f>
        <v>30721.476561335105</v>
      </c>
      <c r="S128" s="101">
        <f>IF(S39=0,0,1000000*S39/TrRoad_act!S71)</f>
        <v>35887.937570450769</v>
      </c>
      <c r="T128" s="101">
        <f>IF(T39=0,0,1000000*T39/TrRoad_act!T71)</f>
        <v>34038.273756294635</v>
      </c>
      <c r="U128" s="101">
        <f>IF(U39=0,0,1000000*U39/TrRoad_act!U71)</f>
        <v>35618.57889413269</v>
      </c>
      <c r="V128" s="101">
        <f>IF(V39=0,0,1000000*V39/TrRoad_act!V71)</f>
        <v>33053.652539715331</v>
      </c>
      <c r="W128" s="101">
        <f>IF(W39=0,0,1000000*W39/TrRoad_act!W71)</f>
        <v>44467.666897955409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18235.745314617543</v>
      </c>
      <c r="Q129" s="101">
        <f>IF(Q41=0,0,1000000*Q41/TrRoad_act!Q72)</f>
        <v>18238.067140287574</v>
      </c>
      <c r="R129" s="101">
        <f>IF(R41=0,0,1000000*R41/TrRoad_act!R72)</f>
        <v>18229.958338796201</v>
      </c>
      <c r="S129" s="101">
        <f>IF(S41=0,0,1000000*S41/TrRoad_act!S72)</f>
        <v>18221.727454026561</v>
      </c>
      <c r="T129" s="101">
        <f>IF(T41=0,0,1000000*T41/TrRoad_act!T72)</f>
        <v>18143.253483273395</v>
      </c>
      <c r="U129" s="101">
        <f>IF(U41=0,0,1000000*U41/TrRoad_act!U72)</f>
        <v>18018.000511864189</v>
      </c>
      <c r="V129" s="101">
        <f>IF(V41=0,0,1000000*V41/TrRoad_act!V72)</f>
        <v>15010.931222381818</v>
      </c>
      <c r="W129" s="101">
        <f>IF(W41=0,0,1000000*W41/TrRoad_act!W72)</f>
        <v>17753.665973212075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1626.7809332251111</v>
      </c>
      <c r="C131" s="152">
        <f>IF(C43=0,0,1000000*C43/TrRoad_act!C74)</f>
        <v>1631.8405072036733</v>
      </c>
      <c r="D131" s="152">
        <f>IF(D43=0,0,1000000*D43/TrRoad_act!D74)</f>
        <v>1642.8878649232051</v>
      </c>
      <c r="E131" s="152">
        <f>IF(E43=0,0,1000000*E43/TrRoad_act!E74)</f>
        <v>1660.9232224996811</v>
      </c>
      <c r="F131" s="152">
        <f>IF(F43=0,0,1000000*F43/TrRoad_act!F74)</f>
        <v>1731.2370955901035</v>
      </c>
      <c r="G131" s="152">
        <f>IF(G43=0,0,1000000*G43/TrRoad_act!G74)</f>
        <v>1754.3693559120964</v>
      </c>
      <c r="H131" s="152">
        <f>IF(H43=0,0,1000000*H43/TrRoad_act!H74)</f>
        <v>1781.7126892367864</v>
      </c>
      <c r="I131" s="152">
        <f>IF(I43=0,0,1000000*I43/TrRoad_act!I74)</f>
        <v>1800.8168541785169</v>
      </c>
      <c r="J131" s="152">
        <f>IF(J43=0,0,1000000*J43/TrRoad_act!J74)</f>
        <v>1784.2262077113089</v>
      </c>
      <c r="K131" s="152">
        <f>IF(K43=0,0,1000000*K43/TrRoad_act!K74)</f>
        <v>1790.1343689944938</v>
      </c>
      <c r="L131" s="152">
        <f>IF(L43=0,0,1000000*L43/TrRoad_act!L74)</f>
        <v>1771.8758290725716</v>
      </c>
      <c r="M131" s="152">
        <f>IF(M43=0,0,1000000*M43/TrRoad_act!M74)</f>
        <v>1801.1120001346912</v>
      </c>
      <c r="N131" s="152">
        <f>IF(N43=0,0,1000000*N43/TrRoad_act!N74)</f>
        <v>1795.3354057442302</v>
      </c>
      <c r="O131" s="152">
        <f>IF(O43=0,0,1000000*O43/TrRoad_act!O74)</f>
        <v>1812.8050847366749</v>
      </c>
      <c r="P131" s="152">
        <f>IF(P43=0,0,1000000*P43/TrRoad_act!P74)</f>
        <v>1839.0005689399463</v>
      </c>
      <c r="Q131" s="152">
        <f>IF(Q43=0,0,1000000*Q43/TrRoad_act!Q74)</f>
        <v>1833.7743070546694</v>
      </c>
      <c r="R131" s="152">
        <f>IF(R43=0,0,1000000*R43/TrRoad_act!R74)</f>
        <v>1807.946835146581</v>
      </c>
      <c r="S131" s="152">
        <f>IF(S43=0,0,1000000*S43/TrRoad_act!S74)</f>
        <v>1772.4257241224425</v>
      </c>
      <c r="T131" s="152">
        <f>IF(T43=0,0,1000000*T43/TrRoad_act!T74)</f>
        <v>1749.1961788558767</v>
      </c>
      <c r="U131" s="152">
        <f>IF(U43=0,0,1000000*U43/TrRoad_act!U74)</f>
        <v>1732.3032096476356</v>
      </c>
      <c r="V131" s="152">
        <f>IF(V43=0,0,1000000*V43/TrRoad_act!V74)</f>
        <v>1727.7736578854647</v>
      </c>
      <c r="W131" s="152">
        <f>IF(W43=0,0,1000000*W43/TrRoad_act!W74)</f>
        <v>1710.1530033956635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974.69291940687265</v>
      </c>
      <c r="C132" s="87">
        <f>IF(C44=0,0,1000000*C44/TrRoad_act!C75)</f>
        <v>987.58618785540875</v>
      </c>
      <c r="D132" s="87">
        <f>IF(D44=0,0,1000000*D44/TrRoad_act!D75)</f>
        <v>996.24186430960037</v>
      </c>
      <c r="E132" s="87">
        <f>IF(E44=0,0,1000000*E44/TrRoad_act!E75)</f>
        <v>1004.3216287373533</v>
      </c>
      <c r="F132" s="87">
        <f>IF(F44=0,0,1000000*F44/TrRoad_act!F75)</f>
        <v>1064.866683419853</v>
      </c>
      <c r="G132" s="87">
        <f>IF(G44=0,0,1000000*G44/TrRoad_act!G75)</f>
        <v>1070.8913325143369</v>
      </c>
      <c r="H132" s="87">
        <f>IF(H44=0,0,1000000*H44/TrRoad_act!H75)</f>
        <v>1072.9945608989181</v>
      </c>
      <c r="I132" s="87">
        <f>IF(I44=0,0,1000000*I44/TrRoad_act!I75)</f>
        <v>1073.8988584371791</v>
      </c>
      <c r="J132" s="87">
        <f>IF(J44=0,0,1000000*J44/TrRoad_act!J75)</f>
        <v>1045.9947296677701</v>
      </c>
      <c r="K132" s="87">
        <f>IF(K44=0,0,1000000*K44/TrRoad_act!K75)</f>
        <v>1046.3153797232758</v>
      </c>
      <c r="L132" s="87">
        <f>IF(L44=0,0,1000000*L44/TrRoad_act!L75)</f>
        <v>1017.9816390075283</v>
      </c>
      <c r="M132" s="87">
        <f>IF(M44=0,0,1000000*M44/TrRoad_act!M75)</f>
        <v>1025.287538204582</v>
      </c>
      <c r="N132" s="87">
        <f>IF(N44=0,0,1000000*N44/TrRoad_act!N75)</f>
        <v>1029.6597589079072</v>
      </c>
      <c r="O132" s="87">
        <f>IF(O44=0,0,1000000*O44/TrRoad_act!O75)</f>
        <v>1058.6646289323544</v>
      </c>
      <c r="P132" s="87">
        <f>IF(P44=0,0,1000000*P44/TrRoad_act!P75)</f>
        <v>1086.9131757441151</v>
      </c>
      <c r="Q132" s="87">
        <f>IF(Q44=0,0,1000000*Q44/TrRoad_act!Q75)</f>
        <v>1088.3173922962051</v>
      </c>
      <c r="R132" s="87">
        <f>IF(R44=0,0,1000000*R44/TrRoad_act!R75)</f>
        <v>1069.7748845330702</v>
      </c>
      <c r="S132" s="87">
        <f>IF(S44=0,0,1000000*S44/TrRoad_act!S75)</f>
        <v>1049.9235055095846</v>
      </c>
      <c r="T132" s="87">
        <f>IF(T44=0,0,1000000*T44/TrRoad_act!T75)</f>
        <v>1022.3329317976553</v>
      </c>
      <c r="U132" s="87">
        <f>IF(U44=0,0,1000000*U44/TrRoad_act!U75)</f>
        <v>1011.730945471124</v>
      </c>
      <c r="V132" s="87">
        <f>IF(V44=0,0,1000000*V44/TrRoad_act!V75)</f>
        <v>1002.976375752753</v>
      </c>
      <c r="W132" s="87">
        <f>IF(W44=0,0,1000000*W44/TrRoad_act!W75)</f>
        <v>999.45792295433796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1877.6447158788387</v>
      </c>
      <c r="C133" s="87">
        <f>IF(C46=0,0,1000000*C46/TrRoad_act!C76)</f>
        <v>1873.2293527688707</v>
      </c>
      <c r="D133" s="87">
        <f>IF(D46=0,0,1000000*D46/TrRoad_act!D76)</f>
        <v>1870.9381260384903</v>
      </c>
      <c r="E133" s="87">
        <f>IF(E46=0,0,1000000*E46/TrRoad_act!E76)</f>
        <v>1869.4084185356724</v>
      </c>
      <c r="F133" s="87">
        <f>IF(F46=0,0,1000000*F46/TrRoad_act!F76)</f>
        <v>1916.81490949412</v>
      </c>
      <c r="G133" s="87">
        <f>IF(G46=0,0,1000000*G46/TrRoad_act!G76)</f>
        <v>1919.1741976102601</v>
      </c>
      <c r="H133" s="87">
        <f>IF(H46=0,0,1000000*H46/TrRoad_act!H76)</f>
        <v>1924.7443661222139</v>
      </c>
      <c r="I133" s="87">
        <f>IF(I46=0,0,1000000*I46/TrRoad_act!I76)</f>
        <v>1930.5950047506612</v>
      </c>
      <c r="J133" s="87">
        <f>IF(J46=0,0,1000000*J46/TrRoad_act!J76)</f>
        <v>1900.3794888203231</v>
      </c>
      <c r="K133" s="87">
        <f>IF(K46=0,0,1000000*K46/TrRoad_act!K76)</f>
        <v>1892.3269148569848</v>
      </c>
      <c r="L133" s="87">
        <f>IF(L46=0,0,1000000*L46/TrRoad_act!L76)</f>
        <v>1865.9313830479207</v>
      </c>
      <c r="M133" s="87">
        <f>IF(M46=0,0,1000000*M46/TrRoad_act!M76)</f>
        <v>1888.6409932693916</v>
      </c>
      <c r="N133" s="87">
        <f>IF(N46=0,0,1000000*N46/TrRoad_act!N76)</f>
        <v>1874.748040498685</v>
      </c>
      <c r="O133" s="87">
        <f>IF(O46=0,0,1000000*O46/TrRoad_act!O76)</f>
        <v>1883.5349848687076</v>
      </c>
      <c r="P133" s="87">
        <f>IF(P46=0,0,1000000*P46/TrRoad_act!P76)</f>
        <v>1898.6236076004348</v>
      </c>
      <c r="Q133" s="87">
        <f>IF(Q46=0,0,1000000*Q46/TrRoad_act!Q76)</f>
        <v>1886.6158766434778</v>
      </c>
      <c r="R133" s="87">
        <f>IF(R46=0,0,1000000*R46/TrRoad_act!R76)</f>
        <v>1855.3410976945768</v>
      </c>
      <c r="S133" s="87">
        <f>IF(S46=0,0,1000000*S46/TrRoad_act!S76)</f>
        <v>1817.4213989514778</v>
      </c>
      <c r="T133" s="87">
        <f>IF(T46=0,0,1000000*T46/TrRoad_act!T76)</f>
        <v>1792.7630112559027</v>
      </c>
      <c r="U133" s="87">
        <f>IF(U46=0,0,1000000*U46/TrRoad_act!U76)</f>
        <v>1775.1562315001013</v>
      </c>
      <c r="V133" s="87">
        <f>IF(V46=0,0,1000000*V46/TrRoad_act!V76)</f>
        <v>1769.3362926896943</v>
      </c>
      <c r="W133" s="87">
        <f>IF(W46=0,0,1000000*W46/TrRoad_act!W76)</f>
        <v>1749.0033228203379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1681.3739782135765</v>
      </c>
      <c r="I134" s="87">
        <f>IF(I48=0,0,1000000*I48/TrRoad_act!I77)</f>
        <v>1708.7291787958807</v>
      </c>
      <c r="J134" s="87">
        <f>IF(J48=0,0,1000000*J48/TrRoad_act!J77)</f>
        <v>1652.8198660307273</v>
      </c>
      <c r="K134" s="87">
        <f>IF(K48=0,0,1000000*K48/TrRoad_act!K77)</f>
        <v>1673.7738801663993</v>
      </c>
      <c r="L134" s="87">
        <f>IF(L48=0,0,1000000*L48/TrRoad_act!L77)</f>
        <v>1797.120381226423</v>
      </c>
      <c r="M134" s="87">
        <f>IF(M48=0,0,1000000*M48/TrRoad_act!M77)</f>
        <v>1938.6513036631218</v>
      </c>
      <c r="N134" s="87">
        <f>IF(N48=0,0,1000000*N48/TrRoad_act!N77)</f>
        <v>2010.9772226906341</v>
      </c>
      <c r="O134" s="87">
        <f>IF(O48=0,0,1000000*O48/TrRoad_act!O77)</f>
        <v>1943.1217296424782</v>
      </c>
      <c r="P134" s="87">
        <f>IF(P48=0,0,1000000*P48/TrRoad_act!P77)</f>
        <v>1860.4749781252656</v>
      </c>
      <c r="Q134" s="87">
        <f>IF(Q48=0,0,1000000*Q48/TrRoad_act!Q77)</f>
        <v>1968.7366949578338</v>
      </c>
      <c r="R134" s="87">
        <f>IF(R48=0,0,1000000*R48/TrRoad_act!R77)</f>
        <v>1936.6968644564174</v>
      </c>
      <c r="S134" s="87">
        <f>IF(S48=0,0,1000000*S48/TrRoad_act!S77)</f>
        <v>1694.1295106047162</v>
      </c>
      <c r="T134" s="87">
        <f>IF(T48=0,0,1000000*T48/TrRoad_act!T77)</f>
        <v>1579.4708933561785</v>
      </c>
      <c r="U134" s="87">
        <f>IF(U48=0,0,1000000*U48/TrRoad_act!U77)</f>
        <v>1384.4240903804259</v>
      </c>
      <c r="V134" s="87">
        <f>IF(V48=0,0,1000000*V48/TrRoad_act!V77)</f>
        <v>1305.1816553629837</v>
      </c>
      <c r="W134" s="87">
        <f>IF(W48=0,0,1000000*W48/TrRoad_act!W77)</f>
        <v>1685.1034623133955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1240.1244471211</v>
      </c>
      <c r="Q135" s="87">
        <f>IF(Q49=0,0,1000000*Q49/TrRoad_act!Q78)</f>
        <v>1320.0797272785817</v>
      </c>
      <c r="R135" s="87">
        <f>IF(R49=0,0,1000000*R49/TrRoad_act!R78)</f>
        <v>1187.2754579158627</v>
      </c>
      <c r="S135" s="87">
        <f>IF(S49=0,0,1000000*S49/TrRoad_act!S78)</f>
        <v>1075.4236785541336</v>
      </c>
      <c r="T135" s="87">
        <f>IF(T49=0,0,1000000*T49/TrRoad_act!T78)</f>
        <v>1043.671491938527</v>
      </c>
      <c r="U135" s="87">
        <f>IF(U49=0,0,1000000*U49/TrRoad_act!U78)</f>
        <v>1015.8243119469694</v>
      </c>
      <c r="V135" s="87">
        <f>IF(V49=0,0,1000000*V49/TrRoad_act!V78)</f>
        <v>1035.2692620582791</v>
      </c>
      <c r="W135" s="87">
        <f>IF(W49=0,0,1000000*W49/TrRoad_act!W78)</f>
        <v>1056.699161144654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252.68724142278967</v>
      </c>
      <c r="Q136" s="87">
        <f>IF(Q51=0,0,1000000*Q51/TrRoad_act!Q79)</f>
        <v>264.3928073263682</v>
      </c>
      <c r="R136" s="87">
        <f>IF(R51=0,0,1000000*R51/TrRoad_act!R79)</f>
        <v>270.18264269100422</v>
      </c>
      <c r="S136" s="87">
        <f>IF(S51=0,0,1000000*S51/TrRoad_act!S79)</f>
        <v>274.57631022397413</v>
      </c>
      <c r="T136" s="87">
        <f>IF(T51=0,0,1000000*T51/TrRoad_act!T79)</f>
        <v>277.98542386002111</v>
      </c>
      <c r="U136" s="87">
        <f>IF(U51=0,0,1000000*U51/TrRoad_act!U79)</f>
        <v>281.00432198591517</v>
      </c>
      <c r="V136" s="87">
        <f>IF(V51=0,0,1000000*V51/TrRoad_act!V79)</f>
        <v>287.10155695431695</v>
      </c>
      <c r="W136" s="87">
        <f>IF(W51=0,0,1000000*W51/TrRoad_act!W79)</f>
        <v>310.10278136636191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2440.0932194719903</v>
      </c>
      <c r="C137" s="116">
        <f>IF(C52=0,0,1000000*C52/TrRoad_act!C80)</f>
        <v>4407.7080982269345</v>
      </c>
      <c r="D137" s="116">
        <f>IF(D52=0,0,1000000*D52/TrRoad_act!D80)</f>
        <v>4806.9869290616152</v>
      </c>
      <c r="E137" s="116">
        <f>IF(E52=0,0,1000000*E52/TrRoad_act!E80)</f>
        <v>6016.3261495008346</v>
      </c>
      <c r="F137" s="116">
        <f>IF(F52=0,0,1000000*F52/TrRoad_act!F80)</f>
        <v>8901.0212429834028</v>
      </c>
      <c r="G137" s="116">
        <f>IF(G52=0,0,1000000*G52/TrRoad_act!G80)</f>
        <v>11104.980487455256</v>
      </c>
      <c r="H137" s="116">
        <f>IF(H52=0,0,1000000*H52/TrRoad_act!H80)</f>
        <v>11972.1190401927</v>
      </c>
      <c r="I137" s="116">
        <f>IF(I52=0,0,1000000*I52/TrRoad_act!I80)</f>
        <v>16924.773938302129</v>
      </c>
      <c r="J137" s="116">
        <f>IF(J52=0,0,1000000*J52/TrRoad_act!J80)</f>
        <v>25066.230591074458</v>
      </c>
      <c r="K137" s="116">
        <f>IF(K52=0,0,1000000*K52/TrRoad_act!K80)</f>
        <v>15951.940013652114</v>
      </c>
      <c r="L137" s="116">
        <f>IF(L52=0,0,1000000*L52/TrRoad_act!L80)</f>
        <v>19130.686390727806</v>
      </c>
      <c r="M137" s="116">
        <f>IF(M52=0,0,1000000*M52/TrRoad_act!M80)</f>
        <v>23792.592598166873</v>
      </c>
      <c r="N137" s="116">
        <f>IF(N52=0,0,1000000*N52/TrRoad_act!N80)</f>
        <v>26351.683615879578</v>
      </c>
      <c r="O137" s="116">
        <f>IF(O52=0,0,1000000*O52/TrRoad_act!O80)</f>
        <v>24040.725415607201</v>
      </c>
      <c r="P137" s="116">
        <f>IF(P52=0,0,1000000*P52/TrRoad_act!P80)</f>
        <v>23238.136597942015</v>
      </c>
      <c r="Q137" s="116">
        <f>IF(Q52=0,0,1000000*Q52/TrRoad_act!Q80)</f>
        <v>21395.736327852501</v>
      </c>
      <c r="R137" s="116">
        <f>IF(R52=0,0,1000000*R52/TrRoad_act!R80)</f>
        <v>23767.584547416081</v>
      </c>
      <c r="S137" s="116">
        <f>IF(S52=0,0,1000000*S52/TrRoad_act!S80)</f>
        <v>23654.339742652886</v>
      </c>
      <c r="T137" s="116">
        <f>IF(T52=0,0,1000000*T52/TrRoad_act!T80)</f>
        <v>22871.009631106743</v>
      </c>
      <c r="U137" s="116">
        <f>IF(U52=0,0,1000000*U52/TrRoad_act!U80)</f>
        <v>21348.177356363245</v>
      </c>
      <c r="V137" s="116">
        <f>IF(V52=0,0,1000000*V52/TrRoad_act!V80)</f>
        <v>15416.023238440906</v>
      </c>
      <c r="W137" s="116">
        <f>IF(W52=0,0,1000000*W52/TrRoad_act!W80)</f>
        <v>21298.811307019401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2574.1073546841967</v>
      </c>
      <c r="C138" s="101">
        <f>IF(C53=0,0,1000000*C53/TrRoad_act!C81)</f>
        <v>2840.1531245120273</v>
      </c>
      <c r="D138" s="101">
        <f>IF(D53=0,0,1000000*D53/TrRoad_act!D81)</f>
        <v>3324.2087597812369</v>
      </c>
      <c r="E138" s="101">
        <f>IF(E53=0,0,1000000*E53/TrRoad_act!E81)</f>
        <v>3727.819897950053</v>
      </c>
      <c r="F138" s="101">
        <f>IF(F53=0,0,1000000*F53/TrRoad_act!F81)</f>
        <v>5076.7767008338333</v>
      </c>
      <c r="G138" s="101">
        <f>IF(G53=0,0,1000000*G53/TrRoad_act!G81)</f>
        <v>5623.4316426370242</v>
      </c>
      <c r="H138" s="101">
        <f>IF(H53=0,0,1000000*H53/TrRoad_act!H81)</f>
        <v>5193.3491764467808</v>
      </c>
      <c r="I138" s="101">
        <f>IF(I53=0,0,1000000*I53/TrRoad_act!I81)</f>
        <v>5758.5875221122933</v>
      </c>
      <c r="J138" s="101">
        <f>IF(J53=0,0,1000000*J53/TrRoad_act!J81)</f>
        <v>6596.8510175321189</v>
      </c>
      <c r="K138" s="101">
        <f>IF(K53=0,0,1000000*K53/TrRoad_act!K81)</f>
        <v>5433.3481748948807</v>
      </c>
      <c r="L138" s="101">
        <f>IF(L53=0,0,1000000*L53/TrRoad_act!L81)</f>
        <v>6311.8701606310278</v>
      </c>
      <c r="M138" s="101">
        <f>IF(M53=0,0,1000000*M53/TrRoad_act!M81)</f>
        <v>6566.9883098502996</v>
      </c>
      <c r="N138" s="101">
        <f>IF(N53=0,0,1000000*N53/TrRoad_act!N81)</f>
        <v>6263.5640010295847</v>
      </c>
      <c r="O138" s="101">
        <f>IF(O53=0,0,1000000*O53/TrRoad_act!O81)</f>
        <v>5864.8832528808571</v>
      </c>
      <c r="P138" s="101">
        <f>IF(P53=0,0,1000000*P53/TrRoad_act!P81)</f>
        <v>6187.0623229819703</v>
      </c>
      <c r="Q138" s="101">
        <f>IF(Q53=0,0,1000000*Q53/TrRoad_act!Q81)</f>
        <v>5808.2702379626089</v>
      </c>
      <c r="R138" s="101">
        <f>IF(R53=0,0,1000000*R53/TrRoad_act!R81)</f>
        <v>5645.5918360666283</v>
      </c>
      <c r="S138" s="101">
        <f>IF(S53=0,0,1000000*S53/TrRoad_act!S81)</f>
        <v>5945.6364639798694</v>
      </c>
      <c r="T138" s="101">
        <f>IF(T53=0,0,1000000*T53/TrRoad_act!T81)</f>
        <v>5445.2195160325873</v>
      </c>
      <c r="U138" s="101">
        <f>IF(U53=0,0,1000000*U53/TrRoad_act!U81)</f>
        <v>5650.3745572890684</v>
      </c>
      <c r="V138" s="101">
        <f>IF(V53=0,0,1000000*V53/TrRoad_act!V81)</f>
        <v>4979.5795579043333</v>
      </c>
      <c r="W138" s="101">
        <f>IF(W53=0,0,1000000*W53/TrRoad_act!W81)</f>
        <v>6084.8417383727838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1244.5233130440495</v>
      </c>
      <c r="C139" s="88">
        <f>IF(C55=0,0,1000000*C55/TrRoad_act!C82)</f>
        <v>16925.810974134543</v>
      </c>
      <c r="D139" s="88">
        <f>IF(D55=0,0,1000000*D55/TrRoad_act!D82)</f>
        <v>16061.282160920571</v>
      </c>
      <c r="E139" s="88">
        <f>IF(E55=0,0,1000000*E55/TrRoad_act!E82)</f>
        <v>22589.801635554992</v>
      </c>
      <c r="F139" s="88">
        <f>IF(F55=0,0,1000000*F55/TrRoad_act!F82)</f>
        <v>31997.934294685747</v>
      </c>
      <c r="G139" s="88">
        <f>IF(G55=0,0,1000000*G55/TrRoad_act!G82)</f>
        <v>41672.164459485903</v>
      </c>
      <c r="H139" s="88">
        <f>IF(H55=0,0,1000000*H55/TrRoad_act!H82)</f>
        <v>45168.795892154332</v>
      </c>
      <c r="I139" s="88">
        <f>IF(I55=0,0,1000000*I55/TrRoad_act!I82)</f>
        <v>72849.061166694984</v>
      </c>
      <c r="J139" s="88">
        <f>IF(J55=0,0,1000000*J55/TrRoad_act!J82)</f>
        <v>114625.58187823927</v>
      </c>
      <c r="K139" s="88">
        <f>IF(K55=0,0,1000000*K55/TrRoad_act!K82)</f>
        <v>70646.179894578192</v>
      </c>
      <c r="L139" s="88">
        <f>IF(L55=0,0,1000000*L55/TrRoad_act!L82)</f>
        <v>80855.57287287683</v>
      </c>
      <c r="M139" s="88">
        <f>IF(M55=0,0,1000000*M55/TrRoad_act!M82)</f>
        <v>100745.49179317811</v>
      </c>
      <c r="N139" s="88">
        <f>IF(N55=0,0,1000000*N55/TrRoad_act!N82)</f>
        <v>111210.3788415349</v>
      </c>
      <c r="O139" s="88">
        <f>IF(O55=0,0,1000000*O55/TrRoad_act!O82)</f>
        <v>99873.98490836515</v>
      </c>
      <c r="P139" s="88">
        <f>IF(P55=0,0,1000000*P55/TrRoad_act!P82)</f>
        <v>94681.903913258153</v>
      </c>
      <c r="Q139" s="88">
        <f>IF(Q55=0,0,1000000*Q55/TrRoad_act!Q82)</f>
        <v>81062.833282493826</v>
      </c>
      <c r="R139" s="88">
        <f>IF(R55=0,0,1000000*R55/TrRoad_act!R82)</f>
        <v>89666.967243707171</v>
      </c>
      <c r="S139" s="88">
        <f>IF(S55=0,0,1000000*S55/TrRoad_act!S82)</f>
        <v>82286.947078959754</v>
      </c>
      <c r="T139" s="88">
        <f>IF(T55=0,0,1000000*T55/TrRoad_act!T82)</f>
        <v>81851.502514330845</v>
      </c>
      <c r="U139" s="88">
        <f>IF(U55=0,0,1000000*U55/TrRoad_act!U82)</f>
        <v>71869.752521744042</v>
      </c>
      <c r="V139" s="88">
        <f>IF(V55=0,0,1000000*V55/TrRoad_act!V82)</f>
        <v>52475.897374056127</v>
      </c>
      <c r="W139" s="88">
        <f>IF(W55=0,0,1000000*W55/TrRoad_act!W82)</f>
        <v>68201.93028398935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0.90555836664214884</v>
      </c>
      <c r="C142" s="46">
        <f t="shared" si="41"/>
        <v>0.86452889214157169</v>
      </c>
      <c r="D142" s="46">
        <f t="shared" si="41"/>
        <v>0.85606973818328358</v>
      </c>
      <c r="E142" s="46">
        <f t="shared" si="41"/>
        <v>0.83086240671132128</v>
      </c>
      <c r="F142" s="46">
        <f t="shared" si="41"/>
        <v>0.77120780948489853</v>
      </c>
      <c r="G142" s="46">
        <f t="shared" si="41"/>
        <v>0.74488373768423655</v>
      </c>
      <c r="H142" s="46">
        <f t="shared" si="41"/>
        <v>0.72813826712593355</v>
      </c>
      <c r="I142" s="46">
        <f t="shared" si="41"/>
        <v>0.6611141002481945</v>
      </c>
      <c r="J142" s="46">
        <f t="shared" si="41"/>
        <v>0.59895024493176063</v>
      </c>
      <c r="K142" s="46">
        <f t="shared" si="41"/>
        <v>0.69528037906572715</v>
      </c>
      <c r="L142" s="46">
        <f t="shared" ref="L142" si="42">IF(L18=0,0,L18/L$17)</f>
        <v>0.68265867863799778</v>
      </c>
      <c r="M142" s="46">
        <f t="shared" ref="M142:V142" si="43">IF(M18=0,0,M18/M$17)</f>
        <v>0.649906307138721</v>
      </c>
      <c r="N142" s="46">
        <f t="shared" si="43"/>
        <v>0.62580204267279971</v>
      </c>
      <c r="O142" s="46">
        <f t="shared" si="43"/>
        <v>0.64004710498683237</v>
      </c>
      <c r="P142" s="46">
        <f t="shared" si="43"/>
        <v>0.64263670340658818</v>
      </c>
      <c r="Q142" s="46">
        <f t="shared" si="43"/>
        <v>0.65447750925034998</v>
      </c>
      <c r="R142" s="46">
        <f t="shared" si="43"/>
        <v>0.61915413397287544</v>
      </c>
      <c r="S142" s="46">
        <f t="shared" si="43"/>
        <v>0.62094791643944602</v>
      </c>
      <c r="T142" s="46">
        <f t="shared" si="43"/>
        <v>0.62493547206800293</v>
      </c>
      <c r="U142" s="46">
        <f t="shared" si="43"/>
        <v>0.63979639145397704</v>
      </c>
      <c r="V142" s="46">
        <f t="shared" si="43"/>
        <v>0.65461187241540997</v>
      </c>
      <c r="W142" s="46">
        <f t="shared" ref="W142" si="44">IF(W18=0,0,W18/W$17)</f>
        <v>0.6202168473047901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2.9488911523647132E-3</v>
      </c>
      <c r="C143" s="154">
        <f t="shared" si="45"/>
        <v>2.6330775044935422E-3</v>
      </c>
      <c r="D143" s="154">
        <f t="shared" si="45"/>
        <v>2.5490658718447042E-3</v>
      </c>
      <c r="E143" s="154">
        <f t="shared" si="45"/>
        <v>3.0128357762551766E-3</v>
      </c>
      <c r="F143" s="154">
        <f t="shared" si="45"/>
        <v>3.258765460560897E-3</v>
      </c>
      <c r="G143" s="154">
        <f t="shared" si="45"/>
        <v>3.3985246293501358E-3</v>
      </c>
      <c r="H143" s="154">
        <f t="shared" si="45"/>
        <v>3.630336365390049E-3</v>
      </c>
      <c r="I143" s="154">
        <f t="shared" si="45"/>
        <v>3.5434843579239391E-3</v>
      </c>
      <c r="J143" s="154">
        <f t="shared" si="45"/>
        <v>3.2114480249773886E-3</v>
      </c>
      <c r="K143" s="154">
        <f t="shared" si="45"/>
        <v>4.0571019039899398E-3</v>
      </c>
      <c r="L143" s="154">
        <f t="shared" ref="L143" si="46">IF(L19=0,0,L19/L$17)</f>
        <v>4.8025343352552661E-3</v>
      </c>
      <c r="M143" s="154">
        <f t="shared" ref="M143:V143" si="47">IF(M19=0,0,M19/M$17)</f>
        <v>5.293817684054512E-3</v>
      </c>
      <c r="N143" s="154">
        <f t="shared" si="47"/>
        <v>4.773899688593047E-3</v>
      </c>
      <c r="O143" s="154">
        <f t="shared" si="47"/>
        <v>4.4374208655542534E-3</v>
      </c>
      <c r="P143" s="154">
        <f t="shared" si="47"/>
        <v>4.5368400930842247E-3</v>
      </c>
      <c r="Q143" s="154">
        <f t="shared" si="47"/>
        <v>4.8657895316694469E-3</v>
      </c>
      <c r="R143" s="154">
        <f t="shared" si="47"/>
        <v>4.7290954490851675E-3</v>
      </c>
      <c r="S143" s="154">
        <f t="shared" si="47"/>
        <v>4.4661939041314245E-3</v>
      </c>
      <c r="T143" s="154">
        <f t="shared" si="47"/>
        <v>4.1511334599114349E-3</v>
      </c>
      <c r="U143" s="154">
        <f t="shared" si="47"/>
        <v>4.4774111854629199E-3</v>
      </c>
      <c r="V143" s="154">
        <f t="shared" si="47"/>
        <v>4.8647625083162553E-3</v>
      </c>
      <c r="W143" s="154">
        <f t="shared" ref="W143" si="48">IF(W19=0,0,W19/W$17)</f>
        <v>4.1629890622075167E-3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0.83580814006061566</v>
      </c>
      <c r="C144" s="156">
        <f t="shared" si="49"/>
        <v>0.8034877995999633</v>
      </c>
      <c r="D144" s="156">
        <f t="shared" si="49"/>
        <v>0.79868064342015466</v>
      </c>
      <c r="E144" s="156">
        <f t="shared" si="49"/>
        <v>0.77538677969200953</v>
      </c>
      <c r="F144" s="156">
        <f t="shared" si="49"/>
        <v>0.71657871206439816</v>
      </c>
      <c r="G144" s="156">
        <f t="shared" si="49"/>
        <v>0.69483883216413389</v>
      </c>
      <c r="H144" s="156">
        <f t="shared" si="49"/>
        <v>0.67962117605400019</v>
      </c>
      <c r="I144" s="156">
        <f t="shared" si="49"/>
        <v>0.61774558567566973</v>
      </c>
      <c r="J144" s="156">
        <f t="shared" si="49"/>
        <v>0.56189698535443278</v>
      </c>
      <c r="K144" s="156">
        <f t="shared" si="49"/>
        <v>0.65060887160509018</v>
      </c>
      <c r="L144" s="156">
        <f t="shared" ref="L144" si="50">IF(L21=0,0,L21/L$17)</f>
        <v>0.6388046507252072</v>
      </c>
      <c r="M144" s="156">
        <f t="shared" ref="M144:V144" si="51">IF(M21=0,0,M21/M$17)</f>
        <v>0.60706251882197793</v>
      </c>
      <c r="N144" s="156">
        <f t="shared" si="51"/>
        <v>0.58402812889337197</v>
      </c>
      <c r="O144" s="156">
        <f t="shared" si="51"/>
        <v>0.59580960326042798</v>
      </c>
      <c r="P144" s="156">
        <f t="shared" si="51"/>
        <v>0.59689344684334666</v>
      </c>
      <c r="Q144" s="156">
        <f t="shared" si="51"/>
        <v>0.60659603047003496</v>
      </c>
      <c r="R144" s="156">
        <f t="shared" si="51"/>
        <v>0.57430726219396677</v>
      </c>
      <c r="S144" s="156">
        <f t="shared" si="51"/>
        <v>0.57580369292644695</v>
      </c>
      <c r="T144" s="156">
        <f t="shared" si="51"/>
        <v>0.58142777641807586</v>
      </c>
      <c r="U144" s="156">
        <f t="shared" si="51"/>
        <v>0.59421654736992924</v>
      </c>
      <c r="V144" s="156">
        <f t="shared" si="51"/>
        <v>0.61863428040888413</v>
      </c>
      <c r="W144" s="156">
        <f t="shared" ref="W144" si="52">IF(W21=0,0,W21/W$17)</f>
        <v>0.58356596333980959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0.70494331285318046</v>
      </c>
      <c r="C145" s="103">
        <f t="shared" si="53"/>
        <v>0.66991551627235379</v>
      </c>
      <c r="D145" s="103">
        <f t="shared" si="53"/>
        <v>0.62453757639849639</v>
      </c>
      <c r="E145" s="103">
        <f t="shared" si="53"/>
        <v>0.60115802516954875</v>
      </c>
      <c r="F145" s="103">
        <f t="shared" si="53"/>
        <v>0.51157279733240379</v>
      </c>
      <c r="G145" s="103">
        <f t="shared" si="53"/>
        <v>0.47221560177424704</v>
      </c>
      <c r="H145" s="103">
        <f t="shared" si="53"/>
        <v>0.43546481473799886</v>
      </c>
      <c r="I145" s="103">
        <f t="shared" si="53"/>
        <v>0.3713186997242639</v>
      </c>
      <c r="J145" s="103">
        <f t="shared" si="53"/>
        <v>0.33008042419809036</v>
      </c>
      <c r="K145" s="103">
        <f t="shared" si="53"/>
        <v>0.35619508344048628</v>
      </c>
      <c r="L145" s="103">
        <f t="shared" ref="L145" si="54">IF(L22=0,0,L22/L$17)</f>
        <v>0.33656207994533865</v>
      </c>
      <c r="M145" s="103">
        <f t="shared" ref="M145:V145" si="55">IF(M22=0,0,M22/M$17)</f>
        <v>0.30800658281865323</v>
      </c>
      <c r="N145" s="103">
        <f t="shared" si="55"/>
        <v>0.27596936612173811</v>
      </c>
      <c r="O145" s="103">
        <f t="shared" si="55"/>
        <v>0.26510102023689475</v>
      </c>
      <c r="P145" s="103">
        <f t="shared" si="55"/>
        <v>0.25000870092241523</v>
      </c>
      <c r="Q145" s="103">
        <f t="shared" si="55"/>
        <v>0.24651443224728384</v>
      </c>
      <c r="R145" s="103">
        <f t="shared" si="55"/>
        <v>0.22891468968702006</v>
      </c>
      <c r="S145" s="103">
        <f t="shared" si="55"/>
        <v>0.21771443384509293</v>
      </c>
      <c r="T145" s="103">
        <f t="shared" si="55"/>
        <v>0.21655838224556453</v>
      </c>
      <c r="U145" s="103">
        <f t="shared" si="55"/>
        <v>0.21032076515667517</v>
      </c>
      <c r="V145" s="103">
        <f t="shared" si="55"/>
        <v>0.20420144824697237</v>
      </c>
      <c r="W145" s="103">
        <f t="shared" ref="W145" si="56">IF(W22=0,0,W22/W$17)</f>
        <v>0.20481458558905793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0.13086482720743531</v>
      </c>
      <c r="C146" s="103">
        <f t="shared" si="57"/>
        <v>0.13357228332760951</v>
      </c>
      <c r="D146" s="103">
        <f t="shared" si="57"/>
        <v>0.17414306702165822</v>
      </c>
      <c r="E146" s="103">
        <f t="shared" si="57"/>
        <v>0.17422875452246078</v>
      </c>
      <c r="F146" s="103">
        <f t="shared" si="57"/>
        <v>0.20500591473199434</v>
      </c>
      <c r="G146" s="103">
        <f t="shared" si="57"/>
        <v>0.22262323038988679</v>
      </c>
      <c r="H146" s="103">
        <f t="shared" si="57"/>
        <v>0.24378289305003184</v>
      </c>
      <c r="I146" s="103">
        <f t="shared" si="57"/>
        <v>0.2455043879013567</v>
      </c>
      <c r="J146" s="103">
        <f t="shared" si="57"/>
        <v>0.23116545718353773</v>
      </c>
      <c r="K146" s="103">
        <f t="shared" si="57"/>
        <v>0.29202985240868923</v>
      </c>
      <c r="L146" s="103">
        <f t="shared" ref="L146" si="58">IF(L24=0,0,L24/L$17)</f>
        <v>0.29918387372838878</v>
      </c>
      <c r="M146" s="103">
        <f t="shared" ref="M146:V146" si="59">IF(M24=0,0,M24/M$17)</f>
        <v>0.29556901243713457</v>
      </c>
      <c r="N146" s="103">
        <f t="shared" si="59"/>
        <v>0.30342628487447065</v>
      </c>
      <c r="O146" s="103">
        <f t="shared" si="59"/>
        <v>0.32397782250390167</v>
      </c>
      <c r="P146" s="103">
        <f t="shared" si="59"/>
        <v>0.33969648171829181</v>
      </c>
      <c r="Q146" s="103">
        <f t="shared" si="59"/>
        <v>0.35222816324162959</v>
      </c>
      <c r="R146" s="103">
        <f t="shared" si="59"/>
        <v>0.33736968989391081</v>
      </c>
      <c r="S146" s="103">
        <f t="shared" si="59"/>
        <v>0.35032109727896588</v>
      </c>
      <c r="T146" s="103">
        <f t="shared" si="59"/>
        <v>0.35727906721647174</v>
      </c>
      <c r="U146" s="103">
        <f t="shared" si="59"/>
        <v>0.37640224306626135</v>
      </c>
      <c r="V146" s="103">
        <f t="shared" si="59"/>
        <v>0.40850378124737846</v>
      </c>
      <c r="W146" s="103">
        <f t="shared" ref="W146" si="60">IF(W24=0,0,W24/W$17)</f>
        <v>0.36953141548554813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3.7346826596952343E-4</v>
      </c>
      <c r="I147" s="103">
        <f t="shared" si="61"/>
        <v>9.2249805004926844E-4</v>
      </c>
      <c r="J147" s="103">
        <f t="shared" si="61"/>
        <v>6.5110397280465008E-4</v>
      </c>
      <c r="K147" s="103">
        <f t="shared" si="61"/>
        <v>2.383935755914729E-3</v>
      </c>
      <c r="L147" s="103">
        <f t="shared" ref="L147" si="62">IF(L26=0,0,L26/L$17)</f>
        <v>3.058697051479728E-3</v>
      </c>
      <c r="M147" s="103">
        <f t="shared" ref="M147:V147" si="63">IF(M26=0,0,M26/M$17)</f>
        <v>3.4861369509798386E-3</v>
      </c>
      <c r="N147" s="103">
        <f t="shared" si="63"/>
        <v>4.6279346297491229E-3</v>
      </c>
      <c r="O147" s="103">
        <f t="shared" si="63"/>
        <v>6.7118171131266904E-3</v>
      </c>
      <c r="P147" s="103">
        <f t="shared" si="63"/>
        <v>7.1129311988975133E-3</v>
      </c>
      <c r="Q147" s="103">
        <f t="shared" si="63"/>
        <v>7.767229343459226E-3</v>
      </c>
      <c r="R147" s="103">
        <f t="shared" si="63"/>
        <v>7.9022143109436001E-3</v>
      </c>
      <c r="S147" s="103">
        <f t="shared" si="63"/>
        <v>7.5616959143432385E-3</v>
      </c>
      <c r="T147" s="103">
        <f t="shared" si="63"/>
        <v>7.3012408434376249E-3</v>
      </c>
      <c r="U147" s="103">
        <f t="shared" si="63"/>
        <v>7.1435248639064603E-3</v>
      </c>
      <c r="V147" s="103">
        <f t="shared" si="63"/>
        <v>5.4481924168003583E-3</v>
      </c>
      <c r="W147" s="103">
        <f t="shared" ref="W147" si="64">IF(W26=0,0,W26/W$17)</f>
        <v>8.6009900470329498E-3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2.686187015803245E-6</v>
      </c>
      <c r="O148" s="103">
        <f t="shared" si="67"/>
        <v>1.4828741693817767E-5</v>
      </c>
      <c r="P148" s="103">
        <f t="shared" si="67"/>
        <v>6.6959080927999742E-5</v>
      </c>
      <c r="Q148" s="103">
        <f t="shared" si="67"/>
        <v>6.6199074698733291E-5</v>
      </c>
      <c r="R148" s="103">
        <f t="shared" si="67"/>
        <v>8.0076525996156933E-5</v>
      </c>
      <c r="S148" s="103">
        <f t="shared" si="67"/>
        <v>1.1002621170215546E-4</v>
      </c>
      <c r="T148" s="103">
        <f t="shared" si="67"/>
        <v>1.1965129567906704E-4</v>
      </c>
      <c r="U148" s="103">
        <f t="shared" si="67"/>
        <v>1.1601712363613217E-4</v>
      </c>
      <c r="V148" s="103">
        <f t="shared" si="67"/>
        <v>1.1365361384924028E-4</v>
      </c>
      <c r="W148" s="103">
        <f t="shared" ref="W148" si="68">IF(W27=0,0,W27/W$17)</f>
        <v>1.0590458162715119E-4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1.9002656755856904E-6</v>
      </c>
      <c r="P149" s="103">
        <f t="shared" si="71"/>
        <v>3.0530357626793113E-6</v>
      </c>
      <c r="Q149" s="103">
        <f t="shared" si="71"/>
        <v>8.1592462227545851E-6</v>
      </c>
      <c r="R149" s="103">
        <f t="shared" si="71"/>
        <v>2.155537959535299E-5</v>
      </c>
      <c r="S149" s="103">
        <f t="shared" si="71"/>
        <v>6.1635051166688401E-5</v>
      </c>
      <c r="T149" s="103">
        <f t="shared" si="71"/>
        <v>1.1396073883829842E-4</v>
      </c>
      <c r="U149" s="103">
        <f t="shared" si="71"/>
        <v>1.2996250430609204E-4</v>
      </c>
      <c r="V149" s="103">
        <f t="shared" si="71"/>
        <v>1.5609664060742333E-4</v>
      </c>
      <c r="W149" s="103">
        <f t="shared" ref="W149" si="72">IF(W29=0,0,W29/W$17)</f>
        <v>1.9436845550981831E-4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7.8661521026362717E-7</v>
      </c>
      <c r="N150" s="103">
        <f t="shared" si="75"/>
        <v>1.8570803982258796E-6</v>
      </c>
      <c r="O150" s="103">
        <f t="shared" si="75"/>
        <v>2.2143991354399611E-6</v>
      </c>
      <c r="P150" s="103">
        <f t="shared" si="75"/>
        <v>5.3208870514539638E-6</v>
      </c>
      <c r="Q150" s="103">
        <f t="shared" si="75"/>
        <v>1.1847316740649983E-5</v>
      </c>
      <c r="R150" s="103">
        <f t="shared" si="75"/>
        <v>1.9036396500901152E-5</v>
      </c>
      <c r="S150" s="103">
        <f t="shared" si="75"/>
        <v>3.4804625176133987E-5</v>
      </c>
      <c r="T150" s="103">
        <f t="shared" si="75"/>
        <v>5.5474078084677854E-5</v>
      </c>
      <c r="U150" s="103">
        <f t="shared" si="75"/>
        <v>1.0403465514399416E-4</v>
      </c>
      <c r="V150" s="103">
        <f t="shared" si="75"/>
        <v>2.111082432763382E-4</v>
      </c>
      <c r="W150" s="103">
        <f t="shared" ref="W150" si="76">IF(W32=0,0,W32/W$17)</f>
        <v>3.1869918103358074E-4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6.6801335429168524E-2</v>
      </c>
      <c r="C151" s="156">
        <f t="shared" si="77"/>
        <v>5.840801503711493E-2</v>
      </c>
      <c r="D151" s="156">
        <f t="shared" si="77"/>
        <v>5.4840028891284323E-2</v>
      </c>
      <c r="E151" s="156">
        <f t="shared" si="77"/>
        <v>5.2462791243056514E-2</v>
      </c>
      <c r="F151" s="156">
        <f t="shared" si="77"/>
        <v>5.137033195993948E-2</v>
      </c>
      <c r="G151" s="156">
        <f t="shared" si="77"/>
        <v>4.6646380890752626E-2</v>
      </c>
      <c r="H151" s="156">
        <f t="shared" si="77"/>
        <v>4.4886754706543262E-2</v>
      </c>
      <c r="I151" s="156">
        <f t="shared" si="77"/>
        <v>3.9825030214600737E-2</v>
      </c>
      <c r="J151" s="156">
        <f t="shared" si="77"/>
        <v>3.384181155235047E-2</v>
      </c>
      <c r="K151" s="156">
        <f t="shared" si="77"/>
        <v>4.0614405556647068E-2</v>
      </c>
      <c r="L151" s="156">
        <f t="shared" ref="L151" si="78">IF(L33=0,0,L33/L$17)</f>
        <v>3.9051493577535318E-2</v>
      </c>
      <c r="M151" s="156">
        <f t="shared" ref="M151:V151" si="79">IF(M33=0,0,M33/M$17)</f>
        <v>3.754997063268839E-2</v>
      </c>
      <c r="N151" s="156">
        <f t="shared" si="79"/>
        <v>3.7000014090834733E-2</v>
      </c>
      <c r="O151" s="156">
        <f t="shared" si="79"/>
        <v>3.9800080860850198E-2</v>
      </c>
      <c r="P151" s="156">
        <f t="shared" si="79"/>
        <v>4.1206416470157201E-2</v>
      </c>
      <c r="Q151" s="156">
        <f t="shared" si="79"/>
        <v>4.3015689248645628E-2</v>
      </c>
      <c r="R151" s="156">
        <f t="shared" si="79"/>
        <v>4.011777632982344E-2</v>
      </c>
      <c r="S151" s="156">
        <f t="shared" si="79"/>
        <v>4.0678029608867544E-2</v>
      </c>
      <c r="T151" s="156">
        <f t="shared" si="79"/>
        <v>3.9356562190015633E-2</v>
      </c>
      <c r="U151" s="156">
        <f t="shared" si="79"/>
        <v>4.1102432898584958E-2</v>
      </c>
      <c r="V151" s="156">
        <f t="shared" si="79"/>
        <v>3.1112829498209506E-2</v>
      </c>
      <c r="W151" s="156">
        <f t="shared" ref="W151" si="80">IF(W33=0,0,W33/W$17)</f>
        <v>3.2487894902772978E-2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3.4841725104770596E-4</v>
      </c>
      <c r="C152" s="103">
        <f t="shared" si="81"/>
        <v>2.9932850904782886E-4</v>
      </c>
      <c r="D152" s="103">
        <f t="shared" si="81"/>
        <v>2.6205608114590986E-4</v>
      </c>
      <c r="E152" s="103">
        <f t="shared" si="81"/>
        <v>2.2329863340813598E-4</v>
      </c>
      <c r="F152" s="103">
        <f t="shared" si="81"/>
        <v>1.8302555395505228E-4</v>
      </c>
      <c r="G152" s="103">
        <f t="shared" si="81"/>
        <v>1.5116106231618522E-4</v>
      </c>
      <c r="H152" s="103">
        <f t="shared" si="81"/>
        <v>1.2853957652697481E-4</v>
      </c>
      <c r="I152" s="103">
        <f t="shared" si="81"/>
        <v>9.7348989941449239E-5</v>
      </c>
      <c r="J152" s="103">
        <f t="shared" si="81"/>
        <v>6.5140065361368149E-5</v>
      </c>
      <c r="K152" s="103">
        <f t="shared" si="81"/>
        <v>6.5057194167305915E-5</v>
      </c>
      <c r="L152" s="103">
        <f t="shared" ref="L152" si="82">IF(L34=0,0,L34/L$17)</f>
        <v>5.1867634095861007E-5</v>
      </c>
      <c r="M152" s="103">
        <f t="shared" ref="M152:V152" si="83">IF(M34=0,0,M34/M$17)</f>
        <v>3.8844694630361948E-5</v>
      </c>
      <c r="N152" s="103">
        <f t="shared" si="83"/>
        <v>3.3133108909002438E-5</v>
      </c>
      <c r="O152" s="103">
        <f t="shared" si="83"/>
        <v>2.679098856154682E-5</v>
      </c>
      <c r="P152" s="103">
        <f t="shared" si="83"/>
        <v>2.1587805995747454E-5</v>
      </c>
      <c r="Q152" s="103">
        <f t="shared" si="83"/>
        <v>1.6746684837009715E-5</v>
      </c>
      <c r="R152" s="103">
        <f t="shared" si="83"/>
        <v>1.5587061715740105E-5</v>
      </c>
      <c r="S152" s="103">
        <f t="shared" si="83"/>
        <v>1.4657778570528402E-5</v>
      </c>
      <c r="T152" s="103">
        <f t="shared" si="83"/>
        <v>1.3547137654384015E-5</v>
      </c>
      <c r="U152" s="103">
        <f t="shared" si="83"/>
        <v>1.3517440446105023E-5</v>
      </c>
      <c r="V152" s="103">
        <f t="shared" si="83"/>
        <v>1.2545814760018141E-5</v>
      </c>
      <c r="W152" s="103">
        <f t="shared" ref="W152" si="84">IF(W34=0,0,W34/W$17)</f>
        <v>1.0894120390190812E-5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6.6452918178120809E-2</v>
      </c>
      <c r="C153" s="103">
        <f t="shared" si="85"/>
        <v>5.8108686528067104E-2</v>
      </c>
      <c r="D153" s="103">
        <f t="shared" si="85"/>
        <v>5.4577972810138417E-2</v>
      </c>
      <c r="E153" s="103">
        <f t="shared" si="85"/>
        <v>5.2239492609648386E-2</v>
      </c>
      <c r="F153" s="103">
        <f t="shared" si="85"/>
        <v>5.1187306405984422E-2</v>
      </c>
      <c r="G153" s="103">
        <f t="shared" si="85"/>
        <v>4.6495219828436442E-2</v>
      </c>
      <c r="H153" s="103">
        <f t="shared" si="85"/>
        <v>4.4758215130016279E-2</v>
      </c>
      <c r="I153" s="103">
        <f t="shared" si="85"/>
        <v>3.9727681224659285E-2</v>
      </c>
      <c r="J153" s="103">
        <f t="shared" si="85"/>
        <v>3.3776671486989103E-2</v>
      </c>
      <c r="K153" s="103">
        <f t="shared" si="85"/>
        <v>4.0549348362479753E-2</v>
      </c>
      <c r="L153" s="103">
        <f t="shared" ref="L153" si="86">IF(L36=0,0,L36/L$17)</f>
        <v>3.8999625943439455E-2</v>
      </c>
      <c r="M153" s="103">
        <f t="shared" ref="M153:V153" si="87">IF(M36=0,0,M36/M$17)</f>
        <v>3.7511125938058033E-2</v>
      </c>
      <c r="N153" s="103">
        <f t="shared" si="87"/>
        <v>3.6602742910764416E-2</v>
      </c>
      <c r="O153" s="103">
        <f t="shared" si="87"/>
        <v>3.9342597427689446E-2</v>
      </c>
      <c r="P153" s="103">
        <f t="shared" si="87"/>
        <v>4.0593915358070935E-2</v>
      </c>
      <c r="Q153" s="103">
        <f t="shared" si="87"/>
        <v>4.1893127760307639E-2</v>
      </c>
      <c r="R153" s="103">
        <f t="shared" si="87"/>
        <v>3.8673411319748746E-2</v>
      </c>
      <c r="S153" s="103">
        <f t="shared" si="87"/>
        <v>3.9070763636925909E-2</v>
      </c>
      <c r="T153" s="103">
        <f t="shared" si="87"/>
        <v>3.7748900466763505E-2</v>
      </c>
      <c r="U153" s="103">
        <f t="shared" si="87"/>
        <v>3.8875203227106227E-2</v>
      </c>
      <c r="V153" s="103">
        <f t="shared" si="87"/>
        <v>2.8987117072943942E-2</v>
      </c>
      <c r="W153" s="103">
        <f t="shared" ref="W153" si="88">IF(W36=0,0,W36/W$17)</f>
        <v>3.0009248721363797E-2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3.6413807116131221E-4</v>
      </c>
      <c r="O155" s="103">
        <f t="shared" si="95"/>
        <v>4.306924445991968E-4</v>
      </c>
      <c r="P155" s="103">
        <f t="shared" si="95"/>
        <v>5.7029634812945916E-4</v>
      </c>
      <c r="Q155" s="103">
        <f t="shared" si="95"/>
        <v>1.0849275774598476E-3</v>
      </c>
      <c r="R155" s="103">
        <f t="shared" si="95"/>
        <v>1.3895145932071612E-3</v>
      </c>
      <c r="S155" s="103">
        <f t="shared" si="95"/>
        <v>1.563907312994854E-3</v>
      </c>
      <c r="T155" s="103">
        <f t="shared" si="95"/>
        <v>1.5568191410042127E-3</v>
      </c>
      <c r="U155" s="103">
        <f t="shared" si="95"/>
        <v>2.1567888041598773E-3</v>
      </c>
      <c r="V155" s="103">
        <f t="shared" si="95"/>
        <v>2.0554275300824531E-3</v>
      </c>
      <c r="W155" s="103">
        <f t="shared" ref="W155" si="96">IF(W39=0,0,W39/W$17)</f>
        <v>2.4076732585612054E-3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2.0616957961052186E-5</v>
      </c>
      <c r="Q156" s="103">
        <f t="shared" si="99"/>
        <v>2.0887226041135928E-5</v>
      </c>
      <c r="R156" s="103">
        <f t="shared" si="99"/>
        <v>3.926335515178839E-5</v>
      </c>
      <c r="S156" s="103">
        <f t="shared" si="99"/>
        <v>2.8700880376245757E-5</v>
      </c>
      <c r="T156" s="103">
        <f t="shared" si="99"/>
        <v>3.729544459352553E-5</v>
      </c>
      <c r="U156" s="103">
        <f t="shared" si="99"/>
        <v>5.6923426872749575E-5</v>
      </c>
      <c r="V156" s="103">
        <f t="shared" si="99"/>
        <v>5.7739080423089958E-5</v>
      </c>
      <c r="W156" s="103">
        <f t="shared" ref="W156" si="100">IF(W41=0,0,W41/W$17)</f>
        <v>6.0078802457780979E-5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9.4441633357851176E-2</v>
      </c>
      <c r="C157" s="46">
        <f t="shared" si="101"/>
        <v>0.13547110785842834</v>
      </c>
      <c r="D157" s="46">
        <f t="shared" si="101"/>
        <v>0.14393026181671639</v>
      </c>
      <c r="E157" s="46">
        <f t="shared" si="101"/>
        <v>0.16913759328867872</v>
      </c>
      <c r="F157" s="46">
        <f t="shared" si="101"/>
        <v>0.22879219051510141</v>
      </c>
      <c r="G157" s="46">
        <f t="shared" si="101"/>
        <v>0.25511626231576345</v>
      </c>
      <c r="H157" s="46">
        <f t="shared" si="101"/>
        <v>0.2718617328740664</v>
      </c>
      <c r="I157" s="46">
        <f t="shared" si="101"/>
        <v>0.33888589975180555</v>
      </c>
      <c r="J157" s="46">
        <f t="shared" si="101"/>
        <v>0.40104975506823948</v>
      </c>
      <c r="K157" s="46">
        <f t="shared" si="101"/>
        <v>0.30471962093427291</v>
      </c>
      <c r="L157" s="46">
        <f t="shared" ref="L157" si="102">IF(L42=0,0,L42/L$17)</f>
        <v>0.31734132136200227</v>
      </c>
      <c r="M157" s="46">
        <f t="shared" ref="M157:V157" si="103">IF(M42=0,0,M42/M$17)</f>
        <v>0.35009369286127906</v>
      </c>
      <c r="N157" s="46">
        <f t="shared" si="103"/>
        <v>0.37419795732720024</v>
      </c>
      <c r="O157" s="46">
        <f t="shared" si="103"/>
        <v>0.35995289501316763</v>
      </c>
      <c r="P157" s="46">
        <f t="shared" si="103"/>
        <v>0.35736329659341187</v>
      </c>
      <c r="Q157" s="46">
        <f t="shared" si="103"/>
        <v>0.34552249074964997</v>
      </c>
      <c r="R157" s="46">
        <f t="shared" si="103"/>
        <v>0.3808458660271245</v>
      </c>
      <c r="S157" s="46">
        <f t="shared" si="103"/>
        <v>0.37905208356055392</v>
      </c>
      <c r="T157" s="46">
        <f t="shared" si="103"/>
        <v>0.37506452793199707</v>
      </c>
      <c r="U157" s="46">
        <f t="shared" si="103"/>
        <v>0.36020360854602285</v>
      </c>
      <c r="V157" s="46">
        <f t="shared" si="103"/>
        <v>0.34538812758459003</v>
      </c>
      <c r="W157" s="46">
        <f t="shared" ref="W157" si="104">IF(W42=0,0,W42/W$17)</f>
        <v>0.37978315269520985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3.4456342091384685E-2</v>
      </c>
      <c r="C158" s="154">
        <f t="shared" si="105"/>
        <v>3.4575270864378164E-2</v>
      </c>
      <c r="D158" s="154">
        <f t="shared" si="105"/>
        <v>3.6222972348488543E-2</v>
      </c>
      <c r="E158" s="154">
        <f t="shared" si="105"/>
        <v>3.8644372083673995E-2</v>
      </c>
      <c r="F158" s="154">
        <f t="shared" si="105"/>
        <v>4.1805240736587458E-2</v>
      </c>
      <c r="G158" s="154">
        <f t="shared" si="105"/>
        <v>4.3171212906840221E-2</v>
      </c>
      <c r="H158" s="154">
        <f t="shared" si="105"/>
        <v>4.5148227234500377E-2</v>
      </c>
      <c r="I158" s="154">
        <f t="shared" si="105"/>
        <v>4.5721876500922458E-2</v>
      </c>
      <c r="J158" s="154">
        <f t="shared" si="105"/>
        <v>4.3002969802936858E-2</v>
      </c>
      <c r="K158" s="154">
        <f t="shared" si="105"/>
        <v>5.3094191839120626E-2</v>
      </c>
      <c r="L158" s="154">
        <f t="shared" ref="L158" si="106">IF(L43=0,0,L43/L$17)</f>
        <v>5.2307341908334803E-2</v>
      </c>
      <c r="M158" s="154">
        <f t="shared" ref="M158:V158" si="107">IF(M43=0,0,M43/M$17)</f>
        <v>5.1800414004057375E-2</v>
      </c>
      <c r="N158" s="154">
        <f t="shared" si="107"/>
        <v>5.1831715019403549E-2</v>
      </c>
      <c r="O158" s="154">
        <f t="shared" si="107"/>
        <v>5.5785636639918736E-2</v>
      </c>
      <c r="P158" s="154">
        <f t="shared" si="107"/>
        <v>5.9156621486324217E-2</v>
      </c>
      <c r="Q158" s="154">
        <f t="shared" si="107"/>
        <v>6.3020942110968911E-2</v>
      </c>
      <c r="R158" s="154">
        <f t="shared" si="107"/>
        <v>6.2276488072404684E-2</v>
      </c>
      <c r="S158" s="154">
        <f t="shared" si="107"/>
        <v>6.4137249776711203E-2</v>
      </c>
      <c r="T158" s="154">
        <f t="shared" si="107"/>
        <v>6.6524284473075318E-2</v>
      </c>
      <c r="U158" s="154">
        <f t="shared" si="107"/>
        <v>7.1856749194801353E-2</v>
      </c>
      <c r="V158" s="154">
        <f t="shared" si="107"/>
        <v>9.054829447052469E-2</v>
      </c>
      <c r="W158" s="154">
        <f t="shared" ref="W158" si="108">IF(W43=0,0,W43/W$17)</f>
        <v>7.9227677586117776E-2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5.735632385341939E-3</v>
      </c>
      <c r="C159" s="103">
        <f t="shared" si="109"/>
        <v>5.7032355855073215E-3</v>
      </c>
      <c r="D159" s="103">
        <f t="shared" si="109"/>
        <v>5.7268295049737253E-3</v>
      </c>
      <c r="E159" s="103">
        <f t="shared" si="109"/>
        <v>5.631512539017787E-3</v>
      </c>
      <c r="F159" s="103">
        <f t="shared" si="109"/>
        <v>5.6012153504255277E-3</v>
      </c>
      <c r="G159" s="103">
        <f t="shared" si="109"/>
        <v>5.1197398426483364E-3</v>
      </c>
      <c r="H159" s="103">
        <f t="shared" si="109"/>
        <v>4.4964977733759383E-3</v>
      </c>
      <c r="I159" s="103">
        <f t="shared" si="109"/>
        <v>4.0700749054748122E-3</v>
      </c>
      <c r="J159" s="103">
        <f t="shared" si="109"/>
        <v>3.3458131623629265E-3</v>
      </c>
      <c r="K159" s="103">
        <f t="shared" si="109"/>
        <v>3.7146337574299098E-3</v>
      </c>
      <c r="L159" s="103">
        <f t="shared" ref="L159" si="110">IF(L44=0,0,L44/L$17)</f>
        <v>3.3297900973437585E-3</v>
      </c>
      <c r="M159" s="103">
        <f t="shared" ref="M159:V159" si="111">IF(M44=0,0,M44/M$17)</f>
        <v>2.9915991644736549E-3</v>
      </c>
      <c r="N159" s="103">
        <f t="shared" si="111"/>
        <v>2.7986987207085224E-3</v>
      </c>
      <c r="O159" s="103">
        <f t="shared" si="111"/>
        <v>2.7960597221752051E-3</v>
      </c>
      <c r="P159" s="103">
        <f t="shared" si="111"/>
        <v>2.5264984200245649E-3</v>
      </c>
      <c r="Q159" s="103">
        <f t="shared" si="111"/>
        <v>2.4205092784956245E-3</v>
      </c>
      <c r="R159" s="103">
        <f t="shared" si="111"/>
        <v>2.136441334562015E-3</v>
      </c>
      <c r="S159" s="103">
        <f t="shared" si="111"/>
        <v>2.0164421974701741E-3</v>
      </c>
      <c r="T159" s="103">
        <f t="shared" si="111"/>
        <v>1.9617664067846994E-3</v>
      </c>
      <c r="U159" s="103">
        <f t="shared" si="111"/>
        <v>1.9998273066142674E-3</v>
      </c>
      <c r="V159" s="103">
        <f t="shared" si="111"/>
        <v>2.3668323604169295E-3</v>
      </c>
      <c r="W159" s="103">
        <f t="shared" ref="W159" si="112">IF(W44=0,0,W44/W$17)</f>
        <v>2.0749723071561877E-3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2.8720709706042753E-2</v>
      </c>
      <c r="C160" s="103">
        <f t="shared" si="113"/>
        <v>2.8872035278870837E-2</v>
      </c>
      <c r="D160" s="103">
        <f t="shared" si="113"/>
        <v>3.0496142843514814E-2</v>
      </c>
      <c r="E160" s="103">
        <f t="shared" si="113"/>
        <v>3.3012859544656208E-2</v>
      </c>
      <c r="F160" s="103">
        <f t="shared" si="113"/>
        <v>3.6204025386161937E-2</v>
      </c>
      <c r="G160" s="103">
        <f t="shared" si="113"/>
        <v>3.805147306419189E-2</v>
      </c>
      <c r="H160" s="103">
        <f t="shared" si="113"/>
        <v>4.02714419275658E-2</v>
      </c>
      <c r="I160" s="103">
        <f t="shared" si="113"/>
        <v>4.1281137130458341E-2</v>
      </c>
      <c r="J160" s="103">
        <f t="shared" si="113"/>
        <v>3.9212606070176757E-2</v>
      </c>
      <c r="K160" s="103">
        <f t="shared" si="113"/>
        <v>4.9169344314775439E-2</v>
      </c>
      <c r="L160" s="103">
        <f t="shared" ref="L160" si="114">IF(L46=0,0,L46/L$17)</f>
        <v>4.8899652385965477E-2</v>
      </c>
      <c r="M160" s="103">
        <f t="shared" ref="M160:V160" si="115">IF(M46=0,0,M46/M$17)</f>
        <v>4.8740952038427682E-2</v>
      </c>
      <c r="N160" s="103">
        <f t="shared" si="115"/>
        <v>4.8968672576939307E-2</v>
      </c>
      <c r="O160" s="103">
        <f t="shared" si="115"/>
        <v>5.2924270238338601E-2</v>
      </c>
      <c r="P160" s="103">
        <f t="shared" si="115"/>
        <v>5.6260937515655994E-2</v>
      </c>
      <c r="Q160" s="103">
        <f t="shared" si="115"/>
        <v>6.0119147047979424E-2</v>
      </c>
      <c r="R160" s="103">
        <f t="shared" si="115"/>
        <v>5.9695247396647631E-2</v>
      </c>
      <c r="S160" s="103">
        <f t="shared" si="115"/>
        <v>6.1696754858538663E-2</v>
      </c>
      <c r="T160" s="103">
        <f t="shared" si="115"/>
        <v>6.4170748292598612E-2</v>
      </c>
      <c r="U160" s="103">
        <f t="shared" si="115"/>
        <v>6.9429121239522176E-2</v>
      </c>
      <c r="V160" s="103">
        <f t="shared" si="115"/>
        <v>8.7663049556520919E-2</v>
      </c>
      <c r="W160" s="103">
        <f t="shared" ref="W160" si="116">IF(W46=0,0,W46/W$17)</f>
        <v>7.6577677939199923E-2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3.802875335586263E-4</v>
      </c>
      <c r="I161" s="103">
        <f t="shared" si="117"/>
        <v>3.7066446498931229E-4</v>
      </c>
      <c r="J161" s="103">
        <f t="shared" si="117"/>
        <v>4.4455057039717154E-4</v>
      </c>
      <c r="K161" s="103">
        <f t="shared" si="117"/>
        <v>2.102137669152777E-4</v>
      </c>
      <c r="L161" s="103">
        <f t="shared" ref="L161" si="118">IF(L48=0,0,L48/L$17)</f>
        <v>7.789942502556587E-5</v>
      </c>
      <c r="M161" s="103">
        <f t="shared" ref="M161:V161" si="119">IF(M48=0,0,M48/M$17)</f>
        <v>6.7862801156039345E-5</v>
      </c>
      <c r="N161" s="103">
        <f t="shared" si="119"/>
        <v>6.434372175572042E-5</v>
      </c>
      <c r="O161" s="103">
        <f t="shared" si="119"/>
        <v>6.530667940493097E-5</v>
      </c>
      <c r="P161" s="103">
        <f t="shared" si="119"/>
        <v>3.4811512968602908E-4</v>
      </c>
      <c r="Q161" s="103">
        <f t="shared" si="119"/>
        <v>4.2050235152223217E-4</v>
      </c>
      <c r="R161" s="103">
        <f t="shared" si="119"/>
        <v>3.8896652070177155E-4</v>
      </c>
      <c r="S161" s="103">
        <f t="shared" si="119"/>
        <v>3.6468246501963019E-4</v>
      </c>
      <c r="T161" s="103">
        <f t="shared" si="119"/>
        <v>3.3279447909203896E-4</v>
      </c>
      <c r="U161" s="103">
        <f t="shared" si="119"/>
        <v>3.4989970576480812E-4</v>
      </c>
      <c r="V161" s="103">
        <f t="shared" si="119"/>
        <v>4.1836172280782424E-4</v>
      </c>
      <c r="W161" s="103">
        <f t="shared" ref="W161" si="120">IF(W48=0,0,W48/W$17)</f>
        <v>4.7520231495664739E-4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1.8927798537836617E-5</v>
      </c>
      <c r="Q162" s="103">
        <f t="shared" si="123"/>
        <v>5.5181688152713014E-5</v>
      </c>
      <c r="R162" s="103">
        <f t="shared" si="123"/>
        <v>4.6667667149299447E-5</v>
      </c>
      <c r="S162" s="103">
        <f t="shared" si="123"/>
        <v>4.1782626003453577E-5</v>
      </c>
      <c r="T162" s="103">
        <f t="shared" si="123"/>
        <v>3.9689549519904318E-5</v>
      </c>
      <c r="U162" s="103">
        <f t="shared" si="123"/>
        <v>5.3487437834365841E-5</v>
      </c>
      <c r="V162" s="103">
        <f t="shared" si="123"/>
        <v>6.6368850690631638E-5</v>
      </c>
      <c r="W162" s="103">
        <f t="shared" ref="W162" si="124">IF(W49=0,0,W49/W$17)</f>
        <v>5.9598226318912864E-5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0</v>
      </c>
      <c r="P163" s="103">
        <f t="shared" si="127"/>
        <v>2.1426224197970878E-6</v>
      </c>
      <c r="Q163" s="103">
        <f t="shared" si="127"/>
        <v>5.6017448189140509E-6</v>
      </c>
      <c r="R163" s="103">
        <f t="shared" si="127"/>
        <v>9.1651533439701151E-6</v>
      </c>
      <c r="S163" s="103">
        <f t="shared" si="127"/>
        <v>1.7587629679278526E-5</v>
      </c>
      <c r="T163" s="103">
        <f t="shared" si="127"/>
        <v>1.9285745080072356E-5</v>
      </c>
      <c r="U163" s="103">
        <f t="shared" si="127"/>
        <v>2.4413505065746809E-5</v>
      </c>
      <c r="V163" s="103">
        <f t="shared" si="127"/>
        <v>3.3681980088404862E-5</v>
      </c>
      <c r="W163" s="103">
        <f t="shared" ref="W163" si="128">IF(W51=0,0,W51/W$17)</f>
        <v>4.0226798486095946E-5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5.9985291266466484E-2</v>
      </c>
      <c r="C164" s="156">
        <f t="shared" si="129"/>
        <v>0.10089583699405016</v>
      </c>
      <c r="D164" s="156">
        <f t="shared" si="129"/>
        <v>0.10770728946822784</v>
      </c>
      <c r="E164" s="156">
        <f t="shared" si="129"/>
        <v>0.13049322120500473</v>
      </c>
      <c r="F164" s="156">
        <f t="shared" si="129"/>
        <v>0.18698694977851396</v>
      </c>
      <c r="G164" s="156">
        <f t="shared" si="129"/>
        <v>0.21194504940892323</v>
      </c>
      <c r="H164" s="156">
        <f t="shared" si="129"/>
        <v>0.22671350563956605</v>
      </c>
      <c r="I164" s="156">
        <f t="shared" si="129"/>
        <v>0.29316402325088309</v>
      </c>
      <c r="J164" s="156">
        <f t="shared" si="129"/>
        <v>0.35804678526530259</v>
      </c>
      <c r="K164" s="156">
        <f t="shared" si="129"/>
        <v>0.25162542909515229</v>
      </c>
      <c r="L164" s="156">
        <f t="shared" ref="L164" si="130">IF(L52=0,0,L52/L$17)</f>
        <v>0.26503397945366747</v>
      </c>
      <c r="M164" s="156">
        <f t="shared" ref="M164:V164" si="131">IF(M52=0,0,M52/M$17)</f>
        <v>0.29829327885722162</v>
      </c>
      <c r="N164" s="156">
        <f t="shared" si="131"/>
        <v>0.3223662423077967</v>
      </c>
      <c r="O164" s="156">
        <f t="shared" si="131"/>
        <v>0.30416725837324887</v>
      </c>
      <c r="P164" s="156">
        <f t="shared" si="131"/>
        <v>0.29820667510708765</v>
      </c>
      <c r="Q164" s="156">
        <f t="shared" si="131"/>
        <v>0.2825015486386811</v>
      </c>
      <c r="R164" s="156">
        <f t="shared" si="131"/>
        <v>0.31856937795471979</v>
      </c>
      <c r="S164" s="156">
        <f t="shared" si="131"/>
        <v>0.31491483378384272</v>
      </c>
      <c r="T164" s="156">
        <f t="shared" si="131"/>
        <v>0.30854024345892173</v>
      </c>
      <c r="U164" s="156">
        <f t="shared" si="131"/>
        <v>0.28834685935122145</v>
      </c>
      <c r="V164" s="156">
        <f t="shared" si="131"/>
        <v>0.25483983311406533</v>
      </c>
      <c r="W164" s="156">
        <f t="shared" ref="W164" si="132">IF(W52=0,0,W52/W$17)</f>
        <v>0.30055547510909209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5.6901562268660326E-2</v>
      </c>
      <c r="C165" s="104">
        <f t="shared" si="133"/>
        <v>5.7778140240464987E-2</v>
      </c>
      <c r="D165" s="104">
        <f t="shared" si="133"/>
        <v>6.5812607396854253E-2</v>
      </c>
      <c r="E165" s="104">
        <f t="shared" si="133"/>
        <v>7.1045695883461629E-2</v>
      </c>
      <c r="F165" s="104">
        <f t="shared" si="133"/>
        <v>9.149971270487256E-2</v>
      </c>
      <c r="G165" s="104">
        <f t="shared" si="133"/>
        <v>9.1006481744198925E-2</v>
      </c>
      <c r="H165" s="104">
        <f t="shared" si="133"/>
        <v>8.1668612041983654E-2</v>
      </c>
      <c r="I165" s="104">
        <f t="shared" si="133"/>
        <v>8.3146384265891479E-2</v>
      </c>
      <c r="J165" s="104">
        <f t="shared" si="133"/>
        <v>7.8119434273144717E-2</v>
      </c>
      <c r="K165" s="104">
        <f t="shared" si="133"/>
        <v>7.1881492980852779E-2</v>
      </c>
      <c r="L165" s="104">
        <f t="shared" ref="L165" si="134">IF(L53=0,0,L53/L$17)</f>
        <v>7.2406640965445579E-2</v>
      </c>
      <c r="M165" s="104">
        <f t="shared" ref="M165:V165" si="135">IF(M53=0,0,M53/M$17)</f>
        <v>6.7273054070003266E-2</v>
      </c>
      <c r="N165" s="104">
        <f t="shared" si="135"/>
        <v>6.1956916619940496E-2</v>
      </c>
      <c r="O165" s="104">
        <f t="shared" si="135"/>
        <v>5.9856881590719307E-2</v>
      </c>
      <c r="P165" s="104">
        <f t="shared" si="135"/>
        <v>6.4098363581816878E-2</v>
      </c>
      <c r="Q165" s="104">
        <f t="shared" si="135"/>
        <v>6.0805446208177218E-2</v>
      </c>
      <c r="R165" s="104">
        <f t="shared" si="135"/>
        <v>5.9349903384374382E-2</v>
      </c>
      <c r="S165" s="104">
        <f t="shared" si="135"/>
        <v>6.0793932246944217E-2</v>
      </c>
      <c r="T165" s="104">
        <f t="shared" si="135"/>
        <v>5.6704979567722705E-2</v>
      </c>
      <c r="U165" s="104">
        <f t="shared" si="135"/>
        <v>5.8226870208620427E-2</v>
      </c>
      <c r="V165" s="104">
        <f t="shared" si="135"/>
        <v>6.4229069324969926E-2</v>
      </c>
      <c r="W165" s="104">
        <f t="shared" ref="W165" si="136">IF(W53=0,0,W53/W$17)</f>
        <v>6.4834952405965401E-2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3.0837289978061589E-3</v>
      </c>
      <c r="C166" s="105">
        <f t="shared" si="137"/>
        <v>4.3117696753585177E-2</v>
      </c>
      <c r="D166" s="105">
        <f t="shared" si="137"/>
        <v>4.1894682071373583E-2</v>
      </c>
      <c r="E166" s="105">
        <f t="shared" si="137"/>
        <v>5.9447525321543099E-2</v>
      </c>
      <c r="F166" s="105">
        <f t="shared" si="137"/>
        <v>9.5487237073641415E-2</v>
      </c>
      <c r="G166" s="105">
        <f t="shared" si="137"/>
        <v>0.1209385676647243</v>
      </c>
      <c r="H166" s="105">
        <f t="shared" si="137"/>
        <v>0.14504489359758244</v>
      </c>
      <c r="I166" s="105">
        <f t="shared" si="137"/>
        <v>0.21001763898499162</v>
      </c>
      <c r="J166" s="105">
        <f t="shared" si="137"/>
        <v>0.27992735099215788</v>
      </c>
      <c r="K166" s="105">
        <f t="shared" si="137"/>
        <v>0.17974393611429951</v>
      </c>
      <c r="L166" s="105">
        <f t="shared" ref="L166" si="138">IF(L55=0,0,L55/L$17)</f>
        <v>0.19262733848822189</v>
      </c>
      <c r="M166" s="105">
        <f t="shared" ref="M166:V166" si="139">IF(M55=0,0,M55/M$17)</f>
        <v>0.23102022478721837</v>
      </c>
      <c r="N166" s="105">
        <f t="shared" si="139"/>
        <v>0.26040932568785624</v>
      </c>
      <c r="O166" s="105">
        <f t="shared" si="139"/>
        <v>0.24431037678252951</v>
      </c>
      <c r="P166" s="105">
        <f t="shared" si="139"/>
        <v>0.23410831152527078</v>
      </c>
      <c r="Q166" s="105">
        <f t="shared" si="139"/>
        <v>0.22169610243050386</v>
      </c>
      <c r="R166" s="105">
        <f t="shared" si="139"/>
        <v>0.25921947457034544</v>
      </c>
      <c r="S166" s="105">
        <f t="shared" si="139"/>
        <v>0.25412090153689848</v>
      </c>
      <c r="T166" s="105">
        <f t="shared" si="139"/>
        <v>0.25183526389119903</v>
      </c>
      <c r="U166" s="105">
        <f t="shared" si="139"/>
        <v>0.23011998914260104</v>
      </c>
      <c r="V166" s="105">
        <f t="shared" si="139"/>
        <v>0.19061076378909542</v>
      </c>
      <c r="W166" s="105">
        <f t="shared" ref="W166" si="140">IF(W55=0,0,W55/W$17)</f>
        <v>0.23572052270312666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3516.7973612400001</v>
      </c>
      <c r="C4" s="146">
        <f t="shared" si="0"/>
        <v>3676.9264145999996</v>
      </c>
      <c r="D4" s="146">
        <f t="shared" si="0"/>
        <v>3789.0987375600002</v>
      </c>
      <c r="E4" s="146">
        <f t="shared" si="0"/>
        <v>3845.3595361200005</v>
      </c>
      <c r="F4" s="146">
        <f t="shared" si="0"/>
        <v>4033.3298058</v>
      </c>
      <c r="G4" s="146">
        <f t="shared" si="0"/>
        <v>4305.44483244</v>
      </c>
      <c r="H4" s="146">
        <f t="shared" si="0"/>
        <v>4502.1470367599995</v>
      </c>
      <c r="I4" s="146">
        <f t="shared" si="0"/>
        <v>5103.9397724400005</v>
      </c>
      <c r="J4" s="146">
        <f t="shared" si="0"/>
        <v>6016.0710049200006</v>
      </c>
      <c r="K4" s="146">
        <f t="shared" si="0"/>
        <v>5040.4481719199994</v>
      </c>
      <c r="L4" s="146">
        <f t="shared" ref="L4" si="1">L5+L9+L10+L15</f>
        <v>5174.426661120001</v>
      </c>
      <c r="M4" s="146">
        <f t="shared" ref="M4:V4" si="2">M5+M9+M10+M15</f>
        <v>5526.5686488000001</v>
      </c>
      <c r="N4" s="146">
        <f t="shared" si="2"/>
        <v>5546.673342</v>
      </c>
      <c r="O4" s="146">
        <f t="shared" si="2"/>
        <v>5248.527090120001</v>
      </c>
      <c r="P4" s="146">
        <f t="shared" si="2"/>
        <v>5255.5528551599982</v>
      </c>
      <c r="Q4" s="146">
        <f t="shared" si="2"/>
        <v>5230.3843666800003</v>
      </c>
      <c r="R4" s="146">
        <f t="shared" si="2"/>
        <v>5607.7866100799993</v>
      </c>
      <c r="S4" s="146">
        <f t="shared" si="2"/>
        <v>5736.2934833999989</v>
      </c>
      <c r="T4" s="146">
        <f t="shared" si="2"/>
        <v>5712.2216258400003</v>
      </c>
      <c r="U4" s="146">
        <f t="shared" si="2"/>
        <v>5503.8590492400008</v>
      </c>
      <c r="V4" s="146">
        <f t="shared" si="2"/>
        <v>4476.6189914400011</v>
      </c>
      <c r="W4" s="146">
        <f t="shared" ref="W4" si="3">W5+W9+W10+W15</f>
        <v>5093.1367304399992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3516.7973612400001</v>
      </c>
      <c r="C5" s="101">
        <f t="shared" si="4"/>
        <v>3676.9264145999996</v>
      </c>
      <c r="D5" s="101">
        <f t="shared" si="4"/>
        <v>3789.0987375600002</v>
      </c>
      <c r="E5" s="101">
        <f t="shared" si="4"/>
        <v>3845.3595361200005</v>
      </c>
      <c r="F5" s="101">
        <f t="shared" si="4"/>
        <v>4033.3298058</v>
      </c>
      <c r="G5" s="101">
        <f t="shared" si="4"/>
        <v>4305.44483244</v>
      </c>
      <c r="H5" s="101">
        <f t="shared" si="4"/>
        <v>4502.1470367599995</v>
      </c>
      <c r="I5" s="101">
        <f t="shared" si="4"/>
        <v>5103.9397724400005</v>
      </c>
      <c r="J5" s="101">
        <f t="shared" si="4"/>
        <v>6016.0710049200006</v>
      </c>
      <c r="K5" s="101">
        <f t="shared" si="4"/>
        <v>5040.4481719199994</v>
      </c>
      <c r="L5" s="101">
        <f t="shared" ref="L5" si="5">SUM(L6:L8)</f>
        <v>5174.426661120001</v>
      </c>
      <c r="M5" s="101">
        <f t="shared" ref="M5:V5" si="6">SUM(M6:M8)</f>
        <v>5526.5686488000001</v>
      </c>
      <c r="N5" s="101">
        <f t="shared" si="6"/>
        <v>5545.0576620000002</v>
      </c>
      <c r="O5" s="101">
        <f t="shared" si="6"/>
        <v>5246.6589601200012</v>
      </c>
      <c r="P5" s="101">
        <f t="shared" si="6"/>
        <v>5252.8263951599984</v>
      </c>
      <c r="Q5" s="101">
        <f t="shared" si="6"/>
        <v>5225.4363466800005</v>
      </c>
      <c r="R5" s="101">
        <f t="shared" si="6"/>
        <v>5601.172420079999</v>
      </c>
      <c r="S5" s="101">
        <f t="shared" si="6"/>
        <v>5728.617993599999</v>
      </c>
      <c r="T5" s="101">
        <f t="shared" si="6"/>
        <v>5704.3779033600003</v>
      </c>
      <c r="U5" s="101">
        <f t="shared" si="6"/>
        <v>5493.4819405200005</v>
      </c>
      <c r="V5" s="101">
        <f t="shared" si="6"/>
        <v>4468.4287056000012</v>
      </c>
      <c r="W5" s="101">
        <f t="shared" ref="W5" si="7">SUM(W6:W8)</f>
        <v>5082.4207328399989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2.9846552400000008</v>
      </c>
      <c r="I6" s="101">
        <v>5.8114342800000003</v>
      </c>
      <c r="J6" s="101">
        <v>5.8114342800000003</v>
      </c>
      <c r="K6" s="101">
        <v>11.623095720000002</v>
      </c>
      <c r="L6" s="101">
        <v>14.528699280000001</v>
      </c>
      <c r="M6" s="101">
        <v>17.434529999999999</v>
      </c>
      <c r="N6" s="101">
        <v>23.245964280000003</v>
      </c>
      <c r="O6" s="101">
        <v>31.96322928</v>
      </c>
      <c r="P6" s="101">
        <v>34.86905999999999</v>
      </c>
      <c r="Q6" s="101">
        <v>37.774890720000009</v>
      </c>
      <c r="R6" s="101">
        <v>40.680494280000012</v>
      </c>
      <c r="S6" s="101">
        <v>39.884298479999998</v>
      </c>
      <c r="T6" s="101">
        <v>39.245070240000018</v>
      </c>
      <c r="U6" s="101">
        <v>37.597478759999994</v>
      </c>
      <c r="V6" s="101">
        <v>24.175957320000006</v>
      </c>
      <c r="W6" s="101">
        <v>42.514129799999999</v>
      </c>
      <c r="DA6" s="175" t="s">
        <v>740</v>
      </c>
    </row>
    <row r="7" spans="1:105" ht="11.45" customHeight="1" x14ac:dyDescent="0.25">
      <c r="A7" s="128" t="s">
        <v>53</v>
      </c>
      <c r="B7" s="101">
        <v>2462.1320908800003</v>
      </c>
      <c r="C7" s="101">
        <v>2440.64213316</v>
      </c>
      <c r="D7" s="101">
        <v>2339.3322968400003</v>
      </c>
      <c r="E7" s="101">
        <v>2284.07247684</v>
      </c>
      <c r="F7" s="101">
        <v>2032.3334354399999</v>
      </c>
      <c r="G7" s="101">
        <v>1998.56357316</v>
      </c>
      <c r="H7" s="101">
        <v>1929.6412304400001</v>
      </c>
      <c r="I7" s="101">
        <v>1868.86515816</v>
      </c>
      <c r="J7" s="101">
        <v>1953.9515595600001</v>
      </c>
      <c r="K7" s="101">
        <v>1783.7785072799998</v>
      </c>
      <c r="L7" s="101">
        <v>1741.2351818399998</v>
      </c>
      <c r="M7" s="101">
        <v>1689.5756077200001</v>
      </c>
      <c r="N7" s="101">
        <v>1525.4801377200001</v>
      </c>
      <c r="O7" s="101">
        <v>1388.73391272</v>
      </c>
      <c r="P7" s="101">
        <v>1297.5696795599999</v>
      </c>
      <c r="Q7" s="101">
        <v>1267.1817681599998</v>
      </c>
      <c r="R7" s="101">
        <v>1258.0652699999998</v>
      </c>
      <c r="S7" s="101">
        <v>1226.9872969200001</v>
      </c>
      <c r="T7" s="101">
        <v>1235.0068315199999</v>
      </c>
      <c r="U7" s="101">
        <v>1182.82434732</v>
      </c>
      <c r="V7" s="101">
        <v>934.03740276000008</v>
      </c>
      <c r="W7" s="101">
        <v>1061.4575663999999</v>
      </c>
      <c r="DA7" s="175" t="s">
        <v>741</v>
      </c>
    </row>
    <row r="8" spans="1:105" ht="11.45" customHeight="1" x14ac:dyDescent="0.25">
      <c r="A8" s="128" t="s">
        <v>54</v>
      </c>
      <c r="B8" s="101">
        <v>1054.66527036</v>
      </c>
      <c r="C8" s="101">
        <v>1236.2842814399999</v>
      </c>
      <c r="D8" s="101">
        <v>1449.76644072</v>
      </c>
      <c r="E8" s="101">
        <v>1561.2870592800002</v>
      </c>
      <c r="F8" s="101">
        <v>2000.9963703600001</v>
      </c>
      <c r="G8" s="101">
        <v>2306.88125928</v>
      </c>
      <c r="H8" s="101">
        <v>2569.52115108</v>
      </c>
      <c r="I8" s="101">
        <v>3229.2631800000008</v>
      </c>
      <c r="J8" s="101">
        <v>4056.3080110800006</v>
      </c>
      <c r="K8" s="101">
        <v>3245.04656892</v>
      </c>
      <c r="L8" s="101">
        <v>3418.662780000001</v>
      </c>
      <c r="M8" s="101">
        <v>3819.5585110800002</v>
      </c>
      <c r="N8" s="101">
        <v>3996.3315600000001</v>
      </c>
      <c r="O8" s="101">
        <v>3825.9618181200012</v>
      </c>
      <c r="P8" s="101">
        <v>3920.3876555999982</v>
      </c>
      <c r="Q8" s="101">
        <v>3920.4796878000006</v>
      </c>
      <c r="R8" s="101">
        <v>4302.426655799999</v>
      </c>
      <c r="S8" s="101">
        <v>4461.746398199999</v>
      </c>
      <c r="T8" s="101">
        <v>4430.1260016000006</v>
      </c>
      <c r="U8" s="101">
        <v>4273.0601144400007</v>
      </c>
      <c r="V8" s="101">
        <v>3510.2153455200014</v>
      </c>
      <c r="W8" s="101">
        <v>3978.4490366399987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1.6156800000000002</v>
      </c>
      <c r="O9" s="101">
        <v>1.8681300000000001</v>
      </c>
      <c r="P9" s="101">
        <v>2.7264599999999999</v>
      </c>
      <c r="Q9" s="101">
        <v>4.9480199999999996</v>
      </c>
      <c r="R9" s="101">
        <v>6.6141900000000007</v>
      </c>
      <c r="S9" s="101">
        <v>7.6754898000000011</v>
      </c>
      <c r="T9" s="101">
        <v>7.8437224800000003</v>
      </c>
      <c r="U9" s="101">
        <v>10.377108719999999</v>
      </c>
      <c r="V9" s="101">
        <v>8.1902858399999996</v>
      </c>
      <c r="W9" s="101">
        <v>10.715997600000001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3516.7973612400006</v>
      </c>
      <c r="C17" s="79">
        <f t="shared" si="12"/>
        <v>3676.9264145999996</v>
      </c>
      <c r="D17" s="79">
        <f t="shared" si="12"/>
        <v>3789.0987375600002</v>
      </c>
      <c r="E17" s="79">
        <f t="shared" si="12"/>
        <v>3845.3595361199996</v>
      </c>
      <c r="F17" s="79">
        <f t="shared" si="12"/>
        <v>4033.3298058</v>
      </c>
      <c r="G17" s="79">
        <f t="shared" si="12"/>
        <v>4305.44483244</v>
      </c>
      <c r="H17" s="79">
        <f t="shared" si="12"/>
        <v>4502.1470367599995</v>
      </c>
      <c r="I17" s="79">
        <f t="shared" si="12"/>
        <v>5103.9397724400005</v>
      </c>
      <c r="J17" s="79">
        <f t="shared" si="12"/>
        <v>6016.0710049200006</v>
      </c>
      <c r="K17" s="79">
        <f t="shared" si="12"/>
        <v>5040.4481719200003</v>
      </c>
      <c r="L17" s="79">
        <f t="shared" ref="L17" si="13">SUM(L18,L33)</f>
        <v>5174.426661120001</v>
      </c>
      <c r="M17" s="79">
        <f t="shared" ref="M17:V17" si="14">SUM(M18,M33)</f>
        <v>5526.568648800001</v>
      </c>
      <c r="N17" s="79">
        <f t="shared" si="14"/>
        <v>5546.673342</v>
      </c>
      <c r="O17" s="79">
        <f t="shared" si="14"/>
        <v>5248.527090120001</v>
      </c>
      <c r="P17" s="79">
        <f t="shared" si="14"/>
        <v>5255.5528551599982</v>
      </c>
      <c r="Q17" s="79">
        <f t="shared" si="14"/>
        <v>5230.3843666800003</v>
      </c>
      <c r="R17" s="79">
        <f t="shared" si="14"/>
        <v>5607.7866100799984</v>
      </c>
      <c r="S17" s="79">
        <f t="shared" si="14"/>
        <v>5736.2934833999989</v>
      </c>
      <c r="T17" s="79">
        <f t="shared" si="14"/>
        <v>5712.2216258400003</v>
      </c>
      <c r="U17" s="79">
        <f t="shared" si="14"/>
        <v>5503.8590492399999</v>
      </c>
      <c r="V17" s="79">
        <f t="shared" si="14"/>
        <v>4476.6189914400011</v>
      </c>
      <c r="W17" s="79">
        <f t="shared" ref="W17" si="15">SUM(W18,W33)</f>
        <v>5093.1367304399982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3169.9294426656652</v>
      </c>
      <c r="C18" s="32">
        <f t="shared" si="16"/>
        <v>3157.3287491787059</v>
      </c>
      <c r="D18" s="32">
        <f t="shared" si="16"/>
        <v>3221.8772486808939</v>
      </c>
      <c r="E18" s="32">
        <f t="shared" si="16"/>
        <v>3169.6668863066666</v>
      </c>
      <c r="F18" s="32">
        <f t="shared" si="16"/>
        <v>3079.8433928752424</v>
      </c>
      <c r="G18" s="32">
        <f t="shared" si="16"/>
        <v>3173.2142203059366</v>
      </c>
      <c r="H18" s="32">
        <f t="shared" si="16"/>
        <v>3246.1791121207389</v>
      </c>
      <c r="I18" s="32">
        <f t="shared" si="16"/>
        <v>3339.3446038246602</v>
      </c>
      <c r="J18" s="32">
        <f t="shared" si="16"/>
        <v>3560.888712388266</v>
      </c>
      <c r="K18" s="32">
        <f t="shared" si="16"/>
        <v>3480.2037188524682</v>
      </c>
      <c r="L18" s="32">
        <f t="shared" ref="L18" si="17">SUM(L19,L20,L27)</f>
        <v>3511.4802538934305</v>
      </c>
      <c r="M18" s="32">
        <f t="shared" ref="M18:V18" si="18">SUM(M19,M20,M27)</f>
        <v>3561.2943933737715</v>
      </c>
      <c r="N18" s="32">
        <f t="shared" si="18"/>
        <v>3445.1975242653225</v>
      </c>
      <c r="O18" s="32">
        <f t="shared" si="18"/>
        <v>3337.5216877341322</v>
      </c>
      <c r="P18" s="32">
        <f t="shared" si="18"/>
        <v>3349.7923992293372</v>
      </c>
      <c r="Q18" s="32">
        <f t="shared" si="18"/>
        <v>3392.9209652961526</v>
      </c>
      <c r="R18" s="32">
        <f t="shared" si="18"/>
        <v>3436.7275472183201</v>
      </c>
      <c r="S18" s="32">
        <f t="shared" si="18"/>
        <v>3529.5859100062448</v>
      </c>
      <c r="T18" s="32">
        <f t="shared" si="18"/>
        <v>3548.7780471353385</v>
      </c>
      <c r="U18" s="32">
        <f t="shared" si="18"/>
        <v>3513.3483007050386</v>
      </c>
      <c r="V18" s="32">
        <f t="shared" si="18"/>
        <v>2922.8310051976232</v>
      </c>
      <c r="W18" s="32">
        <f t="shared" ref="W18" si="19">SUM(W19,W20,W27)</f>
        <v>3148.3986588394037</v>
      </c>
      <c r="DA18" s="173" t="s">
        <v>402</v>
      </c>
    </row>
    <row r="19" spans="1:105" ht="11.45" customHeight="1" x14ac:dyDescent="0.25">
      <c r="A19" s="136" t="s">
        <v>180</v>
      </c>
      <c r="B19" s="141">
        <v>10.169189103578365</v>
      </c>
      <c r="C19" s="141">
        <v>9.4707669757755326</v>
      </c>
      <c r="D19" s="141">
        <v>9.419274412595783</v>
      </c>
      <c r="E19" s="141">
        <v>11.280730612349714</v>
      </c>
      <c r="F19" s="141">
        <v>12.721277296463127</v>
      </c>
      <c r="G19" s="141">
        <v>14.124306520252818</v>
      </c>
      <c r="H19" s="141">
        <v>15.787532127940892</v>
      </c>
      <c r="I19" s="141">
        <v>17.471707527925638</v>
      </c>
      <c r="J19" s="141">
        <v>18.636653459765878</v>
      </c>
      <c r="K19" s="141">
        <v>19.880048010674937</v>
      </c>
      <c r="L19" s="141">
        <v>24.256511021094248</v>
      </c>
      <c r="M19" s="141">
        <v>28.27515997923048</v>
      </c>
      <c r="N19" s="141">
        <v>25.680989674427838</v>
      </c>
      <c r="O19" s="141">
        <v>22.625719834401085</v>
      </c>
      <c r="P19" s="141">
        <v>22.897584876609702</v>
      </c>
      <c r="Q19" s="141">
        <v>24.291969468836843</v>
      </c>
      <c r="R19" s="141">
        <v>25.230207500136959</v>
      </c>
      <c r="S19" s="141">
        <v>24.437094917710517</v>
      </c>
      <c r="T19" s="141">
        <v>23.015459530377004</v>
      </c>
      <c r="U19" s="141">
        <v>24.418454428163486</v>
      </c>
      <c r="V19" s="141">
        <v>21.480755001821382</v>
      </c>
      <c r="W19" s="141">
        <v>20.925124594671331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2913.5245962814161</v>
      </c>
      <c r="C20" s="130">
        <f t="shared" si="20"/>
        <v>2923.2967760093138</v>
      </c>
      <c r="D20" s="130">
        <f t="shared" si="20"/>
        <v>2995.8449399272131</v>
      </c>
      <c r="E20" s="130">
        <f t="shared" si="20"/>
        <v>2948.4059398815666</v>
      </c>
      <c r="F20" s="130">
        <f t="shared" si="20"/>
        <v>2852.7468296116681</v>
      </c>
      <c r="G20" s="130">
        <f t="shared" si="20"/>
        <v>2951.8428124547031</v>
      </c>
      <c r="H20" s="130">
        <f t="shared" si="20"/>
        <v>3022.808671997092</v>
      </c>
      <c r="I20" s="130">
        <f t="shared" si="20"/>
        <v>3114.3639323424936</v>
      </c>
      <c r="J20" s="130">
        <f t="shared" si="20"/>
        <v>3334.9754147828367</v>
      </c>
      <c r="K20" s="130">
        <f t="shared" si="20"/>
        <v>3252.2531804392906</v>
      </c>
      <c r="L20" s="130">
        <f t="shared" ref="L20" si="21">SUM(L21:L26)</f>
        <v>3282.5098971595644</v>
      </c>
      <c r="M20" s="130">
        <f t="shared" ref="M20:V20" si="22">SUM(M21:M26)</f>
        <v>3322.1472768460771</v>
      </c>
      <c r="N20" s="130">
        <f t="shared" si="22"/>
        <v>3212.1059531284554</v>
      </c>
      <c r="O20" s="130">
        <f t="shared" si="22"/>
        <v>3104.0128542306538</v>
      </c>
      <c r="P20" s="130">
        <f t="shared" si="22"/>
        <v>3107.82265938714</v>
      </c>
      <c r="Q20" s="130">
        <f t="shared" si="22"/>
        <v>3141.166244880279</v>
      </c>
      <c r="R20" s="130">
        <f t="shared" si="22"/>
        <v>3184.7671481536909</v>
      </c>
      <c r="S20" s="130">
        <f t="shared" si="22"/>
        <v>3270.4964733480447</v>
      </c>
      <c r="T20" s="130">
        <f t="shared" si="22"/>
        <v>3300.7474834628092</v>
      </c>
      <c r="U20" s="130">
        <f t="shared" si="22"/>
        <v>3264.3520891331386</v>
      </c>
      <c r="V20" s="130">
        <f t="shared" si="22"/>
        <v>2763.3130673446781</v>
      </c>
      <c r="W20" s="130">
        <f t="shared" ref="W20" si="23">SUM(W21:W26)</f>
        <v>2963.6720564103689</v>
      </c>
      <c r="DA20" s="176" t="s">
        <v>404</v>
      </c>
    </row>
    <row r="21" spans="1:105" ht="11.45" customHeight="1" x14ac:dyDescent="0.25">
      <c r="A21" s="111" t="s">
        <v>110</v>
      </c>
      <c r="B21" s="96">
        <v>2430.9821845945112</v>
      </c>
      <c r="C21" s="96">
        <v>2409.5810842044225</v>
      </c>
      <c r="D21" s="96">
        <v>2307.7829718138137</v>
      </c>
      <c r="E21" s="96">
        <v>2250.8700244587972</v>
      </c>
      <c r="F21" s="96">
        <v>1997.0321555674986</v>
      </c>
      <c r="G21" s="96">
        <v>1962.5333432938769</v>
      </c>
      <c r="H21" s="96">
        <v>1893.7404309986944</v>
      </c>
      <c r="I21" s="96">
        <v>1830.8453109788602</v>
      </c>
      <c r="J21" s="96">
        <v>1915.5204853971261</v>
      </c>
      <c r="K21" s="96">
        <v>1745.3777419293513</v>
      </c>
      <c r="L21" s="96">
        <v>1699.8986850642855</v>
      </c>
      <c r="M21" s="96">
        <v>1645.1143434889482</v>
      </c>
      <c r="N21" s="96">
        <v>1484.5654295512577</v>
      </c>
      <c r="O21" s="96">
        <v>1351.7089303506225</v>
      </c>
      <c r="P21" s="96">
        <v>1261.8023407940418</v>
      </c>
      <c r="Q21" s="96">
        <v>1230.6987432981059</v>
      </c>
      <c r="R21" s="96">
        <v>1221.2832629018405</v>
      </c>
      <c r="S21" s="96">
        <v>1191.2398787492468</v>
      </c>
      <c r="T21" s="96">
        <v>1200.6818693425105</v>
      </c>
      <c r="U21" s="96">
        <v>1147.0262181747255</v>
      </c>
      <c r="V21" s="96">
        <v>901.66812322530018</v>
      </c>
      <c r="W21" s="96">
        <v>1029.4936302293308</v>
      </c>
      <c r="DA21" s="171" t="s">
        <v>750</v>
      </c>
    </row>
    <row r="22" spans="1:105" ht="11.45" customHeight="1" x14ac:dyDescent="0.25">
      <c r="A22" s="111" t="s">
        <v>111</v>
      </c>
      <c r="B22" s="96">
        <v>482.54241168690493</v>
      </c>
      <c r="C22" s="96">
        <v>513.71569180489121</v>
      </c>
      <c r="D22" s="96">
        <v>688.06196811339942</v>
      </c>
      <c r="E22" s="96">
        <v>697.53591542276956</v>
      </c>
      <c r="F22" s="96">
        <v>855.71467404416956</v>
      </c>
      <c r="G22" s="96">
        <v>989.3094691608261</v>
      </c>
      <c r="H22" s="96">
        <v>1127.5894145433342</v>
      </c>
      <c r="I22" s="96">
        <v>1279.3729422792612</v>
      </c>
      <c r="J22" s="96">
        <v>1416.0014248382429</v>
      </c>
      <c r="K22" s="96">
        <v>1496.1942062843195</v>
      </c>
      <c r="L22" s="96">
        <v>1568.4433425645814</v>
      </c>
      <c r="M22" s="96">
        <v>1659.9313116647133</v>
      </c>
      <c r="N22" s="96">
        <v>1704.6014924880237</v>
      </c>
      <c r="O22" s="96">
        <v>1720.5805391264889</v>
      </c>
      <c r="P22" s="96">
        <v>1812.4904744141661</v>
      </c>
      <c r="Q22" s="96">
        <v>1874.3378067355684</v>
      </c>
      <c r="R22" s="96">
        <v>1924.292030347392</v>
      </c>
      <c r="S22" s="96">
        <v>2040.518087613377</v>
      </c>
      <c r="T22" s="96">
        <v>2061.6268929069447</v>
      </c>
      <c r="U22" s="96">
        <v>2080.5669516465464</v>
      </c>
      <c r="V22" s="96">
        <v>1838.3944546529751</v>
      </c>
      <c r="W22" s="96">
        <v>1892.8948952371079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1.4788264550633463</v>
      </c>
      <c r="I23" s="96">
        <v>4.145679084372107</v>
      </c>
      <c r="J23" s="96">
        <v>3.4535045474676953</v>
      </c>
      <c r="K23" s="96">
        <v>10.681232225619553</v>
      </c>
      <c r="L23" s="96">
        <v>14.167869530697232</v>
      </c>
      <c r="M23" s="96">
        <v>17.101621692415577</v>
      </c>
      <c r="N23" s="96">
        <v>22.927199759754512</v>
      </c>
      <c r="O23" s="96">
        <v>31.655220686496722</v>
      </c>
      <c r="P23" s="96">
        <v>33.242150474264022</v>
      </c>
      <c r="Q23" s="96">
        <v>35.834862520738</v>
      </c>
      <c r="R23" s="96">
        <v>38.772038700292221</v>
      </c>
      <c r="S23" s="96">
        <v>38.049273252951195</v>
      </c>
      <c r="T23" s="96">
        <v>37.534239446630906</v>
      </c>
      <c r="U23" s="96">
        <v>35.841893361987545</v>
      </c>
      <c r="V23" s="96">
        <v>22.45189666800044</v>
      </c>
      <c r="W23" s="96">
        <v>40.288216983967672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1.1831329419870253E-2</v>
      </c>
      <c r="O24" s="96">
        <v>6.2178899843053616E-2</v>
      </c>
      <c r="P24" s="96">
        <v>0.2782168883773265</v>
      </c>
      <c r="Q24" s="96">
        <v>0.27153451123972105</v>
      </c>
      <c r="R24" s="96">
        <v>0.34930802198520555</v>
      </c>
      <c r="S24" s="96">
        <v>0.49221723844457316</v>
      </c>
      <c r="T24" s="96">
        <v>0.54686717160640652</v>
      </c>
      <c r="U24" s="96">
        <v>0.51752815149674292</v>
      </c>
      <c r="V24" s="96">
        <v>0.41640635505762091</v>
      </c>
      <c r="W24" s="96">
        <v>0.44103987182112642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5.9851672025951338E-3</v>
      </c>
      <c r="P25" s="96">
        <v>9.476816290671047E-3</v>
      </c>
      <c r="Q25" s="96">
        <v>2.3297814627050693E-2</v>
      </c>
      <c r="R25" s="96">
        <v>7.0508182181266837E-2</v>
      </c>
      <c r="S25" s="96">
        <v>0.19701649402552265</v>
      </c>
      <c r="T25" s="96">
        <v>0.35761459511676841</v>
      </c>
      <c r="U25" s="96">
        <v>0.3994977983827635</v>
      </c>
      <c r="V25" s="96">
        <v>0.38218644334522006</v>
      </c>
      <c r="W25" s="96">
        <v>0.55427408814167312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246.23565728067064</v>
      </c>
      <c r="C27" s="130">
        <f t="shared" si="24"/>
        <v>224.56120619361687</v>
      </c>
      <c r="D27" s="130">
        <f t="shared" si="24"/>
        <v>216.61303434108501</v>
      </c>
      <c r="E27" s="130">
        <f t="shared" si="24"/>
        <v>209.98021581275054</v>
      </c>
      <c r="F27" s="130">
        <f t="shared" si="24"/>
        <v>214.37528596711124</v>
      </c>
      <c r="G27" s="130">
        <f t="shared" si="24"/>
        <v>207.24710133098063</v>
      </c>
      <c r="H27" s="130">
        <f t="shared" si="24"/>
        <v>207.58290799570628</v>
      </c>
      <c r="I27" s="130">
        <f t="shared" si="24"/>
        <v>207.5089639542411</v>
      </c>
      <c r="J27" s="130">
        <f t="shared" si="24"/>
        <v>207.27664414566314</v>
      </c>
      <c r="K27" s="130">
        <f t="shared" si="24"/>
        <v>208.0704904025028</v>
      </c>
      <c r="L27" s="130">
        <f t="shared" ref="L27" si="25">SUM(L28:L32)</f>
        <v>204.7138457127717</v>
      </c>
      <c r="M27" s="130">
        <f t="shared" ref="M27:V27" si="26">SUM(M28:M32)</f>
        <v>210.87195654846377</v>
      </c>
      <c r="N27" s="130">
        <f t="shared" si="26"/>
        <v>207.41058146243921</v>
      </c>
      <c r="O27" s="130">
        <f t="shared" si="26"/>
        <v>210.88311366907746</v>
      </c>
      <c r="P27" s="130">
        <f t="shared" si="26"/>
        <v>219.07215496558749</v>
      </c>
      <c r="Q27" s="130">
        <f t="shared" si="26"/>
        <v>227.46275094703705</v>
      </c>
      <c r="R27" s="130">
        <f t="shared" si="26"/>
        <v>226.73019156449206</v>
      </c>
      <c r="S27" s="130">
        <f t="shared" si="26"/>
        <v>234.65234174048948</v>
      </c>
      <c r="T27" s="130">
        <f t="shared" si="26"/>
        <v>225.0151041421523</v>
      </c>
      <c r="U27" s="130">
        <f t="shared" si="26"/>
        <v>224.57775714373653</v>
      </c>
      <c r="V27" s="130">
        <f t="shared" si="26"/>
        <v>138.03718285112373</v>
      </c>
      <c r="W27" s="130">
        <f t="shared" ref="W27" si="27">SUM(W28:W32)</f>
        <v>163.80147783436365</v>
      </c>
      <c r="DA27" s="176" t="s">
        <v>405</v>
      </c>
    </row>
    <row r="28" spans="1:105" ht="11.45" customHeight="1" x14ac:dyDescent="0.25">
      <c r="A28" s="111" t="s">
        <v>110</v>
      </c>
      <c r="B28" s="97">
        <v>1.2015095606400505</v>
      </c>
      <c r="C28" s="97">
        <v>1.0766377190038607</v>
      </c>
      <c r="D28" s="97">
        <v>0.96834615655360867</v>
      </c>
      <c r="E28" s="97">
        <v>0.83607999793270771</v>
      </c>
      <c r="F28" s="97">
        <v>0.71447879645816681</v>
      </c>
      <c r="G28" s="97">
        <v>0.6282270723131701</v>
      </c>
      <c r="H28" s="97">
        <v>0.5589902669841168</v>
      </c>
      <c r="I28" s="97">
        <v>0.47999452194350128</v>
      </c>
      <c r="J28" s="97">
        <v>0.37802038676769956</v>
      </c>
      <c r="K28" s="97">
        <v>0.31878423911756154</v>
      </c>
      <c r="L28" s="97">
        <v>0.26197164877062012</v>
      </c>
      <c r="M28" s="97">
        <v>0.207475969247325</v>
      </c>
      <c r="N28" s="97">
        <v>0.1782381455996947</v>
      </c>
      <c r="O28" s="97">
        <v>0.13660308986817046</v>
      </c>
      <c r="P28" s="97">
        <v>0.10895438453758052</v>
      </c>
      <c r="Q28" s="97">
        <v>8.3606155613002206E-2</v>
      </c>
      <c r="R28" s="97">
        <v>8.3158567138170117E-2</v>
      </c>
      <c r="S28" s="97">
        <v>8.0201069165277639E-2</v>
      </c>
      <c r="T28" s="97">
        <v>7.5110473187141022E-2</v>
      </c>
      <c r="U28" s="97">
        <v>7.3720056042720347E-2</v>
      </c>
      <c r="V28" s="97">
        <v>5.5397066701095482E-2</v>
      </c>
      <c r="W28" s="97">
        <v>5.4758929967788812E-2</v>
      </c>
      <c r="DA28" s="175" t="s">
        <v>756</v>
      </c>
    </row>
    <row r="29" spans="1:105" ht="11.45" customHeight="1" x14ac:dyDescent="0.25">
      <c r="A29" s="111" t="s">
        <v>111</v>
      </c>
      <c r="B29" s="97">
        <v>245.03414772003057</v>
      </c>
      <c r="C29" s="97">
        <v>223.48456847461301</v>
      </c>
      <c r="D29" s="97">
        <v>215.64468818453139</v>
      </c>
      <c r="E29" s="97">
        <v>209.14413581481784</v>
      </c>
      <c r="F29" s="97">
        <v>213.66080717065307</v>
      </c>
      <c r="G29" s="97">
        <v>206.61887425866746</v>
      </c>
      <c r="H29" s="97">
        <v>207.02391772872215</v>
      </c>
      <c r="I29" s="97">
        <v>207.0289694322976</v>
      </c>
      <c r="J29" s="97">
        <v>206.89862375889544</v>
      </c>
      <c r="K29" s="97">
        <v>207.75170616338525</v>
      </c>
      <c r="L29" s="97">
        <v>204.45187406400109</v>
      </c>
      <c r="M29" s="97">
        <v>210.66448057921644</v>
      </c>
      <c r="N29" s="97">
        <v>205.62849464625938</v>
      </c>
      <c r="O29" s="97">
        <v>208.94055947905233</v>
      </c>
      <c r="P29" s="97">
        <v>216.59360301145151</v>
      </c>
      <c r="Q29" s="97">
        <v>222.92900283979202</v>
      </c>
      <c r="R29" s="97">
        <v>220.5857236681247</v>
      </c>
      <c r="S29" s="97">
        <v>227.57578837602367</v>
      </c>
      <c r="T29" s="97">
        <v>217.82453975338638</v>
      </c>
      <c r="U29" s="97">
        <v>214.88305280535201</v>
      </c>
      <c r="V29" s="97">
        <v>130.45106980541249</v>
      </c>
      <c r="W29" s="97">
        <v>153.71995812570307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1.6038486705801298</v>
      </c>
      <c r="O31" s="97">
        <v>1.8059511001569464</v>
      </c>
      <c r="P31" s="97">
        <v>2.3695975695983988</v>
      </c>
      <c r="Q31" s="97">
        <v>4.4501419516320118</v>
      </c>
      <c r="R31" s="97">
        <v>6.0613093292292053</v>
      </c>
      <c r="S31" s="97">
        <v>6.996352295300551</v>
      </c>
      <c r="T31" s="97">
        <v>7.1154539155787573</v>
      </c>
      <c r="U31" s="97">
        <v>9.6209842823417926</v>
      </c>
      <c r="V31" s="97">
        <v>7.5307159790101466</v>
      </c>
      <c r="W31" s="97">
        <v>10.026760778692783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346.86791857433536</v>
      </c>
      <c r="C33" s="32">
        <f t="shared" si="28"/>
        <v>519.59766542129364</v>
      </c>
      <c r="D33" s="32">
        <f t="shared" si="28"/>
        <v>567.22148887910635</v>
      </c>
      <c r="E33" s="32">
        <f t="shared" si="28"/>
        <v>675.69264981333299</v>
      </c>
      <c r="F33" s="32">
        <f t="shared" si="28"/>
        <v>953.48641292475747</v>
      </c>
      <c r="G33" s="32">
        <f t="shared" si="28"/>
        <v>1132.2306121340639</v>
      </c>
      <c r="H33" s="32">
        <f t="shared" si="28"/>
        <v>1255.9679246392609</v>
      </c>
      <c r="I33" s="32">
        <f t="shared" si="28"/>
        <v>1764.5951686153408</v>
      </c>
      <c r="J33" s="32">
        <f t="shared" si="28"/>
        <v>2455.1822925317347</v>
      </c>
      <c r="K33" s="32">
        <f t="shared" si="28"/>
        <v>1560.244453067532</v>
      </c>
      <c r="L33" s="32">
        <f t="shared" ref="L33" si="29">L34+L40</f>
        <v>1662.9464072265707</v>
      </c>
      <c r="M33" s="32">
        <f t="shared" ref="M33:V33" si="30">M34+M40</f>
        <v>1965.2742554262295</v>
      </c>
      <c r="N33" s="32">
        <f t="shared" si="30"/>
        <v>2101.4758177346775</v>
      </c>
      <c r="O33" s="32">
        <f t="shared" si="30"/>
        <v>1911.0054023858686</v>
      </c>
      <c r="P33" s="32">
        <f t="shared" si="30"/>
        <v>1905.7604559306615</v>
      </c>
      <c r="Q33" s="32">
        <f t="shared" si="30"/>
        <v>1837.4634013838477</v>
      </c>
      <c r="R33" s="32">
        <f t="shared" si="30"/>
        <v>2171.0590628616783</v>
      </c>
      <c r="S33" s="32">
        <f t="shared" si="30"/>
        <v>2206.7075733937545</v>
      </c>
      <c r="T33" s="32">
        <f t="shared" si="30"/>
        <v>2163.4435787046623</v>
      </c>
      <c r="U33" s="32">
        <f t="shared" si="30"/>
        <v>1990.5107485349613</v>
      </c>
      <c r="V33" s="32">
        <f t="shared" si="30"/>
        <v>1553.7879862423779</v>
      </c>
      <c r="W33" s="32">
        <f t="shared" ref="W33" si="31">W34+W40</f>
        <v>1944.7380716005946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125.68207566193527</v>
      </c>
      <c r="C34" s="141">
        <f t="shared" si="32"/>
        <v>131.55477650469504</v>
      </c>
      <c r="D34" s="141">
        <f t="shared" si="32"/>
        <v>141.65594188864554</v>
      </c>
      <c r="E34" s="141">
        <f t="shared" si="32"/>
        <v>153.25472755886042</v>
      </c>
      <c r="F34" s="141">
        <f t="shared" si="32"/>
        <v>172.98465525882159</v>
      </c>
      <c r="G34" s="141">
        <f t="shared" si="32"/>
        <v>190.3736282299613</v>
      </c>
      <c r="H34" s="141">
        <f t="shared" si="32"/>
        <v>207.33097602154149</v>
      </c>
      <c r="I34" s="141">
        <f t="shared" si="32"/>
        <v>236.85824218774039</v>
      </c>
      <c r="J34" s="141">
        <f t="shared" si="32"/>
        <v>261.97071035367696</v>
      </c>
      <c r="K34" s="141">
        <f t="shared" si="32"/>
        <v>271.05943975219242</v>
      </c>
      <c r="L34" s="141">
        <f t="shared" ref="L34" si="33">SUM(L35:L39)</f>
        <v>273.53067620062757</v>
      </c>
      <c r="M34" s="141">
        <f t="shared" ref="M34:V34" si="34">SUM(M35:M39)</f>
        <v>290.04331849047679</v>
      </c>
      <c r="N34" s="141">
        <f t="shared" si="34"/>
        <v>290.47260160605424</v>
      </c>
      <c r="O34" s="141">
        <f t="shared" si="34"/>
        <v>295.63475339594311</v>
      </c>
      <c r="P34" s="141">
        <f t="shared" si="34"/>
        <v>314.64371752844556</v>
      </c>
      <c r="Q34" s="141">
        <f t="shared" si="34"/>
        <v>334.16699202890885</v>
      </c>
      <c r="R34" s="141">
        <f t="shared" si="34"/>
        <v>354.00040740343644</v>
      </c>
      <c r="S34" s="141">
        <f t="shared" si="34"/>
        <v>372.42063097193432</v>
      </c>
      <c r="T34" s="141">
        <f t="shared" si="34"/>
        <v>383.05697947083246</v>
      </c>
      <c r="U34" s="141">
        <f t="shared" si="34"/>
        <v>396.6707615835121</v>
      </c>
      <c r="V34" s="141">
        <f t="shared" si="34"/>
        <v>406.92923602219514</v>
      </c>
      <c r="W34" s="141">
        <f t="shared" ref="W34" si="35">SUM(W35:W39)</f>
        <v>405.16687216135819</v>
      </c>
      <c r="DA34" s="174" t="s">
        <v>411</v>
      </c>
    </row>
    <row r="35" spans="1:105" ht="11.45" customHeight="1" x14ac:dyDescent="0.25">
      <c r="A35" s="111" t="s">
        <v>110</v>
      </c>
      <c r="B35" s="96">
        <v>19.779207621270885</v>
      </c>
      <c r="C35" s="96">
        <v>20.513644260798113</v>
      </c>
      <c r="D35" s="96">
        <v>21.161704457037235</v>
      </c>
      <c r="E35" s="96">
        <v>21.08564177092029</v>
      </c>
      <c r="F35" s="96">
        <v>21.865523779580229</v>
      </c>
      <c r="G35" s="96">
        <v>21.277696273557282</v>
      </c>
      <c r="H35" s="96">
        <v>19.554277046380573</v>
      </c>
      <c r="I35" s="96">
        <v>20.068145131270793</v>
      </c>
      <c r="J35" s="96">
        <v>19.416400316340255</v>
      </c>
      <c r="K35" s="96">
        <v>18.201933100856014</v>
      </c>
      <c r="L35" s="96">
        <v>16.818014105849446</v>
      </c>
      <c r="M35" s="96">
        <v>15.978628282574192</v>
      </c>
      <c r="N35" s="96">
        <v>15.055480348715145</v>
      </c>
      <c r="O35" s="96">
        <v>14.256674277905734</v>
      </c>
      <c r="P35" s="96">
        <v>12.751322688520164</v>
      </c>
      <c r="Q35" s="96">
        <v>12.084151422817124</v>
      </c>
      <c r="R35" s="96">
        <v>11.398132848702927</v>
      </c>
      <c r="S35" s="96">
        <v>11.033105689852153</v>
      </c>
      <c r="T35" s="96">
        <v>10.876777578808481</v>
      </c>
      <c r="U35" s="96">
        <v>10.906456862685618</v>
      </c>
      <c r="V35" s="96">
        <v>10.45094102283225</v>
      </c>
      <c r="W35" s="96">
        <v>10.429778557888392</v>
      </c>
      <c r="DA35" s="171" t="s">
        <v>761</v>
      </c>
    </row>
    <row r="36" spans="1:105" ht="11.45" customHeight="1" x14ac:dyDescent="0.25">
      <c r="A36" s="111" t="s">
        <v>111</v>
      </c>
      <c r="B36" s="96">
        <v>105.90286804066439</v>
      </c>
      <c r="C36" s="96">
        <v>111.04113224389694</v>
      </c>
      <c r="D36" s="96">
        <v>120.4942374316083</v>
      </c>
      <c r="E36" s="96">
        <v>132.16908578794013</v>
      </c>
      <c r="F36" s="96">
        <v>151.11913147924136</v>
      </c>
      <c r="G36" s="96">
        <v>169.09593195640403</v>
      </c>
      <c r="H36" s="96">
        <v>186.27087019022426</v>
      </c>
      <c r="I36" s="96">
        <v>215.1243418608417</v>
      </c>
      <c r="J36" s="96">
        <v>240.19638030480445</v>
      </c>
      <c r="K36" s="96">
        <v>251.91564315695592</v>
      </c>
      <c r="L36" s="96">
        <v>256.35183234547537</v>
      </c>
      <c r="M36" s="96">
        <v>273.73178190031814</v>
      </c>
      <c r="N36" s="96">
        <v>275.09835673709358</v>
      </c>
      <c r="O36" s="96">
        <v>281.07007052453406</v>
      </c>
      <c r="P36" s="96">
        <v>300.18683977216511</v>
      </c>
      <c r="Q36" s="96">
        <v>319.91646886970142</v>
      </c>
      <c r="R36" s="96">
        <v>340.49024632624014</v>
      </c>
      <c r="S36" s="96">
        <v>359.36557978877846</v>
      </c>
      <c r="T36" s="96">
        <v>370.28796970584006</v>
      </c>
      <c r="U36" s="96">
        <v>383.77012303665259</v>
      </c>
      <c r="V36" s="96">
        <v>394.51107084143109</v>
      </c>
      <c r="W36" s="96">
        <v>392.26298383795137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1.5058287849366543</v>
      </c>
      <c r="I37" s="96">
        <v>1.6657551956278933</v>
      </c>
      <c r="J37" s="96">
        <v>2.357929732532305</v>
      </c>
      <c r="K37" s="96">
        <v>0.94186349438044803</v>
      </c>
      <c r="L37" s="96">
        <v>0.36082974930276868</v>
      </c>
      <c r="M37" s="96">
        <v>0.33290830758441975</v>
      </c>
      <c r="N37" s="96">
        <v>0.31876452024548907</v>
      </c>
      <c r="O37" s="96">
        <v>0.30800859350327753</v>
      </c>
      <c r="P37" s="96">
        <v>1.6269095257359665</v>
      </c>
      <c r="Q37" s="96">
        <v>1.9400281992620083</v>
      </c>
      <c r="R37" s="96">
        <v>1.9084555797077951</v>
      </c>
      <c r="S37" s="96">
        <v>1.8350252270488052</v>
      </c>
      <c r="T37" s="96">
        <v>1.7108307933691169</v>
      </c>
      <c r="U37" s="96">
        <v>1.7555853980124521</v>
      </c>
      <c r="V37" s="96">
        <v>1.7240606519995652</v>
      </c>
      <c r="W37" s="96">
        <v>2.2259128160323303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7.8645542024274706E-2</v>
      </c>
      <c r="Q38" s="96">
        <v>0.22634353712826663</v>
      </c>
      <c r="R38" s="96">
        <v>0.20357264878558903</v>
      </c>
      <c r="S38" s="96">
        <v>0.18692026625487673</v>
      </c>
      <c r="T38" s="96">
        <v>0.18140139281483564</v>
      </c>
      <c r="U38" s="96">
        <v>0.238596286161462</v>
      </c>
      <c r="V38" s="96">
        <v>0.24316350593223238</v>
      </c>
      <c r="W38" s="96">
        <v>0.24819694948609256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221.18584291240012</v>
      </c>
      <c r="C40" s="130">
        <f t="shared" si="36"/>
        <v>388.04288891659866</v>
      </c>
      <c r="D40" s="130">
        <f t="shared" si="36"/>
        <v>425.5655469904608</v>
      </c>
      <c r="E40" s="130">
        <f t="shared" si="36"/>
        <v>522.4379222544726</v>
      </c>
      <c r="F40" s="130">
        <f t="shared" si="36"/>
        <v>780.50175766593588</v>
      </c>
      <c r="G40" s="130">
        <f t="shared" si="36"/>
        <v>941.85698390410255</v>
      </c>
      <c r="H40" s="130">
        <f t="shared" si="36"/>
        <v>1048.6369486177193</v>
      </c>
      <c r="I40" s="130">
        <f t="shared" si="36"/>
        <v>1527.7369264276003</v>
      </c>
      <c r="J40" s="130">
        <f t="shared" si="36"/>
        <v>2193.2115821780576</v>
      </c>
      <c r="K40" s="130">
        <f t="shared" si="36"/>
        <v>1289.1850133153396</v>
      </c>
      <c r="L40" s="130">
        <f t="shared" ref="L40" si="37">SUM(L41:L42)</f>
        <v>1389.4157310259432</v>
      </c>
      <c r="M40" s="130">
        <f t="shared" ref="M40:V40" si="38">SUM(M41:M42)</f>
        <v>1675.2309369357527</v>
      </c>
      <c r="N40" s="130">
        <f t="shared" si="38"/>
        <v>1811.0032161286235</v>
      </c>
      <c r="O40" s="130">
        <f t="shared" si="38"/>
        <v>1615.3706489899255</v>
      </c>
      <c r="P40" s="130">
        <f t="shared" si="38"/>
        <v>1591.1167384022158</v>
      </c>
      <c r="Q40" s="130">
        <f t="shared" si="38"/>
        <v>1503.2964093549388</v>
      </c>
      <c r="R40" s="130">
        <f t="shared" si="38"/>
        <v>1817.0586554582419</v>
      </c>
      <c r="S40" s="130">
        <f t="shared" si="38"/>
        <v>1834.28694242182</v>
      </c>
      <c r="T40" s="130">
        <f t="shared" si="38"/>
        <v>1780.3865992338299</v>
      </c>
      <c r="U40" s="130">
        <f t="shared" si="38"/>
        <v>1593.8399869514492</v>
      </c>
      <c r="V40" s="130">
        <f t="shared" si="38"/>
        <v>1146.8587502201826</v>
      </c>
      <c r="W40" s="130">
        <f t="shared" ref="W40" si="39">SUM(W41:W42)</f>
        <v>1539.5711994392364</v>
      </c>
      <c r="DA40" s="176" t="s">
        <v>412</v>
      </c>
    </row>
    <row r="41" spans="1:105" ht="11.45" customHeight="1" x14ac:dyDescent="0.25">
      <c r="A41" s="128" t="s">
        <v>27</v>
      </c>
      <c r="B41" s="97">
        <v>209.81510213091013</v>
      </c>
      <c r="C41" s="97">
        <v>222.21329564331327</v>
      </c>
      <c r="D41" s="97">
        <v>260.03419456556446</v>
      </c>
      <c r="E41" s="97">
        <v>284.43596839538594</v>
      </c>
      <c r="F41" s="97">
        <v>381.92872110418978</v>
      </c>
      <c r="G41" s="97">
        <v>404.42129056733813</v>
      </c>
      <c r="H41" s="97">
        <v>377.74866516202832</v>
      </c>
      <c r="I41" s="97">
        <v>433.29259891223234</v>
      </c>
      <c r="J41" s="97">
        <v>478.51972170091119</v>
      </c>
      <c r="K41" s="97">
        <v>368.27972363081216</v>
      </c>
      <c r="L41" s="97">
        <v>379.58501093149346</v>
      </c>
      <c r="M41" s="97">
        <v>377.80905366682458</v>
      </c>
      <c r="N41" s="97">
        <v>348.06428383091105</v>
      </c>
      <c r="O41" s="97">
        <v>317.88776405073202</v>
      </c>
      <c r="P41" s="97">
        <v>342.00434702742785</v>
      </c>
      <c r="Q41" s="97">
        <v>323.56852340972165</v>
      </c>
      <c r="R41" s="97">
        <v>338.52047028988494</v>
      </c>
      <c r="S41" s="97">
        <v>354.10690172692648</v>
      </c>
      <c r="T41" s="97">
        <v>327.20783713792184</v>
      </c>
      <c r="U41" s="97">
        <v>321.8495747182418</v>
      </c>
      <c r="V41" s="97">
        <v>289.0508492087647</v>
      </c>
      <c r="W41" s="97">
        <v>332.11181864182373</v>
      </c>
      <c r="DA41" s="175" t="s">
        <v>766</v>
      </c>
    </row>
    <row r="42" spans="1:105" ht="11.45" customHeight="1" x14ac:dyDescent="0.25">
      <c r="A42" s="138" t="s">
        <v>116</v>
      </c>
      <c r="B42" s="98">
        <v>11.370740781489996</v>
      </c>
      <c r="C42" s="98">
        <v>165.82959327328538</v>
      </c>
      <c r="D42" s="98">
        <v>165.53135242489637</v>
      </c>
      <c r="E42" s="98">
        <v>238.00195385908663</v>
      </c>
      <c r="F42" s="98">
        <v>398.57303656174616</v>
      </c>
      <c r="G42" s="98">
        <v>537.43569333676442</v>
      </c>
      <c r="H42" s="98">
        <v>670.88828345569107</v>
      </c>
      <c r="I42" s="98">
        <v>1094.4443275153681</v>
      </c>
      <c r="J42" s="98">
        <v>1714.6918604771465</v>
      </c>
      <c r="K42" s="98">
        <v>920.90528968452747</v>
      </c>
      <c r="L42" s="98">
        <v>1009.8307200944497</v>
      </c>
      <c r="M42" s="98">
        <v>1297.421883268928</v>
      </c>
      <c r="N42" s="98">
        <v>1462.9389322977124</v>
      </c>
      <c r="O42" s="98">
        <v>1297.4828849391934</v>
      </c>
      <c r="P42" s="98">
        <v>1249.1123913747879</v>
      </c>
      <c r="Q42" s="98">
        <v>1179.7278859452172</v>
      </c>
      <c r="R42" s="98">
        <v>1478.5381851683569</v>
      </c>
      <c r="S42" s="98">
        <v>1480.1800406948935</v>
      </c>
      <c r="T42" s="98">
        <v>1453.178762095908</v>
      </c>
      <c r="U42" s="98">
        <v>1271.9904122332075</v>
      </c>
      <c r="V42" s="98">
        <v>857.80790101141793</v>
      </c>
      <c r="W42" s="98">
        <v>1207.4593807974127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2.9589335626200937</v>
      </c>
      <c r="C47" s="145">
        <f>IF(C4=0,0,C4/TrRoad_ene!C4)</f>
        <v>2.9660528165867523</v>
      </c>
      <c r="D47" s="145">
        <f>IF(D4=0,0,D4/TrRoad_ene!D4)</f>
        <v>2.9751918902385879</v>
      </c>
      <c r="E47" s="145">
        <f>IF(E4=0,0,E4/TrRoad_ene!E4)</f>
        <v>2.979824136766819</v>
      </c>
      <c r="F47" s="145">
        <f>IF(F4=0,0,F4/TrRoad_ene!F4)</f>
        <v>2.9977925161478383</v>
      </c>
      <c r="G47" s="145">
        <f>IF(G4=0,0,G4/TrRoad_ene!G4)</f>
        <v>3.0057770672478967</v>
      </c>
      <c r="H47" s="145">
        <f>IF(H4=0,0,H4/TrRoad_ene!H4)</f>
        <v>3.0037773863231561</v>
      </c>
      <c r="I47" s="145">
        <f>IF(I4=0,0,I4/TrRoad_ene!I4)</f>
        <v>3.0004534410935335</v>
      </c>
      <c r="J47" s="145">
        <f>IF(J4=0,0,J4/TrRoad_ene!J4)</f>
        <v>2.9965038580127814</v>
      </c>
      <c r="K47" s="145">
        <f>IF(K4=0,0,K4/TrRoad_ene!K4)</f>
        <v>2.9720349920654825</v>
      </c>
      <c r="L47" s="145">
        <f>IF(L4=0,0,L4/TrRoad_ene!L4)</f>
        <v>2.951248139062558</v>
      </c>
      <c r="M47" s="145">
        <f>IF(M4=0,0,M4/TrRoad_ene!M4)</f>
        <v>2.9762834731075771</v>
      </c>
      <c r="N47" s="145">
        <f>IF(N4=0,0,N4/TrRoad_ene!N4)</f>
        <v>2.9578787380960132</v>
      </c>
      <c r="O47" s="145">
        <f>IF(O4=0,0,O4/TrRoad_ene!O4)</f>
        <v>2.9399760086537694</v>
      </c>
      <c r="P47" s="145">
        <f>IF(P4=0,0,P4/TrRoad_ene!P4)</f>
        <v>2.9709098917406647</v>
      </c>
      <c r="Q47" s="145">
        <f>IF(Q4=0,0,Q4/TrRoad_ene!Q4)</f>
        <v>2.9950602689563892</v>
      </c>
      <c r="R47" s="145">
        <f>IF(R4=0,0,R4/TrRoad_ene!R4)</f>
        <v>3.0194873898646817</v>
      </c>
      <c r="S47" s="145">
        <f>IF(S4=0,0,S4/TrRoad_ene!S4)</f>
        <v>3.0117282327829047</v>
      </c>
      <c r="T47" s="145">
        <f>IF(T4=0,0,T4/TrRoad_ene!T4)</f>
        <v>2.9355242893571902</v>
      </c>
      <c r="U47" s="145">
        <f>IF(U4=0,0,U4/TrRoad_ene!U4)</f>
        <v>2.8980141081788244</v>
      </c>
      <c r="V47" s="145">
        <f>IF(V4=0,0,V4/TrRoad_ene!V4)</f>
        <v>2.8698626370016007</v>
      </c>
      <c r="W47" s="145">
        <f>IF(W4=0,0,W4/TrRoad_ene!W4)</f>
        <v>2.8725480883804586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2.8985859463490184</v>
      </c>
      <c r="J48" s="97">
        <f>IF(J7=0,0,(J7+J12)/(TrRoad_ene!J7+TrRoad_ene!J12))</f>
        <v>2.8904730195948614</v>
      </c>
      <c r="K48" s="97">
        <f>IF(K7=0,0,(K7+K12)/(TrRoad_ene!K7+TrRoad_ene!K12))</f>
        <v>2.889257688218041</v>
      </c>
      <c r="L48" s="97">
        <f>IF(L7=0,0,(L7+L12)/(TrRoad_ene!L7+TrRoad_ene!L12))</f>
        <v>2.8807219733915774</v>
      </c>
      <c r="M48" s="97">
        <f>IF(M7=0,0,(M7+M12)/(TrRoad_ene!M7+TrRoad_ene!M12))</f>
        <v>2.8764366535593666</v>
      </c>
      <c r="N48" s="97">
        <f>IF(N7=0,0,(N7+N12)/(TrRoad_ene!N7+TrRoad_ene!N12))</f>
        <v>2.8687073276190311</v>
      </c>
      <c r="O48" s="97">
        <f>IF(O7=0,0,(O7+O12)/(TrRoad_ene!O7+TrRoad_ene!O12))</f>
        <v>2.856131027652328</v>
      </c>
      <c r="P48" s="97">
        <f>IF(P7=0,0,(P7+P12)/(TrRoad_ene!P7+TrRoad_ene!P12))</f>
        <v>2.853036165676528</v>
      </c>
      <c r="Q48" s="97">
        <f>IF(Q7=0,0,(Q7+Q12)/(TrRoad_ene!Q7+TrRoad_ene!Q12))</f>
        <v>2.8587841644453977</v>
      </c>
      <c r="R48" s="97">
        <f>IF(R7=0,0,(R7+R12)/(TrRoad_ene!R7+TrRoad_ene!R12))</f>
        <v>2.8726616960942732</v>
      </c>
      <c r="S48" s="97">
        <f>IF(S7=0,0,(S7+S12)/(TrRoad_ene!S7+TrRoad_ene!S12))</f>
        <v>2.8727406417969075</v>
      </c>
      <c r="T48" s="97">
        <f>IF(T7=0,0,(T7+T12)/(TrRoad_ene!T7+TrRoad_ene!T12))</f>
        <v>2.8492698552579991</v>
      </c>
      <c r="U48" s="97">
        <f>IF(U7=0,0,(U7+U12)/(TrRoad_ene!U7+TrRoad_ene!U12))</f>
        <v>2.8716029041436264</v>
      </c>
      <c r="V48" s="97">
        <f>IF(V7=0,0,(V7+V12)/(TrRoad_ene!V7+TrRoad_ene!V12))</f>
        <v>2.8307327909706159</v>
      </c>
      <c r="W48" s="97">
        <f>IF(W7=0,0,(W7+W12)/(TrRoad_ene!W7+TrRoad_ene!W12))</f>
        <v>2.8349457668738931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3.0859993648074684</v>
      </c>
      <c r="I49" s="97">
        <f>IF(I8=0,0,(I8+I13+I14)/(TrRoad_ene!I8+TrRoad_ene!I13+TrRoad_ene!I14))</f>
        <v>3.0635096586985333</v>
      </c>
      <c r="J49" s="97">
        <f>IF(J8=0,0,(J8+J13+J14)/(TrRoad_ene!J8+TrRoad_ene!J13+TrRoad_ene!J14))</f>
        <v>3.051003035545754</v>
      </c>
      <c r="K49" s="97">
        <f>IF(K8=0,0,(K8+K13+K14)/(TrRoad_ene!K8+TrRoad_ene!K13+TrRoad_ene!K14))</f>
        <v>3.0209635457776631</v>
      </c>
      <c r="L49" s="97">
        <f>IF(L8=0,0,(L8+L13+L14)/(TrRoad_ene!L8+TrRoad_ene!L13+TrRoad_ene!L14))</f>
        <v>2.9900203524337741</v>
      </c>
      <c r="M49" s="97">
        <f>IF(M8=0,0,(M8+M13+M14)/(TrRoad_ene!M8+TrRoad_ene!M13+TrRoad_ene!M14))</f>
        <v>3.0244745920760701</v>
      </c>
      <c r="N49" s="97">
        <f>IF(N8=0,0,(N8+N13+N14)/(TrRoad_ene!N8+TrRoad_ene!N13+TrRoad_ene!N14))</f>
        <v>2.9958318965321644</v>
      </c>
      <c r="O49" s="97">
        <f>IF(O8=0,0,(O8+O13+O14)/(TrRoad_ene!O8+TrRoad_ene!O13+TrRoad_ene!O14))</f>
        <v>2.9748568174091155</v>
      </c>
      <c r="P49" s="97">
        <f>IF(P8=0,0,(P8+P13+P14)/(TrRoad_ene!P8+TrRoad_ene!P13+TrRoad_ene!P14))</f>
        <v>3.0161695805545703</v>
      </c>
      <c r="Q49" s="97">
        <f>IF(Q8=0,0,(Q8+Q13+Q14)/(TrRoad_ene!Q8+TrRoad_ene!Q13+TrRoad_ene!Q14))</f>
        <v>3.0471634337219657</v>
      </c>
      <c r="R49" s="97">
        <f>IF(R8=0,0,(R8+R13+R14)/(TrRoad_ene!R8+TrRoad_ene!R13+TrRoad_ene!R14))</f>
        <v>3.0711898241826661</v>
      </c>
      <c r="S49" s="97">
        <f>IF(S8=0,0,(S8+S13+S14)/(TrRoad_ene!S8+TrRoad_ene!S13+TrRoad_ene!S14))</f>
        <v>3.058148522863545</v>
      </c>
      <c r="T49" s="97">
        <f>IF(T8=0,0,(T8+T13+T14)/(TrRoad_ene!T8+TrRoad_ene!T13+TrRoad_ene!T14))</f>
        <v>2.9653989399995879</v>
      </c>
      <c r="U49" s="97">
        <f>IF(U8=0,0,(U8+U13+U14)/(TrRoad_ene!U8+TrRoad_ene!U13+TrRoad_ene!U14))</f>
        <v>2.9104670370056813</v>
      </c>
      <c r="V49" s="97">
        <f>IF(V8=0,0,(V8+V13+V14)/(TrRoad_ene!V8+TrRoad_ene!V13+TrRoad_ene!V14))</f>
        <v>2.8850516849900272</v>
      </c>
      <c r="W49" s="97">
        <f>IF(W8=0,0,(W8+W13+W14)/(TrRoad_ene!W8+TrRoad_ene!W13+TrRoad_ene!W14))</f>
        <v>2.889063628655435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302.27721897983724</v>
      </c>
      <c r="C54" s="62">
        <f>IF(TrRoad_act!C30=0,0,C17/TrRoad_act!C30*1000
)</f>
        <v>308.47177515039255</v>
      </c>
      <c r="D54" s="62">
        <f>IF(TrRoad_act!D30=0,0,D17/TrRoad_act!D30*1000
)</f>
        <v>301.63316717413858</v>
      </c>
      <c r="E54" s="62">
        <f>IF(TrRoad_act!E30=0,0,E17/TrRoad_act!E30*1000
)</f>
        <v>299.70604834120917</v>
      </c>
      <c r="F54" s="62">
        <f>IF(TrRoad_act!F30=0,0,F17/TrRoad_act!F30*1000
)</f>
        <v>295.31855419047628</v>
      </c>
      <c r="G54" s="62">
        <f>IF(TrRoad_act!G30=0,0,G17/TrRoad_act!G30*1000
)</f>
        <v>304.18481581613401</v>
      </c>
      <c r="H54" s="62">
        <f>IF(TrRoad_act!H30=0,0,H17/TrRoad_act!H30*1000
)</f>
        <v>306.12109047301999</v>
      </c>
      <c r="I54" s="62">
        <f>IF(TrRoad_act!I30=0,0,I17/TrRoad_act!I30*1000
)</f>
        <v>331.70083920562433</v>
      </c>
      <c r="J54" s="62">
        <f>IF(TrRoad_act!J30=0,0,J17/TrRoad_act!J30*1000
)</f>
        <v>383.35458168377664</v>
      </c>
      <c r="K54" s="62">
        <f>IF(TrRoad_act!K30=0,0,K17/TrRoad_act!K30*1000
)</f>
        <v>309.03625714550765</v>
      </c>
      <c r="L54" s="62">
        <f>IF(TrRoad_act!L30=0,0,L17/TrRoad_act!L30*1000
)</f>
        <v>314.74747205328396</v>
      </c>
      <c r="M54" s="62">
        <f>IF(TrRoad_act!M30=0,0,M17/TrRoad_act!M30*1000
)</f>
        <v>333.25536036410779</v>
      </c>
      <c r="N54" s="62">
        <f>IF(TrRoad_act!N30=0,0,N17/TrRoad_act!N30*1000
)</f>
        <v>333.33369911320284</v>
      </c>
      <c r="O54" s="62">
        <f>IF(TrRoad_act!O30=0,0,O17/TrRoad_act!O30*1000
)</f>
        <v>312.94362132058376</v>
      </c>
      <c r="P54" s="62">
        <f>IF(TrRoad_act!P30=0,0,P17/TrRoad_act!P30*1000
)</f>
        <v>304.01171638440042</v>
      </c>
      <c r="Q54" s="62">
        <f>IF(TrRoad_act!Q30=0,0,Q17/TrRoad_act!Q30*1000
)</f>
        <v>295.33216467799207</v>
      </c>
      <c r="R54" s="62">
        <f>IF(TrRoad_act!R30=0,0,R17/TrRoad_act!R30*1000
)</f>
        <v>314.93674443208641</v>
      </c>
      <c r="S54" s="62">
        <f>IF(TrRoad_act!S30=0,0,S17/TrRoad_act!S30*1000
)</f>
        <v>303.52235740283555</v>
      </c>
      <c r="T54" s="62">
        <f>IF(TrRoad_act!T30=0,0,T17/TrRoad_act!T30*1000
)</f>
        <v>290.44307962391025</v>
      </c>
      <c r="U54" s="62">
        <f>IF(TrRoad_act!U30=0,0,U17/TrRoad_act!U30*1000
)</f>
        <v>270.24920656650494</v>
      </c>
      <c r="V54" s="62">
        <f>IF(TrRoad_act!V30=0,0,V17/TrRoad_act!V30*1000
)</f>
        <v>245.92475536887619</v>
      </c>
      <c r="W54" s="62">
        <f>IF(TrRoad_act!W30=0,0,W17/TrRoad_act!W30*1000
)</f>
        <v>267.96518607784174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293.63798821479759</v>
      </c>
      <c r="C55" s="29">
        <f>IF(TrRoad_act!C31=0,0,C18/TrRoad_act!C31*1000
)</f>
        <v>286.13938183220455</v>
      </c>
      <c r="D55" s="29">
        <f>IF(TrRoad_act!D31=0,0,D18/TrRoad_act!D31*1000
)</f>
        <v>278.07370421990635</v>
      </c>
      <c r="E55" s="29">
        <f>IF(TrRoad_act!E31=0,0,E18/TrRoad_act!E31*1000
)</f>
        <v>268.84139703107348</v>
      </c>
      <c r="F55" s="29">
        <f>IF(TrRoad_act!F31=0,0,F18/TrRoad_act!F31*1000
)</f>
        <v>248.22224471011103</v>
      </c>
      <c r="G55" s="29">
        <f>IF(TrRoad_act!G31=0,0,G18/TrRoad_act!G31*1000
)</f>
        <v>247.41690154044966</v>
      </c>
      <c r="H55" s="29">
        <f>IF(TrRoad_act!H31=0,0,H18/TrRoad_act!H31*1000
)</f>
        <v>244.09105845592364</v>
      </c>
      <c r="I55" s="29">
        <f>IF(TrRoad_act!I31=0,0,I18/TrRoad_act!I31*1000
)</f>
        <v>241.1021416372719</v>
      </c>
      <c r="J55" s="29">
        <f>IF(TrRoad_act!J31=0,0,J18/TrRoad_act!J31*1000
)</f>
        <v>252.97854729093271</v>
      </c>
      <c r="K55" s="29">
        <f>IF(TrRoad_act!K31=0,0,K18/TrRoad_act!K31*1000
)</f>
        <v>235.76623057695446</v>
      </c>
      <c r="L55" s="29">
        <f>IF(TrRoad_act!L31=0,0,L18/TrRoad_act!L31*1000
)</f>
        <v>235.97553609762357</v>
      </c>
      <c r="M55" s="29">
        <f>IF(TrRoad_act!M31=0,0,M18/TrRoad_act!M31*1000
)</f>
        <v>237.3387198756005</v>
      </c>
      <c r="N55" s="29">
        <f>IF(TrRoad_act!N31=0,0,N18/TrRoad_act!N31*1000
)</f>
        <v>228.68443362637308</v>
      </c>
      <c r="O55" s="29">
        <f>IF(TrRoad_act!O31=0,0,O18/TrRoad_act!O31*1000
)</f>
        <v>219.85424157803808</v>
      </c>
      <c r="P55" s="29">
        <f>IF(TrRoad_act!P31=0,0,P18/TrRoad_act!P31*1000
)</f>
        <v>214.52181318841983</v>
      </c>
      <c r="Q55" s="29">
        <f>IF(TrRoad_act!Q31=0,0,Q18/TrRoad_act!Q31*1000
)</f>
        <v>212.74488108313142</v>
      </c>
      <c r="R55" s="29">
        <f>IF(TrRoad_act!R31=0,0,R18/TrRoad_act!R31*1000
)</f>
        <v>215.9343039001736</v>
      </c>
      <c r="S55" s="29">
        <f>IF(TrRoad_act!S31=0,0,S18/TrRoad_act!S31*1000
)</f>
        <v>209.50499252405089</v>
      </c>
      <c r="T55" s="29">
        <f>IF(TrRoad_act!T31=0,0,T18/TrRoad_act!T31*1000
)</f>
        <v>202.48391554665747</v>
      </c>
      <c r="U55" s="29">
        <f>IF(TrRoad_act!U31=0,0,U18/TrRoad_act!U31*1000
)</f>
        <v>193.95683504323503</v>
      </c>
      <c r="V55" s="29">
        <f>IF(TrRoad_act!V31=0,0,V18/TrRoad_act!V31*1000
)</f>
        <v>183.35383549093351</v>
      </c>
      <c r="W55" s="29">
        <f>IF(TrRoad_act!W31=0,0,W18/TrRoad_act!W31*1000
)</f>
        <v>188.8944096272061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130.3742192766457</v>
      </c>
      <c r="C56" s="152">
        <f>IF(TrRoad_act!C32=0,0,C19/TrRoad_act!C32*1000
)</f>
        <v>129.73653391473334</v>
      </c>
      <c r="D56" s="152">
        <f>IF(TrRoad_act!D32=0,0,D19/TrRoad_act!D32*1000
)</f>
        <v>129.03115633692852</v>
      </c>
      <c r="E56" s="152">
        <f>IF(TrRoad_act!E32=0,0,E19/TrRoad_act!E32*1000
)</f>
        <v>128.1901205948831</v>
      </c>
      <c r="F56" s="152">
        <f>IF(TrRoad_act!F32=0,0,F19/TrRoad_act!F32*1000
)</f>
        <v>127.21277296463127</v>
      </c>
      <c r="G56" s="152">
        <f>IF(TrRoad_act!G32=0,0,G19/TrRoad_act!G32*1000
)</f>
        <v>126.10987964511445</v>
      </c>
      <c r="H56" s="152">
        <f>IF(TrRoad_act!H32=0,0,H19/TrRoad_act!H32*1000
)</f>
        <v>124.31127659795978</v>
      </c>
      <c r="I56" s="152">
        <f>IF(TrRoad_act!I32=0,0,I19/TrRoad_act!I32*1000
)</f>
        <v>119.66922964332629</v>
      </c>
      <c r="J56" s="152">
        <f>IF(TrRoad_act!J32=0,0,J19/TrRoad_act!J32*1000
)</f>
        <v>116.6890772088921</v>
      </c>
      <c r="K56" s="152">
        <f>IF(TrRoad_act!K32=0,0,K19/TrRoad_act!K32*1000
)</f>
        <v>120.48513945863598</v>
      </c>
      <c r="L56" s="152">
        <f>IF(TrRoad_act!L32=0,0,L19/TrRoad_act!L32*1000
)</f>
        <v>113.08476071047237</v>
      </c>
      <c r="M56" s="152">
        <f>IF(TrRoad_act!M32=0,0,M19/TrRoad_act!M32*1000
)</f>
        <v>112.03666778988861</v>
      </c>
      <c r="N56" s="152">
        <f>IF(TrRoad_act!N32=0,0,N19/TrRoad_act!N32*1000
)</f>
        <v>111.23661054240236</v>
      </c>
      <c r="O56" s="152">
        <f>IF(TrRoad_act!O32=0,0,O19/TrRoad_act!O32*1000
)</f>
        <v>109.55483402491863</v>
      </c>
      <c r="P56" s="152">
        <f>IF(TrRoad_act!P32=0,0,P19/TrRoad_act!P32*1000
)</f>
        <v>108.32620811482086</v>
      </c>
      <c r="Q56" s="152">
        <f>IF(TrRoad_act!Q32=0,0,Q19/TrRoad_act!Q32*1000
)</f>
        <v>106.51316644437048</v>
      </c>
      <c r="R56" s="152">
        <f>IF(TrRoad_act!R32=0,0,R19/TrRoad_act!R32*1000
)</f>
        <v>105.67802171576496</v>
      </c>
      <c r="S56" s="152">
        <f>IF(TrRoad_act!S32=0,0,S19/TrRoad_act!S32*1000
)</f>
        <v>107.14130046188379</v>
      </c>
      <c r="T56" s="152">
        <f>IF(TrRoad_act!T32=0,0,T19/TrRoad_act!T32*1000
)</f>
        <v>104.92986197282667</v>
      </c>
      <c r="U56" s="152">
        <f>IF(TrRoad_act!U32=0,0,U19/TrRoad_act!U32*1000
)</f>
        <v>104.32054329261932</v>
      </c>
      <c r="V56" s="152">
        <f>IF(TrRoad_act!V32=0,0,V19/TrRoad_act!V32*1000
)</f>
        <v>102.06121687331257</v>
      </c>
      <c r="W56" s="152">
        <f>IF(TrRoad_act!W32=0,0,W19/TrRoad_act!W32*1000
)</f>
        <v>95.298671161904082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275.30533025828402</v>
      </c>
      <c r="C57" s="116">
        <f>IF(TrRoad_act!C33=0,0,C20/TrRoad_act!C33*1000
)</f>
        <v>269.86315363919419</v>
      </c>
      <c r="D57" s="116">
        <f>IF(TrRoad_act!D33=0,0,D20/TrRoad_act!D33*1000
)</f>
        <v>263.05970759985422</v>
      </c>
      <c r="E57" s="116">
        <f>IF(TrRoad_act!E33=0,0,E20/TrRoad_act!E33*1000
)</f>
        <v>254.6113881636935</v>
      </c>
      <c r="F57" s="116">
        <f>IF(TrRoad_act!F33=0,0,F20/TrRoad_act!F33*1000
)</f>
        <v>234.16986750201531</v>
      </c>
      <c r="G57" s="116">
        <f>IF(TrRoad_act!G33=0,0,G20/TrRoad_act!G33*1000
)</f>
        <v>234.43007883784213</v>
      </c>
      <c r="H57" s="116">
        <f>IF(TrRoad_act!H33=0,0,H20/TrRoad_act!H33*1000
)</f>
        <v>231.65368757842293</v>
      </c>
      <c r="I57" s="116">
        <f>IF(TrRoad_act!I33=0,0,I20/TrRoad_act!I33*1000
)</f>
        <v>229.33549196326152</v>
      </c>
      <c r="J57" s="116">
        <f>IF(TrRoad_act!J33=0,0,J20/TrRoad_act!J33*1000
)</f>
        <v>241.82232605181269</v>
      </c>
      <c r="K57" s="116">
        <f>IF(TrRoad_act!K33=0,0,K20/TrRoad_act!K33*1000
)</f>
        <v>224.77143540132991</v>
      </c>
      <c r="L57" s="116">
        <f>IF(TrRoad_act!L33=0,0,L20/TrRoad_act!L33*1000
)</f>
        <v>225.76234271416433</v>
      </c>
      <c r="M57" s="116">
        <f>IF(TrRoad_act!M33=0,0,M20/TrRoad_act!M33*1000
)</f>
        <v>227.17285952437626</v>
      </c>
      <c r="N57" s="116">
        <f>IF(TrRoad_act!N33=0,0,N20/TrRoad_act!N33*1000
)</f>
        <v>218.42107349231313</v>
      </c>
      <c r="O57" s="116">
        <f>IF(TrRoad_act!O33=0,0,O20/TrRoad_act!O33*1000
)</f>
        <v>209.12739712115422</v>
      </c>
      <c r="P57" s="116">
        <f>IF(TrRoad_act!P33=0,0,P20/TrRoad_act!P33*1000
)</f>
        <v>203.54922870122144</v>
      </c>
      <c r="Q57" s="116">
        <f>IF(TrRoad_act!Q33=0,0,Q20/TrRoad_act!Q33*1000
)</f>
        <v>201.59920849132993</v>
      </c>
      <c r="R57" s="116">
        <f>IF(TrRoad_act!R33=0,0,R20/TrRoad_act!R33*1000
)</f>
        <v>204.94168048205057</v>
      </c>
      <c r="S57" s="116">
        <f>IF(TrRoad_act!S33=0,0,S20/TrRoad_act!S33*1000
)</f>
        <v>198.47436162724733</v>
      </c>
      <c r="T57" s="116">
        <f>IF(TrRoad_act!T33=0,0,T20/TrRoad_act!T33*1000
)</f>
        <v>192.26295674348069</v>
      </c>
      <c r="U57" s="116">
        <f>IF(TrRoad_act!U33=0,0,U20/TrRoad_act!U33*1000
)</f>
        <v>184.02118283736357</v>
      </c>
      <c r="V57" s="116">
        <f>IF(TrRoad_act!V33=0,0,V20/TrRoad_act!V33*1000
)</f>
        <v>176.63202256613039</v>
      </c>
      <c r="W57" s="116">
        <f>IF(TrRoad_act!W33=0,0,W20/TrRoad_act!W33*1000
)</f>
        <v>181.28728015677419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284.92427654205642</v>
      </c>
      <c r="C58" s="87">
        <f>IF(TrRoad_act!C34=0,0,C21/TrRoad_act!C34*1000
)</f>
        <v>280.23033786195708</v>
      </c>
      <c r="D58" s="87">
        <f>IF(TrRoad_act!D34=0,0,D21/TrRoad_act!D34*1000
)</f>
        <v>277.67319639665743</v>
      </c>
      <c r="E58" s="87">
        <f>IF(TrRoad_act!E34=0,0,E21/TrRoad_act!E34*1000
)</f>
        <v>266.64391947427947</v>
      </c>
      <c r="F58" s="87">
        <f>IF(TrRoad_act!F34=0,0,F21/TrRoad_act!F34*1000
)</f>
        <v>239.18536873947926</v>
      </c>
      <c r="G58" s="87">
        <f>IF(TrRoad_act!G34=0,0,G21/TrRoad_act!G34*1000
)</f>
        <v>241.30838941203223</v>
      </c>
      <c r="H58" s="87">
        <f>IF(TrRoad_act!H34=0,0,H21/TrRoad_act!H34*1000
)</f>
        <v>238.27957354311701</v>
      </c>
      <c r="I58" s="87">
        <f>IF(TrRoad_act!I34=0,0,I21/TrRoad_act!I34*1000
)</f>
        <v>233.98110053863908</v>
      </c>
      <c r="J58" s="87">
        <f>IF(TrRoad_act!J34=0,0,J21/TrRoad_act!J34*1000
)</f>
        <v>255.61870122721214</v>
      </c>
      <c r="K58" s="87">
        <f>IF(TrRoad_act!K34=0,0,K21/TrRoad_act!K34*1000
)</f>
        <v>234.2839044624647</v>
      </c>
      <c r="L58" s="87">
        <f>IF(TrRoad_act!L34=0,0,L21/TrRoad_act!L34*1000
)</f>
        <v>239.51872328390482</v>
      </c>
      <c r="M58" s="87">
        <f>IF(TrRoad_act!M34=0,0,M21/TrRoad_act!M34*1000
)</f>
        <v>240.55840911496352</v>
      </c>
      <c r="N58" s="87">
        <f>IF(TrRoad_act!N34=0,0,N21/TrRoad_act!N34*1000
)</f>
        <v>226.86579397724009</v>
      </c>
      <c r="O58" s="87">
        <f>IF(TrRoad_act!O34=0,0,O21/TrRoad_act!O34*1000
)</f>
        <v>214.54429089205365</v>
      </c>
      <c r="P58" s="87">
        <f>IF(TrRoad_act!P34=0,0,P21/TrRoad_act!P34*1000
)</f>
        <v>204.08280265875817</v>
      </c>
      <c r="Q58" s="87">
        <f>IF(TrRoad_act!Q34=0,0,Q21/TrRoad_act!Q34*1000
)</f>
        <v>202.35227826578657</v>
      </c>
      <c r="R58" s="87">
        <f>IF(TrRoad_act!R34=0,0,R21/TrRoad_act!R34*1000
)</f>
        <v>210.86627162186664</v>
      </c>
      <c r="S58" s="87">
        <f>IF(TrRoad_act!S34=0,0,S21/TrRoad_act!S34*1000
)</f>
        <v>202.62019430342005</v>
      </c>
      <c r="T58" s="87">
        <f>IF(TrRoad_act!T34=0,0,T21/TrRoad_act!T34*1000
)</f>
        <v>202.955287761482</v>
      </c>
      <c r="U58" s="87">
        <f>IF(TrRoad_act!U34=0,0,U21/TrRoad_act!U34*1000
)</f>
        <v>192.86718383561694</v>
      </c>
      <c r="V58" s="87">
        <f>IF(TrRoad_act!V34=0,0,V21/TrRoad_act!V34*1000
)</f>
        <v>187.65684717474653</v>
      </c>
      <c r="W58" s="87">
        <f>IF(TrRoad_act!W34=0,0,W21/TrRoad_act!W34*1000
)</f>
        <v>199.0928532038096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235.28831518494189</v>
      </c>
      <c r="C59" s="87">
        <f>IF(TrRoad_act!C35=0,0,C22/TrRoad_act!C35*1000
)</f>
        <v>229.95925943683943</v>
      </c>
      <c r="D59" s="87">
        <f>IF(TrRoad_act!D35=0,0,D22/TrRoad_act!D35*1000
)</f>
        <v>223.59186705109431</v>
      </c>
      <c r="E59" s="87">
        <f>IF(TrRoad_act!E35=0,0,E22/TrRoad_act!E35*1000
)</f>
        <v>222.24845279771057</v>
      </c>
      <c r="F59" s="87">
        <f>IF(TrRoad_act!F35=0,0,F22/TrRoad_act!F35*1000
)</f>
        <v>223.24496707917632</v>
      </c>
      <c r="G59" s="87">
        <f>IF(TrRoad_act!G35=0,0,G22/TrRoad_act!G35*1000
)</f>
        <v>221.88366606623117</v>
      </c>
      <c r="H59" s="87">
        <f>IF(TrRoad_act!H35=0,0,H22/TrRoad_act!H35*1000
)</f>
        <v>221.45839483065959</v>
      </c>
      <c r="I59" s="87">
        <f>IF(TrRoad_act!I35=0,0,I22/TrRoad_act!I35*1000
)</f>
        <v>223.20604571813877</v>
      </c>
      <c r="J59" s="87">
        <f>IF(TrRoad_act!J35=0,0,J22/TrRoad_act!J35*1000
)</f>
        <v>225.55890868590009</v>
      </c>
      <c r="K59" s="87">
        <f>IF(TrRoad_act!K35=0,0,K22/TrRoad_act!K35*1000
)</f>
        <v>214.9204357160703</v>
      </c>
      <c r="L59" s="87">
        <f>IF(TrRoad_act!L35=0,0,L22/TrRoad_act!L35*1000
)</f>
        <v>212.75081040304678</v>
      </c>
      <c r="M59" s="87">
        <f>IF(TrRoad_act!M35=0,0,M22/TrRoad_act!M35*1000
)</f>
        <v>215.4310487909045</v>
      </c>
      <c r="N59" s="87">
        <f>IF(TrRoad_act!N35=0,0,N22/TrRoad_act!N35*1000
)</f>
        <v>211.53933242287096</v>
      </c>
      <c r="O59" s="87">
        <f>IF(TrRoad_act!O35=0,0,O22/TrRoad_act!O35*1000
)</f>
        <v>204.99689550504556</v>
      </c>
      <c r="P59" s="87">
        <f>IF(TrRoad_act!P35=0,0,P22/TrRoad_act!P35*1000
)</f>
        <v>203.06149884587219</v>
      </c>
      <c r="Q59" s="87">
        <f>IF(TrRoad_act!Q35=0,0,Q22/TrRoad_act!Q35*1000
)</f>
        <v>200.78918898471869</v>
      </c>
      <c r="R59" s="87">
        <f>IF(TrRoad_act!R35=0,0,R22/TrRoad_act!R35*1000
)</f>
        <v>201.16329180882369</v>
      </c>
      <c r="S59" s="87">
        <f>IF(TrRoad_act!S35=0,0,S22/TrRoad_act!S35*1000
)</f>
        <v>196.28075421745118</v>
      </c>
      <c r="T59" s="87">
        <f>IF(TrRoad_act!T35=0,0,T22/TrRoad_act!T35*1000
)</f>
        <v>186.81246230176018</v>
      </c>
      <c r="U59" s="87">
        <f>IF(TrRoad_act!U35=0,0,U22/TrRoad_act!U35*1000
)</f>
        <v>179.93527458292252</v>
      </c>
      <c r="V59" s="87">
        <f>IF(TrRoad_act!V35=0,0,V22/TrRoad_act!V35*1000
)</f>
        <v>172.79939618043136</v>
      </c>
      <c r="W59" s="87">
        <f>IF(TrRoad_act!W35=0,0,W22/TrRoad_act!W35*1000
)</f>
        <v>173.0062425761725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153.79148484759332</v>
      </c>
      <c r="I60" s="87">
        <f>IF(TrRoad_act!I36=0,0,I23/TrRoad_act!I36*1000
)</f>
        <v>177.2578165999995</v>
      </c>
      <c r="J60" s="87">
        <f>IF(TrRoad_act!J36=0,0,J23/TrRoad_act!J36*1000
)</f>
        <v>176.14040847397118</v>
      </c>
      <c r="K60" s="87">
        <f>IF(TrRoad_act!K36=0,0,K23/TrRoad_act!K36*1000
)</f>
        <v>185.12536670541107</v>
      </c>
      <c r="L60" s="87">
        <f>IF(TrRoad_act!L36=0,0,L23/TrRoad_act!L36*1000
)</f>
        <v>201.48299815405423</v>
      </c>
      <c r="M60" s="87">
        <f>IF(TrRoad_act!M36=0,0,M23/TrRoad_act!M36*1000
)</f>
        <v>214.0518836526328</v>
      </c>
      <c r="N60" s="87">
        <f>IF(TrRoad_act!N36=0,0,N23/TrRoad_act!N36*1000
)</f>
        <v>220.78238882719072</v>
      </c>
      <c r="O60" s="87">
        <f>IF(TrRoad_act!O36=0,0,O23/TrRoad_act!O36*1000
)</f>
        <v>213.42987947941589</v>
      </c>
      <c r="P60" s="87">
        <f>IF(TrRoad_act!P36=0,0,P23/TrRoad_act!P36*1000
)</f>
        <v>212.13926865882434</v>
      </c>
      <c r="Q60" s="87">
        <f>IF(TrRoad_act!Q36=0,0,Q23/TrRoad_act!Q36*1000
)</f>
        <v>223.55511931031378</v>
      </c>
      <c r="R60" s="87">
        <f>IF(TrRoad_act!R36=0,0,R23/TrRoad_act!R36*1000
)</f>
        <v>220.82043400762876</v>
      </c>
      <c r="S60" s="87">
        <f>IF(TrRoad_act!S36=0,0,S23/TrRoad_act!S36*1000
)</f>
        <v>199.42783325132731</v>
      </c>
      <c r="T60" s="87">
        <f>IF(TrRoad_act!T36=0,0,T23/TrRoad_act!T36*1000
)</f>
        <v>189.98219138215944</v>
      </c>
      <c r="U60" s="87">
        <f>IF(TrRoad_act!U36=0,0,U23/TrRoad_act!U36*1000
)</f>
        <v>175.73326607757224</v>
      </c>
      <c r="V60" s="87">
        <f>IF(TrRoad_act!V36=0,0,V23/TrRoad_act!V36*1000
)</f>
        <v>133.33007043773634</v>
      </c>
      <c r="W60" s="87">
        <f>IF(TrRoad_act!W36=0,0,W23/TrRoad_act!W36*1000
)</f>
        <v>217.8881106508793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147.25399831770423</v>
      </c>
      <c r="O61" s="87">
        <f>IF(TrRoad_act!O37=0,0,O24/TrRoad_act!O37*1000
)</f>
        <v>146.63915678168956</v>
      </c>
      <c r="P61" s="87">
        <f>IF(TrRoad_act!P37=0,0,P24/TrRoad_act!P37*1000
)</f>
        <v>137.47748580569987</v>
      </c>
      <c r="Q61" s="87">
        <f>IF(TrRoad_act!Q37=0,0,Q24/TrRoad_act!Q37*1000
)</f>
        <v>130.07732167287722</v>
      </c>
      <c r="R61" s="87">
        <f>IF(TrRoad_act!R37=0,0,R24/TrRoad_act!R37*1000
)</f>
        <v>129.18536370470932</v>
      </c>
      <c r="S61" s="87">
        <f>IF(TrRoad_act!S37=0,0,S24/TrRoad_act!S37*1000
)</f>
        <v>128.16922573644374</v>
      </c>
      <c r="T61" s="87">
        <f>IF(TrRoad_act!T37=0,0,T24/TrRoad_act!T37*1000
)</f>
        <v>129.94068073918231</v>
      </c>
      <c r="U61" s="87">
        <f>IF(TrRoad_act!U37=0,0,U24/TrRoad_act!U37*1000
)</f>
        <v>129.50065509880272</v>
      </c>
      <c r="V61" s="87">
        <f>IF(TrRoad_act!V37=0,0,V24/TrRoad_act!V37*1000
)</f>
        <v>127.23765292958089</v>
      </c>
      <c r="W61" s="87">
        <f>IF(TrRoad_act!W37=0,0,W24/TrRoad_act!W37*1000
)</f>
        <v>125.94767164015155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45.501871137317529</v>
      </c>
      <c r="P62" s="87">
        <f>IF(TrRoad_act!P38=0,0,P25/TrRoad_act!P38*1000
)</f>
        <v>46.202346787313502</v>
      </c>
      <c r="Q62" s="87">
        <f>IF(TrRoad_act!Q38=0,0,Q25/TrRoad_act!Q38*1000
)</f>
        <v>41.531468561897682</v>
      </c>
      <c r="R62" s="87">
        <f>IF(TrRoad_act!R38=0,0,R25/TrRoad_act!R38*1000
)</f>
        <v>50.93217819984784</v>
      </c>
      <c r="S62" s="87">
        <f>IF(TrRoad_act!S38=0,0,S25/TrRoad_act!S38*1000
)</f>
        <v>58.857872280239107</v>
      </c>
      <c r="T62" s="87">
        <f>IF(TrRoad_act!T38=0,0,T25/TrRoad_act!T38*1000
)</f>
        <v>59.969270027065782</v>
      </c>
      <c r="U62" s="87">
        <f>IF(TrRoad_act!U38=0,0,U25/TrRoad_act!U38*1000
)</f>
        <v>58.530631361567366</v>
      </c>
      <c r="V62" s="87">
        <f>IF(TrRoad_act!V38=0,0,V25/TrRoad_act!V38*1000
)</f>
        <v>56.893760898051596</v>
      </c>
      <c r="W62" s="87">
        <f>IF(TrRoad_act!W38=0,0,W25/TrRoad_act!W38*1000
)</f>
        <v>56.13377082257805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1831.0095547744377</v>
      </c>
      <c r="C64" s="116">
        <f>IF(TrRoad_act!C40=0,0,C27/TrRoad_act!C40*1000
)</f>
        <v>1744.597545662619</v>
      </c>
      <c r="D64" s="116">
        <f>IF(TrRoad_act!D40=0,0,D27/TrRoad_act!D40*1000
)</f>
        <v>1733.5318524071147</v>
      </c>
      <c r="E64" s="116">
        <f>IF(TrRoad_act!E40=0,0,E27/TrRoad_act!E40*1000
)</f>
        <v>1720.0788629305896</v>
      </c>
      <c r="F64" s="116">
        <f>IF(TrRoad_act!F40=0,0,F27/TrRoad_act!F40*1000
)</f>
        <v>1711.9605955002844</v>
      </c>
      <c r="G64" s="116">
        <f>IF(TrRoad_act!G40=0,0,G27/TrRoad_act!G40*1000
)</f>
        <v>1701.4883946260379</v>
      </c>
      <c r="H64" s="116">
        <f>IF(TrRoad_act!H40=0,0,H27/TrRoad_act!H40*1000
)</f>
        <v>1684.6030696552141</v>
      </c>
      <c r="I64" s="116">
        <f>IF(TrRoad_act!I40=0,0,I27/TrRoad_act!I40*1000
)</f>
        <v>1668.2916343219508</v>
      </c>
      <c r="J64" s="116">
        <f>IF(TrRoad_act!J40=0,0,J27/TrRoad_act!J40*1000
)</f>
        <v>1656.5559587418627</v>
      </c>
      <c r="K64" s="116">
        <f>IF(TrRoad_act!K40=0,0,K27/TrRoad_act!K40*1000
)</f>
        <v>1637.1812033129982</v>
      </c>
      <c r="L64" s="116">
        <f>IF(TrRoad_act!L40=0,0,L27/TrRoad_act!L40*1000
)</f>
        <v>1617.9337938002207</v>
      </c>
      <c r="M64" s="116">
        <f>IF(TrRoad_act!M40=0,0,M27/TrRoad_act!M40*1000
)</f>
        <v>1636.3766150981817</v>
      </c>
      <c r="N64" s="116">
        <f>IF(TrRoad_act!N40=0,0,N27/TrRoad_act!N40*1000
)</f>
        <v>1615.3857197772227</v>
      </c>
      <c r="O64" s="116">
        <f>IF(TrRoad_act!O40=0,0,O27/TrRoad_act!O40*1000
)</f>
        <v>1604.9187055953098</v>
      </c>
      <c r="P64" s="116">
        <f>IF(TrRoad_act!P40=0,0,P27/TrRoad_act!P40*1000
)</f>
        <v>1615.3225766378482</v>
      </c>
      <c r="Q64" s="116">
        <f>IF(TrRoad_act!Q40=0,0,Q27/TrRoad_act!Q40*1000
)</f>
        <v>1636.4226686837198</v>
      </c>
      <c r="R64" s="116">
        <f>IF(TrRoad_act!R40=0,0,R27/TrRoad_act!R40*1000
)</f>
        <v>1654.9649019305994</v>
      </c>
      <c r="S64" s="116">
        <f>IF(TrRoad_act!S40=0,0,S27/TrRoad_act!S40*1000
)</f>
        <v>1664.201005251698</v>
      </c>
      <c r="T64" s="116">
        <f>IF(TrRoad_act!T40=0,0,T27/TrRoad_act!T40*1000
)</f>
        <v>1618.8136988644053</v>
      </c>
      <c r="U64" s="116">
        <f>IF(TrRoad_act!U40=0,0,U27/TrRoad_act!U40*1000
)</f>
        <v>1592.7500506647978</v>
      </c>
      <c r="V64" s="116">
        <f>IF(TrRoad_act!V40=0,0,V27/TrRoad_act!V40*1000
)</f>
        <v>1605.0835215246946</v>
      </c>
      <c r="W64" s="116">
        <f>IF(TrRoad_act!W40=0,0,W27/TrRoad_act!W40*1000
)</f>
        <v>1638.0147783436364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588.75383393297795</v>
      </c>
      <c r="D65" s="101">
        <f>IF(TrRoad_act!D41=0,0,D28/TrRoad_act!D41*1000
)</f>
        <v>588.52944134005236</v>
      </c>
      <c r="E65" s="101">
        <f>IF(TrRoad_act!E41=0,0,E28/TrRoad_act!E41*1000
)</f>
        <v>588.09754315578425</v>
      </c>
      <c r="F65" s="101">
        <f>IF(TrRoad_act!F41=0,0,F28/TrRoad_act!F41*1000
)</f>
        <v>587.47744241632904</v>
      </c>
      <c r="G65" s="101">
        <f>IF(TrRoad_act!G41=0,0,G28/TrRoad_act!G41*1000
)</f>
        <v>587.09512835260375</v>
      </c>
      <c r="H65" s="101">
        <f>IF(TrRoad_act!H41=0,0,H28/TrRoad_act!H41*1000
)</f>
        <v>586.17721920412737</v>
      </c>
      <c r="I65" s="101">
        <f>IF(TrRoad_act!I41=0,0,I28/TrRoad_act!I41*1000
)</f>
        <v>585.00886854024998</v>
      </c>
      <c r="J65" s="101">
        <f>IF(TrRoad_act!J41=0,0,J28/TrRoad_act!J41*1000
)</f>
        <v>581.88029714330446</v>
      </c>
      <c r="K65" s="101">
        <f>IF(TrRoad_act!K41=0,0,K28/TrRoad_act!K41*1000
)</f>
        <v>580.07413221193985</v>
      </c>
      <c r="L65" s="101">
        <f>IF(TrRoad_act!L41=0,0,L28/TrRoad_act!L41*1000
)</f>
        <v>576.92511715195599</v>
      </c>
      <c r="M65" s="101">
        <f>IF(TrRoad_act!M41=0,0,M28/TrRoad_act!M41*1000
)</f>
        <v>573.12246060518635</v>
      </c>
      <c r="N65" s="101">
        <f>IF(TrRoad_act!N41=0,0,N28/TrRoad_act!N41*1000
)</f>
        <v>570.1997577500448</v>
      </c>
      <c r="O65" s="101">
        <f>IF(TrRoad_act!O41=0,0,O28/TrRoad_act!O41*1000
)</f>
        <v>518.61348574797898</v>
      </c>
      <c r="P65" s="101">
        <f>IF(TrRoad_act!P41=0,0,P28/TrRoad_act!P41*1000
)</f>
        <v>506.86672902305827</v>
      </c>
      <c r="Q65" s="101">
        <f>IF(TrRoad_act!Q41=0,0,Q28/TrRoad_act!Q41*1000
)</f>
        <v>494.57980470190341</v>
      </c>
      <c r="R65" s="101">
        <f>IF(TrRoad_act!R41=0,0,R28/TrRoad_act!R41*1000
)</f>
        <v>496.98066692088707</v>
      </c>
      <c r="S65" s="101">
        <f>IF(TrRoad_act!S41=0,0,S28/TrRoad_act!S41*1000
)</f>
        <v>496.99432480757747</v>
      </c>
      <c r="T65" s="101">
        <f>IF(TrRoad_act!T41=0,0,T28/TrRoad_act!T41*1000
)</f>
        <v>492.93379545143245</v>
      </c>
      <c r="U65" s="101">
        <f>IF(TrRoad_act!U41=0,0,U28/TrRoad_act!U41*1000
)</f>
        <v>496.79749215635456</v>
      </c>
      <c r="V65" s="101">
        <f>IF(TrRoad_act!V41=0,0,V28/TrRoad_act!V41*1000
)</f>
        <v>489.72681755186795</v>
      </c>
      <c r="W65" s="101">
        <f>IF(TrRoad_act!W41=0,0,W28/TrRoad_act!W41*1000
)</f>
        <v>490.45567733266984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1849.9436716799255</v>
      </c>
      <c r="C66" s="101">
        <f>IF(TrRoad_act!C42=0,0,C29/TrRoad_act!C42*1000
)</f>
        <v>1761.2550396577628</v>
      </c>
      <c r="D66" s="101">
        <f>IF(TrRoad_act!D42=0,0,D29/TrRoad_act!D42*1000
)</f>
        <v>1748.8100710768881</v>
      </c>
      <c r="E66" s="101">
        <f>IF(TrRoad_act!E42=0,0,E29/TrRoad_act!E42*1000
)</f>
        <v>1733.416997278307</v>
      </c>
      <c r="F66" s="101">
        <f>IF(TrRoad_act!F42=0,0,F29/TrRoad_act!F42*1000
)</f>
        <v>1722.9888991977164</v>
      </c>
      <c r="G66" s="101">
        <f>IF(TrRoad_act!G42=0,0,G29/TrRoad_act!G42*1000
)</f>
        <v>1711.3652654141083</v>
      </c>
      <c r="H66" s="101">
        <f>IF(TrRoad_act!H42=0,0,H29/TrRoad_act!H42*1000
)</f>
        <v>1693.1700170723534</v>
      </c>
      <c r="I66" s="101">
        <f>IF(TrRoad_act!I42=0,0,I29/TrRoad_act!I42*1000
)</f>
        <v>1675.4848827317237</v>
      </c>
      <c r="J66" s="101">
        <f>IF(TrRoad_act!J42=0,0,J29/TrRoad_act!J42*1000
)</f>
        <v>1662.1648299854296</v>
      </c>
      <c r="K66" s="101">
        <f>IF(TrRoad_act!K42=0,0,K29/TrRoad_act!K42*1000
)</f>
        <v>1641.7721325728917</v>
      </c>
      <c r="L66" s="101">
        <f>IF(TrRoad_act!L42=0,0,L29/TrRoad_act!L42*1000
)</f>
        <v>1621.6832140571246</v>
      </c>
      <c r="M66" s="101">
        <f>IF(TrRoad_act!M42=0,0,M29/TrRoad_act!M42*1000
)</f>
        <v>1639.3719379622294</v>
      </c>
      <c r="N66" s="101">
        <f>IF(TrRoad_act!N42=0,0,N29/TrRoad_act!N42*1000
)</f>
        <v>1623.527622284452</v>
      </c>
      <c r="O66" s="101">
        <f>IF(TrRoad_act!O42=0,0,O29/TrRoad_act!O42*1000
)</f>
        <v>1614.0782776632941</v>
      </c>
      <c r="P66" s="101">
        <f>IF(TrRoad_act!P42=0,0,P29/TrRoad_act!P42*1000
)</f>
        <v>1639.9349712966862</v>
      </c>
      <c r="Q66" s="101">
        <f>IF(TrRoad_act!Q42=0,0,Q29/TrRoad_act!Q42*1000
)</f>
        <v>1662.8251451992073</v>
      </c>
      <c r="R66" s="101">
        <f>IF(TrRoad_act!R42=0,0,R29/TrRoad_act!R42*1000
)</f>
        <v>1682.3152998404307</v>
      </c>
      <c r="S66" s="101">
        <f>IF(TrRoad_act!S42=0,0,S29/TrRoad_act!S42*1000
)</f>
        <v>1682.9931100404724</v>
      </c>
      <c r="T66" s="101">
        <f>IF(TrRoad_act!T42=0,0,T29/TrRoad_act!T42*1000
)</f>
        <v>1639.1779206472379</v>
      </c>
      <c r="U66" s="101">
        <f>IF(TrRoad_act!U42=0,0,U29/TrRoad_act!U42*1000
)</f>
        <v>1615.579713641401</v>
      </c>
      <c r="V66" s="101">
        <f>IF(TrRoad_act!V42=0,0,V29/TrRoad_act!V42*1000
)</f>
        <v>1618.7466882736614</v>
      </c>
      <c r="W66" s="101">
        <f>IF(TrRoad_act!W42=0,0,W29/TrRoad_act!W42*1000
)</f>
        <v>1627.361221541591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1122.3745838904572</v>
      </c>
      <c r="O68" s="101">
        <f>IF(TrRoad_act!O44=0,0,O31/TrRoad_act!O44*1000
)</f>
        <v>1071.2955368161113</v>
      </c>
      <c r="P68" s="101">
        <f>IF(TrRoad_act!P44=0,0,P31/TrRoad_act!P44*1000
)</f>
        <v>732.95250346029968</v>
      </c>
      <c r="Q68" s="101">
        <f>IF(TrRoad_act!Q44=0,0,Q31/TrRoad_act!Q44*1000
)</f>
        <v>953.81227440665475</v>
      </c>
      <c r="R68" s="101">
        <f>IF(TrRoad_act!R44=0,0,R31/TrRoad_act!R44*1000
)</f>
        <v>1099.0940583892252</v>
      </c>
      <c r="S68" s="101">
        <f>IF(TrRoad_act!S44=0,0,S31/TrRoad_act!S44*1000
)</f>
        <v>1279.1042861177239</v>
      </c>
      <c r="T68" s="101">
        <f>IF(TrRoad_act!T44=0,0,T31/TrRoad_act!T44*1000
)</f>
        <v>1234.4335279783982</v>
      </c>
      <c r="U68" s="101">
        <f>IF(TrRoad_act!U44=0,0,U31/TrRoad_act!U44*1000
)</f>
        <v>1274.40749185704</v>
      </c>
      <c r="V68" s="101">
        <f>IF(TrRoad_act!V44=0,0,V31/TrRoad_act!V44*1000
)</f>
        <v>1490.5634529588285</v>
      </c>
      <c r="W68" s="101">
        <f>IF(TrRoad_act!W44=0,0,W31/TrRoad_act!W44*1000
)</f>
        <v>1951.9961391970587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413.44048484257866</v>
      </c>
      <c r="C70" s="29">
        <f>IF(TrRoad_act!C46=0,0,C33/TrRoad_act!C46*1000
)</f>
        <v>586.73064696437518</v>
      </c>
      <c r="D70" s="29">
        <f>IF(TrRoad_act!D46=0,0,D33/TrRoad_act!D46*1000
)</f>
        <v>581.45039372101371</v>
      </c>
      <c r="E70" s="29">
        <f>IF(TrRoad_act!E46=0,0,E33/TrRoad_act!E46*1000
)</f>
        <v>649.49392433969058</v>
      </c>
      <c r="F70" s="29">
        <f>IF(TrRoad_act!F46=0,0,F33/TrRoad_act!F46*1000
)</f>
        <v>762.81837490372482</v>
      </c>
      <c r="G70" s="29">
        <f>IF(TrRoad_act!G46=0,0,G33/TrRoad_act!G46*1000
)</f>
        <v>852.15408547710661</v>
      </c>
      <c r="H70" s="29">
        <f>IF(TrRoad_act!H46=0,0,H33/TrRoad_act!H46*1000
)</f>
        <v>892.00414736794323</v>
      </c>
      <c r="I70" s="29">
        <f>IF(TrRoad_act!I46=0,0,I33/TrRoad_act!I46*1000
)</f>
        <v>1148.1924424132899</v>
      </c>
      <c r="J70" s="29">
        <f>IF(TrRoad_act!J46=0,0,J33/TrRoad_act!J46*1000
)</f>
        <v>1518.0035001411682</v>
      </c>
      <c r="K70" s="29">
        <f>IF(TrRoad_act!K46=0,0,K33/TrRoad_act!K46*1000
)</f>
        <v>1007.2796164520845</v>
      </c>
      <c r="L70" s="29">
        <f>IF(TrRoad_act!L46=0,0,L33/TrRoad_act!L46*1000
)</f>
        <v>1066.5145328473411</v>
      </c>
      <c r="M70" s="29">
        <f>IF(TrRoad_act!M46=0,0,M33/TrRoad_act!M46*1000
)</f>
        <v>1245.0486848293178</v>
      </c>
      <c r="N70" s="29">
        <f>IF(TrRoad_act!N46=0,0,N33/TrRoad_act!N46*1000
)</f>
        <v>1334.5153741121853</v>
      </c>
      <c r="O70" s="29">
        <f>IF(TrRoad_act!O46=0,0,O33/TrRoad_act!O46*1000
)</f>
        <v>1201.2350006110635</v>
      </c>
      <c r="P70" s="29">
        <f>IF(TrRoad_act!P46=0,0,P33/TrRoad_act!P46*1000
)</f>
        <v>1139.6884273428814</v>
      </c>
      <c r="Q70" s="29">
        <f>IF(TrRoad_act!Q46=0,0,Q33/TrRoad_act!Q46*1000
)</f>
        <v>1042.9071032993895</v>
      </c>
      <c r="R70" s="29">
        <f>IF(TrRoad_act!R46=0,0,R33/TrRoad_act!R46*1000
)</f>
        <v>1148.4311486191293</v>
      </c>
      <c r="S70" s="29">
        <f>IF(TrRoad_act!S46=0,0,S33/TrRoad_act!S46*1000
)</f>
        <v>1075.4896791091635</v>
      </c>
      <c r="T70" s="29">
        <f>IF(TrRoad_act!T46=0,0,T33/TrRoad_act!T46*1000
)</f>
        <v>1010.4614483074507</v>
      </c>
      <c r="U70" s="29">
        <f>IF(TrRoad_act!U46=0,0,U33/TrRoad_act!U46*1000
)</f>
        <v>883.96719856405718</v>
      </c>
      <c r="V70" s="29">
        <f>IF(TrRoad_act!V46=0,0,V33/TrRoad_act!V46*1000
)</f>
        <v>686.82568630371179</v>
      </c>
      <c r="W70" s="29">
        <f>IF(TrRoad_act!W46=0,0,W33/TrRoad_act!W46*1000
)</f>
        <v>831.36716758166676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363.16272237342531</v>
      </c>
      <c r="C71" s="152">
        <f>IF(TrRoad_act!C47=0,0,C34/TrRoad_act!C47*1000
)</f>
        <v>354.43053559204992</v>
      </c>
      <c r="D71" s="152">
        <f>IF(TrRoad_act!D47=0,0,D34/TrRoad_act!D47*1000
)</f>
        <v>350.50534818082275</v>
      </c>
      <c r="E71" s="152">
        <f>IF(TrRoad_act!E47=0,0,E34/TrRoad_act!E47*1000
)</f>
        <v>347.744957295723</v>
      </c>
      <c r="F71" s="152">
        <f>IF(TrRoad_act!F47=0,0,F34/TrRoad_act!F47*1000
)</f>
        <v>345.49745820807271</v>
      </c>
      <c r="G71" s="152">
        <f>IF(TrRoad_act!G47=0,0,G34/TrRoad_act!G47*1000
)</f>
        <v>344.66383997370008</v>
      </c>
      <c r="H71" s="152">
        <f>IF(TrRoad_act!H47=0,0,H34/TrRoad_act!H47*1000
)</f>
        <v>342.74179356175415</v>
      </c>
      <c r="I71" s="152">
        <f>IF(TrRoad_act!I47=0,0,I34/TrRoad_act!I47*1000
)</f>
        <v>340.31339100755906</v>
      </c>
      <c r="J71" s="152">
        <f>IF(TrRoad_act!J47=0,0,J34/TrRoad_act!J47*1000
)</f>
        <v>337.7588566853309</v>
      </c>
      <c r="K71" s="152">
        <f>IF(TrRoad_act!K47=0,0,K34/TrRoad_act!K47*1000
)</f>
        <v>333.74467672056943</v>
      </c>
      <c r="L71" s="152">
        <f>IF(TrRoad_act!L47=0,0,L34/TrRoad_act!L47*1000
)</f>
        <v>330.65880182025728</v>
      </c>
      <c r="M71" s="152">
        <f>IF(TrRoad_act!M47=0,0,M34/TrRoad_act!M47*1000
)</f>
        <v>335.10111141933135</v>
      </c>
      <c r="N71" s="152">
        <f>IF(TrRoad_act!N47=0,0,N34/TrRoad_act!N47*1000
)</f>
        <v>327.66384499631681</v>
      </c>
      <c r="O71" s="152">
        <f>IF(TrRoad_act!O47=0,0,O34/TrRoad_act!O47*1000
)</f>
        <v>320.75440726872529</v>
      </c>
      <c r="P71" s="152">
        <f>IF(TrRoad_act!P47=0,0,P34/TrRoad_act!P47*1000
)</f>
        <v>321.91862464919103</v>
      </c>
      <c r="Q71" s="152">
        <f>IF(TrRoad_act!Q47=0,0,Q34/TrRoad_act!Q47*1000
)</f>
        <v>320.41912993395761</v>
      </c>
      <c r="R71" s="152">
        <f>IF(TrRoad_act!R47=0,0,R34/TrRoad_act!R47*1000
)</f>
        <v>316.59988700897514</v>
      </c>
      <c r="S71" s="152">
        <f>IF(TrRoad_act!S47=0,0,S34/TrRoad_act!S47*1000
)</f>
        <v>307.32710370403737</v>
      </c>
      <c r="T71" s="152">
        <f>IF(TrRoad_act!T47=0,0,T34/TrRoad_act!T47*1000
)</f>
        <v>292.824936104735</v>
      </c>
      <c r="U71" s="152">
        <f>IF(TrRoad_act!U47=0,0,U34/TrRoad_act!U47*1000
)</f>
        <v>283.55567208212096</v>
      </c>
      <c r="V71" s="152">
        <f>IF(TrRoad_act!V47=0,0,V34/TrRoad_act!V47*1000
)</f>
        <v>279.35670510052182</v>
      </c>
      <c r="W71" s="152">
        <f>IF(TrRoad_act!W47=0,0,W34/TrRoad_act!W47*1000
)</f>
        <v>276.50904538131164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273.45724084938911</v>
      </c>
      <c r="C72" s="87">
        <f>IF(TrRoad_act!C48=0,0,C35/TrRoad_act!C48*1000
)</f>
        <v>266.62613800657806</v>
      </c>
      <c r="D72" s="87">
        <f>IF(TrRoad_act!D48=0,0,D35/TrRoad_act!D48*1000
)</f>
        <v>263.69112659385945</v>
      </c>
      <c r="E72" s="87">
        <f>IF(TrRoad_act!E48=0,0,E35/TrRoad_act!E48*1000
)</f>
        <v>261.08019844726101</v>
      </c>
      <c r="F72" s="87">
        <f>IF(TrRoad_act!F48=0,0,F35/TrRoad_act!F48*1000
)</f>
        <v>259.03004106643357</v>
      </c>
      <c r="G72" s="87">
        <f>IF(TrRoad_act!G48=0,0,G35/TrRoad_act!G48*1000
)</f>
        <v>257.26504235877303</v>
      </c>
      <c r="H72" s="87">
        <f>IF(TrRoad_act!H48=0,0,H35/TrRoad_act!H48*1000
)</f>
        <v>254.3441493364349</v>
      </c>
      <c r="I72" s="87">
        <f>IF(TrRoad_act!I48=0,0,I35/TrRoad_act!I48*1000
)</f>
        <v>251.98816560751482</v>
      </c>
      <c r="J72" s="87">
        <f>IF(TrRoad_act!J48=0,0,J35/TrRoad_act!J48*1000
)</f>
        <v>247.82527220041061</v>
      </c>
      <c r="K72" s="87">
        <f>IF(TrRoad_act!K48=0,0,K35/TrRoad_act!K48*1000
)</f>
        <v>245.80599481251343</v>
      </c>
      <c r="L72" s="87">
        <f>IF(TrRoad_act!L48=0,0,L35/TrRoad_act!L48*1000
)</f>
        <v>243.21475117923683</v>
      </c>
      <c r="M72" s="87">
        <f>IF(TrRoad_act!M48=0,0,M35/TrRoad_act!M48*1000
)</f>
        <v>240.82423674503943</v>
      </c>
      <c r="N72" s="87">
        <f>IF(TrRoad_act!N48=0,0,N35/TrRoad_act!N48*1000
)</f>
        <v>238.84193260643738</v>
      </c>
      <c r="O72" s="87">
        <f>IF(TrRoad_act!O48=0,0,O35/TrRoad_act!O48*1000
)</f>
        <v>235.92100120090544</v>
      </c>
      <c r="P72" s="87">
        <f>IF(TrRoad_act!P48=0,0,P35/TrRoad_act!P48*1000
)</f>
        <v>233.32125954250088</v>
      </c>
      <c r="Q72" s="87">
        <f>IF(TrRoad_act!Q48=0,0,Q35/TrRoad_act!Q48*1000
)</f>
        <v>230.98712037709822</v>
      </c>
      <c r="R72" s="87">
        <f>IF(TrRoad_act!R48=0,0,R35/TrRoad_act!R48*1000
)</f>
        <v>227.61790016895168</v>
      </c>
      <c r="S72" s="87">
        <f>IF(TrRoad_act!S48=0,0,S35/TrRoad_act!S48*1000
)</f>
        <v>222.33406918368388</v>
      </c>
      <c r="T72" s="87">
        <f>IF(TrRoad_act!T48=0,0,T35/TrRoad_act!T48*1000
)</f>
        <v>214.13613884838384</v>
      </c>
      <c r="U72" s="87">
        <f>IF(TrRoad_act!U48=0,0,U35/TrRoad_act!U48*1000
)</f>
        <v>213.08977920941686</v>
      </c>
      <c r="V72" s="87">
        <f>IF(TrRoad_act!V48=0,0,V35/TrRoad_act!V48*1000
)</f>
        <v>208.04319449857758</v>
      </c>
      <c r="W72" s="87">
        <f>IF(TrRoad_act!W48=0,0,W35/TrRoad_act!W48*1000
)</f>
        <v>207.77756177517585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386.86500474031476</v>
      </c>
      <c r="C73" s="87">
        <f>IF(TrRoad_act!C49=0,0,C36/TrRoad_act!C49*1000
)</f>
        <v>377.39006300728875</v>
      </c>
      <c r="D73" s="87">
        <f>IF(TrRoad_act!D49=0,0,D36/TrRoad_act!D49*1000
)</f>
        <v>372.01535735715606</v>
      </c>
      <c r="E73" s="87">
        <f>IF(TrRoad_act!E49=0,0,E36/TrRoad_act!E49*1000
)</f>
        <v>367.19035366714024</v>
      </c>
      <c r="F73" s="87">
        <f>IF(TrRoad_act!F49=0,0,F36/TrRoad_act!F49*1000
)</f>
        <v>363.03171470222173</v>
      </c>
      <c r="G73" s="87">
        <f>IF(TrRoad_act!G49=0,0,G36/TrRoad_act!G49*1000
)</f>
        <v>360.05550419737409</v>
      </c>
      <c r="H73" s="87">
        <f>IF(TrRoad_act!H49=0,0,H36/TrRoad_act!H49*1000
)</f>
        <v>355.64637271099099</v>
      </c>
      <c r="I73" s="87">
        <f>IF(TrRoad_act!I49=0,0,I36/TrRoad_act!I49*1000
)</f>
        <v>351.71319445102375</v>
      </c>
      <c r="J73" s="87">
        <f>IF(TrRoad_act!J49=0,0,J36/TrRoad_act!J49*1000
)</f>
        <v>347.91719464326866</v>
      </c>
      <c r="K73" s="87">
        <f>IF(TrRoad_act!K49=0,0,K36/TrRoad_act!K49*1000
)</f>
        <v>342.56370047199283</v>
      </c>
      <c r="L73" s="87">
        <f>IF(TrRoad_act!L49=0,0,L36/TrRoad_act!L49*1000
)</f>
        <v>338.59334333658632</v>
      </c>
      <c r="M73" s="87">
        <f>IF(TrRoad_act!M49=0,0,M36/TrRoad_act!M49*1000
)</f>
        <v>342.87350265046268</v>
      </c>
      <c r="N73" s="87">
        <f>IF(TrRoad_act!N49=0,0,N36/TrRoad_act!N49*1000
)</f>
        <v>334.3957877781998</v>
      </c>
      <c r="O73" s="87">
        <f>IF(TrRoad_act!O49=0,0,O36/TrRoad_act!O49*1000
)</f>
        <v>326.65580321559565</v>
      </c>
      <c r="P73" s="87">
        <f>IF(TrRoad_act!P49=0,0,P36/TrRoad_act!P49*1000
)</f>
        <v>327.15563688091601</v>
      </c>
      <c r="Q73" s="87">
        <f>IF(TrRoad_act!Q49=0,0,Q36/TrRoad_act!Q49*1000
)</f>
        <v>325.19118279512207</v>
      </c>
      <c r="R73" s="87">
        <f>IF(TrRoad_act!R49=0,0,R36/TrRoad_act!R49*1000
)</f>
        <v>320.92242734475525</v>
      </c>
      <c r="S73" s="87">
        <f>IF(TrRoad_act!S49=0,0,S36/TrRoad_act!S49*1000
)</f>
        <v>311.49481095612157</v>
      </c>
      <c r="T73" s="87">
        <f>IF(TrRoad_act!T49=0,0,T36/TrRoad_act!T49*1000
)</f>
        <v>296.5419380139374</v>
      </c>
      <c r="U73" s="87">
        <f>IF(TrRoad_act!U49=0,0,U36/TrRoad_act!U49*1000
)</f>
        <v>286.95906966704445</v>
      </c>
      <c r="V73" s="87">
        <f>IF(TrRoad_act!V49=0,0,V36/TrRoad_act!V49*1000
)</f>
        <v>282.68763752711737</v>
      </c>
      <c r="W73" s="87">
        <f>IF(TrRoad_act!W49=0,0,W36/TrRoad_act!W49*1000
)</f>
        <v>279.47787078865144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351.44780115725223</v>
      </c>
      <c r="I74" s="87">
        <f>IF(TrRoad_act!I50=0,0,I37/TrRoad_act!I50*1000
)</f>
        <v>353.35888353932484</v>
      </c>
      <c r="J74" s="87">
        <f>IF(TrRoad_act!J50=0,0,J37/TrRoad_act!J50*1000
)</f>
        <v>342.53638574321116</v>
      </c>
      <c r="K74" s="87">
        <f>IF(TrRoad_act!K50=0,0,K37/TrRoad_act!K50*1000
)</f>
        <v>343.40510515704102</v>
      </c>
      <c r="L74" s="87">
        <f>IF(TrRoad_act!L50=0,0,L37/TrRoad_act!L50*1000
)</f>
        <v>371.12774458605156</v>
      </c>
      <c r="M74" s="87">
        <f>IF(TrRoad_act!M50=0,0,M37/TrRoad_act!M50*1000
)</f>
        <v>394.58719205245535</v>
      </c>
      <c r="N74" s="87">
        <f>IF(TrRoad_act!N50=0,0,N37/TrRoad_act!N50*1000
)</f>
        <v>404.78419376798723</v>
      </c>
      <c r="O74" s="87">
        <f>IF(TrRoad_act!O50=0,0,O37/TrRoad_act!O50*1000
)</f>
        <v>380.89401358043381</v>
      </c>
      <c r="P74" s="87">
        <f>IF(TrRoad_act!P50=0,0,P37/TrRoad_act!P50*1000
)</f>
        <v>355.01819873787207</v>
      </c>
      <c r="Q74" s="87">
        <f>IF(TrRoad_act!Q50=0,0,Q37/TrRoad_act!Q50*1000
)</f>
        <v>370.745148831606</v>
      </c>
      <c r="R74" s="87">
        <f>IF(TrRoad_act!R50=0,0,R37/TrRoad_act!R50*1000
)</f>
        <v>367.80790079927743</v>
      </c>
      <c r="S74" s="87">
        <f>IF(TrRoad_act!S50=0,0,S37/TrRoad_act!S50*1000
)</f>
        <v>324.38576568099501</v>
      </c>
      <c r="T74" s="87">
        <f>IF(TrRoad_act!T50=0,0,T37/TrRoad_act!T50*1000
)</f>
        <v>304.94325648917999</v>
      </c>
      <c r="U74" s="87">
        <f>IF(TrRoad_act!U50=0,0,U37/TrRoad_act!U50*1000
)</f>
        <v>269.56445485337434</v>
      </c>
      <c r="V74" s="87">
        <f>IF(TrRoad_act!V50=0,0,V37/TrRoad_act!V50*1000
)</f>
        <v>256.46460964688777</v>
      </c>
      <c r="W74" s="87">
        <f>IF(TrRoad_act!W50=0,0,W37/TrRoad_act!W50*1000
)</f>
        <v>334.42283237323227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215.84156133591944</v>
      </c>
      <c r="Q75" s="87">
        <f>IF(TrRoad_act!Q51=0,0,Q38/TrRoad_act!Q51*1000
)</f>
        <v>228.15774650873757</v>
      </c>
      <c r="R75" s="87">
        <f>IF(TrRoad_act!R51=0,0,R38/TrRoad_act!R51*1000
)</f>
        <v>227.24180519647132</v>
      </c>
      <c r="S75" s="87">
        <f>IF(TrRoad_act!S51=0,0,S38/TrRoad_act!S51*1000
)</f>
        <v>205.02998215924475</v>
      </c>
      <c r="T75" s="87">
        <f>IF(TrRoad_act!T51=0,0,T38/TrRoad_act!T51*1000
)</f>
        <v>198.23447394930071</v>
      </c>
      <c r="U75" s="87">
        <f>IF(TrRoad_act!U51=0,0,U38/TrRoad_act!U51*1000
)</f>
        <v>192.31299038027282</v>
      </c>
      <c r="V75" s="87">
        <f>IF(TrRoad_act!V51=0,0,V38/TrRoad_act!V51*1000
)</f>
        <v>195.61383107300387</v>
      </c>
      <c r="W75" s="87">
        <f>IF(TrRoad_act!W51=0,0,W38/TrRoad_act!W51*1000
)</f>
        <v>199.61286640139056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448.74147685978363</v>
      </c>
      <c r="C77" s="116">
        <f>IF(TrRoad_act!C53=0,0,C40/TrRoad_act!C53*1000
)</f>
        <v>754.34697981822148</v>
      </c>
      <c r="D77" s="116">
        <f>IF(TrRoad_act!D53=0,0,D40/TrRoad_act!D53*1000
)</f>
        <v>744.80188468198207</v>
      </c>
      <c r="E77" s="116">
        <f>IF(TrRoad_act!E53=0,0,E40/TrRoad_act!E53*1000
)</f>
        <v>871.27150984460877</v>
      </c>
      <c r="F77" s="116">
        <f>IF(TrRoad_act!F53=0,0,F40/TrRoad_act!F53*1000
)</f>
        <v>1041.684001007829</v>
      </c>
      <c r="G77" s="116">
        <f>IF(TrRoad_act!G53=0,0,G40/TrRoad_act!G53*1000
)</f>
        <v>1213.2281323502036</v>
      </c>
      <c r="H77" s="116">
        <f>IF(TrRoad_act!H53=0,0,H40/TrRoad_act!H53*1000
)</f>
        <v>1305.7195799959104</v>
      </c>
      <c r="I77" s="116">
        <f>IF(TrRoad_act!I53=0,0,I40/TrRoad_act!I53*1000
)</f>
        <v>1816.9049405400096</v>
      </c>
      <c r="J77" s="116">
        <f>IF(TrRoad_act!J53=0,0,J40/TrRoad_act!J53*1000
)</f>
        <v>2605.5030467208294</v>
      </c>
      <c r="K77" s="116">
        <f>IF(TrRoad_act!K53=0,0,K40/TrRoad_act!K53*1000
)</f>
        <v>1749.7260582517338</v>
      </c>
      <c r="L77" s="116">
        <f>IF(TrRoad_act!L53=0,0,L40/TrRoad_act!L53*1000
)</f>
        <v>1898.0952787657707</v>
      </c>
      <c r="M77" s="116">
        <f>IF(TrRoad_act!M53=0,0,M40/TrRoad_act!M53*1000
)</f>
        <v>2349.7762642108523</v>
      </c>
      <c r="N77" s="116">
        <f>IF(TrRoad_act!N53=0,0,N40/TrRoad_act!N53*1000
)</f>
        <v>2631.449415798535</v>
      </c>
      <c r="O77" s="116">
        <f>IF(TrRoad_act!O53=0,0,O40/TrRoad_act!O53*1000
)</f>
        <v>2413.9498631846054</v>
      </c>
      <c r="P77" s="116">
        <f>IF(TrRoad_act!P53=0,0,P40/TrRoad_act!P53*1000
)</f>
        <v>2290.1169851320128</v>
      </c>
      <c r="Q77" s="116">
        <f>IF(TrRoad_act!Q53=0,0,Q40/TrRoad_act!Q53*1000
)</f>
        <v>2090.9292133810336</v>
      </c>
      <c r="R77" s="116">
        <f>IF(TrRoad_act!R53=0,0,R40/TrRoad_act!R53*1000
)</f>
        <v>2352.713613806075</v>
      </c>
      <c r="S77" s="116">
        <f>IF(TrRoad_act!S53=0,0,S40/TrRoad_act!S53*1000
)</f>
        <v>2183.6457154263085</v>
      </c>
      <c r="T77" s="116">
        <f>IF(TrRoad_act!T53=0,0,T40/TrRoad_act!T53*1000
)</f>
        <v>2137.5707325625349</v>
      </c>
      <c r="U77" s="116">
        <f>IF(TrRoad_act!U53=0,0,U40/TrRoad_act!U53*1000
)</f>
        <v>1868.7830963399397</v>
      </c>
      <c r="V77" s="116">
        <f>IF(TrRoad_act!V53=0,0,V40/TrRoad_act!V53*1000
)</f>
        <v>1423.5926757148857</v>
      </c>
      <c r="W77" s="116">
        <f>IF(TrRoad_act!W53=0,0,W40/TrRoad_act!W53*1000
)</f>
        <v>1761.7016425003453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865.02717545199778</v>
      </c>
      <c r="C78" s="101">
        <f>IF(TrRoad_act!C54=0,0,C41/TrRoad_act!C54*1000
)</f>
        <v>903.30607985086692</v>
      </c>
      <c r="D78" s="101">
        <f>IF(TrRoad_act!D54=0,0,D41/TrRoad_act!D54*1000
)</f>
        <v>899.77229953482515</v>
      </c>
      <c r="E78" s="101">
        <f>IF(TrRoad_act!E54=0,0,E41/TrRoad_act!E54*1000
)</f>
        <v>914.58510738066218</v>
      </c>
      <c r="F78" s="101">
        <f>IF(TrRoad_act!F54=0,0,F41/TrRoad_act!F54*1000
)</f>
        <v>936.09980662791611</v>
      </c>
      <c r="G78" s="101">
        <f>IF(TrRoad_act!G54=0,0,G41/TrRoad_act!G54*1000
)</f>
        <v>956.07870110481826</v>
      </c>
      <c r="H78" s="101">
        <f>IF(TrRoad_act!H54=0,0,H41/TrRoad_act!H54*1000
)</f>
        <v>958.75295726403135</v>
      </c>
      <c r="I78" s="101">
        <f>IF(TrRoad_act!I54=0,0,I41/TrRoad_act!I54*1000
)</f>
        <v>1021.9165068684725</v>
      </c>
      <c r="J78" s="101">
        <f>IF(TrRoad_act!J54=0,0,J41/TrRoad_act!J54*1000
)</f>
        <v>1125.9287569433204</v>
      </c>
      <c r="K78" s="101">
        <f>IF(TrRoad_act!K54=0,0,K41/TrRoad_act!K54*1000
)</f>
        <v>995.35060440760037</v>
      </c>
      <c r="L78" s="101">
        <f>IF(TrRoad_act!L54=0,0,L41/TrRoad_act!L54*1000
)</f>
        <v>1006.8567929217334</v>
      </c>
      <c r="M78" s="101">
        <f>IF(TrRoad_act!M54=0,0,M41/TrRoad_act!M54*1000
)</f>
        <v>1076.3790702758536</v>
      </c>
      <c r="N78" s="101">
        <f>IF(TrRoad_act!N54=0,0,N41/TrRoad_act!N54*1000
)</f>
        <v>1104.9659804155906</v>
      </c>
      <c r="O78" s="101">
        <f>IF(TrRoad_act!O54=0,0,O41/TrRoad_act!O54*1000
)</f>
        <v>1066.7374632574899</v>
      </c>
      <c r="P78" s="101">
        <f>IF(TrRoad_act!P54=0,0,P41/TrRoad_act!P54*1000
)</f>
        <v>1058.836987701015</v>
      </c>
      <c r="Q78" s="101">
        <f>IF(TrRoad_act!Q54=0,0,Q41/TrRoad_act!Q54*1000
)</f>
        <v>1033.7652505102928</v>
      </c>
      <c r="R78" s="101">
        <f>IF(TrRoad_act!R54=0,0,R41/TrRoad_act!R54*1000
)</f>
        <v>1071.2673110439396</v>
      </c>
      <c r="S78" s="101">
        <f>IF(TrRoad_act!S54=0,0,S41/TrRoad_act!S54*1000
)</f>
        <v>1041.4908874321368</v>
      </c>
      <c r="T78" s="101">
        <f>IF(TrRoad_act!T54=0,0,T41/TrRoad_act!T54*1000
)</f>
        <v>1009.9007319071662</v>
      </c>
      <c r="U78" s="101">
        <f>IF(TrRoad_act!U54=0,0,U41/TrRoad_act!U54*1000
)</f>
        <v>957.88563904238629</v>
      </c>
      <c r="V78" s="101">
        <f>IF(TrRoad_act!V54=0,0,V41/TrRoad_act!V54*1000
)</f>
        <v>892.1322506443355</v>
      </c>
      <c r="W78" s="101">
        <f>IF(TrRoad_act!W54=0,0,W41/TrRoad_act!W54*1000
)</f>
        <v>940.82668170488307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45.419482404117183</v>
      </c>
      <c r="C79" s="88">
        <f>IF(TrRoad_act!C55=0,0,C42/TrRoad_act!C55*1000
)</f>
        <v>617.8242246671166</v>
      </c>
      <c r="D79" s="88">
        <f>IF(TrRoad_act!D55=0,0,D42/TrRoad_act!D55*1000
)</f>
        <v>586.19889472779596</v>
      </c>
      <c r="E79" s="88">
        <f>IF(TrRoad_act!E55=0,0,E42/TrRoad_act!E55*1000
)</f>
        <v>824.6004471912388</v>
      </c>
      <c r="F79" s="88">
        <f>IF(TrRoad_act!F55=0,0,F42/TrRoad_act!F55*1000
)</f>
        <v>1167.9138188014349</v>
      </c>
      <c r="G79" s="88">
        <f>IF(TrRoad_act!G55=0,0,G42/TrRoad_act!G55*1000
)</f>
        <v>1521.0886140800042</v>
      </c>
      <c r="H79" s="88">
        <f>IF(TrRoad_act!H55=0,0,H42/TrRoad_act!H55*1000
)</f>
        <v>1639.8710850607415</v>
      </c>
      <c r="I79" s="88">
        <f>IF(TrRoad_act!I55=0,0,I42/TrRoad_act!I55*1000
)</f>
        <v>2625.5374825649569</v>
      </c>
      <c r="J79" s="88">
        <f>IF(TrRoad_act!J55=0,0,J42/TrRoad_act!J55*1000
)</f>
        <v>4114.3262072898915</v>
      </c>
      <c r="K79" s="88">
        <f>IF(TrRoad_act!K55=0,0,K42/TrRoad_act!K55*1000
)</f>
        <v>2510.698346738855</v>
      </c>
      <c r="L79" s="88">
        <f>IF(TrRoad_act!L55=0,0,L42/TrRoad_act!L55*1000
)</f>
        <v>2844.5514176780944</v>
      </c>
      <c r="M79" s="88">
        <f>IF(TrRoad_act!M55=0,0,M42/TrRoad_act!M55*1000
)</f>
        <v>3584.7106887217528</v>
      </c>
      <c r="N79" s="88">
        <f>IF(TrRoad_act!N55=0,0,N42/TrRoad_act!N55*1000
)</f>
        <v>3919.8278480510048</v>
      </c>
      <c r="O79" s="88">
        <f>IF(TrRoad_act!O55=0,0,O42/TrRoad_act!O55*1000
)</f>
        <v>3495.5481349552665</v>
      </c>
      <c r="P79" s="88">
        <f>IF(TrRoad_act!P55=0,0,P42/TrRoad_act!P55*1000
)</f>
        <v>3359.858381121323</v>
      </c>
      <c r="Q79" s="88">
        <f>IF(TrRoad_act!Q55=0,0,Q42/TrRoad_act!Q55*1000
)</f>
        <v>2906.0133677555523</v>
      </c>
      <c r="R79" s="88">
        <f>IF(TrRoad_act!R55=0,0,R42/TrRoad_act!R55*1000
)</f>
        <v>3240.1016946115174</v>
      </c>
      <c r="S79" s="88">
        <f>IF(TrRoad_act!S55=0,0,S42/TrRoad_act!S55*1000
)</f>
        <v>2960.2935413498567</v>
      </c>
      <c r="T79" s="88">
        <f>IF(TrRoad_act!T55=0,0,T42/TrRoad_act!T55*1000
)</f>
        <v>2855.5187738208092</v>
      </c>
      <c r="U79" s="88">
        <f>IF(TrRoad_act!U55=0,0,U42/TrRoad_act!U55*1000
)</f>
        <v>2460.920532897223</v>
      </c>
      <c r="V79" s="88">
        <f>IF(TrRoad_act!V55=0,0,V42/TrRoad_act!V55*1000
)</f>
        <v>1781.1301355852765</v>
      </c>
      <c r="W79" s="88">
        <f>IF(TrRoad_act!W55=0,0,W42/TrRoad_act!W55*1000
)</f>
        <v>2317.9744465983699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132.53828069394621</v>
      </c>
      <c r="C82" s="29">
        <f>IF(TrRoad_act!C4=0,0,C18/TrRoad_act!C4*1000)</f>
        <v>130.04730600465606</v>
      </c>
      <c r="D82" s="29">
        <f>IF(TrRoad_act!D4=0,0,D18/TrRoad_act!D4*1000)</f>
        <v>130.38602994648991</v>
      </c>
      <c r="E82" s="29">
        <f>IF(TrRoad_act!E4=0,0,E18/TrRoad_act!E4*1000)</f>
        <v>127.4050566586053</v>
      </c>
      <c r="F82" s="29">
        <f>IF(TrRoad_act!F4=0,0,F18/TrRoad_act!F4*1000)</f>
        <v>121.37057295213236</v>
      </c>
      <c r="G82" s="29">
        <f>IF(TrRoad_act!G4=0,0,G18/TrRoad_act!G4*1000)</f>
        <v>123.47000793758926</v>
      </c>
      <c r="H82" s="29">
        <f>IF(TrRoad_act!H4=0,0,H18/TrRoad_act!H4*1000)</f>
        <v>123.49629695813063</v>
      </c>
      <c r="I82" s="29">
        <f>IF(TrRoad_act!I4=0,0,I18/TrRoad_act!I4*1000)</f>
        <v>120.29838572638386</v>
      </c>
      <c r="J82" s="29">
        <f>IF(TrRoad_act!J4=0,0,J18/TrRoad_act!J4*1000)</f>
        <v>126.23324350433712</v>
      </c>
      <c r="K82" s="29">
        <f>IF(TrRoad_act!K4=0,0,K18/TrRoad_act!K4*1000)</f>
        <v>119.34030992345592</v>
      </c>
      <c r="L82" s="29">
        <f>IF(TrRoad_act!L4=0,0,L18/TrRoad_act!L4*1000)</f>
        <v>120.80688245385048</v>
      </c>
      <c r="M82" s="29">
        <f>IF(TrRoad_act!M4=0,0,M18/TrRoad_act!M4*1000)</f>
        <v>122.70600132697841</v>
      </c>
      <c r="N82" s="29">
        <f>IF(TrRoad_act!N4=0,0,N18/TrRoad_act!N4*1000)</f>
        <v>119.60522502313775</v>
      </c>
      <c r="O82" s="29">
        <f>IF(TrRoad_act!O4=0,0,O18/TrRoad_act!O4*1000)</f>
        <v>116.17852952278443</v>
      </c>
      <c r="P82" s="29">
        <f>IF(TrRoad_act!P4=0,0,P18/TrRoad_act!P4*1000)</f>
        <v>114.2079259070085</v>
      </c>
      <c r="Q82" s="29">
        <f>IF(TrRoad_act!Q4=0,0,Q18/TrRoad_act!Q4*1000)</f>
        <v>113.72202719868498</v>
      </c>
      <c r="R82" s="29">
        <f>IF(TrRoad_act!R4=0,0,R18/TrRoad_act!R4*1000)</f>
        <v>113.19571188345788</v>
      </c>
      <c r="S82" s="29">
        <f>IF(TrRoad_act!S4=0,0,S18/TrRoad_act!S4*1000)</f>
        <v>113.57633222959402</v>
      </c>
      <c r="T82" s="29">
        <f>IF(TrRoad_act!T4=0,0,T18/TrRoad_act!T4*1000)</f>
        <v>112.59455271272026</v>
      </c>
      <c r="U82" s="29">
        <f>IF(TrRoad_act!U4=0,0,U18/TrRoad_act!U4*1000)</f>
        <v>109.97214384467257</v>
      </c>
      <c r="V82" s="29">
        <f>IF(TrRoad_act!V4=0,0,V18/TrRoad_act!V4*1000)</f>
        <v>111.97584447969496</v>
      </c>
      <c r="W82" s="29">
        <f>IF(TrRoad_act!W4=0,0,W18/TrRoad_act!W4*1000)</f>
        <v>112.19709177538505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112.8832656033685</v>
      </c>
      <c r="C83" s="152">
        <f>IF(TrRoad_act!C5=0,0,C19/TrRoad_act!C5*1000)</f>
        <v>112.33328643533471</v>
      </c>
      <c r="D83" s="152">
        <f>IF(TrRoad_act!D5=0,0,D19/TrRoad_act!D5*1000)</f>
        <v>111.74194695184678</v>
      </c>
      <c r="E83" s="152">
        <f>IF(TrRoad_act!E5=0,0,E19/TrRoad_act!E5*1000)</f>
        <v>110.96700094603648</v>
      </c>
      <c r="F83" s="152">
        <f>IF(TrRoad_act!F5=0,0,F19/TrRoad_act!F5*1000)</f>
        <v>110.10622066631079</v>
      </c>
      <c r="G83" s="152">
        <f>IF(TrRoad_act!G5=0,0,G19/TrRoad_act!G5*1000)</f>
        <v>109.25056487788038</v>
      </c>
      <c r="H83" s="152">
        <f>IF(TrRoad_act!H5=0,0,H19/TrRoad_act!H5*1000)</f>
        <v>107.66238071042838</v>
      </c>
      <c r="I83" s="152">
        <f>IF(TrRoad_act!I5=0,0,I19/TrRoad_act!I5*1000)</f>
        <v>103.47595292476318</v>
      </c>
      <c r="J83" s="152">
        <f>IF(TrRoad_act!J5=0,0,J19/TrRoad_act!J5*1000)</f>
        <v>100.84599285188483</v>
      </c>
      <c r="K83" s="152">
        <f>IF(TrRoad_act!K5=0,0,K19/TrRoad_act!K5*1000)</f>
        <v>104.07671149869982</v>
      </c>
      <c r="L83" s="152">
        <f>IF(TrRoad_act!L5=0,0,L19/TrRoad_act!L5*1000)</f>
        <v>97.852272478619483</v>
      </c>
      <c r="M83" s="152">
        <f>IF(TrRoad_act!M5=0,0,M19/TrRoad_act!M5*1000)</f>
        <v>97.030356211275432</v>
      </c>
      <c r="N83" s="152">
        <f>IF(TrRoad_act!N5=0,0,N19/TrRoad_act!N5*1000)</f>
        <v>96.935727168876724</v>
      </c>
      <c r="O83" s="152">
        <f>IF(TrRoad_act!O5=0,0,O19/TrRoad_act!O5*1000)</f>
        <v>95.519303188106562</v>
      </c>
      <c r="P83" s="152">
        <f>IF(TrRoad_act!P5=0,0,P19/TrRoad_act!P5*1000)</f>
        <v>94.243453014941792</v>
      </c>
      <c r="Q83" s="152">
        <f>IF(TrRoad_act!Q5=0,0,Q19/TrRoad_act!Q5*1000)</f>
        <v>92.50623176350075</v>
      </c>
      <c r="R83" s="152">
        <f>IF(TrRoad_act!R5=0,0,R19/TrRoad_act!R5*1000)</f>
        <v>91.666724509462938</v>
      </c>
      <c r="S83" s="152">
        <f>IF(TrRoad_act!S5=0,0,S19/TrRoad_act!S5*1000)</f>
        <v>93.047307051203717</v>
      </c>
      <c r="T83" s="152">
        <f>IF(TrRoad_act!T5=0,0,T19/TrRoad_act!T5*1000)</f>
        <v>91.221597049018868</v>
      </c>
      <c r="U83" s="152">
        <f>IF(TrRoad_act!U5=0,0,U19/TrRoad_act!U5*1000)</f>
        <v>90.607822554263777</v>
      </c>
      <c r="V83" s="152">
        <f>IF(TrRoad_act!V5=0,0,V19/TrRoad_act!V5*1000)</f>
        <v>88.748244286752424</v>
      </c>
      <c r="W83" s="152">
        <f>IF(TrRoad_act!W5=0,0,W19/TrRoad_act!W5*1000)</f>
        <v>82.862044765401109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143.34684360548172</v>
      </c>
      <c r="C84" s="116">
        <f>IF(TrRoad_act!C6=0,0,C20/TrRoad_act!C6*1000)</f>
        <v>140.53635767555951</v>
      </c>
      <c r="D84" s="116">
        <f>IF(TrRoad_act!D6=0,0,D20/TrRoad_act!D6*1000)</f>
        <v>140.73589232523199</v>
      </c>
      <c r="E84" s="116">
        <f>IF(TrRoad_act!E6=0,0,E20/TrRoad_act!E6*1000)</f>
        <v>138.22164642452611</v>
      </c>
      <c r="F84" s="116">
        <f>IF(TrRoad_act!F6=0,0,F20/TrRoad_act!F6*1000)</f>
        <v>129.42322972559967</v>
      </c>
      <c r="G84" s="116">
        <f>IF(TrRoad_act!G6=0,0,G20/TrRoad_act!G6*1000)</f>
        <v>131.14055766381017</v>
      </c>
      <c r="H84" s="116">
        <f>IF(TrRoad_act!H6=0,0,H20/TrRoad_act!H6*1000)</f>
        <v>131.39218777697525</v>
      </c>
      <c r="I84" s="116">
        <f>IF(TrRoad_act!I6=0,0,I20/TrRoad_act!I6*1000)</f>
        <v>127.87369872069365</v>
      </c>
      <c r="J84" s="116">
        <f>IF(TrRoad_act!J6=0,0,J20/TrRoad_act!J6*1000)</f>
        <v>134.0531961887144</v>
      </c>
      <c r="K84" s="116">
        <f>IF(TrRoad_act!K6=0,0,K20/TrRoad_act!K6*1000)</f>
        <v>126.17859089968151</v>
      </c>
      <c r="L84" s="116">
        <f>IF(TrRoad_act!L6=0,0,L20/TrRoad_act!L6*1000)</f>
        <v>128.04298241377612</v>
      </c>
      <c r="M84" s="116">
        <f>IF(TrRoad_act!M6=0,0,M20/TrRoad_act!M6*1000)</f>
        <v>130.3445057485209</v>
      </c>
      <c r="N84" s="116">
        <f>IF(TrRoad_act!N6=0,0,N20/TrRoad_act!N6*1000)</f>
        <v>126.94678098280428</v>
      </c>
      <c r="O84" s="116">
        <f>IF(TrRoad_act!O6=0,0,O20/TrRoad_act!O6*1000)</f>
        <v>123.32998623149822</v>
      </c>
      <c r="P84" s="116">
        <f>IF(TrRoad_act!P6=0,0,P20/TrRoad_act!P6*1000)</f>
        <v>121.21611148692878</v>
      </c>
      <c r="Q84" s="116">
        <f>IF(TrRoad_act!Q6=0,0,Q20/TrRoad_act!Q6*1000)</f>
        <v>120.83019962587558</v>
      </c>
      <c r="R84" s="116">
        <f>IF(TrRoad_act!R6=0,0,R20/TrRoad_act!R6*1000)</f>
        <v>120.27749311111296</v>
      </c>
      <c r="S84" s="116">
        <f>IF(TrRoad_act!S6=0,0,S20/TrRoad_act!S6*1000)</f>
        <v>120.53165835034093</v>
      </c>
      <c r="T84" s="116">
        <f>IF(TrRoad_act!T6=0,0,T20/TrRoad_act!T6*1000)</f>
        <v>119.96466367698311</v>
      </c>
      <c r="U84" s="116">
        <f>IF(TrRoad_act!U6=0,0,U20/TrRoad_act!U6*1000)</f>
        <v>116.94810005831133</v>
      </c>
      <c r="V84" s="116">
        <f>IF(TrRoad_act!V6=0,0,V20/TrRoad_act!V6*1000)</f>
        <v>115.78624437237383</v>
      </c>
      <c r="W84" s="116">
        <f>IF(TrRoad_act!W6=0,0,W20/TrRoad_act!W6*1000)</f>
        <v>116.28643743736447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149.25011494204909</v>
      </c>
      <c r="C85" s="87">
        <f>IF(TrRoad_act!C7=0,0,C21/TrRoad_act!C7*1000)</f>
        <v>146.87200370100032</v>
      </c>
      <c r="D85" s="87">
        <f>IF(TrRoad_act!D7=0,0,D21/TrRoad_act!D7*1000)</f>
        <v>149.8034644779317</v>
      </c>
      <c r="E85" s="87">
        <f>IF(TrRoad_act!E7=0,0,E21/TrRoad_act!E7*1000)</f>
        <v>145.97491757532842</v>
      </c>
      <c r="F85" s="87">
        <f>IF(TrRoad_act!F7=0,0,F21/TrRoad_act!F7*1000)</f>
        <v>133.48987638788842</v>
      </c>
      <c r="G85" s="87">
        <f>IF(TrRoad_act!G7=0,0,G21/TrRoad_act!G7*1000)</f>
        <v>136.47607436997316</v>
      </c>
      <c r="H85" s="87">
        <f>IF(TrRoad_act!H7=0,0,H21/TrRoad_act!H7*1000)</f>
        <v>136.78994404380401</v>
      </c>
      <c r="I85" s="87">
        <f>IF(TrRoad_act!I7=0,0,I21/TrRoad_act!I7*1000)</f>
        <v>132.17408385863814</v>
      </c>
      <c r="J85" s="87">
        <f>IF(TrRoad_act!J7=0,0,J21/TrRoad_act!J7*1000)</f>
        <v>143.70556752515839</v>
      </c>
      <c r="K85" s="87">
        <f>IF(TrRoad_act!K7=0,0,K21/TrRoad_act!K7*1000)</f>
        <v>133.47996260983527</v>
      </c>
      <c r="L85" s="87">
        <f>IF(TrRoad_act!L7=0,0,L21/TrRoad_act!L7*1000)</f>
        <v>137.97921822061821</v>
      </c>
      <c r="M85" s="87">
        <f>IF(TrRoad_act!M7=0,0,M21/TrRoad_act!M7*1000)</f>
        <v>140.27742959354944</v>
      </c>
      <c r="N85" s="87">
        <f>IF(TrRoad_act!N7=0,0,N21/TrRoad_act!N7*1000)</f>
        <v>134.09067392543457</v>
      </c>
      <c r="O85" s="87">
        <f>IF(TrRoad_act!O7=0,0,O21/TrRoad_act!O7*1000)</f>
        <v>128.73447329532337</v>
      </c>
      <c r="P85" s="87">
        <f>IF(TrRoad_act!P7=0,0,P21/TrRoad_act!P7*1000)</f>
        <v>123.72856298168884</v>
      </c>
      <c r="Q85" s="87">
        <f>IF(TrRoad_act!Q7=0,0,Q21/TrRoad_act!Q7*1000)</f>
        <v>123.52565463986262</v>
      </c>
      <c r="R85" s="87">
        <f>IF(TrRoad_act!R7=0,0,R21/TrRoad_act!R7*1000)</f>
        <v>126.1050110934043</v>
      </c>
      <c r="S85" s="87">
        <f>IF(TrRoad_act!S7=0,0,S21/TrRoad_act!S7*1000)</f>
        <v>125.44167752637559</v>
      </c>
      <c r="T85" s="87">
        <f>IF(TrRoad_act!T7=0,0,T21/TrRoad_act!T7*1000)</f>
        <v>129.14124349377275</v>
      </c>
      <c r="U85" s="87">
        <f>IF(TrRoad_act!U7=0,0,U21/TrRoad_act!U7*1000)</f>
        <v>125.02206675517411</v>
      </c>
      <c r="V85" s="87">
        <f>IF(TrRoad_act!V7=0,0,V21/TrRoad_act!V7*1000)</f>
        <v>125.57016932711457</v>
      </c>
      <c r="W85" s="87">
        <f>IF(TrRoad_act!W7=0,0,W21/TrRoad_act!W7*1000)</f>
        <v>130.29695010360362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119.52921932901569</v>
      </c>
      <c r="C86" s="87">
        <f>IF(TrRoad_act!C8=0,0,C22/TrRoad_act!C8*1000)</f>
        <v>116.88620914488034</v>
      </c>
      <c r="D86" s="87">
        <f>IF(TrRoad_act!D8=0,0,D22/TrRoad_act!D8*1000)</f>
        <v>116.98559903045157</v>
      </c>
      <c r="E86" s="87">
        <f>IF(TrRoad_act!E8=0,0,E22/TrRoad_act!E8*1000)</f>
        <v>117.9977710165341</v>
      </c>
      <c r="F86" s="87">
        <f>IF(TrRoad_act!F8=0,0,F22/TrRoad_act!F8*1000)</f>
        <v>120.83253892569901</v>
      </c>
      <c r="G86" s="87">
        <f>IF(TrRoad_act!G8=0,0,G22/TrRoad_act!G8*1000)</f>
        <v>121.70206207454474</v>
      </c>
      <c r="H86" s="87">
        <f>IF(TrRoad_act!H8=0,0,H22/TrRoad_act!H8*1000)</f>
        <v>123.2957221305616</v>
      </c>
      <c r="I86" s="87">
        <f>IF(TrRoad_act!I8=0,0,I22/TrRoad_act!I8*1000)</f>
        <v>122.28128284134874</v>
      </c>
      <c r="J86" s="87">
        <f>IF(TrRoad_act!J8=0,0,J22/TrRoad_act!J8*1000)</f>
        <v>122.97857545696914</v>
      </c>
      <c r="K86" s="87">
        <f>IF(TrRoad_act!K8=0,0,K22/TrRoad_act!K8*1000)</f>
        <v>118.75170084571866</v>
      </c>
      <c r="L86" s="87">
        <f>IF(TrRoad_act!L8=0,0,L22/TrRoad_act!L8*1000)</f>
        <v>118.85951067712986</v>
      </c>
      <c r="M86" s="87">
        <f>IF(TrRoad_act!M8=0,0,M22/TrRoad_act!M8*1000)</f>
        <v>121.83275225762118</v>
      </c>
      <c r="N86" s="87">
        <f>IF(TrRoad_act!N8=0,0,N22/TrRoad_act!N8*1000)</f>
        <v>121.25766099047519</v>
      </c>
      <c r="O86" s="87">
        <f>IF(TrRoad_act!O8=0,0,O22/TrRoad_act!O8*1000)</f>
        <v>119.29264977021403</v>
      </c>
      <c r="P86" s="87">
        <f>IF(TrRoad_act!P8=0,0,P22/TrRoad_act!P8*1000)</f>
        <v>119.39321575997099</v>
      </c>
      <c r="Q86" s="87">
        <f>IF(TrRoad_act!Q8=0,0,Q22/TrRoad_act!Q8*1000)</f>
        <v>118.87154144172493</v>
      </c>
      <c r="R86" s="87">
        <f>IF(TrRoad_act!R8=0,0,R22/TrRoad_act!R8*1000)</f>
        <v>116.67087696041327</v>
      </c>
      <c r="S86" s="87">
        <f>IF(TrRoad_act!S8=0,0,S22/TrRoad_act!S8*1000)</f>
        <v>117.8488494476548</v>
      </c>
      <c r="T86" s="87">
        <f>IF(TrRoad_act!T8=0,0,T22/TrRoad_act!T8*1000)</f>
        <v>115.28132007100727</v>
      </c>
      <c r="U86" s="87">
        <f>IF(TrRoad_act!U8=0,0,U22/TrRoad_act!U8*1000)</f>
        <v>113.11837272063312</v>
      </c>
      <c r="V86" s="87">
        <f>IF(TrRoad_act!V8=0,0,V22/TrRoad_act!V8*1000)</f>
        <v>112.13799534244609</v>
      </c>
      <c r="W86" s="87">
        <f>IF(TrRoad_act!W8=0,0,W22/TrRoad_act!W8*1000)</f>
        <v>109.80670425001694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89.927160778640143</v>
      </c>
      <c r="I87" s="87">
        <f>IF(TrRoad_act!I9=0,0,I23/TrRoad_act!I9*1000)</f>
        <v>101.89282824272529</v>
      </c>
      <c r="J87" s="87">
        <f>IF(TrRoad_act!J9=0,0,J23/TrRoad_act!J9*1000)</f>
        <v>100.66257688449872</v>
      </c>
      <c r="K87" s="87">
        <f>IF(TrRoad_act!K9=0,0,K23/TrRoad_act!K9*1000)</f>
        <v>107.13681999731087</v>
      </c>
      <c r="L87" s="87">
        <f>IF(TrRoad_act!L9=0,0,L23/TrRoad_act!L9*1000)</f>
        <v>117.80695986305102</v>
      </c>
      <c r="M87" s="87">
        <f>IF(TrRoad_act!M9=0,0,M23/TrRoad_act!M9*1000)</f>
        <v>126.61454673157277</v>
      </c>
      <c r="N87" s="87">
        <f>IF(TrRoad_act!N9=0,0,N23/TrRoad_act!N9*1000)</f>
        <v>132.28781685927066</v>
      </c>
      <c r="O87" s="87">
        <f>IF(TrRoad_act!O9=0,0,O23/TrRoad_act!O9*1000)</f>
        <v>129.76011919266847</v>
      </c>
      <c r="P87" s="87">
        <f>IF(TrRoad_act!P9=0,0,P23/TrRoad_act!P9*1000)</f>
        <v>130.23875022425599</v>
      </c>
      <c r="Q87" s="87">
        <f>IF(TrRoad_act!Q9=0,0,Q23/TrRoad_act!Q9*1000)</f>
        <v>138.13367159441162</v>
      </c>
      <c r="R87" s="87">
        <f>IF(TrRoad_act!R9=0,0,R23/TrRoad_act!R9*1000)</f>
        <v>133.60465796638917</v>
      </c>
      <c r="S87" s="87">
        <f>IF(TrRoad_act!S9=0,0,S23/TrRoad_act!S9*1000)</f>
        <v>124.85638445084058</v>
      </c>
      <c r="T87" s="87">
        <f>IF(TrRoad_act!T9=0,0,T23/TrRoad_act!T9*1000)</f>
        <v>122.20778776168457</v>
      </c>
      <c r="U87" s="87">
        <f>IF(TrRoad_act!U9=0,0,U23/TrRoad_act!U9*1000)</f>
        <v>115.13506199092089</v>
      </c>
      <c r="V87" s="87">
        <f>IF(TrRoad_act!V9=0,0,V23/TrRoad_act!V9*1000)</f>
        <v>90.10396445186916</v>
      </c>
      <c r="W87" s="87">
        <f>IF(TrRoad_act!W9=0,0,W23/TrRoad_act!W9*1000)</f>
        <v>144.08657930688301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88.231267288692052</v>
      </c>
      <c r="O88" s="87">
        <f>IF(TrRoad_act!O10=0,0,O24/TrRoad_act!O10*1000)</f>
        <v>89.153001954159734</v>
      </c>
      <c r="P88" s="87">
        <f>IF(TrRoad_act!P10=0,0,P24/TrRoad_act!P10*1000)</f>
        <v>84.401610548130137</v>
      </c>
      <c r="Q88" s="87">
        <f>IF(TrRoad_act!Q10=0,0,Q24/TrRoad_act!Q10*1000)</f>
        <v>80.374173891766915</v>
      </c>
      <c r="R88" s="87">
        <f>IF(TrRoad_act!R10=0,0,R24/TrRoad_act!R10*1000)</f>
        <v>78.161998048762996</v>
      </c>
      <c r="S88" s="87">
        <f>IF(TrRoad_act!S10=0,0,S24/TrRoad_act!S10*1000)</f>
        <v>80.243293337839461</v>
      </c>
      <c r="T88" s="87">
        <f>IF(TrRoad_act!T10=0,0,T24/TrRoad_act!T10*1000)</f>
        <v>83.585535138079351</v>
      </c>
      <c r="U88" s="87">
        <f>IF(TrRoad_act!U10=0,0,U24/TrRoad_act!U10*1000)</f>
        <v>84.844869076091214</v>
      </c>
      <c r="V88" s="87">
        <f>IF(TrRoad_act!V10=0,0,V24/TrRoad_act!V10*1000)</f>
        <v>85.986731416751724</v>
      </c>
      <c r="W88" s="87">
        <f>IF(TrRoad_act!W10=0,0,W24/TrRoad_act!W10*1000)</f>
        <v>83.28756040926605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28.271661128490408</v>
      </c>
      <c r="P89" s="87">
        <f>IF(TrRoad_act!P11=0,0,P25/TrRoad_act!P11*1000)</f>
        <v>28.988066042653575</v>
      </c>
      <c r="Q89" s="87">
        <f>IF(TrRoad_act!Q11=0,0,Q25/TrRoad_act!Q11*1000)</f>
        <v>26.225771803060116</v>
      </c>
      <c r="R89" s="87">
        <f>IF(TrRoad_act!R11=0,0,R25/TrRoad_act!R11*1000)</f>
        <v>31.492754244051742</v>
      </c>
      <c r="S89" s="87">
        <f>IF(TrRoad_act!S11=0,0,S25/TrRoad_act!S11*1000)</f>
        <v>37.658723592868455</v>
      </c>
      <c r="T89" s="87">
        <f>IF(TrRoad_act!T11=0,0,T25/TrRoad_act!T11*1000)</f>
        <v>39.42310310865377</v>
      </c>
      <c r="U89" s="87">
        <f>IF(TrRoad_act!U11=0,0,U25/TrRoad_act!U11*1000)</f>
        <v>39.189785018052277</v>
      </c>
      <c r="V89" s="87">
        <f>IF(TrRoad_act!V11=0,0,V25/TrRoad_act!V11*1000)</f>
        <v>39.293117622996746</v>
      </c>
      <c r="W89" s="87">
        <f>IF(TrRoad_act!W11=0,0,W25/TrRoad_act!W11*1000)</f>
        <v>37.935889276838083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70.312866156673508</v>
      </c>
      <c r="C91" s="116">
        <f>IF(TrRoad_act!C13=0,0,C27/TrRoad_act!C13*1000)</f>
        <v>66.183674091841098</v>
      </c>
      <c r="D91" s="116">
        <f>IF(TrRoad_act!D13=0,0,D27/TrRoad_act!D13*1000)</f>
        <v>64.873625139588199</v>
      </c>
      <c r="E91" s="116">
        <f>IF(TrRoad_act!E13=0,0,E27/TrRoad_act!E13*1000)</f>
        <v>60.934479342063419</v>
      </c>
      <c r="F91" s="116">
        <f>IF(TrRoad_act!F13=0,0,F27/TrRoad_act!F13*1000)</f>
        <v>66.61755312837515</v>
      </c>
      <c r="G91" s="116">
        <f>IF(TrRoad_act!G13=0,0,G27/TrRoad_act!G13*1000)</f>
        <v>67.683573262893731</v>
      </c>
      <c r="H91" s="116">
        <f>IF(TrRoad_act!H13=0,0,H27/TrRoad_act!H13*1000)</f>
        <v>66.256912861700059</v>
      </c>
      <c r="I91" s="116">
        <f>IF(TrRoad_act!I13=0,0,I27/TrRoad_act!I13*1000)</f>
        <v>64.144965673644847</v>
      </c>
      <c r="J91" s="116">
        <f>IF(TrRoad_act!J13=0,0,J27/TrRoad_act!J13*1000)</f>
        <v>65.885773727165656</v>
      </c>
      <c r="K91" s="116">
        <f>IF(TrRoad_act!K13=0,0,K27/TrRoad_act!K13*1000)</f>
        <v>65.103407510169845</v>
      </c>
      <c r="L91" s="116">
        <f>IF(TrRoad_act!L13=0,0,L27/TrRoad_act!L13*1000)</f>
        <v>64.314748888712444</v>
      </c>
      <c r="M91" s="116">
        <f>IF(TrRoad_act!M13=0,0,M27/TrRoad_act!M13*1000)</f>
        <v>65.000817722746092</v>
      </c>
      <c r="N91" s="116">
        <f>IF(TrRoad_act!N13=0,0,N27/TrRoad_act!N13*1000)</f>
        <v>64.074207326681901</v>
      </c>
      <c r="O91" s="116">
        <f>IF(TrRoad_act!O13=0,0,O27/TrRoad_act!O13*1000)</f>
        <v>63.475033091920054</v>
      </c>
      <c r="P91" s="116">
        <f>IF(TrRoad_act!P13=0,0,P27/TrRoad_act!P13*1000)</f>
        <v>63.517727057442826</v>
      </c>
      <c r="Q91" s="116">
        <f>IF(TrRoad_act!Q13=0,0,Q27/TrRoad_act!Q13*1000)</f>
        <v>63.606683219468565</v>
      </c>
      <c r="R91" s="116">
        <f>IF(TrRoad_act!R13=0,0,R27/TrRoad_act!R13*1000)</f>
        <v>62.854909434594219</v>
      </c>
      <c r="S91" s="116">
        <f>IF(TrRoad_act!S13=0,0,S27/TrRoad_act!S13*1000)</f>
        <v>63.760386386720711</v>
      </c>
      <c r="T91" s="116">
        <f>IF(TrRoad_act!T13=0,0,T27/TrRoad_act!T13*1000)</f>
        <v>59.978919960066179</v>
      </c>
      <c r="U91" s="116">
        <f>IF(TrRoad_act!U13=0,0,U27/TrRoad_act!U13*1000)</f>
        <v>59.644098219914703</v>
      </c>
      <c r="V91" s="116">
        <f>IF(TrRoad_act!V13=0,0,V27/TrRoad_act!V13*1000)</f>
        <v>69.203661047136436</v>
      </c>
      <c r="W91" s="116">
        <f>IF(TrRoad_act!W13=0,0,W27/TrRoad_act!W13*1000)</f>
        <v>70.51815813117436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59.214573010926919</v>
      </c>
      <c r="C92" s="101">
        <f>IF(TrRoad_act!C14=0,0,C28/TrRoad_act!C14*1000)</f>
        <v>58.071455563930847</v>
      </c>
      <c r="D92" s="101">
        <f>IF(TrRoad_act!D14=0,0,D28/TrRoad_act!D14*1000)</f>
        <v>57.263499139652573</v>
      </c>
      <c r="E92" s="101">
        <f>IF(TrRoad_act!E14=0,0,E28/TrRoad_act!E14*1000)</f>
        <v>54.167333692522185</v>
      </c>
      <c r="F92" s="101">
        <f>IF(TrRoad_act!F14=0,0,F28/TrRoad_act!F14*1000)</f>
        <v>59.437352454472226</v>
      </c>
      <c r="G92" s="101">
        <f>IF(TrRoad_act!G14=0,0,G28/TrRoad_act!G14*1000)</f>
        <v>60.720608068722676</v>
      </c>
      <c r="H92" s="101">
        <f>IF(TrRoad_act!H14=0,0,H28/TrRoad_act!H14*1000)</f>
        <v>59.942643729067484</v>
      </c>
      <c r="I92" s="101">
        <f>IF(TrRoad_act!I14=0,0,I28/TrRoad_act!I14*1000)</f>
        <v>58.482563749720924</v>
      </c>
      <c r="J92" s="101">
        <f>IF(TrRoad_act!J14=0,0,J28/TrRoad_act!J14*1000)</f>
        <v>60.171735713529081</v>
      </c>
      <c r="K92" s="101">
        <f>IF(TrRoad_act!K14=0,0,K28/TrRoad_act!K14*1000)</f>
        <v>59.974110746941889</v>
      </c>
      <c r="L92" s="101">
        <f>IF(TrRoad_act!L14=0,0,L28/TrRoad_act!L14*1000)</f>
        <v>59.626954370100613</v>
      </c>
      <c r="M92" s="101">
        <f>IF(TrRoad_act!M14=0,0,M28/TrRoad_act!M14*1000)</f>
        <v>59.191089295891118</v>
      </c>
      <c r="N92" s="101">
        <f>IF(TrRoad_act!N14=0,0,N28/TrRoad_act!N14*1000)</f>
        <v>58.804069099930295</v>
      </c>
      <c r="O92" s="101">
        <f>IF(TrRoad_act!O14=0,0,O28/TrRoad_act!O14*1000)</f>
        <v>53.32944338115356</v>
      </c>
      <c r="P92" s="101">
        <f>IF(TrRoad_act!P14=0,0,P28/TrRoad_act!P14*1000)</f>
        <v>51.820645508806706</v>
      </c>
      <c r="Q92" s="101">
        <f>IF(TrRoad_act!Q14=0,0,Q28/TrRoad_act!Q14*1000)</f>
        <v>49.982386624651433</v>
      </c>
      <c r="R92" s="101">
        <f>IF(TrRoad_act!R14=0,0,R28/TrRoad_act!R14*1000)</f>
        <v>49.075333507920526</v>
      </c>
      <c r="S92" s="101">
        <f>IF(TrRoad_act!S14=0,0,S28/TrRoad_act!S14*1000)</f>
        <v>49.507379344515662</v>
      </c>
      <c r="T92" s="101">
        <f>IF(TrRoad_act!T14=0,0,T28/TrRoad_act!T14*1000)</f>
        <v>47.4857949235954</v>
      </c>
      <c r="U92" s="101">
        <f>IF(TrRoad_act!U14=0,0,U28/TrRoad_act!U14*1000)</f>
        <v>48.369610695384601</v>
      </c>
      <c r="V92" s="101">
        <f>IF(TrRoad_act!V14=0,0,V28/TrRoad_act!V14*1000)</f>
        <v>54.898271277455322</v>
      </c>
      <c r="W92" s="101">
        <f>IF(TrRoad_act!W14=0,0,W28/TrRoad_act!W14*1000)</f>
        <v>54.89796662162739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70.377545011608888</v>
      </c>
      <c r="C93" s="101">
        <f>IF(TrRoad_act!C15=0,0,C29/TrRoad_act!C15*1000)</f>
        <v>66.228244049359233</v>
      </c>
      <c r="D93" s="101">
        <f>IF(TrRoad_act!D15=0,0,D29/TrRoad_act!D15*1000)</f>
        <v>64.912362787783749</v>
      </c>
      <c r="E93" s="101">
        <f>IF(TrRoad_act!E15=0,0,E29/TrRoad_act!E15*1000)</f>
        <v>60.964926745609567</v>
      </c>
      <c r="F93" s="101">
        <f>IF(TrRoad_act!F15=0,0,F29/TrRoad_act!F15*1000)</f>
        <v>66.644475031509799</v>
      </c>
      <c r="G93" s="101">
        <f>IF(TrRoad_act!G15=0,0,G29/TrRoad_act!G15*1000)</f>
        <v>67.707180192005566</v>
      </c>
      <c r="H93" s="101">
        <f>IF(TrRoad_act!H15=0,0,H29/TrRoad_act!H15*1000)</f>
        <v>66.275763482540356</v>
      </c>
      <c r="I93" s="101">
        <f>IF(TrRoad_act!I15=0,0,I29/TrRoad_act!I15*1000)</f>
        <v>64.159368228215982</v>
      </c>
      <c r="J93" s="101">
        <f>IF(TrRoad_act!J15=0,0,J29/TrRoad_act!J15*1000)</f>
        <v>65.897207122351588</v>
      </c>
      <c r="K93" s="101">
        <f>IF(TrRoad_act!K15=0,0,K29/TrRoad_act!K15*1000)</f>
        <v>65.111952409876608</v>
      </c>
      <c r="L93" s="101">
        <f>IF(TrRoad_act!L15=0,0,L29/TrRoad_act!L15*1000)</f>
        <v>64.321228418154718</v>
      </c>
      <c r="M93" s="101">
        <f>IF(TrRoad_act!M15=0,0,M29/TrRoad_act!M15*1000)</f>
        <v>65.007101731607278</v>
      </c>
      <c r="N93" s="101">
        <f>IF(TrRoad_act!N15=0,0,N29/TrRoad_act!N15*1000)</f>
        <v>64.300586241307315</v>
      </c>
      <c r="O93" s="101">
        <f>IF(TrRoad_act!O15=0,0,O29/TrRoad_act!O15*1000)</f>
        <v>63.758486517756872</v>
      </c>
      <c r="P93" s="101">
        <f>IF(TrRoad_act!P15=0,0,P29/TrRoad_act!P15*1000)</f>
        <v>64.422600174317978</v>
      </c>
      <c r="Q93" s="101">
        <f>IF(TrRoad_act!Q15=0,0,Q29/TrRoad_act!Q15*1000)</f>
        <v>64.584536370327598</v>
      </c>
      <c r="R93" s="101">
        <f>IF(TrRoad_act!R15=0,0,R29/TrRoad_act!R15*1000)</f>
        <v>63.845620878936849</v>
      </c>
      <c r="S93" s="101">
        <f>IF(TrRoad_act!S15=0,0,S29/TrRoad_act!S15*1000)</f>
        <v>64.434933269656696</v>
      </c>
      <c r="T93" s="101">
        <f>IF(TrRoad_act!T15=0,0,T29/TrRoad_act!T15*1000)</f>
        <v>60.692450118152372</v>
      </c>
      <c r="U93" s="101">
        <f>IF(TrRoad_act!U15=0,0,U29/TrRoad_act!U15*1000)</f>
        <v>60.459808704193748</v>
      </c>
      <c r="V93" s="101">
        <f>IF(TrRoad_act!V15=0,0,V29/TrRoad_act!V15*1000)</f>
        <v>69.736231438472117</v>
      </c>
      <c r="W93" s="101">
        <f>IF(TrRoad_act!W15=0,0,W29/TrRoad_act!W15*1000)</f>
        <v>70.011355401079271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44.452181001362248</v>
      </c>
      <c r="O95" s="101">
        <f>IF(TrRoad_act!O17=0,0,O31/TrRoad_act!O17*1000)</f>
        <v>42.317763014261786</v>
      </c>
      <c r="P95" s="101">
        <f>IF(TrRoad_act!P17=0,0,P31/TrRoad_act!P17*1000)</f>
        <v>28.793035640829572</v>
      </c>
      <c r="Q95" s="101">
        <f>IF(TrRoad_act!Q17=0,0,Q31/TrRoad_act!Q17*1000)</f>
        <v>37.046302616202965</v>
      </c>
      <c r="R95" s="101">
        <f>IF(TrRoad_act!R17=0,0,R31/TrRoad_act!R17*1000)</f>
        <v>41.711766259788789</v>
      </c>
      <c r="S95" s="101">
        <f>IF(TrRoad_act!S17=0,0,S31/TrRoad_act!S17*1000)</f>
        <v>48.971679580402672</v>
      </c>
      <c r="T95" s="101">
        <f>IF(TrRoad_act!T17=0,0,T31/TrRoad_act!T17*1000)</f>
        <v>45.706322893503177</v>
      </c>
      <c r="U95" s="101">
        <f>IF(TrRoad_act!U17=0,0,U31/TrRoad_act!U17*1000)</f>
        <v>47.692127177805318</v>
      </c>
      <c r="V95" s="101">
        <f>IF(TrRoad_act!V17=0,0,V31/TrRoad_act!V17*1000)</f>
        <v>64.214048240074064</v>
      </c>
      <c r="W95" s="101">
        <f>IF(TrRoad_act!W17=0,0,W31/TrRoad_act!W17*1000)</f>
        <v>83.977603517798443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62.723090074622597</v>
      </c>
      <c r="C97" s="29">
        <f>IF(TrRoad_act!C19=0,0,C33/TrRoad_act!C19*1000)</f>
        <v>89.348328544973981</v>
      </c>
      <c r="D97" s="29">
        <f>IF(TrRoad_act!D19=0,0,D33/TrRoad_act!D19*1000)</f>
        <v>93.530665261697621</v>
      </c>
      <c r="E97" s="29">
        <f>IF(TrRoad_act!E19=0,0,E33/TrRoad_act!E19*1000)</f>
        <v>109.22649035651875</v>
      </c>
      <c r="F97" s="29">
        <f>IF(TrRoad_act!F19=0,0,F33/TrRoad_act!F19*1000)</f>
        <v>133.73842526531132</v>
      </c>
      <c r="G97" s="29">
        <f>IF(TrRoad_act!G19=0,0,G33/TrRoad_act!G19*1000)</f>
        <v>152.9309285729033</v>
      </c>
      <c r="H97" s="29">
        <f>IF(TrRoad_act!H19=0,0,H33/TrRoad_act!H19*1000)</f>
        <v>154.13729540915426</v>
      </c>
      <c r="I97" s="29">
        <f>IF(TrRoad_act!I19=0,0,I33/TrRoad_act!I19*1000)</f>
        <v>205.70206657001319</v>
      </c>
      <c r="J97" s="29">
        <f>IF(TrRoad_act!J19=0,0,J33/TrRoad_act!J19*1000)</f>
        <v>286.43922988424703</v>
      </c>
      <c r="K97" s="29">
        <f>IF(TrRoad_act!K19=0,0,K33/TrRoad_act!K19*1000)</f>
        <v>209.27329442294078</v>
      </c>
      <c r="L97" s="29">
        <f>IF(TrRoad_act!L19=0,0,L33/TrRoad_act!L19*1000)</f>
        <v>222.68617733815344</v>
      </c>
      <c r="M97" s="29">
        <f>IF(TrRoad_act!M19=0,0,M33/TrRoad_act!M19*1000)</f>
        <v>263.97010896148976</v>
      </c>
      <c r="N97" s="29">
        <f>IF(TrRoad_act!N19=0,0,N33/TrRoad_act!N19*1000)</f>
        <v>289.35210775204837</v>
      </c>
      <c r="O97" s="29">
        <f>IF(TrRoad_act!O19=0,0,O33/TrRoad_act!O19*1000)</f>
        <v>262.25975671637076</v>
      </c>
      <c r="P97" s="29">
        <f>IF(TrRoad_act!P19=0,0,P33/TrRoad_act!P19*1000)</f>
        <v>254.45462665902835</v>
      </c>
      <c r="Q97" s="29">
        <f>IF(TrRoad_act!Q19=0,0,Q33/TrRoad_act!Q19*1000)</f>
        <v>231.49573712931269</v>
      </c>
      <c r="R97" s="29">
        <f>IF(TrRoad_act!R19=0,0,R33/TrRoad_act!R19*1000)</f>
        <v>249.92095326870566</v>
      </c>
      <c r="S97" s="29">
        <f>IF(TrRoad_act!S19=0,0,S33/TrRoad_act!S19*1000)</f>
        <v>231.13489326446273</v>
      </c>
      <c r="T97" s="29">
        <f>IF(TrRoad_act!T19=0,0,T33/TrRoad_act!T19*1000)</f>
        <v>223.28691538778375</v>
      </c>
      <c r="U97" s="29">
        <f>IF(TrRoad_act!U19=0,0,U33/TrRoad_act!U19*1000)</f>
        <v>202.29081368940544</v>
      </c>
      <c r="V97" s="29">
        <f>IF(TrRoad_act!V19=0,0,V33/TrRoad_act!V19*1000)</f>
        <v>168.56153788511162</v>
      </c>
      <c r="W97" s="29">
        <f>IF(TrRoad_act!W19=0,0,W33/TrRoad_act!W19*1000)</f>
        <v>193.80718352786624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2066.8017342591529</v>
      </c>
      <c r="C98" s="152">
        <f>IF(TrRoad_act!C20=0,0,C34/TrRoad_act!C20*1000)</f>
        <v>2026.6168977177772</v>
      </c>
      <c r="D98" s="152">
        <f>IF(TrRoad_act!D20=0,0,D34/TrRoad_act!D20*1000)</f>
        <v>2006.3545379996724</v>
      </c>
      <c r="E98" s="152">
        <f>IF(TrRoad_act!E20=0,0,E34/TrRoad_act!E20*1000)</f>
        <v>1989.6061153637797</v>
      </c>
      <c r="F98" s="152">
        <f>IF(TrRoad_act!F20=0,0,F34/TrRoad_act!F20*1000)</f>
        <v>1986.9562685301885</v>
      </c>
      <c r="G98" s="152">
        <f>IF(TrRoad_act!G20=0,0,G34/TrRoad_act!G20*1000)</f>
        <v>1978.3160176131962</v>
      </c>
      <c r="H98" s="152">
        <f>IF(TrRoad_act!H20=0,0,H34/TrRoad_act!H20*1000)</f>
        <v>1965.6516169003071</v>
      </c>
      <c r="I98" s="152">
        <f>IF(TrRoad_act!I20=0,0,I34/TrRoad_act!I20*1000)</f>
        <v>1949.2144856889897</v>
      </c>
      <c r="J98" s="152">
        <f>IF(TrRoad_act!J20=0,0,J34/TrRoad_act!J20*1000)</f>
        <v>1926.6822388261628</v>
      </c>
      <c r="K98" s="152">
        <f>IF(TrRoad_act!K20=0,0,K34/TrRoad_act!K20*1000)</f>
        <v>1897.9925476540641</v>
      </c>
      <c r="L98" s="152">
        <f>IF(TrRoad_act!L20=0,0,L34/TrRoad_act!L20*1000)</f>
        <v>1871.5149607723818</v>
      </c>
      <c r="M98" s="152">
        <f>IF(TrRoad_act!M20=0,0,M34/TrRoad_act!M20*1000)</f>
        <v>1898.1460876241408</v>
      </c>
      <c r="N98" s="152">
        <f>IF(TrRoad_act!N20=0,0,N34/TrRoad_act!N20*1000)</f>
        <v>1856.920141620315</v>
      </c>
      <c r="O98" s="152">
        <f>IF(TrRoad_act!O20=0,0,O34/TrRoad_act!O20*1000)</f>
        <v>1823.6413395018894</v>
      </c>
      <c r="P98" s="152">
        <f>IF(TrRoad_act!P20=0,0,P34/TrRoad_act!P20*1000)</f>
        <v>1836.2574125191263</v>
      </c>
      <c r="Q98" s="152">
        <f>IF(TrRoad_act!Q20=0,0,Q34/TrRoad_act!Q20*1000)</f>
        <v>1829.6041132066532</v>
      </c>
      <c r="R98" s="152">
        <f>IF(TrRoad_act!R20=0,0,R34/TrRoad_act!R20*1000)</f>
        <v>1807.0081851753953</v>
      </c>
      <c r="S98" s="152">
        <f>IF(TrRoad_act!S20=0,0,S34/TrRoad_act!S20*1000)</f>
        <v>1754.3587106891023</v>
      </c>
      <c r="T98" s="152">
        <f>IF(TrRoad_act!T20=0,0,T34/TrRoad_act!T20*1000)</f>
        <v>1672.1932162630703</v>
      </c>
      <c r="U98" s="152">
        <f>IF(TrRoad_act!U20=0,0,U34/TrRoad_act!U20*1000)</f>
        <v>1620.0730341018923</v>
      </c>
      <c r="V98" s="152">
        <f>IF(TrRoad_act!V20=0,0,V34/TrRoad_act!V20*1000)</f>
        <v>1596.2565930045778</v>
      </c>
      <c r="W98" s="152">
        <f>IF(TrRoad_act!W20=0,0,W34/TrRoad_act!W20*1000)</f>
        <v>1580.2372495468096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1847.4287342197106</v>
      </c>
      <c r="C99" s="87">
        <f>IF(TrRoad_act!C21=0,0,C35/TrRoad_act!C21*1000)</f>
        <v>1815.1802982055719</v>
      </c>
      <c r="D99" s="87">
        <f>IF(TrRoad_act!D21=0,0,D35/TrRoad_act!D21*1000)</f>
        <v>1802.3202409625724</v>
      </c>
      <c r="E99" s="87">
        <f>IF(TrRoad_act!E21=0,0,E35/TrRoad_act!E21*1000)</f>
        <v>1790.9204698541921</v>
      </c>
      <c r="F99" s="87">
        <f>IF(TrRoad_act!F21=0,0,F35/TrRoad_act!F21*1000)</f>
        <v>1800.6186554039284</v>
      </c>
      <c r="G99" s="87">
        <f>IF(TrRoad_act!G21=0,0,G35/TrRoad_act!G21*1000)</f>
        <v>1792.8183664332078</v>
      </c>
      <c r="H99" s="87">
        <f>IF(TrRoad_act!H21=0,0,H35/TrRoad_act!H21*1000)</f>
        <v>1777.213058562206</v>
      </c>
      <c r="I99" s="87">
        <f>IF(TrRoad_act!I21=0,0,I35/TrRoad_act!I21*1000)</f>
        <v>1763.9794790535304</v>
      </c>
      <c r="J99" s="87">
        <f>IF(TrRoad_act!J21=0,0,J35/TrRoad_act!J21*1000)</f>
        <v>1730.5161498970131</v>
      </c>
      <c r="K99" s="87">
        <f>IF(TrRoad_act!K21=0,0,K35/TrRoad_act!K21*1000)</f>
        <v>1719.1875348479221</v>
      </c>
      <c r="L99" s="87">
        <f>IF(TrRoad_act!L21=0,0,L35/TrRoad_act!L21*1000)</f>
        <v>1694.3365806721338</v>
      </c>
      <c r="M99" s="87">
        <f>IF(TrRoad_act!M21=0,0,M35/TrRoad_act!M21*1000)</f>
        <v>1682.9055882955356</v>
      </c>
      <c r="N99" s="87">
        <f>IF(TrRoad_act!N21=0,0,N35/TrRoad_act!N21*1000)</f>
        <v>1672.3376133562649</v>
      </c>
      <c r="O99" s="87">
        <f>IF(TrRoad_act!O21=0,0,O35/TrRoad_act!O21*1000)</f>
        <v>1663.7194279543296</v>
      </c>
      <c r="P99" s="87">
        <f>IF(TrRoad_act!P21=0,0,P35/TrRoad_act!P21*1000)</f>
        <v>1657.3848923099708</v>
      </c>
      <c r="Q99" s="87">
        <f>IF(TrRoad_act!Q21=0,0,Q35/TrRoad_act!Q21*1000)</f>
        <v>1645.1939326300942</v>
      </c>
      <c r="R99" s="87">
        <f>IF(TrRoad_act!R21=0,0,R35/TrRoad_act!R21*1000)</f>
        <v>1621.9595016547469</v>
      </c>
      <c r="S99" s="87">
        <f>IF(TrRoad_act!S21=0,0,S35/TrRoad_act!S21*1000)</f>
        <v>1585.8245200916099</v>
      </c>
      <c r="T99" s="87">
        <f>IF(TrRoad_act!T21=0,0,T35/TrRoad_act!T21*1000)</f>
        <v>1528.1875624951156</v>
      </c>
      <c r="U99" s="87">
        <f>IF(TrRoad_act!U21=0,0,U35/TrRoad_act!U21*1000)</f>
        <v>1521.4142476500874</v>
      </c>
      <c r="V99" s="87">
        <f>IF(TrRoad_act!V21=0,0,V35/TrRoad_act!V21*1000)</f>
        <v>1485.6627239415282</v>
      </c>
      <c r="W99" s="87">
        <f>IF(TrRoad_act!W21=0,0,W35/TrRoad_act!W21*1000)</f>
        <v>1483.5434500809779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2113.6782723550914</v>
      </c>
      <c r="C100" s="87">
        <f>IF(TrRoad_act!C22=0,0,C36/TrRoad_act!C22*1000)</f>
        <v>2071.1864772262415</v>
      </c>
      <c r="D100" s="87">
        <f>IF(TrRoad_act!D22=0,0,D36/TrRoad_act!D22*1000)</f>
        <v>2047.0536380097367</v>
      </c>
      <c r="E100" s="87">
        <f>IF(TrRoad_act!E22=0,0,E36/TrRoad_act!E22*1000)</f>
        <v>2025.4545025281016</v>
      </c>
      <c r="F100" s="87">
        <f>IF(TrRoad_act!F22=0,0,F36/TrRoad_act!F22*1000)</f>
        <v>2017.159927003953</v>
      </c>
      <c r="G100" s="87">
        <f>IF(TrRoad_act!G22=0,0,G36/TrRoad_act!G22*1000)</f>
        <v>2004.4124207740838</v>
      </c>
      <c r="H100" s="87">
        <f>IF(TrRoad_act!H22=0,0,H36/TrRoad_act!H22*1000)</f>
        <v>1983.7961479061685</v>
      </c>
      <c r="I100" s="87">
        <f>IF(TrRoad_act!I22=0,0,I36/TrRoad_act!I22*1000)</f>
        <v>1964.5431538985933</v>
      </c>
      <c r="J100" s="87">
        <f>IF(TrRoad_act!J22=0,0,J36/TrRoad_act!J22*1000)</f>
        <v>1939.8398059997292</v>
      </c>
      <c r="K100" s="87">
        <f>IF(TrRoad_act!K22=0,0,K36/TrRoad_act!K22*1000)</f>
        <v>1910.5128414729891</v>
      </c>
      <c r="L100" s="87">
        <f>IF(TrRoad_act!L22=0,0,L36/TrRoad_act!L22*1000)</f>
        <v>1883.5851296212061</v>
      </c>
      <c r="M100" s="87">
        <f>IF(TrRoad_act!M22=0,0,M36/TrRoad_act!M22*1000)</f>
        <v>1911.5935986350667</v>
      </c>
      <c r="N100" s="87">
        <f>IF(TrRoad_act!N22=0,0,N36/TrRoad_act!N22*1000)</f>
        <v>1867.3652217671513</v>
      </c>
      <c r="O100" s="87">
        <f>IF(TrRoad_act!O22=0,0,O36/TrRoad_act!O22*1000)</f>
        <v>1831.8453738095579</v>
      </c>
      <c r="P100" s="87">
        <f>IF(TrRoad_act!P22=0,0,P36/TrRoad_act!P22*1000)</f>
        <v>1842.0907015423631</v>
      </c>
      <c r="Q100" s="87">
        <f>IF(TrRoad_act!Q22=0,0,Q36/TrRoad_act!Q22*1000)</f>
        <v>1834.6592453590006</v>
      </c>
      <c r="R100" s="87">
        <f>IF(TrRoad_act!R22=0,0,R36/TrRoad_act!R22*1000)</f>
        <v>1812.1523122728602</v>
      </c>
      <c r="S100" s="87">
        <f>IF(TrRoad_act!S22=0,0,S36/TrRoad_act!S22*1000)</f>
        <v>1760.6460353625387</v>
      </c>
      <c r="T100" s="87">
        <f>IF(TrRoad_act!T22=0,0,T36/TrRoad_act!T22*1000)</f>
        <v>1677.7168149340632</v>
      </c>
      <c r="U100" s="87">
        <f>IF(TrRoad_act!U22=0,0,U36/TrRoad_act!U22*1000)</f>
        <v>1624.8915329117772</v>
      </c>
      <c r="V100" s="87">
        <f>IF(TrRoad_act!V22=0,0,V36/TrRoad_act!V22*1000)</f>
        <v>1601.6470113385174</v>
      </c>
      <c r="W100" s="87">
        <f>IF(TrRoad_act!W22=0,0,W36/TrRoad_act!W22*1000)</f>
        <v>1583.857286299286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2605.1553271014359</v>
      </c>
      <c r="I101" s="87">
        <f>IF(TrRoad_act!I23=0,0,I37/TrRoad_act!I23*1000)</f>
        <v>2624.9410340272298</v>
      </c>
      <c r="J101" s="87">
        <f>IF(TrRoad_act!J23=0,0,J37/TrRoad_act!J23*1000)</f>
        <v>2543.4462674670453</v>
      </c>
      <c r="K101" s="87">
        <f>IF(TrRoad_act!K23=0,0,K37/TrRoad_act!K23*1000)</f>
        <v>2555.0349702714684</v>
      </c>
      <c r="L101" s="87">
        <f>IF(TrRoad_act!L23=0,0,L37/TrRoad_act!L23*1000)</f>
        <v>2757.6952138640995</v>
      </c>
      <c r="M101" s="87">
        <f>IF(TrRoad_act!M23=0,0,M37/TrRoad_act!M23*1000)</f>
        <v>2940.5354628997379</v>
      </c>
      <c r="N101" s="87">
        <f>IF(TrRoad_act!N23=0,0,N37/TrRoad_act!N23*1000)</f>
        <v>3023.2381577758815</v>
      </c>
      <c r="O101" s="87">
        <f>IF(TrRoad_act!O23=0,0,O37/TrRoad_act!O23*1000)</f>
        <v>2859.9300624160596</v>
      </c>
      <c r="P101" s="87">
        <f>IF(TrRoad_act!P23=0,0,P37/TrRoad_act!P23*1000)</f>
        <v>2680.0157927068399</v>
      </c>
      <c r="Q101" s="87">
        <f>IF(TrRoad_act!Q23=0,0,Q37/TrRoad_act!Q23*1000)</f>
        <v>2806.1443161709585</v>
      </c>
      <c r="R101" s="87">
        <f>IF(TrRoad_act!R23=0,0,R37/TrRoad_act!R23*1000)</f>
        <v>2779.209378648015</v>
      </c>
      <c r="S101" s="87">
        <f>IF(TrRoad_act!S23=0,0,S37/TrRoad_act!S23*1000)</f>
        <v>2447.095092751807</v>
      </c>
      <c r="T101" s="87">
        <f>IF(TrRoad_act!T23=0,0,T37/TrRoad_act!T23*1000)</f>
        <v>2296.6226627373526</v>
      </c>
      <c r="U101" s="87">
        <f>IF(TrRoad_act!U23=0,0,U37/TrRoad_act!U23*1000)</f>
        <v>2026.7305930747095</v>
      </c>
      <c r="V101" s="87">
        <f>IF(TrRoad_act!V23=0,0,V37/TrRoad_act!V23*1000)</f>
        <v>1924.723021629216</v>
      </c>
      <c r="W101" s="87">
        <f>IF(TrRoad_act!W23=0,0,W37/TrRoad_act!W23*1000)</f>
        <v>2504.8062854242239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1647.8042959914169</v>
      </c>
      <c r="Q102" s="87">
        <f>IF(TrRoad_act!Q24=0,0,Q38/TrRoad_act!Q24*1000)</f>
        <v>1744.2660390103865</v>
      </c>
      <c r="R102" s="87">
        <f>IF(TrRoad_act!R24=0,0,R38/TrRoad_act!R24*1000)</f>
        <v>1702.1796749664582</v>
      </c>
      <c r="S102" s="87">
        <f>IF(TrRoad_act!S24=0,0,S38/TrRoad_act!S24*1000)</f>
        <v>1537.0016575986024</v>
      </c>
      <c r="T102" s="87">
        <f>IF(TrRoad_act!T24=0,0,T38/TrRoad_act!T24*1000)</f>
        <v>1487.1700414663699</v>
      </c>
      <c r="U102" s="87">
        <f>IF(TrRoad_act!U24=0,0,U38/TrRoad_act!U24*1000)</f>
        <v>1443.6939456122282</v>
      </c>
      <c r="V102" s="87">
        <f>IF(TrRoad_act!V24=0,0,V38/TrRoad_act!V24*1000)</f>
        <v>1469.0440847617456</v>
      </c>
      <c r="W102" s="87">
        <f>IF(TrRoad_act!W24=0,0,W38/TrRoad_act!W24*1000)</f>
        <v>1499.1518162115631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40.441068754877058</v>
      </c>
      <c r="C104" s="116">
        <f>IF(TrRoad_act!C26=0,0,C40/TrRoad_act!C26*1000)</f>
        <v>67.479827010816848</v>
      </c>
      <c r="D104" s="116">
        <f>IF(TrRoad_act!D26=0,0,D40/TrRoad_act!D26*1000)</f>
        <v>70.99921341170699</v>
      </c>
      <c r="E104" s="116">
        <f>IF(TrRoad_act!E26=0,0,E40/TrRoad_act!E26*1000)</f>
        <v>85.517519119291407</v>
      </c>
      <c r="F104" s="116">
        <f>IF(TrRoad_act!F26=0,0,F40/TrRoad_act!F26*1000)</f>
        <v>110.82851564134957</v>
      </c>
      <c r="G104" s="116">
        <f>IF(TrRoad_act!G26=0,0,G40/TrRoad_act!G26*1000)</f>
        <v>128.89239599866116</v>
      </c>
      <c r="H104" s="116">
        <f>IF(TrRoad_act!H26=0,0,H40/TrRoad_act!H26*1000)</f>
        <v>130.38054420432485</v>
      </c>
      <c r="I104" s="116">
        <f>IF(TrRoad_act!I26=0,0,I40/TrRoad_act!I26*1000)</f>
        <v>180.65001267444231</v>
      </c>
      <c r="J104" s="116">
        <f>IF(TrRoad_act!J26=0,0,J40/TrRoad_act!J26*1000)</f>
        <v>260.0002842764199</v>
      </c>
      <c r="K104" s="116">
        <f>IF(TrRoad_act!K26=0,0,K40/TrRoad_act!K26*1000)</f>
        <v>176.29346187693778</v>
      </c>
      <c r="L104" s="116">
        <f>IF(TrRoad_act!L26=0,0,L40/TrRoad_act!L26*1000)</f>
        <v>189.77166322113527</v>
      </c>
      <c r="M104" s="116">
        <f>IF(TrRoad_act!M26=0,0,M40/TrRoad_act!M26*1000)</f>
        <v>229.72725921469291</v>
      </c>
      <c r="N104" s="116">
        <f>IF(TrRoad_act!N26=0,0,N40/TrRoad_act!N26*1000)</f>
        <v>254.84593198874683</v>
      </c>
      <c r="O104" s="116">
        <f>IF(TrRoad_act!O26=0,0,O40/TrRoad_act!O26*1000)</f>
        <v>226.73214461107835</v>
      </c>
      <c r="P104" s="116">
        <f>IF(TrRoad_act!P26=0,0,P40/TrRoad_act!P26*1000)</f>
        <v>217.4180096955098</v>
      </c>
      <c r="Q104" s="116">
        <f>IF(TrRoad_act!Q26=0,0,Q40/TrRoad_act!Q26*1000)</f>
        <v>193.85594958208063</v>
      </c>
      <c r="R104" s="116">
        <f>IF(TrRoad_act!R26=0,0,R40/TrRoad_act!R26*1000)</f>
        <v>213.99620664100965</v>
      </c>
      <c r="S104" s="116">
        <f>IF(TrRoad_act!S26=0,0,S40/TrRoad_act!S26*1000)</f>
        <v>196.49589911957062</v>
      </c>
      <c r="T104" s="116">
        <f>IF(TrRoad_act!T26=0,0,T40/TrRoad_act!T26*1000)</f>
        <v>188.20154325939006</v>
      </c>
      <c r="U104" s="116">
        <f>IF(TrRoad_act!U26=0,0,U40/TrRoad_act!U26*1000)</f>
        <v>166.11151505486706</v>
      </c>
      <c r="V104" s="116">
        <f>IF(TrRoad_act!V26=0,0,V40/TrRoad_act!V26*1000)</f>
        <v>127.95478636842381</v>
      </c>
      <c r="W104" s="116">
        <f>IF(TrRoad_act!W26=0,0,W40/TrRoad_act!W26*1000)</f>
        <v>157.4525669297644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110.42900112153164</v>
      </c>
      <c r="C105" s="101">
        <f>IF(TrRoad_act!C27=0,0,C41/TrRoad_act!C27*1000)</f>
        <v>115.31566976819578</v>
      </c>
      <c r="D105" s="101">
        <f>IF(TrRoad_act!D27=0,0,D41/TrRoad_act!D27*1000)</f>
        <v>133.69367329849072</v>
      </c>
      <c r="E105" s="101">
        <f>IF(TrRoad_act!E27=0,0,E41/TrRoad_act!E27*1000)</f>
        <v>142.57442024831377</v>
      </c>
      <c r="F105" s="101">
        <f>IF(TrRoad_act!F27=0,0,F41/TrRoad_act!F27*1000)</f>
        <v>168.47318972394785</v>
      </c>
      <c r="G105" s="101">
        <f>IF(TrRoad_act!G27=0,0,G41/TrRoad_act!G27*1000)</f>
        <v>171.2923721166193</v>
      </c>
      <c r="H105" s="101">
        <f>IF(TrRoad_act!H27=0,0,H41/TrRoad_act!H27*1000)</f>
        <v>165.75193732427746</v>
      </c>
      <c r="I105" s="101">
        <f>IF(TrRoad_act!I27=0,0,I41/TrRoad_act!I27*1000)</f>
        <v>168.39976638640977</v>
      </c>
      <c r="J105" s="101">
        <f>IF(TrRoad_act!J27=0,0,J41/TrRoad_act!J27*1000)</f>
        <v>181.53251961339575</v>
      </c>
      <c r="K105" s="101">
        <f>IF(TrRoad_act!K27=0,0,K41/TrRoad_act!K27*1000)</f>
        <v>161.81007189402993</v>
      </c>
      <c r="L105" s="101">
        <f>IF(TrRoad_act!L27=0,0,L41/TrRoad_act!L27*1000)</f>
        <v>165.90253974278559</v>
      </c>
      <c r="M105" s="101">
        <f>IF(TrRoad_act!M27=0,0,M41/TrRoad_act!M27*1000)</f>
        <v>173.54572975049359</v>
      </c>
      <c r="N105" s="101">
        <f>IF(TrRoad_act!N27=0,0,N41/TrRoad_act!N27*1000)</f>
        <v>188.24460996804277</v>
      </c>
      <c r="O105" s="101">
        <f>IF(TrRoad_act!O27=0,0,O41/TrRoad_act!O27*1000)</f>
        <v>168.28362310785178</v>
      </c>
      <c r="P105" s="101">
        <f>IF(TrRoad_act!P27=0,0,P41/TrRoad_act!P27*1000)</f>
        <v>165.86049807343736</v>
      </c>
      <c r="Q105" s="101">
        <f>IF(TrRoad_act!Q27=0,0,Q41/TrRoad_act!Q27*1000)</f>
        <v>156.38884650059046</v>
      </c>
      <c r="R105" s="101">
        <f>IF(TrRoad_act!R27=0,0,R41/TrRoad_act!R27*1000)</f>
        <v>158.63189798026471</v>
      </c>
      <c r="S105" s="101">
        <f>IF(TrRoad_act!S27=0,0,S41/TrRoad_act!S27*1000)</f>
        <v>153.29303105061754</v>
      </c>
      <c r="T105" s="101">
        <f>IF(TrRoad_act!T27=0,0,T41/TrRoad_act!T27*1000)</f>
        <v>145.03893490156111</v>
      </c>
      <c r="U105" s="101">
        <f>IF(TrRoad_act!U27=0,0,U41/TrRoad_act!U27*1000)</f>
        <v>139.57050074511787</v>
      </c>
      <c r="V105" s="101">
        <f>IF(TrRoad_act!V27=0,0,V41/TrRoad_act!V27*1000)</f>
        <v>127.05531833352296</v>
      </c>
      <c r="W105" s="101">
        <f>IF(TrRoad_act!W27=0,0,W41/TrRoad_act!W27*1000)</f>
        <v>134.78564068255832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3.1856728722156071</v>
      </c>
      <c r="C106" s="88">
        <f>IF(TrRoad_act!C28=0,0,C42/TrRoad_act!C28*1000)</f>
        <v>43.371126172152572</v>
      </c>
      <c r="D106" s="88">
        <f>IF(TrRoad_act!D28=0,0,D42/TrRoad_act!D28*1000)</f>
        <v>40.882564817035039</v>
      </c>
      <c r="E106" s="88">
        <f>IF(TrRoad_act!E28=0,0,E42/TrRoad_act!E28*1000)</f>
        <v>57.849840425557595</v>
      </c>
      <c r="F106" s="88">
        <f>IF(TrRoad_act!F28=0,0,F42/TrRoad_act!F28*1000)</f>
        <v>83.46332514803494</v>
      </c>
      <c r="G106" s="88">
        <f>IF(TrRoad_act!G28=0,0,G42/TrRoad_act!G28*1000)</f>
        <v>108.65381448513433</v>
      </c>
      <c r="H106" s="88">
        <f>IF(TrRoad_act!H28=0,0,H42/TrRoad_act!H28*1000)</f>
        <v>116.39496442942834</v>
      </c>
      <c r="I106" s="88">
        <f>IF(TrRoad_act!I28=0,0,I42/TrRoad_act!I28*1000)</f>
        <v>186.00699493490961</v>
      </c>
      <c r="J106" s="88">
        <f>IF(TrRoad_act!J28=0,0,J42/TrRoad_act!J28*1000)</f>
        <v>295.66609737857294</v>
      </c>
      <c r="K106" s="88">
        <f>IF(TrRoad_act!K28=0,0,K42/TrRoad_act!K28*1000)</f>
        <v>182.83823404620526</v>
      </c>
      <c r="L106" s="88">
        <f>IF(TrRoad_act!L28=0,0,L42/TrRoad_act!L28*1000)</f>
        <v>200.62145196805943</v>
      </c>
      <c r="M106" s="88">
        <f>IF(TrRoad_act!M28=0,0,M42/TrRoad_act!M28*1000)</f>
        <v>253.63751717630828</v>
      </c>
      <c r="N106" s="88">
        <f>IF(TrRoad_act!N28=0,0,N42/TrRoad_act!N28*1000)</f>
        <v>278.26986048537293</v>
      </c>
      <c r="O106" s="88">
        <f>IF(TrRoad_act!O28=0,0,O42/TrRoad_act!O28*1000)</f>
        <v>247.82041332918863</v>
      </c>
      <c r="P106" s="88">
        <f>IF(TrRoad_act!P28=0,0,P42/TrRoad_act!P28*1000)</f>
        <v>237.64380410476241</v>
      </c>
      <c r="Q106" s="88">
        <f>IF(TrRoad_act!Q28=0,0,Q42/TrRoad_act!Q28*1000)</f>
        <v>207.4900347996084</v>
      </c>
      <c r="R106" s="88">
        <f>IF(TrRoad_act!R28=0,0,R42/TrRoad_act!R28*1000)</f>
        <v>232.58138361114294</v>
      </c>
      <c r="S106" s="88">
        <f>IF(TrRoad_act!S28=0,0,S42/TrRoad_act!S28*1000)</f>
        <v>210.70213254007578</v>
      </c>
      <c r="T106" s="88">
        <f>IF(TrRoad_act!T28=0,0,T42/TrRoad_act!T28*1000)</f>
        <v>201.71831789226928</v>
      </c>
      <c r="U106" s="88">
        <f>IF(TrRoad_act!U28=0,0,U42/TrRoad_act!U28*1000)</f>
        <v>174.50821954084338</v>
      </c>
      <c r="V106" s="88">
        <f>IF(TrRoad_act!V28=0,0,V42/TrRoad_act!V28*1000)</f>
        <v>128.26075074931489</v>
      </c>
      <c r="W106" s="88">
        <f>IF(TrRoad_act!W28=0,0,W42/TrRoad_act!W28*1000)</f>
        <v>165.08878599909934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244.69282474502188</v>
      </c>
      <c r="C110" s="152">
        <f>IF(C19=0,0,1000000*C19/TrRoad_act!C59)</f>
        <v>223.80525499859471</v>
      </c>
      <c r="D110" s="152">
        <f>IF(D19=0,0,1000000*D19/TrRoad_act!D59)</f>
        <v>217.71118485139911</v>
      </c>
      <c r="E110" s="152">
        <f>IF(E19=0,0,1000000*E19/TrRoad_act!E59)</f>
        <v>253.40845117148251</v>
      </c>
      <c r="F110" s="152">
        <f>IF(F19=0,0,1000000*F19/TrRoad_act!F59)</f>
        <v>274.36058611648645</v>
      </c>
      <c r="G110" s="152">
        <f>IF(G19=0,0,1000000*G19/TrRoad_act!G59)</f>
        <v>290.19963674986786</v>
      </c>
      <c r="H110" s="152">
        <f>IF(H19=0,0,1000000*H19/TrRoad_act!H59)</f>
        <v>296.79717496551973</v>
      </c>
      <c r="I110" s="152">
        <f>IF(I19=0,0,1000000*I19/TrRoad_act!I59)</f>
        <v>244.3834714996662</v>
      </c>
      <c r="J110" s="152">
        <f>IF(J19=0,0,1000000*J19/TrRoad_act!J59)</f>
        <v>227.28734889221275</v>
      </c>
      <c r="K110" s="152">
        <f>IF(K19=0,0,1000000*K19/TrRoad_act!K59)</f>
        <v>224.81621218024765</v>
      </c>
      <c r="L110" s="152">
        <f>IF(L19=0,0,1000000*L19/TrRoad_act!L59)</f>
        <v>266.5316348133598</v>
      </c>
      <c r="M110" s="152">
        <f>IF(M19=0,0,1000000*M19/TrRoad_act!M59)</f>
        <v>306.72857228806265</v>
      </c>
      <c r="N110" s="152">
        <f>IF(N19=0,0,1000000*N19/TrRoad_act!N59)</f>
        <v>275.84306846861267</v>
      </c>
      <c r="O110" s="152">
        <f>IF(O19=0,0,1000000*O19/TrRoad_act!O59)</f>
        <v>243.32393945756442</v>
      </c>
      <c r="P110" s="152">
        <f>IF(P19=0,0,1000000*P19/TrRoad_act!P59)</f>
        <v>239.02443605797424</v>
      </c>
      <c r="Q110" s="152">
        <f>IF(Q19=0,0,1000000*Q19/TrRoad_act!Q59)</f>
        <v>242.3961190711747</v>
      </c>
      <c r="R110" s="152">
        <f>IF(R19=0,0,1000000*R19/TrRoad_act!R59)</f>
        <v>243.33752073740365</v>
      </c>
      <c r="S110" s="152">
        <f>IF(S19=0,0,1000000*S19/TrRoad_act!S59)</f>
        <v>195.29833623207236</v>
      </c>
      <c r="T110" s="152">
        <f>IF(T19=0,0,1000000*T19/TrRoad_act!T59)</f>
        <v>175.77774873316534</v>
      </c>
      <c r="U110" s="152">
        <f>IF(U19=0,0,1000000*U19/TrRoad_act!U59)</f>
        <v>179.83837404745535</v>
      </c>
      <c r="V110" s="152">
        <f>IF(V19=0,0,1000000*V19/TrRoad_act!V59)</f>
        <v>153.08842186080977</v>
      </c>
      <c r="W110" s="152">
        <f>IF(W19=0,0,1000000*W19/TrRoad_act!W59)</f>
        <v>143.89737509831266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3170.320561786089</v>
      </c>
      <c r="C111" s="116">
        <f>IF(C20=0,0,1000000*C20/TrRoad_act!C60)</f>
        <v>3123.1803162492665</v>
      </c>
      <c r="D111" s="116">
        <f>IF(D20=0,0,1000000*D20/TrRoad_act!D60)</f>
        <v>3102.5734671988539</v>
      </c>
      <c r="E111" s="116">
        <f>IF(E20=0,0,1000000*E20/TrRoad_act!E60)</f>
        <v>3074.4587485730622</v>
      </c>
      <c r="F111" s="116">
        <f>IF(F20=0,0,1000000*F20/TrRoad_act!F60)</f>
        <v>2965.4332948146239</v>
      </c>
      <c r="G111" s="116">
        <f>IF(G20=0,0,1000000*G20/TrRoad_act!G60)</f>
        <v>2919.725828342931</v>
      </c>
      <c r="H111" s="116">
        <f>IF(H20=0,0,1000000*H20/TrRoad_act!H60)</f>
        <v>2931.9191774947544</v>
      </c>
      <c r="I111" s="116">
        <f>IF(I20=0,0,1000000*I20/TrRoad_act!I60)</f>
        <v>3011.9573813757193</v>
      </c>
      <c r="J111" s="116">
        <f>IF(J20=0,0,1000000*J20/TrRoad_act!J60)</f>
        <v>3190.8144193180469</v>
      </c>
      <c r="K111" s="116">
        <f>IF(K20=0,0,1000000*K20/TrRoad_act!K60)</f>
        <v>3071.4724547005271</v>
      </c>
      <c r="L111" s="116">
        <f>IF(L20=0,0,1000000*L20/TrRoad_act!L60)</f>
        <v>3091.894595355875</v>
      </c>
      <c r="M111" s="116">
        <f>IF(M20=0,0,1000000*M20/TrRoad_act!M60)</f>
        <v>3114.9997907605034</v>
      </c>
      <c r="N111" s="116">
        <f>IF(N20=0,0,1000000*N20/TrRoad_act!N60)</f>
        <v>3013.1478036532326</v>
      </c>
      <c r="O111" s="116">
        <f>IF(O20=0,0,1000000*O20/TrRoad_act!O60)</f>
        <v>2909.6619821340123</v>
      </c>
      <c r="P111" s="116">
        <f>IF(P20=0,0,1000000*P20/TrRoad_act!P60)</f>
        <v>2908.9603143757827</v>
      </c>
      <c r="Q111" s="116">
        <f>IF(Q20=0,0,1000000*Q20/TrRoad_act!Q60)</f>
        <v>2911.8925603555631</v>
      </c>
      <c r="R111" s="116">
        <f>IF(R20=0,0,1000000*R20/TrRoad_act!R60)</f>
        <v>2904.4234805413939</v>
      </c>
      <c r="S111" s="116">
        <f>IF(S20=0,0,1000000*S20/TrRoad_act!S60)</f>
        <v>2925.4799906506591</v>
      </c>
      <c r="T111" s="116">
        <f>IF(T20=0,0,1000000*T20/TrRoad_act!T60)</f>
        <v>2887.4141481544934</v>
      </c>
      <c r="U111" s="116">
        <f>IF(U20=0,0,1000000*U20/TrRoad_act!U60)</f>
        <v>2801.1269279337985</v>
      </c>
      <c r="V111" s="116">
        <f>IF(V20=0,0,1000000*V20/TrRoad_act!V60)</f>
        <v>2360.4140014390468</v>
      </c>
      <c r="W111" s="116">
        <f>IF(W20=0,0,1000000*W20/TrRoad_act!W60)</f>
        <v>2491.6176510881596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3019.8536454590198</v>
      </c>
      <c r="C112" s="87">
        <f>IF(C21=0,0,1000000*C21/TrRoad_act!C61)</f>
        <v>2960.5733996048884</v>
      </c>
      <c r="D112" s="87">
        <f>IF(D21=0,0,1000000*D21/TrRoad_act!D61)</f>
        <v>2890.9116520631169</v>
      </c>
      <c r="E112" s="87">
        <f>IF(E21=0,0,1000000*E21/TrRoad_act!E61)</f>
        <v>2831.2830496337069</v>
      </c>
      <c r="F112" s="87">
        <f>IF(F21=0,0,1000000*F21/TrRoad_act!F61)</f>
        <v>2594.225447899385</v>
      </c>
      <c r="G112" s="87">
        <f>IF(G21=0,0,1000000*G21/TrRoad_act!G61)</f>
        <v>2514.2246241139533</v>
      </c>
      <c r="H112" s="87">
        <f>IF(H21=0,0,1000000*H21/TrRoad_act!H61)</f>
        <v>2465.3680671529878</v>
      </c>
      <c r="I112" s="87">
        <f>IF(I21=0,0,1000000*I21/TrRoad_act!I61)</f>
        <v>2458.0845875128689</v>
      </c>
      <c r="J112" s="87">
        <f>IF(J21=0,0,1000000*J21/TrRoad_act!J61)</f>
        <v>2637.6659424540926</v>
      </c>
      <c r="K112" s="87">
        <f>IF(K21=0,0,1000000*K21/TrRoad_act!K61)</f>
        <v>2452.148139411122</v>
      </c>
      <c r="L112" s="87">
        <f>IF(L21=0,0,1000000*L21/TrRoad_act!L61)</f>
        <v>2461.687609246484</v>
      </c>
      <c r="M112" s="87">
        <f>IF(M21=0,0,1000000*M21/TrRoad_act!M61)</f>
        <v>2441.6303071920652</v>
      </c>
      <c r="N112" s="87">
        <f>IF(N21=0,0,1000000*N21/TrRoad_act!N61)</f>
        <v>2282.0825288130122</v>
      </c>
      <c r="O112" s="87">
        <f>IF(O21=0,0,1000000*O21/TrRoad_act!O61)</f>
        <v>2146.9226327552797</v>
      </c>
      <c r="P112" s="87">
        <f>IF(P21=0,0,1000000*P21/TrRoad_act!P61)</f>
        <v>2070.0011824708758</v>
      </c>
      <c r="Q112" s="87">
        <f>IF(Q21=0,0,1000000*Q21/TrRoad_act!Q61)</f>
        <v>2063.8745999079429</v>
      </c>
      <c r="R112" s="87">
        <f>IF(R21=0,0,1000000*R21/TrRoad_act!R61)</f>
        <v>2085.0974235160834</v>
      </c>
      <c r="S112" s="87">
        <f>IF(S21=0,0,1000000*S21/TrRoad_act!S61)</f>
        <v>2061.507208196686</v>
      </c>
      <c r="T112" s="87">
        <f>IF(T21=0,0,1000000*T21/TrRoad_act!T61)</f>
        <v>2086.6943970054003</v>
      </c>
      <c r="U112" s="87">
        <f>IF(U21=0,0,1000000*U21/TrRoad_act!U61)</f>
        <v>1997.5796543669289</v>
      </c>
      <c r="V112" s="87">
        <f>IF(V21=0,0,1000000*V21/TrRoad_act!V61)</f>
        <v>1591.6584110484455</v>
      </c>
      <c r="W112" s="87">
        <f>IF(W21=0,0,1000000*W21/TrRoad_act!W61)</f>
        <v>1806.8709439126428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4232.8281726921487</v>
      </c>
      <c r="C113" s="87">
        <f>IF(C22=0,0,1000000*C22/TrRoad_act!C62)</f>
        <v>4206.9911702963818</v>
      </c>
      <c r="D113" s="87">
        <f>IF(D22=0,0,1000000*D22/TrRoad_act!D62)</f>
        <v>4112.4729881083695</v>
      </c>
      <c r="E113" s="87">
        <f>IF(E22=0,0,1000000*E22/TrRoad_act!E62)</f>
        <v>4253.2677769681068</v>
      </c>
      <c r="F113" s="87">
        <f>IF(F22=0,0,1000000*F22/TrRoad_act!F62)</f>
        <v>4452.1863780322137</v>
      </c>
      <c r="G113" s="87">
        <f>IF(G22=0,0,1000000*G22/TrRoad_act!G62)</f>
        <v>4293.3561423126794</v>
      </c>
      <c r="H113" s="87">
        <f>IF(H22=0,0,1000000*H22/TrRoad_act!H62)</f>
        <v>4297.8217757204111</v>
      </c>
      <c r="I113" s="87">
        <f>IF(I22=0,0,1000000*I22/TrRoad_act!I62)</f>
        <v>4442.2671606918784</v>
      </c>
      <c r="J113" s="87">
        <f>IF(J22=0,0,1000000*J22/TrRoad_act!J62)</f>
        <v>4453.394844754821</v>
      </c>
      <c r="K113" s="87">
        <f>IF(K22=0,0,1000000*K22/TrRoad_act!K62)</f>
        <v>4347.1776250648491</v>
      </c>
      <c r="L113" s="87">
        <f>IF(L22=0,0,1000000*L22/TrRoad_act!L62)</f>
        <v>4267.8730409920581</v>
      </c>
      <c r="M113" s="87">
        <f>IF(M22=0,0,1000000*M22/TrRoad_act!M62)</f>
        <v>4272.0076993635821</v>
      </c>
      <c r="N113" s="87">
        <f>IF(N22=0,0,1000000*N22/TrRoad_act!N62)</f>
        <v>4157.3618176870004</v>
      </c>
      <c r="O113" s="87">
        <f>IF(O22=0,0,1000000*O22/TrRoad_act!O62)</f>
        <v>4007.8465306007388</v>
      </c>
      <c r="P113" s="87">
        <f>IF(P22=0,0,1000000*P22/TrRoad_act!P62)</f>
        <v>4023.983007966232</v>
      </c>
      <c r="Q113" s="87">
        <f>IF(Q22=0,0,1000000*Q22/TrRoad_act!Q62)</f>
        <v>3957.0874978055599</v>
      </c>
      <c r="R113" s="87">
        <f>IF(R22=0,0,1000000*R22/TrRoad_act!R62)</f>
        <v>3843.510626667583</v>
      </c>
      <c r="S113" s="87">
        <f>IF(S22=0,0,1000000*S22/TrRoad_act!S62)</f>
        <v>3858.6906997270803</v>
      </c>
      <c r="T113" s="87">
        <f>IF(T22=0,0,1000000*T22/TrRoad_act!T62)</f>
        <v>3711.2861752197919</v>
      </c>
      <c r="U113" s="87">
        <f>IF(U22=0,0,1000000*U22/TrRoad_act!U62)</f>
        <v>3600.9923424416147</v>
      </c>
      <c r="V113" s="87">
        <f>IF(V22=0,0,1000000*V22/TrRoad_act!V62)</f>
        <v>3122.7664265126373</v>
      </c>
      <c r="W113" s="87">
        <f>IF(W22=0,0,1000000*W22/TrRoad_act!W62)</f>
        <v>3144.6257558603397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2957.6529101266924</v>
      </c>
      <c r="I114" s="87">
        <f>IF(I23=0,0,1000000*I23/TrRoad_act!I63)</f>
        <v>3531.2428316627829</v>
      </c>
      <c r="J114" s="87">
        <f>IF(J23=0,0,1000000*J23/TrRoad_act!J63)</f>
        <v>3446.6113248180591</v>
      </c>
      <c r="K114" s="87">
        <f>IF(K23=0,0,1000000*K23/TrRoad_act!K63)</f>
        <v>3674.3144910971973</v>
      </c>
      <c r="L114" s="87">
        <f>IF(L23=0,0,1000000*L23/TrRoad_act!L63)</f>
        <v>3926.7931071777252</v>
      </c>
      <c r="M114" s="87">
        <f>IF(M23=0,0,1000000*M23/TrRoad_act!M63)</f>
        <v>4119.8799548098232</v>
      </c>
      <c r="N114" s="87">
        <f>IF(N23=0,0,1000000*N23/TrRoad_act!N63)</f>
        <v>4211.4621160460165</v>
      </c>
      <c r="O114" s="87">
        <f>IF(O23=0,0,1000000*O23/TrRoad_act!O63)</f>
        <v>4050.053823758537</v>
      </c>
      <c r="P114" s="87">
        <f>IF(P23=0,0,1000000*P23/TrRoad_act!P63)</f>
        <v>4080.293417732174</v>
      </c>
      <c r="Q114" s="87">
        <f>IF(Q23=0,0,1000000*Q23/TrRoad_act!Q63)</f>
        <v>4276.236577653699</v>
      </c>
      <c r="R114" s="87">
        <f>IF(R23=0,0,1000000*R23/TrRoad_act!R63)</f>
        <v>4095.0611217038681</v>
      </c>
      <c r="S114" s="87">
        <f>IF(S23=0,0,1000000*S23/TrRoad_act!S63)</f>
        <v>3805.307856080728</v>
      </c>
      <c r="T114" s="87">
        <f>IF(T23=0,0,1000000*T23/TrRoad_act!T63)</f>
        <v>3663.3066022477947</v>
      </c>
      <c r="U114" s="87">
        <f>IF(U23=0,0,1000000*U23/TrRoad_act!U63)</f>
        <v>3413.5136535226234</v>
      </c>
      <c r="V114" s="87">
        <f>IF(V23=0,0,1000000*V23/TrRoad_act!V63)</f>
        <v>2078.879321111152</v>
      </c>
      <c r="W114" s="87">
        <f>IF(W23=0,0,1000000*W23/TrRoad_act!W63)</f>
        <v>3635.1364237090743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2366.2658839740507</v>
      </c>
      <c r="O115" s="87">
        <f>IF(O24=0,0,1000000*O24/TrRoad_act!O64)</f>
        <v>2391.4961478097543</v>
      </c>
      <c r="P115" s="87">
        <f>IF(P24=0,0,1000000*P24/TrRoad_act!P64)</f>
        <v>2318.4740698110541</v>
      </c>
      <c r="Q115" s="87">
        <f>IF(Q24=0,0,1000000*Q24/TrRoad_act!Q64)</f>
        <v>2225.6927150796805</v>
      </c>
      <c r="R115" s="87">
        <f>IF(R24=0,0,1000000*R24/TrRoad_act!R64)</f>
        <v>2142.9939999092362</v>
      </c>
      <c r="S115" s="87">
        <f>IF(S24=0,0,1000000*S24/TrRoad_act!S64)</f>
        <v>2187.6321708647693</v>
      </c>
      <c r="T115" s="87">
        <f>IF(T24=0,0,1000000*T24/TrRoad_act!T64)</f>
        <v>2241.2589000262565</v>
      </c>
      <c r="U115" s="87">
        <f>IF(U24=0,0,1000000*U24/TrRoad_act!U64)</f>
        <v>2250.1223978119256</v>
      </c>
      <c r="V115" s="87">
        <f>IF(V24=0,0,1000000*V24/TrRoad_act!V64)</f>
        <v>1810.4624132940039</v>
      </c>
      <c r="W115" s="87">
        <f>IF(W24=0,0,1000000*W24/TrRoad_act!W64)</f>
        <v>1917.564660091854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460.39747712270258</v>
      </c>
      <c r="P116" s="87">
        <f>IF(P25=0,0,1000000*P25/TrRoad_act!P65)</f>
        <v>473.84081453355236</v>
      </c>
      <c r="Q116" s="87">
        <f>IF(Q25=0,0,1000000*Q25/TrRoad_act!Q65)</f>
        <v>423.59662958273987</v>
      </c>
      <c r="R116" s="87">
        <f>IF(R25=0,0,1000000*R25/TrRoad_act!R65)</f>
        <v>503.62987272333453</v>
      </c>
      <c r="S116" s="87">
        <f>IF(S25=0,0,1000000*S25/TrRoad_act!S65)</f>
        <v>598.83432834505356</v>
      </c>
      <c r="T116" s="87">
        <f>IF(T25=0,0,1000000*T25/TrRoad_act!T65)</f>
        <v>616.57688813235927</v>
      </c>
      <c r="U116" s="87">
        <f>IF(U25=0,0,1000000*U25/TrRoad_act!U65)</f>
        <v>606.21820695411759</v>
      </c>
      <c r="V116" s="87">
        <f>IF(V25=0,0,1000000*V25/TrRoad_act!V65)</f>
        <v>482.55864058739905</v>
      </c>
      <c r="W116" s="87">
        <f>IF(W25=0,0,1000000*W25/TrRoad_act!W65)</f>
        <v>509.44309571844957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132455.97486856946</v>
      </c>
      <c r="C118" s="116">
        <f>IF(C27=0,0,1000000*C27/TrRoad_act!C67)</f>
        <v>123588.99625405441</v>
      </c>
      <c r="D118" s="116">
        <f>IF(D27=0,0,1000000*D27/TrRoad_act!D67)</f>
        <v>120340.57463393612</v>
      </c>
      <c r="E118" s="116">
        <f>IF(E27=0,0,1000000*E27/TrRoad_act!E67)</f>
        <v>117045.82821223553</v>
      </c>
      <c r="F118" s="116">
        <f>IF(F27=0,0,1000000*F27/TrRoad_act!F67)</f>
        <v>114455.57179237118</v>
      </c>
      <c r="G118" s="116">
        <f>IF(G27=0,0,1000000*G27/TrRoad_act!G67)</f>
        <v>111483.10991445972</v>
      </c>
      <c r="H118" s="116">
        <f>IF(H27=0,0,1000000*H27/TrRoad_act!H67)</f>
        <v>110357.73949798314</v>
      </c>
      <c r="I118" s="116">
        <f>IF(I27=0,0,1000000*I27/TrRoad_act!I67)</f>
        <v>107295.22438171721</v>
      </c>
      <c r="J118" s="116">
        <f>IF(J27=0,0,1000000*J27/TrRoad_act!J67)</f>
        <v>104579.53791405809</v>
      </c>
      <c r="K118" s="116">
        <f>IF(K27=0,0,1000000*K27/TrRoad_act!K67)</f>
        <v>103724.07298230448</v>
      </c>
      <c r="L118" s="116">
        <f>IF(L27=0,0,1000000*L27/TrRoad_act!L67)</f>
        <v>101797.03914110975</v>
      </c>
      <c r="M118" s="116">
        <f>IF(M27=0,0,1000000*M27/TrRoad_act!M67)</f>
        <v>104082.90056686266</v>
      </c>
      <c r="N118" s="116">
        <f>IF(N27=0,0,1000000*N27/TrRoad_act!N67)</f>
        <v>102729.36179417494</v>
      </c>
      <c r="O118" s="116">
        <f>IF(O27=0,0,1000000*O27/TrRoad_act!O67)</f>
        <v>101532.55352386975</v>
      </c>
      <c r="P118" s="116">
        <f>IF(P27=0,0,1000000*P27/TrRoad_act!P67)</f>
        <v>101141.34578281971</v>
      </c>
      <c r="Q118" s="116">
        <f>IF(Q27=0,0,1000000*Q27/TrRoad_act!Q67)</f>
        <v>100870.39953305412</v>
      </c>
      <c r="R118" s="116">
        <f>IF(R27=0,0,1000000*R27/TrRoad_act!R67)</f>
        <v>99138.693294487122</v>
      </c>
      <c r="S118" s="116">
        <f>IF(S27=0,0,1000000*S27/TrRoad_act!S67)</f>
        <v>98180.896125727813</v>
      </c>
      <c r="T118" s="116">
        <f>IF(T27=0,0,1000000*T27/TrRoad_act!T67)</f>
        <v>92181.525662495827</v>
      </c>
      <c r="U118" s="116">
        <f>IF(U27=0,0,1000000*U27/TrRoad_act!U67)</f>
        <v>90155.66324517726</v>
      </c>
      <c r="V118" s="116">
        <f>IF(V27=0,0,1000000*V27/TrRoad_act!V67)</f>
        <v>71521.85639954597</v>
      </c>
      <c r="W118" s="116">
        <f>IF(W27=0,0,1000000*W27/TrRoad_act!W67)</f>
        <v>73486.531105591581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35338.516489413254</v>
      </c>
      <c r="C119" s="101">
        <f>IF(C28=0,0,1000000*C28/TrRoad_act!C68)</f>
        <v>33644.928718870651</v>
      </c>
      <c r="D119" s="101">
        <f>IF(D28=0,0,1000000*D28/TrRoad_act!D68)</f>
        <v>32278.205218453622</v>
      </c>
      <c r="E119" s="101">
        <f>IF(E28=0,0,1000000*E28/TrRoad_act!E68)</f>
        <v>30965.925849359544</v>
      </c>
      <c r="F119" s="101">
        <f>IF(F28=0,0,1000000*F28/TrRoad_act!F68)</f>
        <v>29769.949852423615</v>
      </c>
      <c r="G119" s="101">
        <f>IF(G28=0,0,1000000*G28/TrRoad_act!G68)</f>
        <v>28555.776014235002</v>
      </c>
      <c r="H119" s="101">
        <f>IF(H28=0,0,1000000*H28/TrRoad_act!H68)</f>
        <v>29420.540367585094</v>
      </c>
      <c r="I119" s="101">
        <f>IF(I28=0,0,1000000*I28/TrRoad_act!I68)</f>
        <v>28234.97187902949</v>
      </c>
      <c r="J119" s="101">
        <f>IF(J28=0,0,1000000*J28/TrRoad_act!J68)</f>
        <v>27001.456197692827</v>
      </c>
      <c r="K119" s="101">
        <f>IF(K28=0,0,1000000*K28/TrRoad_act!K68)</f>
        <v>26565.353259796797</v>
      </c>
      <c r="L119" s="101">
        <f>IF(L28=0,0,1000000*L28/TrRoad_act!L68)</f>
        <v>26197.164877062012</v>
      </c>
      <c r="M119" s="101">
        <f>IF(M28=0,0,1000000*M28/TrRoad_act!M68)</f>
        <v>25934.496155915625</v>
      </c>
      <c r="N119" s="101">
        <f>IF(N28=0,0,1000000*N28/TrRoad_act!N68)</f>
        <v>25462.592228527814</v>
      </c>
      <c r="O119" s="101">
        <f>IF(O28=0,0,1000000*O28/TrRoad_act!O68)</f>
        <v>22767.18164469508</v>
      </c>
      <c r="P119" s="101">
        <f>IF(P28=0,0,1000000*P28/TrRoad_act!P68)</f>
        <v>21790.876907516104</v>
      </c>
      <c r="Q119" s="101">
        <f>IF(Q28=0,0,1000000*Q28/TrRoad_act!Q68)</f>
        <v>20901.538903250552</v>
      </c>
      <c r="R119" s="101">
        <f>IF(R28=0,0,1000000*R28/TrRoad_act!R68)</f>
        <v>20789.641784542528</v>
      </c>
      <c r="S119" s="101">
        <f>IF(S28=0,0,1000000*S28/TrRoad_act!S68)</f>
        <v>20050.267291319411</v>
      </c>
      <c r="T119" s="101">
        <f>IF(T28=0,0,1000000*T28/TrRoad_act!T68)</f>
        <v>18777.618296785255</v>
      </c>
      <c r="U119" s="101">
        <f>IF(U28=0,0,1000000*U28/TrRoad_act!U68)</f>
        <v>18430.014010680086</v>
      </c>
      <c r="V119" s="101">
        <f>IF(V28=0,0,1000000*V28/TrRoad_act!V68)</f>
        <v>13849.26667527387</v>
      </c>
      <c r="W119" s="101">
        <f>IF(W28=0,0,1000000*W28/TrRoad_act!W68)</f>
        <v>13689.732491947203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134265.28642193455</v>
      </c>
      <c r="C120" s="101">
        <f>IF(C29=0,0,1000000*C29/TrRoad_act!C69)</f>
        <v>125201.43892135183</v>
      </c>
      <c r="D120" s="101">
        <f>IF(D29=0,0,1000000*D29/TrRoad_act!D69)</f>
        <v>121833.15716640191</v>
      </c>
      <c r="E120" s="101">
        <f>IF(E29=0,0,1000000*E29/TrRoad_act!E69)</f>
        <v>118361.14081200784</v>
      </c>
      <c r="F120" s="101">
        <f>IF(F29=0,0,1000000*F29/TrRoad_act!F69)</f>
        <v>115554.79024913633</v>
      </c>
      <c r="G120" s="101">
        <f>IF(G29=0,0,1000000*G29/TrRoad_act!G69)</f>
        <v>112476.25163781572</v>
      </c>
      <c r="H120" s="101">
        <f>IF(H29=0,0,1000000*H29/TrRoad_act!H69)</f>
        <v>111183.62928502802</v>
      </c>
      <c r="I120" s="101">
        <f>IF(I29=0,0,1000000*I29/TrRoad_act!I69)</f>
        <v>107996.33251554387</v>
      </c>
      <c r="J120" s="101">
        <f>IF(J29=0,0,1000000*J29/TrRoad_act!J69)</f>
        <v>105131.41451163386</v>
      </c>
      <c r="K120" s="101">
        <f>IF(K29=0,0,1000000*K29/TrRoad_act!K69)</f>
        <v>104188.41833670273</v>
      </c>
      <c r="L120" s="101">
        <f>IF(L29=0,0,1000000*L29/TrRoad_act!L69)</f>
        <v>102174.84960719694</v>
      </c>
      <c r="M120" s="101">
        <f>IF(M29=0,0,1000000*M29/TrRoad_act!M69)</f>
        <v>104392.70593618258</v>
      </c>
      <c r="N120" s="101">
        <f>IF(N29=0,0,1000000*N29/TrRoad_act!N69)</f>
        <v>103227.15594691737</v>
      </c>
      <c r="O120" s="101">
        <f>IF(O29=0,0,1000000*O29/TrRoad_act!O69)</f>
        <v>102071.59720520387</v>
      </c>
      <c r="P120" s="101">
        <f>IF(P29=0,0,1000000*P29/TrRoad_act!P69)</f>
        <v>102553.78930466455</v>
      </c>
      <c r="Q120" s="101">
        <f>IF(Q29=0,0,1000000*Q29/TrRoad_act!Q69)</f>
        <v>102261.01047696882</v>
      </c>
      <c r="R120" s="101">
        <f>IF(R29=0,0,1000000*R29/TrRoad_act!R69)</f>
        <v>100494.63492853062</v>
      </c>
      <c r="S120" s="101">
        <f>IF(S29=0,0,1000000*S29/TrRoad_act!S69)</f>
        <v>98945.994946097257</v>
      </c>
      <c r="T120" s="101">
        <f>IF(T29=0,0,1000000*T29/TrRoad_act!T69)</f>
        <v>92928.557915267229</v>
      </c>
      <c r="U120" s="101">
        <f>IF(U29=0,0,1000000*U29/TrRoad_act!U69)</f>
        <v>90821.239562701609</v>
      </c>
      <c r="V120" s="101">
        <f>IF(V29=0,0,1000000*V29/TrRoad_act!V69)</f>
        <v>71558.458478010143</v>
      </c>
      <c r="W120" s="101">
        <f>IF(W29=0,0,1000000*W29/TrRoad_act!W69)</f>
        <v>72406.951542959519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80192.433529006492</v>
      </c>
      <c r="O122" s="101">
        <f>IF(O31=0,0,1000000*O31/TrRoad_act!O71)</f>
        <v>75247.962506539436</v>
      </c>
      <c r="P122" s="101">
        <f>IF(P31=0,0,1000000*P31/TrRoad_act!P71)</f>
        <v>50416.969565923377</v>
      </c>
      <c r="Q122" s="101">
        <f>IF(Q31=0,0,1000000*Q31/TrRoad_act!Q71)</f>
        <v>64494.81089321756</v>
      </c>
      <c r="R122" s="101">
        <f>IF(R31=0,0,1000000*R31/TrRoad_act!R71)</f>
        <v>72158.444395585771</v>
      </c>
      <c r="S122" s="101">
        <f>IF(S31=0,0,1000000*S31/TrRoad_act!S71)</f>
        <v>84293.401148199409</v>
      </c>
      <c r="T122" s="101">
        <f>IF(T31=0,0,1000000*T31/TrRoad_act!T71)</f>
        <v>79948.920399761322</v>
      </c>
      <c r="U122" s="101">
        <f>IF(U31=0,0,1000000*U31/TrRoad_act!U71)</f>
        <v>83660.732889928637</v>
      </c>
      <c r="V122" s="101">
        <f>IF(V31=0,0,1000000*V31/TrRoad_act!V71)</f>
        <v>77636.247206290165</v>
      </c>
      <c r="W122" s="101">
        <f>IF(W31=0,0,1000000*W31/TrRoad_act!W71)</f>
        <v>104445.42477804981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4992.5349829957604</v>
      </c>
      <c r="C125" s="152">
        <f>IF(C34=0,0,1000000*C34/TrRoad_act!C74)</f>
        <v>5008.5576983436777</v>
      </c>
      <c r="D125" s="152">
        <f>IF(D34=0,0,1000000*D34/TrRoad_act!D74)</f>
        <v>5044.7272752366644</v>
      </c>
      <c r="E125" s="152">
        <f>IF(E34=0,0,1000000*E34/TrRoad_act!E74)</f>
        <v>5104.2373874724535</v>
      </c>
      <c r="F125" s="152">
        <f>IF(F34=0,0,1000000*F34/TrRoad_act!F74)</f>
        <v>5324.4068841399112</v>
      </c>
      <c r="G125" s="152">
        <f>IF(G34=0,0,1000000*G34/TrRoad_act!G74)</f>
        <v>5400.97674279282</v>
      </c>
      <c r="H125" s="152">
        <f>IF(H34=0,0,1000000*H34/TrRoad_act!H74)</f>
        <v>5458.9514486977741</v>
      </c>
      <c r="I125" s="152">
        <f>IF(I34=0,0,1000000*I34/TrRoad_act!I74)</f>
        <v>5484.226126739225</v>
      </c>
      <c r="J125" s="152">
        <f>IF(J34=0,0,1000000*J34/TrRoad_act!J74)</f>
        <v>5413.8484026054884</v>
      </c>
      <c r="K125" s="152">
        <f>IF(K34=0,0,1000000*K34/TrRoad_act!K74)</f>
        <v>5388.7485288998714</v>
      </c>
      <c r="L125" s="152">
        <f>IF(L34=0,0,1000000*L34/TrRoad_act!L74)</f>
        <v>5284.697853525523</v>
      </c>
      <c r="M125" s="152">
        <f>IF(M34=0,0,1000000*M34/TrRoad_act!M74)</f>
        <v>5431.1159930057074</v>
      </c>
      <c r="N125" s="152">
        <f>IF(N34=0,0,1000000*N34/TrRoad_act!N74)</f>
        <v>5365.4106469772478</v>
      </c>
      <c r="O125" s="152">
        <f>IF(O34=0,0,1000000*O34/TrRoad_act!O74)</f>
        <v>5381.3414164578171</v>
      </c>
      <c r="P125" s="152">
        <f>IF(P34=0,0,1000000*P34/TrRoad_act!P74)</f>
        <v>5529.2806876099739</v>
      </c>
      <c r="Q125" s="152">
        <f>IF(Q34=0,0,1000000*Q34/TrRoad_act!Q74)</f>
        <v>5567.9650764614244</v>
      </c>
      <c r="R125" s="152">
        <f>IF(R34=0,0,1000000*R34/TrRoad_act!R74)</f>
        <v>5533.5908493182505</v>
      </c>
      <c r="S125" s="152">
        <f>IF(S34=0,0,1000000*S34/TrRoad_act!S74)</f>
        <v>5403.5087631225779</v>
      </c>
      <c r="T125" s="152">
        <f>IF(T34=0,0,1000000*T34/TrRoad_act!T74)</f>
        <v>5176.0959323131201</v>
      </c>
      <c r="U125" s="152">
        <f>IF(U34=0,0,1000000*U34/TrRoad_act!U74)</f>
        <v>5035.2347907883077</v>
      </c>
      <c r="V125" s="152">
        <f>IF(V34=0,0,1000000*V34/TrRoad_act!V74)</f>
        <v>4977.7885481436488</v>
      </c>
      <c r="W125" s="152">
        <f>IF(W34=0,0,1000000*W34/TrRoad_act!W74)</f>
        <v>4932.577788940458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2828.0251102760772</v>
      </c>
      <c r="C126" s="87">
        <f>IF(C35=0,0,1000000*C35/TrRoad_act!C75)</f>
        <v>2865.4343149599263</v>
      </c>
      <c r="D126" s="87">
        <f>IF(D35=0,0,1000000*D35/TrRoad_act!D75)</f>
        <v>2890.548348181565</v>
      </c>
      <c r="E126" s="87">
        <f>IF(E35=0,0,1000000*E35/TrRoad_act!E75)</f>
        <v>2913.9914000719032</v>
      </c>
      <c r="F126" s="87">
        <f>IF(F35=0,0,1000000*F35/TrRoad_act!F75)</f>
        <v>3089.6599942885728</v>
      </c>
      <c r="G126" s="87">
        <f>IF(G35=0,0,1000000*G35/TrRoad_act!G75)</f>
        <v>3107.1402268629208</v>
      </c>
      <c r="H126" s="87">
        <f>IF(H35=0,0,1000000*H35/TrRoad_act!H75)</f>
        <v>3113.2426439071123</v>
      </c>
      <c r="I126" s="87">
        <f>IF(I35=0,0,1000000*I35/TrRoad_act!I75)</f>
        <v>3112.7881388662622</v>
      </c>
      <c r="J126" s="87">
        <f>IF(J35=0,0,1000000*J35/TrRoad_act!J75)</f>
        <v>3023.4195447431107</v>
      </c>
      <c r="K126" s="87">
        <f>IF(K35=0,0,1000000*K35/TrRoad_act!K75)</f>
        <v>3023.0747551662539</v>
      </c>
      <c r="L126" s="87">
        <f>IF(L35=0,0,1000000*L35/TrRoad_act!L75)</f>
        <v>2932.5220759981594</v>
      </c>
      <c r="M126" s="87">
        <f>IF(M35=0,0,1000000*M35/TrRoad_act!M75)</f>
        <v>2949.1746553293083</v>
      </c>
      <c r="N126" s="87">
        <f>IF(N35=0,0,1000000*N35/TrRoad_act!N75)</f>
        <v>2953.7924953335578</v>
      </c>
      <c r="O126" s="87">
        <f>IF(O35=0,0,1000000*O35/TrRoad_act!O75)</f>
        <v>3023.6848945717356</v>
      </c>
      <c r="P126" s="87">
        <f>IF(P35=0,0,1000000*P35/TrRoad_act!P75)</f>
        <v>3101.0025993482886</v>
      </c>
      <c r="Q126" s="87">
        <f>IF(Q35=0,0,1000000*Q35/TrRoad_act!Q75)</f>
        <v>3111.2645269869013</v>
      </c>
      <c r="R126" s="87">
        <f>IF(R35=0,0,1000000*R35/TrRoad_act!R75)</f>
        <v>3073.1013342418241</v>
      </c>
      <c r="S126" s="87">
        <f>IF(S35=0,0,1000000*S35/TrRoad_act!S75)</f>
        <v>3016.1579250552636</v>
      </c>
      <c r="T126" s="87">
        <f>IF(T35=0,0,1000000*T35/TrRoad_act!T75)</f>
        <v>2912.9024046085915</v>
      </c>
      <c r="U126" s="87">
        <f>IF(U35=0,0,1000000*U35/TrRoad_act!U75)</f>
        <v>2905.2895212268559</v>
      </c>
      <c r="V126" s="87">
        <f>IF(V35=0,0,1000000*V35/TrRoad_act!V75)</f>
        <v>2839.1581154121841</v>
      </c>
      <c r="W126" s="87">
        <f>IF(W35=0,0,1000000*W35/TrRoad_act!W75)</f>
        <v>2833.409007847974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5825.2402662631675</v>
      </c>
      <c r="C127" s="87">
        <f>IF(C36=0,0,1000000*C36/TrRoad_act!C76)</f>
        <v>5811.5419607419763</v>
      </c>
      <c r="D127" s="87">
        <f>IF(D36=0,0,1000000*D36/TrRoad_act!D76)</f>
        <v>5804.433615858582</v>
      </c>
      <c r="E127" s="87">
        <f>IF(E36=0,0,1000000*E36/TrRoad_act!E76)</f>
        <v>5799.6878225433384</v>
      </c>
      <c r="F127" s="87">
        <f>IF(F36=0,0,1000000*F36/TrRoad_act!F76)</f>
        <v>5946.762611334856</v>
      </c>
      <c r="G127" s="87">
        <f>IF(G36=0,0,1000000*G36/TrRoad_act!G76)</f>
        <v>5954.0821111409869</v>
      </c>
      <c r="H127" s="87">
        <f>IF(H36=0,0,1000000*H36/TrRoad_act!H76)</f>
        <v>5939.7598912699059</v>
      </c>
      <c r="I127" s="87">
        <f>IF(I36=0,0,1000000*I36/TrRoad_act!I76)</f>
        <v>5914.3964440887939</v>
      </c>
      <c r="J127" s="87">
        <f>IF(J36=0,0,1000000*J36/TrRoad_act!J76)</f>
        <v>5798.063589079693</v>
      </c>
      <c r="K127" s="87">
        <f>IF(K36=0,0,1000000*K36/TrRoad_act!K76)</f>
        <v>5716.6506264768632</v>
      </c>
      <c r="L127" s="87">
        <f>IF(L36=0,0,1000000*L36/TrRoad_act!L76)</f>
        <v>5579.1728115581827</v>
      </c>
      <c r="M127" s="87">
        <f>IF(M36=0,0,1000000*M36/TrRoad_act!M76)</f>
        <v>5712.1466976965867</v>
      </c>
      <c r="N127" s="87">
        <f>IF(N36=0,0,1000000*N36/TrRoad_act!N76)</f>
        <v>5616.4299776871349</v>
      </c>
      <c r="O127" s="87">
        <f>IF(O36=0,0,1000000*O36/TrRoad_act!O76)</f>
        <v>5603.2468905652495</v>
      </c>
      <c r="P127" s="87">
        <f>IF(P36=0,0,1000000*P36/TrRoad_act!P76)</f>
        <v>5726.570770167209</v>
      </c>
      <c r="Q127" s="87">
        <f>IF(Q36=0,0,1000000*Q36/TrRoad_act!Q76)</f>
        <v>5748.8269127873182</v>
      </c>
      <c r="R127" s="87">
        <f>IF(R36=0,0,1000000*R36/TrRoad_act!R76)</f>
        <v>5698.1046996274808</v>
      </c>
      <c r="S127" s="87">
        <f>IF(S36=0,0,1000000*S36/TrRoad_act!S76)</f>
        <v>5557.9445666240599</v>
      </c>
      <c r="T127" s="87">
        <f>IF(T36=0,0,1000000*T36/TrRoad_act!T76)</f>
        <v>5316.2575332487231</v>
      </c>
      <c r="U127" s="87">
        <f>IF(U36=0,0,1000000*U36/TrRoad_act!U76)</f>
        <v>5166.5336973162703</v>
      </c>
      <c r="V127" s="87">
        <f>IF(V36=0,0,1000000*V36/TrRoad_act!V76)</f>
        <v>5104.6266525384108</v>
      </c>
      <c r="W127" s="87">
        <f>IF(W36=0,0,1000000*W36/TrRoad_act!W76)</f>
        <v>5052.9818863577402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4441.9728169222844</v>
      </c>
      <c r="I128" s="87">
        <f>IF(I37=0,0,1000000*I37/TrRoad_act!I77)</f>
        <v>4514.2417225688168</v>
      </c>
      <c r="J128" s="87">
        <f>IF(J37=0,0,1000000*J37/TrRoad_act!J77)</f>
        <v>4366.5365417264911</v>
      </c>
      <c r="K128" s="87">
        <f>IF(K37=0,0,1000000*K37/TrRoad_act!K77)</f>
        <v>4421.8943398143101</v>
      </c>
      <c r="L128" s="87">
        <f>IF(L37=0,0,1000000*L37/TrRoad_act!L77)</f>
        <v>4747.7598592469558</v>
      </c>
      <c r="M128" s="87">
        <f>IF(M37=0,0,1000000*M37/TrRoad_act!M77)</f>
        <v>5121.6662705295339</v>
      </c>
      <c r="N128" s="87">
        <f>IF(N37=0,0,1000000*N37/TrRoad_act!N77)</f>
        <v>5312.7420040914849</v>
      </c>
      <c r="O128" s="87">
        <f>IF(O37=0,0,1000000*O37/TrRoad_act!O77)</f>
        <v>5133.4765583879589</v>
      </c>
      <c r="P128" s="87">
        <f>IF(P37=0,0,1000000*P37/TrRoad_act!P77)</f>
        <v>4915.1345188397772</v>
      </c>
      <c r="Q128" s="87">
        <f>IF(Q37=0,0,1000000*Q37/TrRoad_act!Q77)</f>
        <v>5201.1479872976097</v>
      </c>
      <c r="R128" s="87">
        <f>IF(R37=0,0,1000000*R37/TrRoad_act!R77)</f>
        <v>5116.5028946589682</v>
      </c>
      <c r="S128" s="87">
        <f>IF(S37=0,0,1000000*S37/TrRoad_act!S77)</f>
        <v>4475.6712854848911</v>
      </c>
      <c r="T128" s="87">
        <f>IF(T37=0,0,1000000*T37/TrRoad_act!T77)</f>
        <v>4172.7580326076022</v>
      </c>
      <c r="U128" s="87">
        <f>IF(U37=0,0,1000000*U37/TrRoad_act!U77)</f>
        <v>3657.4695791926083</v>
      </c>
      <c r="V128" s="87">
        <f>IF(V37=0,0,1000000*V37/TrRoad_act!V77)</f>
        <v>3448.1213039991303</v>
      </c>
      <c r="W128" s="87">
        <f>IF(W37=0,0,1000000*W37/TrRoad_act!W77)</f>
        <v>4451.8256320646597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2912.7978527509149</v>
      </c>
      <c r="Q129" s="87">
        <f>IF(Q38=0,0,1000000*Q38/TrRoad_act!Q78)</f>
        <v>3100.5963990173509</v>
      </c>
      <c r="R129" s="87">
        <f>IF(R38=0,0,1000000*R38/TrRoad_act!R78)</f>
        <v>2788.6664217203975</v>
      </c>
      <c r="S129" s="87">
        <f>IF(S38=0,0,1000000*S38/TrRoad_act!S78)</f>
        <v>2525.9495439848206</v>
      </c>
      <c r="T129" s="87">
        <f>IF(T38=0,0,1000000*T38/TrRoad_act!T78)</f>
        <v>2451.3701731734545</v>
      </c>
      <c r="U129" s="87">
        <f>IF(U38=0,0,1000000*U38/TrRoad_act!U78)</f>
        <v>2385.9628616146201</v>
      </c>
      <c r="V129" s="87">
        <f>IF(V38=0,0,1000000*V38/TrRoad_act!V78)</f>
        <v>2431.6350593223237</v>
      </c>
      <c r="W129" s="87">
        <f>IF(W38=0,0,1000000*W38/TrRoad_act!W78)</f>
        <v>2481.9694948609254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7570.1910778424299</v>
      </c>
      <c r="C131" s="116">
        <f>IF(C40=0,0,1000000*C40/TrRoad_act!C80)</f>
        <v>13674.556468851488</v>
      </c>
      <c r="D131" s="116">
        <f>IF(D40=0,0,1000000*D40/TrRoad_act!D80)</f>
        <v>14913.286620075021</v>
      </c>
      <c r="E131" s="116">
        <f>IF(E40=0,0,1000000*E40/TrRoad_act!E80)</f>
        <v>18665.163353143002</v>
      </c>
      <c r="F131" s="116">
        <f>IF(F40=0,0,1000000*F40/TrRoad_act!F80)</f>
        <v>27614.695643431074</v>
      </c>
      <c r="G131" s="116">
        <f>IF(G40=0,0,1000000*G40/TrRoad_act!G80)</f>
        <v>34452.300237914351</v>
      </c>
      <c r="H131" s="116">
        <f>IF(H40=0,0,1000000*H40/TrRoad_act!H80)</f>
        <v>36945.95175343407</v>
      </c>
      <c r="I131" s="116">
        <f>IF(I40=0,0,1000000*I40/TrRoad_act!I80)</f>
        <v>51849.208431277802</v>
      </c>
      <c r="J131" s="116">
        <f>IF(J40=0,0,1000000*J40/TrRoad_act!J80)</f>
        <v>76477.145623058008</v>
      </c>
      <c r="K131" s="116">
        <f>IF(K40=0,0,1000000*K40/TrRoad_act!K80)</f>
        <v>48190.229265675072</v>
      </c>
      <c r="L131" s="116">
        <f>IF(L40=0,0,1000000*L40/TrRoad_act!L80)</f>
        <v>57201.141664303956</v>
      </c>
      <c r="M131" s="116">
        <f>IF(M40=0,0,1000000*M40/TrRoad_act!M80)</f>
        <v>71960.091792772873</v>
      </c>
      <c r="N131" s="116">
        <f>IF(N40=0,0,1000000*N40/TrRoad_act!N80)</f>
        <v>78945.214303776083</v>
      </c>
      <c r="O131" s="116">
        <f>IF(O40=0,0,1000000*O40/TrRoad_act!O80)</f>
        <v>71517.715898079667</v>
      </c>
      <c r="P131" s="116">
        <f>IF(P40=0,0,1000000*P40/TrRoad_act!P80)</f>
        <v>70090.160715484599</v>
      </c>
      <c r="Q131" s="116">
        <f>IF(Q40=0,0,1000000*Q40/TrRoad_act!Q80)</f>
        <v>65196.305375788826</v>
      </c>
      <c r="R131" s="116">
        <f>IF(R40=0,0,1000000*R40/TrRoad_act!R80)</f>
        <v>72994.763807425465</v>
      </c>
      <c r="S131" s="116">
        <f>IF(S40=0,0,1000000*S40/TrRoad_act!S80)</f>
        <v>72338.484143306385</v>
      </c>
      <c r="T131" s="116">
        <f>IF(T40=0,0,1000000*T40/TrRoad_act!T80)</f>
        <v>67821.66771680431</v>
      </c>
      <c r="U131" s="116">
        <f>IF(U40=0,0,1000000*U40/TrRoad_act!U80)</f>
        <v>62133.166495846293</v>
      </c>
      <c r="V131" s="116">
        <f>IF(V40=0,0,1000000*V40/TrRoad_act!V80)</f>
        <v>44476.023819909358</v>
      </c>
      <c r="W131" s="116">
        <f>IF(W40=0,0,1000000*W40/TrRoad_act!W80)</f>
        <v>61533.621080704892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7985.9590503905201</v>
      </c>
      <c r="C132" s="101">
        <f>IF(C41=0,0,1000000*C41/TrRoad_act!C81)</f>
        <v>8811.3444483648545</v>
      </c>
      <c r="D132" s="101">
        <f>IF(D41=0,0,1000000*D41/TrRoad_act!D81)</f>
        <v>10313.087751469995</v>
      </c>
      <c r="E132" s="101">
        <f>IF(E41=0,0,1000000*E41/TrRoad_act!E81)</f>
        <v>11565.258534414326</v>
      </c>
      <c r="F132" s="101">
        <f>IF(F41=0,0,1000000*F41/TrRoad_act!F81)</f>
        <v>15750.287480068859</v>
      </c>
      <c r="G132" s="101">
        <f>IF(G41=0,0,1000000*G41/TrRoad_act!G81)</f>
        <v>17446.240048631989</v>
      </c>
      <c r="H132" s="101">
        <f>IF(H41=0,0,1000000*H41/TrRoad_act!H81)</f>
        <v>16026.672259738156</v>
      </c>
      <c r="I132" s="101">
        <f>IF(I41=0,0,1000000*I41/TrRoad_act!I81)</f>
        <v>17641.488494451867</v>
      </c>
      <c r="J132" s="101">
        <f>IF(J41=0,0,1000000*J41/TrRoad_act!J81)</f>
        <v>20127.012479533594</v>
      </c>
      <c r="K132" s="101">
        <f>IF(K41=0,0,1000000*K41/TrRoad_act!K81)</f>
        <v>16413.946767875037</v>
      </c>
      <c r="L132" s="101">
        <f>IF(L41=0,0,1000000*L41/TrRoad_act!L81)</f>
        <v>18872.620242206209</v>
      </c>
      <c r="M132" s="101">
        <f>IF(M41=0,0,1000000*M41/TrRoad_act!M81)</f>
        <v>19861.689289602808</v>
      </c>
      <c r="N132" s="101">
        <f>IF(N41=0,0,1000000*N41/TrRoad_act!N81)</f>
        <v>18764.584820255055</v>
      </c>
      <c r="O132" s="101">
        <f>IF(O41=0,0,1000000*O41/TrRoad_act!O81)</f>
        <v>17447.187928141164</v>
      </c>
      <c r="P132" s="101">
        <f>IF(P41=0,0,1000000*P41/TrRoad_act!P81)</f>
        <v>18661.229171573519</v>
      </c>
      <c r="Q132" s="101">
        <f>IF(Q41=0,0,1000000*Q41/TrRoad_act!Q81)</f>
        <v>17698.748682295245</v>
      </c>
      <c r="R132" s="101">
        <f>IF(R41=0,0,1000000*R41/TrRoad_act!R81)</f>
        <v>17338.684198416562</v>
      </c>
      <c r="S132" s="101">
        <f>IF(S41=0,0,1000000*S41/TrRoad_act!S81)</f>
        <v>18182.63936980367</v>
      </c>
      <c r="T132" s="101">
        <f>IF(T41=0,0,1000000*T41/TrRoad_act!T81)</f>
        <v>16147.248180908107</v>
      </c>
      <c r="U132" s="101">
        <f>IF(U41=0,0,1000000*U41/TrRoad_act!U81)</f>
        <v>16445.228895725399</v>
      </c>
      <c r="V132" s="101">
        <f>IF(V41=0,0,1000000*V41/TrRoad_act!V81)</f>
        <v>14366.344394073794</v>
      </c>
      <c r="W132" s="101">
        <f>IF(W41=0,0,1000000*W41/TrRoad_act!W81)</f>
        <v>17579.49495245732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3861.0325234261445</v>
      </c>
      <c r="C133" s="88">
        <f>IF(C42=0,0,1000000*C42/TrRoad_act!C82)</f>
        <v>52510.954171401325</v>
      </c>
      <c r="D133" s="88">
        <f>IF(D42=0,0,1000000*D42/TrRoad_act!D82)</f>
        <v>49828.823728144598</v>
      </c>
      <c r="E133" s="88">
        <f>IF(E42=0,0,1000000*E42/TrRoad_act!E82)</f>
        <v>70083.025282416565</v>
      </c>
      <c r="F133" s="88">
        <f>IF(F42=0,0,1000000*F42/TrRoad_act!F82)</f>
        <v>99270.992916997799</v>
      </c>
      <c r="G133" s="88">
        <f>IF(G42=0,0,1000000*G42/TrRoad_act!G82)</f>
        <v>129284.50645580093</v>
      </c>
      <c r="H133" s="88">
        <f>IF(H42=0,0,1000000*H42/TrRoad_act!H82)</f>
        <v>139390.87543230649</v>
      </c>
      <c r="I133" s="88">
        <f>IF(I42=0,0,1000000*I42/TrRoad_act!I82)</f>
        <v>223173.80251129039</v>
      </c>
      <c r="J133" s="88">
        <f>IF(J42=0,0,1000000*J42/TrRoad_act!J82)</f>
        <v>349722.99826170644</v>
      </c>
      <c r="K133" s="88">
        <f>IF(K42=0,0,1000000*K42/TrRoad_act!K82)</f>
        <v>213419.5341099716</v>
      </c>
      <c r="L133" s="88">
        <f>IF(L42=0,0,1000000*L42/TrRoad_act!L82)</f>
        <v>241759.80849759391</v>
      </c>
      <c r="M133" s="88">
        <f>IF(M42=0,0,1000000*M42/TrRoad_act!M82)</f>
        <v>304702.18019467546</v>
      </c>
      <c r="N133" s="88">
        <f>IF(N42=0,0,1000000*N42/TrRoad_act!N82)</f>
        <v>333167.60015889601</v>
      </c>
      <c r="O133" s="88">
        <f>IF(O42=0,0,1000000*O42/TrRoad_act!O82)</f>
        <v>297110.80488646514</v>
      </c>
      <c r="P133" s="88">
        <f>IF(P42=0,0,1000000*P42/TrRoad_act!P82)</f>
        <v>285576.67841216002</v>
      </c>
      <c r="Q133" s="88">
        <f>IF(Q42=0,0,1000000*Q42/TrRoad_act!Q82)</f>
        <v>247011.70141231513</v>
      </c>
      <c r="R133" s="88">
        <f>IF(R42=0,0,1000000*R42/TrRoad_act!R82)</f>
        <v>275384.27736419387</v>
      </c>
      <c r="S133" s="88">
        <f>IF(S42=0,0,1000000*S42/TrRoad_act!S82)</f>
        <v>251645.70566047149</v>
      </c>
      <c r="T133" s="88">
        <f>IF(T42=0,0,1000000*T42/TrRoad_act!T82)</f>
        <v>242722.35879337028</v>
      </c>
      <c r="U133" s="88">
        <f>IF(U42=0,0,1000000*U42/TrRoad_act!U82)</f>
        <v>209174.54567229198</v>
      </c>
      <c r="V133" s="88">
        <f>IF(V42=0,0,1000000*V42/TrRoad_act!V82)</f>
        <v>151395.6761403844</v>
      </c>
      <c r="W133" s="88">
        <f>IF(W42=0,0,1000000*W42/TrRoad_act!W82)</f>
        <v>197039.71618756733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0.90136823850094339</v>
      </c>
      <c r="C136" s="46">
        <f t="shared" si="40"/>
        <v>0.85868695567087683</v>
      </c>
      <c r="D136" s="46">
        <f t="shared" si="40"/>
        <v>0.85030173976295742</v>
      </c>
      <c r="E136" s="46">
        <f t="shared" si="40"/>
        <v>0.82428362199517169</v>
      </c>
      <c r="F136" s="46">
        <f t="shared" si="40"/>
        <v>0.76359820326281591</v>
      </c>
      <c r="G136" s="46">
        <f t="shared" si="40"/>
        <v>0.73702354664886027</v>
      </c>
      <c r="H136" s="46">
        <f t="shared" si="40"/>
        <v>0.72102911913265133</v>
      </c>
      <c r="I136" s="46">
        <f t="shared" si="40"/>
        <v>0.65426802680084251</v>
      </c>
      <c r="J136" s="46">
        <f t="shared" si="40"/>
        <v>0.59189605798803524</v>
      </c>
      <c r="K136" s="46">
        <f t="shared" si="40"/>
        <v>0.69045521353447303</v>
      </c>
      <c r="L136" s="46">
        <f t="shared" si="41"/>
        <v>0.67862209358927761</v>
      </c>
      <c r="M136" s="46">
        <f t="shared" si="40"/>
        <v>0.64439521512992426</v>
      </c>
      <c r="N136" s="46">
        <f t="shared" si="40"/>
        <v>0.62112861382658335</v>
      </c>
      <c r="O136" s="46">
        <f t="shared" si="40"/>
        <v>0.63589682027492855</v>
      </c>
      <c r="P136" s="46">
        <f t="shared" si="40"/>
        <v>0.63738154511003531</v>
      </c>
      <c r="Q136" s="46">
        <f t="shared" si="40"/>
        <v>0.64869438408975244</v>
      </c>
      <c r="R136" s="46">
        <f t="shared" si="40"/>
        <v>0.61284920168695456</v>
      </c>
      <c r="S136" s="46">
        <f t="shared" si="40"/>
        <v>0.61530776279497457</v>
      </c>
      <c r="T136" s="46">
        <f t="shared" si="40"/>
        <v>0.6212605671814212</v>
      </c>
      <c r="U136" s="46">
        <f t="shared" si="40"/>
        <v>0.63834270995551368</v>
      </c>
      <c r="V136" s="46">
        <f t="shared" si="40"/>
        <v>0.65291037963841358</v>
      </c>
      <c r="W136" s="46">
        <f t="shared" si="42"/>
        <v>0.61816495913460623</v>
      </c>
      <c r="DA136" s="211"/>
    </row>
    <row r="137" spans="1:105" ht="11.45" customHeight="1" x14ac:dyDescent="0.25">
      <c r="A137" s="153" t="s">
        <v>180</v>
      </c>
      <c r="B137" s="154">
        <f t="shared" si="40"/>
        <v>2.8916050767260506E-3</v>
      </c>
      <c r="C137" s="154">
        <f t="shared" si="40"/>
        <v>2.5757292662072014E-3</v>
      </c>
      <c r="D137" s="154">
        <f t="shared" si="40"/>
        <v>2.4858878231981225E-3</v>
      </c>
      <c r="E137" s="154">
        <f t="shared" si="40"/>
        <v>2.9335958072030026E-3</v>
      </c>
      <c r="F137" s="154">
        <f t="shared" si="40"/>
        <v>3.1540384518443554E-3</v>
      </c>
      <c r="G137" s="154">
        <f t="shared" si="40"/>
        <v>3.2805684592289224E-3</v>
      </c>
      <c r="H137" s="154">
        <f t="shared" si="40"/>
        <v>3.5066673742629464E-3</v>
      </c>
      <c r="I137" s="154">
        <f t="shared" si="40"/>
        <v>3.4231805834129339E-3</v>
      </c>
      <c r="J137" s="154">
        <f t="shared" si="40"/>
        <v>3.0978114195335535E-3</v>
      </c>
      <c r="K137" s="154">
        <f t="shared" si="40"/>
        <v>3.9441032488788108E-3</v>
      </c>
      <c r="L137" s="154">
        <f t="shared" si="41"/>
        <v>4.6877678648640743E-3</v>
      </c>
      <c r="M137" s="154">
        <f t="shared" si="40"/>
        <v>5.1162234247049375E-3</v>
      </c>
      <c r="N137" s="154">
        <f t="shared" si="40"/>
        <v>4.6299805470729014E-3</v>
      </c>
      <c r="O137" s="154">
        <f t="shared" si="40"/>
        <v>4.3108703538927099E-3</v>
      </c>
      <c r="P137" s="154">
        <f t="shared" si="40"/>
        <v>4.3568365703197968E-3</v>
      </c>
      <c r="Q137" s="154">
        <f t="shared" si="40"/>
        <v>4.6443947071247906E-3</v>
      </c>
      <c r="R137" s="154">
        <f t="shared" si="40"/>
        <v>4.4991382972357852E-3</v>
      </c>
      <c r="S137" s="154">
        <f t="shared" si="40"/>
        <v>4.2600844933105191E-3</v>
      </c>
      <c r="T137" s="154">
        <f t="shared" si="40"/>
        <v>4.0291608130650055E-3</v>
      </c>
      <c r="U137" s="154">
        <f t="shared" si="40"/>
        <v>4.4366060630741094E-3</v>
      </c>
      <c r="V137" s="154">
        <f t="shared" si="40"/>
        <v>4.7984327106899115E-3</v>
      </c>
      <c r="W137" s="154">
        <f t="shared" si="42"/>
        <v>4.1084945687023802E-3</v>
      </c>
      <c r="DA137" s="212"/>
    </row>
    <row r="138" spans="1:105" ht="11.45" customHeight="1" x14ac:dyDescent="0.25">
      <c r="A138" s="155" t="s">
        <v>20</v>
      </c>
      <c r="B138" s="156">
        <f t="shared" si="40"/>
        <v>0.82845961737588592</v>
      </c>
      <c r="C138" s="156">
        <f t="shared" si="40"/>
        <v>0.79503815045135451</v>
      </c>
      <c r="D138" s="156">
        <f t="shared" si="40"/>
        <v>0.7906484225999334</v>
      </c>
      <c r="E138" s="156">
        <f t="shared" si="40"/>
        <v>0.76674389278473898</v>
      </c>
      <c r="F138" s="156">
        <f t="shared" si="40"/>
        <v>0.70729322097820202</v>
      </c>
      <c r="G138" s="156">
        <f t="shared" si="40"/>
        <v>0.68560692967509751</v>
      </c>
      <c r="H138" s="156">
        <f t="shared" si="40"/>
        <v>0.671414915442761</v>
      </c>
      <c r="I138" s="156">
        <f t="shared" si="40"/>
        <v>0.61018822149102947</v>
      </c>
      <c r="J138" s="156">
        <f t="shared" si="40"/>
        <v>0.55434442380341953</v>
      </c>
      <c r="K138" s="156">
        <f t="shared" si="40"/>
        <v>0.64523095358015492</v>
      </c>
      <c r="L138" s="156">
        <f t="shared" si="41"/>
        <v>0.63437171152196159</v>
      </c>
      <c r="M138" s="156">
        <f t="shared" si="40"/>
        <v>0.60112295494011891</v>
      </c>
      <c r="N138" s="156">
        <f t="shared" si="40"/>
        <v>0.57910494364361564</v>
      </c>
      <c r="O138" s="156">
        <f t="shared" si="40"/>
        <v>0.59140646526789376</v>
      </c>
      <c r="P138" s="156">
        <f t="shared" si="40"/>
        <v>0.59134076757230647</v>
      </c>
      <c r="Q138" s="156">
        <f t="shared" si="40"/>
        <v>0.60056126369812901</v>
      </c>
      <c r="R138" s="156">
        <f t="shared" si="40"/>
        <v>0.5679187475552423</v>
      </c>
      <c r="S138" s="156">
        <f t="shared" si="40"/>
        <v>0.57014106457634828</v>
      </c>
      <c r="T138" s="156">
        <f t="shared" si="40"/>
        <v>0.57783953418954115</v>
      </c>
      <c r="U138" s="156">
        <f t="shared" si="40"/>
        <v>0.59310241412957265</v>
      </c>
      <c r="V138" s="156">
        <f t="shared" si="40"/>
        <v>0.6172768048003564</v>
      </c>
      <c r="W138" s="156">
        <f t="shared" si="42"/>
        <v>0.58189524712687934</v>
      </c>
      <c r="DA138" s="213"/>
    </row>
    <row r="139" spans="1:105" ht="11.45" customHeight="1" x14ac:dyDescent="0.25">
      <c r="A139" s="157" t="s">
        <v>110</v>
      </c>
      <c r="B139" s="103">
        <f t="shared" si="40"/>
        <v>0.69124886505754268</v>
      </c>
      <c r="C139" s="103">
        <f t="shared" si="40"/>
        <v>0.65532480460764198</v>
      </c>
      <c r="D139" s="103">
        <f t="shared" si="40"/>
        <v>0.60905854707283669</v>
      </c>
      <c r="E139" s="103">
        <f t="shared" si="40"/>
        <v>0.58534709259720985</v>
      </c>
      <c r="F139" s="103">
        <f t="shared" si="40"/>
        <v>0.49513237243721819</v>
      </c>
      <c r="G139" s="103">
        <f t="shared" si="40"/>
        <v>0.45582591803450462</v>
      </c>
      <c r="H139" s="103">
        <f t="shared" si="40"/>
        <v>0.4206305159596781</v>
      </c>
      <c r="I139" s="103">
        <f t="shared" si="40"/>
        <v>0.35871216993291483</v>
      </c>
      <c r="J139" s="103">
        <f t="shared" si="40"/>
        <v>0.31840057802352983</v>
      </c>
      <c r="K139" s="103">
        <f t="shared" si="40"/>
        <v>0.34627431577468326</v>
      </c>
      <c r="L139" s="103">
        <f t="shared" si="41"/>
        <v>0.32851923437955222</v>
      </c>
      <c r="M139" s="103">
        <f t="shared" si="40"/>
        <v>0.29767373718340701</v>
      </c>
      <c r="N139" s="103">
        <f t="shared" si="40"/>
        <v>0.26764969523443366</v>
      </c>
      <c r="O139" s="103">
        <f t="shared" si="40"/>
        <v>0.25754062180513909</v>
      </c>
      <c r="P139" s="103">
        <f t="shared" si="40"/>
        <v>0.24008936368229675</v>
      </c>
      <c r="Q139" s="103">
        <f t="shared" si="40"/>
        <v>0.23529795460888758</v>
      </c>
      <c r="R139" s="103">
        <f t="shared" si="40"/>
        <v>0.21778347640878193</v>
      </c>
      <c r="S139" s="103">
        <f t="shared" si="40"/>
        <v>0.20766717780331886</v>
      </c>
      <c r="T139" s="103">
        <f t="shared" si="40"/>
        <v>0.21019525291369387</v>
      </c>
      <c r="U139" s="103">
        <f t="shared" si="40"/>
        <v>0.20840399579875007</v>
      </c>
      <c r="V139" s="103">
        <f t="shared" si="40"/>
        <v>0.20141721351525141</v>
      </c>
      <c r="W139" s="103">
        <f t="shared" si="42"/>
        <v>0.20213351510403932</v>
      </c>
      <c r="DA139" s="191"/>
    </row>
    <row r="140" spans="1:105" ht="11.45" customHeight="1" x14ac:dyDescent="0.25">
      <c r="A140" s="157" t="s">
        <v>111</v>
      </c>
      <c r="B140" s="103">
        <f t="shared" si="40"/>
        <v>0.13721075231834329</v>
      </c>
      <c r="C140" s="103">
        <f t="shared" si="40"/>
        <v>0.13971334584371239</v>
      </c>
      <c r="D140" s="103">
        <f t="shared" si="40"/>
        <v>0.18158987552709663</v>
      </c>
      <c r="E140" s="103">
        <f t="shared" si="40"/>
        <v>0.18139680018752921</v>
      </c>
      <c r="F140" s="103">
        <f t="shared" si="40"/>
        <v>0.21216084854098383</v>
      </c>
      <c r="G140" s="103">
        <f t="shared" si="40"/>
        <v>0.22978101164059286</v>
      </c>
      <c r="H140" s="103">
        <f t="shared" si="40"/>
        <v>0.25045592810198652</v>
      </c>
      <c r="I140" s="103">
        <f t="shared" si="40"/>
        <v>0.25066380077358191</v>
      </c>
      <c r="J140" s="103">
        <f t="shared" si="40"/>
        <v>0.23536979927268534</v>
      </c>
      <c r="K140" s="103">
        <f t="shared" si="40"/>
        <v>0.29683753413426955</v>
      </c>
      <c r="L140" s="103">
        <f t="shared" si="41"/>
        <v>0.30311442122654281</v>
      </c>
      <c r="M140" s="103">
        <f t="shared" si="40"/>
        <v>0.30035478018085215</v>
      </c>
      <c r="N140" s="103">
        <f t="shared" si="40"/>
        <v>0.30731961076211212</v>
      </c>
      <c r="O140" s="103">
        <f t="shared" si="40"/>
        <v>0.32782159824712842</v>
      </c>
      <c r="P140" s="103">
        <f t="shared" si="40"/>
        <v>0.3448715148273373</v>
      </c>
      <c r="Q140" s="103">
        <f t="shared" si="40"/>
        <v>0.3583556533007361</v>
      </c>
      <c r="R140" s="103">
        <f t="shared" si="40"/>
        <v>0.34314644335582895</v>
      </c>
      <c r="S140" s="103">
        <f t="shared" si="40"/>
        <v>0.3557206571662242</v>
      </c>
      <c r="T140" s="103">
        <f t="shared" si="40"/>
        <v>0.36091507436982118</v>
      </c>
      <c r="U140" s="103">
        <f t="shared" si="40"/>
        <v>0.37801966457223163</v>
      </c>
      <c r="V140" s="103">
        <f t="shared" si="40"/>
        <v>0.41066583020986913</v>
      </c>
      <c r="W140" s="103">
        <f t="shared" si="42"/>
        <v>0.3716560138517192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3.2847138109633883E-4</v>
      </c>
      <c r="I141" s="103">
        <f t="shared" si="40"/>
        <v>8.1225078453271303E-4</v>
      </c>
      <c r="J141" s="103">
        <f t="shared" si="40"/>
        <v>5.7404650720435082E-4</v>
      </c>
      <c r="K141" s="103">
        <f t="shared" si="40"/>
        <v>2.1191036712020933E-3</v>
      </c>
      <c r="L141" s="103">
        <f t="shared" si="41"/>
        <v>2.7380559158665524E-3</v>
      </c>
      <c r="M141" s="103">
        <f t="shared" si="40"/>
        <v>3.0944375758598236E-3</v>
      </c>
      <c r="N141" s="103">
        <f t="shared" si="40"/>
        <v>4.1335045974579604E-3</v>
      </c>
      <c r="O141" s="103">
        <f t="shared" si="40"/>
        <v>6.0312579401724997E-3</v>
      </c>
      <c r="P141" s="103">
        <f t="shared" si="40"/>
        <v>6.3251481605072751E-3</v>
      </c>
      <c r="Q141" s="103">
        <f t="shared" si="40"/>
        <v>6.851286637560113E-3</v>
      </c>
      <c r="R141" s="103">
        <f t="shared" si="40"/>
        <v>6.9139647058965243E-3</v>
      </c>
      <c r="S141" s="103">
        <f t="shared" si="40"/>
        <v>6.6330764566109235E-3</v>
      </c>
      <c r="T141" s="103">
        <f t="shared" si="40"/>
        <v>6.5708654014472656E-3</v>
      </c>
      <c r="U141" s="103">
        <f t="shared" si="40"/>
        <v>6.5121386723987363E-3</v>
      </c>
      <c r="V141" s="103">
        <f t="shared" si="40"/>
        <v>5.0153691236471086E-3</v>
      </c>
      <c r="W141" s="103">
        <f t="shared" si="42"/>
        <v>7.9102955833049386E-3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2.1330496119687035E-6</v>
      </c>
      <c r="O142" s="103">
        <f t="shared" si="40"/>
        <v>1.1846923675044225E-5</v>
      </c>
      <c r="P142" s="103">
        <f t="shared" si="40"/>
        <v>5.2937701521575996E-5</v>
      </c>
      <c r="Q142" s="103">
        <f t="shared" si="40"/>
        <v>5.1914829236933932E-5</v>
      </c>
      <c r="R142" s="103">
        <f t="shared" si="40"/>
        <v>6.2289820614308723E-5</v>
      </c>
      <c r="S142" s="103">
        <f t="shared" si="40"/>
        <v>8.5807541031325969E-5</v>
      </c>
      <c r="T142" s="103">
        <f t="shared" si="40"/>
        <v>9.573633647766388E-5</v>
      </c>
      <c r="U142" s="103">
        <f t="shared" si="40"/>
        <v>9.4030051799419862E-5</v>
      </c>
      <c r="V142" s="103">
        <f t="shared" si="40"/>
        <v>9.3018046846036107E-5</v>
      </c>
      <c r="W142" s="103">
        <f t="shared" si="42"/>
        <v>8.659494043919469E-5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1.14035177866602E-6</v>
      </c>
      <c r="P143" s="103">
        <f t="shared" si="40"/>
        <v>1.8032006435567544E-6</v>
      </c>
      <c r="Q143" s="103">
        <f t="shared" si="40"/>
        <v>4.4543217082608102E-6</v>
      </c>
      <c r="R143" s="103">
        <f t="shared" si="40"/>
        <v>1.2573264120736754E-5</v>
      </c>
      <c r="S143" s="103">
        <f t="shared" si="40"/>
        <v>3.4345609163070163E-5</v>
      </c>
      <c r="T143" s="103">
        <f t="shared" si="40"/>
        <v>6.2605168101155393E-5</v>
      </c>
      <c r="U143" s="103">
        <f t="shared" si="40"/>
        <v>7.2585034392900769E-5</v>
      </c>
      <c r="V143" s="103">
        <f t="shared" si="40"/>
        <v>8.5373904742847356E-5</v>
      </c>
      <c r="W143" s="103">
        <f t="shared" si="42"/>
        <v>1.0882764737670593E-4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7.0017016048331396E-2</v>
      </c>
      <c r="C145" s="156">
        <f t="shared" si="40"/>
        <v>6.1073075953315244E-2</v>
      </c>
      <c r="D145" s="156">
        <f t="shared" si="40"/>
        <v>5.7167429339825944E-2</v>
      </c>
      <c r="E145" s="156">
        <f t="shared" si="40"/>
        <v>5.4606133403229798E-2</v>
      </c>
      <c r="F145" s="156">
        <f t="shared" si="40"/>
        <v>5.3150943832769582E-2</v>
      </c>
      <c r="G145" s="156">
        <f t="shared" si="40"/>
        <v>4.8136048514533784E-2</v>
      </c>
      <c r="H145" s="156">
        <f t="shared" si="40"/>
        <v>4.6107536315627466E-2</v>
      </c>
      <c r="I145" s="156">
        <f t="shared" si="40"/>
        <v>4.0656624726400116E-2</v>
      </c>
      <c r="J145" s="156">
        <f t="shared" si="40"/>
        <v>3.4453822765082111E-2</v>
      </c>
      <c r="K145" s="156">
        <f t="shared" si="40"/>
        <v>4.128015670543933E-2</v>
      </c>
      <c r="L145" s="156">
        <f t="shared" si="41"/>
        <v>3.9562614202451857E-2</v>
      </c>
      <c r="M145" s="156">
        <f t="shared" si="40"/>
        <v>3.8156036765100342E-2</v>
      </c>
      <c r="N145" s="156">
        <f t="shared" si="40"/>
        <v>3.7393689635894768E-2</v>
      </c>
      <c r="O145" s="156">
        <f t="shared" si="40"/>
        <v>4.017948465314216E-2</v>
      </c>
      <c r="P145" s="156">
        <f t="shared" si="40"/>
        <v>4.1683940967409058E-2</v>
      </c>
      <c r="Q145" s="156">
        <f t="shared" si="40"/>
        <v>4.3488725684498714E-2</v>
      </c>
      <c r="R145" s="156">
        <f t="shared" si="40"/>
        <v>4.0431315834476379E-2</v>
      </c>
      <c r="S145" s="156">
        <f t="shared" si="40"/>
        <v>4.0906613725315712E-2</v>
      </c>
      <c r="T145" s="156">
        <f t="shared" si="40"/>
        <v>3.9391872178815034E-2</v>
      </c>
      <c r="U145" s="156">
        <f t="shared" si="40"/>
        <v>4.0803689762866899E-2</v>
      </c>
      <c r="V145" s="156">
        <f t="shared" si="40"/>
        <v>3.083514212736722E-2</v>
      </c>
      <c r="W145" s="156">
        <f t="shared" si="42"/>
        <v>3.2161217439024607E-2</v>
      </c>
      <c r="DA145" s="213"/>
    </row>
    <row r="146" spans="1:105" ht="11.45" customHeight="1" x14ac:dyDescent="0.25">
      <c r="A146" s="157" t="s">
        <v>110</v>
      </c>
      <c r="B146" s="103">
        <f t="shared" si="40"/>
        <v>3.4164878928833305E-4</v>
      </c>
      <c r="C146" s="103">
        <f t="shared" si="40"/>
        <v>2.9280915569287628E-4</v>
      </c>
      <c r="D146" s="103">
        <f t="shared" si="40"/>
        <v>2.5556107761318927E-4</v>
      </c>
      <c r="E146" s="103">
        <f t="shared" si="40"/>
        <v>2.1742570235092231E-4</v>
      </c>
      <c r="F146" s="103">
        <f t="shared" si="40"/>
        <v>1.7714365818305598E-4</v>
      </c>
      <c r="G146" s="103">
        <f t="shared" si="40"/>
        <v>1.45914556279923E-4</v>
      </c>
      <c r="H146" s="103">
        <f t="shared" si="40"/>
        <v>1.2416081980885235E-4</v>
      </c>
      <c r="I146" s="103">
        <f t="shared" si="40"/>
        <v>9.4043923585335348E-5</v>
      </c>
      <c r="J146" s="103">
        <f t="shared" si="40"/>
        <v>6.283509394396291E-5</v>
      </c>
      <c r="K146" s="103">
        <f t="shared" si="40"/>
        <v>6.3245217140310502E-5</v>
      </c>
      <c r="L146" s="103">
        <f t="shared" si="41"/>
        <v>5.0628149924134119E-5</v>
      </c>
      <c r="M146" s="103">
        <f t="shared" si="40"/>
        <v>3.7541552893290272E-5</v>
      </c>
      <c r="N146" s="103">
        <f t="shared" si="40"/>
        <v>3.2134242384540032E-5</v>
      </c>
      <c r="O146" s="103">
        <f t="shared" si="40"/>
        <v>2.6026938133808357E-5</v>
      </c>
      <c r="P146" s="103">
        <f t="shared" si="40"/>
        <v>2.0731288893918575E-5</v>
      </c>
      <c r="Q146" s="103">
        <f t="shared" si="40"/>
        <v>1.5984705855579679E-5</v>
      </c>
      <c r="R146" s="103">
        <f t="shared" si="40"/>
        <v>1.4829124736788766E-5</v>
      </c>
      <c r="S146" s="103">
        <f t="shared" si="40"/>
        <v>1.3981339936209312E-5</v>
      </c>
      <c r="T146" s="103">
        <f t="shared" si="40"/>
        <v>1.3149082459855676E-5</v>
      </c>
      <c r="U146" s="103">
        <f t="shared" si="40"/>
        <v>1.3394248541466551E-5</v>
      </c>
      <c r="V146" s="103">
        <f t="shared" si="40"/>
        <v>1.2374755771492588E-5</v>
      </c>
      <c r="W146" s="103">
        <f t="shared" si="42"/>
        <v>1.0751513824577446E-5</v>
      </c>
      <c r="DA146" s="191"/>
    </row>
    <row r="147" spans="1:105" ht="11.45" customHeight="1" x14ac:dyDescent="0.25">
      <c r="A147" s="157" t="s">
        <v>111</v>
      </c>
      <c r="B147" s="103">
        <f t="shared" si="40"/>
        <v>6.9675367259043067E-2</v>
      </c>
      <c r="C147" s="103">
        <f t="shared" si="40"/>
        <v>6.078026679762237E-2</v>
      </c>
      <c r="D147" s="103">
        <f t="shared" si="40"/>
        <v>5.6911868262212756E-2</v>
      </c>
      <c r="E147" s="103">
        <f t="shared" si="40"/>
        <v>5.4388707700878877E-2</v>
      </c>
      <c r="F147" s="103">
        <f t="shared" si="40"/>
        <v>5.2973800174586527E-2</v>
      </c>
      <c r="G147" s="103">
        <f t="shared" si="40"/>
        <v>4.7990133958253862E-2</v>
      </c>
      <c r="H147" s="103">
        <f t="shared" si="40"/>
        <v>4.5983375495818615E-2</v>
      </c>
      <c r="I147" s="103">
        <f t="shared" si="40"/>
        <v>4.0562580802814781E-2</v>
      </c>
      <c r="J147" s="103">
        <f t="shared" si="40"/>
        <v>3.439098767113815E-2</v>
      </c>
      <c r="K147" s="103">
        <f t="shared" si="40"/>
        <v>4.1216911488299021E-2</v>
      </c>
      <c r="L147" s="103">
        <f t="shared" si="41"/>
        <v>3.9511986052527724E-2</v>
      </c>
      <c r="M147" s="103">
        <f t="shared" si="40"/>
        <v>3.8118495212207053E-2</v>
      </c>
      <c r="N147" s="103">
        <f t="shared" si="40"/>
        <v>3.7072400332144775E-2</v>
      </c>
      <c r="O147" s="103">
        <f t="shared" si="40"/>
        <v>3.9809370494127555E-2</v>
      </c>
      <c r="P147" s="103">
        <f t="shared" si="40"/>
        <v>4.1212334645021394E-2</v>
      </c>
      <c r="Q147" s="103">
        <f t="shared" si="40"/>
        <v>4.2621915945595557E-2</v>
      </c>
      <c r="R147" s="103">
        <f t="shared" ref="R147:V147" si="43">IF(R29=0,0,R29/R$17)</f>
        <v>3.9335612962094847E-2</v>
      </c>
      <c r="S147" s="103">
        <f t="shared" si="43"/>
        <v>3.9672968099452192E-2</v>
      </c>
      <c r="T147" s="103">
        <f t="shared" si="43"/>
        <v>3.8133068711484842E-2</v>
      </c>
      <c r="U147" s="103">
        <f t="shared" si="43"/>
        <v>3.9042252151247243E-2</v>
      </c>
      <c r="V147" s="103">
        <f t="shared" si="43"/>
        <v>2.9140534420028917E-2</v>
      </c>
      <c r="W147" s="103">
        <f t="shared" ref="W147" si="44">IF(W29=0,0,W29/W$17)</f>
        <v>3.018178506910478E-2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2.8915506136545257E-4</v>
      </c>
      <c r="O149" s="103">
        <f t="shared" si="50"/>
        <v>3.4408722088079296E-4</v>
      </c>
      <c r="P149" s="103">
        <f t="shared" si="50"/>
        <v>4.5087503349374261E-4</v>
      </c>
      <c r="Q149" s="103">
        <f t="shared" si="50"/>
        <v>8.5082503304757134E-4</v>
      </c>
      <c r="R149" s="103">
        <f t="shared" si="50"/>
        <v>1.080873747644748E-3</v>
      </c>
      <c r="S149" s="103">
        <f t="shared" si="50"/>
        <v>1.2196642859273116E-3</v>
      </c>
      <c r="T149" s="103">
        <f t="shared" si="50"/>
        <v>1.2456543848703362E-3</v>
      </c>
      <c r="U149" s="103">
        <f t="shared" si="50"/>
        <v>1.7480433630781853E-3</v>
      </c>
      <c r="V149" s="103">
        <f t="shared" si="50"/>
        <v>1.6822329515668094E-3</v>
      </c>
      <c r="W149" s="103">
        <f t="shared" ref="W149" si="51">IF(W31=0,0,W31/W$17)</f>
        <v>1.9686808560952507E-3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9.8631761499056614E-2</v>
      </c>
      <c r="C151" s="46">
        <f t="shared" si="55"/>
        <v>0.14131304432912317</v>
      </c>
      <c r="D151" s="46">
        <f t="shared" si="55"/>
        <v>0.14969826023704255</v>
      </c>
      <c r="E151" s="46">
        <f t="shared" si="55"/>
        <v>0.17571637800482828</v>
      </c>
      <c r="F151" s="46">
        <f t="shared" si="55"/>
        <v>0.23640179673718401</v>
      </c>
      <c r="G151" s="46">
        <f t="shared" si="55"/>
        <v>0.26297645335113989</v>
      </c>
      <c r="H151" s="46">
        <f t="shared" si="55"/>
        <v>0.27897088086734873</v>
      </c>
      <c r="I151" s="46">
        <f t="shared" si="55"/>
        <v>0.34573197319915761</v>
      </c>
      <c r="J151" s="46">
        <f t="shared" si="55"/>
        <v>0.40810394201196482</v>
      </c>
      <c r="K151" s="46">
        <f t="shared" si="55"/>
        <v>0.30954478646552691</v>
      </c>
      <c r="L151" s="46">
        <f t="shared" ref="L151" si="56">IF(L33=0,0,L33/L$17)</f>
        <v>0.32137790641072245</v>
      </c>
      <c r="M151" s="46">
        <f t="shared" ref="M151:V151" si="57">IF(M33=0,0,M33/M$17)</f>
        <v>0.35560478487007574</v>
      </c>
      <c r="N151" s="46">
        <f t="shared" si="57"/>
        <v>0.37887138617341665</v>
      </c>
      <c r="O151" s="46">
        <f t="shared" si="57"/>
        <v>0.36410317972507139</v>
      </c>
      <c r="P151" s="46">
        <f t="shared" si="57"/>
        <v>0.3626184548899648</v>
      </c>
      <c r="Q151" s="46">
        <f t="shared" si="57"/>
        <v>0.35130561591024756</v>
      </c>
      <c r="R151" s="46">
        <f t="shared" si="57"/>
        <v>0.38715079831304544</v>
      </c>
      <c r="S151" s="46">
        <f t="shared" si="57"/>
        <v>0.38469223720502554</v>
      </c>
      <c r="T151" s="46">
        <f t="shared" si="57"/>
        <v>0.37873943281857891</v>
      </c>
      <c r="U151" s="46">
        <f t="shared" si="57"/>
        <v>0.36165729004448632</v>
      </c>
      <c r="V151" s="46">
        <f t="shared" si="57"/>
        <v>0.34708962036158642</v>
      </c>
      <c r="W151" s="46">
        <f t="shared" ref="W151" si="58">IF(W33=0,0,W33/W$17)</f>
        <v>0.38183504086539372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3.5737650695239535E-2</v>
      </c>
      <c r="C152" s="154">
        <f t="shared" si="59"/>
        <v>3.5778463224700255E-2</v>
      </c>
      <c r="D152" s="154">
        <f t="shared" si="59"/>
        <v>3.738512815315688E-2</v>
      </c>
      <c r="E152" s="154">
        <f t="shared" si="59"/>
        <v>3.9854459932632397E-2</v>
      </c>
      <c r="F152" s="154">
        <f t="shared" si="59"/>
        <v>4.2888795012514615E-2</v>
      </c>
      <c r="G152" s="154">
        <f t="shared" si="59"/>
        <v>4.4216947525506194E-2</v>
      </c>
      <c r="H152" s="154">
        <f t="shared" si="59"/>
        <v>4.6051578131208401E-2</v>
      </c>
      <c r="I152" s="154">
        <f t="shared" si="59"/>
        <v>4.6406943018159369E-2</v>
      </c>
      <c r="J152" s="154">
        <f t="shared" si="59"/>
        <v>4.3545149340729991E-2</v>
      </c>
      <c r="K152" s="154">
        <f t="shared" si="59"/>
        <v>5.3776852872378773E-2</v>
      </c>
      <c r="L152" s="154">
        <f t="shared" ref="L152" si="60">IF(L34=0,0,L34/L$17)</f>
        <v>5.286202590441625E-2</v>
      </c>
      <c r="M152" s="154">
        <f t="shared" ref="M152:V152" si="61">IF(M34=0,0,M34/M$17)</f>
        <v>5.2481627737213522E-2</v>
      </c>
      <c r="N152" s="154">
        <f t="shared" si="61"/>
        <v>5.2368795437539979E-2</v>
      </c>
      <c r="O152" s="154">
        <f t="shared" si="61"/>
        <v>5.6327184430934089E-2</v>
      </c>
      <c r="P152" s="154">
        <f t="shared" si="61"/>
        <v>5.9868814223706761E-2</v>
      </c>
      <c r="Q152" s="154">
        <f t="shared" si="61"/>
        <v>6.3889566923170923E-2</v>
      </c>
      <c r="R152" s="154">
        <f t="shared" si="61"/>
        <v>6.3126583092002933E-2</v>
      </c>
      <c r="S152" s="154">
        <f t="shared" si="61"/>
        <v>6.4923566419616704E-2</v>
      </c>
      <c r="T152" s="154">
        <f t="shared" si="61"/>
        <v>6.7059194226292418E-2</v>
      </c>
      <c r="U152" s="154">
        <f t="shared" si="61"/>
        <v>7.207138809964371E-2</v>
      </c>
      <c r="V152" s="154">
        <f t="shared" si="61"/>
        <v>9.0901020792769668E-2</v>
      </c>
      <c r="W152" s="154">
        <f t="shared" ref="W152" si="62">IF(W34=0,0,W34/W$17)</f>
        <v>7.9551540358186235E-2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5.6242102087726946E-3</v>
      </c>
      <c r="C153" s="103">
        <f t="shared" si="63"/>
        <v>5.5790195254777006E-3</v>
      </c>
      <c r="D153" s="103">
        <f t="shared" si="63"/>
        <v>5.5848912690684774E-3</v>
      </c>
      <c r="E153" s="103">
        <f t="shared" si="63"/>
        <v>5.4833992954000559E-3</v>
      </c>
      <c r="F153" s="103">
        <f t="shared" si="63"/>
        <v>5.4212089842336272E-3</v>
      </c>
      <c r="G153" s="103">
        <f t="shared" si="63"/>
        <v>4.9420436451159209E-3</v>
      </c>
      <c r="H153" s="103">
        <f t="shared" si="63"/>
        <v>4.3433226162362167E-3</v>
      </c>
      <c r="I153" s="103">
        <f t="shared" si="63"/>
        <v>3.9318930132431736E-3</v>
      </c>
      <c r="J153" s="103">
        <f t="shared" si="63"/>
        <v>3.2274220667377986E-3</v>
      </c>
      <c r="K153" s="103">
        <f t="shared" si="63"/>
        <v>3.6111735464829826E-3</v>
      </c>
      <c r="L153" s="103">
        <f t="shared" ref="L153" si="64">IF(L35=0,0,L35/L$17)</f>
        <v>3.2502178902675178E-3</v>
      </c>
      <c r="M153" s="103">
        <f t="shared" ref="M153:V153" si="65">IF(M35=0,0,M35/M$17)</f>
        <v>2.891238542028004E-3</v>
      </c>
      <c r="N153" s="103">
        <f t="shared" si="65"/>
        <v>2.7143261231400537E-3</v>
      </c>
      <c r="O153" s="103">
        <f t="shared" si="65"/>
        <v>2.7163190802126113E-3</v>
      </c>
      <c r="P153" s="103">
        <f t="shared" si="65"/>
        <v>2.4262571493312412E-3</v>
      </c>
      <c r="Q153" s="103">
        <f t="shared" si="65"/>
        <v>2.3103754094629895E-3</v>
      </c>
      <c r="R153" s="103">
        <f t="shared" si="65"/>
        <v>2.0325546675072797E-3</v>
      </c>
      <c r="S153" s="103">
        <f t="shared" si="65"/>
        <v>1.9233858451943508E-3</v>
      </c>
      <c r="T153" s="103">
        <f t="shared" si="65"/>
        <v>1.9041238753072743E-3</v>
      </c>
      <c r="U153" s="103">
        <f t="shared" si="65"/>
        <v>1.9816017752474304E-3</v>
      </c>
      <c r="V153" s="103">
        <f t="shared" si="65"/>
        <v>2.3345612040730048E-3</v>
      </c>
      <c r="W153" s="103">
        <f t="shared" ref="W153" si="66">IF(W35=0,0,W35/W$17)</f>
        <v>2.0478104378296082E-3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3.0113440486466841E-2</v>
      </c>
      <c r="C154" s="103">
        <f t="shared" si="67"/>
        <v>3.0199443699222554E-2</v>
      </c>
      <c r="D154" s="103">
        <f t="shared" si="67"/>
        <v>3.1800236884088395E-2</v>
      </c>
      <c r="E154" s="103">
        <f t="shared" si="67"/>
        <v>3.4371060637232338E-2</v>
      </c>
      <c r="F154" s="103">
        <f t="shared" si="67"/>
        <v>3.7467586028280993E-2</v>
      </c>
      <c r="G154" s="103">
        <f t="shared" si="67"/>
        <v>3.9274903880390281E-2</v>
      </c>
      <c r="H154" s="103">
        <f t="shared" si="67"/>
        <v>4.1373786477723606E-2</v>
      </c>
      <c r="I154" s="103">
        <f t="shared" si="67"/>
        <v>4.2148683458699765E-2</v>
      </c>
      <c r="J154" s="103">
        <f t="shared" si="67"/>
        <v>3.992578879278013E-2</v>
      </c>
      <c r="K154" s="103">
        <f t="shared" si="67"/>
        <v>4.9978818264685497E-2</v>
      </c>
      <c r="L154" s="103">
        <f t="shared" ref="L154" si="68">IF(L36=0,0,L36/L$17)</f>
        <v>4.9542074732969198E-2</v>
      </c>
      <c r="M154" s="103">
        <f t="shared" ref="M154:V154" si="69">IF(M36=0,0,M36/M$17)</f>
        <v>4.9530151400499524E-2</v>
      </c>
      <c r="N154" s="103">
        <f t="shared" si="69"/>
        <v>4.9596999818615525E-2</v>
      </c>
      <c r="O154" s="103">
        <f t="shared" si="69"/>
        <v>5.3552180582935267E-2</v>
      </c>
      <c r="P154" s="103">
        <f t="shared" si="69"/>
        <v>5.7118032687548025E-2</v>
      </c>
      <c r="Q154" s="103">
        <f t="shared" si="69"/>
        <v>6.1165001736338778E-2</v>
      </c>
      <c r="R154" s="103">
        <f t="shared" si="69"/>
        <v>6.0717404209748069E-2</v>
      </c>
      <c r="S154" s="103">
        <f t="shared" si="69"/>
        <v>6.2647697651581166E-2</v>
      </c>
      <c r="T154" s="103">
        <f t="shared" si="69"/>
        <v>6.4823810062059353E-2</v>
      </c>
      <c r="U154" s="103">
        <f t="shared" si="69"/>
        <v>6.9727462059488141E-2</v>
      </c>
      <c r="V154" s="103">
        <f t="shared" si="69"/>
        <v>8.8127015409575446E-2</v>
      </c>
      <c r="W154" s="103">
        <f t="shared" ref="W154" si="70">IF(W36=0,0,W36/W$17)</f>
        <v>7.701795663437129E-2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3.3446903724857776E-4</v>
      </c>
      <c r="I155" s="103">
        <f t="shared" si="71"/>
        <v>3.2636654621642579E-4</v>
      </c>
      <c r="J155" s="103">
        <f t="shared" si="71"/>
        <v>3.9193848121206806E-4</v>
      </c>
      <c r="K155" s="103">
        <f t="shared" si="71"/>
        <v>1.868610612102921E-4</v>
      </c>
      <c r="L155" s="103">
        <f t="shared" ref="L155" si="72">IF(L37=0,0,L37/L$17)</f>
        <v>6.9733281179535999E-5</v>
      </c>
      <c r="M155" s="103">
        <f t="shared" ref="M155:V155" si="73">IF(M37=0,0,M37/M$17)</f>
        <v>6.0237794685985677E-5</v>
      </c>
      <c r="N155" s="103">
        <f t="shared" si="73"/>
        <v>5.746949578439571E-5</v>
      </c>
      <c r="O155" s="103">
        <f t="shared" si="73"/>
        <v>5.8684767786201E-5</v>
      </c>
      <c r="P155" s="103">
        <f t="shared" si="73"/>
        <v>3.095601111001361E-4</v>
      </c>
      <c r="Q155" s="103">
        <f t="shared" si="73"/>
        <v>3.7091503477658302E-4</v>
      </c>
      <c r="R155" s="103">
        <f t="shared" si="73"/>
        <v>3.40322432433029E-4</v>
      </c>
      <c r="S155" s="103">
        <f t="shared" si="73"/>
        <v>3.1989737490926886E-4</v>
      </c>
      <c r="T155" s="103">
        <f t="shared" si="73"/>
        <v>2.9950357416630061E-4</v>
      </c>
      <c r="U155" s="103">
        <f t="shared" si="73"/>
        <v>3.1897353880362759E-4</v>
      </c>
      <c r="V155" s="103">
        <f t="shared" si="73"/>
        <v>3.8512561718927608E-4</v>
      </c>
      <c r="W155" s="103">
        <f t="shared" ref="W155" si="74">IF(W37=0,0,W37/W$17)</f>
        <v>4.3704163737226677E-4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1.4964275727349801E-5</v>
      </c>
      <c r="Q156" s="103">
        <f t="shared" si="77"/>
        <v>4.3274742592567583E-5</v>
      </c>
      <c r="R156" s="103">
        <f t="shared" si="77"/>
        <v>3.6301782314552972E-5</v>
      </c>
      <c r="S156" s="103">
        <f t="shared" si="77"/>
        <v>3.2585547931917511E-5</v>
      </c>
      <c r="T156" s="103">
        <f t="shared" si="77"/>
        <v>3.1756714759497796E-5</v>
      </c>
      <c r="U156" s="103">
        <f t="shared" si="77"/>
        <v>4.3350726104515439E-5</v>
      </c>
      <c r="V156" s="103">
        <f t="shared" si="77"/>
        <v>5.4318561931939976E-5</v>
      </c>
      <c r="W156" s="103">
        <f t="shared" ref="W156" si="78">IF(W38=0,0,W38/W$17)</f>
        <v>4.8731648613064176E-5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6.2894110803817085E-2</v>
      </c>
      <c r="C158" s="156">
        <f t="shared" si="83"/>
        <v>0.10553458110442293</v>
      </c>
      <c r="D158" s="156">
        <f t="shared" si="83"/>
        <v>0.11231313208388569</v>
      </c>
      <c r="E158" s="156">
        <f t="shared" si="83"/>
        <v>0.13586191807219589</v>
      </c>
      <c r="F158" s="156">
        <f t="shared" si="83"/>
        <v>0.1935130017246694</v>
      </c>
      <c r="G158" s="156">
        <f t="shared" si="83"/>
        <v>0.21875950582563367</v>
      </c>
      <c r="H158" s="156">
        <f t="shared" si="83"/>
        <v>0.23291930273614031</v>
      </c>
      <c r="I158" s="156">
        <f t="shared" si="83"/>
        <v>0.29932503018099821</v>
      </c>
      <c r="J158" s="156">
        <f t="shared" si="83"/>
        <v>0.36455879267123475</v>
      </c>
      <c r="K158" s="156">
        <f t="shared" si="83"/>
        <v>0.25576793359314814</v>
      </c>
      <c r="L158" s="156">
        <f t="shared" ref="L158" si="84">IF(L40=0,0,L40/L$17)</f>
        <v>0.2685158805063062</v>
      </c>
      <c r="M158" s="156">
        <f t="shared" ref="M158:V158" si="85">IF(M40=0,0,M40/M$17)</f>
        <v>0.3031231571328622</v>
      </c>
      <c r="N158" s="156">
        <f t="shared" si="85"/>
        <v>0.32650259073587673</v>
      </c>
      <c r="O158" s="156">
        <f t="shared" si="85"/>
        <v>0.30777599529413729</v>
      </c>
      <c r="P158" s="156">
        <f t="shared" si="85"/>
        <v>0.30274964066625804</v>
      </c>
      <c r="Q158" s="156">
        <f t="shared" si="85"/>
        <v>0.28741604898707662</v>
      </c>
      <c r="R158" s="156">
        <f t="shared" si="85"/>
        <v>0.32402421522104252</v>
      </c>
      <c r="S158" s="156">
        <f t="shared" si="85"/>
        <v>0.31976867078540877</v>
      </c>
      <c r="T158" s="156">
        <f t="shared" si="85"/>
        <v>0.3116802385922865</v>
      </c>
      <c r="U158" s="156">
        <f t="shared" si="85"/>
        <v>0.28958590194484257</v>
      </c>
      <c r="V158" s="156">
        <f t="shared" si="85"/>
        <v>0.25618859956881673</v>
      </c>
      <c r="W158" s="156">
        <f t="shared" ref="W158" si="86">IF(W40=0,0,W40/W$17)</f>
        <v>0.30228350050720748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5.9660844961772451E-2</v>
      </c>
      <c r="C159" s="103">
        <f t="shared" si="87"/>
        <v>6.0434523454418139E-2</v>
      </c>
      <c r="D159" s="103">
        <f t="shared" si="87"/>
        <v>6.8626924916982801E-2</v>
      </c>
      <c r="E159" s="103">
        <f t="shared" si="87"/>
        <v>7.3968627828851663E-2</v>
      </c>
      <c r="F159" s="103">
        <f t="shared" si="87"/>
        <v>9.4693154166309301E-2</v>
      </c>
      <c r="G159" s="103">
        <f t="shared" si="87"/>
        <v>9.3932521796625312E-2</v>
      </c>
      <c r="H159" s="103">
        <f t="shared" si="87"/>
        <v>8.3904115542587365E-2</v>
      </c>
      <c r="I159" s="103">
        <f t="shared" si="87"/>
        <v>8.4893752322843644E-2</v>
      </c>
      <c r="J159" s="103">
        <f t="shared" si="87"/>
        <v>7.9540238356491003E-2</v>
      </c>
      <c r="K159" s="103">
        <f t="shared" si="87"/>
        <v>7.3064876588251393E-2</v>
      </c>
      <c r="L159" s="103">
        <f t="shared" ref="L159" si="88">IF(L41=0,0,L41/L$17)</f>
        <v>7.3357887895802651E-2</v>
      </c>
      <c r="M159" s="103">
        <f t="shared" ref="M159:V159" si="89">IF(M41=0,0,M41/M$17)</f>
        <v>6.836231985444699E-2</v>
      </c>
      <c r="N159" s="103">
        <f t="shared" si="89"/>
        <v>6.2751898727356328E-2</v>
      </c>
      <c r="O159" s="103">
        <f t="shared" si="89"/>
        <v>6.0567042637378082E-2</v>
      </c>
      <c r="P159" s="103">
        <f t="shared" si="89"/>
        <v>6.507485633821411E-2</v>
      </c>
      <c r="Q159" s="103">
        <f t="shared" si="89"/>
        <v>6.1863240007943736E-2</v>
      </c>
      <c r="R159" s="103">
        <f t="shared" si="89"/>
        <v>6.0366146900346439E-2</v>
      </c>
      <c r="S159" s="103">
        <f t="shared" si="89"/>
        <v>6.1730959678346388E-2</v>
      </c>
      <c r="T159" s="103">
        <f t="shared" si="89"/>
        <v>5.7282062666783325E-2</v>
      </c>
      <c r="U159" s="103">
        <f t="shared" si="89"/>
        <v>5.8477074328908259E-2</v>
      </c>
      <c r="V159" s="103">
        <f t="shared" si="89"/>
        <v>6.4569008388132954E-2</v>
      </c>
      <c r="W159" s="103">
        <f t="shared" ref="W159" si="90">IF(W41=0,0,W41/W$17)</f>
        <v>6.5207717015901209E-2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3.2332658420446336E-3</v>
      </c>
      <c r="C160" s="105">
        <f t="shared" si="91"/>
        <v>4.5100057650004785E-2</v>
      </c>
      <c r="D160" s="105">
        <f t="shared" si="91"/>
        <v>4.3686207166902885E-2</v>
      </c>
      <c r="E160" s="105">
        <f t="shared" si="91"/>
        <v>6.1893290243344223E-2</v>
      </c>
      <c r="F160" s="105">
        <f t="shared" si="91"/>
        <v>9.881984755836011E-2</v>
      </c>
      <c r="G160" s="105">
        <f t="shared" si="91"/>
        <v>0.12482698402900835</v>
      </c>
      <c r="H160" s="105">
        <f t="shared" si="91"/>
        <v>0.14901518719355294</v>
      </c>
      <c r="I160" s="105">
        <f t="shared" si="91"/>
        <v>0.21443127785815458</v>
      </c>
      <c r="J160" s="105">
        <f t="shared" si="91"/>
        <v>0.28501855431474382</v>
      </c>
      <c r="K160" s="105">
        <f t="shared" si="91"/>
        <v>0.18270305700489675</v>
      </c>
      <c r="L160" s="105">
        <f t="shared" ref="L160" si="92">IF(L42=0,0,L42/L$17)</f>
        <v>0.19515799261050354</v>
      </c>
      <c r="M160" s="105">
        <f t="shared" ref="M160:V160" si="93">IF(M42=0,0,M42/M$17)</f>
        <v>0.23476083727841521</v>
      </c>
      <c r="N160" s="105">
        <f t="shared" si="93"/>
        <v>0.26375069200852036</v>
      </c>
      <c r="O160" s="105">
        <f t="shared" si="93"/>
        <v>0.24720895265675918</v>
      </c>
      <c r="P160" s="105">
        <f t="shared" si="93"/>
        <v>0.2376747843280439</v>
      </c>
      <c r="Q160" s="105">
        <f t="shared" si="93"/>
        <v>0.22555280897913291</v>
      </c>
      <c r="R160" s="105">
        <f t="shared" si="93"/>
        <v>0.2636580683206961</v>
      </c>
      <c r="S160" s="105">
        <f t="shared" si="93"/>
        <v>0.25803771110706236</v>
      </c>
      <c r="T160" s="105">
        <f t="shared" si="93"/>
        <v>0.25439817592550318</v>
      </c>
      <c r="U160" s="105">
        <f t="shared" si="93"/>
        <v>0.23110882761593435</v>
      </c>
      <c r="V160" s="105">
        <f t="shared" si="93"/>
        <v>0.19161959118068378</v>
      </c>
      <c r="W160" s="105">
        <f t="shared" ref="W160" si="94">IF(W42=0,0,W42/W$17)</f>
        <v>0.23707578349130629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1016810</v>
      </c>
      <c r="C3" s="54">
        <f>TrRoad_act!C57</f>
        <v>1034777</v>
      </c>
      <c r="D3" s="54">
        <f>TrRoad_act!D57</f>
        <v>1067281</v>
      </c>
      <c r="E3" s="54">
        <f>TrRoad_act!E57</f>
        <v>1063325</v>
      </c>
      <c r="F3" s="54">
        <f>TrRoad_act!F57</f>
        <v>1070993</v>
      </c>
      <c r="G3" s="54">
        <f>TrRoad_act!G57</f>
        <v>1124116</v>
      </c>
      <c r="H3" s="54">
        <f>TrRoad_act!H57</f>
        <v>1152437</v>
      </c>
      <c r="I3" s="54">
        <f>TrRoad_act!I57</f>
        <v>1180081</v>
      </c>
      <c r="J3" s="54">
        <f>TrRoad_act!J57</f>
        <v>1206225</v>
      </c>
      <c r="K3" s="54">
        <f>TrRoad_act!K57</f>
        <v>1226345</v>
      </c>
      <c r="L3" s="54">
        <f>TrRoad_act!L57</f>
        <v>1230718</v>
      </c>
      <c r="M3" s="54">
        <f>TrRoad_act!M57</f>
        <v>1237393</v>
      </c>
      <c r="N3" s="54">
        <f>TrRoad_act!N57</f>
        <v>1238227</v>
      </c>
      <c r="O3" s="54">
        <f>TrRoad_act!O57</f>
        <v>1239382</v>
      </c>
      <c r="P3" s="54">
        <f>TrRoad_act!P57</f>
        <v>1245930</v>
      </c>
      <c r="Q3" s="54">
        <f>TrRoad_act!Q57</f>
        <v>1264282</v>
      </c>
      <c r="R3" s="54">
        <f>TrRoad_act!R57</f>
        <v>1291360</v>
      </c>
      <c r="S3" s="54">
        <f>TrRoad_act!S57</f>
        <v>1339731</v>
      </c>
      <c r="T3" s="54">
        <f>TrRoad_act!T57</f>
        <v>1376782</v>
      </c>
      <c r="U3" s="54">
        <f>TrRoad_act!U57</f>
        <v>1408073</v>
      </c>
      <c r="V3" s="54">
        <f>TrRoad_act!V57</f>
        <v>1420471</v>
      </c>
      <c r="W3" s="54">
        <f>TrRoad_act!W57</f>
        <v>1444264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962418</v>
      </c>
      <c r="C4" s="28">
        <f>TrRoad_act!C58</f>
        <v>980134</v>
      </c>
      <c r="D4" s="28">
        <f>TrRoad_act!D58</f>
        <v>1010665</v>
      </c>
      <c r="E4" s="28">
        <f>TrRoad_act!E58</f>
        <v>1005310</v>
      </c>
      <c r="F4" s="28">
        <f>TrRoad_act!F58</f>
        <v>1010240</v>
      </c>
      <c r="G4" s="28">
        <f>TrRoad_act!G58</f>
        <v>1061530</v>
      </c>
      <c r="H4" s="28">
        <f>TrRoad_act!H58</f>
        <v>1086074</v>
      </c>
      <c r="I4" s="28">
        <f>TrRoad_act!I58</f>
        <v>1107427</v>
      </c>
      <c r="J4" s="28">
        <f>TrRoad_act!J58</f>
        <v>1129158</v>
      </c>
      <c r="K4" s="28">
        <f>TrRoad_act!K58</f>
        <v>1149292</v>
      </c>
      <c r="L4" s="28">
        <f>TrRoad_act!L58</f>
        <v>1154669</v>
      </c>
      <c r="M4" s="28">
        <f>TrRoad_act!M58</f>
        <v>1160709</v>
      </c>
      <c r="N4" s="28">
        <f>TrRoad_act!N58</f>
        <v>1161149</v>
      </c>
      <c r="O4" s="28">
        <f>TrRoad_act!O58</f>
        <v>1161858</v>
      </c>
      <c r="P4" s="28">
        <f>TrRoad_act!P58</f>
        <v>1166324</v>
      </c>
      <c r="Q4" s="28">
        <f>TrRoad_act!Q58</f>
        <v>1181208</v>
      </c>
      <c r="R4" s="28">
        <f>TrRoad_act!R58</f>
        <v>1202494</v>
      </c>
      <c r="S4" s="28">
        <f>TrRoad_act!S58</f>
        <v>1245452</v>
      </c>
      <c r="T4" s="28">
        <f>TrRoad_act!T58</f>
        <v>1276526</v>
      </c>
      <c r="U4" s="28">
        <f>TrRoad_act!U58</f>
        <v>1303642</v>
      </c>
      <c r="V4" s="28">
        <f>TrRoad_act!V58</f>
        <v>1312936</v>
      </c>
      <c r="W4" s="28">
        <f>TrRoad_act!W58</f>
        <v>1337103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41559</v>
      </c>
      <c r="C5" s="137">
        <f>TrRoad_act!C59</f>
        <v>42317</v>
      </c>
      <c r="D5" s="137">
        <f>TrRoad_act!D59</f>
        <v>43265</v>
      </c>
      <c r="E5" s="137">
        <f>TrRoad_act!E59</f>
        <v>44516</v>
      </c>
      <c r="F5" s="137">
        <f>TrRoad_act!F59</f>
        <v>46367</v>
      </c>
      <c r="G5" s="137">
        <f>TrRoad_act!G59</f>
        <v>48671</v>
      </c>
      <c r="H5" s="137">
        <f>TrRoad_act!H59</f>
        <v>53193</v>
      </c>
      <c r="I5" s="137">
        <f>TrRoad_act!I59</f>
        <v>71493</v>
      </c>
      <c r="J5" s="137">
        <f>TrRoad_act!J59</f>
        <v>81996</v>
      </c>
      <c r="K5" s="137">
        <f>TrRoad_act!K59</f>
        <v>88428</v>
      </c>
      <c r="L5" s="137">
        <f>TrRoad_act!L59</f>
        <v>91008</v>
      </c>
      <c r="M5" s="137">
        <f>TrRoad_act!M59</f>
        <v>92183</v>
      </c>
      <c r="N5" s="137">
        <f>TrRoad_act!N59</f>
        <v>93100</v>
      </c>
      <c r="O5" s="137">
        <f>TrRoad_act!O59</f>
        <v>92986</v>
      </c>
      <c r="P5" s="137">
        <f>TrRoad_act!P59</f>
        <v>95796</v>
      </c>
      <c r="Q5" s="137">
        <f>TrRoad_act!Q59</f>
        <v>100216</v>
      </c>
      <c r="R5" s="137">
        <f>TrRoad_act!R59</f>
        <v>103684</v>
      </c>
      <c r="S5" s="137">
        <f>TrRoad_act!S59</f>
        <v>125127</v>
      </c>
      <c r="T5" s="137">
        <f>TrRoad_act!T59</f>
        <v>130935</v>
      </c>
      <c r="U5" s="137">
        <f>TrRoad_act!U59</f>
        <v>135780</v>
      </c>
      <c r="V5" s="137">
        <f>TrRoad_act!V59</f>
        <v>140316</v>
      </c>
      <c r="W5" s="137">
        <f>TrRoad_act!W59</f>
        <v>145417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919000</v>
      </c>
      <c r="C6" s="110">
        <f>TrRoad_act!C60</f>
        <v>936000</v>
      </c>
      <c r="D6" s="110">
        <f>TrRoad_act!D60</f>
        <v>965600</v>
      </c>
      <c r="E6" s="110">
        <f>TrRoad_act!E60</f>
        <v>959000</v>
      </c>
      <c r="F6" s="110">
        <f>TrRoad_act!F60</f>
        <v>962000</v>
      </c>
      <c r="G6" s="110">
        <f>TrRoad_act!G60</f>
        <v>1011000</v>
      </c>
      <c r="H6" s="110">
        <f>TrRoad_act!H60</f>
        <v>1031000</v>
      </c>
      <c r="I6" s="110">
        <f>TrRoad_act!I60</f>
        <v>1034000</v>
      </c>
      <c r="J6" s="110">
        <f>TrRoad_act!J60</f>
        <v>1045180</v>
      </c>
      <c r="K6" s="110">
        <f>TrRoad_act!K60</f>
        <v>1058858</v>
      </c>
      <c r="L6" s="110">
        <f>TrRoad_act!L60</f>
        <v>1061650</v>
      </c>
      <c r="M6" s="110">
        <f>TrRoad_act!M60</f>
        <v>1066500</v>
      </c>
      <c r="N6" s="110">
        <f>TrRoad_act!N60</f>
        <v>1066030</v>
      </c>
      <c r="O6" s="110">
        <f>TrRoad_act!O60</f>
        <v>1066795</v>
      </c>
      <c r="P6" s="110">
        <f>TrRoad_act!P60</f>
        <v>1068362</v>
      </c>
      <c r="Q6" s="110">
        <f>TrRoad_act!Q60</f>
        <v>1078737</v>
      </c>
      <c r="R6" s="110">
        <f>TrRoad_act!R60</f>
        <v>1096523</v>
      </c>
      <c r="S6" s="110">
        <f>TrRoad_act!S60</f>
        <v>1117935</v>
      </c>
      <c r="T6" s="110">
        <f>TrRoad_act!T60</f>
        <v>1143150</v>
      </c>
      <c r="U6" s="110">
        <f>TrRoad_act!U60</f>
        <v>1165371</v>
      </c>
      <c r="V6" s="110">
        <f>TrRoad_act!V60</f>
        <v>1170690</v>
      </c>
      <c r="W6" s="110">
        <f>TrRoad_act!W60</f>
        <v>1189457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805000</v>
      </c>
      <c r="C7" s="84">
        <f>TrRoad_act!C61</f>
        <v>813890</v>
      </c>
      <c r="D7" s="84">
        <f>TrRoad_act!D61</f>
        <v>798289</v>
      </c>
      <c r="E7" s="84">
        <f>TrRoad_act!E61</f>
        <v>795000</v>
      </c>
      <c r="F7" s="84">
        <f>TrRoad_act!F61</f>
        <v>769799</v>
      </c>
      <c r="G7" s="84">
        <f>TrRoad_act!G61</f>
        <v>780572</v>
      </c>
      <c r="H7" s="84">
        <f>TrRoad_act!H61</f>
        <v>768137</v>
      </c>
      <c r="I7" s="84">
        <f>TrRoad_act!I61</f>
        <v>744826</v>
      </c>
      <c r="J7" s="84">
        <f>TrRoad_act!J61</f>
        <v>726218</v>
      </c>
      <c r="K7" s="84">
        <f>TrRoad_act!K61</f>
        <v>711775</v>
      </c>
      <c r="L7" s="84">
        <f>TrRoad_act!L61</f>
        <v>690542</v>
      </c>
      <c r="M7" s="84">
        <f>TrRoad_act!M61</f>
        <v>673777</v>
      </c>
      <c r="N7" s="84">
        <f>TrRoad_act!N61</f>
        <v>650531</v>
      </c>
      <c r="O7" s="84">
        <f>TrRoad_act!O61</f>
        <v>629603</v>
      </c>
      <c r="P7" s="84">
        <f>TrRoad_act!P61</f>
        <v>609566</v>
      </c>
      <c r="Q7" s="84">
        <f>TrRoad_act!Q61</f>
        <v>596305</v>
      </c>
      <c r="R7" s="84">
        <f>TrRoad_act!R61</f>
        <v>585720</v>
      </c>
      <c r="S7" s="84">
        <f>TrRoad_act!S61</f>
        <v>577849</v>
      </c>
      <c r="T7" s="84">
        <f>TrRoad_act!T61</f>
        <v>575399</v>
      </c>
      <c r="U7" s="84">
        <f>TrRoad_act!U61</f>
        <v>574208</v>
      </c>
      <c r="V7" s="84">
        <f>TrRoad_act!V61</f>
        <v>566496</v>
      </c>
      <c r="W7" s="84">
        <f>TrRoad_act!W61</f>
        <v>569766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114000</v>
      </c>
      <c r="C8" s="84">
        <f>TrRoad_act!C62</f>
        <v>122110</v>
      </c>
      <c r="D8" s="84">
        <f>TrRoad_act!D62</f>
        <v>167311</v>
      </c>
      <c r="E8" s="84">
        <f>TrRoad_act!E62</f>
        <v>164000</v>
      </c>
      <c r="F8" s="84">
        <f>TrRoad_act!F62</f>
        <v>192201</v>
      </c>
      <c r="G8" s="84">
        <f>TrRoad_act!G62</f>
        <v>230428</v>
      </c>
      <c r="H8" s="84">
        <f>TrRoad_act!H62</f>
        <v>262363</v>
      </c>
      <c r="I8" s="84">
        <f>TrRoad_act!I62</f>
        <v>288000</v>
      </c>
      <c r="J8" s="84">
        <f>TrRoad_act!J62</f>
        <v>317960</v>
      </c>
      <c r="K8" s="84">
        <f>TrRoad_act!K62</f>
        <v>344176</v>
      </c>
      <c r="L8" s="84">
        <f>TrRoad_act!L62</f>
        <v>367500</v>
      </c>
      <c r="M8" s="84">
        <f>TrRoad_act!M62</f>
        <v>388560</v>
      </c>
      <c r="N8" s="84">
        <f>TrRoad_act!N62</f>
        <v>410020</v>
      </c>
      <c r="O8" s="84">
        <f>TrRoad_act!O62</f>
        <v>429303</v>
      </c>
      <c r="P8" s="84">
        <f>TrRoad_act!P62</f>
        <v>450422</v>
      </c>
      <c r="Q8" s="84">
        <f>TrRoad_act!Q62</f>
        <v>473666</v>
      </c>
      <c r="R8" s="84">
        <f>TrRoad_act!R62</f>
        <v>500660</v>
      </c>
      <c r="S8" s="84">
        <f>TrRoad_act!S62</f>
        <v>528811</v>
      </c>
      <c r="T8" s="84">
        <f>TrRoad_act!T62</f>
        <v>555502</v>
      </c>
      <c r="U8" s="84">
        <f>TrRoad_act!U62</f>
        <v>577776</v>
      </c>
      <c r="V8" s="84">
        <f>TrRoad_act!V62</f>
        <v>588707</v>
      </c>
      <c r="W8" s="84">
        <f>TrRoad_act!W62</f>
        <v>601946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500</v>
      </c>
      <c r="I9" s="84">
        <f>TrRoad_act!I63</f>
        <v>1174</v>
      </c>
      <c r="J9" s="84">
        <f>TrRoad_act!J63</f>
        <v>1002</v>
      </c>
      <c r="K9" s="84">
        <f>TrRoad_act!K63</f>
        <v>2907</v>
      </c>
      <c r="L9" s="84">
        <f>TrRoad_act!L63</f>
        <v>3608</v>
      </c>
      <c r="M9" s="84">
        <f>TrRoad_act!M63</f>
        <v>4151</v>
      </c>
      <c r="N9" s="84">
        <f>TrRoad_act!N63</f>
        <v>5444</v>
      </c>
      <c r="O9" s="84">
        <f>TrRoad_act!O63</f>
        <v>7816</v>
      </c>
      <c r="P9" s="84">
        <f>TrRoad_act!P63</f>
        <v>8147</v>
      </c>
      <c r="Q9" s="84">
        <f>TrRoad_act!Q63</f>
        <v>8380</v>
      </c>
      <c r="R9" s="84">
        <f>TrRoad_act!R63</f>
        <v>9468</v>
      </c>
      <c r="S9" s="84">
        <f>TrRoad_act!S63</f>
        <v>9999</v>
      </c>
      <c r="T9" s="84">
        <f>TrRoad_act!T63</f>
        <v>10246</v>
      </c>
      <c r="U9" s="84">
        <f>TrRoad_act!U63</f>
        <v>10500</v>
      </c>
      <c r="V9" s="84">
        <f>TrRoad_act!V63</f>
        <v>10800</v>
      </c>
      <c r="W9" s="84">
        <f>TrRoad_act!W63</f>
        <v>11083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5</v>
      </c>
      <c r="O10" s="84">
        <f>TrRoad_act!O64</f>
        <v>26</v>
      </c>
      <c r="P10" s="84">
        <f>TrRoad_act!P64</f>
        <v>120</v>
      </c>
      <c r="Q10" s="84">
        <f>TrRoad_act!Q64</f>
        <v>122</v>
      </c>
      <c r="R10" s="84">
        <f>TrRoad_act!R64</f>
        <v>163</v>
      </c>
      <c r="S10" s="84">
        <f>TrRoad_act!S64</f>
        <v>225</v>
      </c>
      <c r="T10" s="84">
        <f>TrRoad_act!T64</f>
        <v>244</v>
      </c>
      <c r="U10" s="84">
        <f>TrRoad_act!U64</f>
        <v>230</v>
      </c>
      <c r="V10" s="84">
        <f>TrRoad_act!V64</f>
        <v>230</v>
      </c>
      <c r="W10" s="84">
        <f>TrRoad_act!W64</f>
        <v>230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13</v>
      </c>
      <c r="P11" s="84">
        <f>TrRoad_act!P65</f>
        <v>20</v>
      </c>
      <c r="Q11" s="84">
        <f>TrRoad_act!Q65</f>
        <v>55</v>
      </c>
      <c r="R11" s="84">
        <f>TrRoad_act!R65</f>
        <v>140</v>
      </c>
      <c r="S11" s="84">
        <f>TrRoad_act!S65</f>
        <v>329</v>
      </c>
      <c r="T11" s="84">
        <f>TrRoad_act!T65</f>
        <v>580</v>
      </c>
      <c r="U11" s="84">
        <f>TrRoad_act!U65</f>
        <v>659</v>
      </c>
      <c r="V11" s="84">
        <f>TrRoad_act!V65</f>
        <v>792</v>
      </c>
      <c r="W11" s="84">
        <f>TrRoad_act!W65</f>
        <v>1088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12</v>
      </c>
      <c r="N12" s="84">
        <f>TrRoad_act!N66</f>
        <v>30</v>
      </c>
      <c r="O12" s="84">
        <f>TrRoad_act!O66</f>
        <v>34</v>
      </c>
      <c r="P12" s="84">
        <f>TrRoad_act!P66</f>
        <v>87</v>
      </c>
      <c r="Q12" s="84">
        <f>TrRoad_act!Q66</f>
        <v>209</v>
      </c>
      <c r="R12" s="84">
        <f>TrRoad_act!R66</f>
        <v>372</v>
      </c>
      <c r="S12" s="84">
        <f>TrRoad_act!S66</f>
        <v>722</v>
      </c>
      <c r="T12" s="84">
        <f>TrRoad_act!T66</f>
        <v>1179</v>
      </c>
      <c r="U12" s="84">
        <f>TrRoad_act!U66</f>
        <v>1998</v>
      </c>
      <c r="V12" s="84">
        <f>TrRoad_act!V66</f>
        <v>3665</v>
      </c>
      <c r="W12" s="84">
        <f>TrRoad_act!W66</f>
        <v>5344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1859</v>
      </c>
      <c r="C13" s="110">
        <f>TrRoad_act!C67</f>
        <v>1817</v>
      </c>
      <c r="D13" s="110">
        <f>TrRoad_act!D67</f>
        <v>1800</v>
      </c>
      <c r="E13" s="110">
        <f>TrRoad_act!E67</f>
        <v>1794</v>
      </c>
      <c r="F13" s="110">
        <f>TrRoad_act!F67</f>
        <v>1873</v>
      </c>
      <c r="G13" s="110">
        <f>TrRoad_act!G67</f>
        <v>1859</v>
      </c>
      <c r="H13" s="110">
        <f>TrRoad_act!H67</f>
        <v>1881</v>
      </c>
      <c r="I13" s="110">
        <f>TrRoad_act!I67</f>
        <v>1934</v>
      </c>
      <c r="J13" s="110">
        <f>TrRoad_act!J67</f>
        <v>1982</v>
      </c>
      <c r="K13" s="110">
        <f>TrRoad_act!K67</f>
        <v>2006</v>
      </c>
      <c r="L13" s="110">
        <f>TrRoad_act!L67</f>
        <v>2011</v>
      </c>
      <c r="M13" s="110">
        <f>TrRoad_act!M67</f>
        <v>2026</v>
      </c>
      <c r="N13" s="110">
        <f>TrRoad_act!N67</f>
        <v>2019</v>
      </c>
      <c r="O13" s="110">
        <f>TrRoad_act!O67</f>
        <v>2077</v>
      </c>
      <c r="P13" s="110">
        <f>TrRoad_act!P67</f>
        <v>2166</v>
      </c>
      <c r="Q13" s="110">
        <f>TrRoad_act!Q67</f>
        <v>2255</v>
      </c>
      <c r="R13" s="110">
        <f>TrRoad_act!R67</f>
        <v>2287</v>
      </c>
      <c r="S13" s="110">
        <f>TrRoad_act!S67</f>
        <v>2390</v>
      </c>
      <c r="T13" s="110">
        <f>TrRoad_act!T67</f>
        <v>2441</v>
      </c>
      <c r="U13" s="110">
        <f>TrRoad_act!U67</f>
        <v>2491</v>
      </c>
      <c r="V13" s="110">
        <f>TrRoad_act!V67</f>
        <v>1930</v>
      </c>
      <c r="W13" s="110">
        <f>TrRoad_act!W67</f>
        <v>2229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34</v>
      </c>
      <c r="C14" s="102">
        <f>TrRoad_act!C68</f>
        <v>32</v>
      </c>
      <c r="D14" s="102">
        <f>TrRoad_act!D68</f>
        <v>30</v>
      </c>
      <c r="E14" s="102">
        <f>TrRoad_act!E68</f>
        <v>27</v>
      </c>
      <c r="F14" s="102">
        <f>TrRoad_act!F68</f>
        <v>24</v>
      </c>
      <c r="G14" s="102">
        <f>TrRoad_act!G68</f>
        <v>22</v>
      </c>
      <c r="H14" s="102">
        <f>TrRoad_act!H68</f>
        <v>19</v>
      </c>
      <c r="I14" s="102">
        <f>TrRoad_act!I68</f>
        <v>17</v>
      </c>
      <c r="J14" s="102">
        <f>TrRoad_act!J68</f>
        <v>14</v>
      </c>
      <c r="K14" s="102">
        <f>TrRoad_act!K68</f>
        <v>12</v>
      </c>
      <c r="L14" s="102">
        <f>TrRoad_act!L68</f>
        <v>10</v>
      </c>
      <c r="M14" s="102">
        <f>TrRoad_act!M68</f>
        <v>8</v>
      </c>
      <c r="N14" s="102">
        <f>TrRoad_act!N68</f>
        <v>7</v>
      </c>
      <c r="O14" s="102">
        <f>TrRoad_act!O68</f>
        <v>6</v>
      </c>
      <c r="P14" s="102">
        <f>TrRoad_act!P68</f>
        <v>5</v>
      </c>
      <c r="Q14" s="102">
        <f>TrRoad_act!Q68</f>
        <v>4</v>
      </c>
      <c r="R14" s="102">
        <f>TrRoad_act!R68</f>
        <v>4</v>
      </c>
      <c r="S14" s="102">
        <f>TrRoad_act!S68</f>
        <v>4</v>
      </c>
      <c r="T14" s="102">
        <f>TrRoad_act!T68</f>
        <v>4</v>
      </c>
      <c r="U14" s="102">
        <f>TrRoad_act!U68</f>
        <v>4</v>
      </c>
      <c r="V14" s="102">
        <f>TrRoad_act!V68</f>
        <v>4</v>
      </c>
      <c r="W14" s="102">
        <f>TrRoad_act!W68</f>
        <v>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1825</v>
      </c>
      <c r="C15" s="102">
        <f>TrRoad_act!C69</f>
        <v>1785</v>
      </c>
      <c r="D15" s="102">
        <f>TrRoad_act!D69</f>
        <v>1770</v>
      </c>
      <c r="E15" s="102">
        <f>TrRoad_act!E69</f>
        <v>1767</v>
      </c>
      <c r="F15" s="102">
        <f>TrRoad_act!F69</f>
        <v>1849</v>
      </c>
      <c r="G15" s="102">
        <f>TrRoad_act!G69</f>
        <v>1837</v>
      </c>
      <c r="H15" s="102">
        <f>TrRoad_act!H69</f>
        <v>1862</v>
      </c>
      <c r="I15" s="102">
        <f>TrRoad_act!I69</f>
        <v>1917</v>
      </c>
      <c r="J15" s="102">
        <f>TrRoad_act!J69</f>
        <v>1968</v>
      </c>
      <c r="K15" s="102">
        <f>TrRoad_act!K69</f>
        <v>1994</v>
      </c>
      <c r="L15" s="102">
        <f>TrRoad_act!L69</f>
        <v>2001</v>
      </c>
      <c r="M15" s="102">
        <f>TrRoad_act!M69</f>
        <v>2018</v>
      </c>
      <c r="N15" s="102">
        <f>TrRoad_act!N69</f>
        <v>1992</v>
      </c>
      <c r="O15" s="102">
        <f>TrRoad_act!O69</f>
        <v>2047</v>
      </c>
      <c r="P15" s="102">
        <f>TrRoad_act!P69</f>
        <v>2112</v>
      </c>
      <c r="Q15" s="102">
        <f>TrRoad_act!Q69</f>
        <v>2180</v>
      </c>
      <c r="R15" s="102">
        <f>TrRoad_act!R69</f>
        <v>2195</v>
      </c>
      <c r="S15" s="102">
        <f>TrRoad_act!S69</f>
        <v>2300</v>
      </c>
      <c r="T15" s="102">
        <f>TrRoad_act!T69</f>
        <v>2344</v>
      </c>
      <c r="U15" s="102">
        <f>TrRoad_act!U69</f>
        <v>2366</v>
      </c>
      <c r="V15" s="102">
        <f>TrRoad_act!V69</f>
        <v>1823</v>
      </c>
      <c r="W15" s="102">
        <f>TrRoad_act!W69</f>
        <v>2123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20</v>
      </c>
      <c r="O17" s="102">
        <f>TrRoad_act!O71</f>
        <v>24</v>
      </c>
      <c r="P17" s="102">
        <f>TrRoad_act!P71</f>
        <v>47</v>
      </c>
      <c r="Q17" s="102">
        <f>TrRoad_act!Q71</f>
        <v>69</v>
      </c>
      <c r="R17" s="102">
        <f>TrRoad_act!R71</f>
        <v>84</v>
      </c>
      <c r="S17" s="102">
        <f>TrRoad_act!S71</f>
        <v>83</v>
      </c>
      <c r="T17" s="102">
        <f>TrRoad_act!T71</f>
        <v>89</v>
      </c>
      <c r="U17" s="102">
        <f>TrRoad_act!U71</f>
        <v>115</v>
      </c>
      <c r="V17" s="102">
        <f>TrRoad_act!V71</f>
        <v>97</v>
      </c>
      <c r="W17" s="102">
        <f>TrRoad_act!W71</f>
        <v>96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2</v>
      </c>
      <c r="Q18" s="102">
        <f>TrRoad_act!Q72</f>
        <v>2</v>
      </c>
      <c r="R18" s="102">
        <f>TrRoad_act!R72</f>
        <v>4</v>
      </c>
      <c r="S18" s="102">
        <f>TrRoad_act!S72</f>
        <v>3</v>
      </c>
      <c r="T18" s="102">
        <f>TrRoad_act!T72</f>
        <v>4</v>
      </c>
      <c r="U18" s="102">
        <f>TrRoad_act!U72</f>
        <v>6</v>
      </c>
      <c r="V18" s="102">
        <f>TrRoad_act!V72</f>
        <v>6</v>
      </c>
      <c r="W18" s="102">
        <f>TrRoad_act!W72</f>
        <v>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54392</v>
      </c>
      <c r="C19" s="28">
        <f>TrRoad_act!C73</f>
        <v>54643</v>
      </c>
      <c r="D19" s="28">
        <f>TrRoad_act!D73</f>
        <v>56616</v>
      </c>
      <c r="E19" s="28">
        <f>TrRoad_act!E73</f>
        <v>58015</v>
      </c>
      <c r="F19" s="28">
        <f>TrRoad_act!F73</f>
        <v>60753</v>
      </c>
      <c r="G19" s="28">
        <f>TrRoad_act!G73</f>
        <v>62586</v>
      </c>
      <c r="H19" s="28">
        <f>TrRoad_act!H73</f>
        <v>66363</v>
      </c>
      <c r="I19" s="28">
        <f>TrRoad_act!I73</f>
        <v>72654</v>
      </c>
      <c r="J19" s="28">
        <f>TrRoad_act!J73</f>
        <v>77067</v>
      </c>
      <c r="K19" s="28">
        <f>TrRoad_act!K73</f>
        <v>77053</v>
      </c>
      <c r="L19" s="28">
        <f>TrRoad_act!L73</f>
        <v>76049</v>
      </c>
      <c r="M19" s="28">
        <f>TrRoad_act!M73</f>
        <v>76684</v>
      </c>
      <c r="N19" s="28">
        <f>TrRoad_act!N73</f>
        <v>77078</v>
      </c>
      <c r="O19" s="28">
        <f>TrRoad_act!O73</f>
        <v>77524</v>
      </c>
      <c r="P19" s="28">
        <f>TrRoad_act!P73</f>
        <v>79606</v>
      </c>
      <c r="Q19" s="28">
        <f>TrRoad_act!Q73</f>
        <v>83074</v>
      </c>
      <c r="R19" s="28">
        <f>TrRoad_act!R73</f>
        <v>88866</v>
      </c>
      <c r="S19" s="28">
        <f>TrRoad_act!S73</f>
        <v>94279</v>
      </c>
      <c r="T19" s="28">
        <f>TrRoad_act!T73</f>
        <v>100256</v>
      </c>
      <c r="U19" s="28">
        <f>TrRoad_act!U73</f>
        <v>104431</v>
      </c>
      <c r="V19" s="28">
        <f>TrRoad_act!V73</f>
        <v>107535</v>
      </c>
      <c r="W19" s="28">
        <f>TrRoad_act!W73</f>
        <v>107161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25174</v>
      </c>
      <c r="C20" s="137">
        <f>TrRoad_act!C74</f>
        <v>26266</v>
      </c>
      <c r="D20" s="137">
        <f>TrRoad_act!D74</f>
        <v>28080</v>
      </c>
      <c r="E20" s="137">
        <f>TrRoad_act!E74</f>
        <v>30025</v>
      </c>
      <c r="F20" s="137">
        <f>TrRoad_act!F74</f>
        <v>32489</v>
      </c>
      <c r="G20" s="137">
        <f>TrRoad_act!G74</f>
        <v>35248</v>
      </c>
      <c r="H20" s="137">
        <f>TrRoad_act!H74</f>
        <v>37980</v>
      </c>
      <c r="I20" s="137">
        <f>TrRoad_act!I74</f>
        <v>43189</v>
      </c>
      <c r="J20" s="137">
        <f>TrRoad_act!J74</f>
        <v>48389</v>
      </c>
      <c r="K20" s="137">
        <f>TrRoad_act!K74</f>
        <v>50301</v>
      </c>
      <c r="L20" s="137">
        <f>TrRoad_act!L74</f>
        <v>51759</v>
      </c>
      <c r="M20" s="137">
        <f>TrRoad_act!M74</f>
        <v>53404</v>
      </c>
      <c r="N20" s="137">
        <f>TrRoad_act!N74</f>
        <v>54138</v>
      </c>
      <c r="O20" s="137">
        <f>TrRoad_act!O74</f>
        <v>54937</v>
      </c>
      <c r="P20" s="137">
        <f>TrRoad_act!P74</f>
        <v>56905</v>
      </c>
      <c r="Q20" s="137">
        <f>TrRoad_act!Q74</f>
        <v>60016</v>
      </c>
      <c r="R20" s="137">
        <f>TrRoad_act!R74</f>
        <v>63973</v>
      </c>
      <c r="S20" s="137">
        <f>TrRoad_act!S74</f>
        <v>68922</v>
      </c>
      <c r="T20" s="137">
        <f>TrRoad_act!T74</f>
        <v>74005</v>
      </c>
      <c r="U20" s="137">
        <f>TrRoad_act!U74</f>
        <v>78779</v>
      </c>
      <c r="V20" s="137">
        <f>TrRoad_act!V74</f>
        <v>81749</v>
      </c>
      <c r="W20" s="137">
        <f>TrRoad_act!W74</f>
        <v>82141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6994</v>
      </c>
      <c r="C21" s="84">
        <f>TrRoad_act!C75</f>
        <v>7159</v>
      </c>
      <c r="D21" s="84">
        <f>TrRoad_act!D75</f>
        <v>7321</v>
      </c>
      <c r="E21" s="84">
        <f>TrRoad_act!E75</f>
        <v>7236</v>
      </c>
      <c r="F21" s="84">
        <f>TrRoad_act!F75</f>
        <v>7077</v>
      </c>
      <c r="G21" s="84">
        <f>TrRoad_act!G75</f>
        <v>6848</v>
      </c>
      <c r="H21" s="84">
        <f>TrRoad_act!H75</f>
        <v>6281</v>
      </c>
      <c r="I21" s="84">
        <f>TrRoad_act!I75</f>
        <v>6447</v>
      </c>
      <c r="J21" s="84">
        <f>TrRoad_act!J75</f>
        <v>6422</v>
      </c>
      <c r="K21" s="84">
        <f>TrRoad_act!K75</f>
        <v>6021</v>
      </c>
      <c r="L21" s="84">
        <f>TrRoad_act!L75</f>
        <v>5735</v>
      </c>
      <c r="M21" s="84">
        <f>TrRoad_act!M75</f>
        <v>5418</v>
      </c>
      <c r="N21" s="84">
        <f>TrRoad_act!N75</f>
        <v>5097</v>
      </c>
      <c r="O21" s="84">
        <f>TrRoad_act!O75</f>
        <v>4715</v>
      </c>
      <c r="P21" s="84">
        <f>TrRoad_act!P75</f>
        <v>4112</v>
      </c>
      <c r="Q21" s="84">
        <f>TrRoad_act!Q75</f>
        <v>3884</v>
      </c>
      <c r="R21" s="84">
        <f>TrRoad_act!R75</f>
        <v>3709</v>
      </c>
      <c r="S21" s="84">
        <f>TrRoad_act!S75</f>
        <v>3658</v>
      </c>
      <c r="T21" s="84">
        <f>TrRoad_act!T75</f>
        <v>3734</v>
      </c>
      <c r="U21" s="84">
        <f>TrRoad_act!U75</f>
        <v>3754</v>
      </c>
      <c r="V21" s="84">
        <f>TrRoad_act!V75</f>
        <v>3681</v>
      </c>
      <c r="W21" s="84">
        <f>TrRoad_act!W75</f>
        <v>3681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18180</v>
      </c>
      <c r="C22" s="84">
        <f>TrRoad_act!C76</f>
        <v>19107</v>
      </c>
      <c r="D22" s="84">
        <f>TrRoad_act!D76</f>
        <v>20759</v>
      </c>
      <c r="E22" s="84">
        <f>TrRoad_act!E76</f>
        <v>22789</v>
      </c>
      <c r="F22" s="84">
        <f>TrRoad_act!F76</f>
        <v>25412</v>
      </c>
      <c r="G22" s="84">
        <f>TrRoad_act!G76</f>
        <v>28400</v>
      </c>
      <c r="H22" s="84">
        <f>TrRoad_act!H76</f>
        <v>31360</v>
      </c>
      <c r="I22" s="84">
        <f>TrRoad_act!I76</f>
        <v>36373</v>
      </c>
      <c r="J22" s="84">
        <f>TrRoad_act!J76</f>
        <v>41427</v>
      </c>
      <c r="K22" s="84">
        <f>TrRoad_act!K76</f>
        <v>44067</v>
      </c>
      <c r="L22" s="84">
        <f>TrRoad_act!L76</f>
        <v>45948</v>
      </c>
      <c r="M22" s="84">
        <f>TrRoad_act!M76</f>
        <v>47921</v>
      </c>
      <c r="N22" s="84">
        <f>TrRoad_act!N76</f>
        <v>48981</v>
      </c>
      <c r="O22" s="84">
        <f>TrRoad_act!O76</f>
        <v>50162</v>
      </c>
      <c r="P22" s="84">
        <f>TrRoad_act!P76</f>
        <v>52420</v>
      </c>
      <c r="Q22" s="84">
        <f>TrRoad_act!Q76</f>
        <v>55649</v>
      </c>
      <c r="R22" s="84">
        <f>TrRoad_act!R76</f>
        <v>59755</v>
      </c>
      <c r="S22" s="84">
        <f>TrRoad_act!S76</f>
        <v>64658</v>
      </c>
      <c r="T22" s="84">
        <f>TrRoad_act!T76</f>
        <v>69652</v>
      </c>
      <c r="U22" s="84">
        <f>TrRoad_act!U76</f>
        <v>74280</v>
      </c>
      <c r="V22" s="84">
        <f>TrRoad_act!V76</f>
        <v>77285</v>
      </c>
      <c r="W22" s="84">
        <f>TrRoad_act!W76</f>
        <v>77630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339</v>
      </c>
      <c r="I23" s="84">
        <f>TrRoad_act!I77</f>
        <v>369</v>
      </c>
      <c r="J23" s="84">
        <f>TrRoad_act!J77</f>
        <v>540</v>
      </c>
      <c r="K23" s="84">
        <f>TrRoad_act!K77</f>
        <v>213</v>
      </c>
      <c r="L23" s="84">
        <f>TrRoad_act!L77</f>
        <v>76</v>
      </c>
      <c r="M23" s="84">
        <f>TrRoad_act!M77</f>
        <v>65</v>
      </c>
      <c r="N23" s="84">
        <f>TrRoad_act!N77</f>
        <v>60</v>
      </c>
      <c r="O23" s="84">
        <f>TrRoad_act!O77</f>
        <v>60</v>
      </c>
      <c r="P23" s="84">
        <f>TrRoad_act!P77</f>
        <v>331</v>
      </c>
      <c r="Q23" s="84">
        <f>TrRoad_act!Q77</f>
        <v>373</v>
      </c>
      <c r="R23" s="84">
        <f>TrRoad_act!R77</f>
        <v>373</v>
      </c>
      <c r="S23" s="84">
        <f>TrRoad_act!S77</f>
        <v>410</v>
      </c>
      <c r="T23" s="84">
        <f>TrRoad_act!T77</f>
        <v>410</v>
      </c>
      <c r="U23" s="84">
        <f>TrRoad_act!U77</f>
        <v>480</v>
      </c>
      <c r="V23" s="84">
        <f>TrRoad_act!V77</f>
        <v>500</v>
      </c>
      <c r="W23" s="84">
        <f>TrRoad_act!W77</f>
        <v>500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27</v>
      </c>
      <c r="Q24" s="84">
        <f>TrRoad_act!Q78</f>
        <v>73</v>
      </c>
      <c r="R24" s="84">
        <f>TrRoad_act!R78</f>
        <v>73</v>
      </c>
      <c r="S24" s="84">
        <f>TrRoad_act!S78</f>
        <v>74</v>
      </c>
      <c r="T24" s="84">
        <f>TrRoad_act!T78</f>
        <v>74</v>
      </c>
      <c r="U24" s="84">
        <f>TrRoad_act!U78</f>
        <v>100</v>
      </c>
      <c r="V24" s="84">
        <f>TrRoad_act!V78</f>
        <v>100</v>
      </c>
      <c r="W24" s="84">
        <f>TrRoad_act!W78</f>
        <v>100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15</v>
      </c>
      <c r="Q25" s="84">
        <f>TrRoad_act!Q79</f>
        <v>37</v>
      </c>
      <c r="R25" s="84">
        <f>TrRoad_act!R79</f>
        <v>63</v>
      </c>
      <c r="S25" s="84">
        <f>TrRoad_act!S79</f>
        <v>122</v>
      </c>
      <c r="T25" s="84">
        <f>TrRoad_act!T79</f>
        <v>135</v>
      </c>
      <c r="U25" s="84">
        <f>TrRoad_act!U79</f>
        <v>165</v>
      </c>
      <c r="V25" s="84">
        <f>TrRoad_act!V79</f>
        <v>183</v>
      </c>
      <c r="W25" s="84">
        <f>TrRoad_act!W79</f>
        <v>230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29218</v>
      </c>
      <c r="C26" s="110">
        <f>TrRoad_act!C80</f>
        <v>28377</v>
      </c>
      <c r="D26" s="110">
        <f>TrRoad_act!D80</f>
        <v>28536</v>
      </c>
      <c r="E26" s="110">
        <f>TrRoad_act!E80</f>
        <v>27990</v>
      </c>
      <c r="F26" s="110">
        <f>TrRoad_act!F80</f>
        <v>28264</v>
      </c>
      <c r="G26" s="110">
        <f>TrRoad_act!G80</f>
        <v>27338</v>
      </c>
      <c r="H26" s="110">
        <f>TrRoad_act!H80</f>
        <v>28383</v>
      </c>
      <c r="I26" s="110">
        <f>TrRoad_act!I80</f>
        <v>29465</v>
      </c>
      <c r="J26" s="110">
        <f>TrRoad_act!J80</f>
        <v>28678</v>
      </c>
      <c r="K26" s="110">
        <f>TrRoad_act!K80</f>
        <v>26752</v>
      </c>
      <c r="L26" s="110">
        <f>TrRoad_act!L80</f>
        <v>24290</v>
      </c>
      <c r="M26" s="110">
        <f>TrRoad_act!M80</f>
        <v>23280</v>
      </c>
      <c r="N26" s="110">
        <f>TrRoad_act!N80</f>
        <v>22940</v>
      </c>
      <c r="O26" s="110">
        <f>TrRoad_act!O80</f>
        <v>22587</v>
      </c>
      <c r="P26" s="110">
        <f>TrRoad_act!P80</f>
        <v>22701</v>
      </c>
      <c r="Q26" s="110">
        <f>TrRoad_act!Q80</f>
        <v>23058</v>
      </c>
      <c r="R26" s="110">
        <f>TrRoad_act!R80</f>
        <v>24893</v>
      </c>
      <c r="S26" s="110">
        <f>TrRoad_act!S80</f>
        <v>25357</v>
      </c>
      <c r="T26" s="110">
        <f>TrRoad_act!T80</f>
        <v>26251</v>
      </c>
      <c r="U26" s="110">
        <f>TrRoad_act!U80</f>
        <v>25652</v>
      </c>
      <c r="V26" s="110">
        <f>TrRoad_act!V80</f>
        <v>25786</v>
      </c>
      <c r="W26" s="110">
        <f>TrRoad_act!W80</f>
        <v>25020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26273</v>
      </c>
      <c r="C27" s="102">
        <f>TrRoad_act!C81</f>
        <v>25219</v>
      </c>
      <c r="D27" s="102">
        <f>TrRoad_act!D81</f>
        <v>25214</v>
      </c>
      <c r="E27" s="102">
        <f>TrRoad_act!E81</f>
        <v>24594</v>
      </c>
      <c r="F27" s="102">
        <f>TrRoad_act!F81</f>
        <v>24249</v>
      </c>
      <c r="G27" s="102">
        <f>TrRoad_act!G81</f>
        <v>23181</v>
      </c>
      <c r="H27" s="102">
        <f>TrRoad_act!H81</f>
        <v>23570</v>
      </c>
      <c r="I27" s="102">
        <f>TrRoad_act!I81</f>
        <v>24561</v>
      </c>
      <c r="J27" s="102">
        <f>TrRoad_act!J81</f>
        <v>23775</v>
      </c>
      <c r="K27" s="102">
        <f>TrRoad_act!K81</f>
        <v>22437</v>
      </c>
      <c r="L27" s="102">
        <f>TrRoad_act!L81</f>
        <v>20113</v>
      </c>
      <c r="M27" s="102">
        <f>TrRoad_act!M81</f>
        <v>19022</v>
      </c>
      <c r="N27" s="102">
        <f>TrRoad_act!N81</f>
        <v>18549</v>
      </c>
      <c r="O27" s="102">
        <f>TrRoad_act!O81</f>
        <v>18220</v>
      </c>
      <c r="P27" s="102">
        <f>TrRoad_act!P81</f>
        <v>18327</v>
      </c>
      <c r="Q27" s="102">
        <f>TrRoad_act!Q81</f>
        <v>18282</v>
      </c>
      <c r="R27" s="102">
        <f>TrRoad_act!R81</f>
        <v>19524</v>
      </c>
      <c r="S27" s="102">
        <f>TrRoad_act!S81</f>
        <v>19475</v>
      </c>
      <c r="T27" s="102">
        <f>TrRoad_act!T81</f>
        <v>20264</v>
      </c>
      <c r="U27" s="102">
        <f>TrRoad_act!U81</f>
        <v>19571</v>
      </c>
      <c r="V27" s="102">
        <f>TrRoad_act!V81</f>
        <v>20120</v>
      </c>
      <c r="W27" s="102">
        <f>TrRoad_act!W81</f>
        <v>18892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2945</v>
      </c>
      <c r="C28" s="86">
        <f>TrRoad_act!C82</f>
        <v>3158</v>
      </c>
      <c r="D28" s="86">
        <f>TrRoad_act!D82</f>
        <v>3322</v>
      </c>
      <c r="E28" s="86">
        <f>TrRoad_act!E82</f>
        <v>3396</v>
      </c>
      <c r="F28" s="86">
        <f>TrRoad_act!F82</f>
        <v>4015</v>
      </c>
      <c r="G28" s="86">
        <f>TrRoad_act!G82</f>
        <v>4157</v>
      </c>
      <c r="H28" s="86">
        <f>TrRoad_act!H82</f>
        <v>4813</v>
      </c>
      <c r="I28" s="86">
        <f>TrRoad_act!I82</f>
        <v>4904</v>
      </c>
      <c r="J28" s="86">
        <f>TrRoad_act!J82</f>
        <v>4903</v>
      </c>
      <c r="K28" s="86">
        <f>TrRoad_act!K82</f>
        <v>4315</v>
      </c>
      <c r="L28" s="86">
        <f>TrRoad_act!L82</f>
        <v>4177</v>
      </c>
      <c r="M28" s="86">
        <f>TrRoad_act!M82</f>
        <v>4258</v>
      </c>
      <c r="N28" s="86">
        <f>TrRoad_act!N82</f>
        <v>4391</v>
      </c>
      <c r="O28" s="86">
        <f>TrRoad_act!O82</f>
        <v>4367</v>
      </c>
      <c r="P28" s="86">
        <f>TrRoad_act!P82</f>
        <v>4374</v>
      </c>
      <c r="Q28" s="86">
        <f>TrRoad_act!Q82</f>
        <v>4776</v>
      </c>
      <c r="R28" s="86">
        <f>TrRoad_act!R82</f>
        <v>5369</v>
      </c>
      <c r="S28" s="86">
        <f>TrRoad_act!S82</f>
        <v>5882</v>
      </c>
      <c r="T28" s="86">
        <f>TrRoad_act!T82</f>
        <v>5987</v>
      </c>
      <c r="U28" s="86">
        <f>TrRoad_act!U82</f>
        <v>6081</v>
      </c>
      <c r="V28" s="86">
        <f>TrRoad_act!V82</f>
        <v>5666</v>
      </c>
      <c r="W28" s="86">
        <f>TrRoad_act!W82</f>
        <v>6128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61876</v>
      </c>
      <c r="C30" s="54">
        <f>TrRoad_act!C111</f>
        <v>76374</v>
      </c>
      <c r="D30" s="54">
        <f>TrRoad_act!D111</f>
        <v>90615</v>
      </c>
      <c r="E30" s="54">
        <f>TrRoad_act!E111</f>
        <v>68055</v>
      </c>
      <c r="F30" s="54">
        <f>TrRoad_act!F111</f>
        <v>73403</v>
      </c>
      <c r="G30" s="54">
        <f>TrRoad_act!G111</f>
        <v>83568</v>
      </c>
      <c r="H30" s="54">
        <f>TrRoad_act!H111</f>
        <v>84898</v>
      </c>
      <c r="I30" s="54">
        <f>TrRoad_act!I111</f>
        <v>108796</v>
      </c>
      <c r="J30" s="54">
        <f>TrRoad_act!J111</f>
        <v>110127</v>
      </c>
      <c r="K30" s="54">
        <f>TrRoad_act!K111</f>
        <v>93254</v>
      </c>
      <c r="L30" s="54">
        <f>TrRoad_act!L111</f>
        <v>86845</v>
      </c>
      <c r="M30" s="54">
        <f>TrRoad_act!M111</f>
        <v>81183</v>
      </c>
      <c r="N30" s="54">
        <f>TrRoad_act!N111</f>
        <v>73896</v>
      </c>
      <c r="O30" s="54">
        <f>TrRoad_act!O111</f>
        <v>74305</v>
      </c>
      <c r="P30" s="54">
        <f>TrRoad_act!P111</f>
        <v>78956</v>
      </c>
      <c r="Q30" s="54">
        <f>TrRoad_act!Q111</f>
        <v>91226</v>
      </c>
      <c r="R30" s="54">
        <f>TrRoad_act!R111</f>
        <v>97502</v>
      </c>
      <c r="S30" s="54">
        <f>TrRoad_act!S111</f>
        <v>126147</v>
      </c>
      <c r="T30" s="54">
        <f>TrRoad_act!T111</f>
        <v>123659</v>
      </c>
      <c r="U30" s="54">
        <f>TrRoad_act!U111</f>
        <v>122458</v>
      </c>
      <c r="V30" s="54">
        <f>TrRoad_act!V111</f>
        <v>95418</v>
      </c>
      <c r="W30" s="54">
        <f>TrRoad_act!W111</f>
        <v>112941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57043</v>
      </c>
      <c r="C31" s="28">
        <f>TrRoad_act!C112</f>
        <v>71024</v>
      </c>
      <c r="D31" s="28">
        <f>TrRoad_act!D112</f>
        <v>84935</v>
      </c>
      <c r="E31" s="28">
        <f>TrRoad_act!E112</f>
        <v>62048</v>
      </c>
      <c r="F31" s="28">
        <f>TrRoad_act!F112</f>
        <v>65963</v>
      </c>
      <c r="G31" s="28">
        <f>TrRoad_act!G112</f>
        <v>76370</v>
      </c>
      <c r="H31" s="28">
        <f>TrRoad_act!H112</f>
        <v>74651</v>
      </c>
      <c r="I31" s="28">
        <f>TrRoad_act!I112</f>
        <v>97574</v>
      </c>
      <c r="J31" s="28">
        <f>TrRoad_act!J112</f>
        <v>98787</v>
      </c>
      <c r="K31" s="28">
        <f>TrRoad_act!K112</f>
        <v>87300</v>
      </c>
      <c r="L31" s="28">
        <f>TrRoad_act!L112</f>
        <v>80251</v>
      </c>
      <c r="M31" s="28">
        <f>TrRoad_act!M112</f>
        <v>73258</v>
      </c>
      <c r="N31" s="28">
        <f>TrRoad_act!N112</f>
        <v>66159</v>
      </c>
      <c r="O31" s="28">
        <f>TrRoad_act!O112</f>
        <v>65927</v>
      </c>
      <c r="P31" s="28">
        <f>TrRoad_act!P112</f>
        <v>69526</v>
      </c>
      <c r="Q31" s="28">
        <f>TrRoad_act!Q112</f>
        <v>80517</v>
      </c>
      <c r="R31" s="28">
        <f>TrRoad_act!R112</f>
        <v>84506</v>
      </c>
      <c r="S31" s="28">
        <f>TrRoad_act!S112</f>
        <v>111427</v>
      </c>
      <c r="T31" s="28">
        <f>TrRoad_act!T112</f>
        <v>107999</v>
      </c>
      <c r="U31" s="28">
        <f>TrRoad_act!U112</f>
        <v>106739</v>
      </c>
      <c r="V31" s="28">
        <f>TrRoad_act!V112</f>
        <v>84162</v>
      </c>
      <c r="W31" s="28">
        <f>TrRoad_act!W112</f>
        <v>98885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1636</v>
      </c>
      <c r="C32" s="137">
        <f>TrRoad_act!C113</f>
        <v>1838</v>
      </c>
      <c r="D32" s="137">
        <f>TrRoad_act!D113</f>
        <v>2105</v>
      </c>
      <c r="E32" s="137">
        <f>TrRoad_act!E113</f>
        <v>2527</v>
      </c>
      <c r="F32" s="137">
        <f>TrRoad_act!F113</f>
        <v>3349</v>
      </c>
      <c r="G32" s="137">
        <f>TrRoad_act!G113</f>
        <v>3990</v>
      </c>
      <c r="H32" s="137">
        <f>TrRoad_act!H113</f>
        <v>6985</v>
      </c>
      <c r="I32" s="137">
        <f>TrRoad_act!I113</f>
        <v>25400</v>
      </c>
      <c r="J32" s="137">
        <f>TrRoad_act!J113</f>
        <v>15395</v>
      </c>
      <c r="K32" s="137">
        <f>TrRoad_act!K113</f>
        <v>10190</v>
      </c>
      <c r="L32" s="137">
        <f>TrRoad_act!L113</f>
        <v>5195</v>
      </c>
      <c r="M32" s="137">
        <f>TrRoad_act!M113</f>
        <v>3378</v>
      </c>
      <c r="N32" s="137">
        <f>TrRoad_act!N113</f>
        <v>3059</v>
      </c>
      <c r="O32" s="137">
        <f>TrRoad_act!O113</f>
        <v>3165</v>
      </c>
      <c r="P32" s="137">
        <f>TrRoad_act!P113</f>
        <v>5593</v>
      </c>
      <c r="Q32" s="137">
        <f>TrRoad_act!Q113</f>
        <v>7928</v>
      </c>
      <c r="R32" s="137">
        <f>TrRoad_act!R113</f>
        <v>7439</v>
      </c>
      <c r="S32" s="137">
        <f>TrRoad_act!S113</f>
        <v>24707</v>
      </c>
      <c r="T32" s="137">
        <f>TrRoad_act!T113</f>
        <v>10643</v>
      </c>
      <c r="U32" s="137">
        <f>TrRoad_act!U113</f>
        <v>9021</v>
      </c>
      <c r="V32" s="137">
        <f>TrRoad_act!V113</f>
        <v>8676</v>
      </c>
      <c r="W32" s="137">
        <f>TrRoad_act!W113</f>
        <v>9512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54984</v>
      </c>
      <c r="C33" s="110">
        <f>TrRoad_act!C114</f>
        <v>69055</v>
      </c>
      <c r="D33" s="110">
        <f>TrRoad_act!D114</f>
        <v>82738</v>
      </c>
      <c r="E33" s="110">
        <f>TrRoad_act!E114</f>
        <v>59390</v>
      </c>
      <c r="F33" s="110">
        <f>TrRoad_act!F114</f>
        <v>62471</v>
      </c>
      <c r="G33" s="110">
        <f>TrRoad_act!G114</f>
        <v>72243</v>
      </c>
      <c r="H33" s="110">
        <f>TrRoad_act!H114</f>
        <v>67513</v>
      </c>
      <c r="I33" s="110">
        <f>TrRoad_act!I114</f>
        <v>72026</v>
      </c>
      <c r="J33" s="110">
        <f>TrRoad_act!J114</f>
        <v>83195</v>
      </c>
      <c r="K33" s="110">
        <f>TrRoad_act!K114</f>
        <v>76976</v>
      </c>
      <c r="L33" s="110">
        <f>TrRoad_act!L114</f>
        <v>74913</v>
      </c>
      <c r="M33" s="110">
        <f>TrRoad_act!M114</f>
        <v>69755</v>
      </c>
      <c r="N33" s="110">
        <f>TrRoad_act!N114</f>
        <v>62980</v>
      </c>
      <c r="O33" s="110">
        <f>TrRoad_act!O114</f>
        <v>62562</v>
      </c>
      <c r="P33" s="110">
        <f>TrRoad_act!P114</f>
        <v>63720</v>
      </c>
      <c r="Q33" s="110">
        <f>TrRoad_act!Q114</f>
        <v>72376</v>
      </c>
      <c r="R33" s="110">
        <f>TrRoad_act!R114</f>
        <v>76869</v>
      </c>
      <c r="S33" s="110">
        <f>TrRoad_act!S114</f>
        <v>86529</v>
      </c>
      <c r="T33" s="110">
        <f>TrRoad_act!T114</f>
        <v>97175</v>
      </c>
      <c r="U33" s="110">
        <f>TrRoad_act!U114</f>
        <v>97523</v>
      </c>
      <c r="V33" s="110">
        <f>TrRoad_act!V114</f>
        <v>75330</v>
      </c>
      <c r="W33" s="110">
        <f>TrRoad_act!W114</f>
        <v>89073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49755</v>
      </c>
      <c r="C34" s="84">
        <f>TrRoad_act!C115</f>
        <v>53704</v>
      </c>
      <c r="D34" s="84">
        <f>TrRoad_act!D115</f>
        <v>34955</v>
      </c>
      <c r="E34" s="84">
        <f>TrRoad_act!E115</f>
        <v>35071</v>
      </c>
      <c r="F34" s="84">
        <f>TrRoad_act!F115</f>
        <v>33965</v>
      </c>
      <c r="G34" s="84">
        <f>TrRoad_act!G115</f>
        <v>34016</v>
      </c>
      <c r="H34" s="84">
        <f>TrRoad_act!H115</f>
        <v>35078</v>
      </c>
      <c r="I34" s="84">
        <f>TrRoad_act!I115</f>
        <v>38584</v>
      </c>
      <c r="J34" s="84">
        <f>TrRoad_act!J115</f>
        <v>43543</v>
      </c>
      <c r="K34" s="84">
        <f>TrRoad_act!K115</f>
        <v>37442</v>
      </c>
      <c r="L34" s="84">
        <f>TrRoad_act!L115</f>
        <v>38173</v>
      </c>
      <c r="M34" s="84">
        <f>TrRoad_act!M115</f>
        <v>34075</v>
      </c>
      <c r="N34" s="84">
        <f>TrRoad_act!N115</f>
        <v>24853</v>
      </c>
      <c r="O34" s="84">
        <f>TrRoad_act!O115</f>
        <v>23944</v>
      </c>
      <c r="P34" s="84">
        <f>TrRoad_act!P115</f>
        <v>23916</v>
      </c>
      <c r="Q34" s="84">
        <f>TrRoad_act!Q115</f>
        <v>29038</v>
      </c>
      <c r="R34" s="84">
        <f>TrRoad_act!R115</f>
        <v>31429</v>
      </c>
      <c r="S34" s="84">
        <f>TrRoad_act!S115</f>
        <v>38229</v>
      </c>
      <c r="T34" s="84">
        <f>TrRoad_act!T115</f>
        <v>48240</v>
      </c>
      <c r="U34" s="84">
        <f>TrRoad_act!U115</f>
        <v>50555</v>
      </c>
      <c r="V34" s="84">
        <f>TrRoad_act!V115</f>
        <v>36238</v>
      </c>
      <c r="W34" s="84">
        <f>TrRoad_act!W115</f>
        <v>41989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5229</v>
      </c>
      <c r="C35" s="84">
        <f>TrRoad_act!C116</f>
        <v>15351</v>
      </c>
      <c r="D35" s="84">
        <f>TrRoad_act!D116</f>
        <v>47783</v>
      </c>
      <c r="E35" s="84">
        <f>TrRoad_act!E116</f>
        <v>24319</v>
      </c>
      <c r="F35" s="84">
        <f>TrRoad_act!F116</f>
        <v>28506</v>
      </c>
      <c r="G35" s="84">
        <f>TrRoad_act!G116</f>
        <v>38227</v>
      </c>
      <c r="H35" s="84">
        <f>TrRoad_act!H116</f>
        <v>31935</v>
      </c>
      <c r="I35" s="84">
        <f>TrRoad_act!I116</f>
        <v>32767</v>
      </c>
      <c r="J35" s="84">
        <f>TrRoad_act!J116</f>
        <v>39652</v>
      </c>
      <c r="K35" s="84">
        <f>TrRoad_act!K116</f>
        <v>37626</v>
      </c>
      <c r="L35" s="84">
        <f>TrRoad_act!L116</f>
        <v>36034</v>
      </c>
      <c r="M35" s="84">
        <f>TrRoad_act!M116</f>
        <v>35116</v>
      </c>
      <c r="N35" s="84">
        <f>TrRoad_act!N116</f>
        <v>36796</v>
      </c>
      <c r="O35" s="84">
        <f>TrRoad_act!O116</f>
        <v>36186</v>
      </c>
      <c r="P35" s="84">
        <f>TrRoad_act!P116</f>
        <v>39289</v>
      </c>
      <c r="Q35" s="84">
        <f>TrRoad_act!Q116</f>
        <v>42867</v>
      </c>
      <c r="R35" s="84">
        <f>TrRoad_act!R116</f>
        <v>44014</v>
      </c>
      <c r="S35" s="84">
        <f>TrRoad_act!S116</f>
        <v>47104</v>
      </c>
      <c r="T35" s="84">
        <f>TrRoad_act!T116</f>
        <v>47823</v>
      </c>
      <c r="U35" s="84">
        <f>TrRoad_act!U116</f>
        <v>45614</v>
      </c>
      <c r="V35" s="84">
        <f>TrRoad_act!V116</f>
        <v>36653</v>
      </c>
      <c r="W35" s="84">
        <f>TrRoad_act!W116</f>
        <v>44258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500</v>
      </c>
      <c r="I36" s="84">
        <f>TrRoad_act!I117</f>
        <v>675</v>
      </c>
      <c r="J36" s="84">
        <f>TrRoad_act!J117</f>
        <v>0</v>
      </c>
      <c r="K36" s="84">
        <f>TrRoad_act!K117</f>
        <v>1908</v>
      </c>
      <c r="L36" s="84">
        <f>TrRoad_act!L117</f>
        <v>706</v>
      </c>
      <c r="M36" s="84">
        <f>TrRoad_act!M117</f>
        <v>552</v>
      </c>
      <c r="N36" s="84">
        <f>TrRoad_act!N117</f>
        <v>1307</v>
      </c>
      <c r="O36" s="84">
        <f>TrRoad_act!O117</f>
        <v>2393</v>
      </c>
      <c r="P36" s="84">
        <f>TrRoad_act!P117</f>
        <v>360</v>
      </c>
      <c r="Q36" s="84">
        <f>TrRoad_act!Q117</f>
        <v>272</v>
      </c>
      <c r="R36" s="84">
        <f>TrRoad_act!R117</f>
        <v>1137</v>
      </c>
      <c r="S36" s="84">
        <f>TrRoad_act!S117</f>
        <v>591</v>
      </c>
      <c r="T36" s="84">
        <f>TrRoad_act!T117</f>
        <v>319</v>
      </c>
      <c r="U36" s="84">
        <f>TrRoad_act!U117</f>
        <v>338</v>
      </c>
      <c r="V36" s="84">
        <f>TrRoad_act!V117</f>
        <v>396</v>
      </c>
      <c r="W36" s="84">
        <f>TrRoad_act!W117</f>
        <v>557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5</v>
      </c>
      <c r="O37" s="84">
        <f>TrRoad_act!O118</f>
        <v>21</v>
      </c>
      <c r="P37" s="84">
        <f>TrRoad_act!P118</f>
        <v>94</v>
      </c>
      <c r="Q37" s="84">
        <f>TrRoad_act!Q118</f>
        <v>41</v>
      </c>
      <c r="R37" s="84">
        <f>TrRoad_act!R118</f>
        <v>41</v>
      </c>
      <c r="S37" s="84">
        <f>TrRoad_act!S118</f>
        <v>65</v>
      </c>
      <c r="T37" s="84">
        <f>TrRoad_act!T118</f>
        <v>20</v>
      </c>
      <c r="U37" s="84">
        <f>TrRoad_act!U118</f>
        <v>28</v>
      </c>
      <c r="V37" s="84">
        <f>TrRoad_act!V118</f>
        <v>50</v>
      </c>
      <c r="W37" s="84">
        <f>TrRoad_act!W118</f>
        <v>16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13</v>
      </c>
      <c r="P38" s="84">
        <f>TrRoad_act!P119</f>
        <v>8</v>
      </c>
      <c r="Q38" s="84">
        <f>TrRoad_act!Q119</f>
        <v>35</v>
      </c>
      <c r="R38" s="84">
        <f>TrRoad_act!R119</f>
        <v>85</v>
      </c>
      <c r="S38" s="84">
        <f>TrRoad_act!S119</f>
        <v>189</v>
      </c>
      <c r="T38" s="84">
        <f>TrRoad_act!T119</f>
        <v>252</v>
      </c>
      <c r="U38" s="84">
        <f>TrRoad_act!U119</f>
        <v>166</v>
      </c>
      <c r="V38" s="84">
        <f>TrRoad_act!V119</f>
        <v>245</v>
      </c>
      <c r="W38" s="84">
        <f>TrRoad_act!W119</f>
        <v>511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12</v>
      </c>
      <c r="N39" s="84">
        <f>TrRoad_act!N120</f>
        <v>19</v>
      </c>
      <c r="O39" s="84">
        <f>TrRoad_act!O120</f>
        <v>5</v>
      </c>
      <c r="P39" s="84">
        <f>TrRoad_act!P120</f>
        <v>53</v>
      </c>
      <c r="Q39" s="84">
        <f>TrRoad_act!Q120</f>
        <v>123</v>
      </c>
      <c r="R39" s="84">
        <f>TrRoad_act!R120</f>
        <v>163</v>
      </c>
      <c r="S39" s="84">
        <f>TrRoad_act!S120</f>
        <v>351</v>
      </c>
      <c r="T39" s="84">
        <f>TrRoad_act!T120</f>
        <v>521</v>
      </c>
      <c r="U39" s="84">
        <f>TrRoad_act!U120</f>
        <v>822</v>
      </c>
      <c r="V39" s="84">
        <f>TrRoad_act!V120</f>
        <v>1748</v>
      </c>
      <c r="W39" s="84">
        <f>TrRoad_act!W120</f>
        <v>1742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423</v>
      </c>
      <c r="C40" s="110">
        <f>TrRoad_act!C121</f>
        <v>131</v>
      </c>
      <c r="D40" s="110">
        <f>TrRoad_act!D121</f>
        <v>92</v>
      </c>
      <c r="E40" s="110">
        <f>TrRoad_act!E121</f>
        <v>131</v>
      </c>
      <c r="F40" s="110">
        <f>TrRoad_act!F121</f>
        <v>143</v>
      </c>
      <c r="G40" s="110">
        <f>TrRoad_act!G121</f>
        <v>137</v>
      </c>
      <c r="H40" s="110">
        <f>TrRoad_act!H121</f>
        <v>153</v>
      </c>
      <c r="I40" s="110">
        <f>TrRoad_act!I121</f>
        <v>148</v>
      </c>
      <c r="J40" s="110">
        <f>TrRoad_act!J121</f>
        <v>197</v>
      </c>
      <c r="K40" s="110">
        <f>TrRoad_act!K121</f>
        <v>134</v>
      </c>
      <c r="L40" s="110">
        <f>TrRoad_act!L121</f>
        <v>143</v>
      </c>
      <c r="M40" s="110">
        <f>TrRoad_act!M121</f>
        <v>125</v>
      </c>
      <c r="N40" s="110">
        <f>TrRoad_act!N121</f>
        <v>120</v>
      </c>
      <c r="O40" s="110">
        <f>TrRoad_act!O121</f>
        <v>200</v>
      </c>
      <c r="P40" s="110">
        <f>TrRoad_act!P121</f>
        <v>213</v>
      </c>
      <c r="Q40" s="110">
        <f>TrRoad_act!Q121</f>
        <v>213</v>
      </c>
      <c r="R40" s="110">
        <f>TrRoad_act!R121</f>
        <v>198</v>
      </c>
      <c r="S40" s="110">
        <f>TrRoad_act!S121</f>
        <v>191</v>
      </c>
      <c r="T40" s="110">
        <f>TrRoad_act!T121</f>
        <v>181</v>
      </c>
      <c r="U40" s="110">
        <f>TrRoad_act!U121</f>
        <v>195</v>
      </c>
      <c r="V40" s="110">
        <f>TrRoad_act!V121</f>
        <v>156</v>
      </c>
      <c r="W40" s="110">
        <f>TrRoad_act!W121</f>
        <v>300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1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423</v>
      </c>
      <c r="C42" s="102">
        <f>TrRoad_act!C123</f>
        <v>130</v>
      </c>
      <c r="D42" s="102">
        <f>TrRoad_act!D123</f>
        <v>92</v>
      </c>
      <c r="E42" s="102">
        <f>TrRoad_act!E123</f>
        <v>131</v>
      </c>
      <c r="F42" s="102">
        <f>TrRoad_act!F123</f>
        <v>143</v>
      </c>
      <c r="G42" s="102">
        <f>TrRoad_act!G123</f>
        <v>137</v>
      </c>
      <c r="H42" s="102">
        <f>TrRoad_act!H123</f>
        <v>153</v>
      </c>
      <c r="I42" s="102">
        <f>TrRoad_act!I123</f>
        <v>148</v>
      </c>
      <c r="J42" s="102">
        <f>TrRoad_act!J123</f>
        <v>197</v>
      </c>
      <c r="K42" s="102">
        <f>TrRoad_act!K123</f>
        <v>134</v>
      </c>
      <c r="L42" s="102">
        <f>TrRoad_act!L123</f>
        <v>143</v>
      </c>
      <c r="M42" s="102">
        <f>TrRoad_act!M123</f>
        <v>125</v>
      </c>
      <c r="N42" s="102">
        <f>TrRoad_act!N123</f>
        <v>100</v>
      </c>
      <c r="O42" s="102">
        <f>TrRoad_act!O123</f>
        <v>179</v>
      </c>
      <c r="P42" s="102">
        <f>TrRoad_act!P123</f>
        <v>188</v>
      </c>
      <c r="Q42" s="102">
        <f>TrRoad_act!Q123</f>
        <v>191</v>
      </c>
      <c r="R42" s="102">
        <f>TrRoad_act!R123</f>
        <v>160</v>
      </c>
      <c r="S42" s="102">
        <f>TrRoad_act!S123</f>
        <v>191</v>
      </c>
      <c r="T42" s="102">
        <f>TrRoad_act!T123</f>
        <v>171</v>
      </c>
      <c r="U42" s="102">
        <f>TrRoad_act!U123</f>
        <v>163</v>
      </c>
      <c r="V42" s="102">
        <f>TrRoad_act!V123</f>
        <v>153</v>
      </c>
      <c r="W42" s="102">
        <f>TrRoad_act!W123</f>
        <v>300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20</v>
      </c>
      <c r="O44" s="102">
        <f>TrRoad_act!O125</f>
        <v>20</v>
      </c>
      <c r="P44" s="102">
        <f>TrRoad_act!P125</f>
        <v>23</v>
      </c>
      <c r="Q44" s="102">
        <f>TrRoad_act!Q125</f>
        <v>22</v>
      </c>
      <c r="R44" s="102">
        <f>TrRoad_act!R125</f>
        <v>36</v>
      </c>
      <c r="S44" s="102">
        <f>TrRoad_act!S125</f>
        <v>0</v>
      </c>
      <c r="T44" s="102">
        <f>TrRoad_act!T125</f>
        <v>8</v>
      </c>
      <c r="U44" s="102">
        <f>TrRoad_act!U125</f>
        <v>27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2</v>
      </c>
      <c r="Q45" s="102">
        <f>TrRoad_act!Q126</f>
        <v>0</v>
      </c>
      <c r="R45" s="102">
        <f>TrRoad_act!R126</f>
        <v>2</v>
      </c>
      <c r="S45" s="102">
        <f>TrRoad_act!S126</f>
        <v>0</v>
      </c>
      <c r="T45" s="102">
        <f>TrRoad_act!T126</f>
        <v>2</v>
      </c>
      <c r="U45" s="102">
        <f>TrRoad_act!U126</f>
        <v>5</v>
      </c>
      <c r="V45" s="102">
        <f>TrRoad_act!V126</f>
        <v>3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4833</v>
      </c>
      <c r="C46" s="28">
        <f>TrRoad_act!C127</f>
        <v>5350</v>
      </c>
      <c r="D46" s="28">
        <f>TrRoad_act!D127</f>
        <v>5680</v>
      </c>
      <c r="E46" s="28">
        <f>TrRoad_act!E127</f>
        <v>6007</v>
      </c>
      <c r="F46" s="28">
        <f>TrRoad_act!F127</f>
        <v>7440</v>
      </c>
      <c r="G46" s="28">
        <f>TrRoad_act!G127</f>
        <v>7198</v>
      </c>
      <c r="H46" s="28">
        <f>TrRoad_act!H127</f>
        <v>10247</v>
      </c>
      <c r="I46" s="28">
        <f>TrRoad_act!I127</f>
        <v>11222</v>
      </c>
      <c r="J46" s="28">
        <f>TrRoad_act!J127</f>
        <v>11340</v>
      </c>
      <c r="K46" s="28">
        <f>TrRoad_act!K127</f>
        <v>5954</v>
      </c>
      <c r="L46" s="28">
        <f>TrRoad_act!L127</f>
        <v>6594</v>
      </c>
      <c r="M46" s="28">
        <f>TrRoad_act!M127</f>
        <v>7925</v>
      </c>
      <c r="N46" s="28">
        <f>TrRoad_act!N127</f>
        <v>7737</v>
      </c>
      <c r="O46" s="28">
        <f>TrRoad_act!O127</f>
        <v>8378</v>
      </c>
      <c r="P46" s="28">
        <f>TrRoad_act!P127</f>
        <v>9430</v>
      </c>
      <c r="Q46" s="28">
        <f>TrRoad_act!Q127</f>
        <v>10709</v>
      </c>
      <c r="R46" s="28">
        <f>TrRoad_act!R127</f>
        <v>12996</v>
      </c>
      <c r="S46" s="28">
        <f>TrRoad_act!S127</f>
        <v>14720</v>
      </c>
      <c r="T46" s="28">
        <f>TrRoad_act!T127</f>
        <v>15660</v>
      </c>
      <c r="U46" s="28">
        <f>TrRoad_act!U127</f>
        <v>15719</v>
      </c>
      <c r="V46" s="28">
        <f>TrRoad_act!V127</f>
        <v>11256</v>
      </c>
      <c r="W46" s="28">
        <f>TrRoad_act!W127</f>
        <v>14056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2153</v>
      </c>
      <c r="C47" s="137">
        <f>TrRoad_act!C128</f>
        <v>2546</v>
      </c>
      <c r="D47" s="137">
        <f>TrRoad_act!D128</f>
        <v>3209</v>
      </c>
      <c r="E47" s="137">
        <f>TrRoad_act!E128</f>
        <v>3665</v>
      </c>
      <c r="F47" s="137">
        <f>TrRoad_act!F128</f>
        <v>4075</v>
      </c>
      <c r="G47" s="137">
        <f>TrRoad_act!G128</f>
        <v>4415</v>
      </c>
      <c r="H47" s="137">
        <f>TrRoad_act!H128</f>
        <v>6206</v>
      </c>
      <c r="I47" s="137">
        <f>TrRoad_act!I128</f>
        <v>7291</v>
      </c>
      <c r="J47" s="137">
        <f>TrRoad_act!J128</f>
        <v>8086</v>
      </c>
      <c r="K47" s="137">
        <f>TrRoad_act!K128</f>
        <v>4777</v>
      </c>
      <c r="L47" s="137">
        <f>TrRoad_act!L128</f>
        <v>4887</v>
      </c>
      <c r="M47" s="137">
        <f>TrRoad_act!M128</f>
        <v>5722</v>
      </c>
      <c r="N47" s="137">
        <f>TrRoad_act!N128</f>
        <v>5587</v>
      </c>
      <c r="O47" s="137">
        <f>TrRoad_act!O128</f>
        <v>6154</v>
      </c>
      <c r="P47" s="137">
        <f>TrRoad_act!P128</f>
        <v>6847</v>
      </c>
      <c r="Q47" s="137">
        <f>TrRoad_act!Q128</f>
        <v>7517</v>
      </c>
      <c r="R47" s="137">
        <f>TrRoad_act!R128</f>
        <v>9164</v>
      </c>
      <c r="S47" s="137">
        <f>TrRoad_act!S128</f>
        <v>10970</v>
      </c>
      <c r="T47" s="137">
        <f>TrRoad_act!T128</f>
        <v>11987</v>
      </c>
      <c r="U47" s="137">
        <f>TrRoad_act!U128</f>
        <v>12503</v>
      </c>
      <c r="V47" s="137">
        <f>TrRoad_act!V128</f>
        <v>9333</v>
      </c>
      <c r="W47" s="137">
        <f>TrRoad_act!W128</f>
        <v>11013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677</v>
      </c>
      <c r="C48" s="84">
        <f>TrRoad_act!C129</f>
        <v>768</v>
      </c>
      <c r="D48" s="84">
        <f>TrRoad_act!D129</f>
        <v>701</v>
      </c>
      <c r="E48" s="84">
        <f>TrRoad_act!E129</f>
        <v>589</v>
      </c>
      <c r="F48" s="84">
        <f>TrRoad_act!F129</f>
        <v>446</v>
      </c>
      <c r="G48" s="84">
        <f>TrRoad_act!G129</f>
        <v>345</v>
      </c>
      <c r="H48" s="84">
        <f>TrRoad_act!H129</f>
        <v>473</v>
      </c>
      <c r="I48" s="84">
        <f>TrRoad_act!I129</f>
        <v>592</v>
      </c>
      <c r="J48" s="84">
        <f>TrRoad_act!J129</f>
        <v>815</v>
      </c>
      <c r="K48" s="84">
        <f>TrRoad_act!K129</f>
        <v>302</v>
      </c>
      <c r="L48" s="84">
        <f>TrRoad_act!L129</f>
        <v>340</v>
      </c>
      <c r="M48" s="84">
        <f>TrRoad_act!M129</f>
        <v>343</v>
      </c>
      <c r="N48" s="84">
        <f>TrRoad_act!N129</f>
        <v>230</v>
      </c>
      <c r="O48" s="84">
        <f>TrRoad_act!O129</f>
        <v>116</v>
      </c>
      <c r="P48" s="84">
        <f>TrRoad_act!P129</f>
        <v>106</v>
      </c>
      <c r="Q48" s="84">
        <f>TrRoad_act!Q129</f>
        <v>171</v>
      </c>
      <c r="R48" s="84">
        <f>TrRoad_act!R129</f>
        <v>240</v>
      </c>
      <c r="S48" s="84">
        <f>TrRoad_act!S129</f>
        <v>345</v>
      </c>
      <c r="T48" s="84">
        <f>TrRoad_act!T129</f>
        <v>802</v>
      </c>
      <c r="U48" s="84">
        <f>TrRoad_act!U129</f>
        <v>818</v>
      </c>
      <c r="V48" s="84">
        <f>TrRoad_act!V129</f>
        <v>189</v>
      </c>
      <c r="W48" s="84">
        <f>TrRoad_act!W129</f>
        <v>174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1476</v>
      </c>
      <c r="C49" s="84">
        <f>TrRoad_act!C130</f>
        <v>1778</v>
      </c>
      <c r="D49" s="84">
        <f>TrRoad_act!D130</f>
        <v>2508</v>
      </c>
      <c r="E49" s="84">
        <f>TrRoad_act!E130</f>
        <v>3076</v>
      </c>
      <c r="F49" s="84">
        <f>TrRoad_act!F130</f>
        <v>3629</v>
      </c>
      <c r="G49" s="84">
        <f>TrRoad_act!G130</f>
        <v>4070</v>
      </c>
      <c r="H49" s="84">
        <f>TrRoad_act!H130</f>
        <v>5394</v>
      </c>
      <c r="I49" s="84">
        <f>TrRoad_act!I130</f>
        <v>6669</v>
      </c>
      <c r="J49" s="84">
        <f>TrRoad_act!J130</f>
        <v>7100</v>
      </c>
      <c r="K49" s="84">
        <f>TrRoad_act!K130</f>
        <v>4470</v>
      </c>
      <c r="L49" s="84">
        <f>TrRoad_act!L130</f>
        <v>4546</v>
      </c>
      <c r="M49" s="84">
        <f>TrRoad_act!M130</f>
        <v>5379</v>
      </c>
      <c r="N49" s="84">
        <f>TrRoad_act!N130</f>
        <v>5353</v>
      </c>
      <c r="O49" s="84">
        <f>TrRoad_act!O130</f>
        <v>6025</v>
      </c>
      <c r="P49" s="84">
        <f>TrRoad_act!P130</f>
        <v>6428</v>
      </c>
      <c r="Q49" s="84">
        <f>TrRoad_act!Q130</f>
        <v>7225</v>
      </c>
      <c r="R49" s="84">
        <f>TrRoad_act!R130</f>
        <v>8885</v>
      </c>
      <c r="S49" s="84">
        <f>TrRoad_act!S130</f>
        <v>10492</v>
      </c>
      <c r="T49" s="84">
        <f>TrRoad_act!T130</f>
        <v>11131</v>
      </c>
      <c r="U49" s="84">
        <f>TrRoad_act!U130</f>
        <v>11532</v>
      </c>
      <c r="V49" s="84">
        <f>TrRoad_act!V130</f>
        <v>9083</v>
      </c>
      <c r="W49" s="84">
        <f>TrRoad_act!W130</f>
        <v>10763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339</v>
      </c>
      <c r="I50" s="84">
        <f>TrRoad_act!I131</f>
        <v>30</v>
      </c>
      <c r="J50" s="84">
        <f>TrRoad_act!J131</f>
        <v>171</v>
      </c>
      <c r="K50" s="84">
        <f>TrRoad_act!K131</f>
        <v>5</v>
      </c>
      <c r="L50" s="84">
        <f>TrRoad_act!L131</f>
        <v>1</v>
      </c>
      <c r="M50" s="84">
        <f>TrRoad_act!M131</f>
        <v>0</v>
      </c>
      <c r="N50" s="84">
        <f>TrRoad_act!N131</f>
        <v>4</v>
      </c>
      <c r="O50" s="84">
        <f>TrRoad_act!O131</f>
        <v>13</v>
      </c>
      <c r="P50" s="84">
        <f>TrRoad_act!P131</f>
        <v>271</v>
      </c>
      <c r="Q50" s="84">
        <f>TrRoad_act!Q131</f>
        <v>53</v>
      </c>
      <c r="R50" s="84">
        <f>TrRoad_act!R131</f>
        <v>12</v>
      </c>
      <c r="S50" s="84">
        <f>TrRoad_act!S131</f>
        <v>50</v>
      </c>
      <c r="T50" s="84">
        <f>TrRoad_act!T131</f>
        <v>16</v>
      </c>
      <c r="U50" s="84">
        <f>TrRoad_act!U131</f>
        <v>85</v>
      </c>
      <c r="V50" s="84">
        <f>TrRoad_act!V131</f>
        <v>35</v>
      </c>
      <c r="W50" s="84">
        <f>TrRoad_act!W131</f>
        <v>15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27</v>
      </c>
      <c r="Q51" s="84">
        <f>TrRoad_act!Q132</f>
        <v>46</v>
      </c>
      <c r="R51" s="84">
        <f>TrRoad_act!R132</f>
        <v>1</v>
      </c>
      <c r="S51" s="84">
        <f>TrRoad_act!S132</f>
        <v>24</v>
      </c>
      <c r="T51" s="84">
        <f>TrRoad_act!T132</f>
        <v>6</v>
      </c>
      <c r="U51" s="84">
        <f>TrRoad_act!U132</f>
        <v>27</v>
      </c>
      <c r="V51" s="84">
        <f>TrRoad_act!V132</f>
        <v>5</v>
      </c>
      <c r="W51" s="84">
        <f>TrRoad_act!W132</f>
        <v>4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15</v>
      </c>
      <c r="Q52" s="84">
        <f>TrRoad_act!Q133</f>
        <v>22</v>
      </c>
      <c r="R52" s="84">
        <f>TrRoad_act!R133</f>
        <v>26</v>
      </c>
      <c r="S52" s="84">
        <f>TrRoad_act!S133</f>
        <v>59</v>
      </c>
      <c r="T52" s="84">
        <f>TrRoad_act!T133</f>
        <v>32</v>
      </c>
      <c r="U52" s="84">
        <f>TrRoad_act!U133</f>
        <v>41</v>
      </c>
      <c r="V52" s="84">
        <f>TrRoad_act!V133</f>
        <v>21</v>
      </c>
      <c r="W52" s="84">
        <f>TrRoad_act!W133</f>
        <v>57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2680</v>
      </c>
      <c r="C53" s="110">
        <f>TrRoad_act!C134</f>
        <v>2804</v>
      </c>
      <c r="D53" s="110">
        <f>TrRoad_act!D134</f>
        <v>2471</v>
      </c>
      <c r="E53" s="110">
        <f>TrRoad_act!E134</f>
        <v>2342</v>
      </c>
      <c r="F53" s="110">
        <f>TrRoad_act!F134</f>
        <v>3365</v>
      </c>
      <c r="G53" s="110">
        <f>TrRoad_act!G134</f>
        <v>2783</v>
      </c>
      <c r="H53" s="110">
        <f>TrRoad_act!H134</f>
        <v>4041</v>
      </c>
      <c r="I53" s="110">
        <f>TrRoad_act!I134</f>
        <v>3931</v>
      </c>
      <c r="J53" s="110">
        <f>TrRoad_act!J134</f>
        <v>3254</v>
      </c>
      <c r="K53" s="110">
        <f>TrRoad_act!K134</f>
        <v>1177</v>
      </c>
      <c r="L53" s="110">
        <f>TrRoad_act!L134</f>
        <v>1707</v>
      </c>
      <c r="M53" s="110">
        <f>TrRoad_act!M134</f>
        <v>2203</v>
      </c>
      <c r="N53" s="110">
        <f>TrRoad_act!N134</f>
        <v>2150</v>
      </c>
      <c r="O53" s="110">
        <f>TrRoad_act!O134</f>
        <v>2224</v>
      </c>
      <c r="P53" s="110">
        <f>TrRoad_act!P134</f>
        <v>2583</v>
      </c>
      <c r="Q53" s="110">
        <f>TrRoad_act!Q134</f>
        <v>3192</v>
      </c>
      <c r="R53" s="110">
        <f>TrRoad_act!R134</f>
        <v>3832</v>
      </c>
      <c r="S53" s="110">
        <f>TrRoad_act!S134</f>
        <v>3750</v>
      </c>
      <c r="T53" s="110">
        <f>TrRoad_act!T134</f>
        <v>3673</v>
      </c>
      <c r="U53" s="110">
        <f>TrRoad_act!U134</f>
        <v>3216</v>
      </c>
      <c r="V53" s="110">
        <f>TrRoad_act!V134</f>
        <v>1923</v>
      </c>
      <c r="W53" s="110">
        <f>TrRoad_act!W134</f>
        <v>3043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2385</v>
      </c>
      <c r="C54" s="102">
        <f>TrRoad_act!C135</f>
        <v>2398</v>
      </c>
      <c r="D54" s="102">
        <f>TrRoad_act!D135</f>
        <v>2076</v>
      </c>
      <c r="E54" s="102">
        <f>TrRoad_act!E135</f>
        <v>2001</v>
      </c>
      <c r="F54" s="102">
        <f>TrRoad_act!F135</f>
        <v>2445</v>
      </c>
      <c r="G54" s="102">
        <f>TrRoad_act!G135</f>
        <v>2303</v>
      </c>
      <c r="H54" s="102">
        <f>TrRoad_act!H135</f>
        <v>3013</v>
      </c>
      <c r="I54" s="102">
        <f>TrRoad_act!I135</f>
        <v>3436</v>
      </c>
      <c r="J54" s="102">
        <f>TrRoad_act!J135</f>
        <v>2824</v>
      </c>
      <c r="K54" s="102">
        <f>TrRoad_act!K135</f>
        <v>1177</v>
      </c>
      <c r="L54" s="102">
        <f>TrRoad_act!L135</f>
        <v>1422</v>
      </c>
      <c r="M54" s="102">
        <f>TrRoad_act!M135</f>
        <v>1705</v>
      </c>
      <c r="N54" s="102">
        <f>TrRoad_act!N135</f>
        <v>1604</v>
      </c>
      <c r="O54" s="102">
        <f>TrRoad_act!O135</f>
        <v>1819</v>
      </c>
      <c r="P54" s="102">
        <f>TrRoad_act!P135</f>
        <v>2134</v>
      </c>
      <c r="Q54" s="102">
        <f>TrRoad_act!Q135</f>
        <v>2339</v>
      </c>
      <c r="R54" s="102">
        <f>TrRoad_act!R135</f>
        <v>2774</v>
      </c>
      <c r="S54" s="102">
        <f>TrRoad_act!S135</f>
        <v>2756</v>
      </c>
      <c r="T54" s="102">
        <f>TrRoad_act!T135</f>
        <v>3067</v>
      </c>
      <c r="U54" s="102">
        <f>TrRoad_act!U135</f>
        <v>2600</v>
      </c>
      <c r="V54" s="102">
        <f>TrRoad_act!V135</f>
        <v>1800</v>
      </c>
      <c r="W54" s="102">
        <f>TrRoad_act!W135</f>
        <v>2041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295</v>
      </c>
      <c r="C55" s="86">
        <f>TrRoad_act!C136</f>
        <v>406</v>
      </c>
      <c r="D55" s="86">
        <f>TrRoad_act!D136</f>
        <v>395</v>
      </c>
      <c r="E55" s="86">
        <f>TrRoad_act!E136</f>
        <v>341</v>
      </c>
      <c r="F55" s="86">
        <f>TrRoad_act!F136</f>
        <v>920</v>
      </c>
      <c r="G55" s="86">
        <f>TrRoad_act!G136</f>
        <v>480</v>
      </c>
      <c r="H55" s="86">
        <f>TrRoad_act!H136</f>
        <v>1028</v>
      </c>
      <c r="I55" s="86">
        <f>TrRoad_act!I136</f>
        <v>495</v>
      </c>
      <c r="J55" s="86">
        <f>TrRoad_act!J136</f>
        <v>430</v>
      </c>
      <c r="K55" s="86">
        <f>TrRoad_act!K136</f>
        <v>0</v>
      </c>
      <c r="L55" s="86">
        <f>TrRoad_act!L136</f>
        <v>285</v>
      </c>
      <c r="M55" s="86">
        <f>TrRoad_act!M136</f>
        <v>498</v>
      </c>
      <c r="N55" s="86">
        <f>TrRoad_act!N136</f>
        <v>546</v>
      </c>
      <c r="O55" s="86">
        <f>TrRoad_act!O136</f>
        <v>405</v>
      </c>
      <c r="P55" s="86">
        <f>TrRoad_act!P136</f>
        <v>449</v>
      </c>
      <c r="Q55" s="86">
        <f>TrRoad_act!Q136</f>
        <v>853</v>
      </c>
      <c r="R55" s="86">
        <f>TrRoad_act!R136</f>
        <v>1058</v>
      </c>
      <c r="S55" s="86">
        <f>TrRoad_act!S136</f>
        <v>994</v>
      </c>
      <c r="T55" s="86">
        <f>TrRoad_act!T136</f>
        <v>606</v>
      </c>
      <c r="U55" s="86">
        <f>TrRoad_act!U136</f>
        <v>616</v>
      </c>
      <c r="V55" s="86">
        <f>TrRoad_act!V136</f>
        <v>123</v>
      </c>
      <c r="W55" s="86">
        <f>TrRoad_act!W136</f>
        <v>1002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24078</v>
      </c>
      <c r="C59" s="54">
        <f t="shared" si="0"/>
        <v>12389</v>
      </c>
      <c r="D59" s="54">
        <f t="shared" si="0"/>
        <v>20988</v>
      </c>
      <c r="E59" s="54">
        <f t="shared" si="0"/>
        <v>19958</v>
      </c>
      <c r="F59" s="54">
        <f t="shared" si="0"/>
        <v>25614</v>
      </c>
      <c r="G59" s="54">
        <f t="shared" si="0"/>
        <v>34856</v>
      </c>
      <c r="H59" s="54">
        <f t="shared" si="0"/>
        <v>39595</v>
      </c>
      <c r="I59" s="54">
        <f t="shared" si="0"/>
        <v>60381</v>
      </c>
      <c r="J59" s="54">
        <f t="shared" si="0"/>
        <v>65912</v>
      </c>
      <c r="K59" s="54">
        <f t="shared" si="0"/>
        <v>63254</v>
      </c>
      <c r="L59" s="54">
        <f t="shared" ref="L59" si="1">L60+L75</f>
        <v>62286</v>
      </c>
      <c r="M59" s="54">
        <f t="shared" ref="M59:V59" si="2">M60+M75</f>
        <v>60681</v>
      </c>
      <c r="N59" s="54">
        <f t="shared" si="2"/>
        <v>58965</v>
      </c>
      <c r="O59" s="54">
        <f t="shared" si="2"/>
        <v>64886</v>
      </c>
      <c r="P59" s="54">
        <f t="shared" si="2"/>
        <v>72177</v>
      </c>
      <c r="Q59" s="54">
        <f t="shared" si="2"/>
        <v>86325</v>
      </c>
      <c r="R59" s="54">
        <f t="shared" si="2"/>
        <v>94406</v>
      </c>
      <c r="S59" s="54">
        <f t="shared" si="2"/>
        <v>123987</v>
      </c>
      <c r="T59" s="54">
        <f t="shared" si="2"/>
        <v>122943</v>
      </c>
      <c r="U59" s="54">
        <f t="shared" si="2"/>
        <v>122290</v>
      </c>
      <c r="V59" s="54">
        <f t="shared" si="2"/>
        <v>95352</v>
      </c>
      <c r="W59" s="54">
        <f t="shared" ref="W59" si="3">W60+W75</f>
        <v>112941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24078</v>
      </c>
      <c r="C60" s="28">
        <f t="shared" si="4"/>
        <v>12389</v>
      </c>
      <c r="D60" s="28">
        <f t="shared" si="4"/>
        <v>20988</v>
      </c>
      <c r="E60" s="28">
        <f t="shared" si="4"/>
        <v>19958</v>
      </c>
      <c r="F60" s="28">
        <f t="shared" si="4"/>
        <v>25614</v>
      </c>
      <c r="G60" s="28">
        <f t="shared" si="4"/>
        <v>34856</v>
      </c>
      <c r="H60" s="28">
        <f t="shared" si="4"/>
        <v>39595</v>
      </c>
      <c r="I60" s="28">
        <f t="shared" si="4"/>
        <v>60381</v>
      </c>
      <c r="J60" s="28">
        <f t="shared" si="4"/>
        <v>65640</v>
      </c>
      <c r="K60" s="28">
        <f t="shared" si="4"/>
        <v>63132</v>
      </c>
      <c r="L60" s="28">
        <f t="shared" ref="L60" si="5">L61+L62+L69</f>
        <v>61938</v>
      </c>
      <c r="M60" s="28">
        <f t="shared" ref="M60:V60" si="6">M61+M62+M69</f>
        <v>60152</v>
      </c>
      <c r="N60" s="28">
        <f t="shared" si="6"/>
        <v>57347</v>
      </c>
      <c r="O60" s="28">
        <f t="shared" si="6"/>
        <v>59625</v>
      </c>
      <c r="P60" s="28">
        <f t="shared" si="6"/>
        <v>64826</v>
      </c>
      <c r="Q60" s="28">
        <f t="shared" si="6"/>
        <v>77094</v>
      </c>
      <c r="R60" s="28">
        <f t="shared" si="6"/>
        <v>82439</v>
      </c>
      <c r="S60" s="28">
        <f t="shared" si="6"/>
        <v>109854</v>
      </c>
      <c r="T60" s="28">
        <f t="shared" si="6"/>
        <v>107538</v>
      </c>
      <c r="U60" s="28">
        <f t="shared" si="6"/>
        <v>106667</v>
      </c>
      <c r="V60" s="28">
        <f t="shared" si="6"/>
        <v>84107</v>
      </c>
      <c r="W60" s="28">
        <f t="shared" ref="W60" si="7">W61+W62+W69</f>
        <v>98885</v>
      </c>
      <c r="DA60" s="173" t="s">
        <v>837</v>
      </c>
    </row>
    <row r="61" spans="1:105" ht="11.45" customHeight="1" x14ac:dyDescent="0.25">
      <c r="A61" s="136" t="s">
        <v>180</v>
      </c>
      <c r="B61" s="137">
        <v>277</v>
      </c>
      <c r="C61" s="137">
        <v>855</v>
      </c>
      <c r="D61" s="137">
        <v>1071</v>
      </c>
      <c r="E61" s="137">
        <v>1396</v>
      </c>
      <c r="F61" s="137">
        <v>1994</v>
      </c>
      <c r="G61" s="137">
        <v>2545</v>
      </c>
      <c r="H61" s="137">
        <v>4743</v>
      </c>
      <c r="I61" s="137">
        <v>18257</v>
      </c>
      <c r="J61" s="137">
        <v>11649</v>
      </c>
      <c r="K61" s="137">
        <v>8075</v>
      </c>
      <c r="L61" s="137">
        <v>4290</v>
      </c>
      <c r="M61" s="137">
        <v>2894</v>
      </c>
      <c r="N61" s="137">
        <v>2706</v>
      </c>
      <c r="O61" s="137">
        <v>2879</v>
      </c>
      <c r="P61" s="137">
        <v>5210</v>
      </c>
      <c r="Q61" s="137">
        <v>7534</v>
      </c>
      <c r="R61" s="137">
        <v>7187</v>
      </c>
      <c r="S61" s="137">
        <v>24182</v>
      </c>
      <c r="T61" s="137">
        <v>10519</v>
      </c>
      <c r="U61" s="137">
        <v>8976</v>
      </c>
      <c r="V61" s="137">
        <v>8666</v>
      </c>
      <c r="W61" s="137">
        <v>9512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23799</v>
      </c>
      <c r="C62" s="110">
        <f t="shared" si="8"/>
        <v>11533</v>
      </c>
      <c r="D62" s="110">
        <f t="shared" si="8"/>
        <v>19917</v>
      </c>
      <c r="E62" s="110">
        <f t="shared" si="8"/>
        <v>18562</v>
      </c>
      <c r="F62" s="110">
        <f t="shared" si="8"/>
        <v>23620</v>
      </c>
      <c r="G62" s="110">
        <f t="shared" si="8"/>
        <v>32304</v>
      </c>
      <c r="H62" s="110">
        <f t="shared" si="8"/>
        <v>34821</v>
      </c>
      <c r="I62" s="110">
        <f t="shared" si="8"/>
        <v>42079</v>
      </c>
      <c r="J62" s="110">
        <f t="shared" si="8"/>
        <v>53911</v>
      </c>
      <c r="K62" s="110">
        <f t="shared" si="8"/>
        <v>54989</v>
      </c>
      <c r="L62" s="110">
        <f t="shared" ref="L62" si="9">SUM(L63:L68)</f>
        <v>57561</v>
      </c>
      <c r="M62" s="110">
        <f t="shared" ref="M62:V62" si="10">SUM(M63:M68)</f>
        <v>57170</v>
      </c>
      <c r="N62" s="110">
        <f t="shared" si="10"/>
        <v>54562</v>
      </c>
      <c r="O62" s="110">
        <f t="shared" si="10"/>
        <v>56592</v>
      </c>
      <c r="P62" s="110">
        <f t="shared" si="10"/>
        <v>59436</v>
      </c>
      <c r="Q62" s="110">
        <f t="shared" si="10"/>
        <v>69360</v>
      </c>
      <c r="R62" s="110">
        <f t="shared" si="10"/>
        <v>75062</v>
      </c>
      <c r="S62" s="110">
        <f t="shared" si="10"/>
        <v>85483</v>
      </c>
      <c r="T62" s="110">
        <f t="shared" si="10"/>
        <v>96840</v>
      </c>
      <c r="U62" s="110">
        <f t="shared" si="10"/>
        <v>97498</v>
      </c>
      <c r="V62" s="110">
        <f t="shared" si="10"/>
        <v>75285</v>
      </c>
      <c r="W62" s="110">
        <f t="shared" ref="W62" si="11">SUM(W63:W68)</f>
        <v>89073</v>
      </c>
      <c r="DA62" s="176" t="s">
        <v>839</v>
      </c>
    </row>
    <row r="63" spans="1:105" ht="11.45" customHeight="1" x14ac:dyDescent="0.25">
      <c r="A63" s="111" t="s">
        <v>110</v>
      </c>
      <c r="B63" s="84">
        <v>23799</v>
      </c>
      <c r="C63" s="84">
        <v>10663</v>
      </c>
      <c r="D63" s="84">
        <v>8765</v>
      </c>
      <c r="E63" s="84">
        <v>10822</v>
      </c>
      <c r="F63" s="84">
        <v>12601</v>
      </c>
      <c r="G63" s="84">
        <v>14851</v>
      </c>
      <c r="H63" s="84">
        <v>17672</v>
      </c>
      <c r="I63" s="84">
        <v>22031</v>
      </c>
      <c r="J63" s="84">
        <v>27718</v>
      </c>
      <c r="K63" s="84">
        <v>26175</v>
      </c>
      <c r="L63" s="84">
        <v>28906</v>
      </c>
      <c r="M63" s="84">
        <v>27602</v>
      </c>
      <c r="N63" s="84">
        <v>21290</v>
      </c>
      <c r="O63" s="84">
        <v>21470</v>
      </c>
      <c r="P63" s="84">
        <v>22239</v>
      </c>
      <c r="Q63" s="84">
        <v>27767</v>
      </c>
      <c r="R63" s="84">
        <v>30675</v>
      </c>
      <c r="S63" s="84">
        <v>37830</v>
      </c>
      <c r="T63" s="84">
        <v>48112</v>
      </c>
      <c r="U63" s="84">
        <v>50551</v>
      </c>
      <c r="V63" s="84">
        <v>36238</v>
      </c>
      <c r="W63" s="84">
        <v>41989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870</v>
      </c>
      <c r="D64" s="84">
        <v>11152</v>
      </c>
      <c r="E64" s="84">
        <v>7740</v>
      </c>
      <c r="F64" s="84">
        <v>11019</v>
      </c>
      <c r="G64" s="84">
        <v>17453</v>
      </c>
      <c r="H64" s="84">
        <v>16816</v>
      </c>
      <c r="I64" s="84">
        <v>19500</v>
      </c>
      <c r="J64" s="84">
        <v>26193</v>
      </c>
      <c r="K64" s="84">
        <v>27159</v>
      </c>
      <c r="L64" s="84">
        <v>28025</v>
      </c>
      <c r="M64" s="84">
        <v>29064</v>
      </c>
      <c r="N64" s="84">
        <v>32053</v>
      </c>
      <c r="O64" s="84">
        <v>32850</v>
      </c>
      <c r="P64" s="84">
        <v>36849</v>
      </c>
      <c r="Q64" s="84">
        <v>41215</v>
      </c>
      <c r="R64" s="84">
        <v>43088</v>
      </c>
      <c r="S64" s="84">
        <v>46671</v>
      </c>
      <c r="T64" s="84">
        <v>47709</v>
      </c>
      <c r="U64" s="84">
        <v>45609</v>
      </c>
      <c r="V64" s="84">
        <v>36653</v>
      </c>
      <c r="W64" s="84">
        <v>44258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333</v>
      </c>
      <c r="I65" s="84">
        <v>548</v>
      </c>
      <c r="J65" s="84">
        <v>0</v>
      </c>
      <c r="K65" s="84">
        <v>1655</v>
      </c>
      <c r="L65" s="84">
        <v>630</v>
      </c>
      <c r="M65" s="84">
        <v>504</v>
      </c>
      <c r="N65" s="84">
        <v>1219</v>
      </c>
      <c r="O65" s="84">
        <v>2272</v>
      </c>
      <c r="P65" s="84">
        <v>347</v>
      </c>
      <c r="Q65" s="84">
        <v>265</v>
      </c>
      <c r="R65" s="84">
        <v>1119</v>
      </c>
      <c r="S65" s="84">
        <v>585</v>
      </c>
      <c r="T65" s="84">
        <v>318</v>
      </c>
      <c r="U65" s="84">
        <v>337</v>
      </c>
      <c r="V65" s="84">
        <v>394</v>
      </c>
      <c r="W65" s="84">
        <v>557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21</v>
      </c>
      <c r="R66" s="84">
        <v>34</v>
      </c>
      <c r="S66" s="84">
        <v>61</v>
      </c>
      <c r="T66" s="84">
        <v>20</v>
      </c>
      <c r="U66" s="84">
        <v>28</v>
      </c>
      <c r="V66" s="84">
        <v>50</v>
      </c>
      <c r="W66" s="84">
        <v>16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173</v>
      </c>
      <c r="U67" s="84">
        <v>160</v>
      </c>
      <c r="V67" s="84">
        <v>244</v>
      </c>
      <c r="W67" s="84">
        <v>511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1</v>
      </c>
      <c r="Q68" s="84">
        <v>92</v>
      </c>
      <c r="R68" s="84">
        <v>146</v>
      </c>
      <c r="S68" s="84">
        <v>336</v>
      </c>
      <c r="T68" s="84">
        <v>508</v>
      </c>
      <c r="U68" s="84">
        <v>813</v>
      </c>
      <c r="V68" s="84">
        <v>1706</v>
      </c>
      <c r="W68" s="84">
        <v>1742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2</v>
      </c>
      <c r="C69" s="110">
        <f t="shared" si="12"/>
        <v>1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7</v>
      </c>
      <c r="H69" s="110">
        <f t="shared" si="12"/>
        <v>31</v>
      </c>
      <c r="I69" s="110">
        <f t="shared" si="12"/>
        <v>45</v>
      </c>
      <c r="J69" s="110">
        <f t="shared" si="12"/>
        <v>80</v>
      </c>
      <c r="K69" s="110">
        <f t="shared" si="12"/>
        <v>68</v>
      </c>
      <c r="L69" s="110">
        <f t="shared" ref="L69" si="13">SUM(L70:L74)</f>
        <v>87</v>
      </c>
      <c r="M69" s="110">
        <f t="shared" ref="M69:V69" si="14">SUM(M70:M74)</f>
        <v>88</v>
      </c>
      <c r="N69" s="110">
        <f t="shared" si="14"/>
        <v>79</v>
      </c>
      <c r="O69" s="110">
        <f t="shared" si="14"/>
        <v>154</v>
      </c>
      <c r="P69" s="110">
        <f t="shared" si="14"/>
        <v>180</v>
      </c>
      <c r="Q69" s="110">
        <f t="shared" si="14"/>
        <v>200</v>
      </c>
      <c r="R69" s="110">
        <f t="shared" si="14"/>
        <v>190</v>
      </c>
      <c r="S69" s="110">
        <f t="shared" si="14"/>
        <v>189</v>
      </c>
      <c r="T69" s="110">
        <f t="shared" si="14"/>
        <v>179</v>
      </c>
      <c r="U69" s="110">
        <f t="shared" si="14"/>
        <v>193</v>
      </c>
      <c r="V69" s="110">
        <f t="shared" si="14"/>
        <v>156</v>
      </c>
      <c r="W69" s="110">
        <f t="shared" ref="W69" si="15">SUM(W70:W74)</f>
        <v>300</v>
      </c>
      <c r="DA69" s="176" t="s">
        <v>846</v>
      </c>
    </row>
    <row r="70" spans="1:105" ht="11.45" customHeight="1" x14ac:dyDescent="0.25">
      <c r="A70" s="111" t="s">
        <v>110</v>
      </c>
      <c r="B70" s="102">
        <v>2</v>
      </c>
      <c r="C70" s="102">
        <v>1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1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7</v>
      </c>
      <c r="H71" s="102">
        <v>31</v>
      </c>
      <c r="I71" s="102">
        <v>45</v>
      </c>
      <c r="J71" s="102">
        <v>80</v>
      </c>
      <c r="K71" s="102">
        <v>68</v>
      </c>
      <c r="L71" s="102">
        <v>87</v>
      </c>
      <c r="M71" s="102">
        <v>88</v>
      </c>
      <c r="N71" s="102">
        <v>79</v>
      </c>
      <c r="O71" s="102">
        <v>153</v>
      </c>
      <c r="P71" s="102">
        <v>171</v>
      </c>
      <c r="Q71" s="102">
        <v>182</v>
      </c>
      <c r="R71" s="102">
        <v>156</v>
      </c>
      <c r="S71" s="102">
        <v>189</v>
      </c>
      <c r="T71" s="102">
        <v>171</v>
      </c>
      <c r="U71" s="102">
        <v>163</v>
      </c>
      <c r="V71" s="102">
        <v>153</v>
      </c>
      <c r="W71" s="102">
        <v>300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9</v>
      </c>
      <c r="Q73" s="102">
        <v>18</v>
      </c>
      <c r="R73" s="102">
        <v>34</v>
      </c>
      <c r="S73" s="102">
        <v>0</v>
      </c>
      <c r="T73" s="102">
        <v>8</v>
      </c>
      <c r="U73" s="102">
        <v>27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3</v>
      </c>
      <c r="V74" s="102">
        <v>3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272</v>
      </c>
      <c r="K75" s="28">
        <f t="shared" si="16"/>
        <v>122</v>
      </c>
      <c r="L75" s="28">
        <f t="shared" ref="L75" si="17">L76+L82</f>
        <v>348</v>
      </c>
      <c r="M75" s="28">
        <f t="shared" ref="M75:V75" si="18">M76+M82</f>
        <v>529</v>
      </c>
      <c r="N75" s="28">
        <f t="shared" si="18"/>
        <v>1618</v>
      </c>
      <c r="O75" s="28">
        <f t="shared" si="18"/>
        <v>5261</v>
      </c>
      <c r="P75" s="28">
        <f t="shared" si="18"/>
        <v>7351</v>
      </c>
      <c r="Q75" s="28">
        <f t="shared" si="18"/>
        <v>9231</v>
      </c>
      <c r="R75" s="28">
        <f t="shared" si="18"/>
        <v>11967</v>
      </c>
      <c r="S75" s="28">
        <f t="shared" si="18"/>
        <v>14133</v>
      </c>
      <c r="T75" s="28">
        <f t="shared" si="18"/>
        <v>15405</v>
      </c>
      <c r="U75" s="28">
        <f t="shared" si="18"/>
        <v>15623</v>
      </c>
      <c r="V75" s="28">
        <f t="shared" si="18"/>
        <v>11245</v>
      </c>
      <c r="W75" s="28">
        <f t="shared" ref="W75" si="19">W76+W82</f>
        <v>14056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204</v>
      </c>
      <c r="K76" s="137">
        <f t="shared" si="20"/>
        <v>122</v>
      </c>
      <c r="L76" s="137">
        <f t="shared" ref="L76" si="21">SUM(L77:L81)</f>
        <v>170</v>
      </c>
      <c r="M76" s="137">
        <f t="shared" ref="M76:V76" si="22">SUM(M77:M81)</f>
        <v>204</v>
      </c>
      <c r="N76" s="137">
        <f t="shared" si="22"/>
        <v>1246</v>
      </c>
      <c r="O76" s="137">
        <f t="shared" si="22"/>
        <v>4138</v>
      </c>
      <c r="P76" s="137">
        <f t="shared" si="22"/>
        <v>5428</v>
      </c>
      <c r="Q76" s="137">
        <f t="shared" si="22"/>
        <v>6627</v>
      </c>
      <c r="R76" s="137">
        <f t="shared" si="22"/>
        <v>8622</v>
      </c>
      <c r="S76" s="137">
        <f t="shared" si="22"/>
        <v>10689</v>
      </c>
      <c r="T76" s="137">
        <f t="shared" si="22"/>
        <v>11876</v>
      </c>
      <c r="U76" s="137">
        <f t="shared" si="22"/>
        <v>12475</v>
      </c>
      <c r="V76" s="137">
        <f t="shared" si="22"/>
        <v>9327</v>
      </c>
      <c r="W76" s="137">
        <f t="shared" ref="W76" si="23">SUM(W77:W81)</f>
        <v>11013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204</v>
      </c>
      <c r="K77" s="84">
        <v>122</v>
      </c>
      <c r="L77" s="84">
        <v>170</v>
      </c>
      <c r="M77" s="84">
        <v>204</v>
      </c>
      <c r="N77" s="84">
        <v>157</v>
      </c>
      <c r="O77" s="84">
        <v>88</v>
      </c>
      <c r="P77" s="84">
        <v>87</v>
      </c>
      <c r="Q77" s="84">
        <v>151</v>
      </c>
      <c r="R77" s="84">
        <v>221</v>
      </c>
      <c r="S77" s="84">
        <v>329</v>
      </c>
      <c r="T77" s="84">
        <v>781</v>
      </c>
      <c r="U77" s="84">
        <v>809</v>
      </c>
      <c r="V77" s="84">
        <v>184</v>
      </c>
      <c r="W77" s="84">
        <v>174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1086</v>
      </c>
      <c r="O78" s="84">
        <v>4040</v>
      </c>
      <c r="P78" s="84">
        <v>5112</v>
      </c>
      <c r="Q78" s="84">
        <v>6388</v>
      </c>
      <c r="R78" s="84">
        <v>8370</v>
      </c>
      <c r="S78" s="84">
        <v>10234</v>
      </c>
      <c r="T78" s="84">
        <v>11042</v>
      </c>
      <c r="U78" s="84">
        <v>11513</v>
      </c>
      <c r="V78" s="84">
        <v>9082</v>
      </c>
      <c r="W78" s="84">
        <v>10763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3</v>
      </c>
      <c r="O79" s="84">
        <v>10</v>
      </c>
      <c r="P79" s="84">
        <v>229</v>
      </c>
      <c r="Q79" s="84">
        <v>47</v>
      </c>
      <c r="R79" s="84">
        <v>12</v>
      </c>
      <c r="S79" s="84">
        <v>48</v>
      </c>
      <c r="T79" s="84">
        <v>16</v>
      </c>
      <c r="U79" s="84">
        <v>85</v>
      </c>
      <c r="V79" s="84">
        <v>35</v>
      </c>
      <c r="W79" s="84">
        <v>15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33</v>
      </c>
      <c r="R80" s="84">
        <v>1</v>
      </c>
      <c r="S80" s="84">
        <v>24</v>
      </c>
      <c r="T80" s="84">
        <v>6</v>
      </c>
      <c r="U80" s="84">
        <v>27</v>
      </c>
      <c r="V80" s="84">
        <v>5</v>
      </c>
      <c r="W80" s="84">
        <v>4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8</v>
      </c>
      <c r="R81" s="84">
        <v>18</v>
      </c>
      <c r="S81" s="84">
        <v>54</v>
      </c>
      <c r="T81" s="84">
        <v>31</v>
      </c>
      <c r="U81" s="84">
        <v>41</v>
      </c>
      <c r="V81" s="84">
        <v>21</v>
      </c>
      <c r="W81" s="84">
        <v>57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68</v>
      </c>
      <c r="K82" s="110">
        <f t="shared" si="24"/>
        <v>0</v>
      </c>
      <c r="L82" s="110">
        <f t="shared" ref="L82" si="25">SUM(L83:L84)</f>
        <v>178</v>
      </c>
      <c r="M82" s="110">
        <f t="shared" ref="M82:V82" si="26">SUM(M83:M84)</f>
        <v>325</v>
      </c>
      <c r="N82" s="110">
        <f t="shared" si="26"/>
        <v>372</v>
      </c>
      <c r="O82" s="110">
        <f t="shared" si="26"/>
        <v>1123</v>
      </c>
      <c r="P82" s="110">
        <f t="shared" si="26"/>
        <v>1923</v>
      </c>
      <c r="Q82" s="110">
        <f t="shared" si="26"/>
        <v>2604</v>
      </c>
      <c r="R82" s="110">
        <f t="shared" si="26"/>
        <v>3345</v>
      </c>
      <c r="S82" s="110">
        <f t="shared" si="26"/>
        <v>3444</v>
      </c>
      <c r="T82" s="110">
        <f t="shared" si="26"/>
        <v>3529</v>
      </c>
      <c r="U82" s="110">
        <f t="shared" si="26"/>
        <v>3148</v>
      </c>
      <c r="V82" s="110">
        <f t="shared" si="26"/>
        <v>1918</v>
      </c>
      <c r="W82" s="110">
        <f t="shared" ref="W82" si="27">SUM(W83:W84)</f>
        <v>3043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0</v>
      </c>
      <c r="L83" s="102">
        <v>0</v>
      </c>
      <c r="M83" s="102">
        <v>0</v>
      </c>
      <c r="N83" s="102">
        <v>0</v>
      </c>
      <c r="O83" s="102">
        <v>835</v>
      </c>
      <c r="P83" s="102">
        <v>1590</v>
      </c>
      <c r="Q83" s="102">
        <v>1942</v>
      </c>
      <c r="R83" s="102">
        <v>2490</v>
      </c>
      <c r="S83" s="102">
        <v>2609</v>
      </c>
      <c r="T83" s="102">
        <v>2999</v>
      </c>
      <c r="U83" s="102">
        <v>2586</v>
      </c>
      <c r="V83" s="102">
        <v>1800</v>
      </c>
      <c r="W83" s="102">
        <v>2041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68</v>
      </c>
      <c r="K84" s="86">
        <v>0</v>
      </c>
      <c r="L84" s="86">
        <v>178</v>
      </c>
      <c r="M84" s="86">
        <v>325</v>
      </c>
      <c r="N84" s="86">
        <v>372</v>
      </c>
      <c r="O84" s="86">
        <v>288</v>
      </c>
      <c r="P84" s="86">
        <v>333</v>
      </c>
      <c r="Q84" s="86">
        <v>662</v>
      </c>
      <c r="R84" s="86">
        <v>855</v>
      </c>
      <c r="S84" s="86">
        <v>835</v>
      </c>
      <c r="T84" s="86">
        <v>530</v>
      </c>
      <c r="U84" s="86">
        <v>562</v>
      </c>
      <c r="V84" s="86">
        <v>118</v>
      </c>
      <c r="W84" s="86">
        <v>1002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4.189661826395783</v>
      </c>
      <c r="C90" s="141">
        <v>4.1685826653170643</v>
      </c>
      <c r="D90" s="141">
        <v>4.1444038012790898</v>
      </c>
      <c r="E90" s="141">
        <v>4.114427192367172</v>
      </c>
      <c r="F90" s="141">
        <v>4.0774910849806316</v>
      </c>
      <c r="G90" s="141">
        <v>4.0336460646154171</v>
      </c>
      <c r="H90" s="141">
        <v>3.9590275633091858</v>
      </c>
      <c r="I90" s="141">
        <v>3.7601060861370668</v>
      </c>
      <c r="J90" s="141">
        <v>3.6471891086428099</v>
      </c>
      <c r="K90" s="141">
        <v>3.5626989329067107</v>
      </c>
      <c r="L90" s="141">
        <v>3.5126544048672321</v>
      </c>
      <c r="M90" s="141">
        <v>3.4746669284354614</v>
      </c>
      <c r="N90" s="141">
        <v>3.4514455809055713</v>
      </c>
      <c r="O90" s="141">
        <v>3.3996287705164612</v>
      </c>
      <c r="P90" s="141">
        <v>3.3487282983961055</v>
      </c>
      <c r="Q90" s="141">
        <v>3.2553788789188203</v>
      </c>
      <c r="R90" s="141">
        <v>3.1913916283483466</v>
      </c>
      <c r="S90" s="141">
        <v>3.0117130495158113</v>
      </c>
      <c r="T90" s="141">
        <v>2.9462332306470396</v>
      </c>
      <c r="U90" s="141">
        <v>2.875948831810768</v>
      </c>
      <c r="V90" s="141">
        <v>2.8303026869273631</v>
      </c>
      <c r="W90" s="141">
        <v>2.6340765272256288</v>
      </c>
      <c r="DA90" s="174" t="s">
        <v>862</v>
      </c>
    </row>
    <row r="91" spans="1:105" ht="11.45" customHeight="1" x14ac:dyDescent="0.25">
      <c r="A91" s="109" t="s">
        <v>20</v>
      </c>
      <c r="B91" s="130">
        <v>8.2364474285425295</v>
      </c>
      <c r="C91" s="130">
        <v>8.1121136289990901</v>
      </c>
      <c r="D91" s="130">
        <v>8.0105687684428304</v>
      </c>
      <c r="E91" s="130">
        <v>7.9510185918493521</v>
      </c>
      <c r="F91" s="130">
        <v>7.8694789684196209</v>
      </c>
      <c r="G91" s="130">
        <v>7.7967053306425198</v>
      </c>
      <c r="H91" s="130">
        <v>7.718974475603166</v>
      </c>
      <c r="I91" s="130">
        <v>7.6302295097905093</v>
      </c>
      <c r="J91" s="130">
        <v>7.5156982364735674</v>
      </c>
      <c r="K91" s="130">
        <v>7.3995727003465452</v>
      </c>
      <c r="L91" s="130">
        <v>7.2678088849181774</v>
      </c>
      <c r="M91" s="130">
        <v>7.1511758229492344</v>
      </c>
      <c r="N91" s="130">
        <v>7.0284887518668047</v>
      </c>
      <c r="O91" s="130">
        <v>6.8917411080228526</v>
      </c>
      <c r="P91" s="130">
        <v>6.7446493253008404</v>
      </c>
      <c r="Q91" s="130">
        <v>6.6034194798032022</v>
      </c>
      <c r="R91" s="130">
        <v>6.4613554420444306</v>
      </c>
      <c r="S91" s="130">
        <v>6.3044424473604241</v>
      </c>
      <c r="T91" s="130">
        <v>6.1366682543097939</v>
      </c>
      <c r="U91" s="130">
        <v>5.9898246978344201</v>
      </c>
      <c r="V91" s="130">
        <v>5.8341655556603813</v>
      </c>
      <c r="W91" s="130">
        <v>5.6759566971953559</v>
      </c>
      <c r="DA91" s="176" t="s">
        <v>863</v>
      </c>
    </row>
    <row r="92" spans="1:105" ht="11.45" customHeight="1" x14ac:dyDescent="0.25">
      <c r="A92" s="111" t="s">
        <v>110</v>
      </c>
      <c r="B92" s="96">
        <v>8.3139911224818572</v>
      </c>
      <c r="C92" s="96">
        <v>8.1625320299078901</v>
      </c>
      <c r="D92" s="96">
        <v>8.107054909880258</v>
      </c>
      <c r="E92" s="96">
        <v>8.0474030573819846</v>
      </c>
      <c r="F92" s="96">
        <v>7.9836056198789569</v>
      </c>
      <c r="G92" s="96">
        <v>7.9263973277910518</v>
      </c>
      <c r="H92" s="96">
        <v>7.8521320183756309</v>
      </c>
      <c r="I92" s="96">
        <v>7.7598667275923496</v>
      </c>
      <c r="J92" s="96">
        <v>7.6337358337264867</v>
      </c>
      <c r="K92" s="96">
        <v>7.5034184723838173</v>
      </c>
      <c r="L92" s="96">
        <v>7.3495974580878309</v>
      </c>
      <c r="M92" s="96">
        <v>7.2093970478010601</v>
      </c>
      <c r="N92" s="96">
        <v>7.0822831747265198</v>
      </c>
      <c r="O92" s="96">
        <v>6.9473072243489149</v>
      </c>
      <c r="P92" s="96">
        <v>6.8001319242030531</v>
      </c>
      <c r="Q92" s="96">
        <v>6.6351573594581552</v>
      </c>
      <c r="R92" s="96">
        <v>6.4694676569927969</v>
      </c>
      <c r="S92" s="96">
        <v>6.2813722524636315</v>
      </c>
      <c r="T92" s="96">
        <v>6.0693492506620625</v>
      </c>
      <c r="U92" s="96">
        <v>5.8770444809652806</v>
      </c>
      <c r="V92" s="96">
        <v>5.7052103741605187</v>
      </c>
      <c r="W92" s="96">
        <v>5.5332666462818159</v>
      </c>
      <c r="DA92" s="171" t="s">
        <v>864</v>
      </c>
    </row>
    <row r="93" spans="1:105" ht="11.45" customHeight="1" x14ac:dyDescent="0.25">
      <c r="A93" s="111" t="s">
        <v>111</v>
      </c>
      <c r="B93" s="96">
        <v>7.6888801160762146</v>
      </c>
      <c r="C93" s="96">
        <v>7.5012706503812527</v>
      </c>
      <c r="D93" s="96">
        <v>7.2600660993358446</v>
      </c>
      <c r="E93" s="96">
        <v>7.1391509117892662</v>
      </c>
      <c r="F93" s="96">
        <v>7.0793100236327291</v>
      </c>
      <c r="G93" s="96">
        <v>7.0267396358108112</v>
      </c>
      <c r="H93" s="96">
        <v>6.9995403246944266</v>
      </c>
      <c r="I93" s="96">
        <v>6.9643780247032625</v>
      </c>
      <c r="J93" s="96">
        <v>6.8997721106895415</v>
      </c>
      <c r="K93" s="96">
        <v>6.824865428648339</v>
      </c>
      <c r="L93" s="96">
        <v>6.7464130479989466</v>
      </c>
      <c r="M93" s="96">
        <v>6.6714031763273933</v>
      </c>
      <c r="N93" s="96">
        <v>6.5698835840925121</v>
      </c>
      <c r="O93" s="96">
        <v>6.4347147704071102</v>
      </c>
      <c r="P93" s="96">
        <v>6.2889799813287857</v>
      </c>
      <c r="Q93" s="96">
        <v>6.1677795848728856</v>
      </c>
      <c r="R93" s="96">
        <v>6.0567508336125764</v>
      </c>
      <c r="S93" s="96">
        <v>5.9405007962950549</v>
      </c>
      <c r="T93" s="96">
        <v>5.829568154859941</v>
      </c>
      <c r="U93" s="96">
        <v>5.7416593044524173</v>
      </c>
      <c r="V93" s="96">
        <v>5.6442355804005304</v>
      </c>
      <c r="W93" s="96">
        <v>5.5407584181361429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6.3567928771151534</v>
      </c>
      <c r="I94" s="96">
        <v>6.4579324722919553</v>
      </c>
      <c r="J94" s="96">
        <v>6.472476495746756</v>
      </c>
      <c r="K94" s="96">
        <v>6.5040796466001014</v>
      </c>
      <c r="L94" s="96">
        <v>6.4722205061396618</v>
      </c>
      <c r="M94" s="96">
        <v>6.4609270734337905</v>
      </c>
      <c r="N94" s="96">
        <v>6.426806727771142</v>
      </c>
      <c r="O94" s="96">
        <v>6.3533893153345442</v>
      </c>
      <c r="P94" s="96">
        <v>6.3099569773711695</v>
      </c>
      <c r="Q94" s="96">
        <v>6.2903759187429129</v>
      </c>
      <c r="R94" s="96">
        <v>6.1800127500412607</v>
      </c>
      <c r="S94" s="96">
        <v>6.1228470481346138</v>
      </c>
      <c r="T94" s="96">
        <v>6.0906589529812249</v>
      </c>
      <c r="U94" s="96">
        <v>6.0608552204289685</v>
      </c>
      <c r="V94" s="96">
        <v>6.0304949628737257</v>
      </c>
      <c r="W94" s="96">
        <v>5.961477068463731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5.8836376896622529</v>
      </c>
      <c r="O95" s="96">
        <v>5.8343781255367224</v>
      </c>
      <c r="P95" s="96">
        <v>5.4423590495799079</v>
      </c>
      <c r="Q95" s="96">
        <v>5.1323860058483621</v>
      </c>
      <c r="R95" s="96">
        <v>5.0859014823395761</v>
      </c>
      <c r="S95" s="96">
        <v>5.0311295125619253</v>
      </c>
      <c r="T95" s="96">
        <v>5.0958397993046241</v>
      </c>
      <c r="U95" s="96">
        <v>5.0661301220714758</v>
      </c>
      <c r="V95" s="96">
        <v>4.959566040521203</v>
      </c>
      <c r="W95" s="96">
        <v>4.9041312615248156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2.3513424518066168</v>
      </c>
      <c r="P96" s="96">
        <v>2.4385857370909485</v>
      </c>
      <c r="Q96" s="96">
        <v>2.3247805881454946</v>
      </c>
      <c r="R96" s="96">
        <v>2.5394677386792139</v>
      </c>
      <c r="S96" s="96">
        <v>3.0995502333689955</v>
      </c>
      <c r="T96" s="96">
        <v>3.2139530340316544</v>
      </c>
      <c r="U96" s="96">
        <v>3.1752913818423916</v>
      </c>
      <c r="V96" s="96">
        <v>3.158754088362651</v>
      </c>
      <c r="W96" s="96">
        <v>2.8984024111207765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1.6199263019531938</v>
      </c>
      <c r="N97" s="96">
        <v>1.5394954504103344</v>
      </c>
      <c r="O97" s="96">
        <v>1.5397836173315114</v>
      </c>
      <c r="P97" s="96">
        <v>1.4221174258303524</v>
      </c>
      <c r="Q97" s="96">
        <v>1.2931197135801153</v>
      </c>
      <c r="R97" s="96">
        <v>1.2385354354198879</v>
      </c>
      <c r="S97" s="96">
        <v>1.1933334083943363</v>
      </c>
      <c r="T97" s="96">
        <v>1.1860363527078794</v>
      </c>
      <c r="U97" s="96">
        <v>1.2787121713068135</v>
      </c>
      <c r="V97" s="96">
        <v>1.3467385199595807</v>
      </c>
      <c r="W97" s="96">
        <v>1.3721158810099434</v>
      </c>
      <c r="DA97" s="171" t="s">
        <v>869</v>
      </c>
    </row>
    <row r="98" spans="1:105" ht="11.45" customHeight="1" x14ac:dyDescent="0.25">
      <c r="A98" s="109" t="s">
        <v>21</v>
      </c>
      <c r="B98" s="130">
        <v>53.556676465260558</v>
      </c>
      <c r="C98" s="130">
        <v>51.624510741835998</v>
      </c>
      <c r="D98" s="130">
        <v>51.311722733707725</v>
      </c>
      <c r="E98" s="130">
        <v>50.893369995513915</v>
      </c>
      <c r="F98" s="130">
        <v>50.590677180774783</v>
      </c>
      <c r="G98" s="130">
        <v>50.143013404385485</v>
      </c>
      <c r="H98" s="130">
        <v>49.726161716602455</v>
      </c>
      <c r="I98" s="130">
        <v>49.37729342467096</v>
      </c>
      <c r="J98" s="130">
        <v>48.875550108565037</v>
      </c>
      <c r="K98" s="130">
        <v>48.507961360175599</v>
      </c>
      <c r="L98" s="130">
        <v>48.082666853441992</v>
      </c>
      <c r="M98" s="130">
        <v>47.749272736891868</v>
      </c>
      <c r="N98" s="130">
        <v>47.317351907215681</v>
      </c>
      <c r="O98" s="130">
        <v>46.844274775167662</v>
      </c>
      <c r="P98" s="130">
        <v>46.269195781058116</v>
      </c>
      <c r="Q98" s="130">
        <v>45.778624751861322</v>
      </c>
      <c r="R98" s="130">
        <v>45.324903146927937</v>
      </c>
      <c r="S98" s="130">
        <v>45.048028334536419</v>
      </c>
      <c r="T98" s="130">
        <v>44.727752246806489</v>
      </c>
      <c r="U98" s="130">
        <v>44.33433936959328</v>
      </c>
      <c r="V98" s="130">
        <v>43.1684379647687</v>
      </c>
      <c r="W98" s="130">
        <v>43.051578725979518</v>
      </c>
      <c r="DA98" s="176" t="s">
        <v>870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18.444492913647345</v>
      </c>
      <c r="D99" s="97">
        <v>18.437332351114073</v>
      </c>
      <c r="E99" s="97">
        <v>18.423550104935003</v>
      </c>
      <c r="F99" s="97">
        <v>18.403762151759249</v>
      </c>
      <c r="G99" s="97">
        <v>18.39156217793229</v>
      </c>
      <c r="H99" s="97">
        <v>18.36227089976737</v>
      </c>
      <c r="I99" s="97">
        <v>18.343449010612414</v>
      </c>
      <c r="J99" s="97">
        <v>18.295683571194207</v>
      </c>
      <c r="K99" s="97">
        <v>18.245644215357402</v>
      </c>
      <c r="L99" s="97">
        <v>18.199512755414023</v>
      </c>
      <c r="M99" s="97">
        <v>18.104736254659308</v>
      </c>
      <c r="N99" s="97">
        <v>18.060110904336621</v>
      </c>
      <c r="O99" s="97">
        <v>16.081780813408745</v>
      </c>
      <c r="P99" s="97">
        <v>15.652332793833592</v>
      </c>
      <c r="Q99" s="97">
        <v>15.142386124066091</v>
      </c>
      <c r="R99" s="97">
        <v>15.142386124066089</v>
      </c>
      <c r="S99" s="97">
        <v>15.142386124066089</v>
      </c>
      <c r="T99" s="97">
        <v>15.142386124066091</v>
      </c>
      <c r="U99" s="97">
        <v>15.142386124066093</v>
      </c>
      <c r="V99" s="97">
        <v>15.142386124066089</v>
      </c>
      <c r="W99" s="97">
        <v>15.142386124066093</v>
      </c>
      <c r="DA99" s="175" t="s">
        <v>871</v>
      </c>
    </row>
    <row r="100" spans="1:105" ht="11.45" customHeight="1" x14ac:dyDescent="0.25">
      <c r="A100" s="111" t="s">
        <v>111</v>
      </c>
      <c r="B100" s="97">
        <v>54.208251131155727</v>
      </c>
      <c r="C100" s="97">
        <v>51.592351417217152</v>
      </c>
      <c r="D100" s="97">
        <v>51.199530696084629</v>
      </c>
      <c r="E100" s="97">
        <v>50.681428545876216</v>
      </c>
      <c r="F100" s="97">
        <v>50.276910934103221</v>
      </c>
      <c r="G100" s="97">
        <v>49.802926422543138</v>
      </c>
      <c r="H100" s="97">
        <v>49.35115150708998</v>
      </c>
      <c r="I100" s="97">
        <v>48.986467943703573</v>
      </c>
      <c r="J100" s="97">
        <v>48.476417775777158</v>
      </c>
      <c r="K100" s="97">
        <v>48.108953115214412</v>
      </c>
      <c r="L100" s="97">
        <v>47.697836111059189</v>
      </c>
      <c r="M100" s="97">
        <v>47.364060462514509</v>
      </c>
      <c r="N100" s="97">
        <v>47.053972472361842</v>
      </c>
      <c r="O100" s="97">
        <v>46.588478717008016</v>
      </c>
      <c r="P100" s="97">
        <v>46.118930666067733</v>
      </c>
      <c r="Q100" s="97">
        <v>45.693781382007977</v>
      </c>
      <c r="R100" s="97">
        <v>45.32699677454039</v>
      </c>
      <c r="S100" s="97">
        <v>44.997934734778092</v>
      </c>
      <c r="T100" s="97">
        <v>44.691063678141177</v>
      </c>
      <c r="U100" s="97">
        <v>44.400861712263101</v>
      </c>
      <c r="V100" s="97">
        <v>43.510300297873954</v>
      </c>
      <c r="W100" s="97">
        <v>43.299436188216973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37.031113281497682</v>
      </c>
      <c r="O102" s="97">
        <v>36.635045260717696</v>
      </c>
      <c r="P102" s="97">
        <v>36.409926578915105</v>
      </c>
      <c r="Q102" s="97">
        <v>36.273970431923765</v>
      </c>
      <c r="R102" s="97">
        <v>35.997775542915122</v>
      </c>
      <c r="S102" s="97">
        <v>35.991522536527349</v>
      </c>
      <c r="T102" s="97">
        <v>35.940293209838771</v>
      </c>
      <c r="U102" s="97">
        <v>35.808494244874943</v>
      </c>
      <c r="V102" s="97">
        <v>35.750187725644857</v>
      </c>
      <c r="W102" s="97">
        <v>35.746086570663635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28.872641845773401</v>
      </c>
      <c r="Q103" s="97">
        <v>28.872641845773401</v>
      </c>
      <c r="R103" s="97">
        <v>28.446521396513035</v>
      </c>
      <c r="S103" s="97">
        <v>28.311359764474997</v>
      </c>
      <c r="T103" s="97">
        <v>27.714374393008775</v>
      </c>
      <c r="U103" s="97">
        <v>27.173977818225715</v>
      </c>
      <c r="V103" s="97">
        <v>27.006573566719229</v>
      </c>
      <c r="W103" s="97">
        <v>27.006573566719229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10.567109303466015</v>
      </c>
      <c r="C105" s="141">
        <v>10.377827863491349</v>
      </c>
      <c r="D105" s="141">
        <v>10.287725891217065</v>
      </c>
      <c r="E105" s="141">
        <v>10.216695606621292</v>
      </c>
      <c r="F105" s="141">
        <v>10.157635269450413</v>
      </c>
      <c r="G105" s="141">
        <v>10.112305101607502</v>
      </c>
      <c r="H105" s="141">
        <v>10.068066681876685</v>
      </c>
      <c r="I105" s="141">
        <v>10.001536868292751</v>
      </c>
      <c r="J105" s="141">
        <v>9.9057001872185158</v>
      </c>
      <c r="K105" s="141">
        <v>9.8238877270056992</v>
      </c>
      <c r="L105" s="141">
        <v>9.7926857854872171</v>
      </c>
      <c r="M105" s="141">
        <v>9.7750431660431936</v>
      </c>
      <c r="N105" s="141">
        <v>9.5747780904916766</v>
      </c>
      <c r="O105" s="141">
        <v>9.3363777666889405</v>
      </c>
      <c r="P105" s="141">
        <v>9.1448474643219946</v>
      </c>
      <c r="Q105" s="141">
        <v>8.9082694780159404</v>
      </c>
      <c r="R105" s="141">
        <v>8.611794752819721</v>
      </c>
      <c r="S105" s="141">
        <v>8.2604459490439197</v>
      </c>
      <c r="T105" s="141">
        <v>7.9525739606988406</v>
      </c>
      <c r="U105" s="141">
        <v>7.6824044994226632</v>
      </c>
      <c r="V105" s="141">
        <v>7.5170927609372447</v>
      </c>
      <c r="W105" s="141">
        <v>7.2857953662687791</v>
      </c>
      <c r="DA105" s="174" t="s">
        <v>876</v>
      </c>
    </row>
    <row r="106" spans="1:105" ht="11.45" customHeight="1" x14ac:dyDescent="0.25">
      <c r="A106" s="111" t="s">
        <v>110</v>
      </c>
      <c r="B106" s="96">
        <v>8.5680361904176614</v>
      </c>
      <c r="C106" s="96">
        <v>8.3528595691078902</v>
      </c>
      <c r="D106" s="96">
        <v>8.2586268680150692</v>
      </c>
      <c r="E106" s="96">
        <v>8.1735808266987586</v>
      </c>
      <c r="F106" s="96">
        <v>8.1055686838849468</v>
      </c>
      <c r="G106" s="96">
        <v>8.0460369804964778</v>
      </c>
      <c r="H106" s="96">
        <v>7.9442788266893469</v>
      </c>
      <c r="I106" s="96">
        <v>7.8623883469491425</v>
      </c>
      <c r="J106" s="96">
        <v>7.7248131135369116</v>
      </c>
      <c r="K106" s="96">
        <v>7.6475668773853327</v>
      </c>
      <c r="L106" s="96">
        <v>7.5721653112822302</v>
      </c>
      <c r="M106" s="96">
        <v>7.4851446288651022</v>
      </c>
      <c r="N106" s="96">
        <v>7.415269347806853</v>
      </c>
      <c r="O106" s="96">
        <v>7.328821691464416</v>
      </c>
      <c r="P106" s="96">
        <v>7.2165277702569064</v>
      </c>
      <c r="Q106" s="96">
        <v>7.0892680901606475</v>
      </c>
      <c r="R106" s="96">
        <v>6.8847186159791729</v>
      </c>
      <c r="S106" s="96">
        <v>6.6334528624240789</v>
      </c>
      <c r="T106" s="96">
        <v>6.2070285025472325</v>
      </c>
      <c r="U106" s="96">
        <v>5.898650986606448</v>
      </c>
      <c r="V106" s="96">
        <v>5.7863183966406613</v>
      </c>
      <c r="W106" s="96">
        <v>5.7461145500538748</v>
      </c>
      <c r="DA106" s="171" t="s">
        <v>877</v>
      </c>
    </row>
    <row r="107" spans="1:105" ht="11.45" customHeight="1" x14ac:dyDescent="0.25">
      <c r="A107" s="111" t="s">
        <v>111</v>
      </c>
      <c r="B107" s="96">
        <v>11.336169663898369</v>
      </c>
      <c r="C107" s="96">
        <v>11.055614379278083</v>
      </c>
      <c r="D107" s="96">
        <v>10.889767263205501</v>
      </c>
      <c r="E107" s="96">
        <v>10.733479493832455</v>
      </c>
      <c r="F107" s="96">
        <v>10.590039382637356</v>
      </c>
      <c r="G107" s="96">
        <v>10.47484836909935</v>
      </c>
      <c r="H107" s="96">
        <v>10.355760729544354</v>
      </c>
      <c r="I107" s="96">
        <v>10.260341415009112</v>
      </c>
      <c r="J107" s="96">
        <v>10.131442165727623</v>
      </c>
      <c r="K107" s="96">
        <v>10.032421131695195</v>
      </c>
      <c r="L107" s="96">
        <v>10.006800508976832</v>
      </c>
      <c r="M107" s="96">
        <v>9.9938140675157587</v>
      </c>
      <c r="N107" s="96">
        <v>9.7384429768062457</v>
      </c>
      <c r="O107" s="96">
        <v>9.4548581786527688</v>
      </c>
      <c r="P107" s="96">
        <v>9.2117302674686599</v>
      </c>
      <c r="Q107" s="96">
        <v>8.9352947243765311</v>
      </c>
      <c r="R107" s="96">
        <v>8.6052619514845965</v>
      </c>
      <c r="S107" s="96">
        <v>8.2388922896119876</v>
      </c>
      <c r="T107" s="96">
        <v>7.9478322730617581</v>
      </c>
      <c r="U107" s="96">
        <v>7.7053782024894213</v>
      </c>
      <c r="V107" s="96">
        <v>7.5582288108531159</v>
      </c>
      <c r="W107" s="96">
        <v>7.3480171542573434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12.034836307859106</v>
      </c>
      <c r="I108" s="96">
        <v>11.999880916632188</v>
      </c>
      <c r="J108" s="96">
        <v>11.684818928043997</v>
      </c>
      <c r="K108" s="96">
        <v>11.175944893934815</v>
      </c>
      <c r="L108" s="96">
        <v>11.027690584141954</v>
      </c>
      <c r="M108" s="96">
        <v>11.023720984403282</v>
      </c>
      <c r="N108" s="96">
        <v>10.867852002807577</v>
      </c>
      <c r="O108" s="96">
        <v>10.371303886825707</v>
      </c>
      <c r="P108" s="96">
        <v>9.3550737952659375</v>
      </c>
      <c r="Q108" s="96">
        <v>9.1990164149359366</v>
      </c>
      <c r="R108" s="96">
        <v>9.0628173199788833</v>
      </c>
      <c r="S108" s="96">
        <v>8.700301922126739</v>
      </c>
      <c r="T108" s="96">
        <v>8.4985711401740325</v>
      </c>
      <c r="U108" s="96">
        <v>7.9848417001337006</v>
      </c>
      <c r="V108" s="96">
        <v>7.8946234317136348</v>
      </c>
      <c r="W108" s="96">
        <v>7.8218028138400433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7.1942537436636709</v>
      </c>
      <c r="Q109" s="96">
        <v>7.5174956873568508</v>
      </c>
      <c r="R109" s="96">
        <v>7.4848300158876269</v>
      </c>
      <c r="S109" s="96">
        <v>6.6881422272644322</v>
      </c>
      <c r="T109" s="96">
        <v>6.4472309750342687</v>
      </c>
      <c r="U109" s="96">
        <v>6.2041993920456422</v>
      </c>
      <c r="V109" s="96">
        <v>6.289959977811618</v>
      </c>
      <c r="W109" s="96">
        <v>6.4011281444694985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1.2508321057961216</v>
      </c>
      <c r="Q110" s="96">
        <v>1.2925008628831816</v>
      </c>
      <c r="R110" s="96">
        <v>1.3096207796977721</v>
      </c>
      <c r="S110" s="96">
        <v>1.3170115673413278</v>
      </c>
      <c r="T110" s="96">
        <v>1.3242369902090667</v>
      </c>
      <c r="U110" s="96">
        <v>1.3313572100643922</v>
      </c>
      <c r="V110" s="96">
        <v>1.3589581836426832</v>
      </c>
      <c r="W110" s="96">
        <v>1.4578760285742351</v>
      </c>
      <c r="DA110" s="171" t="s">
        <v>881</v>
      </c>
    </row>
    <row r="111" spans="1:105" ht="11.45" customHeight="1" x14ac:dyDescent="0.25">
      <c r="A111" s="109" t="s">
        <v>158</v>
      </c>
      <c r="B111" s="130">
        <v>28.893128316481729</v>
      </c>
      <c r="C111" s="130">
        <v>28.804712097000959</v>
      </c>
      <c r="D111" s="130">
        <v>28.684124195792847</v>
      </c>
      <c r="E111" s="130">
        <v>28.548205855739699</v>
      </c>
      <c r="F111" s="130">
        <v>28.43980693244859</v>
      </c>
      <c r="G111" s="130">
        <v>28.254052184228087</v>
      </c>
      <c r="H111" s="130">
        <v>28.046141843612897</v>
      </c>
      <c r="I111" s="130">
        <v>27.709961408449075</v>
      </c>
      <c r="J111" s="130">
        <v>27.395889843349718</v>
      </c>
      <c r="K111" s="130">
        <v>27.113533841617034</v>
      </c>
      <c r="L111" s="130">
        <v>26.873110658649129</v>
      </c>
      <c r="M111" s="130">
        <v>26.635974460388745</v>
      </c>
      <c r="N111" s="130">
        <v>26.421797394655322</v>
      </c>
      <c r="O111" s="130">
        <v>26.127284898389078</v>
      </c>
      <c r="P111" s="130">
        <v>25.748766698930329</v>
      </c>
      <c r="Q111" s="130">
        <v>25.345496461836998</v>
      </c>
      <c r="R111" s="130">
        <v>24.890034252896136</v>
      </c>
      <c r="S111" s="130">
        <v>24.441811980863541</v>
      </c>
      <c r="T111" s="130">
        <v>23.957666985482732</v>
      </c>
      <c r="U111" s="130">
        <v>23.419193830504682</v>
      </c>
      <c r="V111" s="130">
        <v>23.150940392888625</v>
      </c>
      <c r="W111" s="130">
        <v>22.737450499068434</v>
      </c>
      <c r="DA111" s="176" t="s">
        <v>882</v>
      </c>
    </row>
    <row r="112" spans="1:105" ht="11.45" customHeight="1" x14ac:dyDescent="0.25">
      <c r="A112" s="128" t="s">
        <v>27</v>
      </c>
      <c r="B112" s="97">
        <v>28.013300489846433</v>
      </c>
      <c r="C112" s="97">
        <v>27.865976348330211</v>
      </c>
      <c r="D112" s="97">
        <v>27.732308880748576</v>
      </c>
      <c r="E112" s="97">
        <v>27.578468501253464</v>
      </c>
      <c r="F112" s="97">
        <v>27.375015547865051</v>
      </c>
      <c r="G112" s="97">
        <v>27.133182195780272</v>
      </c>
      <c r="H112" s="97">
        <v>26.850846288013461</v>
      </c>
      <c r="I112" s="97">
        <v>26.542667709971916</v>
      </c>
      <c r="J112" s="97">
        <v>26.196579484782372</v>
      </c>
      <c r="K112" s="97">
        <v>25.990129001258005</v>
      </c>
      <c r="L112" s="97">
        <v>25.688405547915721</v>
      </c>
      <c r="M112" s="97">
        <v>25.409218893118819</v>
      </c>
      <c r="N112" s="97">
        <v>25.163841027716067</v>
      </c>
      <c r="O112" s="97">
        <v>24.862143046166505</v>
      </c>
      <c r="P112" s="97">
        <v>24.492359980405908</v>
      </c>
      <c r="Q112" s="97">
        <v>24.037287760888432</v>
      </c>
      <c r="R112" s="97">
        <v>23.597607522813021</v>
      </c>
      <c r="S112" s="97">
        <v>23.084062890573108</v>
      </c>
      <c r="T112" s="97">
        <v>22.619163790044606</v>
      </c>
      <c r="U112" s="97">
        <v>21.997802804965723</v>
      </c>
      <c r="V112" s="97">
        <v>21.859175036683414</v>
      </c>
      <c r="W112" s="97">
        <v>21.344109472304439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36.301221547832988</v>
      </c>
      <c r="D113" s="98">
        <v>35.908408167354018</v>
      </c>
      <c r="E113" s="98">
        <v>35.571091749801653</v>
      </c>
      <c r="F113" s="98">
        <v>34.870722569999359</v>
      </c>
      <c r="G113" s="98">
        <v>34.504446026472195</v>
      </c>
      <c r="H113" s="98">
        <v>33.899687708038144</v>
      </c>
      <c r="I113" s="98">
        <v>33.556189085508116</v>
      </c>
      <c r="J113" s="98">
        <v>33.211432118474868</v>
      </c>
      <c r="K113" s="98">
        <v>32.954978662737688</v>
      </c>
      <c r="L113" s="98">
        <v>32.577677068077222</v>
      </c>
      <c r="M113" s="98">
        <v>32.116327771945464</v>
      </c>
      <c r="N113" s="98">
        <v>31.735810751602774</v>
      </c>
      <c r="O113" s="98">
        <v>31.405710487465171</v>
      </c>
      <c r="P113" s="98">
        <v>31.013093614887598</v>
      </c>
      <c r="Q113" s="98">
        <v>30.353174742980553</v>
      </c>
      <c r="R113" s="98">
        <v>29.589855351451313</v>
      </c>
      <c r="S113" s="98">
        <v>28.937249507794188</v>
      </c>
      <c r="T113" s="98">
        <v>28.488054283354479</v>
      </c>
      <c r="U113" s="98">
        <v>27.99377757673442</v>
      </c>
      <c r="V113" s="98">
        <v>27.738006924277396</v>
      </c>
      <c r="W113" s="98">
        <v>27.032979003902867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1.0725000000065621</v>
      </c>
      <c r="C117" s="150">
        <f>IF(TrRoad_act!C59=0,0,TrRoad_ene!C62/TrRoad_tech!C90)</f>
        <v>1.0726509522983112</v>
      </c>
      <c r="D117" s="150">
        <f>IF(TrRoad_act!D59=0,0,TrRoad_ene!D62/TrRoad_tech!D90)</f>
        <v>1.0730428765836713</v>
      </c>
      <c r="E117" s="150">
        <f>IF(TrRoad_act!E59=0,0,TrRoad_ene!E62/TrRoad_tech!E90)</f>
        <v>1.0738156382271913</v>
      </c>
      <c r="F117" s="150">
        <f>IF(TrRoad_act!F59=0,0,TrRoad_ene!F62/TrRoad_tech!F90)</f>
        <v>1.0752816862069356</v>
      </c>
      <c r="G117" s="150">
        <f>IF(TrRoad_act!G59=0,0,TrRoad_ene!G62/TrRoad_tech!G90)</f>
        <v>1.0775461339308809</v>
      </c>
      <c r="H117" s="150">
        <f>IF(TrRoad_act!H59=0,0,TrRoad_ene!H62/TrRoad_tech!H90)</f>
        <v>1.0821975612711645</v>
      </c>
      <c r="I117" s="150">
        <f>IF(TrRoad_act!I59=0,0,TrRoad_ene!I62/TrRoad_tech!I90)</f>
        <v>1.0979845143260787</v>
      </c>
      <c r="J117" s="150">
        <f>IF(TrRoad_act!J59=0,0,TrRoad_ene!J62/TrRoad_tech!J90)</f>
        <v>1.1068862770787224</v>
      </c>
      <c r="K117" s="150">
        <f>IF(TrRoad_act!K59=0,0,TrRoad_ene!K62/TrRoad_tech!K90)</f>
        <v>1.170491012576091</v>
      </c>
      <c r="L117" s="150">
        <f>IF(TrRoad_act!L59=0,0,TrRoad_ene!L62/TrRoad_tech!L90)</f>
        <v>1.1175509049644472</v>
      </c>
      <c r="M117" s="150">
        <f>IF(TrRoad_act!M59=0,0,TrRoad_ene!M62/TrRoad_tech!M90)</f>
        <v>1.120965350533923</v>
      </c>
      <c r="N117" s="150">
        <f>IF(TrRoad_act!N59=0,0,TrRoad_ene!N62/TrRoad_tech!N90)</f>
        <v>1.1234673981176226</v>
      </c>
      <c r="O117" s="150">
        <f>IF(TrRoad_act!O59=0,0,TrRoad_ene!O62/TrRoad_tech!O90)</f>
        <v>1.1282930735406798</v>
      </c>
      <c r="P117" s="150">
        <f>IF(TrRoad_act!P59=0,0,TrRoad_ene!P62/TrRoad_tech!P90)</f>
        <v>1.1338258446797012</v>
      </c>
      <c r="Q117" s="150">
        <f>IF(TrRoad_act!Q59=0,0,TrRoad_ene!Q62/TrRoad_tech!Q90)</f>
        <v>1.1445120947188747</v>
      </c>
      <c r="R117" s="150">
        <f>IF(TrRoad_act!R59=0,0,TrRoad_ene!R62/TrRoad_tech!R90)</f>
        <v>1.1527100767451144</v>
      </c>
      <c r="S117" s="150">
        <f>IF(TrRoad_act!S59=0,0,TrRoad_ene!S62/TrRoad_tech!S90)</f>
        <v>1.2383599676478738</v>
      </c>
      <c r="T117" s="150">
        <f>IF(TrRoad_act!T59=0,0,TrRoad_ene!T62/TrRoad_tech!T90)</f>
        <v>1.2499665599829215</v>
      </c>
      <c r="U117" s="150">
        <f>IF(TrRoad_act!U59=0,0,TrRoad_ene!U62/TrRoad_tech!U90)</f>
        <v>1.263177267460377</v>
      </c>
      <c r="V117" s="150">
        <f>IF(TrRoad_act!V59=0,0,TrRoad_ene!V62/TrRoad_tech!V90)</f>
        <v>1.2738813594523632</v>
      </c>
      <c r="W117" s="150">
        <f>IF(TrRoad_act!W59=0,0,TrRoad_ene!W62/TrRoad_tech!W90)</f>
        <v>1.2761851932542412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1.1396584837019499</v>
      </c>
      <c r="C118" s="151">
        <f>IF(TrRoad_act!C60=0,0,TrRoad_ene!C63/TrRoad_tech!C91)</f>
        <v>1.1335012496923669</v>
      </c>
      <c r="D118" s="151">
        <f>IF(TrRoad_act!D60=0,0,TrRoad_ene!D63/TrRoad_tech!D91)</f>
        <v>1.1149765891807411</v>
      </c>
      <c r="E118" s="151">
        <f>IF(TrRoad_act!E60=0,0,TrRoad_ene!E63/TrRoad_tech!E91)</f>
        <v>1.0867571061920136</v>
      </c>
      <c r="F118" s="151">
        <f>IF(TrRoad_act!F60=0,0,TrRoad_ene!F63/TrRoad_tech!F91)</f>
        <v>1.0056523356217195</v>
      </c>
      <c r="G118" s="151">
        <f>IF(TrRoad_act!G60=0,0,TrRoad_ene!G63/TrRoad_tech!G91)</f>
        <v>1.0138047678888007</v>
      </c>
      <c r="H118" s="151">
        <f>IF(TrRoad_act!H60=0,0,TrRoad_ene!H63/TrRoad_tech!H91)</f>
        <v>1.0113181166511109</v>
      </c>
      <c r="I118" s="151">
        <f>IF(TrRoad_act!I60=0,0,TrRoad_ene!I63/TrRoad_tech!I91)</f>
        <v>1.0141276141350981</v>
      </c>
      <c r="J118" s="151">
        <f>IF(TrRoad_act!J60=0,0,TrRoad_ene!J63/TrRoad_tech!J91)</f>
        <v>1.0884017652346476</v>
      </c>
      <c r="K118" s="151">
        <f>IF(TrRoad_act!K60=0,0,TrRoad_ene!K63/TrRoad_tech!K91)</f>
        <v>1.0305886294392972</v>
      </c>
      <c r="L118" s="151">
        <f>IF(TrRoad_act!L60=0,0,TrRoad_ene!L63/TrRoad_tech!L91)</f>
        <v>1.059904019891202</v>
      </c>
      <c r="M118" s="151">
        <f>IF(TrRoad_act!M60=0,0,TrRoad_ene!M63/TrRoad_tech!M91)</f>
        <v>1.0778908937028393</v>
      </c>
      <c r="N118" s="151">
        <f>IF(TrRoad_act!N60=0,0,TrRoad_ene!N63/TrRoad_tech!N91)</f>
        <v>1.0595676980075572</v>
      </c>
      <c r="O118" s="151">
        <f>IF(TrRoad_act!O60=0,0,TrRoad_ene!O63/TrRoad_tech!O91)</f>
        <v>1.0398234851763801</v>
      </c>
      <c r="P118" s="151">
        <f>IF(TrRoad_act!P60=0,0,TrRoad_ene!P63/TrRoad_tech!P91)</f>
        <v>1.0253676162794039</v>
      </c>
      <c r="Q118" s="151">
        <f>IF(TrRoad_act!Q60=0,0,TrRoad_ene!Q63/TrRoad_tech!Q91)</f>
        <v>1.0295717494118393</v>
      </c>
      <c r="R118" s="151">
        <f>IF(TrRoad_act!R60=0,0,TrRoad_ene!R63/TrRoad_tech!R91)</f>
        <v>1.0622617483615397</v>
      </c>
      <c r="S118" s="151">
        <f>IF(TrRoad_act!S60=0,0,TrRoad_ene!S63/TrRoad_tech!S91)</f>
        <v>1.0556843240527325</v>
      </c>
      <c r="T118" s="151">
        <f>IF(TrRoad_act!T60=0,0,TrRoad_ene!T63/TrRoad_tech!T91)</f>
        <v>1.0739048806882345</v>
      </c>
      <c r="U118" s="151">
        <f>IF(TrRoad_act!U60=0,0,TrRoad_ene!U63/TrRoad_tech!U91)</f>
        <v>1.0621069730551529</v>
      </c>
      <c r="V118" s="151">
        <f>IF(TrRoad_act!V60=0,0,TrRoad_ene!V63/TrRoad_tech!V91)</f>
        <v>1.0572643948321598</v>
      </c>
      <c r="W118" s="151">
        <f>IF(TrRoad_act!W60=0,0,TrRoad_ene!W63/TrRoad_tech!W91)</f>
        <v>1.1150801779164439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1.1811483501861604</v>
      </c>
      <c r="C119" s="91">
        <f>IF(TrRoad_act!C61=0,0,TrRoad_ene!C64/TrRoad_tech!C92)</f>
        <v>1.1832453375078775</v>
      </c>
      <c r="D119" s="91">
        <f>IF(TrRoad_act!D61=0,0,TrRoad_ene!D64/TrRoad_tech!D92)</f>
        <v>1.1804711970793431</v>
      </c>
      <c r="E119" s="91">
        <f>IF(TrRoad_act!E61=0,0,TrRoad_ene!E64/TrRoad_tech!E92)</f>
        <v>1.1419852136393622</v>
      </c>
      <c r="F119" s="91">
        <f>IF(TrRoad_act!F61=0,0,TrRoad_ene!F64/TrRoad_tech!F92)</f>
        <v>1.0325713824899614</v>
      </c>
      <c r="G119" s="91">
        <f>IF(TrRoad_act!G61=0,0,TrRoad_ene!G64/TrRoad_tech!G92)</f>
        <v>1.0492552053092961</v>
      </c>
      <c r="H119" s="91">
        <f>IF(TrRoad_act!H61=0,0,TrRoad_ene!H64/TrRoad_tech!H92)</f>
        <v>1.0458846070106094</v>
      </c>
      <c r="I119" s="91">
        <f>IF(TrRoad_act!I61=0,0,TrRoad_ene!I64/TrRoad_tech!I92)</f>
        <v>1.0402562520839349</v>
      </c>
      <c r="J119" s="91">
        <f>IF(TrRoad_act!J61=0,0,TrRoad_ene!J64/TrRoad_tech!J92)</f>
        <v>1.1584747621099274</v>
      </c>
      <c r="K119" s="91">
        <f>IF(TrRoad_act!K61=0,0,TrRoad_ene!K64/TrRoad_tech!K92)</f>
        <v>1.0806797345758541</v>
      </c>
      <c r="L119" s="91">
        <f>IF(TrRoad_act!L61=0,0,TrRoad_ene!L64/TrRoad_tech!L92)</f>
        <v>1.1312916186218389</v>
      </c>
      <c r="M119" s="91">
        <f>IF(TrRoad_act!M61=0,0,TrRoad_ene!M64/TrRoad_tech!M92)</f>
        <v>1.1600234921838894</v>
      </c>
      <c r="N119" s="91">
        <f>IF(TrRoad_act!N61=0,0,TrRoad_ene!N64/TrRoad_tech!N92)</f>
        <v>1.1166305081166727</v>
      </c>
      <c r="O119" s="91">
        <f>IF(TrRoad_act!O61=0,0,TrRoad_ene!O64/TrRoad_tech!O92)</f>
        <v>1.0812405638871834</v>
      </c>
      <c r="P119" s="91">
        <f>IF(TrRoad_act!P61=0,0,TrRoad_ene!P64/TrRoad_tech!P92)</f>
        <v>1.0519177772490635</v>
      </c>
      <c r="Q119" s="91">
        <f>IF(TrRoad_act!Q61=0,0,TrRoad_ene!Q64/TrRoad_tech!Q92)</f>
        <v>1.066781568822657</v>
      </c>
      <c r="R119" s="91">
        <f>IF(TrRoad_act!R61=0,0,TrRoad_ene!R64/TrRoad_tech!R92)</f>
        <v>1.1346295489795257</v>
      </c>
      <c r="S119" s="91">
        <f>IF(TrRoad_act!S61=0,0,TrRoad_ene!S64/TrRoad_tech!S92)</f>
        <v>1.1228759424250281</v>
      </c>
      <c r="T119" s="91">
        <f>IF(TrRoad_act!T61=0,0,TrRoad_ene!T64/TrRoad_tech!T92)</f>
        <v>1.1736123163308954</v>
      </c>
      <c r="U119" s="91">
        <f>IF(TrRoad_act!U61=0,0,TrRoad_ene!U64/TrRoad_tech!U92)</f>
        <v>1.1428124882210715</v>
      </c>
      <c r="V119" s="91">
        <f>IF(TrRoad_act!V61=0,0,TrRoad_ene!V64/TrRoad_tech!V92)</f>
        <v>1.1619672200418123</v>
      </c>
      <c r="W119" s="91">
        <f>IF(TrRoad_act!W61=0,0,TrRoad_ene!W64/TrRoad_tech!W92)</f>
        <v>1.2691978160931825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0.9863631683036721</v>
      </c>
      <c r="C120" s="91">
        <f>IF(TrRoad_act!C62=0,0,TrRoad_ene!C65/TrRoad_tech!C93)</f>
        <v>0.98813354417464572</v>
      </c>
      <c r="D120" s="91">
        <f>IF(TrRoad_act!D62=0,0,TrRoad_ene!D65/TrRoad_tech!D93)</f>
        <v>0.99269310230099528</v>
      </c>
      <c r="E120" s="91">
        <f>IF(TrRoad_act!E62=0,0,TrRoad_ene!E65/TrRoad_tech!E93)</f>
        <v>1.0034408112076283</v>
      </c>
      <c r="F120" s="91">
        <f>IF(TrRoad_act!F62=0,0,TrRoad_ene!F65/TrRoad_tech!F93)</f>
        <v>1.0164600671385813</v>
      </c>
      <c r="G120" s="91">
        <f>IF(TrRoad_act!G62=0,0,TrRoad_ene!G65/TrRoad_tech!G93)</f>
        <v>1.0178201574845664</v>
      </c>
      <c r="H120" s="91">
        <f>IF(TrRoad_act!H62=0,0,TrRoad_ene!H65/TrRoad_tech!H93)</f>
        <v>1.0252429593532106</v>
      </c>
      <c r="I120" s="91">
        <f>IF(TrRoad_act!I62=0,0,TrRoad_ene!I65/TrRoad_tech!I93)</f>
        <v>1.0461750616124581</v>
      </c>
      <c r="J120" s="91">
        <f>IF(TrRoad_act!J62=0,0,TrRoad_ene!J65/TrRoad_tech!J93)</f>
        <v>1.0714763709730037</v>
      </c>
      <c r="K120" s="91">
        <f>IF(TrRoad_act!K62=0,0,TrRoad_ene!K65/TrRoad_tech!K93)</f>
        <v>1.0424089589676371</v>
      </c>
      <c r="L120" s="91">
        <f>IF(TrRoad_act!L62=0,0,TrRoad_ene!L65/TrRoad_tech!L93)</f>
        <v>1.0546883559373708</v>
      </c>
      <c r="M120" s="91">
        <f>IF(TrRoad_act!M62=0,0,TrRoad_ene!M65/TrRoad_tech!M93)</f>
        <v>1.0676801484912442</v>
      </c>
      <c r="N120" s="91">
        <f>IF(TrRoad_act!N62=0,0,TrRoad_ene!N65/TrRoad_tech!N93)</f>
        <v>1.0747711866566925</v>
      </c>
      <c r="O120" s="91">
        <f>IF(TrRoad_act!O62=0,0,TrRoad_ene!O65/TrRoad_tech!O93)</f>
        <v>1.0709073904639486</v>
      </c>
      <c r="P120" s="91">
        <f>IF(TrRoad_act!P62=0,0,TrRoad_ene!P65/TrRoad_tech!P93)</f>
        <v>1.0705121964138196</v>
      </c>
      <c r="Q120" s="91">
        <f>IF(TrRoad_act!Q62=0,0,TrRoad_ene!Q65/TrRoad_tech!Q93)</f>
        <v>1.0683553577288278</v>
      </c>
      <c r="R120" s="91">
        <f>IF(TrRoad_act!R62=0,0,TrRoad_ene!R65/TrRoad_tech!R93)</f>
        <v>1.0814398424560741</v>
      </c>
      <c r="S120" s="91">
        <f>IF(TrRoad_act!S62=0,0,TrRoad_ene!S65/TrRoad_tech!S93)</f>
        <v>1.0804286352214634</v>
      </c>
      <c r="T120" s="91">
        <f>IF(TrRoad_act!T62=0,0,TrRoad_ene!T65/TrRoad_tech!T93)</f>
        <v>1.0806531722132451</v>
      </c>
      <c r="U120" s="91">
        <f>IF(TrRoad_act!U62=0,0,TrRoad_ene!U65/TrRoad_tech!U93)</f>
        <v>1.0767532889570826</v>
      </c>
      <c r="V120" s="91">
        <f>IF(TrRoad_act!V62=0,0,TrRoad_ene!V65/TrRoad_tech!V93)</f>
        <v>1.0611664006018848</v>
      </c>
      <c r="W120" s="91">
        <f>IF(TrRoad_act!W62=0,0,TrRoad_ene!W65/TrRoad_tech!W93)</f>
        <v>1.0807754031913386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0.91576207575144897</v>
      </c>
      <c r="I121" s="91">
        <f>IF(TrRoad_act!I63=0,0,TrRoad_ene!I66/TrRoad_tech!I94)</f>
        <v>1.0389635735347411</v>
      </c>
      <c r="J121" s="91">
        <f>IF(TrRoad_act!J63=0,0,TrRoad_ene!J66/TrRoad_tech!J94)</f>
        <v>1.030094201285906</v>
      </c>
      <c r="K121" s="91">
        <f>IF(TrRoad_act!K63=0,0,TrRoad_ene!K66/TrRoad_tech!K94)</f>
        <v>1.0773790002405805</v>
      </c>
      <c r="L121" s="91">
        <f>IF(TrRoad_act!L63=0,0,TrRoad_ene!L66/TrRoad_tech!L94)</f>
        <v>1.1783478802123992</v>
      </c>
      <c r="M121" s="91">
        <f>IF(TrRoad_act!M63=0,0,TrRoad_ene!M66/TrRoad_tech!M94)</f>
        <v>1.2540436117826972</v>
      </c>
      <c r="N121" s="91">
        <f>IF(TrRoad_act!N63=0,0,TrRoad_ene!N66/TrRoad_tech!N94)</f>
        <v>1.3003420703676392</v>
      </c>
      <c r="O121" s="91">
        <f>IF(TrRoad_act!O63=0,0,TrRoad_ene!O66/TrRoad_tech!O94)</f>
        <v>1.2715638601256278</v>
      </c>
      <c r="P121" s="91">
        <f>IF(TrRoad_act!P63=0,0,TrRoad_ene!P66/TrRoad_tech!P94)</f>
        <v>1.2725741421678256</v>
      </c>
      <c r="Q121" s="91">
        <f>IF(TrRoad_act!Q63=0,0,TrRoad_ene!Q66/TrRoad_tech!Q94)</f>
        <v>1.3452296924134928</v>
      </c>
      <c r="R121" s="91">
        <f>IF(TrRoad_act!R63=0,0,TrRoad_ene!R66/TrRoad_tech!R94)</f>
        <v>1.3525032373128913</v>
      </c>
      <c r="S121" s="91">
        <f>IF(TrRoad_act!S63=0,0,TrRoad_ene!S66/TrRoad_tech!S94)</f>
        <v>1.2328799372558259</v>
      </c>
      <c r="T121" s="91">
        <f>IF(TrRoad_act!T63=0,0,TrRoad_ene!T66/TrRoad_tech!T94)</f>
        <v>1.1806931299860504</v>
      </c>
      <c r="U121" s="91">
        <f>IF(TrRoad_act!U63=0,0,TrRoad_ene!U66/TrRoad_tech!U94)</f>
        <v>1.0975100253560437</v>
      </c>
      <c r="V121" s="91">
        <f>IF(TrRoad_act!V63=0,0,TrRoad_ene!V66/TrRoad_tech!V94)</f>
        <v>0.83688074319381334</v>
      </c>
      <c r="W121" s="91">
        <f>IF(TrRoad_act!W63=0,0,TrRoad_ene!W66/TrRoad_tech!W94)</f>
        <v>1.3834646944796509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1.0655555555606799</v>
      </c>
      <c r="O122" s="91">
        <f>IF(TrRoad_act!O64=0,0,TrRoad_ene!O67/TrRoad_tech!O95)</f>
        <v>1.070065360579568</v>
      </c>
      <c r="P122" s="91">
        <f>IF(TrRoad_act!P64=0,0,TrRoad_ene!P67/TrRoad_tech!P95)</f>
        <v>1.0754725107400247</v>
      </c>
      <c r="Q122" s="91">
        <f>IF(TrRoad_act!Q64=0,0,TrRoad_ene!Q67/TrRoad_tech!Q95)</f>
        <v>1.0790391376872643</v>
      </c>
      <c r="R122" s="91">
        <f>IF(TrRoad_act!R64=0,0,TrRoad_ene!R67/TrRoad_tech!R95)</f>
        <v>1.0814346788508806</v>
      </c>
      <c r="S122" s="91">
        <f>IF(TrRoad_act!S64=0,0,TrRoad_ene!S67/TrRoad_tech!S95)</f>
        <v>1.0846089574992712</v>
      </c>
      <c r="T122" s="91">
        <f>IF(TrRoad_act!T64=0,0,TrRoad_ene!T67/TrRoad_tech!T95)</f>
        <v>1.085636145677167</v>
      </c>
      <c r="U122" s="91">
        <f>IF(TrRoad_act!U64=0,0,TrRoad_ene!U67/TrRoad_tech!U95)</f>
        <v>1.0883048091372274</v>
      </c>
      <c r="V122" s="91">
        <f>IF(TrRoad_act!V64=0,0,TrRoad_ene!V67/TrRoad_tech!V95)</f>
        <v>1.0922621767314522</v>
      </c>
      <c r="W122" s="91">
        <f>IF(TrRoad_act!W64=0,0,TrRoad_ene!W67/TrRoad_tech!W95)</f>
        <v>1.0934098469220792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1.0968445065058714</v>
      </c>
      <c r="P123" s="91">
        <f>IF(TrRoad_act!P65=0,0,TrRoad_ene!P68/TrRoad_tech!P96)</f>
        <v>1.0797528630364022</v>
      </c>
      <c r="Q123" s="91">
        <f>IF(TrRoad_act!Q65=0,0,TrRoad_ene!Q68/TrRoad_tech!Q96)</f>
        <v>1.0925924882010691</v>
      </c>
      <c r="R123" s="91">
        <f>IF(TrRoad_act!R65=0,0,TrRoad_ene!R68/TrRoad_tech!R96)</f>
        <v>1.1387384010103196</v>
      </c>
      <c r="S123" s="91">
        <f>IF(TrRoad_act!S65=0,0,TrRoad_ene!S68/TrRoad_tech!S96)</f>
        <v>1.1314793600948647</v>
      </c>
      <c r="T123" s="91">
        <f>IF(TrRoad_act!T65=0,0,TrRoad_ene!T68/TrRoad_tech!T96)</f>
        <v>1.1570406798882653</v>
      </c>
      <c r="U123" s="91">
        <f>IF(TrRoad_act!U65=0,0,TrRoad_ene!U68/TrRoad_tech!U96)</f>
        <v>1.1388594063932269</v>
      </c>
      <c r="V123" s="91">
        <f>IF(TrRoad_act!V65=0,0,TrRoad_ene!V68/TrRoad_tech!V96)</f>
        <v>1.1475090714753895</v>
      </c>
      <c r="W123" s="91">
        <f>IF(TrRoad_act!W65=0,0,TrRoad_ene!W68/TrRoad_tech!W96)</f>
        <v>1.2041615898767686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1.0603703703752698</v>
      </c>
      <c r="N124" s="91">
        <f>IF(TrRoad_act!N66=0,0,TrRoad_ene!N69/TrRoad_tech!N97)</f>
        <v>1.0636013616502491</v>
      </c>
      <c r="O124" s="91">
        <f>IF(TrRoad_act!O66=0,0,TrRoad_ene!O69/TrRoad_tech!O97)</f>
        <v>1.0648622282655122</v>
      </c>
      <c r="P124" s="91">
        <f>IF(TrRoad_act!P66=0,0,TrRoad_ene!P69/TrRoad_tech!P97)</f>
        <v>1.0721301132593632</v>
      </c>
      <c r="Q124" s="91">
        <f>IF(TrRoad_act!Q66=0,0,TrRoad_ene!Q69/TrRoad_tech!Q97)</f>
        <v>1.0785286976909723</v>
      </c>
      <c r="R124" s="91">
        <f>IF(TrRoad_act!R66=0,0,TrRoad_ene!R69/TrRoad_tech!R97)</f>
        <v>1.0827622570074185</v>
      </c>
      <c r="S124" s="91">
        <f>IF(TrRoad_act!S66=0,0,TrRoad_ene!S69/TrRoad_tech!S97)</f>
        <v>1.0872118465129479</v>
      </c>
      <c r="T124" s="91">
        <f>IF(TrRoad_act!T66=0,0,TrRoad_ene!T69/TrRoad_tech!T97)</f>
        <v>1.0914054173267149</v>
      </c>
      <c r="U124" s="91">
        <f>IF(TrRoad_act!U66=0,0,TrRoad_ene!U69/TrRoad_tech!U97)</f>
        <v>1.0937658708801981</v>
      </c>
      <c r="V124" s="91">
        <f>IF(TrRoad_act!V66=0,0,TrRoad_ene!V69/TrRoad_tech!V97)</f>
        <v>1.0961121693788713</v>
      </c>
      <c r="W124" s="91">
        <f>IF(TrRoad_act!W66=0,0,TrRoad_ene!W69/TrRoad_tech!W97)</f>
        <v>1.097130429682853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1.1023596912007003</v>
      </c>
      <c r="C125" s="151">
        <f>IF(TrRoad_act!C67=0,0,TrRoad_ene!C70/TrRoad_tech!C98)</f>
        <v>1.0896401103957125</v>
      </c>
      <c r="D125" s="151">
        <f>IF(TrRoad_act!D67=0,0,TrRoad_ene!D70/TrRoad_tech!D98)</f>
        <v>1.0893044048036895</v>
      </c>
      <c r="E125" s="151">
        <f>IF(TrRoad_act!E67=0,0,TrRoad_ene!E70/TrRoad_tech!E98)</f>
        <v>1.0896988271728218</v>
      </c>
      <c r="F125" s="151">
        <f>IF(TrRoad_act!F67=0,0,TrRoad_ene!F70/TrRoad_tech!F98)</f>
        <v>1.0909958326713838</v>
      </c>
      <c r="G125" s="151">
        <f>IF(TrRoad_act!G67=0,0,TrRoad_ene!G70/TrRoad_tech!G98)</f>
        <v>1.0939798246215788</v>
      </c>
      <c r="H125" s="151">
        <f>IF(TrRoad_act!H67=0,0,TrRoad_ene!H70/TrRoad_tech!H98)</f>
        <v>1.0979718266804219</v>
      </c>
      <c r="I125" s="151">
        <f>IF(TrRoad_act!I67=0,0,TrRoad_ene!I70/TrRoad_tech!I98)</f>
        <v>1.103017980622464</v>
      </c>
      <c r="J125" s="151">
        <f>IF(TrRoad_act!J67=0,0,TrRoad_ene!J70/TrRoad_tech!J98)</f>
        <v>1.111004450691411</v>
      </c>
      <c r="K125" s="151">
        <f>IF(TrRoad_act!K67=0,0,TrRoad_ene!K70/TrRoad_tech!K98)</f>
        <v>1.1172968448399438</v>
      </c>
      <c r="L125" s="151">
        <f>IF(TrRoad_act!L67=0,0,TrRoad_ene!L70/TrRoad_tech!L98)</f>
        <v>1.125431691175119</v>
      </c>
      <c r="M125" s="151">
        <f>IF(TrRoad_act!M67=0,0,TrRoad_ene!M70/TrRoad_tech!M98)</f>
        <v>1.1331530016850757</v>
      </c>
      <c r="N125" s="151">
        <f>IF(TrRoad_act!N67=0,0,TrRoad_ene!N70/TrRoad_tech!N98)</f>
        <v>1.1420339444505929</v>
      </c>
      <c r="O125" s="151">
        <f>IF(TrRoad_act!O67=0,0,TrRoad_ene!O70/TrRoad_tech!O98)</f>
        <v>1.1543362255493361</v>
      </c>
      <c r="P125" s="151">
        <f>IF(TrRoad_act!P67=0,0,TrRoad_ene!P70/TrRoad_tech!P98)</f>
        <v>1.161646284674642</v>
      </c>
      <c r="Q125" s="151">
        <f>IF(TrRoad_act!Q67=0,0,TrRoad_ene!Q70/TrRoad_tech!Q98)</f>
        <v>1.1805309655091214</v>
      </c>
      <c r="R125" s="151">
        <f>IF(TrRoad_act!R67=0,0,TrRoad_ene!R70/TrRoad_tech!R98)</f>
        <v>1.1998795730406568</v>
      </c>
      <c r="S125" s="151">
        <f>IF(TrRoad_act!S67=0,0,TrRoad_ene!S70/TrRoad_tech!S98)</f>
        <v>1.219777422794009</v>
      </c>
      <c r="T125" s="151">
        <f>IF(TrRoad_act!T67=0,0,TrRoad_ene!T70/TrRoad_tech!T98)</f>
        <v>1.2318126298442111</v>
      </c>
      <c r="U125" s="151">
        <f>IF(TrRoad_act!U67=0,0,TrRoad_ene!U70/TrRoad_tech!U98)</f>
        <v>1.2487485096582618</v>
      </c>
      <c r="V125" s="151">
        <f>IF(TrRoad_act!V67=0,0,TrRoad_ene!V70/TrRoad_tech!V98)</f>
        <v>1.3072653385840334</v>
      </c>
      <c r="W125" s="151">
        <f>IF(TrRoad_act!W67=0,0,TrRoad_ene!W70/TrRoad_tech!W98)</f>
        <v>1.337982759084317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1.1001491771847669</v>
      </c>
      <c r="D126" s="93">
        <f>IF(TrRoad_act!D68=0,0,TrRoad_ene!D71/TrRoad_tech!D99)</f>
        <v>1.1001569811696297</v>
      </c>
      <c r="E126" s="93">
        <f>IF(TrRoad_act!E68=0,0,TrRoad_ene!E71/TrRoad_tech!E99)</f>
        <v>1.1001720189133684</v>
      </c>
      <c r="F126" s="93">
        <f>IF(TrRoad_act!F68=0,0,TrRoad_ene!F71/TrRoad_tech!F99)</f>
        <v>1.1001936488388446</v>
      </c>
      <c r="G126" s="93">
        <f>IF(TrRoad_act!G68=0,0,TrRoad_ene!G71/TrRoad_tech!G99)</f>
        <v>1.1002070076480799</v>
      </c>
      <c r="H126" s="93">
        <f>IF(TrRoad_act!H68=0,0,TrRoad_ene!H71/TrRoad_tech!H99)</f>
        <v>1.1002391536816472</v>
      </c>
      <c r="I126" s="93">
        <f>IF(TrRoad_act!I68=0,0,TrRoad_ene!I71/TrRoad_tech!I99)</f>
        <v>1.1002598641492769</v>
      </c>
      <c r="J126" s="93">
        <f>IF(TrRoad_act!J68=0,0,TrRoad_ene!J71/TrRoad_tech!J99)</f>
        <v>1.1003126136339094</v>
      </c>
      <c r="K126" s="93">
        <f>IF(TrRoad_act!K68=0,0,TrRoad_ene!K71/TrRoad_tech!K99)</f>
        <v>1.1003681705267425</v>
      </c>
      <c r="L126" s="93">
        <f>IF(TrRoad_act!L68=0,0,TrRoad_ene!L71/TrRoad_tech!L99)</f>
        <v>1.10041965927299</v>
      </c>
      <c r="M126" s="93">
        <f>IF(TrRoad_act!M68=0,0,TrRoad_ene!M71/TrRoad_tech!M99)</f>
        <v>1.1005262655525663</v>
      </c>
      <c r="N126" s="93">
        <f>IF(TrRoad_act!N68=0,0,TrRoad_ene!N71/TrRoad_tech!N99)</f>
        <v>1.1005768483802707</v>
      </c>
      <c r="O126" s="93">
        <f>IF(TrRoad_act!O68=0,0,TrRoad_ene!O71/TrRoad_tech!O99)</f>
        <v>1.1290977446635166</v>
      </c>
      <c r="P126" s="93">
        <f>IF(TrRoad_act!P68=0,0,TrRoad_ene!P71/TrRoad_tech!P99)</f>
        <v>1.1350302464696924</v>
      </c>
      <c r="Q126" s="93">
        <f>IF(TrRoad_act!Q68=0,0,TrRoad_ene!Q71/TrRoad_tech!Q99)</f>
        <v>1.1425118011956217</v>
      </c>
      <c r="R126" s="93">
        <f>IF(TrRoad_act!R68=0,0,TrRoad_ene!R71/TrRoad_tech!R99)</f>
        <v>1.1425118011956223</v>
      </c>
      <c r="S126" s="93">
        <f>IF(TrRoad_act!S68=0,0,TrRoad_ene!S71/TrRoad_tech!S99)</f>
        <v>1.1425118011956219</v>
      </c>
      <c r="T126" s="93">
        <f>IF(TrRoad_act!T68=0,0,TrRoad_ene!T71/TrRoad_tech!T99)</f>
        <v>1.1425118011956219</v>
      </c>
      <c r="U126" s="93">
        <f>IF(TrRoad_act!U68=0,0,TrRoad_ene!U71/TrRoad_tech!U99)</f>
        <v>1.1425118011956217</v>
      </c>
      <c r="V126" s="93">
        <f>IF(TrRoad_act!V68=0,0,TrRoad_ene!V71/TrRoad_tech!V99)</f>
        <v>1.1425118011956217</v>
      </c>
      <c r="W126" s="93">
        <f>IF(TrRoad_act!W68=0,0,TrRoad_ene!W71/TrRoad_tech!W99)</f>
        <v>1.1425118011956219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1.1003643290120404</v>
      </c>
      <c r="D127" s="93">
        <f>IF(TrRoad_act!D69=0,0,TrRoad_ene!D72/TrRoad_tech!D100)</f>
        <v>1.1009719185793483</v>
      </c>
      <c r="E127" s="93">
        <f>IF(TrRoad_act!E69=0,0,TrRoad_ene!E72/TrRoad_tech!E100)</f>
        <v>1.1024369973753585</v>
      </c>
      <c r="F127" s="93">
        <f>IF(TrRoad_act!F69=0,0,TrRoad_ene!F72/TrRoad_tech!F100)</f>
        <v>1.1046214431812338</v>
      </c>
      <c r="G127" s="93">
        <f>IF(TrRoad_act!G69=0,0,TrRoad_ene!G72/TrRoad_tech!G100)</f>
        <v>1.1076114253306568</v>
      </c>
      <c r="H127" s="93">
        <f>IF(TrRoad_act!H69=0,0,TrRoad_ene!H72/TrRoad_tech!H100)</f>
        <v>1.1117507893925538</v>
      </c>
      <c r="I127" s="93">
        <f>IF(TrRoad_act!I69=0,0,TrRoad_ene!I72/TrRoad_tech!I100)</f>
        <v>1.1164650515705612</v>
      </c>
      <c r="J127" s="93">
        <f>IF(TrRoad_act!J69=0,0,TrRoad_ene!J72/TrRoad_tech!J100)</f>
        <v>1.1238307976608071</v>
      </c>
      <c r="K127" s="93">
        <f>IF(TrRoad_act!K69=0,0,TrRoad_ene!K72/TrRoad_tech!K100)</f>
        <v>1.1296437103565824</v>
      </c>
      <c r="L127" s="93">
        <f>IF(TrRoad_act!L69=0,0,TrRoad_ene!L72/TrRoad_tech!L100)</f>
        <v>1.1370857052274259</v>
      </c>
      <c r="M127" s="93">
        <f>IF(TrRoad_act!M69=0,0,TrRoad_ene!M72/TrRoad_tech!M100)</f>
        <v>1.1444020562349397</v>
      </c>
      <c r="N127" s="93">
        <f>IF(TrRoad_act!N69=0,0,TrRoad_ene!N72/TrRoad_tech!N100)</f>
        <v>1.1517174514169506</v>
      </c>
      <c r="O127" s="93">
        <f>IF(TrRoad_act!O69=0,0,TrRoad_ene!O72/TrRoad_tech!O100)</f>
        <v>1.1646086081057314</v>
      </c>
      <c r="P127" s="93">
        <f>IF(TrRoad_act!P69=0,0,TrRoad_ene!P72/TrRoad_tech!P100)</f>
        <v>1.1789398360661745</v>
      </c>
      <c r="Q127" s="93">
        <f>IF(TrRoad_act!Q69=0,0,TrRoad_ene!Q72/TrRoad_tech!Q100)</f>
        <v>1.1942458358793051</v>
      </c>
      <c r="R127" s="93">
        <f>IF(TrRoad_act!R69=0,0,TrRoad_ene!R72/TrRoad_tech!R100)</f>
        <v>1.2084920269036139</v>
      </c>
      <c r="S127" s="93">
        <f>IF(TrRoad_act!S69=0,0,TrRoad_ene!S72/TrRoad_tech!S100)</f>
        <v>1.2230133084377852</v>
      </c>
      <c r="T127" s="93">
        <f>IF(TrRoad_act!T69=0,0,TrRoad_ene!T72/TrRoad_tech!T100)</f>
        <v>1.2368649316444409</v>
      </c>
      <c r="U127" s="93">
        <f>IF(TrRoad_act!U69=0,0,TrRoad_ene!U72/TrRoad_tech!U100)</f>
        <v>1.2501850680095301</v>
      </c>
      <c r="V127" s="93">
        <f>IF(TrRoad_act!V69=0,0,TrRoad_ene!V72/TrRoad_tech!V100)</f>
        <v>1.2895352384708849</v>
      </c>
      <c r="W127" s="93">
        <f>IF(TrRoad_act!W69=0,0,TrRoad_ene!W72/TrRoad_tech!W100)</f>
        <v>1.3009021000715508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1.2904048247531705</v>
      </c>
      <c r="O129" s="93">
        <f>IF(TrRoad_act!O71=0,0,TrRoad_ene!O74/TrRoad_tech!O102)</f>
        <v>1.2449946534964029</v>
      </c>
      <c r="P129" s="93">
        <f>IF(TrRoad_act!P71=0,0,TrRoad_ene!P74/TrRoad_tech!P102)</f>
        <v>0.85705945943688111</v>
      </c>
      <c r="Q129" s="93">
        <f>IF(TrRoad_act!Q71=0,0,TrRoad_ene!Q74/TrRoad_tech!Q102)</f>
        <v>1.1194964882237866</v>
      </c>
      <c r="R129" s="93">
        <f>IF(TrRoad_act!R71=0,0,TrRoad_ene!R74/TrRoad_tech!R102)</f>
        <v>1.2999124961748354</v>
      </c>
      <c r="S129" s="93">
        <f>IF(TrRoad_act!S71=0,0,TrRoad_ene!S74/TrRoad_tech!S102)</f>
        <v>1.513075707144572</v>
      </c>
      <c r="T129" s="93">
        <f>IF(TrRoad_act!T71=0,0,TrRoad_ene!T74/TrRoad_tech!T102)</f>
        <v>1.4623152741404373</v>
      </c>
      <c r="U129" s="93">
        <f>IF(TrRoad_act!U71=0,0,TrRoad_ene!U74/TrRoad_tech!U102)</f>
        <v>1.5152251838269832</v>
      </c>
      <c r="V129" s="93">
        <f>IF(TrRoad_act!V71=0,0,TrRoad_ene!V74/TrRoad_tech!V102)</f>
        <v>1.7751173351957277</v>
      </c>
      <c r="W129" s="93">
        <f>IF(TrRoad_act!W71=0,0,TrRoad_ene!W74/TrRoad_tech!W102)</f>
        <v>2.3249058741291253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1.2773333333398114</v>
      </c>
      <c r="Q130" s="93">
        <f>IF(TrRoad_act!Q72=0,0,TrRoad_ene!Q75/TrRoad_tech!Q103)</f>
        <v>1.2773333333398114</v>
      </c>
      <c r="R130" s="93">
        <f>IF(TrRoad_act!R72=0,0,TrRoad_ene!R75/TrRoad_tech!R103)</f>
        <v>1.2977443953241183</v>
      </c>
      <c r="S130" s="93">
        <f>IF(TrRoad_act!S72=0,0,TrRoad_ene!S75/TrRoad_tech!S103)</f>
        <v>1.304346956708031</v>
      </c>
      <c r="T130" s="93">
        <f>IF(TrRoad_act!T72=0,0,TrRoad_ene!T75/TrRoad_tech!T103)</f>
        <v>1.3290554770320955</v>
      </c>
      <c r="U130" s="93">
        <f>IF(TrRoad_act!U72=0,0,TrRoad_ene!U75/TrRoad_tech!U103)</f>
        <v>1.3465313867227249</v>
      </c>
      <c r="V130" s="93">
        <f>IF(TrRoad_act!V72=0,0,TrRoad_ene!V75/TrRoad_tech!V103)</f>
        <v>1.3506083577985166</v>
      </c>
      <c r="W130" s="93">
        <f>IF(TrRoad_act!W72=0,0,TrRoad_ene!W75/TrRoad_tech!W103)</f>
        <v>1.3506083577985168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1.119832378154805</v>
      </c>
      <c r="C132" s="150">
        <f>IF(TrRoad_act!C74=0,0,TrRoad_ene!C77/TrRoad_tech!C105)</f>
        <v>1.1127297421302385</v>
      </c>
      <c r="D132" s="150">
        <f>IF(TrRoad_act!D74=0,0,TrRoad_ene!D77/TrRoad_tech!D105)</f>
        <v>1.1095464642872492</v>
      </c>
      <c r="E132" s="150">
        <f>IF(TrRoad_act!E74=0,0,TrRoad_ene!E77/TrRoad_tech!E105)</f>
        <v>1.1075646337527707</v>
      </c>
      <c r="F132" s="150">
        <f>IF(TrRoad_act!F74=0,0,TrRoad_ene!F77/TrRoad_tech!F105)</f>
        <v>1.105955251292206</v>
      </c>
      <c r="G132" s="150">
        <f>IF(TrRoad_act!G74=0,0,TrRoad_ene!G77/TrRoad_tech!G105)</f>
        <v>1.1071189476708219</v>
      </c>
      <c r="H132" s="150">
        <f>IF(TrRoad_act!H74=0,0,TrRoad_ene!H77/TrRoad_tech!H105)</f>
        <v>1.1110904711799883</v>
      </c>
      <c r="I132" s="150">
        <f>IF(TrRoad_act!I74=0,0,TrRoad_ene!I77/TrRoad_tech!I105)</f>
        <v>1.1172914916048005</v>
      </c>
      <c r="J132" s="150">
        <f>IF(TrRoad_act!J74=0,0,TrRoad_ene!J77/TrRoad_tech!J105)</f>
        <v>1.1237388364240855</v>
      </c>
      <c r="K132" s="150">
        <f>IF(TrRoad_act!K74=0,0,TrRoad_ene!K77/TrRoad_tech!K105)</f>
        <v>1.1285704385927666</v>
      </c>
      <c r="L132" s="150">
        <f>IF(TrRoad_act!L74=0,0,TrRoad_ene!L77/TrRoad_tech!L105)</f>
        <v>1.132117203007319</v>
      </c>
      <c r="M132" s="150">
        <f>IF(TrRoad_act!M74=0,0,TrRoad_ene!M77/TrRoad_tech!M105)</f>
        <v>1.1368648158214398</v>
      </c>
      <c r="N132" s="150">
        <f>IF(TrRoad_act!N74=0,0,TrRoad_ene!N77/TrRoad_tech!N105)</f>
        <v>1.145097416421029</v>
      </c>
      <c r="O132" s="150">
        <f>IF(TrRoad_act!O74=0,0,TrRoad_ene!O77/TrRoad_tech!O105)</f>
        <v>1.1573235242421189</v>
      </c>
      <c r="P132" s="150">
        <f>IF(TrRoad_act!P74=0,0,TrRoad_ene!P77/TrRoad_tech!P105)</f>
        <v>1.1708004059963444</v>
      </c>
      <c r="Q132" s="150">
        <f>IF(TrRoad_act!Q74=0,0,TrRoad_ene!Q77/TrRoad_tech!Q105)</f>
        <v>1.1846074828295137</v>
      </c>
      <c r="R132" s="150">
        <f>IF(TrRoad_act!R74=0,0,TrRoad_ene!R77/TrRoad_tech!R105)</f>
        <v>1.2011457135554766</v>
      </c>
      <c r="S132" s="150">
        <f>IF(TrRoad_act!S74=0,0,TrRoad_ene!S77/TrRoad_tech!S105)</f>
        <v>1.2203644664635476</v>
      </c>
      <c r="T132" s="150">
        <f>IF(TrRoad_act!T74=0,0,TrRoad_ene!T77/TrRoad_tech!T105)</f>
        <v>1.244332784013833</v>
      </c>
      <c r="U132" s="150">
        <f>IF(TrRoad_act!U74=0,0,TrRoad_ene!U77/TrRoad_tech!U105)</f>
        <v>1.2698293258793241</v>
      </c>
      <c r="V132" s="150">
        <f>IF(TrRoad_act!V74=0,0,TrRoad_ene!V77/TrRoad_tech!V105)</f>
        <v>1.2899105486896225</v>
      </c>
      <c r="W132" s="150">
        <f>IF(TrRoad_act!W74=0,0,TrRoad_ene!W77/TrRoad_tech!W105)</f>
        <v>1.3158106527710185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1.1001504785959135</v>
      </c>
      <c r="D133" s="91">
        <f>IF(TrRoad_act!D75=0,0,TrRoad_ene!D78/TrRoad_tech!D106)</f>
        <v>1.1004548298134873</v>
      </c>
      <c r="E133" s="91">
        <f>IF(TrRoad_act!E75=0,0,TrRoad_ene!E78/TrRoad_tech!E106)</f>
        <v>1.1008955656286483</v>
      </c>
      <c r="F133" s="91">
        <f>IF(TrRoad_act!F75=0,0,TrRoad_ene!F78/TrRoad_tech!F106)</f>
        <v>1.1014155257725162</v>
      </c>
      <c r="G133" s="91">
        <f>IF(TrRoad_act!G75=0,0,TrRoad_ene!G78/TrRoad_tech!G106)</f>
        <v>1.1020043354088178</v>
      </c>
      <c r="H133" s="91">
        <f>IF(TrRoad_act!H75=0,0,TrRoad_ene!H78/TrRoad_tech!H106)</f>
        <v>1.1034478768795013</v>
      </c>
      <c r="I133" s="91">
        <f>IF(TrRoad_act!I75=0,0,TrRoad_ene!I78/TrRoad_tech!I106)</f>
        <v>1.1057055046155193</v>
      </c>
      <c r="J133" s="91">
        <f>IF(TrRoad_act!J75=0,0,TrRoad_ene!J78/TrRoad_tech!J106)</f>
        <v>1.109912367357951</v>
      </c>
      <c r="K133" s="91">
        <f>IF(TrRoad_act!K75=0,0,TrRoad_ene!K78/TrRoad_tech!K106)</f>
        <v>1.112456170498658</v>
      </c>
      <c r="L133" s="91">
        <f>IF(TrRoad_act!L75=0,0,TrRoad_ene!L78/TrRoad_tech!L106)</f>
        <v>1.1149836005921512</v>
      </c>
      <c r="M133" s="91">
        <f>IF(TrRoad_act!M75=0,0,TrRoad_ene!M78/TrRoad_tech!M106)</f>
        <v>1.118523677955692</v>
      </c>
      <c r="N133" s="91">
        <f>IF(TrRoad_act!N75=0,0,TrRoad_ene!N78/TrRoad_tech!N106)</f>
        <v>1.1227870713911892</v>
      </c>
      <c r="O133" s="91">
        <f>IF(TrRoad_act!O75=0,0,TrRoad_ene!O78/TrRoad_tech!O106)</f>
        <v>1.1270789010294822</v>
      </c>
      <c r="P133" s="91">
        <f>IF(TrRoad_act!P75=0,0,TrRoad_ene!P78/TrRoad_tech!P106)</f>
        <v>1.1332317875583666</v>
      </c>
      <c r="Q133" s="91">
        <f>IF(TrRoad_act!Q75=0,0,TrRoad_ene!Q78/TrRoad_tech!Q106)</f>
        <v>1.1397379174322313</v>
      </c>
      <c r="R133" s="91">
        <f>IF(TrRoad_act!R75=0,0,TrRoad_ene!R78/TrRoad_tech!R106)</f>
        <v>1.1508950813316701</v>
      </c>
      <c r="S133" s="91">
        <f>IF(TrRoad_act!S75=0,0,TrRoad_ene!S78/TrRoad_tech!S106)</f>
        <v>1.1667288868432377</v>
      </c>
      <c r="T133" s="91">
        <f>IF(TrRoad_act!T75=0,0,TrRoad_ene!T78/TrRoad_tech!T106)</f>
        <v>1.2108006474119526</v>
      </c>
      <c r="U133" s="91">
        <f>IF(TrRoad_act!U75=0,0,TrRoad_ene!U78/TrRoad_tech!U106)</f>
        <v>1.2580141762107317</v>
      </c>
      <c r="V133" s="91">
        <f>IF(TrRoad_act!V75=0,0,TrRoad_ene!V78/TrRoad_tech!V106)</f>
        <v>1.2701420978598508</v>
      </c>
      <c r="W133" s="91">
        <f>IF(TrRoad_act!W75=0,0,TrRoad_ene!W78/TrRoad_tech!W106)</f>
        <v>1.2754974977418383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1.1002899726819484</v>
      </c>
      <c r="D134" s="91">
        <f>IF(TrRoad_act!D76=0,0,TrRoad_ene!D79/TrRoad_tech!D107)</f>
        <v>1.1011382452642586</v>
      </c>
      <c r="E134" s="91">
        <f>IF(TrRoad_act!E76=0,0,TrRoad_ene!E79/TrRoad_tech!E107)</f>
        <v>1.1026820604466447</v>
      </c>
      <c r="F134" s="91">
        <f>IF(TrRoad_act!F76=0,0,TrRoad_ene!F79/TrRoad_tech!F107)</f>
        <v>1.1049600296020616</v>
      </c>
      <c r="G134" s="91">
        <f>IF(TrRoad_act!G76=0,0,TrRoad_ene!G79/TrRoad_tech!G107)</f>
        <v>1.1079528678574841</v>
      </c>
      <c r="H134" s="91">
        <f>IF(TrRoad_act!H76=0,0,TrRoad_ene!H79/TrRoad_tech!H107)</f>
        <v>1.112860028562273</v>
      </c>
      <c r="I134" s="91">
        <f>IF(TrRoad_act!I76=0,0,TrRoad_ene!I79/TrRoad_tech!I107)</f>
        <v>1.1189420497738525</v>
      </c>
      <c r="J134" s="91">
        <f>IF(TrRoad_act!J76=0,0,TrRoad_ene!J79/TrRoad_tech!J107)</f>
        <v>1.1255427203576625</v>
      </c>
      <c r="K134" s="91">
        <f>IF(TrRoad_act!K76=0,0,TrRoad_ene!K79/TrRoad_tech!K107)</f>
        <v>1.1302905651316892</v>
      </c>
      <c r="L134" s="91">
        <f>IF(TrRoad_act!L76=0,0,TrRoad_ene!L79/TrRoad_tech!L107)</f>
        <v>1.1316419262386259</v>
      </c>
      <c r="M134" s="91">
        <f>IF(TrRoad_act!M76=0,0,TrRoad_ene!M79/TrRoad_tech!M107)</f>
        <v>1.1343647391434337</v>
      </c>
      <c r="N134" s="91">
        <f>IF(TrRoad_act!N76=0,0,TrRoad_ene!N79/TrRoad_tech!N107)</f>
        <v>1.146182655413249</v>
      </c>
      <c r="O134" s="91">
        <f>IF(TrRoad_act!O76=0,0,TrRoad_ene!O79/TrRoad_tech!O107)</f>
        <v>1.1613664922462394</v>
      </c>
      <c r="P134" s="91">
        <f>IF(TrRoad_act!P76=0,0,TrRoad_ene!P79/TrRoad_tech!P107)</f>
        <v>1.1774905741752257</v>
      </c>
      <c r="Q134" s="91">
        <f>IF(TrRoad_act!Q76=0,0,TrRoad_ene!Q79/TrRoad_tech!Q107)</f>
        <v>1.1943569238983798</v>
      </c>
      <c r="R134" s="91">
        <f>IF(TrRoad_act!R76=0,0,TrRoad_ene!R79/TrRoad_tech!R107)</f>
        <v>1.2143092774330115</v>
      </c>
      <c r="S134" s="91">
        <f>IF(TrRoad_act!S76=0,0,TrRoad_ene!S79/TrRoad_tech!S107)</f>
        <v>1.2362987140627195</v>
      </c>
      <c r="T134" s="91">
        <f>IF(TrRoad_act!T76=0,0,TrRoad_ene!T79/TrRoad_tech!T107)</f>
        <v>1.2582133826221467</v>
      </c>
      <c r="U134" s="91">
        <f>IF(TrRoad_act!U76=0,0,TrRoad_ene!U79/TrRoad_tech!U107)</f>
        <v>1.2795678236841901</v>
      </c>
      <c r="V134" s="91">
        <f>IF(TrRoad_act!V76=0,0,TrRoad_ene!V79/TrRoad_tech!V107)</f>
        <v>1.296382570173926</v>
      </c>
      <c r="W134" s="91">
        <f>IF(TrRoad_act!W76=0,0,TrRoad_ene!W79/TrRoad_tech!W107)</f>
        <v>1.3164978602098656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1.1053735495802481</v>
      </c>
      <c r="I135" s="91">
        <f>IF(TrRoad_act!I77=0,0,TrRoad_ene!I80/TrRoad_tech!I108)</f>
        <v>1.1146217236515421</v>
      </c>
      <c r="J135" s="91">
        <f>IF(TrRoad_act!J77=0,0,TrRoad_ene!J80/TrRoad_tech!J108)</f>
        <v>1.1096171217790185</v>
      </c>
      <c r="K135" s="91">
        <f>IF(TrRoad_act!K77=0,0,TrRoad_ene!K80/TrRoad_tech!K108)</f>
        <v>1.163083569873302</v>
      </c>
      <c r="L135" s="91">
        <f>IF(TrRoad_act!L77=0,0,TrRoad_ene!L80/TrRoad_tech!L108)</f>
        <v>1.2738763518118872</v>
      </c>
      <c r="M135" s="91">
        <f>IF(TrRoad_act!M77=0,0,TrRoad_ene!M80/TrRoad_tech!M108)</f>
        <v>1.3548873784458337</v>
      </c>
      <c r="N135" s="91">
        <f>IF(TrRoad_act!N77=0,0,TrRoad_ene!N80/TrRoad_tech!N108)</f>
        <v>1.4098348937106555</v>
      </c>
      <c r="O135" s="91">
        <f>IF(TrRoad_act!O77=0,0,TrRoad_ene!O80/TrRoad_tech!O108)</f>
        <v>1.3901421533702176</v>
      </c>
      <c r="P135" s="91">
        <f>IF(TrRoad_act!P77=0,0,TrRoad_ene!P80/TrRoad_tech!P108)</f>
        <v>1.4364543332481381</v>
      </c>
      <c r="Q135" s="91">
        <f>IF(TrRoad_act!Q77=0,0,TrRoad_ene!Q80/TrRoad_tech!Q108)</f>
        <v>1.5255361678122741</v>
      </c>
      <c r="R135" s="91">
        <f>IF(TrRoad_act!R77=0,0,TrRoad_ene!R80/TrRoad_tech!R108)</f>
        <v>1.5361946676394218</v>
      </c>
      <c r="S135" s="91">
        <f>IF(TrRoad_act!S77=0,0,TrRoad_ene!S80/TrRoad_tech!S108)</f>
        <v>1.4112887839157171</v>
      </c>
      <c r="T135" s="91">
        <f>IF(TrRoad_act!T77=0,0,TrRoad_ene!T80/TrRoad_tech!T108)</f>
        <v>1.3581931785150749</v>
      </c>
      <c r="U135" s="91">
        <f>IF(TrRoad_act!U77=0,0,TrRoad_ene!U80/TrRoad_tech!U108)</f>
        <v>1.277864306617535</v>
      </c>
      <c r="V135" s="91">
        <f>IF(TrRoad_act!V77=0,0,TrRoad_ene!V80/TrRoad_tech!V108)</f>
        <v>1.2296583123357954</v>
      </c>
      <c r="W135" s="91">
        <f>IF(TrRoad_act!W77=0,0,TrRoad_ene!W80/TrRoad_tech!W108)</f>
        <v>1.6183687461545706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1.2773333333398114</v>
      </c>
      <c r="Q136" s="91">
        <f>IF(TrRoad_act!Q78=0,0,TrRoad_ene!Q81/TrRoad_tech!Q109)</f>
        <v>1.2921619678827134</v>
      </c>
      <c r="R136" s="91">
        <f>IF(TrRoad_act!R78=0,0,TrRoad_ene!R81/TrRoad_tech!R109)</f>
        <v>1.2925912512480726</v>
      </c>
      <c r="S136" s="91">
        <f>IF(TrRoad_act!S78=0,0,TrRoad_ene!S81/TrRoad_tech!S109)</f>
        <v>1.305169141540462</v>
      </c>
      <c r="T136" s="91">
        <f>IF(TrRoad_act!T78=0,0,TrRoad_ene!T81/TrRoad_tech!T109)</f>
        <v>1.3090639907721175</v>
      </c>
      <c r="U136" s="91">
        <f>IF(TrRoad_act!U78=0,0,TrRoad_ene!U81/TrRoad_tech!U109)</f>
        <v>1.3197078421408175</v>
      </c>
      <c r="V136" s="91">
        <f>IF(TrRoad_act!V78=0,0,TrRoad_ene!V81/TrRoad_tech!V109)</f>
        <v>1.3240567507636085</v>
      </c>
      <c r="W136" s="91">
        <f>IF(TrRoad_act!W78=0,0,TrRoad_ene!W81/TrRoad_tech!W109)</f>
        <v>1.3276601893410152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1.2773333333398114</v>
      </c>
      <c r="Q137" s="91">
        <f>IF(TrRoad_act!Q79=0,0,TrRoad_ene!Q82/TrRoad_tech!Q110)</f>
        <v>1.2913008535983925</v>
      </c>
      <c r="R137" s="91">
        <f>IF(TrRoad_act!R79=0,0,TrRoad_ene!R82/TrRoad_tech!R110)</f>
        <v>1.3025363608309455</v>
      </c>
      <c r="S137" s="91">
        <f>IF(TrRoad_act!S79=0,0,TrRoad_ene!S82/TrRoad_tech!S110)</f>
        <v>1.3165348078937551</v>
      </c>
      <c r="T137" s="91">
        <f>IF(TrRoad_act!T79=0,0,TrRoad_ene!T82/TrRoad_tech!T110)</f>
        <v>1.3258440317944649</v>
      </c>
      <c r="U137" s="91">
        <f>IF(TrRoad_act!U79=0,0,TrRoad_ene!U82/TrRoad_tech!U110)</f>
        <v>1.3332832011092999</v>
      </c>
      <c r="V137" s="91">
        <f>IF(TrRoad_act!V79=0,0,TrRoad_ene!V82/TrRoad_tech!V110)</f>
        <v>1.3363990430002772</v>
      </c>
      <c r="W137" s="91">
        <f>IF(TrRoad_act!W79=0,0,TrRoad_ene!W82/TrRoad_tech!W110)</f>
        <v>1.3437993987174413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0.50061196243073258</v>
      </c>
      <c r="C138" s="151">
        <f>IF(TrRoad_act!C80=0,0,TrRoad_ene!C83/TrRoad_tech!C111)</f>
        <v>0.84412583748489667</v>
      </c>
      <c r="D138" s="151">
        <f>IF(TrRoad_act!D80=0,0,TrRoad_ene!D83/TrRoad_tech!D111)</f>
        <v>0.83694852674838116</v>
      </c>
      <c r="E138" s="151">
        <f>IF(TrRoad_act!E80=0,0,TrRoad_ene!E83/TrRoad_tech!E111)</f>
        <v>0.98372627150293757</v>
      </c>
      <c r="F138" s="151">
        <f>IF(TrRoad_act!F80=0,0,TrRoad_ene!F83/TrRoad_tech!F111)</f>
        <v>1.1806167125504941</v>
      </c>
      <c r="G138" s="151">
        <f>IF(TrRoad_act!G80=0,0,TrRoad_ene!G83/TrRoad_tech!G111)</f>
        <v>1.3840803589492969</v>
      </c>
      <c r="H138" s="151">
        <f>IF(TrRoad_act!H80=0,0,TrRoad_ene!H83/TrRoad_tech!H111)</f>
        <v>1.5086238115047861</v>
      </c>
      <c r="I138" s="151">
        <f>IF(TrRoad_act!I80=0,0,TrRoad_ene!I83/TrRoad_tech!I111)</f>
        <v>2.1403117267584277</v>
      </c>
      <c r="J138" s="151">
        <f>IF(TrRoad_act!J80=0,0,TrRoad_ene!J83/TrRoad_tech!J111)</f>
        <v>3.1171918660380467</v>
      </c>
      <c r="K138" s="151">
        <f>IF(TrRoad_act!K80=0,0,TrRoad_ene!K83/TrRoad_tech!K111)</f>
        <v>2.1361829777306705</v>
      </c>
      <c r="L138" s="151">
        <f>IF(TrRoad_act!L80=0,0,TrRoad_ene!L83/TrRoad_tech!L111)</f>
        <v>2.3622503606664824</v>
      </c>
      <c r="M138" s="151">
        <f>IF(TrRoad_act!M80=0,0,TrRoad_ene!M83/TrRoad_tech!M111)</f>
        <v>2.9168089391701195</v>
      </c>
      <c r="N138" s="151">
        <f>IF(TrRoad_act!N80=0,0,TrRoad_ene!N83/TrRoad_tech!N111)</f>
        <v>3.3244149571542576</v>
      </c>
      <c r="O138" s="151">
        <f>IF(TrRoad_act!O80=0,0,TrRoad_ene!O83/TrRoad_tech!O111)</f>
        <v>3.1057600353981298</v>
      </c>
      <c r="P138" s="151">
        <f>IF(TrRoad_act!P80=0,0,TrRoad_ene!P83/TrRoad_tech!P111)</f>
        <v>2.9488011005265027</v>
      </c>
      <c r="Q138" s="151">
        <f>IF(TrRoad_act!Q80=0,0,TrRoad_ene!Q83/TrRoad_tech!Q111)</f>
        <v>2.707339874875383</v>
      </c>
      <c r="R138" s="151">
        <f>IF(TrRoad_act!R80=0,0,TrRoad_ene!R83/TrRoad_tech!R111)</f>
        <v>3.0777753076591878</v>
      </c>
      <c r="S138" s="151">
        <f>IF(TrRoad_act!S80=0,0,TrRoad_ene!S83/TrRoad_tech!S111)</f>
        <v>2.9213944861133219</v>
      </c>
      <c r="T138" s="151">
        <f>IF(TrRoad_act!T80=0,0,TrRoad_ene!T83/TrRoad_tech!T111)</f>
        <v>3.0087966900941692</v>
      </c>
      <c r="U138" s="151">
        <f>IF(TrRoad_act!U80=0,0,TrRoad_ene!U83/TrRoad_tech!U111)</f>
        <v>2.7417273924833787</v>
      </c>
      <c r="V138" s="151">
        <f>IF(TrRoad_act!V80=0,0,TrRoad_ene!V83/TrRoad_tech!V111)</f>
        <v>2.1313928781856482</v>
      </c>
      <c r="W138" s="151">
        <f>IF(TrRoad_act!W80=0,0,TrRoad_ene!W83/TrRoad_tech!W111)</f>
        <v>2.6818438395676782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0.99532531048710315</v>
      </c>
      <c r="C139" s="93">
        <f>IF(TrRoad_act!C81=0,0,TrRoad_ene!C84/TrRoad_tech!C112)</f>
        <v>1.0448651537434752</v>
      </c>
      <c r="D139" s="93">
        <f>IF(TrRoad_act!D81=0,0,TrRoad_ene!D84/TrRoad_tech!D112)</f>
        <v>1.0457940500824048</v>
      </c>
      <c r="E139" s="93">
        <f>IF(TrRoad_act!E81=0,0,TrRoad_ene!E84/TrRoad_tech!E112)</f>
        <v>1.0689405610162517</v>
      </c>
      <c r="F139" s="93">
        <f>IF(TrRoad_act!F81=0,0,TrRoad_ene!F84/TrRoad_tech!F112)</f>
        <v>1.1022176407827431</v>
      </c>
      <c r="G139" s="93">
        <f>IF(TrRoad_act!G81=0,0,TrRoad_ene!G84/TrRoad_tech!G112)</f>
        <v>1.1357754807072333</v>
      </c>
      <c r="H139" s="93">
        <f>IF(TrRoad_act!H81=0,0,TrRoad_ene!H84/TrRoad_tech!H112)</f>
        <v>1.1570520757696743</v>
      </c>
      <c r="I139" s="93">
        <f>IF(TrRoad_act!I81=0,0,TrRoad_ene!I84/TrRoad_tech!I112)</f>
        <v>1.2567578026548831</v>
      </c>
      <c r="J139" s="93">
        <f>IF(TrRoad_act!J81=0,0,TrRoad_ene!J84/TrRoad_tech!J112)</f>
        <v>1.4087167644780387</v>
      </c>
      <c r="K139" s="93">
        <f>IF(TrRoad_act!K81=0,0,TrRoad_ene!K84/TrRoad_tech!K112)</f>
        <v>1.2677165636793761</v>
      </c>
      <c r="L139" s="93">
        <f>IF(TrRoad_act!L81=0,0,TrRoad_ene!L84/TrRoad_tech!L112)</f>
        <v>1.3108603006115565</v>
      </c>
      <c r="M139" s="93">
        <f>IF(TrRoad_act!M81=0,0,TrRoad_ene!M84/TrRoad_tech!M112)</f>
        <v>1.4006318229631887</v>
      </c>
      <c r="N139" s="93">
        <f>IF(TrRoad_act!N81=0,0,TrRoad_ene!N84/TrRoad_tech!N112)</f>
        <v>1.4657318799966601</v>
      </c>
      <c r="O139" s="93">
        <f>IF(TrRoad_act!O81=0,0,TrRoad_ene!O84/TrRoad_tech!O112)</f>
        <v>1.4422910850598838</v>
      </c>
      <c r="P139" s="93">
        <f>IF(TrRoad_act!P81=0,0,TrRoad_ene!P84/TrRoad_tech!P112)</f>
        <v>1.4333185262139234</v>
      </c>
      <c r="Q139" s="93">
        <f>IF(TrRoad_act!Q81=0,0,TrRoad_ene!Q84/TrRoad_tech!Q112)</f>
        <v>1.4113694699616239</v>
      </c>
      <c r="R139" s="93">
        <f>IF(TrRoad_act!R81=0,0,TrRoad_ene!R84/TrRoad_tech!R112)</f>
        <v>1.4781660357150417</v>
      </c>
      <c r="S139" s="93">
        <f>IF(TrRoad_act!S81=0,0,TrRoad_ene!S84/TrRoad_tech!S112)</f>
        <v>1.4753146395326668</v>
      </c>
      <c r="T139" s="93">
        <f>IF(TrRoad_act!T81=0,0,TrRoad_ene!T84/TrRoad_tech!T112)</f>
        <v>1.5056326139031138</v>
      </c>
      <c r="U139" s="93">
        <f>IF(TrRoad_act!U81=0,0,TrRoad_ene!U84/TrRoad_tech!U112)</f>
        <v>1.4961380656474013</v>
      </c>
      <c r="V139" s="93">
        <f>IF(TrRoad_act!V81=0,0,TrRoad_ene!V84/TrRoad_tech!V112)</f>
        <v>1.4146267752458264</v>
      </c>
      <c r="W139" s="93">
        <f>IF(TrRoad_act!W81=0,0,TrRoad_ene!W84/TrRoad_tech!W112)</f>
        <v>1.5257187340307825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3.9845180282408937E-2</v>
      </c>
      <c r="C140" s="94">
        <f>IF(TrRoad_act!C82=0,0,TrRoad_ene!C85/TrRoad_tech!C113)</f>
        <v>0.54858416813052757</v>
      </c>
      <c r="D140" s="94">
        <f>IF(TrRoad_act!D82=0,0,TrRoad_ene!D85/TrRoad_tech!D113)</f>
        <v>0.52619706170575586</v>
      </c>
      <c r="E140" s="94">
        <f>IF(TrRoad_act!E82=0,0,TrRoad_ene!E85/TrRoad_tech!E113)</f>
        <v>0.74721562999071323</v>
      </c>
      <c r="F140" s="94">
        <f>IF(TrRoad_act!F82=0,0,TrRoad_ene!F85/TrRoad_tech!F113)</f>
        <v>1.0795665681429443</v>
      </c>
      <c r="G140" s="94">
        <f>IF(TrRoad_act!G82=0,0,TrRoad_ene!G85/TrRoad_tech!G113)</f>
        <v>1.4209507738339129</v>
      </c>
      <c r="H140" s="94">
        <f>IF(TrRoad_act!H82=0,0,TrRoad_ene!H85/TrRoad_tech!H113)</f>
        <v>1.567538363836011</v>
      </c>
      <c r="I140" s="94">
        <f>IF(TrRoad_act!I82=0,0,TrRoad_ene!I85/TrRoad_tech!I113)</f>
        <v>2.5540320090297528</v>
      </c>
      <c r="J140" s="94">
        <f>IF(TrRoad_act!J82=0,0,TrRoad_ene!J85/TrRoad_tech!J113)</f>
        <v>4.0603968203441019</v>
      </c>
      <c r="K140" s="94">
        <f>IF(TrRoad_act!K82=0,0,TrRoad_ene!K85/TrRoad_tech!K113)</f>
        <v>2.5219009031172677</v>
      </c>
      <c r="L140" s="94">
        <f>IF(TrRoad_act!L82=0,0,TrRoad_ene!L85/TrRoad_tech!L113)</f>
        <v>2.9202466201949613</v>
      </c>
      <c r="M140" s="94">
        <f>IF(TrRoad_act!M82=0,0,TrRoad_ene!M85/TrRoad_tech!M113)</f>
        <v>3.6904411889726991</v>
      </c>
      <c r="N140" s="94">
        <f>IF(TrRoad_act!N82=0,0,TrRoad_ene!N85/TrRoad_tech!N113)</f>
        <v>4.1228729889146809</v>
      </c>
      <c r="O140" s="94">
        <f>IF(TrRoad_act!O82=0,0,TrRoad_ene!O85/TrRoad_tech!O113)</f>
        <v>3.7414556058675434</v>
      </c>
      <c r="P140" s="94">
        <f>IF(TrRoad_act!P82=0,0,TrRoad_ene!P85/TrRoad_tech!P113)</f>
        <v>3.5918660016317991</v>
      </c>
      <c r="Q140" s="94">
        <f>IF(TrRoad_act!Q82=0,0,TrRoad_ene!Q85/TrRoad_tech!Q113)</f>
        <v>3.1419389162773945</v>
      </c>
      <c r="R140" s="94">
        <f>IF(TrRoad_act!R82=0,0,TrRoad_ene!R85/TrRoad_tech!R113)</f>
        <v>3.5654072150254303</v>
      </c>
      <c r="S140" s="94">
        <f>IF(TrRoad_act!S82=0,0,TrRoad_ene!S85/TrRoad_tech!S113)</f>
        <v>3.3451758671813239</v>
      </c>
      <c r="T140" s="94">
        <f>IF(TrRoad_act!T82=0,0,TrRoad_ene!T85/TrRoad_tech!T113)</f>
        <v>3.3801743638636679</v>
      </c>
      <c r="U140" s="94">
        <f>IF(TrRoad_act!U82=0,0,TrRoad_ene!U85/TrRoad_tech!U113)</f>
        <v>3.0204621458410474</v>
      </c>
      <c r="V140" s="94">
        <f>IF(TrRoad_act!V82=0,0,TrRoad_ene!V85/TrRoad_tech!V113)</f>
        <v>2.2257009010404123</v>
      </c>
      <c r="W140" s="94">
        <f>IF(TrRoad_act!W82=0,0,TrRoad_ene!W85/TrRoad_tech!W113)</f>
        <v>2.9679571741587472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3.7351124746807187</v>
      </c>
      <c r="C144" s="141">
        <v>3.7147781851659056</v>
      </c>
      <c r="D144" s="141">
        <v>3.6923143392750277</v>
      </c>
      <c r="E144" s="141">
        <v>3.646098582935307</v>
      </c>
      <c r="F144" s="141">
        <v>3.641049369868091</v>
      </c>
      <c r="G144" s="141">
        <v>3.5919998715008514</v>
      </c>
      <c r="H144" s="141">
        <v>3.519559120761</v>
      </c>
      <c r="I144" s="141">
        <v>3.4679334932778345</v>
      </c>
      <c r="J144" s="141">
        <v>3.2995576942608831</v>
      </c>
      <c r="K144" s="141">
        <v>3.1179405915880696</v>
      </c>
      <c r="L144" s="141">
        <v>3.0045393879049884</v>
      </c>
      <c r="M144" s="141">
        <v>2.9165671849988644</v>
      </c>
      <c r="N144" s="141">
        <v>2.8034253224641072</v>
      </c>
      <c r="O144" s="141">
        <v>2.6656408959448097</v>
      </c>
      <c r="P144" s="141">
        <v>2.5598572795847763</v>
      </c>
      <c r="Q144" s="141">
        <v>2.508334360218448</v>
      </c>
      <c r="R144" s="141">
        <v>2.4448157238192922</v>
      </c>
      <c r="S144" s="141">
        <v>2.3940008146999676</v>
      </c>
      <c r="T144" s="141">
        <v>2.3533488874045076</v>
      </c>
      <c r="U144" s="141">
        <v>2.3208273455681399</v>
      </c>
      <c r="V144" s="141">
        <v>2.2948101120990456</v>
      </c>
      <c r="W144" s="141">
        <v>2.2739963253237701</v>
      </c>
      <c r="DA144" s="174" t="s">
        <v>885</v>
      </c>
    </row>
    <row r="145" spans="1:105" ht="11.45" customHeight="1" x14ac:dyDescent="0.25">
      <c r="A145" s="109" t="s">
        <v>20</v>
      </c>
      <c r="B145" s="130">
        <v>7.2805517819923669</v>
      </c>
      <c r="C145" s="130">
        <v>7.2484171700566726</v>
      </c>
      <c r="D145" s="130">
        <v>7.0305273364153846</v>
      </c>
      <c r="E145" s="130">
        <v>7.0690066278081423</v>
      </c>
      <c r="F145" s="130">
        <v>7.0239846423212455</v>
      </c>
      <c r="G145" s="130">
        <v>6.9567196106039999</v>
      </c>
      <c r="H145" s="130">
        <v>6.9153972812228517</v>
      </c>
      <c r="I145" s="130">
        <v>6.8325945751710142</v>
      </c>
      <c r="J145" s="130">
        <v>6.5148430820262302</v>
      </c>
      <c r="K145" s="130">
        <v>6.1960046099400401</v>
      </c>
      <c r="L145" s="130">
        <v>5.9697147858991801</v>
      </c>
      <c r="M145" s="130">
        <v>5.7799403170540966</v>
      </c>
      <c r="N145" s="130">
        <v>5.5235768303853572</v>
      </c>
      <c r="O145" s="130">
        <v>5.2064252857431947</v>
      </c>
      <c r="P145" s="130">
        <v>5.0314613185570147</v>
      </c>
      <c r="Q145" s="130">
        <v>4.9399485388240452</v>
      </c>
      <c r="R145" s="130">
        <v>4.9367128440096648</v>
      </c>
      <c r="S145" s="130">
        <v>4.9671944827296519</v>
      </c>
      <c r="T145" s="130">
        <v>5.0481973688261119</v>
      </c>
      <c r="U145" s="130">
        <v>5.0417634150858639</v>
      </c>
      <c r="V145" s="130">
        <v>4.7616133128006046</v>
      </c>
      <c r="W145" s="130">
        <v>4.7188671064116452</v>
      </c>
      <c r="DA145" s="176" t="s">
        <v>886</v>
      </c>
    </row>
    <row r="146" spans="1:105" ht="11.45" customHeight="1" x14ac:dyDescent="0.25">
      <c r="A146" s="111" t="s">
        <v>110</v>
      </c>
      <c r="B146" s="96">
        <v>7.4119805470507876</v>
      </c>
      <c r="C146" s="96">
        <v>7.3716290558055935</v>
      </c>
      <c r="D146" s="96">
        <v>7.3270516595735389</v>
      </c>
      <c r="E146" s="96">
        <v>7.2353408237474968</v>
      </c>
      <c r="F146" s="96">
        <v>7.2253211337687313</v>
      </c>
      <c r="G146" s="96">
        <v>7.1279870025464405</v>
      </c>
      <c r="H146" s="96">
        <v>6.9842351238715086</v>
      </c>
      <c r="I146" s="96">
        <v>6.8817889059253607</v>
      </c>
      <c r="J146" s="96">
        <v>6.5476629176538932</v>
      </c>
      <c r="K146" s="96">
        <v>6.1872608036217907</v>
      </c>
      <c r="L146" s="96">
        <v>5.9622267460374898</v>
      </c>
      <c r="M146" s="96">
        <v>5.7864143913211734</v>
      </c>
      <c r="N146" s="96">
        <v>5.5626626437398849</v>
      </c>
      <c r="O146" s="96">
        <v>5.2915497249019365</v>
      </c>
      <c r="P146" s="96">
        <v>5.0808865464778155</v>
      </c>
      <c r="Q146" s="96">
        <v>4.9812067517522713</v>
      </c>
      <c r="R146" s="96">
        <v>4.9656042571576586</v>
      </c>
      <c r="S146" s="96">
        <v>4.9686800640693152</v>
      </c>
      <c r="T146" s="96">
        <v>4.9815269452505815</v>
      </c>
      <c r="U146" s="96">
        <v>5.0326516366794918</v>
      </c>
      <c r="V146" s="96">
        <v>4.818291215655818</v>
      </c>
      <c r="W146" s="96">
        <v>4.635149968072553</v>
      </c>
      <c r="DA146" s="171" t="s">
        <v>887</v>
      </c>
    </row>
    <row r="147" spans="1:105" ht="11.45" customHeight="1" x14ac:dyDescent="0.25">
      <c r="A147" s="111" t="s">
        <v>111</v>
      </c>
      <c r="B147" s="96">
        <v>6.8207608629188599</v>
      </c>
      <c r="C147" s="96">
        <v>6.8173722145319502</v>
      </c>
      <c r="D147" s="96">
        <v>6.8136090241287297</v>
      </c>
      <c r="E147" s="96">
        <v>6.8291321845420097</v>
      </c>
      <c r="F147" s="96">
        <v>6.7840914994034796</v>
      </c>
      <c r="G147" s="96">
        <v>6.8043186478207813</v>
      </c>
      <c r="H147" s="96">
        <v>6.8479481365581041</v>
      </c>
      <c r="I147" s="96">
        <v>6.7849146973041812</v>
      </c>
      <c r="J147" s="96">
        <v>6.4788026779423191</v>
      </c>
      <c r="K147" s="96">
        <v>6.2241993272245173</v>
      </c>
      <c r="L147" s="96">
        <v>5.9851191369200372</v>
      </c>
      <c r="M147" s="96">
        <v>5.7786014061184128</v>
      </c>
      <c r="N147" s="96">
        <v>5.4995871469585298</v>
      </c>
      <c r="O147" s="96">
        <v>5.1424815679785771</v>
      </c>
      <c r="P147" s="96">
        <v>5.0036420730275246</v>
      </c>
      <c r="Q147" s="96">
        <v>4.9189450653260973</v>
      </c>
      <c r="R147" s="96">
        <v>4.9240993734696969</v>
      </c>
      <c r="S147" s="96">
        <v>4.9972904934953126</v>
      </c>
      <c r="T147" s="96">
        <v>5.1643018916448291</v>
      </c>
      <c r="U147" s="96">
        <v>5.1208123768450493</v>
      </c>
      <c r="V147" s="96">
        <v>4.8771340622122716</v>
      </c>
      <c r="W147" s="96">
        <v>4.9468629393833021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6.3939864621009521</v>
      </c>
      <c r="I148" s="96">
        <v>6.3351316125588504</v>
      </c>
      <c r="J148" s="96">
        <v>0</v>
      </c>
      <c r="K148" s="96">
        <v>5.8115869808112004</v>
      </c>
      <c r="L148" s="96">
        <v>5.5883558070815509</v>
      </c>
      <c r="M148" s="96">
        <v>5.555906411162983</v>
      </c>
      <c r="N148" s="96">
        <v>5.5129224328577147</v>
      </c>
      <c r="O148" s="96">
        <v>5.3393399523994942</v>
      </c>
      <c r="P148" s="96">
        <v>5.3003374691360232</v>
      </c>
      <c r="Q148" s="96">
        <v>5.9067148746163527</v>
      </c>
      <c r="R148" s="96">
        <v>5.3346815361429591</v>
      </c>
      <c r="S148" s="96">
        <v>5.2172954472091257</v>
      </c>
      <c r="T148" s="96">
        <v>5.3055837047998979</v>
      </c>
      <c r="U148" s="96">
        <v>5.7036230894098408</v>
      </c>
      <c r="V148" s="96">
        <v>4.709045444301216</v>
      </c>
      <c r="W148" s="96">
        <v>5.0709932866168508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5.8836376896622529</v>
      </c>
      <c r="O149" s="96">
        <v>5.8230732125397564</v>
      </c>
      <c r="P149" s="96">
        <v>5.3385698890363464</v>
      </c>
      <c r="Q149" s="96">
        <v>4.7397575003294632</v>
      </c>
      <c r="R149" s="96">
        <v>4.9557735899684516</v>
      </c>
      <c r="S149" s="96">
        <v>4.9173141496915358</v>
      </c>
      <c r="T149" s="96">
        <v>5.7689160415375573</v>
      </c>
      <c r="U149" s="96">
        <v>5.050053100227597</v>
      </c>
      <c r="V149" s="96">
        <v>4.7190158970038594</v>
      </c>
      <c r="W149" s="96">
        <v>4.2947557615505607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2.3513424518066168</v>
      </c>
      <c r="P150" s="96">
        <v>2.5647246896673823</v>
      </c>
      <c r="Q150" s="96">
        <v>2.2634557997260139</v>
      </c>
      <c r="R150" s="96">
        <v>2.6705909573729425</v>
      </c>
      <c r="S150" s="96">
        <v>3.4906315156430345</v>
      </c>
      <c r="T150" s="96">
        <v>3.3515567638418644</v>
      </c>
      <c r="U150" s="96">
        <v>2.7695192842993626</v>
      </c>
      <c r="V150" s="96">
        <v>3.0674031395248518</v>
      </c>
      <c r="W150" s="96">
        <v>2.7207242320765457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1.6199263019531938</v>
      </c>
      <c r="N151" s="96">
        <v>1.4946118485802586</v>
      </c>
      <c r="O151" s="96">
        <v>1.5563198624247636</v>
      </c>
      <c r="P151" s="96">
        <v>1.3523454667048822</v>
      </c>
      <c r="Q151" s="96">
        <v>1.2100668033600104</v>
      </c>
      <c r="R151" s="96">
        <v>1.1728449626730739</v>
      </c>
      <c r="S151" s="96">
        <v>1.1497248880851667</v>
      </c>
      <c r="T151" s="96">
        <v>1.1993441180587499</v>
      </c>
      <c r="U151" s="96">
        <v>1.4020535127206517</v>
      </c>
      <c r="V151" s="96">
        <v>1.4149041407840706</v>
      </c>
      <c r="W151" s="96">
        <v>1.4216580673699124</v>
      </c>
      <c r="DA151" s="171" t="s">
        <v>892</v>
      </c>
    </row>
    <row r="152" spans="1:105" ht="11.45" customHeight="1" x14ac:dyDescent="0.25">
      <c r="A152" s="109" t="s">
        <v>21</v>
      </c>
      <c r="B152" s="130">
        <v>47.789710887703791</v>
      </c>
      <c r="C152" s="130">
        <v>47.478232734776483</v>
      </c>
      <c r="D152" s="130">
        <v>47.651908581035649</v>
      </c>
      <c r="E152" s="130">
        <v>47.501383826234225</v>
      </c>
      <c r="F152" s="130">
        <v>47.484921437135618</v>
      </c>
      <c r="G152" s="130">
        <v>47.323368849014138</v>
      </c>
      <c r="H152" s="130">
        <v>47.081109039796175</v>
      </c>
      <c r="I152" s="130">
        <v>46.906539692561978</v>
      </c>
      <c r="J152" s="130">
        <v>46.315669747006716</v>
      </c>
      <c r="K152" s="130">
        <v>45.65088941947495</v>
      </c>
      <c r="L152" s="130">
        <v>45.224162243372476</v>
      </c>
      <c r="M152" s="130">
        <v>44.885691286680363</v>
      </c>
      <c r="N152" s="130">
        <v>43.202965495080626</v>
      </c>
      <c r="O152" s="130">
        <v>42.975438978216104</v>
      </c>
      <c r="P152" s="130">
        <v>42.503770066866906</v>
      </c>
      <c r="Q152" s="130">
        <v>42.456338028078925</v>
      </c>
      <c r="R152" s="130">
        <v>41.547226487103529</v>
      </c>
      <c r="S152" s="130">
        <v>42.823277415053695</v>
      </c>
      <c r="T152" s="130">
        <v>42.180756297048774</v>
      </c>
      <c r="U152" s="130">
        <v>41.144669765940058</v>
      </c>
      <c r="V152" s="130">
        <v>42.093967718710033</v>
      </c>
      <c r="W152" s="130">
        <v>42.276895248059155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15.478242438191273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11.106837066436709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47.789710887703791</v>
      </c>
      <c r="C154" s="97">
        <v>47.724386506288681</v>
      </c>
      <c r="D154" s="97">
        <v>47.651908581035656</v>
      </c>
      <c r="E154" s="97">
        <v>47.501383826234225</v>
      </c>
      <c r="F154" s="97">
        <v>47.484921437135618</v>
      </c>
      <c r="G154" s="97">
        <v>47.323368849014138</v>
      </c>
      <c r="H154" s="97">
        <v>47.081109039796175</v>
      </c>
      <c r="I154" s="97">
        <v>46.906539692561978</v>
      </c>
      <c r="J154" s="97">
        <v>46.315669747006716</v>
      </c>
      <c r="K154" s="97">
        <v>45.65088941947495</v>
      </c>
      <c r="L154" s="97">
        <v>45.224162243372476</v>
      </c>
      <c r="M154" s="97">
        <v>44.885691286680363</v>
      </c>
      <c r="N154" s="97">
        <v>44.437335937797215</v>
      </c>
      <c r="O154" s="97">
        <v>43.870430793407756</v>
      </c>
      <c r="P154" s="97">
        <v>43.42183945559664</v>
      </c>
      <c r="Q154" s="97">
        <v>43.199999999908329</v>
      </c>
      <c r="R154" s="97">
        <v>43.00131368115499</v>
      </c>
      <c r="S154" s="97">
        <v>42.823277415053695</v>
      </c>
      <c r="T154" s="97">
        <v>42.663675095938629</v>
      </c>
      <c r="U154" s="97">
        <v>42.52054165822522</v>
      </c>
      <c r="V154" s="97">
        <v>42.392132182927881</v>
      </c>
      <c r="W154" s="97">
        <v>42.276895248059155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37.031113281497682</v>
      </c>
      <c r="O156" s="97">
        <v>36.5586923278398</v>
      </c>
      <c r="P156" s="97">
        <v>36.1848662129972</v>
      </c>
      <c r="Q156" s="97">
        <v>35.99999999992361</v>
      </c>
      <c r="R156" s="97">
        <v>35.834428067629162</v>
      </c>
      <c r="S156" s="97">
        <v>0</v>
      </c>
      <c r="T156" s="97">
        <v>35.553062579948872</v>
      </c>
      <c r="U156" s="97">
        <v>35.433784715187706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28.872641845773401</v>
      </c>
      <c r="Q157" s="97">
        <v>0</v>
      </c>
      <c r="R157" s="97">
        <v>28.050622513525745</v>
      </c>
      <c r="S157" s="97">
        <v>0</v>
      </c>
      <c r="T157" s="97">
        <v>27.401973860365228</v>
      </c>
      <c r="U157" s="97">
        <v>27.130025351506429</v>
      </c>
      <c r="V157" s="97">
        <v>26.887580043599769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9.334696842330958</v>
      </c>
      <c r="C159" s="141">
        <v>9.3522806190711361</v>
      </c>
      <c r="D159" s="141">
        <v>9.536070214947582</v>
      </c>
      <c r="E159" s="141">
        <v>9.6763417104306715</v>
      </c>
      <c r="F159" s="141">
        <v>9.7582606094203985</v>
      </c>
      <c r="G159" s="141">
        <v>9.8459485659349912</v>
      </c>
      <c r="H159" s="141">
        <v>9.9890564066149992</v>
      </c>
      <c r="I159" s="141">
        <v>9.8133083304568558</v>
      </c>
      <c r="J159" s="141">
        <v>9.5090806567906192</v>
      </c>
      <c r="K159" s="141">
        <v>9.3177230751160707</v>
      </c>
      <c r="L159" s="141">
        <v>9.8450844573880172</v>
      </c>
      <c r="M159" s="141">
        <v>9.9225749541494199</v>
      </c>
      <c r="N159" s="141">
        <v>8.1022050539613293</v>
      </c>
      <c r="O159" s="141">
        <v>8.00525935264222</v>
      </c>
      <c r="P159" s="141">
        <v>7.9983041495922595</v>
      </c>
      <c r="Q159" s="141">
        <v>7.6139984178682933</v>
      </c>
      <c r="R159" s="141">
        <v>7.314586105614068</v>
      </c>
      <c r="S159" s="141">
        <v>7.0129682213789586</v>
      </c>
      <c r="T159" s="141">
        <v>7.0888281084103504</v>
      </c>
      <c r="U159" s="141">
        <v>7.0922403449257061</v>
      </c>
      <c r="V159" s="141">
        <v>7.3050979150538602</v>
      </c>
      <c r="W159" s="141">
        <v>7.0260841094824347</v>
      </c>
      <c r="DA159" s="174" t="s">
        <v>899</v>
      </c>
    </row>
    <row r="160" spans="1:105" ht="11.45" customHeight="1" x14ac:dyDescent="0.25">
      <c r="A160" s="111" t="s">
        <v>110</v>
      </c>
      <c r="B160" s="96">
        <v>7.6384634809238401</v>
      </c>
      <c r="C160" s="96">
        <v>7.5968789961399628</v>
      </c>
      <c r="D160" s="96">
        <v>7.5509394782160086</v>
      </c>
      <c r="E160" s="96">
        <v>7.4564262956981491</v>
      </c>
      <c r="F160" s="96">
        <v>7.4461004407519384</v>
      </c>
      <c r="G160" s="96">
        <v>7.3457921355601883</v>
      </c>
      <c r="H160" s="96">
        <v>7.197647726842118</v>
      </c>
      <c r="I160" s="96">
        <v>7.0920711283104643</v>
      </c>
      <c r="J160" s="96">
        <v>6.7477354756144106</v>
      </c>
      <c r="K160" s="96">
        <v>6.3763207951512557</v>
      </c>
      <c r="L160" s="96">
        <v>6.1444105223287302</v>
      </c>
      <c r="M160" s="96">
        <v>5.9645036349752809</v>
      </c>
      <c r="N160" s="96">
        <v>5.6294537533727453</v>
      </c>
      <c r="O160" s="96">
        <v>5.5293617213286517</v>
      </c>
      <c r="P160" s="96">
        <v>5.2776825381272223</v>
      </c>
      <c r="Q160" s="96">
        <v>4.8955859258674179</v>
      </c>
      <c r="R160" s="96">
        <v>4.7373048538754716</v>
      </c>
      <c r="S160" s="96">
        <v>4.8692618597838271</v>
      </c>
      <c r="T160" s="96">
        <v>5.462750707386081</v>
      </c>
      <c r="U160" s="96">
        <v>5.8037637502841957</v>
      </c>
      <c r="V160" s="96">
        <v>5.4622694659699222</v>
      </c>
      <c r="W160" s="96">
        <v>5.5982851535792344</v>
      </c>
      <c r="DA160" s="171" t="s">
        <v>900</v>
      </c>
    </row>
    <row r="161" spans="1:105" ht="11.45" customHeight="1" x14ac:dyDescent="0.25">
      <c r="A161" s="111" t="s">
        <v>111</v>
      </c>
      <c r="B161" s="96">
        <v>10.0562502226117</v>
      </c>
      <c r="C161" s="96">
        <v>10.051254138336047</v>
      </c>
      <c r="D161" s="96">
        <v>10.045705844664612</v>
      </c>
      <c r="E161" s="96">
        <v>10.068592556059283</v>
      </c>
      <c r="F161" s="96">
        <v>10.002186416179292</v>
      </c>
      <c r="G161" s="96">
        <v>10.032008494663257</v>
      </c>
      <c r="H161" s="96">
        <v>10.096334024416459</v>
      </c>
      <c r="I161" s="96">
        <v>10.003400105419921</v>
      </c>
      <c r="J161" s="96">
        <v>9.552081092084137</v>
      </c>
      <c r="K161" s="96">
        <v>9.1767043483761217</v>
      </c>
      <c r="L161" s="96">
        <v>8.8242143160627684</v>
      </c>
      <c r="M161" s="96">
        <v>8.5197330392542501</v>
      </c>
      <c r="N161" s="96">
        <v>8.1083658527807234</v>
      </c>
      <c r="O161" s="96">
        <v>7.9643619672802162</v>
      </c>
      <c r="P161" s="96">
        <v>7.8917667503131295</v>
      </c>
      <c r="Q161" s="96">
        <v>7.4622004056412914</v>
      </c>
      <c r="R161" s="96">
        <v>7.1714578517550738</v>
      </c>
      <c r="S161" s="96">
        <v>6.9203493365208404</v>
      </c>
      <c r="T161" s="96">
        <v>7.0662633092914326</v>
      </c>
      <c r="U161" s="96">
        <v>7.0867827815323752</v>
      </c>
      <c r="V161" s="96">
        <v>7.3419201439782471</v>
      </c>
      <c r="W161" s="96">
        <v>7.0588441582974442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10.095378473836522</v>
      </c>
      <c r="I162" s="96">
        <v>10.002453350414697</v>
      </c>
      <c r="J162" s="96">
        <v>9.5511770514090735</v>
      </c>
      <c r="K162" s="96">
        <v>9.1758358346026299</v>
      </c>
      <c r="L162" s="96">
        <v>8.8233791631164848</v>
      </c>
      <c r="M162" s="96">
        <v>0</v>
      </c>
      <c r="N162" s="96">
        <v>8.7042784320057791</v>
      </c>
      <c r="O162" s="96">
        <v>5.97971022429393</v>
      </c>
      <c r="P162" s="96">
        <v>5.97971022429393</v>
      </c>
      <c r="Q162" s="96">
        <v>7.2272756667725204</v>
      </c>
      <c r="R162" s="96">
        <v>6.3043118911457237</v>
      </c>
      <c r="S162" s="96">
        <v>5.717064867982649</v>
      </c>
      <c r="T162" s="96">
        <v>5.6785737381784092</v>
      </c>
      <c r="U162" s="96">
        <v>6.1350584115757458</v>
      </c>
      <c r="V162" s="96">
        <v>4.4293389253705611</v>
      </c>
      <c r="W162" s="96">
        <v>7.6082448846476511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7.1942537436636709</v>
      </c>
      <c r="Q163" s="96">
        <v>7.7003728993319882</v>
      </c>
      <c r="R163" s="96">
        <v>4.9470846924962775</v>
      </c>
      <c r="S163" s="96">
        <v>5.0207020242298537</v>
      </c>
      <c r="T163" s="96">
        <v>4.5348276347882557</v>
      </c>
      <c r="U163" s="96">
        <v>5.6411909631271309</v>
      </c>
      <c r="V163" s="96">
        <v>8.7172366015115497</v>
      </c>
      <c r="W163" s="96">
        <v>9.7390372287949543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1.2508321057961216</v>
      </c>
      <c r="Q164" s="96">
        <v>1.3198853792075025</v>
      </c>
      <c r="R164" s="96">
        <v>1.3327601031814273</v>
      </c>
      <c r="S164" s="96">
        <v>1.3243940415049613</v>
      </c>
      <c r="T164" s="96">
        <v>1.3278876468902263</v>
      </c>
      <c r="U164" s="96">
        <v>1.3453432040769242</v>
      </c>
      <c r="V164" s="96">
        <v>1.5522253613397206</v>
      </c>
      <c r="W164" s="96">
        <v>1.7204447059178469</v>
      </c>
      <c r="DA164" s="171" t="s">
        <v>904</v>
      </c>
    </row>
    <row r="165" spans="1:105" ht="11.45" customHeight="1" x14ac:dyDescent="0.25">
      <c r="A165" s="109" t="s">
        <v>158</v>
      </c>
      <c r="B165" s="130">
        <v>27.508112843008956</v>
      </c>
      <c r="C165" s="130">
        <v>27.617513272589388</v>
      </c>
      <c r="D165" s="130">
        <v>27.579530708208633</v>
      </c>
      <c r="E165" s="130">
        <v>27.309727345824349</v>
      </c>
      <c r="F165" s="130">
        <v>27.955579628882546</v>
      </c>
      <c r="G165" s="130">
        <v>27.039845329083921</v>
      </c>
      <c r="H165" s="130">
        <v>27.305199902383482</v>
      </c>
      <c r="I165" s="130">
        <v>26.154018959369264</v>
      </c>
      <c r="J165" s="130">
        <v>25.858907647740516</v>
      </c>
      <c r="K165" s="130">
        <v>24.643903189364909</v>
      </c>
      <c r="L165" s="130">
        <v>25.318494888927805</v>
      </c>
      <c r="M165" s="130">
        <v>25.263429030876395</v>
      </c>
      <c r="N165" s="130">
        <v>24.977965993578977</v>
      </c>
      <c r="O165" s="130">
        <v>24.049493748243581</v>
      </c>
      <c r="P165" s="130">
        <v>23.491609748420835</v>
      </c>
      <c r="Q165" s="130">
        <v>23.516597060783994</v>
      </c>
      <c r="R165" s="130">
        <v>23.112860255070075</v>
      </c>
      <c r="S165" s="130">
        <v>22.735916298781174</v>
      </c>
      <c r="T165" s="130">
        <v>21.916537246289586</v>
      </c>
      <c r="U165" s="130">
        <v>21.669692527051566</v>
      </c>
      <c r="V165" s="130">
        <v>20.995516855218103</v>
      </c>
      <c r="W165" s="130">
        <v>21.875419962951579</v>
      </c>
      <c r="DA165" s="176" t="s">
        <v>905</v>
      </c>
    </row>
    <row r="166" spans="1:105" ht="11.45" customHeight="1" x14ac:dyDescent="0.25">
      <c r="A166" s="128" t="s">
        <v>27</v>
      </c>
      <c r="B166" s="97">
        <v>26.761270004743029</v>
      </c>
      <c r="C166" s="97">
        <v>26.638144329843865</v>
      </c>
      <c r="D166" s="97">
        <v>26.502002310289701</v>
      </c>
      <c r="E166" s="97">
        <v>26.332480155047378</v>
      </c>
      <c r="F166" s="97">
        <v>26.130008623106278</v>
      </c>
      <c r="G166" s="97">
        <v>25.895098567024377</v>
      </c>
      <c r="H166" s="97">
        <v>25.628337747266013</v>
      </c>
      <c r="I166" s="97">
        <v>25.330387211858454</v>
      </c>
      <c r="J166" s="97">
        <v>25.001977282241409</v>
      </c>
      <c r="K166" s="97">
        <v>24.643903189364909</v>
      </c>
      <c r="L166" s="97">
        <v>24.257020408101098</v>
      </c>
      <c r="M166" s="97">
        <v>23.842239738783256</v>
      </c>
      <c r="N166" s="97">
        <v>23.400522186577142</v>
      </c>
      <c r="O166" s="97">
        <v>22.932873689982319</v>
      </c>
      <c r="P166" s="97">
        <v>22.440339748555257</v>
      </c>
      <c r="Q166" s="97">
        <v>21.923999999953473</v>
      </c>
      <c r="R166" s="97">
        <v>21.590932114163849</v>
      </c>
      <c r="S166" s="97">
        <v>21.357784594111113</v>
      </c>
      <c r="T166" s="97">
        <v>21.112979698055739</v>
      </c>
      <c r="U166" s="97">
        <v>20.813773713988063</v>
      </c>
      <c r="V166" s="97">
        <v>20.730120874100997</v>
      </c>
      <c r="W166" s="97">
        <v>20.522819665359986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121.56104361384429</v>
      </c>
      <c r="C171" s="152">
        <v>120.94944178882594</v>
      </c>
      <c r="D171" s="152">
        <v>120.24790355790338</v>
      </c>
      <c r="E171" s="152">
        <v>119.37814651918995</v>
      </c>
      <c r="F171" s="152">
        <v>118.30646294495658</v>
      </c>
      <c r="G171" s="152">
        <v>117.03432054928957</v>
      </c>
      <c r="H171" s="152">
        <v>114.8693002522959</v>
      </c>
      <c r="I171" s="152">
        <v>109.09768827876998</v>
      </c>
      <c r="J171" s="152">
        <v>105.82145592525544</v>
      </c>
      <c r="K171" s="152">
        <v>103.37001369359614</v>
      </c>
      <c r="L171" s="152">
        <v>101.91799553372603</v>
      </c>
      <c r="M171" s="152">
        <v>100.81580698709699</v>
      </c>
      <c r="N171" s="152">
        <v>100.14205064187865</v>
      </c>
      <c r="O171" s="152">
        <v>98.638610553240355</v>
      </c>
      <c r="P171" s="152">
        <v>97.161757583292953</v>
      </c>
      <c r="Q171" s="152">
        <v>94.453268611483225</v>
      </c>
      <c r="R171" s="152">
        <v>92.596708994112191</v>
      </c>
      <c r="S171" s="152">
        <v>87.383420556289707</v>
      </c>
      <c r="T171" s="152">
        <v>85.483554780206063</v>
      </c>
      <c r="U171" s="152">
        <v>83.444286403345501</v>
      </c>
      <c r="V171" s="152">
        <v>82.119885237118453</v>
      </c>
      <c r="W171" s="152">
        <v>76.426476617024662</v>
      </c>
      <c r="DA171" s="174" t="s">
        <v>908</v>
      </c>
    </row>
    <row r="172" spans="1:105" ht="11.45" customHeight="1" x14ac:dyDescent="0.25">
      <c r="A172" s="109" t="s">
        <v>20</v>
      </c>
      <c r="B172" s="116">
        <v>242.4238569379996</v>
      </c>
      <c r="C172" s="116">
        <v>238.7776905142743</v>
      </c>
      <c r="D172" s="116">
        <v>241.43324885967019</v>
      </c>
      <c r="E172" s="116">
        <v>237.01601901697342</v>
      </c>
      <c r="F172" s="116">
        <v>235.29922844709537</v>
      </c>
      <c r="G172" s="116">
        <v>234.32710213463216</v>
      </c>
      <c r="H172" s="116">
        <v>231.0913407099616</v>
      </c>
      <c r="I172" s="116">
        <v>228.14272201953261</v>
      </c>
      <c r="J172" s="116">
        <v>225.22339185220497</v>
      </c>
      <c r="K172" s="116">
        <v>221.55039063605807</v>
      </c>
      <c r="L172" s="116">
        <v>217.74928598930794</v>
      </c>
      <c r="M172" s="116">
        <v>214.5699466846348</v>
      </c>
      <c r="N172" s="116">
        <v>211.74704662176148</v>
      </c>
      <c r="O172" s="116">
        <v>207.14494675224597</v>
      </c>
      <c r="P172" s="116">
        <v>203.79305072046304</v>
      </c>
      <c r="Q172" s="116">
        <v>199.22549892550163</v>
      </c>
      <c r="R172" s="116">
        <v>194.46405749570326</v>
      </c>
      <c r="S172" s="116">
        <v>189.41762094325844</v>
      </c>
      <c r="T172" s="116">
        <v>183.81950310739956</v>
      </c>
      <c r="U172" s="116">
        <v>178.96446598501694</v>
      </c>
      <c r="V172" s="116">
        <v>173.68197990513843</v>
      </c>
      <c r="W172" s="116">
        <v>169.28926319157688</v>
      </c>
      <c r="DA172" s="176" t="s">
        <v>909</v>
      </c>
    </row>
    <row r="173" spans="1:105" ht="11.45" customHeight="1" x14ac:dyDescent="0.25">
      <c r="A173" s="111" t="s">
        <v>110</v>
      </c>
      <c r="B173" s="87">
        <v>241.22649495903676</v>
      </c>
      <c r="C173" s="87">
        <v>236.83198148253121</v>
      </c>
      <c r="D173" s="87">
        <v>235.22233925203858</v>
      </c>
      <c r="E173" s="87">
        <v>233.49156914608298</v>
      </c>
      <c r="F173" s="87">
        <v>231.64051686451288</v>
      </c>
      <c r="G173" s="87">
        <v>229.98064550072937</v>
      </c>
      <c r="H173" s="87">
        <v>227.82587289832819</v>
      </c>
      <c r="I173" s="87">
        <v>225.14883940452972</v>
      </c>
      <c r="J173" s="87">
        <v>221.48921155731719</v>
      </c>
      <c r="K173" s="87">
        <v>217.70811534902361</v>
      </c>
      <c r="L173" s="87">
        <v>213.24507183802834</v>
      </c>
      <c r="M173" s="87">
        <v>209.17722366895305</v>
      </c>
      <c r="N173" s="87">
        <v>205.48907514789877</v>
      </c>
      <c r="O173" s="87">
        <v>201.57281219624497</v>
      </c>
      <c r="P173" s="87">
        <v>197.30259091795568</v>
      </c>
      <c r="Q173" s="87">
        <v>192.51593244977525</v>
      </c>
      <c r="R173" s="87">
        <v>187.70852460104132</v>
      </c>
      <c r="S173" s="87">
        <v>182.25102597204014</v>
      </c>
      <c r="T173" s="87">
        <v>176.09927949771645</v>
      </c>
      <c r="U173" s="87">
        <v>170.5196481420347</v>
      </c>
      <c r="V173" s="87">
        <v>165.53396332612937</v>
      </c>
      <c r="W173" s="87">
        <v>160.54509790694325</v>
      </c>
      <c r="DA173" s="171" t="s">
        <v>910</v>
      </c>
    </row>
    <row r="174" spans="1:105" ht="11.45" customHeight="1" x14ac:dyDescent="0.25">
      <c r="A174" s="111" t="s">
        <v>111</v>
      </c>
      <c r="B174" s="87">
        <v>238.54126223061033</v>
      </c>
      <c r="C174" s="87">
        <v>232.72083089631025</v>
      </c>
      <c r="D174" s="87">
        <v>225.23765555822192</v>
      </c>
      <c r="E174" s="87">
        <v>221.48636004772163</v>
      </c>
      <c r="F174" s="87">
        <v>219.62984508346622</v>
      </c>
      <c r="G174" s="87">
        <v>217.99889148844619</v>
      </c>
      <c r="H174" s="87">
        <v>217.15505494690095</v>
      </c>
      <c r="I174" s="87">
        <v>216.06417314146267</v>
      </c>
      <c r="J174" s="87">
        <v>214.05982711918915</v>
      </c>
      <c r="K174" s="87">
        <v>211.73590813308667</v>
      </c>
      <c r="L174" s="87">
        <v>209.30198672677233</v>
      </c>
      <c r="M174" s="87">
        <v>206.97486636617822</v>
      </c>
      <c r="N174" s="87">
        <v>203.82530345099994</v>
      </c>
      <c r="O174" s="87">
        <v>199.63180076348701</v>
      </c>
      <c r="P174" s="87">
        <v>195.11049726898074</v>
      </c>
      <c r="Q174" s="87">
        <v>191.35035338365836</v>
      </c>
      <c r="R174" s="87">
        <v>187.90577653115329</v>
      </c>
      <c r="S174" s="87">
        <v>184.29921351840753</v>
      </c>
      <c r="T174" s="87">
        <v>180.85761839518793</v>
      </c>
      <c r="U174" s="87">
        <v>178.13031769328106</v>
      </c>
      <c r="V174" s="87">
        <v>175.10782576263517</v>
      </c>
      <c r="W174" s="87">
        <v>171.89753082683833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167.93825483698512</v>
      </c>
      <c r="I175" s="87">
        <v>170.61023226919929</v>
      </c>
      <c r="J175" s="87">
        <v>170.99446657799683</v>
      </c>
      <c r="K175" s="87">
        <v>171.8293809922713</v>
      </c>
      <c r="L175" s="87">
        <v>170.98770366331595</v>
      </c>
      <c r="M175" s="87">
        <v>170.68934576234187</v>
      </c>
      <c r="N175" s="87">
        <v>169.7879303134213</v>
      </c>
      <c r="O175" s="87">
        <v>167.84833713214326</v>
      </c>
      <c r="P175" s="87">
        <v>166.70091087773156</v>
      </c>
      <c r="Q175" s="87">
        <v>166.18360460750077</v>
      </c>
      <c r="R175" s="87">
        <v>163.26795227961708</v>
      </c>
      <c r="S175" s="87">
        <v>161.75770829333032</v>
      </c>
      <c r="T175" s="87">
        <v>160.90734040639671</v>
      </c>
      <c r="U175" s="87">
        <v>160.1199642987886</v>
      </c>
      <c r="V175" s="87">
        <v>159.3178855196318</v>
      </c>
      <c r="W175" s="87">
        <v>157.49452192043933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138.19457610562716</v>
      </c>
      <c r="O176" s="87">
        <v>137.03757002494402</v>
      </c>
      <c r="P176" s="87">
        <v>127.82984635386231</v>
      </c>
      <c r="Q176" s="87">
        <v>120.54921562129404</v>
      </c>
      <c r="R176" s="87">
        <v>119.45738955031487</v>
      </c>
      <c r="S176" s="87">
        <v>118.17090837231984</v>
      </c>
      <c r="T176" s="87">
        <v>119.69082022239746</v>
      </c>
      <c r="U176" s="87">
        <v>118.99300086844848</v>
      </c>
      <c r="V176" s="87">
        <v>116.49002926232791</v>
      </c>
      <c r="W176" s="87">
        <v>115.1879800558693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41.516036354057398</v>
      </c>
      <c r="P177" s="87">
        <v>43.361295125421684</v>
      </c>
      <c r="Q177" s="87">
        <v>38.236589583897626</v>
      </c>
      <c r="R177" s="87">
        <v>43.77411348134158</v>
      </c>
      <c r="S177" s="87">
        <v>51.103931882268625</v>
      </c>
      <c r="T177" s="87">
        <v>50.366267110112119</v>
      </c>
      <c r="U177" s="87">
        <v>50.268533925764807</v>
      </c>
      <c r="V177" s="87">
        <v>48.878030623935523</v>
      </c>
      <c r="W177" s="87">
        <v>44.178388114270049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1661.5523993134191</v>
      </c>
      <c r="C179" s="116">
        <v>1601.3503391666227</v>
      </c>
      <c r="D179" s="116">
        <v>1591.9045326944224</v>
      </c>
      <c r="E179" s="116">
        <v>1578.9254786943832</v>
      </c>
      <c r="F179" s="116">
        <v>1569.5346799036668</v>
      </c>
      <c r="G179" s="116">
        <v>1555.6462747441756</v>
      </c>
      <c r="H179" s="116">
        <v>1542.7137896142774</v>
      </c>
      <c r="I179" s="116">
        <v>1531.8904341381558</v>
      </c>
      <c r="J179" s="116">
        <v>1516.3242551715423</v>
      </c>
      <c r="K179" s="116">
        <v>1504.9201127348235</v>
      </c>
      <c r="L179" s="116">
        <v>1491.7256960025527</v>
      </c>
      <c r="M179" s="116">
        <v>1481.3824142526078</v>
      </c>
      <c r="N179" s="116">
        <v>1417.0402897834413</v>
      </c>
      <c r="O179" s="116">
        <v>1423.1521206866985</v>
      </c>
      <c r="P179" s="116">
        <v>1394.2534120688904</v>
      </c>
      <c r="Q179" s="116">
        <v>1390.0298061211004</v>
      </c>
      <c r="R179" s="116">
        <v>1343.0128997834181</v>
      </c>
      <c r="S179" s="116">
        <v>1397.5785000799849</v>
      </c>
      <c r="T179" s="116">
        <v>1365.1237671179742</v>
      </c>
      <c r="U179" s="116">
        <v>1312.3412734853293</v>
      </c>
      <c r="V179" s="116">
        <v>1322.8146228004352</v>
      </c>
      <c r="W179" s="116">
        <v>1335.6402720915892</v>
      </c>
      <c r="DA179" s="176" t="s">
        <v>916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535.15818231085086</v>
      </c>
      <c r="D180" s="101">
        <v>534.95042199737566</v>
      </c>
      <c r="E180" s="101">
        <v>534.55053668483924</v>
      </c>
      <c r="F180" s="101">
        <v>533.97639864251039</v>
      </c>
      <c r="G180" s="101">
        <v>533.62242220910866</v>
      </c>
      <c r="H180" s="101">
        <v>532.77254971580192</v>
      </c>
      <c r="I180" s="101">
        <v>532.2264415611902</v>
      </c>
      <c r="J180" s="101">
        <v>530.84055007282006</v>
      </c>
      <c r="K180" s="101">
        <v>529.38868198194848</v>
      </c>
      <c r="L180" s="101">
        <v>528.05019963026632</v>
      </c>
      <c r="M180" s="101">
        <v>525.30030457448265</v>
      </c>
      <c r="N180" s="101">
        <v>524.00552127653668</v>
      </c>
      <c r="O180" s="101">
        <v>466.60521537338758</v>
      </c>
      <c r="P180" s="101">
        <v>454.14498550267183</v>
      </c>
      <c r="Q180" s="101">
        <v>439.34912561398255</v>
      </c>
      <c r="R180" s="101">
        <v>439.34912561398255</v>
      </c>
      <c r="S180" s="101">
        <v>439.34912561398255</v>
      </c>
      <c r="T180" s="101">
        <v>439.34912561398266</v>
      </c>
      <c r="U180" s="101">
        <v>439.34912561398266</v>
      </c>
      <c r="V180" s="101">
        <v>439.34912561398261</v>
      </c>
      <c r="W180" s="101">
        <v>439.34912561398261</v>
      </c>
      <c r="DA180" s="175" t="s">
        <v>917</v>
      </c>
    </row>
    <row r="181" spans="1:105" ht="11.45" customHeight="1" x14ac:dyDescent="0.25">
      <c r="A181" s="111" t="s">
        <v>111</v>
      </c>
      <c r="B181" s="101">
        <v>1681.7669742441878</v>
      </c>
      <c r="C181" s="101">
        <v>1600.6108097298115</v>
      </c>
      <c r="D181" s="101">
        <v>1588.4238658271004</v>
      </c>
      <c r="E181" s="101">
        <v>1572.3501673158307</v>
      </c>
      <c r="F181" s="101">
        <v>1559.8003368788738</v>
      </c>
      <c r="G181" s="101">
        <v>1545.095352283146</v>
      </c>
      <c r="H181" s="101">
        <v>1531.0794023724429</v>
      </c>
      <c r="I181" s="101">
        <v>1519.7653909414332</v>
      </c>
      <c r="J181" s="101">
        <v>1503.9414986422526</v>
      </c>
      <c r="K181" s="101">
        <v>1492.5412059295977</v>
      </c>
      <c r="L181" s="101">
        <v>1479.7866347026888</v>
      </c>
      <c r="M181" s="101">
        <v>1469.4315162324169</v>
      </c>
      <c r="N181" s="101">
        <v>1459.8112881293785</v>
      </c>
      <c r="O181" s="101">
        <v>1445.3697223504555</v>
      </c>
      <c r="P181" s="101">
        <v>1430.8023753430505</v>
      </c>
      <c r="Q181" s="101">
        <v>1417.6124640263156</v>
      </c>
      <c r="R181" s="101">
        <v>1406.2332694087347</v>
      </c>
      <c r="S181" s="101">
        <v>1396.0243868234857</v>
      </c>
      <c r="T181" s="101">
        <v>1386.5039614706234</v>
      </c>
      <c r="U181" s="101">
        <v>1377.5006811232524</v>
      </c>
      <c r="V181" s="101">
        <v>1349.8717363776975</v>
      </c>
      <c r="W181" s="101">
        <v>1343.3298485972468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869.784863137927</v>
      </c>
      <c r="O183" s="101">
        <v>860.48203806138395</v>
      </c>
      <c r="P183" s="101">
        <v>855.19446216937581</v>
      </c>
      <c r="Q183" s="101">
        <v>852.00113125856308</v>
      </c>
      <c r="R183" s="101">
        <v>845.51388006766229</v>
      </c>
      <c r="S183" s="101">
        <v>845.3670097787824</v>
      </c>
      <c r="T183" s="101">
        <v>844.16373801744635</v>
      </c>
      <c r="U183" s="101">
        <v>841.06805078192201</v>
      </c>
      <c r="V183" s="101">
        <v>839.69855029018458</v>
      </c>
      <c r="W183" s="101">
        <v>839.60222257524606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322.32116784173235</v>
      </c>
      <c r="C186" s="152">
        <v>315.42850723131846</v>
      </c>
      <c r="D186" s="152">
        <v>314.40927340850305</v>
      </c>
      <c r="E186" s="152">
        <v>313.5195785513784</v>
      </c>
      <c r="F186" s="152">
        <v>312.27039575879746</v>
      </c>
      <c r="G186" s="152">
        <v>311.78137178534917</v>
      </c>
      <c r="H186" s="152">
        <v>305.1271769249762</v>
      </c>
      <c r="I186" s="152">
        <v>307.45293648085857</v>
      </c>
      <c r="J186" s="152">
        <v>297.17766313272347</v>
      </c>
      <c r="K186" s="152">
        <v>293.4738398406264</v>
      </c>
      <c r="L186" s="152">
        <v>265.69085653333309</v>
      </c>
      <c r="M186" s="152">
        <v>254.99865129124191</v>
      </c>
      <c r="N186" s="152">
        <v>292.96551303262015</v>
      </c>
      <c r="O186" s="152">
        <v>286.04917512575116</v>
      </c>
      <c r="P186" s="152">
        <v>273.42326876710939</v>
      </c>
      <c r="Q186" s="152">
        <v>266.990710455174</v>
      </c>
      <c r="R186" s="152">
        <v>258.48086267007625</v>
      </c>
      <c r="S186" s="152">
        <v>248.21810278676116</v>
      </c>
      <c r="T186" s="152">
        <v>240.55536316698479</v>
      </c>
      <c r="U186" s="152">
        <v>233.09865416377747</v>
      </c>
      <c r="V186" s="152">
        <v>231.97579492221394</v>
      </c>
      <c r="W186" s="152">
        <v>224.96601051294533</v>
      </c>
      <c r="DA186" s="174" t="s">
        <v>922</v>
      </c>
    </row>
    <row r="187" spans="1:105" ht="11.45" customHeight="1" x14ac:dyDescent="0.25">
      <c r="A187" s="111" t="s">
        <v>110</v>
      </c>
      <c r="B187" s="87">
        <v>248.59749167974181</v>
      </c>
      <c r="C187" s="87">
        <v>242.35424443651056</v>
      </c>
      <c r="D187" s="87">
        <v>239.62012746906808</v>
      </c>
      <c r="E187" s="87">
        <v>237.15255706219099</v>
      </c>
      <c r="F187" s="87">
        <v>235.1792171122282</v>
      </c>
      <c r="G187" s="87">
        <v>233.45193307550261</v>
      </c>
      <c r="H187" s="87">
        <v>230.49946867966992</v>
      </c>
      <c r="I187" s="87">
        <v>228.12345538987626</v>
      </c>
      <c r="J187" s="87">
        <v>224.13177547823145</v>
      </c>
      <c r="K187" s="87">
        <v>221.89051270550181</v>
      </c>
      <c r="L187" s="87">
        <v>219.70277215616576</v>
      </c>
      <c r="M187" s="87">
        <v>217.17790847767762</v>
      </c>
      <c r="N187" s="87">
        <v>215.1505104584063</v>
      </c>
      <c r="O187" s="87">
        <v>212.6422728587149</v>
      </c>
      <c r="P187" s="87">
        <v>209.38411818678551</v>
      </c>
      <c r="Q187" s="87">
        <v>205.69173914440029</v>
      </c>
      <c r="R187" s="87">
        <v>199.75683351657452</v>
      </c>
      <c r="S187" s="87">
        <v>192.46647727967215</v>
      </c>
      <c r="T187" s="87">
        <v>180.09397745584073</v>
      </c>
      <c r="U187" s="87">
        <v>171.14655061851644</v>
      </c>
      <c r="V187" s="87">
        <v>167.88727399097198</v>
      </c>
      <c r="W187" s="87">
        <v>166.72077851928736</v>
      </c>
      <c r="DA187" s="171" t="s">
        <v>923</v>
      </c>
    </row>
    <row r="188" spans="1:105" ht="11.45" customHeight="1" x14ac:dyDescent="0.25">
      <c r="A188" s="111" t="s">
        <v>111</v>
      </c>
      <c r="B188" s="87">
        <v>351.69545885267974</v>
      </c>
      <c r="C188" s="87">
        <v>342.99145895822659</v>
      </c>
      <c r="D188" s="87">
        <v>337.84618684993291</v>
      </c>
      <c r="E188" s="87">
        <v>332.99748571080295</v>
      </c>
      <c r="F188" s="87">
        <v>328.54737273434529</v>
      </c>
      <c r="G188" s="87">
        <v>324.97366507443166</v>
      </c>
      <c r="H188" s="87">
        <v>321.27906775640116</v>
      </c>
      <c r="I188" s="87">
        <v>318.31876100342879</v>
      </c>
      <c r="J188" s="87">
        <v>314.31976646066101</v>
      </c>
      <c r="K188" s="87">
        <v>311.24771928488451</v>
      </c>
      <c r="L188" s="87">
        <v>310.45286026899294</v>
      </c>
      <c r="M188" s="87">
        <v>310.04996646765358</v>
      </c>
      <c r="N188" s="87">
        <v>302.12728573971657</v>
      </c>
      <c r="O188" s="87">
        <v>293.3292976478611</v>
      </c>
      <c r="P188" s="87">
        <v>285.78645162323801</v>
      </c>
      <c r="Q188" s="87">
        <v>277.21026336446573</v>
      </c>
      <c r="R188" s="87">
        <v>266.97126457210504</v>
      </c>
      <c r="S188" s="87">
        <v>255.60494330467276</v>
      </c>
      <c r="T188" s="87">
        <v>246.57504263193536</v>
      </c>
      <c r="U188" s="87">
        <v>239.05310196513386</v>
      </c>
      <c r="V188" s="87">
        <v>234.48791157492352</v>
      </c>
      <c r="W188" s="87">
        <v>227.96626562090484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317.9448262451279</v>
      </c>
      <c r="I189" s="87">
        <v>317.0213499712782</v>
      </c>
      <c r="J189" s="87">
        <v>308.69781929286739</v>
      </c>
      <c r="K189" s="87">
        <v>295.25402477695491</v>
      </c>
      <c r="L189" s="87">
        <v>291.33733745679575</v>
      </c>
      <c r="M189" s="87">
        <v>291.23246576042294</v>
      </c>
      <c r="N189" s="87">
        <v>287.11460864938857</v>
      </c>
      <c r="O189" s="87">
        <v>273.99644896531345</v>
      </c>
      <c r="P189" s="87">
        <v>247.14896291558264</v>
      </c>
      <c r="Q189" s="87">
        <v>243.02612855339939</v>
      </c>
      <c r="R189" s="87">
        <v>239.42792443386475</v>
      </c>
      <c r="S189" s="87">
        <v>229.85073599250512</v>
      </c>
      <c r="T189" s="87">
        <v>224.52126936948486</v>
      </c>
      <c r="U189" s="87">
        <v>210.94920130205585</v>
      </c>
      <c r="V189" s="87">
        <v>208.5657512124005</v>
      </c>
      <c r="W189" s="87">
        <v>206.64192457241847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168.97825782997765</v>
      </c>
      <c r="Q190" s="87">
        <v>176.57054779486199</v>
      </c>
      <c r="R190" s="87">
        <v>175.80329820200774</v>
      </c>
      <c r="S190" s="87">
        <v>157.09073685059118</v>
      </c>
      <c r="T190" s="87">
        <v>151.43222588559419</v>
      </c>
      <c r="U190" s="87">
        <v>145.72391270199969</v>
      </c>
      <c r="V190" s="87">
        <v>147.73825288092044</v>
      </c>
      <c r="W190" s="87">
        <v>150.34936499863608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896.38584479865267</v>
      </c>
      <c r="C192" s="116">
        <v>893.64280338323192</v>
      </c>
      <c r="D192" s="116">
        <v>889.90166166562631</v>
      </c>
      <c r="E192" s="116">
        <v>885.68490553116931</v>
      </c>
      <c r="F192" s="116">
        <v>882.3219169559884</v>
      </c>
      <c r="G192" s="116">
        <v>876.55902672530272</v>
      </c>
      <c r="H192" s="116">
        <v>870.10877723091323</v>
      </c>
      <c r="I192" s="116">
        <v>859.67905220846899</v>
      </c>
      <c r="J192" s="116">
        <v>849.93523692737233</v>
      </c>
      <c r="K192" s="116">
        <v>841.17537124668911</v>
      </c>
      <c r="L192" s="116">
        <v>833.71643721873454</v>
      </c>
      <c r="M192" s="116">
        <v>826.359479222299</v>
      </c>
      <c r="N192" s="116">
        <v>819.71480966969682</v>
      </c>
      <c r="O192" s="116">
        <v>810.5777986171837</v>
      </c>
      <c r="P192" s="116">
        <v>798.83457883575386</v>
      </c>
      <c r="Q192" s="116">
        <v>786.32344718536581</v>
      </c>
      <c r="R192" s="116">
        <v>772.1931019882893</v>
      </c>
      <c r="S192" s="116">
        <v>758.28736995496286</v>
      </c>
      <c r="T192" s="116">
        <v>743.26716459900967</v>
      </c>
      <c r="U192" s="116">
        <v>726.56147220601747</v>
      </c>
      <c r="V192" s="116">
        <v>718.23912712577066</v>
      </c>
      <c r="W192" s="116">
        <v>705.41093892379297</v>
      </c>
      <c r="DA192" s="176" t="s">
        <v>928</v>
      </c>
    </row>
    <row r="193" spans="1:105" ht="11.45" customHeight="1" x14ac:dyDescent="0.25">
      <c r="A193" s="128" t="s">
        <v>27</v>
      </c>
      <c r="B193" s="101">
        <v>812.79257938186106</v>
      </c>
      <c r="C193" s="101">
        <v>808.51803954205934</v>
      </c>
      <c r="D193" s="101">
        <v>804.6397415958927</v>
      </c>
      <c r="E193" s="101">
        <v>800.17613621286262</v>
      </c>
      <c r="F193" s="101">
        <v>794.27304561390383</v>
      </c>
      <c r="G193" s="101">
        <v>787.25636601583949</v>
      </c>
      <c r="H193" s="101">
        <v>779.06452404387755</v>
      </c>
      <c r="I193" s="101">
        <v>770.12286929500522</v>
      </c>
      <c r="J193" s="101">
        <v>760.08128417912576</v>
      </c>
      <c r="K193" s="101">
        <v>754.0912216700965</v>
      </c>
      <c r="L193" s="101">
        <v>745.33685929173384</v>
      </c>
      <c r="M193" s="101">
        <v>737.23639139564955</v>
      </c>
      <c r="N193" s="101">
        <v>730.11686943085249</v>
      </c>
      <c r="O193" s="101">
        <v>721.36324610443125</v>
      </c>
      <c r="P193" s="101">
        <v>710.63416646812675</v>
      </c>
      <c r="Q193" s="101">
        <v>697.43046263320366</v>
      </c>
      <c r="R193" s="101">
        <v>684.67334981323904</v>
      </c>
      <c r="S193" s="101">
        <v>669.77309675604272</v>
      </c>
      <c r="T193" s="101">
        <v>656.28427064618029</v>
      </c>
      <c r="U193" s="101">
        <v>638.25577743194538</v>
      </c>
      <c r="V193" s="101">
        <v>634.23355872205173</v>
      </c>
      <c r="W193" s="101">
        <v>619.28917654280451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1053.2626638289175</v>
      </c>
      <c r="D194" s="88">
        <v>1041.8653705734891</v>
      </c>
      <c r="E194" s="88">
        <v>1032.0782952808222</v>
      </c>
      <c r="F194" s="88">
        <v>1011.7574169045881</v>
      </c>
      <c r="G194" s="88">
        <v>1001.1300773417822</v>
      </c>
      <c r="H194" s="88">
        <v>983.58330259737772</v>
      </c>
      <c r="I194" s="88">
        <v>973.61685357001329</v>
      </c>
      <c r="J194" s="88">
        <v>963.61389427585993</v>
      </c>
      <c r="K194" s="88">
        <v>956.17301932949067</v>
      </c>
      <c r="L194" s="88">
        <v>945.22579315597636</v>
      </c>
      <c r="M194" s="88">
        <v>931.83996293097812</v>
      </c>
      <c r="N194" s="88">
        <v>920.79944271183683</v>
      </c>
      <c r="O194" s="88">
        <v>911.22174067560979</v>
      </c>
      <c r="P194" s="88">
        <v>899.83014900340299</v>
      </c>
      <c r="Q194" s="88">
        <v>880.68291705640297</v>
      </c>
      <c r="R194" s="88">
        <v>858.53556825121257</v>
      </c>
      <c r="S194" s="88">
        <v>839.6005203378827</v>
      </c>
      <c r="T194" s="88">
        <v>826.56733471769144</v>
      </c>
      <c r="U194" s="88">
        <v>812.22613135082281</v>
      </c>
      <c r="V194" s="88">
        <v>804.80506761661275</v>
      </c>
      <c r="W194" s="88">
        <v>784.34901810023587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1.0725000000065621</v>
      </c>
      <c r="C198" s="150">
        <f>IF(TrRoad_act!C59=0,0,TrRoad_emi!C56/TrRoad_tech!C171)</f>
        <v>1.0726509522983116</v>
      </c>
      <c r="D198" s="150">
        <f>IF(TrRoad_act!D59=0,0,TrRoad_emi!D56/TrRoad_tech!D171)</f>
        <v>1.0730428765836713</v>
      </c>
      <c r="E198" s="150">
        <f>IF(TrRoad_act!E59=0,0,TrRoad_emi!E56/TrRoad_tech!E171)</f>
        <v>1.0738156382271911</v>
      </c>
      <c r="F198" s="150">
        <f>IF(TrRoad_act!F59=0,0,TrRoad_emi!F56/TrRoad_tech!F171)</f>
        <v>1.0752816862069356</v>
      </c>
      <c r="G198" s="150">
        <f>IF(TrRoad_act!G59=0,0,TrRoad_emi!G56/TrRoad_tech!G171)</f>
        <v>1.0775461339308809</v>
      </c>
      <c r="H198" s="150">
        <f>IF(TrRoad_act!H59=0,0,TrRoad_emi!H56/TrRoad_tech!H171)</f>
        <v>1.0821975612711645</v>
      </c>
      <c r="I198" s="150">
        <f>IF(TrRoad_act!I59=0,0,TrRoad_emi!I56/TrRoad_tech!I171)</f>
        <v>1.096899774242178</v>
      </c>
      <c r="J198" s="150">
        <f>IF(TrRoad_act!J59=0,0,TrRoad_emi!J56/TrRoad_tech!J171)</f>
        <v>1.1026977108622731</v>
      </c>
      <c r="K198" s="150">
        <f>IF(TrRoad_act!K59=0,0,TrRoad_emi!K56/TrRoad_tech!K171)</f>
        <v>1.1655714762287988</v>
      </c>
      <c r="L198" s="150">
        <f>IF(TrRoad_act!L59=0,0,TrRoad_emi!L56/TrRoad_tech!L171)</f>
        <v>1.1095661773788625</v>
      </c>
      <c r="M198" s="150">
        <f>IF(TrRoad_act!M59=0,0,TrRoad_emi!M56/TrRoad_tech!M171)</f>
        <v>1.1113006098758673</v>
      </c>
      <c r="N198" s="150">
        <f>IF(TrRoad_act!N59=0,0,TrRoad_emi!N56/TrRoad_tech!N171)</f>
        <v>1.1107882236224553</v>
      </c>
      <c r="O198" s="150">
        <f>IF(TrRoad_act!O59=0,0,TrRoad_emi!O56/TrRoad_tech!O171)</f>
        <v>1.1106688690204758</v>
      </c>
      <c r="P198" s="150">
        <f>IF(TrRoad_act!P59=0,0,TrRoad_emi!P56/TrRoad_tech!P171)</f>
        <v>1.1149058107759842</v>
      </c>
      <c r="Q198" s="150">
        <f>IF(TrRoad_act!Q59=0,0,TrRoad_emi!Q56/TrRoad_tech!Q171)</f>
        <v>1.1276811063309362</v>
      </c>
      <c r="R198" s="150">
        <f>IF(TrRoad_act!R59=0,0,TrRoad_emi!R56/TrRoad_tech!R171)</f>
        <v>1.1412718968498605</v>
      </c>
      <c r="S198" s="150">
        <f>IF(TrRoad_act!S59=0,0,TrRoad_emi!S56/TrRoad_tech!S171)</f>
        <v>1.2261055905092049</v>
      </c>
      <c r="T198" s="150">
        <f>IF(TrRoad_act!T59=0,0,TrRoad_emi!T56/TrRoad_tech!T171)</f>
        <v>1.2274859444324775</v>
      </c>
      <c r="U198" s="150">
        <f>IF(TrRoad_act!U59=0,0,TrRoad_emi!U56/TrRoad_tech!U171)</f>
        <v>1.2501819811648223</v>
      </c>
      <c r="V198" s="150">
        <f>IF(TrRoad_act!V59=0,0,TrRoad_emi!V56/TrRoad_tech!V171)</f>
        <v>1.2428319472027292</v>
      </c>
      <c r="W198" s="150">
        <f>IF(TrRoad_act!W59=0,0,TrRoad_emi!W56/TrRoad_tech!W171)</f>
        <v>1.2469326780488461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1.1356362931256139</v>
      </c>
      <c r="C199" s="151">
        <f>IF(TrRoad_act!C60=0,0,TrRoad_emi!C57/TrRoad_tech!C172)</f>
        <v>1.1301857935637483</v>
      </c>
      <c r="D199" s="151">
        <f>IF(TrRoad_act!D60=0,0,TrRoad_emi!D57/TrRoad_tech!D172)</f>
        <v>1.0895753126064014</v>
      </c>
      <c r="E199" s="151">
        <f>IF(TrRoad_act!E60=0,0,TrRoad_emi!E57/TrRoad_tech!E172)</f>
        <v>1.0742370461696937</v>
      </c>
      <c r="F199" s="151">
        <f>IF(TrRoad_act!F60=0,0,TrRoad_emi!F57/TrRoad_tech!F172)</f>
        <v>0.99520032023677463</v>
      </c>
      <c r="G199" s="151">
        <f>IF(TrRoad_act!G60=0,0,TrRoad_emi!G57/TrRoad_tech!G172)</f>
        <v>1.0004394570763344</v>
      </c>
      <c r="H199" s="151">
        <f>IF(TrRoad_act!H60=0,0,TrRoad_emi!H57/TrRoad_tech!H172)</f>
        <v>1.0024334398110015</v>
      </c>
      <c r="I199" s="151">
        <f>IF(TrRoad_act!I60=0,0,TrRoad_emi!I57/TrRoad_tech!I172)</f>
        <v>1.0052281744215656</v>
      </c>
      <c r="J199" s="151">
        <f>IF(TrRoad_act!J60=0,0,TrRoad_emi!J57/TrRoad_tech!J172)</f>
        <v>1.0736998677761687</v>
      </c>
      <c r="K199" s="151">
        <f>IF(TrRoad_act!K60=0,0,TrRoad_emi!K57/TrRoad_tech!K172)</f>
        <v>1.01453865531911</v>
      </c>
      <c r="L199" s="151">
        <f>IF(TrRoad_act!L60=0,0,TrRoad_emi!L57/TrRoad_tech!L172)</f>
        <v>1.0367994626868713</v>
      </c>
      <c r="M199" s="151">
        <f>IF(TrRoad_act!M60=0,0,TrRoad_emi!M57/TrRoad_tech!M172)</f>
        <v>1.0587356851901755</v>
      </c>
      <c r="N199" s="151">
        <f>IF(TrRoad_act!N60=0,0,TrRoad_emi!N57/TrRoad_tech!N172)</f>
        <v>1.0315188663881263</v>
      </c>
      <c r="O199" s="151">
        <f>IF(TrRoad_act!O60=0,0,TrRoad_emi!O57/TrRoad_tech!O172)</f>
        <v>1.0095703535132785</v>
      </c>
      <c r="P199" s="151">
        <f>IF(TrRoad_act!P60=0,0,TrRoad_emi!P57/TrRoad_tech!P172)</f>
        <v>0.99880358030669036</v>
      </c>
      <c r="Q199" s="151">
        <f>IF(TrRoad_act!Q60=0,0,TrRoad_emi!Q57/TrRoad_tech!Q172)</f>
        <v>1.0119146875205765</v>
      </c>
      <c r="R199" s="151">
        <f>IF(TrRoad_act!R60=0,0,TrRoad_emi!R57/TrRoad_tech!R172)</f>
        <v>1.053879483547127</v>
      </c>
      <c r="S199" s="151">
        <f>IF(TrRoad_act!S60=0,0,TrRoad_emi!S57/TrRoad_tech!S172)</f>
        <v>1.0478136122652597</v>
      </c>
      <c r="T199" s="151">
        <f>IF(TrRoad_act!T60=0,0,TrRoad_emi!T57/TrRoad_tech!T172)</f>
        <v>1.0459333938638051</v>
      </c>
      <c r="U199" s="151">
        <f>IF(TrRoad_act!U60=0,0,TrRoad_emi!U57/TrRoad_tech!U172)</f>
        <v>1.0282554239162203</v>
      </c>
      <c r="V199" s="151">
        <f>IF(TrRoad_act!V60=0,0,TrRoad_emi!V57/TrRoad_tech!V172)</f>
        <v>1.0169853122506043</v>
      </c>
      <c r="W199" s="151">
        <f>IF(TrRoad_act!W60=0,0,TrRoad_emi!W57/TrRoad_tech!W172)</f>
        <v>1.0708728760406956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1.1811483501861604</v>
      </c>
      <c r="C200" s="91">
        <f>IF(TrRoad_act!C61=0,0,TrRoad_emi!C58/TrRoad_tech!C173)</f>
        <v>1.1832453375078777</v>
      </c>
      <c r="D200" s="91">
        <f>IF(TrRoad_act!D61=0,0,TrRoad_emi!D58/TrRoad_tech!D173)</f>
        <v>1.1804711970793436</v>
      </c>
      <c r="E200" s="91">
        <f>IF(TrRoad_act!E61=0,0,TrRoad_emi!E58/TrRoad_tech!E173)</f>
        <v>1.1419852136393622</v>
      </c>
      <c r="F200" s="91">
        <f>IF(TrRoad_act!F61=0,0,TrRoad_emi!F58/TrRoad_tech!F173)</f>
        <v>1.0325713824899614</v>
      </c>
      <c r="G200" s="91">
        <f>IF(TrRoad_act!G61=0,0,TrRoad_emi!G58/TrRoad_tech!G173)</f>
        <v>1.0492552053092961</v>
      </c>
      <c r="H200" s="91">
        <f>IF(TrRoad_act!H61=0,0,TrRoad_emi!H58/TrRoad_tech!H173)</f>
        <v>1.0458846070106094</v>
      </c>
      <c r="I200" s="91">
        <f>IF(TrRoad_act!I61=0,0,TrRoad_emi!I58/TrRoad_tech!I173)</f>
        <v>1.0392285439155218</v>
      </c>
      <c r="J200" s="91">
        <f>IF(TrRoad_act!J61=0,0,TrRoad_emi!J58/TrRoad_tech!J173)</f>
        <v>1.1540909800072265</v>
      </c>
      <c r="K200" s="91">
        <f>IF(TrRoad_act!K61=0,0,TrRoad_emi!K58/TrRoad_tech!K173)</f>
        <v>1.0761376721619551</v>
      </c>
      <c r="L200" s="91">
        <f>IF(TrRoad_act!L61=0,0,TrRoad_emi!L58/TrRoad_tech!L173)</f>
        <v>1.1232087157720241</v>
      </c>
      <c r="M200" s="91">
        <f>IF(TrRoad_act!M61=0,0,TrRoad_emi!M58/TrRoad_tech!M173)</f>
        <v>1.1500219999844477</v>
      </c>
      <c r="N200" s="91">
        <f>IF(TrRoad_act!N61=0,0,TrRoad_emi!N58/TrRoad_tech!N173)</f>
        <v>1.1040284930668729</v>
      </c>
      <c r="O200" s="91">
        <f>IF(TrRoad_act!O61=0,0,TrRoad_emi!O58/TrRoad_tech!O173)</f>
        <v>1.0643513306902721</v>
      </c>
      <c r="P200" s="91">
        <f>IF(TrRoad_act!P61=0,0,TrRoad_emi!P58/TrRoad_tech!P173)</f>
        <v>1.0343645347446142</v>
      </c>
      <c r="Q200" s="91">
        <f>IF(TrRoad_act!Q61=0,0,TrRoad_emi!Q58/TrRoad_tech!Q173)</f>
        <v>1.0510936715254853</v>
      </c>
      <c r="R200" s="91">
        <f>IF(TrRoad_act!R61=0,0,TrRoad_emi!R58/TrRoad_tech!R173)</f>
        <v>1.1233707796172026</v>
      </c>
      <c r="S200" s="91">
        <f>IF(TrRoad_act!S61=0,0,TrRoad_emi!S58/TrRoad_tech!S173)</f>
        <v>1.1117643548108467</v>
      </c>
      <c r="T200" s="91">
        <f>IF(TrRoad_act!T61=0,0,TrRoad_emi!T58/TrRoad_tech!T173)</f>
        <v>1.1525049298348424</v>
      </c>
      <c r="U200" s="91">
        <f>IF(TrRoad_act!U61=0,0,TrRoad_emi!U58/TrRoad_tech!U173)</f>
        <v>1.1310554879574219</v>
      </c>
      <c r="V200" s="91">
        <f>IF(TrRoad_act!V61=0,0,TrRoad_emi!V58/TrRoad_tech!V173)</f>
        <v>1.1336455879149792</v>
      </c>
      <c r="W200" s="91">
        <f>IF(TrRoad_act!W61=0,0,TrRoad_emi!W58/TrRoad_tech!W173)</f>
        <v>1.2401054644422078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0.98636316830367221</v>
      </c>
      <c r="C201" s="91">
        <f>IF(TrRoad_act!C62=0,0,TrRoad_emi!C59/TrRoad_tech!C174)</f>
        <v>0.98813354417464572</v>
      </c>
      <c r="D201" s="91">
        <f>IF(TrRoad_act!D62=0,0,TrRoad_emi!D59/TrRoad_tech!D174)</f>
        <v>0.99269310230099517</v>
      </c>
      <c r="E201" s="91">
        <f>IF(TrRoad_act!E62=0,0,TrRoad_emi!E59/TrRoad_tech!E174)</f>
        <v>1.0034408112076281</v>
      </c>
      <c r="F201" s="91">
        <f>IF(TrRoad_act!F62=0,0,TrRoad_emi!F59/TrRoad_tech!F174)</f>
        <v>1.0164600671385815</v>
      </c>
      <c r="G201" s="91">
        <f>IF(TrRoad_act!G62=0,0,TrRoad_emi!G59/TrRoad_tech!G174)</f>
        <v>1.0178201574845662</v>
      </c>
      <c r="H201" s="91">
        <f>IF(TrRoad_act!H62=0,0,TrRoad_emi!H59/TrRoad_tech!H174)</f>
        <v>1.0198168994261307</v>
      </c>
      <c r="I201" s="91">
        <f>IF(TrRoad_act!I62=0,0,TrRoad_emi!I59/TrRoad_tech!I174)</f>
        <v>1.0330544044986123</v>
      </c>
      <c r="J201" s="91">
        <f>IF(TrRoad_act!J62=0,0,TrRoad_emi!J59/TrRoad_tech!J174)</f>
        <v>1.0537190080056835</v>
      </c>
      <c r="K201" s="91">
        <f>IF(TrRoad_act!K62=0,0,TrRoad_emi!K59/TrRoad_tech!K174)</f>
        <v>1.0150400922123328</v>
      </c>
      <c r="L201" s="91">
        <f>IF(TrRoad_act!L62=0,0,TrRoad_emi!L59/TrRoad_tech!L174)</f>
        <v>1.0164777397969789</v>
      </c>
      <c r="M201" s="91">
        <f>IF(TrRoad_act!M62=0,0,TrRoad_emi!M59/TrRoad_tech!M174)</f>
        <v>1.0408560835099934</v>
      </c>
      <c r="N201" s="91">
        <f>IF(TrRoad_act!N62=0,0,TrRoad_emi!N59/TrRoad_tech!N174)</f>
        <v>1.0378462773819712</v>
      </c>
      <c r="O201" s="91">
        <f>IF(TrRoad_act!O62=0,0,TrRoad_emi!O59/TrRoad_tech!O174)</f>
        <v>1.0268749503888652</v>
      </c>
      <c r="P201" s="91">
        <f>IF(TrRoad_act!P62=0,0,TrRoad_emi!P59/TrRoad_tech!P174)</f>
        <v>1.0407512752424086</v>
      </c>
      <c r="Q201" s="91">
        <f>IF(TrRoad_act!Q62=0,0,TrRoad_emi!Q59/TrRoad_tech!Q174)</f>
        <v>1.0493275054587197</v>
      </c>
      <c r="R201" s="91">
        <f>IF(TrRoad_act!R62=0,0,TrRoad_emi!R59/TrRoad_tech!R174)</f>
        <v>1.0705540591801466</v>
      </c>
      <c r="S201" s="91">
        <f>IF(TrRoad_act!S62=0,0,TrRoad_emi!S59/TrRoad_tech!S174)</f>
        <v>1.0650113501317082</v>
      </c>
      <c r="T201" s="91">
        <f>IF(TrRoad_act!T62=0,0,TrRoad_emi!T59/TrRoad_tech!T174)</f>
        <v>1.032925590635394</v>
      </c>
      <c r="U201" s="91">
        <f>IF(TrRoad_act!U62=0,0,TrRoad_emi!U59/TrRoad_tech!U174)</f>
        <v>1.0101327888088618</v>
      </c>
      <c r="V201" s="91">
        <f>IF(TrRoad_act!V62=0,0,TrRoad_emi!V59/TrRoad_tech!V174)</f>
        <v>0.98681709642530213</v>
      </c>
      <c r="W201" s="91">
        <f>IF(TrRoad_act!W62=0,0,TrRoad_emi!W59/TrRoad_tech!W174)</f>
        <v>1.0064498410419347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0.91576207575144908</v>
      </c>
      <c r="I202" s="91">
        <f>IF(TrRoad_act!I63=0,0,TrRoad_emi!I60/TrRoad_tech!I175)</f>
        <v>1.0389635735347411</v>
      </c>
      <c r="J202" s="91">
        <f>IF(TrRoad_act!J63=0,0,TrRoad_emi!J60/TrRoad_tech!J175)</f>
        <v>1.030094201285906</v>
      </c>
      <c r="K202" s="91">
        <f>IF(TrRoad_act!K63=0,0,TrRoad_emi!K60/TrRoad_tech!K175)</f>
        <v>1.0773790002405805</v>
      </c>
      <c r="L202" s="91">
        <f>IF(TrRoad_act!L63=0,0,TrRoad_emi!L60/TrRoad_tech!L175)</f>
        <v>1.1783478802123992</v>
      </c>
      <c r="M202" s="91">
        <f>IF(TrRoad_act!M63=0,0,TrRoad_emi!M60/TrRoad_tech!M175)</f>
        <v>1.254043611782697</v>
      </c>
      <c r="N202" s="91">
        <f>IF(TrRoad_act!N63=0,0,TrRoad_emi!N60/TrRoad_tech!N175)</f>
        <v>1.3003420703676394</v>
      </c>
      <c r="O202" s="91">
        <f>IF(TrRoad_act!O63=0,0,TrRoad_emi!O60/TrRoad_tech!O175)</f>
        <v>1.2715638601256281</v>
      </c>
      <c r="P202" s="91">
        <f>IF(TrRoad_act!P63=0,0,TrRoad_emi!P60/TrRoad_tech!P175)</f>
        <v>1.2725741421678254</v>
      </c>
      <c r="Q202" s="91">
        <f>IF(TrRoad_act!Q63=0,0,TrRoad_emi!Q60/TrRoad_tech!Q175)</f>
        <v>1.345229692413493</v>
      </c>
      <c r="R202" s="91">
        <f>IF(TrRoad_act!R63=0,0,TrRoad_emi!R60/TrRoad_tech!R175)</f>
        <v>1.3525032373128913</v>
      </c>
      <c r="S202" s="91">
        <f>IF(TrRoad_act!S63=0,0,TrRoad_emi!S60/TrRoad_tech!S175)</f>
        <v>1.2328799372558261</v>
      </c>
      <c r="T202" s="91">
        <f>IF(TrRoad_act!T63=0,0,TrRoad_emi!T60/TrRoad_tech!T175)</f>
        <v>1.1806931299860506</v>
      </c>
      <c r="U202" s="91">
        <f>IF(TrRoad_act!U63=0,0,TrRoad_emi!U60/TrRoad_tech!U175)</f>
        <v>1.0975100253560435</v>
      </c>
      <c r="V202" s="91">
        <f>IF(TrRoad_act!V63=0,0,TrRoad_emi!V60/TrRoad_tech!V175)</f>
        <v>0.83688074319381334</v>
      </c>
      <c r="W202" s="91">
        <f>IF(TrRoad_act!W63=0,0,TrRoad_emi!W60/TrRoad_tech!W175)</f>
        <v>1.3834646944796511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1.0655555555606799</v>
      </c>
      <c r="O203" s="91">
        <f>IF(TrRoad_act!O64=0,0,TrRoad_emi!O61/TrRoad_tech!O176)</f>
        <v>1.0700653605795682</v>
      </c>
      <c r="P203" s="91">
        <f>IF(TrRoad_act!P64=0,0,TrRoad_emi!P61/TrRoad_tech!P176)</f>
        <v>1.0754725107400245</v>
      </c>
      <c r="Q203" s="91">
        <f>IF(TrRoad_act!Q64=0,0,TrRoad_emi!Q61/TrRoad_tech!Q176)</f>
        <v>1.0790391376872643</v>
      </c>
      <c r="R203" s="91">
        <f>IF(TrRoad_act!R64=0,0,TrRoad_emi!R61/TrRoad_tech!R176)</f>
        <v>1.0814346788508806</v>
      </c>
      <c r="S203" s="91">
        <f>IF(TrRoad_act!S64=0,0,TrRoad_emi!S61/TrRoad_tech!S176)</f>
        <v>1.0846089574992712</v>
      </c>
      <c r="T203" s="91">
        <f>IF(TrRoad_act!T64=0,0,TrRoad_emi!T61/TrRoad_tech!T176)</f>
        <v>1.085636145677167</v>
      </c>
      <c r="U203" s="91">
        <f>IF(TrRoad_act!U64=0,0,TrRoad_emi!U61/TrRoad_tech!U176)</f>
        <v>1.0883048091372272</v>
      </c>
      <c r="V203" s="91">
        <f>IF(TrRoad_act!V64=0,0,TrRoad_emi!V61/TrRoad_tech!V176)</f>
        <v>1.0922621767314526</v>
      </c>
      <c r="W203" s="91">
        <f>IF(TrRoad_act!W64=0,0,TrRoad_emi!W61/TrRoad_tech!W176)</f>
        <v>1.093409846922079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1.0960071127520004</v>
      </c>
      <c r="P204" s="91">
        <f>IF(TrRoad_act!P65=0,0,TrRoad_emi!P62/TrRoad_tech!P177)</f>
        <v>1.0655204521376525</v>
      </c>
      <c r="Q204" s="91">
        <f>IF(TrRoad_act!Q65=0,0,TrRoad_emi!Q62/TrRoad_tech!Q177)</f>
        <v>1.0861708382953592</v>
      </c>
      <c r="R204" s="91">
        <f>IF(TrRoad_act!R65=0,0,TrRoad_emi!R62/TrRoad_tech!R177)</f>
        <v>1.1635227797715957</v>
      </c>
      <c r="S204" s="91">
        <f>IF(TrRoad_act!S65=0,0,TrRoad_emi!S62/TrRoad_tech!S177)</f>
        <v>1.1517288418400706</v>
      </c>
      <c r="T204" s="91">
        <f>IF(TrRoad_act!T65=0,0,TrRoad_emi!T62/TrRoad_tech!T177)</f>
        <v>1.1906633838072478</v>
      </c>
      <c r="U204" s="91">
        <f>IF(TrRoad_act!U65=0,0,TrRoad_emi!U62/TrRoad_tech!U177)</f>
        <v>1.1643592281406854</v>
      </c>
      <c r="V204" s="91">
        <f>IF(TrRoad_act!V65=0,0,TrRoad_emi!V62/TrRoad_tech!V177)</f>
        <v>1.1639945425745279</v>
      </c>
      <c r="W204" s="91">
        <f>IF(TrRoad_act!W65=0,0,TrRoad_emi!W62/TrRoad_tech!W177)</f>
        <v>1.2706160912296005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1.1019872473062187</v>
      </c>
      <c r="C206" s="151">
        <f>IF(TrRoad_act!C67=0,0,TrRoad_emi!C64/TrRoad_tech!C179)</f>
        <v>1.0894540082781294</v>
      </c>
      <c r="D206" s="151">
        <f>IF(TrRoad_act!D67=0,0,TrRoad_emi!D64/TrRoad_tech!D179)</f>
        <v>1.0889672193300293</v>
      </c>
      <c r="E206" s="151">
        <f>IF(TrRoad_act!E67=0,0,TrRoad_emi!E64/TrRoad_tech!E179)</f>
        <v>1.0893983827235003</v>
      </c>
      <c r="F206" s="151">
        <f>IF(TrRoad_act!F67=0,0,TrRoad_emi!F64/TrRoad_tech!F179)</f>
        <v>1.0907440386123608</v>
      </c>
      <c r="G206" s="151">
        <f>IF(TrRoad_act!G67=0,0,TrRoad_emi!G64/TrRoad_tech!G179)</f>
        <v>1.0937501810338253</v>
      </c>
      <c r="H206" s="151">
        <f>IF(TrRoad_act!H67=0,0,TrRoad_emi!H64/TrRoad_tech!H179)</f>
        <v>1.0919738197688718</v>
      </c>
      <c r="I206" s="151">
        <f>IF(TrRoad_act!I67=0,0,TrRoad_emi!I64/TrRoad_tech!I179)</f>
        <v>1.0890410940261106</v>
      </c>
      <c r="J206" s="151">
        <f>IF(TrRoad_act!J67=0,0,TrRoad_emi!J64/TrRoad_tech!J179)</f>
        <v>1.0924813430188491</v>
      </c>
      <c r="K206" s="151">
        <f>IF(TrRoad_act!K67=0,0,TrRoad_emi!K64/TrRoad_tech!K179)</f>
        <v>1.0878857883943238</v>
      </c>
      <c r="L206" s="151">
        <f>IF(TrRoad_act!L67=0,0,TrRoad_emi!L64/TrRoad_tech!L179)</f>
        <v>1.0846054325777679</v>
      </c>
      <c r="M206" s="151">
        <f>IF(TrRoad_act!M67=0,0,TrRoad_emi!M64/TrRoad_tech!M179)</f>
        <v>1.1046280820903172</v>
      </c>
      <c r="N206" s="151">
        <f>IF(TrRoad_act!N67=0,0,TrRoad_emi!N64/TrRoad_tech!N179)</f>
        <v>1.1399716235479045</v>
      </c>
      <c r="O206" s="151">
        <f>IF(TrRoad_act!O67=0,0,TrRoad_emi!O64/TrRoad_tech!O179)</f>
        <v>1.1277211214925538</v>
      </c>
      <c r="P206" s="151">
        <f>IF(TrRoad_act!P67=0,0,TrRoad_emi!P64/TrRoad_tech!P179)</f>
        <v>1.1585573774862921</v>
      </c>
      <c r="Q206" s="151">
        <f>IF(TrRoad_act!Q67=0,0,TrRoad_emi!Q64/TrRoad_tech!Q179)</f>
        <v>1.1772572512313118</v>
      </c>
      <c r="R206" s="151">
        <f>IF(TrRoad_act!R67=0,0,TrRoad_emi!R64/TrRoad_tech!R179)</f>
        <v>1.2322777407406051</v>
      </c>
      <c r="S206" s="151">
        <f>IF(TrRoad_act!S67=0,0,TrRoad_emi!S64/TrRoad_tech!S179)</f>
        <v>1.1907746184965309</v>
      </c>
      <c r="T206" s="151">
        <f>IF(TrRoad_act!T67=0,0,TrRoad_emi!T64/TrRoad_tech!T179)</f>
        <v>1.1858365796985697</v>
      </c>
      <c r="U206" s="151">
        <f>IF(TrRoad_act!U67=0,0,TrRoad_emi!U64/TrRoad_tech!U179)</f>
        <v>1.2136706227601575</v>
      </c>
      <c r="V206" s="151">
        <f>IF(TrRoad_act!V67=0,0,TrRoad_emi!V64/TrRoad_tech!V179)</f>
        <v>1.2133850759274858</v>
      </c>
      <c r="W206" s="151">
        <f>IF(TrRoad_act!W67=0,0,TrRoad_emi!W64/TrRoad_tech!W179)</f>
        <v>1.2263891802083311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1.1001491771847667</v>
      </c>
      <c r="D207" s="93">
        <f>IF(TrRoad_act!D68=0,0,TrRoad_emi!D65/TrRoad_tech!D180)</f>
        <v>1.1001569811696299</v>
      </c>
      <c r="E207" s="93">
        <f>IF(TrRoad_act!E68=0,0,TrRoad_emi!E65/TrRoad_tech!E180)</f>
        <v>1.1001720189133686</v>
      </c>
      <c r="F207" s="93">
        <f>IF(TrRoad_act!F68=0,0,TrRoad_emi!F65/TrRoad_tech!F180)</f>
        <v>1.1001936488388446</v>
      </c>
      <c r="G207" s="93">
        <f>IF(TrRoad_act!G68=0,0,TrRoad_emi!G65/TrRoad_tech!G180)</f>
        <v>1.1002070076480799</v>
      </c>
      <c r="H207" s="93">
        <f>IF(TrRoad_act!H68=0,0,TrRoad_emi!H65/TrRoad_tech!H180)</f>
        <v>1.1002391536816476</v>
      </c>
      <c r="I207" s="93">
        <f>IF(TrRoad_act!I68=0,0,TrRoad_emi!I65/TrRoad_tech!I180)</f>
        <v>1.0991728761619435</v>
      </c>
      <c r="J207" s="93">
        <f>IF(TrRoad_act!J68=0,0,TrRoad_emi!J65/TrRoad_tech!J180)</f>
        <v>1.0961489228045649</v>
      </c>
      <c r="K207" s="93">
        <f>IF(TrRoad_act!K68=0,0,TrRoad_emi!K65/TrRoad_tech!K180)</f>
        <v>1.0957433582452745</v>
      </c>
      <c r="L207" s="93">
        <f>IF(TrRoad_act!L68=0,0,TrRoad_emi!L65/TrRoad_tech!L180)</f>
        <v>1.0925573317762425</v>
      </c>
      <c r="M207" s="93">
        <f>IF(TrRoad_act!M68=0,0,TrRoad_emi!M65/TrRoad_tech!M180)</f>
        <v>1.0910377466265546</v>
      </c>
      <c r="N207" s="93">
        <f>IF(TrRoad_act!N68=0,0,TrRoad_emi!N65/TrRoad_tech!N180)</f>
        <v>1.088156010953804</v>
      </c>
      <c r="O207" s="93">
        <f>IF(TrRoad_act!O68=0,0,TrRoad_emi!O65/TrRoad_tech!O180)</f>
        <v>1.1114609709901619</v>
      </c>
      <c r="P207" s="93">
        <f>IF(TrRoad_act!P68=0,0,TrRoad_emi!P65/TrRoad_tech!P180)</f>
        <v>1.1160901148386153</v>
      </c>
      <c r="Q207" s="93">
        <f>IF(TrRoad_act!Q68=0,0,TrRoad_emi!Q65/TrRoad_tech!Q180)</f>
        <v>1.1257102287633711</v>
      </c>
      <c r="R207" s="93">
        <f>IF(TrRoad_act!R68=0,0,TrRoad_emi!R65/TrRoad_tech!R180)</f>
        <v>1.1311748173536602</v>
      </c>
      <c r="S207" s="93">
        <f>IF(TrRoad_act!S68=0,0,TrRoad_emi!S65/TrRoad_tech!S180)</f>
        <v>1.1312059039904467</v>
      </c>
      <c r="T207" s="93">
        <f>IF(TrRoad_act!T68=0,0,TrRoad_emi!T65/TrRoad_tech!T180)</f>
        <v>1.1219637566424336</v>
      </c>
      <c r="U207" s="93">
        <f>IF(TrRoad_act!U68=0,0,TrRoad_emi!U65/TrRoad_tech!U180)</f>
        <v>1.1307578943330974</v>
      </c>
      <c r="V207" s="93">
        <f>IF(TrRoad_act!V68=0,0,TrRoad_emi!V65/TrRoad_tech!V180)</f>
        <v>1.1146643728207799</v>
      </c>
      <c r="W207" s="93">
        <f>IF(TrRoad_act!W68=0,0,TrRoad_emi!W65/TrRoad_tech!W180)</f>
        <v>1.1163233263461416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1.1003643290120404</v>
      </c>
      <c r="D208" s="93">
        <f>IF(TrRoad_act!D69=0,0,TrRoad_emi!D66/TrRoad_tech!D181)</f>
        <v>1.1009719185793483</v>
      </c>
      <c r="E208" s="93">
        <f>IF(TrRoad_act!E69=0,0,TrRoad_emi!E66/TrRoad_tech!E181)</f>
        <v>1.1024369973753585</v>
      </c>
      <c r="F208" s="93">
        <f>IF(TrRoad_act!F69=0,0,TrRoad_emi!F66/TrRoad_tech!F181)</f>
        <v>1.1046214431812338</v>
      </c>
      <c r="G208" s="93">
        <f>IF(TrRoad_act!G69=0,0,TrRoad_emi!G66/TrRoad_tech!G181)</f>
        <v>1.1076114253306566</v>
      </c>
      <c r="H208" s="93">
        <f>IF(TrRoad_act!H69=0,0,TrRoad_emi!H66/TrRoad_tech!H181)</f>
        <v>1.1058668900180797</v>
      </c>
      <c r="I208" s="93">
        <f>IF(TrRoad_act!I69=0,0,TrRoad_emi!I66/TrRoad_tech!I181)</f>
        <v>1.1024628490150237</v>
      </c>
      <c r="J208" s="93">
        <f>IF(TrRoad_act!J69=0,0,TrRoad_emi!J66/TrRoad_tech!J181)</f>
        <v>1.1052057752818309</v>
      </c>
      <c r="K208" s="93">
        <f>IF(TrRoad_act!K69=0,0,TrRoad_emi!K66/TrRoad_tech!K181)</f>
        <v>1.0999844600942517</v>
      </c>
      <c r="L208" s="93">
        <f>IF(TrRoad_act!L69=0,0,TrRoad_emi!L66/TrRoad_tech!L181)</f>
        <v>1.0958898911686312</v>
      </c>
      <c r="M208" s="93">
        <f>IF(TrRoad_act!M69=0,0,TrRoad_emi!M66/TrRoad_tech!M181)</f>
        <v>1.1156504538336942</v>
      </c>
      <c r="N208" s="93">
        <f>IF(TrRoad_act!N69=0,0,TrRoad_emi!N66/TrRoad_tech!N181)</f>
        <v>1.1121489712309747</v>
      </c>
      <c r="O208" s="93">
        <f>IF(TrRoad_act!O69=0,0,TrRoad_emi!O66/TrRoad_tech!O181)</f>
        <v>1.1167234602358249</v>
      </c>
      <c r="P208" s="93">
        <f>IF(TrRoad_act!P69=0,0,TrRoad_emi!P66/TrRoad_tech!P181)</f>
        <v>1.1461645574242871</v>
      </c>
      <c r="Q208" s="93">
        <f>IF(TrRoad_act!Q69=0,0,TrRoad_emi!Q66/TrRoad_tech!Q181)</f>
        <v>1.1729758219509698</v>
      </c>
      <c r="R208" s="93">
        <f>IF(TrRoad_act!R69=0,0,TrRoad_emi!R66/TrRoad_tech!R181)</f>
        <v>1.1963273351851345</v>
      </c>
      <c r="S208" s="93">
        <f>IF(TrRoad_act!S69=0,0,TrRoad_emi!S66/TrRoad_tech!S181)</f>
        <v>1.2055613970110906</v>
      </c>
      <c r="T208" s="93">
        <f>IF(TrRoad_act!T69=0,0,TrRoad_emi!T66/TrRoad_tech!T181)</f>
        <v>1.1822381804871374</v>
      </c>
      <c r="U208" s="93">
        <f>IF(TrRoad_act!U69=0,0,TrRoad_emi!U66/TrRoad_tech!U181)</f>
        <v>1.1728340579287497</v>
      </c>
      <c r="V208" s="93">
        <f>IF(TrRoad_act!V69=0,0,TrRoad_emi!V66/TrRoad_tech!V181)</f>
        <v>1.1991855556717368</v>
      </c>
      <c r="W208" s="93">
        <f>IF(TrRoad_act!W69=0,0,TrRoad_emi!W66/TrRoad_tech!W181)</f>
        <v>1.2114382951000009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1.2904048247531705</v>
      </c>
      <c r="O210" s="93">
        <f>IF(TrRoad_act!O71=0,0,TrRoad_emi!O68/TrRoad_tech!O183)</f>
        <v>1.2449946534964029</v>
      </c>
      <c r="P210" s="93">
        <f>IF(TrRoad_act!P71=0,0,TrRoad_emi!P68/TrRoad_tech!P183)</f>
        <v>0.85705945943688133</v>
      </c>
      <c r="Q210" s="93">
        <f>IF(TrRoad_act!Q71=0,0,TrRoad_emi!Q68/TrRoad_tech!Q183)</f>
        <v>1.1194964882237866</v>
      </c>
      <c r="R210" s="93">
        <f>IF(TrRoad_act!R71=0,0,TrRoad_emi!R68/TrRoad_tech!R183)</f>
        <v>1.2999124961748354</v>
      </c>
      <c r="S210" s="93">
        <f>IF(TrRoad_act!S71=0,0,TrRoad_emi!S68/TrRoad_tech!S183)</f>
        <v>1.5130757071445724</v>
      </c>
      <c r="T210" s="93">
        <f>IF(TrRoad_act!T71=0,0,TrRoad_emi!T68/TrRoad_tech!T183)</f>
        <v>1.462315274140437</v>
      </c>
      <c r="U210" s="93">
        <f>IF(TrRoad_act!U71=0,0,TrRoad_emi!U68/TrRoad_tech!U183)</f>
        <v>1.515225183826983</v>
      </c>
      <c r="V210" s="93">
        <f>IF(TrRoad_act!V71=0,0,TrRoad_emi!V68/TrRoad_tech!V183)</f>
        <v>1.7751173351957281</v>
      </c>
      <c r="W210" s="93">
        <f>IF(TrRoad_act!W71=0,0,TrRoad_emi!W68/TrRoad_tech!W183)</f>
        <v>2.3249058741291253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1.1267107425961771</v>
      </c>
      <c r="C213" s="150">
        <f>IF(TrRoad_act!C74=0,0,TrRoad_emi!C71/TrRoad_tech!C186)</f>
        <v>1.1236477600045498</v>
      </c>
      <c r="D213" s="150">
        <f>IF(TrRoad_act!D74=0,0,TrRoad_emi!D71/TrRoad_tech!D186)</f>
        <v>1.1148060118615557</v>
      </c>
      <c r="E213" s="150">
        <f>IF(TrRoad_act!E74=0,0,TrRoad_emi!E71/TrRoad_tech!E186)</f>
        <v>1.1091650445005172</v>
      </c>
      <c r="F213" s="150">
        <f>IF(TrRoad_act!F74=0,0,TrRoad_emi!F71/TrRoad_tech!F186)</f>
        <v>1.1064047790010179</v>
      </c>
      <c r="G213" s="150">
        <f>IF(TrRoad_act!G74=0,0,TrRoad_emi!G71/TrRoad_tech!G186)</f>
        <v>1.1054664298898182</v>
      </c>
      <c r="H213" s="150">
        <f>IF(TrRoad_act!H74=0,0,TrRoad_emi!H71/TrRoad_tech!H186)</f>
        <v>1.1232752094253031</v>
      </c>
      <c r="I213" s="150">
        <f>IF(TrRoad_act!I74=0,0,TrRoad_emi!I71/TrRoad_tech!I186)</f>
        <v>1.1068796249039772</v>
      </c>
      <c r="J213" s="150">
        <f>IF(TrRoad_act!J74=0,0,TrRoad_emi!J71/TrRoad_tech!J186)</f>
        <v>1.1365553289733061</v>
      </c>
      <c r="K213" s="150">
        <f>IF(TrRoad_act!K74=0,0,TrRoad_emi!K71/TrRoad_tech!K186)</f>
        <v>1.1372212150214562</v>
      </c>
      <c r="L213" s="150">
        <f>IF(TrRoad_act!L74=0,0,TrRoad_emi!L71/TrRoad_tech!L186)</f>
        <v>1.2445245806897891</v>
      </c>
      <c r="M213" s="150">
        <f>IF(TrRoad_act!M74=0,0,TrRoad_emi!M71/TrRoad_tech!M186)</f>
        <v>1.3141289560649554</v>
      </c>
      <c r="N213" s="150">
        <f>IF(TrRoad_act!N74=0,0,TrRoad_emi!N71/TrRoad_tech!N186)</f>
        <v>1.118438281709401</v>
      </c>
      <c r="O213" s="150">
        <f>IF(TrRoad_act!O74=0,0,TrRoad_emi!O71/TrRoad_tech!O186)</f>
        <v>1.1213261046032286</v>
      </c>
      <c r="P213" s="150">
        <f>IF(TrRoad_act!P74=0,0,TrRoad_emi!P71/TrRoad_tech!P186)</f>
        <v>1.1773636753768311</v>
      </c>
      <c r="Q213" s="150">
        <f>IF(TrRoad_act!Q74=0,0,TrRoad_emi!Q71/TrRoad_tech!Q186)</f>
        <v>1.2001134024015188</v>
      </c>
      <c r="R213" s="150">
        <f>IF(TrRoad_act!R74=0,0,TrRoad_emi!R71/TrRoad_tech!R186)</f>
        <v>1.2248484616560638</v>
      </c>
      <c r="S213" s="150">
        <f>IF(TrRoad_act!S74=0,0,TrRoad_emi!S71/TrRoad_tech!S186)</f>
        <v>1.2381333200667297</v>
      </c>
      <c r="T213" s="150">
        <f>IF(TrRoad_act!T74=0,0,TrRoad_emi!T71/TrRoad_tech!T186)</f>
        <v>1.217287082065456</v>
      </c>
      <c r="U213" s="150">
        <f>IF(TrRoad_act!U74=0,0,TrRoad_emi!U71/TrRoad_tech!U186)</f>
        <v>1.2164620731052864</v>
      </c>
      <c r="V213" s="150">
        <f>IF(TrRoad_act!V74=0,0,TrRoad_emi!V71/TrRoad_tech!V186)</f>
        <v>1.2042493709061139</v>
      </c>
      <c r="W213" s="150">
        <f>IF(TrRoad_act!W74=0,0,TrRoad_emi!W71/TrRoad_tech!W186)</f>
        <v>1.2291147660521826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1.1001504785959133</v>
      </c>
      <c r="D214" s="91">
        <f>IF(TrRoad_act!D75=0,0,TrRoad_emi!D72/TrRoad_tech!D187)</f>
        <v>1.1004548298134873</v>
      </c>
      <c r="E214" s="91">
        <f>IF(TrRoad_act!E75=0,0,TrRoad_emi!E72/TrRoad_tech!E187)</f>
        <v>1.1008955656286481</v>
      </c>
      <c r="F214" s="91">
        <f>IF(TrRoad_act!F75=0,0,TrRoad_emi!F72/TrRoad_tech!F187)</f>
        <v>1.1014155257725162</v>
      </c>
      <c r="G214" s="91">
        <f>IF(TrRoad_act!G75=0,0,TrRoad_emi!G72/TrRoad_tech!G187)</f>
        <v>1.1020043354088176</v>
      </c>
      <c r="H214" s="91">
        <f>IF(TrRoad_act!H75=0,0,TrRoad_emi!H72/TrRoad_tech!H187)</f>
        <v>1.1034478768795013</v>
      </c>
      <c r="I214" s="91">
        <f>IF(TrRoad_act!I75=0,0,TrRoad_emi!I72/TrRoad_tech!I187)</f>
        <v>1.1046131366757197</v>
      </c>
      <c r="J214" s="91">
        <f>IF(TrRoad_act!J75=0,0,TrRoad_emi!J72/TrRoad_tech!J187)</f>
        <v>1.1057123501191395</v>
      </c>
      <c r="K214" s="91">
        <f>IF(TrRoad_act!K75=0,0,TrRoad_emi!K72/TrRoad_tech!K187)</f>
        <v>1.107780552739327</v>
      </c>
      <c r="L214" s="91">
        <f>IF(TrRoad_act!L75=0,0,TrRoad_emi!L72/TrRoad_tech!L187)</f>
        <v>1.1070172159974323</v>
      </c>
      <c r="M214" s="91">
        <f>IF(TrRoad_act!M75=0,0,TrRoad_emi!M72/TrRoad_tech!M187)</f>
        <v>1.1088799889137539</v>
      </c>
      <c r="N214" s="91">
        <f>IF(TrRoad_act!N75=0,0,TrRoad_emi!N72/TrRoad_tech!N187)</f>
        <v>1.110115574894772</v>
      </c>
      <c r="O214" s="91">
        <f>IF(TrRoad_act!O75=0,0,TrRoad_emi!O72/TrRoad_tech!O187)</f>
        <v>1.1094736621709151</v>
      </c>
      <c r="P214" s="91">
        <f>IF(TrRoad_act!P75=0,0,TrRoad_emi!P72/TrRoad_tech!P187)</f>
        <v>1.1143216666240261</v>
      </c>
      <c r="Q214" s="91">
        <f>IF(TrRoad_act!Q75=0,0,TrRoad_emi!Q72/TrRoad_tech!Q187)</f>
        <v>1.1229771372341792</v>
      </c>
      <c r="R214" s="91">
        <f>IF(TrRoad_act!R75=0,0,TrRoad_emi!R72/TrRoad_tech!R187)</f>
        <v>1.1394749113805183</v>
      </c>
      <c r="S214" s="91">
        <f>IF(TrRoad_act!S75=0,0,TrRoad_emi!S72/TrRoad_tech!S187)</f>
        <v>1.155183345828122</v>
      </c>
      <c r="T214" s="91">
        <f>IF(TrRoad_act!T75=0,0,TrRoad_emi!T72/TrRoad_tech!T187)</f>
        <v>1.189024429764123</v>
      </c>
      <c r="U214" s="91">
        <f>IF(TrRoad_act!U75=0,0,TrRoad_emi!U72/TrRoad_tech!U187)</f>
        <v>1.2450720066476324</v>
      </c>
      <c r="V214" s="91">
        <f>IF(TrRoad_act!V75=0,0,TrRoad_emi!V72/TrRoad_tech!V187)</f>
        <v>1.2391838258673791</v>
      </c>
      <c r="W214" s="91">
        <f>IF(TrRoad_act!W75=0,0,TrRoad_emi!W72/TrRoad_tech!W187)</f>
        <v>1.2462607457842381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1.1002899726819484</v>
      </c>
      <c r="D215" s="91">
        <f>IF(TrRoad_act!D76=0,0,TrRoad_emi!D73/TrRoad_tech!D188)</f>
        <v>1.1011382452642589</v>
      </c>
      <c r="E215" s="91">
        <f>IF(TrRoad_act!E76=0,0,TrRoad_emi!E73/TrRoad_tech!E188)</f>
        <v>1.1026820604466445</v>
      </c>
      <c r="F215" s="91">
        <f>IF(TrRoad_act!F76=0,0,TrRoad_emi!F73/TrRoad_tech!F188)</f>
        <v>1.1049600296020616</v>
      </c>
      <c r="G215" s="91">
        <f>IF(TrRoad_act!G76=0,0,TrRoad_emi!G73/TrRoad_tech!G188)</f>
        <v>1.1079528678574841</v>
      </c>
      <c r="H215" s="91">
        <f>IF(TrRoad_act!H76=0,0,TrRoad_emi!H73/TrRoad_tech!H188)</f>
        <v>1.1069702585810777</v>
      </c>
      <c r="I215" s="91">
        <f>IF(TrRoad_act!I76=0,0,TrRoad_emi!I73/TrRoad_tech!I188)</f>
        <v>1.1049087818208594</v>
      </c>
      <c r="J215" s="91">
        <f>IF(TrRoad_act!J76=0,0,TrRoad_emi!J73/TrRoad_tech!J188)</f>
        <v>1.1068893266272282</v>
      </c>
      <c r="K215" s="91">
        <f>IF(TrRoad_act!K76=0,0,TrRoad_emi!K73/TrRoad_tech!K188)</f>
        <v>1.1006143314368992</v>
      </c>
      <c r="L215" s="91">
        <f>IF(TrRoad_act!L76=0,0,TrRoad_emi!L73/TrRoad_tech!L188)</f>
        <v>1.0906433364576218</v>
      </c>
      <c r="M215" s="91">
        <f>IF(TrRoad_act!M76=0,0,TrRoad_emi!M73/TrRoad_tech!M188)</f>
        <v>1.1058653111843941</v>
      </c>
      <c r="N215" s="91">
        <f>IF(TrRoad_act!N76=0,0,TrRoad_emi!N73/TrRoad_tech!N188)</f>
        <v>1.1068043290412459</v>
      </c>
      <c r="O215" s="91">
        <f>IF(TrRoad_act!O76=0,0,TrRoad_emi!O73/TrRoad_tech!O188)</f>
        <v>1.1136146502752096</v>
      </c>
      <c r="P215" s="91">
        <f>IF(TrRoad_act!P76=0,0,TrRoad_emi!P73/TrRoad_tech!P188)</f>
        <v>1.1447555859373502</v>
      </c>
      <c r="Q215" s="91">
        <f>IF(TrRoad_act!Q76=0,0,TrRoad_emi!Q73/TrRoad_tech!Q188)</f>
        <v>1.1730849314463254</v>
      </c>
      <c r="R215" s="91">
        <f>IF(TrRoad_act!R76=0,0,TrRoad_emi!R73/TrRoad_tech!R188)</f>
        <v>1.2020860292178703</v>
      </c>
      <c r="S215" s="91">
        <f>IF(TrRoad_act!S76=0,0,TrRoad_emi!S73/TrRoad_tech!S188)</f>
        <v>1.2186572252040913</v>
      </c>
      <c r="T215" s="91">
        <f>IF(TrRoad_act!T76=0,0,TrRoad_emi!T73/TrRoad_tech!T188)</f>
        <v>1.2026437665736838</v>
      </c>
      <c r="U215" s="91">
        <f>IF(TrRoad_act!U76=0,0,TrRoad_emi!U73/TrRoad_tech!U188)</f>
        <v>1.2003988540960147</v>
      </c>
      <c r="V215" s="91">
        <f>IF(TrRoad_act!V76=0,0,TrRoad_emi!V73/TrRoad_tech!V188)</f>
        <v>1.205553137594443</v>
      </c>
      <c r="W215" s="91">
        <f>IF(TrRoad_act!W76=0,0,TrRoad_emi!W73/TrRoad_tech!W188)</f>
        <v>1.225961525611897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1.1053735495802481</v>
      </c>
      <c r="I216" s="91">
        <f>IF(TrRoad_act!I77=0,0,TrRoad_emi!I74/TrRoad_tech!I189)</f>
        <v>1.1146217236515421</v>
      </c>
      <c r="J216" s="91">
        <f>IF(TrRoad_act!J77=0,0,TrRoad_emi!J74/TrRoad_tech!J189)</f>
        <v>1.1096171217790187</v>
      </c>
      <c r="K216" s="91">
        <f>IF(TrRoad_act!K77=0,0,TrRoad_emi!K74/TrRoad_tech!K189)</f>
        <v>1.1630835698733017</v>
      </c>
      <c r="L216" s="91">
        <f>IF(TrRoad_act!L77=0,0,TrRoad_emi!L74/TrRoad_tech!L189)</f>
        <v>1.273876351811887</v>
      </c>
      <c r="M216" s="91">
        <f>IF(TrRoad_act!M77=0,0,TrRoad_emi!M74/TrRoad_tech!M189)</f>
        <v>1.3548873784458333</v>
      </c>
      <c r="N216" s="91">
        <f>IF(TrRoad_act!N77=0,0,TrRoad_emi!N74/TrRoad_tech!N189)</f>
        <v>1.4098348937106557</v>
      </c>
      <c r="O216" s="91">
        <f>IF(TrRoad_act!O77=0,0,TrRoad_emi!O74/TrRoad_tech!O189)</f>
        <v>1.3901421533702178</v>
      </c>
      <c r="P216" s="91">
        <f>IF(TrRoad_act!P77=0,0,TrRoad_emi!P74/TrRoad_tech!P189)</f>
        <v>1.4364543332481381</v>
      </c>
      <c r="Q216" s="91">
        <f>IF(TrRoad_act!Q77=0,0,TrRoad_emi!Q74/TrRoad_tech!Q189)</f>
        <v>1.5255361678122741</v>
      </c>
      <c r="R216" s="91">
        <f>IF(TrRoad_act!R77=0,0,TrRoad_emi!R74/TrRoad_tech!R189)</f>
        <v>1.5361946676394218</v>
      </c>
      <c r="S216" s="91">
        <f>IF(TrRoad_act!S77=0,0,TrRoad_emi!S74/TrRoad_tech!S189)</f>
        <v>1.4112887839157167</v>
      </c>
      <c r="T216" s="91">
        <f>IF(TrRoad_act!T77=0,0,TrRoad_emi!T74/TrRoad_tech!T189)</f>
        <v>1.3581931785150749</v>
      </c>
      <c r="U216" s="91">
        <f>IF(TrRoad_act!U77=0,0,TrRoad_emi!U74/TrRoad_tech!U189)</f>
        <v>1.2778643066175346</v>
      </c>
      <c r="V216" s="91">
        <f>IF(TrRoad_act!V77=0,0,TrRoad_emi!V74/TrRoad_tech!V189)</f>
        <v>1.2296583123357954</v>
      </c>
      <c r="W216" s="91">
        <f>IF(TrRoad_act!W77=0,0,TrRoad_emi!W74/TrRoad_tech!W189)</f>
        <v>1.6183687461545708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1.2773333333398114</v>
      </c>
      <c r="Q217" s="91">
        <f>IF(TrRoad_act!Q78=0,0,TrRoad_emi!Q75/TrRoad_tech!Q190)</f>
        <v>1.2921619678827134</v>
      </c>
      <c r="R217" s="91">
        <f>IF(TrRoad_act!R78=0,0,TrRoad_emi!R75/TrRoad_tech!R190)</f>
        <v>1.2925912512480733</v>
      </c>
      <c r="S217" s="91">
        <f>IF(TrRoad_act!S78=0,0,TrRoad_emi!S75/TrRoad_tech!S190)</f>
        <v>1.3051691415404623</v>
      </c>
      <c r="T217" s="91">
        <f>IF(TrRoad_act!T78=0,0,TrRoad_emi!T75/TrRoad_tech!T190)</f>
        <v>1.3090639907721175</v>
      </c>
      <c r="U217" s="91">
        <f>IF(TrRoad_act!U78=0,0,TrRoad_emi!U75/TrRoad_tech!U190)</f>
        <v>1.319707842140817</v>
      </c>
      <c r="V217" s="91">
        <f>IF(TrRoad_act!V78=0,0,TrRoad_emi!V75/TrRoad_tech!V190)</f>
        <v>1.3240567507636087</v>
      </c>
      <c r="W217" s="91">
        <f>IF(TrRoad_act!W78=0,0,TrRoad_emi!W75/TrRoad_tech!W190)</f>
        <v>1.3276601893410152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0.50061196243073258</v>
      </c>
      <c r="C219" s="151">
        <f>IF(TrRoad_act!C80=0,0,TrRoad_emi!C77/TrRoad_tech!C192)</f>
        <v>0.84412583748489667</v>
      </c>
      <c r="D219" s="151">
        <f>IF(TrRoad_act!D80=0,0,TrRoad_emi!D77/TrRoad_tech!D192)</f>
        <v>0.83694852674838094</v>
      </c>
      <c r="E219" s="151">
        <f>IF(TrRoad_act!E80=0,0,TrRoad_emi!E77/TrRoad_tech!E192)</f>
        <v>0.98372627150293768</v>
      </c>
      <c r="F219" s="151">
        <f>IF(TrRoad_act!F80=0,0,TrRoad_emi!F77/TrRoad_tech!F192)</f>
        <v>1.1806167125504941</v>
      </c>
      <c r="G219" s="151">
        <f>IF(TrRoad_act!G80=0,0,TrRoad_emi!G77/TrRoad_tech!G192)</f>
        <v>1.3840803589492972</v>
      </c>
      <c r="H219" s="151">
        <f>IF(TrRoad_act!H80=0,0,TrRoad_emi!H77/TrRoad_tech!H192)</f>
        <v>1.5006394765391418</v>
      </c>
      <c r="I219" s="151">
        <f>IF(TrRoad_act!I80=0,0,TrRoad_emi!I77/TrRoad_tech!I192)</f>
        <v>2.1134688996695674</v>
      </c>
      <c r="J219" s="151">
        <f>IF(TrRoad_act!J80=0,0,TrRoad_emi!J77/TrRoad_tech!J192)</f>
        <v>3.0655312705236994</v>
      </c>
      <c r="K219" s="151">
        <f>IF(TrRoad_act!K80=0,0,TrRoad_emi!K77/TrRoad_tech!K192)</f>
        <v>2.080096633902274</v>
      </c>
      <c r="L219" s="151">
        <f>IF(TrRoad_act!L80=0,0,TrRoad_emi!L77/TrRoad_tech!L192)</f>
        <v>2.276667694231612</v>
      </c>
      <c r="M219" s="151">
        <f>IF(TrRoad_act!M80=0,0,TrRoad_emi!M77/TrRoad_tech!M192)</f>
        <v>2.8435279358352212</v>
      </c>
      <c r="N219" s="151">
        <f>IF(TrRoad_act!N80=0,0,TrRoad_emi!N77/TrRoad_tech!N192)</f>
        <v>3.2102011391728724</v>
      </c>
      <c r="O219" s="151">
        <f>IF(TrRoad_act!O80=0,0,TrRoad_emi!O77/TrRoad_tech!O192)</f>
        <v>2.978060671415768</v>
      </c>
      <c r="P219" s="151">
        <f>IF(TrRoad_act!P80=0,0,TrRoad_emi!P77/TrRoad_tech!P192)</f>
        <v>2.866822551008871</v>
      </c>
      <c r="Q219" s="151">
        <f>IF(TrRoad_act!Q80=0,0,TrRoad_emi!Q77/TrRoad_tech!Q192)</f>
        <v>2.6591210282047251</v>
      </c>
      <c r="R219" s="151">
        <f>IF(TrRoad_act!R80=0,0,TrRoad_emi!R77/TrRoad_tech!R192)</f>
        <v>3.0467943934595718</v>
      </c>
      <c r="S219" s="151">
        <f>IF(TrRoad_act!S80=0,0,TrRoad_emi!S77/TrRoad_tech!S192)</f>
        <v>2.8797073536329667</v>
      </c>
      <c r="T219" s="151">
        <f>IF(TrRoad_act!T80=0,0,TrRoad_emi!T77/TrRoad_tech!T192)</f>
        <v>2.8759116968603715</v>
      </c>
      <c r="U219" s="151">
        <f>IF(TrRoad_act!U80=0,0,TrRoad_emi!U77/TrRoad_tech!U192)</f>
        <v>2.5720922011813525</v>
      </c>
      <c r="V219" s="151">
        <f>IF(TrRoad_act!V80=0,0,TrRoad_emi!V77/TrRoad_tech!V192)</f>
        <v>1.9820594868059878</v>
      </c>
      <c r="W219" s="151">
        <f>IF(TrRoad_act!W80=0,0,TrRoad_emi!W77/TrRoad_tech!W192)</f>
        <v>2.4974118563968934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1.0642655917329631</v>
      </c>
      <c r="C220" s="93">
        <f>IF(TrRoad_act!C81=0,0,TrRoad_emi!C78/TrRoad_tech!C193)</f>
        <v>1.1172367661239755</v>
      </c>
      <c r="D220" s="93">
        <f>IF(TrRoad_act!D81=0,0,TrRoad_emi!D78/TrRoad_tech!D193)</f>
        <v>1.1182300016032642</v>
      </c>
      <c r="E220" s="93">
        <f>IF(TrRoad_act!E81=0,0,TrRoad_emi!E78/TrRoad_tech!E193)</f>
        <v>1.1429797340736547</v>
      </c>
      <c r="F220" s="93">
        <f>IF(TrRoad_act!F81=0,0,TrRoad_emi!F78/TrRoad_tech!F193)</f>
        <v>1.1785617197979978</v>
      </c>
      <c r="G220" s="93">
        <f>IF(TrRoad_act!G81=0,0,TrRoad_emi!G78/TrRoad_tech!G193)</f>
        <v>1.2144439122713706</v>
      </c>
      <c r="H220" s="93">
        <f>IF(TrRoad_act!H81=0,0,TrRoad_emi!H78/TrRoad_tech!H193)</f>
        <v>1.2306464069079259</v>
      </c>
      <c r="I220" s="93">
        <f>IF(TrRoad_act!I81=0,0,TrRoad_emi!I78/TrRoad_tech!I193)</f>
        <v>1.3269525521349173</v>
      </c>
      <c r="J220" s="93">
        <f>IF(TrRoad_act!J81=0,0,TrRoad_emi!J78/TrRoad_tech!J193)</f>
        <v>1.4813267743584864</v>
      </c>
      <c r="K220" s="93">
        <f>IF(TrRoad_act!K81=0,0,TrRoad_emi!K78/TrRoad_tech!K193)</f>
        <v>1.3199339493744315</v>
      </c>
      <c r="L220" s="93">
        <f>IF(TrRoad_act!L81=0,0,TrRoad_emi!L78/TrRoad_tech!L193)</f>
        <v>1.3508748163595616</v>
      </c>
      <c r="M220" s="93">
        <f>IF(TrRoad_act!M81=0,0,TrRoad_emi!M78/TrRoad_tech!M193)</f>
        <v>1.4600189068775875</v>
      </c>
      <c r="N220" s="93">
        <f>IF(TrRoad_act!N81=0,0,TrRoad_emi!N78/TrRoad_tech!N193)</f>
        <v>1.5134097384668621</v>
      </c>
      <c r="O220" s="93">
        <f>IF(TrRoad_act!O81=0,0,TrRoad_emi!O78/TrRoad_tech!O193)</f>
        <v>1.4787798921253317</v>
      </c>
      <c r="P220" s="93">
        <f>IF(TrRoad_act!P81=0,0,TrRoad_emi!P78/TrRoad_tech!P193)</f>
        <v>1.4899888545515152</v>
      </c>
      <c r="Q220" s="93">
        <f>IF(TrRoad_act!Q81=0,0,TrRoad_emi!Q78/TrRoad_tech!Q193)</f>
        <v>1.4822484905623863</v>
      </c>
      <c r="R220" s="93">
        <f>IF(TrRoad_act!R81=0,0,TrRoad_emi!R78/TrRoad_tech!R193)</f>
        <v>1.56464000144909</v>
      </c>
      <c r="S220" s="93">
        <f>IF(TrRoad_act!S81=0,0,TrRoad_emi!S78/TrRoad_tech!S193)</f>
        <v>1.554990626641261</v>
      </c>
      <c r="T220" s="93">
        <f>IF(TrRoad_act!T81=0,0,TrRoad_emi!T78/TrRoad_tech!T193)</f>
        <v>1.5388159934304286</v>
      </c>
      <c r="U220" s="93">
        <f>IF(TrRoad_act!U81=0,0,TrRoad_emi!U78/TrRoad_tech!U193)</f>
        <v>1.5007864760684</v>
      </c>
      <c r="V220" s="93">
        <f>IF(TrRoad_act!V81=0,0,TrRoad_emi!V78/TrRoad_tech!V193)</f>
        <v>1.4066304729159027</v>
      </c>
      <c r="W220" s="93">
        <f>IF(TrRoad_act!W81=0,0,TrRoad_emi!W78/TrRoad_tech!W193)</f>
        <v>1.5192041413626325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4.2605019609329033E-2</v>
      </c>
      <c r="C221" s="94">
        <f>IF(TrRoad_act!C82=0,0,TrRoad_emi!C79/TrRoad_tech!C194)</f>
        <v>0.58658133994909212</v>
      </c>
      <c r="D221" s="94">
        <f>IF(TrRoad_act!D82=0,0,TrRoad_emi!D79/TrRoad_tech!D194)</f>
        <v>0.56264361143429309</v>
      </c>
      <c r="E221" s="94">
        <f>IF(TrRoad_act!E82=0,0,TrRoad_emi!E79/TrRoad_tech!E194)</f>
        <v>0.79897082514158491</v>
      </c>
      <c r="F221" s="94">
        <f>IF(TrRoad_act!F82=0,0,TrRoad_emi!F79/TrRoad_tech!F194)</f>
        <v>1.1543417416939705</v>
      </c>
      <c r="G221" s="94">
        <f>IF(TrRoad_act!G82=0,0,TrRoad_emi!G79/TrRoad_tech!G194)</f>
        <v>1.5193716066535776</v>
      </c>
      <c r="H221" s="94">
        <f>IF(TrRoad_act!H82=0,0,TrRoad_emi!H79/TrRoad_tech!H194)</f>
        <v>1.6672416873388203</v>
      </c>
      <c r="I221" s="94">
        <f>IF(TrRoad_act!I82=0,0,TrRoad_emi!I79/TrRoad_tech!I194)</f>
        <v>2.6966845047286903</v>
      </c>
      <c r="J221" s="94">
        <f>IF(TrRoad_act!J82=0,0,TrRoad_emi!J79/TrRoad_tech!J194)</f>
        <v>4.2696833573386153</v>
      </c>
      <c r="K221" s="94">
        <f>IF(TrRoad_act!K82=0,0,TrRoad_emi!K79/TrRoad_tech!K194)</f>
        <v>2.6257782806917769</v>
      </c>
      <c r="L221" s="94">
        <f>IF(TrRoad_act!L82=0,0,TrRoad_emi!L79/TrRoad_tech!L194)</f>
        <v>3.0093882734415618</v>
      </c>
      <c r="M221" s="94">
        <f>IF(TrRoad_act!M82=0,0,TrRoad_emi!M79/TrRoad_tech!M194)</f>
        <v>3.8469166716637955</v>
      </c>
      <c r="N221" s="94">
        <f>IF(TrRoad_act!N82=0,0,TrRoad_emi!N79/TrRoad_tech!N194)</f>
        <v>4.2569832975862374</v>
      </c>
      <c r="O221" s="94">
        <f>IF(TrRoad_act!O82=0,0,TrRoad_emi!O79/TrRoad_tech!O194)</f>
        <v>3.8361114303128372</v>
      </c>
      <c r="P221" s="94">
        <f>IF(TrRoad_act!P82=0,0,TrRoad_emi!P79/TrRoad_tech!P194)</f>
        <v>3.7338806494119998</v>
      </c>
      <c r="Q221" s="94">
        <f>IF(TrRoad_act!Q82=0,0,TrRoad_emi!Q79/TrRoad_tech!Q194)</f>
        <v>3.2997271906540657</v>
      </c>
      <c r="R221" s="94">
        <f>IF(TrRoad_act!R82=0,0,TrRoad_emi!R79/TrRoad_tech!R194)</f>
        <v>3.7739865585434247</v>
      </c>
      <c r="S221" s="94">
        <f>IF(TrRoad_act!S82=0,0,TrRoad_emi!S79/TrRoad_tech!S194)</f>
        <v>3.5258357631299915</v>
      </c>
      <c r="T221" s="94">
        <f>IF(TrRoad_act!T82=0,0,TrRoad_emi!T79/TrRoad_tech!T194)</f>
        <v>3.4546716932578669</v>
      </c>
      <c r="U221" s="94">
        <f>IF(TrRoad_act!U82=0,0,TrRoad_emi!U79/TrRoad_tech!U194)</f>
        <v>3.0298465389243723</v>
      </c>
      <c r="V221" s="94">
        <f>IF(TrRoad_act!V82=0,0,TrRoad_emi!V79/TrRoad_tech!V194)</f>
        <v>2.2131199308423821</v>
      </c>
      <c r="W221" s="94">
        <f>IF(TrRoad_act!W82=0,0,TrRoad_emi!W79/TrRoad_tech!W194)</f>
        <v>2.9552844372938889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108.37251053932312</v>
      </c>
      <c r="C225" s="152">
        <v>107.78252080817262</v>
      </c>
      <c r="D225" s="152">
        <v>107.13074301243944</v>
      </c>
      <c r="E225" s="152">
        <v>105.78981484094247</v>
      </c>
      <c r="F225" s="152">
        <v>105.64331432722261</v>
      </c>
      <c r="G225" s="152">
        <v>104.22016647965837</v>
      </c>
      <c r="H225" s="152">
        <v>102.11833257873894</v>
      </c>
      <c r="I225" s="152">
        <v>100.62043957111356</v>
      </c>
      <c r="J225" s="152">
        <v>95.735095909517071</v>
      </c>
      <c r="K225" s="152">
        <v>90.465562125206233</v>
      </c>
      <c r="L225" s="152">
        <v>87.175280179314598</v>
      </c>
      <c r="M225" s="152">
        <v>84.622808586762005</v>
      </c>
      <c r="N225" s="152">
        <v>81.340051300842589</v>
      </c>
      <c r="O225" s="152">
        <v>77.34230175077218</v>
      </c>
      <c r="P225" s="152">
        <v>74.2730404750872</v>
      </c>
      <c r="Q225" s="152">
        <v>72.778127494582819</v>
      </c>
      <c r="R225" s="152">
        <v>70.935164494332241</v>
      </c>
      <c r="S225" s="152">
        <v>69.460794094131771</v>
      </c>
      <c r="T225" s="152">
        <v>68.281297773971389</v>
      </c>
      <c r="U225" s="152">
        <v>67.337700717843092</v>
      </c>
      <c r="V225" s="152">
        <v>66.582823072940442</v>
      </c>
      <c r="W225" s="152">
        <v>65.978920957018332</v>
      </c>
      <c r="DA225" s="174" t="s">
        <v>931</v>
      </c>
    </row>
    <row r="226" spans="1:105" ht="11.45" customHeight="1" x14ac:dyDescent="0.25">
      <c r="A226" s="109" t="s">
        <v>20</v>
      </c>
      <c r="B226" s="116">
        <v>214.28892237095664</v>
      </c>
      <c r="C226" s="116">
        <v>213.35503802153883</v>
      </c>
      <c r="D226" s="116">
        <v>211.89544776324877</v>
      </c>
      <c r="E226" s="116">
        <v>210.72366892025886</v>
      </c>
      <c r="F226" s="116">
        <v>210.0187539219443</v>
      </c>
      <c r="G226" s="116">
        <v>209.08164122981711</v>
      </c>
      <c r="H226" s="116">
        <v>207.03377557611842</v>
      </c>
      <c r="I226" s="116">
        <v>204.2935566794248</v>
      </c>
      <c r="J226" s="116">
        <v>195.23070380847119</v>
      </c>
      <c r="K226" s="116">
        <v>185.5143935069039</v>
      </c>
      <c r="L226" s="116">
        <v>178.85736303370001</v>
      </c>
      <c r="M226" s="116">
        <v>173.42623316443562</v>
      </c>
      <c r="N226" s="116">
        <v>166.40861526766153</v>
      </c>
      <c r="O226" s="116">
        <v>156.48943738314972</v>
      </c>
      <c r="P226" s="116">
        <v>152.02819334791752</v>
      </c>
      <c r="Q226" s="116">
        <v>149.03849669457219</v>
      </c>
      <c r="R226" s="116">
        <v>148.57768140882766</v>
      </c>
      <c r="S226" s="116">
        <v>149.23986847957664</v>
      </c>
      <c r="T226" s="116">
        <v>151.21513718359986</v>
      </c>
      <c r="U226" s="116">
        <v>150.63821442551668</v>
      </c>
      <c r="V226" s="116">
        <v>141.7523071328516</v>
      </c>
      <c r="W226" s="116">
        <v>140.74341616068548</v>
      </c>
      <c r="DA226" s="176" t="s">
        <v>932</v>
      </c>
    </row>
    <row r="227" spans="1:105" ht="11.45" customHeight="1" x14ac:dyDescent="0.25">
      <c r="A227" s="111" t="s">
        <v>110</v>
      </c>
      <c r="B227" s="87">
        <v>215.0550874699382</v>
      </c>
      <c r="C227" s="87">
        <v>213.88430815876873</v>
      </c>
      <c r="D227" s="87">
        <v>212.59091622593627</v>
      </c>
      <c r="E227" s="87">
        <v>209.92996997880152</v>
      </c>
      <c r="F227" s="87">
        <v>209.63925344344008</v>
      </c>
      <c r="G227" s="87">
        <v>206.81514995707178</v>
      </c>
      <c r="H227" s="87">
        <v>202.64425762321287</v>
      </c>
      <c r="I227" s="87">
        <v>199.67182937390515</v>
      </c>
      <c r="J227" s="87">
        <v>189.97732286817893</v>
      </c>
      <c r="K227" s="87">
        <v>179.52042708094373</v>
      </c>
      <c r="L227" s="87">
        <v>172.99117101634664</v>
      </c>
      <c r="M227" s="87">
        <v>167.89005923093362</v>
      </c>
      <c r="N227" s="87">
        <v>161.39800878069434</v>
      </c>
      <c r="O227" s="87">
        <v>153.53179649036062</v>
      </c>
      <c r="P227" s="87">
        <v>147.4195046440577</v>
      </c>
      <c r="Q227" s="87">
        <v>144.52734284767831</v>
      </c>
      <c r="R227" s="87">
        <v>144.07464389380308</v>
      </c>
      <c r="S227" s="87">
        <v>144.16388696726071</v>
      </c>
      <c r="T227" s="87">
        <v>144.53663310961969</v>
      </c>
      <c r="U227" s="87">
        <v>146.0199916960764</v>
      </c>
      <c r="V227" s="87">
        <v>139.80042611563491</v>
      </c>
      <c r="W227" s="87">
        <v>134.48666999224031</v>
      </c>
      <c r="DA227" s="171" t="s">
        <v>933</v>
      </c>
    </row>
    <row r="228" spans="1:105" ht="11.45" customHeight="1" x14ac:dyDescent="0.25">
      <c r="A228" s="111" t="s">
        <v>111</v>
      </c>
      <c r="B228" s="87">
        <v>211.60856731423695</v>
      </c>
      <c r="C228" s="87">
        <v>211.50343724961556</v>
      </c>
      <c r="D228" s="87">
        <v>211.38668732306624</v>
      </c>
      <c r="E228" s="87">
        <v>211.86828077008201</v>
      </c>
      <c r="F228" s="87">
        <v>210.47093008669543</v>
      </c>
      <c r="G228" s="87">
        <v>211.09846094189774</v>
      </c>
      <c r="H228" s="87">
        <v>212.45203040282831</v>
      </c>
      <c r="I228" s="87">
        <v>210.49646913312802</v>
      </c>
      <c r="J228" s="87">
        <v>200.99959229538595</v>
      </c>
      <c r="K228" s="87">
        <v>193.10073007728695</v>
      </c>
      <c r="L228" s="87">
        <v>185.68346130620498</v>
      </c>
      <c r="M228" s="87">
        <v>179.27641640048199</v>
      </c>
      <c r="N228" s="87">
        <v>170.62022556962509</v>
      </c>
      <c r="O228" s="87">
        <v>159.54131495150216</v>
      </c>
      <c r="P228" s="87">
        <v>155.23393235831566</v>
      </c>
      <c r="Q228" s="87">
        <v>152.60627646834914</v>
      </c>
      <c r="R228" s="87">
        <v>152.7661846932061</v>
      </c>
      <c r="S228" s="87">
        <v>155.03687976081139</v>
      </c>
      <c r="T228" s="87">
        <v>160.21827277514481</v>
      </c>
      <c r="U228" s="87">
        <v>158.86904589196769</v>
      </c>
      <c r="V228" s="87">
        <v>151.30912404727721</v>
      </c>
      <c r="W228" s="87">
        <v>153.47240584166019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168.92086129819813</v>
      </c>
      <c r="I229" s="87">
        <v>167.36599221376142</v>
      </c>
      <c r="J229" s="87">
        <v>0</v>
      </c>
      <c r="K229" s="87">
        <v>153.53461946265273</v>
      </c>
      <c r="L229" s="87">
        <v>147.63714026739183</v>
      </c>
      <c r="M229" s="87">
        <v>146.7798691518428</v>
      </c>
      <c r="N229" s="87">
        <v>145.64428798031759</v>
      </c>
      <c r="O229" s="87">
        <v>141.05846311517615</v>
      </c>
      <c r="P229" s="87">
        <v>140.02806789856365</v>
      </c>
      <c r="Q229" s="87">
        <v>156.04777551174607</v>
      </c>
      <c r="R229" s="87">
        <v>140.9353937763523</v>
      </c>
      <c r="S229" s="87">
        <v>137.83420496954733</v>
      </c>
      <c r="T229" s="87">
        <v>140.16666666666671</v>
      </c>
      <c r="U229" s="87">
        <v>150.6823529411765</v>
      </c>
      <c r="V229" s="87">
        <v>124.4068965517241</v>
      </c>
      <c r="W229" s="87">
        <v>133.96909090909091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138.19457610562716</v>
      </c>
      <c r="O230" s="87">
        <v>136.77204081632675</v>
      </c>
      <c r="P230" s="87">
        <v>125.39205194805149</v>
      </c>
      <c r="Q230" s="87">
        <v>111.32717770034843</v>
      </c>
      <c r="R230" s="87">
        <v>116.40095238095232</v>
      </c>
      <c r="S230" s="87">
        <v>115.49761904761901</v>
      </c>
      <c r="T230" s="87">
        <v>135.5</v>
      </c>
      <c r="U230" s="87">
        <v>118.61538461538458</v>
      </c>
      <c r="V230" s="87">
        <v>110.84</v>
      </c>
      <c r="W230" s="87">
        <v>100.875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41.516036354057398</v>
      </c>
      <c r="P231" s="87">
        <v>46.08516369473169</v>
      </c>
      <c r="Q231" s="87">
        <v>35.502644624089633</v>
      </c>
      <c r="R231" s="87">
        <v>47.399699043901485</v>
      </c>
      <c r="S231" s="87">
        <v>55.612699309635445</v>
      </c>
      <c r="T231" s="87">
        <v>48.976781808910935</v>
      </c>
      <c r="U231" s="87">
        <v>46.65891472868217</v>
      </c>
      <c r="V231" s="87">
        <v>46.420408163265307</v>
      </c>
      <c r="W231" s="87">
        <v>40.823874755381603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1482.6369750457693</v>
      </c>
      <c r="C233" s="116">
        <v>1472.7361673812975</v>
      </c>
      <c r="D233" s="116">
        <v>1478.3617703768632</v>
      </c>
      <c r="E233" s="116">
        <v>1473.6918620852502</v>
      </c>
      <c r="F233" s="116">
        <v>1473.1811298309256</v>
      </c>
      <c r="G233" s="116">
        <v>1468.1690919651585</v>
      </c>
      <c r="H233" s="116">
        <v>1460.6531780991361</v>
      </c>
      <c r="I233" s="116">
        <v>1455.2373058515052</v>
      </c>
      <c r="J233" s="116">
        <v>1436.9060455770489</v>
      </c>
      <c r="K233" s="116">
        <v>1416.2817757170019</v>
      </c>
      <c r="L233" s="116">
        <v>1403.0429115808893</v>
      </c>
      <c r="M233" s="116">
        <v>1392.5421249879334</v>
      </c>
      <c r="N233" s="116">
        <v>1293.824364150802</v>
      </c>
      <c r="O233" s="116">
        <v>1305.614985242797</v>
      </c>
      <c r="P233" s="116">
        <v>1280.7879074003981</v>
      </c>
      <c r="Q233" s="116">
        <v>1289.1513372817719</v>
      </c>
      <c r="R233" s="116">
        <v>1231.0773382465638</v>
      </c>
      <c r="S233" s="116">
        <v>1328.5574093007799</v>
      </c>
      <c r="T233" s="116">
        <v>1287.3875847455251</v>
      </c>
      <c r="U233" s="116">
        <v>1217.9238280203217</v>
      </c>
      <c r="V233" s="116">
        <v>1289.8895270531586</v>
      </c>
      <c r="W233" s="116">
        <v>1311.606346232094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449.09383670071924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322.2595906282175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1482.6369750457693</v>
      </c>
      <c r="C235" s="101">
        <v>1480.6103391557633</v>
      </c>
      <c r="D235" s="101">
        <v>1478.3617703768634</v>
      </c>
      <c r="E235" s="101">
        <v>1473.6918620852502</v>
      </c>
      <c r="F235" s="101">
        <v>1473.1811298309256</v>
      </c>
      <c r="G235" s="101">
        <v>1468.1690919651585</v>
      </c>
      <c r="H235" s="101">
        <v>1460.6531780991361</v>
      </c>
      <c r="I235" s="101">
        <v>1455.2373058515052</v>
      </c>
      <c r="J235" s="101">
        <v>1436.9060455770489</v>
      </c>
      <c r="K235" s="101">
        <v>1416.2817757170019</v>
      </c>
      <c r="L235" s="101">
        <v>1403.0429115808893</v>
      </c>
      <c r="M235" s="101">
        <v>1392.5421249879334</v>
      </c>
      <c r="N235" s="101">
        <v>1378.632264353377</v>
      </c>
      <c r="O235" s="101">
        <v>1361.0444925756715</v>
      </c>
      <c r="P235" s="101">
        <v>1347.1273105762477</v>
      </c>
      <c r="Q235" s="101">
        <v>1340.2449215971562</v>
      </c>
      <c r="R235" s="101">
        <v>1334.0808398911245</v>
      </c>
      <c r="S235" s="101">
        <v>1328.5574093007799</v>
      </c>
      <c r="T235" s="101">
        <v>1323.6058769473179</v>
      </c>
      <c r="U235" s="101">
        <v>1319.165278266611</v>
      </c>
      <c r="V235" s="101">
        <v>1315.1814785640049</v>
      </c>
      <c r="W235" s="101">
        <v>1311.606346232094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869.784863137927</v>
      </c>
      <c r="O237" s="101">
        <v>858.68866434430038</v>
      </c>
      <c r="P237" s="101">
        <v>849.90825599783511</v>
      </c>
      <c r="Q237" s="101">
        <v>845.56612799820584</v>
      </c>
      <c r="R237" s="101">
        <v>841.67718306221434</v>
      </c>
      <c r="S237" s="101">
        <v>0</v>
      </c>
      <c r="T237" s="101">
        <v>835.06848511858516</v>
      </c>
      <c r="U237" s="101">
        <v>832.26689283352368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284.72974976058663</v>
      </c>
      <c r="C240" s="152">
        <v>284.2575492372406</v>
      </c>
      <c r="D240" s="152">
        <v>291.43747988210043</v>
      </c>
      <c r="E240" s="152">
        <v>296.93774697635473</v>
      </c>
      <c r="F240" s="152">
        <v>299.99264805124903</v>
      </c>
      <c r="G240" s="152">
        <v>303.56909918859304</v>
      </c>
      <c r="H240" s="152">
        <v>302.73265740097861</v>
      </c>
      <c r="I240" s="152">
        <v>301.66668408292855</v>
      </c>
      <c r="J240" s="152">
        <v>285.27881065610143</v>
      </c>
      <c r="K240" s="152">
        <v>278.35293372793819</v>
      </c>
      <c r="L240" s="152">
        <v>267.11251432196195</v>
      </c>
      <c r="M240" s="152">
        <v>258.84726928204117</v>
      </c>
      <c r="N240" s="152">
        <v>247.90826877611508</v>
      </c>
      <c r="O240" s="152">
        <v>245.26619334760517</v>
      </c>
      <c r="P240" s="152">
        <v>239.14258534187488</v>
      </c>
      <c r="Q240" s="152">
        <v>228.19997217282079</v>
      </c>
      <c r="R240" s="152">
        <v>219.54547001188351</v>
      </c>
      <c r="S240" s="152">
        <v>210.73265021678512</v>
      </c>
      <c r="T240" s="152">
        <v>214.42813716342104</v>
      </c>
      <c r="U240" s="152">
        <v>215.19195969601253</v>
      </c>
      <c r="V240" s="152">
        <v>225.43368157371793</v>
      </c>
      <c r="W240" s="152">
        <v>216.94681667241773</v>
      </c>
      <c r="DA240" s="174" t="s">
        <v>945</v>
      </c>
    </row>
    <row r="241" spans="1:105" ht="11.45" customHeight="1" x14ac:dyDescent="0.25">
      <c r="A241" s="111" t="s">
        <v>110</v>
      </c>
      <c r="B241" s="87">
        <v>221.62638199038832</v>
      </c>
      <c r="C241" s="87">
        <v>220.41982795859886</v>
      </c>
      <c r="D241" s="87">
        <v>219.08691471324587</v>
      </c>
      <c r="E241" s="87">
        <v>216.34465971076506</v>
      </c>
      <c r="F241" s="87">
        <v>216.04505994460771</v>
      </c>
      <c r="G241" s="87">
        <v>213.13466221622235</v>
      </c>
      <c r="H241" s="87">
        <v>208.83632271400609</v>
      </c>
      <c r="I241" s="87">
        <v>205.77306796207108</v>
      </c>
      <c r="J241" s="87">
        <v>195.78233290286573</v>
      </c>
      <c r="K241" s="87">
        <v>185.00591274261521</v>
      </c>
      <c r="L241" s="87">
        <v>178.2771465659595</v>
      </c>
      <c r="M241" s="87">
        <v>173.05723386507754</v>
      </c>
      <c r="N241" s="87">
        <v>163.3359210341236</v>
      </c>
      <c r="O241" s="87">
        <v>160.43179836817148</v>
      </c>
      <c r="P241" s="87">
        <v>153.12944666687321</v>
      </c>
      <c r="Q241" s="87">
        <v>142.04309534014243</v>
      </c>
      <c r="R241" s="87">
        <v>137.45064537808636</v>
      </c>
      <c r="S241" s="87">
        <v>141.2793150929825</v>
      </c>
      <c r="T241" s="87">
        <v>158.49911150547041</v>
      </c>
      <c r="U241" s="87">
        <v>168.3934426229508</v>
      </c>
      <c r="V241" s="87">
        <v>158.48514851485149</v>
      </c>
      <c r="W241" s="87">
        <v>162.43157894736839</v>
      </c>
      <c r="DA241" s="171" t="s">
        <v>946</v>
      </c>
    </row>
    <row r="242" spans="1:105" ht="11.45" customHeight="1" x14ac:dyDescent="0.25">
      <c r="A242" s="111" t="s">
        <v>111</v>
      </c>
      <c r="B242" s="87">
        <v>311.9869974813472</v>
      </c>
      <c r="C242" s="87">
        <v>311.83199802351555</v>
      </c>
      <c r="D242" s="87">
        <v>311.65986671757372</v>
      </c>
      <c r="E242" s="87">
        <v>312.36990835458374</v>
      </c>
      <c r="F242" s="87">
        <v>310.30971178659263</v>
      </c>
      <c r="G242" s="87">
        <v>311.23491755602993</v>
      </c>
      <c r="H242" s="87">
        <v>313.23056488429279</v>
      </c>
      <c r="I242" s="87">
        <v>310.34736550976749</v>
      </c>
      <c r="J242" s="87">
        <v>296.34555959206364</v>
      </c>
      <c r="K242" s="87">
        <v>284.69980092443831</v>
      </c>
      <c r="L242" s="87">
        <v>273.76408389382277</v>
      </c>
      <c r="M242" s="87">
        <v>264.31779951963523</v>
      </c>
      <c r="N242" s="87">
        <v>251.55546658944948</v>
      </c>
      <c r="O242" s="87">
        <v>247.08786297295129</v>
      </c>
      <c r="P242" s="87">
        <v>244.83565531386361</v>
      </c>
      <c r="Q242" s="87">
        <v>231.50870827829172</v>
      </c>
      <c r="R242" s="87">
        <v>222.48865662692555</v>
      </c>
      <c r="S242" s="87">
        <v>214.69821884189784</v>
      </c>
      <c r="T242" s="87">
        <v>219.22508136495961</v>
      </c>
      <c r="U242" s="87">
        <v>219.86168132942333</v>
      </c>
      <c r="V242" s="87">
        <v>227.77711082776821</v>
      </c>
      <c r="W242" s="87">
        <v>218.99490822972169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266.7068560497728</v>
      </c>
      <c r="I243" s="87">
        <v>264.25189434822761</v>
      </c>
      <c r="J243" s="87">
        <v>252.32975757747732</v>
      </c>
      <c r="K243" s="87">
        <v>242.41372757030319</v>
      </c>
      <c r="L243" s="87">
        <v>233.1022776836588</v>
      </c>
      <c r="M243" s="87">
        <v>0</v>
      </c>
      <c r="N243" s="87">
        <v>229.95579024585857</v>
      </c>
      <c r="O243" s="87">
        <v>157.97621834023587</v>
      </c>
      <c r="P243" s="87">
        <v>157.97621834023587</v>
      </c>
      <c r="Q243" s="87">
        <v>190.93528547596856</v>
      </c>
      <c r="R243" s="87">
        <v>166.5517749931067</v>
      </c>
      <c r="S243" s="87">
        <v>151.03746736429218</v>
      </c>
      <c r="T243" s="87">
        <v>150.02058144540385</v>
      </c>
      <c r="U243" s="87">
        <v>162.08031673836348</v>
      </c>
      <c r="V243" s="87">
        <v>117.01741170239868</v>
      </c>
      <c r="W243" s="87">
        <v>201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168.97825782997765</v>
      </c>
      <c r="Q244" s="87">
        <v>180.865958240119</v>
      </c>
      <c r="R244" s="87">
        <v>116.19686800894856</v>
      </c>
      <c r="S244" s="87">
        <v>117.92598806860556</v>
      </c>
      <c r="T244" s="87">
        <v>106.51379567486954</v>
      </c>
      <c r="U244" s="87">
        <v>132.5</v>
      </c>
      <c r="V244" s="87">
        <v>204.75</v>
      </c>
      <c r="W244" s="87">
        <v>228.75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853.41686436672433</v>
      </c>
      <c r="C246" s="116">
        <v>856.81092386130842</v>
      </c>
      <c r="D246" s="116">
        <v>855.6325456432379</v>
      </c>
      <c r="E246" s="116">
        <v>847.26211540559564</v>
      </c>
      <c r="F246" s="116">
        <v>867.29915805542237</v>
      </c>
      <c r="G246" s="116">
        <v>838.88924498042138</v>
      </c>
      <c r="H246" s="116">
        <v>847.12165514912681</v>
      </c>
      <c r="I246" s="116">
        <v>811.40720115103647</v>
      </c>
      <c r="J246" s="116">
        <v>802.25161233813969</v>
      </c>
      <c r="K246" s="116">
        <v>764.55708560065659</v>
      </c>
      <c r="L246" s="116">
        <v>785.48574531113547</v>
      </c>
      <c r="M246" s="116">
        <v>783.77737177856716</v>
      </c>
      <c r="N246" s="116">
        <v>774.92111284240093</v>
      </c>
      <c r="O246" s="116">
        <v>746.11601535033356</v>
      </c>
      <c r="P246" s="116">
        <v>728.80811725764067</v>
      </c>
      <c r="Q246" s="116">
        <v>729.58332833401005</v>
      </c>
      <c r="R246" s="116">
        <v>717.05772177102199</v>
      </c>
      <c r="S246" s="116">
        <v>705.36334160565127</v>
      </c>
      <c r="T246" s="116">
        <v>679.94277183789052</v>
      </c>
      <c r="U246" s="116">
        <v>672.28461486144295</v>
      </c>
      <c r="V246" s="116">
        <v>651.36886207345526</v>
      </c>
      <c r="W246" s="116">
        <v>678.66714150956284</v>
      </c>
      <c r="DA246" s="176" t="s">
        <v>951</v>
      </c>
    </row>
    <row r="247" spans="1:105" ht="11.45" customHeight="1" x14ac:dyDescent="0.25">
      <c r="A247" s="128" t="s">
        <v>27</v>
      </c>
      <c r="B247" s="101">
        <v>776.46551082309668</v>
      </c>
      <c r="C247" s="101">
        <v>772.89307797371873</v>
      </c>
      <c r="D247" s="101">
        <v>768.94298207995598</v>
      </c>
      <c r="E247" s="101">
        <v>764.02437743814585</v>
      </c>
      <c r="F247" s="101">
        <v>758.14976231532421</v>
      </c>
      <c r="G247" s="101">
        <v>751.33395885529444</v>
      </c>
      <c r="H247" s="101">
        <v>743.59402064815572</v>
      </c>
      <c r="I247" s="101">
        <v>734.94912768776021</v>
      </c>
      <c r="J247" s="101">
        <v>725.42046990304812</v>
      </c>
      <c r="K247" s="101">
        <v>715.03112054150472</v>
      </c>
      <c r="L247" s="101">
        <v>703.80590079933916</v>
      </c>
      <c r="M247" s="101">
        <v>691.77123711468062</v>
      </c>
      <c r="N247" s="101">
        <v>678.95501259497496</v>
      </c>
      <c r="O247" s="101">
        <v>665.38641406696058</v>
      </c>
      <c r="P247" s="101">
        <v>651.09577620261052</v>
      </c>
      <c r="Q247" s="101">
        <v>636.11442417465003</v>
      </c>
      <c r="R247" s="101">
        <v>626.45061800877772</v>
      </c>
      <c r="S247" s="101">
        <v>619.68595369266711</v>
      </c>
      <c r="T247" s="101">
        <v>612.58305616075108</v>
      </c>
      <c r="U247" s="101">
        <v>603.90173695507588</v>
      </c>
      <c r="V247" s="101">
        <v>601.47458962450435</v>
      </c>
      <c r="W247" s="101">
        <v>595.45984372825933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705</v>
      </c>
      <c r="C4" s="28">
        <f t="shared" ref="C4:V4" si="1">SUM(C5,C6,C9)</f>
        <v>715</v>
      </c>
      <c r="D4" s="28">
        <f t="shared" si="1"/>
        <v>749</v>
      </c>
      <c r="E4" s="28">
        <f t="shared" si="1"/>
        <v>777</v>
      </c>
      <c r="F4" s="28">
        <f t="shared" si="1"/>
        <v>695</v>
      </c>
      <c r="G4" s="28">
        <f t="shared" si="1"/>
        <v>716</v>
      </c>
      <c r="H4" s="28">
        <f t="shared" si="1"/>
        <v>724</v>
      </c>
      <c r="I4" s="28">
        <f t="shared" si="1"/>
        <v>740</v>
      </c>
      <c r="J4" s="28">
        <f t="shared" si="1"/>
        <v>765</v>
      </c>
      <c r="K4" s="28">
        <f t="shared" si="1"/>
        <v>773</v>
      </c>
      <c r="L4" s="28">
        <f t="shared" si="1"/>
        <v>729</v>
      </c>
      <c r="M4" s="28">
        <f t="shared" si="1"/>
        <v>689</v>
      </c>
      <c r="N4" s="28">
        <f t="shared" si="1"/>
        <v>659</v>
      </c>
      <c r="O4" s="28">
        <f t="shared" si="1"/>
        <v>679</v>
      </c>
      <c r="P4" s="28">
        <f t="shared" si="1"/>
        <v>620</v>
      </c>
      <c r="Q4" s="28">
        <f t="shared" si="1"/>
        <v>628</v>
      </c>
      <c r="R4" s="28">
        <f t="shared" si="1"/>
        <v>611</v>
      </c>
      <c r="S4" s="28">
        <f t="shared" si="1"/>
        <v>570</v>
      </c>
      <c r="T4" s="28">
        <f t="shared" si="1"/>
        <v>568</v>
      </c>
      <c r="U4" s="28">
        <f t="shared" si="1"/>
        <v>572</v>
      </c>
      <c r="V4" s="28">
        <f t="shared" si="1"/>
        <v>338</v>
      </c>
      <c r="W4" s="28">
        <f t="shared" ref="W4" si="2">SUM(W5,W6,W9)</f>
        <v>504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705</v>
      </c>
      <c r="C6" s="110">
        <f t="shared" ref="C6:V6" si="4">SUM(C7:C8)</f>
        <v>715</v>
      </c>
      <c r="D6" s="110">
        <f t="shared" si="4"/>
        <v>749</v>
      </c>
      <c r="E6" s="110">
        <f t="shared" si="4"/>
        <v>777</v>
      </c>
      <c r="F6" s="110">
        <f t="shared" si="4"/>
        <v>695</v>
      </c>
      <c r="G6" s="110">
        <f t="shared" si="4"/>
        <v>716</v>
      </c>
      <c r="H6" s="110">
        <f t="shared" si="4"/>
        <v>724</v>
      </c>
      <c r="I6" s="110">
        <f t="shared" si="4"/>
        <v>740</v>
      </c>
      <c r="J6" s="110">
        <f t="shared" si="4"/>
        <v>751</v>
      </c>
      <c r="K6" s="110">
        <f t="shared" si="4"/>
        <v>757</v>
      </c>
      <c r="L6" s="110">
        <f t="shared" si="4"/>
        <v>713.9</v>
      </c>
      <c r="M6" s="110">
        <f t="shared" si="4"/>
        <v>675.66</v>
      </c>
      <c r="N6" s="110">
        <f t="shared" si="4"/>
        <v>647.12</v>
      </c>
      <c r="O6" s="110">
        <f t="shared" si="4"/>
        <v>667.95</v>
      </c>
      <c r="P6" s="110">
        <f t="shared" si="4"/>
        <v>612.29999999999995</v>
      </c>
      <c r="Q6" s="110">
        <f t="shared" si="4"/>
        <v>622.4</v>
      </c>
      <c r="R6" s="110">
        <f t="shared" si="4"/>
        <v>607.1</v>
      </c>
      <c r="S6" s="110">
        <f t="shared" si="4"/>
        <v>568.46</v>
      </c>
      <c r="T6" s="110">
        <f t="shared" si="4"/>
        <v>566.21</v>
      </c>
      <c r="U6" s="110">
        <f t="shared" si="4"/>
        <v>570.26</v>
      </c>
      <c r="V6" s="110">
        <f t="shared" si="4"/>
        <v>337.6</v>
      </c>
      <c r="W6" s="110">
        <f t="shared" ref="W6" si="5">SUM(W7:W8)</f>
        <v>477</v>
      </c>
      <c r="DA6" s="176" t="s">
        <v>377</v>
      </c>
    </row>
    <row r="7" spans="1:105" ht="11.45" customHeight="1" x14ac:dyDescent="0.25">
      <c r="A7" s="111" t="s">
        <v>90</v>
      </c>
      <c r="B7" s="84">
        <v>279.1574589592505</v>
      </c>
      <c r="C7" s="84">
        <v>259.43551735966923</v>
      </c>
      <c r="D7" s="84">
        <v>252.71882640586796</v>
      </c>
      <c r="E7" s="84">
        <v>257.53045712450489</v>
      </c>
      <c r="F7" s="84">
        <v>229.83538915913832</v>
      </c>
      <c r="G7" s="84">
        <v>233.71729556731873</v>
      </c>
      <c r="H7" s="84">
        <v>233.85318107667206</v>
      </c>
      <c r="I7" s="84">
        <v>242.34421099687083</v>
      </c>
      <c r="J7" s="84">
        <v>245.2041991345838</v>
      </c>
      <c r="K7" s="84">
        <v>243.69214824788293</v>
      </c>
      <c r="L7" s="84">
        <v>232.87975637388797</v>
      </c>
      <c r="M7" s="84">
        <v>218.096348170266</v>
      </c>
      <c r="N7" s="84">
        <v>210.65216349354284</v>
      </c>
      <c r="O7" s="84">
        <v>222.50862964069614</v>
      </c>
      <c r="P7" s="84">
        <v>227.28715196952751</v>
      </c>
      <c r="Q7" s="84">
        <v>225.85834807710211</v>
      </c>
      <c r="R7" s="84">
        <v>202.76088398662705</v>
      </c>
      <c r="S7" s="84">
        <v>193.70118729498358</v>
      </c>
      <c r="T7" s="84">
        <v>194.24571074971126</v>
      </c>
      <c r="U7" s="84">
        <v>182.9381511812212</v>
      </c>
      <c r="V7" s="84">
        <v>98.886543575147002</v>
      </c>
      <c r="W7" s="84">
        <v>177.2472260973199</v>
      </c>
      <c r="DA7" s="171" t="s">
        <v>1029</v>
      </c>
    </row>
    <row r="8" spans="1:105" ht="11.45" customHeight="1" x14ac:dyDescent="0.25">
      <c r="A8" s="111" t="s">
        <v>93</v>
      </c>
      <c r="B8" s="84">
        <v>425.8425410407495</v>
      </c>
      <c r="C8" s="84">
        <v>455.56448264033077</v>
      </c>
      <c r="D8" s="84">
        <v>496.28117359413204</v>
      </c>
      <c r="E8" s="84">
        <v>519.46954287549511</v>
      </c>
      <c r="F8" s="84">
        <v>465.16461084086166</v>
      </c>
      <c r="G8" s="84">
        <v>482.28270443268127</v>
      </c>
      <c r="H8" s="84">
        <v>490.14681892332794</v>
      </c>
      <c r="I8" s="84">
        <v>497.65578900312914</v>
      </c>
      <c r="J8" s="84">
        <v>505.7958008654162</v>
      </c>
      <c r="K8" s="84">
        <v>513.30785175211713</v>
      </c>
      <c r="L8" s="84">
        <v>481.02024362611201</v>
      </c>
      <c r="M8" s="84">
        <v>457.563651829734</v>
      </c>
      <c r="N8" s="84">
        <v>436.46783650645716</v>
      </c>
      <c r="O8" s="84">
        <v>445.4413703593039</v>
      </c>
      <c r="P8" s="84">
        <v>385.01284803047247</v>
      </c>
      <c r="Q8" s="84">
        <v>396.54165192289787</v>
      </c>
      <c r="R8" s="84">
        <v>404.33911601337297</v>
      </c>
      <c r="S8" s="84">
        <v>374.75881270501645</v>
      </c>
      <c r="T8" s="84">
        <v>371.96428925028874</v>
      </c>
      <c r="U8" s="84">
        <v>387.32184881877879</v>
      </c>
      <c r="V8" s="84">
        <v>238.71345642485301</v>
      </c>
      <c r="W8" s="84">
        <v>299.75277390268013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14</v>
      </c>
      <c r="K9" s="113">
        <v>16</v>
      </c>
      <c r="L9" s="113">
        <v>15.1</v>
      </c>
      <c r="M9" s="113">
        <v>13.34</v>
      </c>
      <c r="N9" s="113">
        <v>11.88</v>
      </c>
      <c r="O9" s="113">
        <v>11.05</v>
      </c>
      <c r="P9" s="113">
        <v>7.7</v>
      </c>
      <c r="Q9" s="113">
        <v>5.6</v>
      </c>
      <c r="R9" s="113">
        <v>3.9</v>
      </c>
      <c r="S9" s="113">
        <v>1.54</v>
      </c>
      <c r="T9" s="113">
        <v>1.79</v>
      </c>
      <c r="U9" s="113">
        <v>1.74</v>
      </c>
      <c r="V9" s="113">
        <v>0.4</v>
      </c>
      <c r="W9" s="113">
        <v>27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2857</v>
      </c>
      <c r="C10" s="28">
        <f t="shared" ref="C10:V10" si="7">SUM(C11:C12)</f>
        <v>2837</v>
      </c>
      <c r="D10" s="28">
        <f t="shared" si="7"/>
        <v>3078</v>
      </c>
      <c r="E10" s="28">
        <f t="shared" si="7"/>
        <v>3018</v>
      </c>
      <c r="F10" s="28">
        <f t="shared" si="7"/>
        <v>3149</v>
      </c>
      <c r="G10" s="28">
        <f t="shared" si="7"/>
        <v>3245</v>
      </c>
      <c r="H10" s="28">
        <f t="shared" si="7"/>
        <v>3373</v>
      </c>
      <c r="I10" s="28">
        <f t="shared" si="7"/>
        <v>3603</v>
      </c>
      <c r="J10" s="28">
        <f t="shared" si="7"/>
        <v>3520</v>
      </c>
      <c r="K10" s="28">
        <f t="shared" si="7"/>
        <v>2817</v>
      </c>
      <c r="L10" s="28">
        <f t="shared" si="7"/>
        <v>3421</v>
      </c>
      <c r="M10" s="28">
        <f t="shared" si="7"/>
        <v>3752</v>
      </c>
      <c r="N10" s="28">
        <f t="shared" si="7"/>
        <v>3470</v>
      </c>
      <c r="O10" s="28">
        <f t="shared" si="7"/>
        <v>3799</v>
      </c>
      <c r="P10" s="28">
        <f t="shared" si="7"/>
        <v>4110</v>
      </c>
      <c r="Q10" s="28">
        <f t="shared" si="7"/>
        <v>4175</v>
      </c>
      <c r="R10" s="28">
        <f t="shared" si="7"/>
        <v>4360</v>
      </c>
      <c r="S10" s="28">
        <f t="shared" si="7"/>
        <v>5128</v>
      </c>
      <c r="T10" s="28">
        <f t="shared" si="7"/>
        <v>5151</v>
      </c>
      <c r="U10" s="28">
        <f t="shared" si="7"/>
        <v>5292</v>
      </c>
      <c r="V10" s="28">
        <f t="shared" si="7"/>
        <v>4726</v>
      </c>
      <c r="W10" s="28">
        <f t="shared" ref="W10" si="8">SUM(W11:W12)</f>
        <v>4937</v>
      </c>
      <c r="DA10" s="173" t="s">
        <v>383</v>
      </c>
    </row>
    <row r="11" spans="1:105" ht="11.45" customHeight="1" x14ac:dyDescent="0.25">
      <c r="A11" s="83" t="s">
        <v>90</v>
      </c>
      <c r="B11" s="84">
        <v>745.26734532644321</v>
      </c>
      <c r="C11" s="84">
        <v>731.90028452149863</v>
      </c>
      <c r="D11" s="84">
        <v>773.83018214912909</v>
      </c>
      <c r="E11" s="84">
        <v>751.24469490182275</v>
      </c>
      <c r="F11" s="84">
        <v>739.66800381576684</v>
      </c>
      <c r="G11" s="84">
        <v>784.55420340245882</v>
      </c>
      <c r="H11" s="84">
        <v>800.28941588696068</v>
      </c>
      <c r="I11" s="84">
        <v>812.5649877562779</v>
      </c>
      <c r="J11" s="84">
        <v>764.1630981195309</v>
      </c>
      <c r="K11" s="84">
        <v>655.94519084658543</v>
      </c>
      <c r="L11" s="84">
        <v>744.4240608286616</v>
      </c>
      <c r="M11" s="84">
        <v>776.9459228953192</v>
      </c>
      <c r="N11" s="84">
        <v>686.47012896104263</v>
      </c>
      <c r="O11" s="84">
        <v>783.5903289088177</v>
      </c>
      <c r="P11" s="84">
        <v>1185.8614777987311</v>
      </c>
      <c r="Q11" s="84">
        <v>970.43808834178139</v>
      </c>
      <c r="R11" s="84">
        <v>764.75231995817558</v>
      </c>
      <c r="S11" s="84">
        <v>684.89960016140276</v>
      </c>
      <c r="T11" s="84">
        <v>606.46552121475952</v>
      </c>
      <c r="U11" s="84">
        <v>527.14020176344434</v>
      </c>
      <c r="V11" s="84">
        <v>383.46153402869817</v>
      </c>
      <c r="W11" s="84">
        <v>363.97405663836224</v>
      </c>
      <c r="DA11" s="171" t="s">
        <v>1031</v>
      </c>
    </row>
    <row r="12" spans="1:105" ht="11.45" customHeight="1" x14ac:dyDescent="0.25">
      <c r="A12" s="85" t="s">
        <v>93</v>
      </c>
      <c r="B12" s="86">
        <v>2111.7326546735567</v>
      </c>
      <c r="C12" s="86">
        <v>2105.0997154785014</v>
      </c>
      <c r="D12" s="86">
        <v>2304.1698178508709</v>
      </c>
      <c r="E12" s="86">
        <v>2266.7553050981774</v>
      </c>
      <c r="F12" s="86">
        <v>2409.331996184233</v>
      </c>
      <c r="G12" s="86">
        <v>2460.4457965975412</v>
      </c>
      <c r="H12" s="86">
        <v>2572.7105841130392</v>
      </c>
      <c r="I12" s="86">
        <v>2790.4350122437222</v>
      </c>
      <c r="J12" s="86">
        <v>2755.8369018804692</v>
      </c>
      <c r="K12" s="86">
        <v>2161.0548091534147</v>
      </c>
      <c r="L12" s="86">
        <v>2676.5759391713382</v>
      </c>
      <c r="M12" s="86">
        <v>2975.0540771046808</v>
      </c>
      <c r="N12" s="86">
        <v>2783.5298710389575</v>
      </c>
      <c r="O12" s="86">
        <v>3015.4096710911822</v>
      </c>
      <c r="P12" s="86">
        <v>2924.1385222012686</v>
      </c>
      <c r="Q12" s="86">
        <v>3204.5619116582184</v>
      </c>
      <c r="R12" s="86">
        <v>3595.2476800418244</v>
      </c>
      <c r="S12" s="86">
        <v>4443.1003998385968</v>
      </c>
      <c r="T12" s="86">
        <v>4544.5344787852409</v>
      </c>
      <c r="U12" s="86">
        <v>4764.8597982365554</v>
      </c>
      <c r="V12" s="86">
        <v>4342.5384659713018</v>
      </c>
      <c r="W12" s="86">
        <v>4573.0259433616375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10.033932806861991</v>
      </c>
      <c r="C14" s="62">
        <f t="shared" ref="C14:V14" si="10">C15+C21</f>
        <v>10.787725111789499</v>
      </c>
      <c r="D14" s="62">
        <f t="shared" si="10"/>
        <v>11.577817763737915</v>
      </c>
      <c r="E14" s="62">
        <f t="shared" si="10"/>
        <v>12.23627660279649</v>
      </c>
      <c r="F14" s="62">
        <f t="shared" si="10"/>
        <v>13.158168821180791</v>
      </c>
      <c r="G14" s="62">
        <f t="shared" si="10"/>
        <v>13.84131902797003</v>
      </c>
      <c r="H14" s="62">
        <f t="shared" si="10"/>
        <v>14.334603617328277</v>
      </c>
      <c r="I14" s="62">
        <f t="shared" si="10"/>
        <v>14.874843383379901</v>
      </c>
      <c r="J14" s="62">
        <f t="shared" si="10"/>
        <v>14.659379213691187</v>
      </c>
      <c r="K14" s="62">
        <f t="shared" si="10"/>
        <v>12.30515135813139</v>
      </c>
      <c r="L14" s="62">
        <f t="shared" si="10"/>
        <v>13.421933851885786</v>
      </c>
      <c r="M14" s="62">
        <f t="shared" si="10"/>
        <v>13.453151569905216</v>
      </c>
      <c r="N14" s="62">
        <f t="shared" si="10"/>
        <v>13.224009189050131</v>
      </c>
      <c r="O14" s="62">
        <f t="shared" si="10"/>
        <v>13.427808117442638</v>
      </c>
      <c r="P14" s="62">
        <f t="shared" si="10"/>
        <v>13.560772291089588</v>
      </c>
      <c r="Q14" s="62">
        <f t="shared" si="10"/>
        <v>14.789903566534941</v>
      </c>
      <c r="R14" s="62">
        <f t="shared" si="10"/>
        <v>15.386138129253069</v>
      </c>
      <c r="S14" s="62">
        <f t="shared" si="10"/>
        <v>20.334997034040683</v>
      </c>
      <c r="T14" s="62">
        <f t="shared" si="10"/>
        <v>19.785475906079036</v>
      </c>
      <c r="U14" s="62">
        <f t="shared" si="10"/>
        <v>19.287678412219982</v>
      </c>
      <c r="V14" s="62">
        <f t="shared" si="10"/>
        <v>16.801592259466712</v>
      </c>
      <c r="W14" s="62">
        <f t="shared" ref="W14" si="11">W15+W21</f>
        <v>19.183979922776867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5.0065979939136511</v>
      </c>
      <c r="C15" s="29">
        <f t="shared" ref="C15:V15" si="13">SUM(C16,C17,C20)</f>
        <v>5.2218196068414811</v>
      </c>
      <c r="D15" s="29">
        <f t="shared" si="13"/>
        <v>5.5746667687112117</v>
      </c>
      <c r="E15" s="29">
        <f t="shared" si="13"/>
        <v>6.2578153821849458</v>
      </c>
      <c r="F15" s="29">
        <f t="shared" si="13"/>
        <v>6.8305814132068061</v>
      </c>
      <c r="G15" s="29">
        <f t="shared" si="13"/>
        <v>7.2716275551463196</v>
      </c>
      <c r="H15" s="29">
        <f t="shared" si="13"/>
        <v>7.4599718082661841</v>
      </c>
      <c r="I15" s="29">
        <f t="shared" si="13"/>
        <v>7.6873701965920898</v>
      </c>
      <c r="J15" s="29">
        <f t="shared" si="13"/>
        <v>7.7212933683264531</v>
      </c>
      <c r="K15" s="29">
        <f t="shared" si="13"/>
        <v>7.0069341861292926</v>
      </c>
      <c r="L15" s="29">
        <f t="shared" si="13"/>
        <v>6.9773366826824894</v>
      </c>
      <c r="M15" s="29">
        <f t="shared" si="13"/>
        <v>6.2831738962025918</v>
      </c>
      <c r="N15" s="29">
        <f t="shared" si="13"/>
        <v>6.6018944382567657</v>
      </c>
      <c r="O15" s="29">
        <f t="shared" si="13"/>
        <v>6.0863122462037547</v>
      </c>
      <c r="P15" s="29">
        <f t="shared" si="13"/>
        <v>5.6731914853244509</v>
      </c>
      <c r="Q15" s="29">
        <f t="shared" si="13"/>
        <v>6.8672670679974228</v>
      </c>
      <c r="R15" s="29">
        <f t="shared" si="13"/>
        <v>7.0703206170816832</v>
      </c>
      <c r="S15" s="29">
        <f t="shared" si="13"/>
        <v>11.010600169276241</v>
      </c>
      <c r="T15" s="29">
        <f t="shared" si="13"/>
        <v>7.9911147415492252</v>
      </c>
      <c r="U15" s="29">
        <f t="shared" si="13"/>
        <v>7.9399041197813691</v>
      </c>
      <c r="V15" s="29">
        <f t="shared" si="13"/>
        <v>6.188757211668638</v>
      </c>
      <c r="W15" s="29">
        <f t="shared" ref="W15" si="14">SUM(W16,W17,W20)</f>
        <v>8.0207228523939182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5.0065979939136511</v>
      </c>
      <c r="C17" s="116">
        <f t="shared" ref="C17:V17" si="16">SUM(C18:C19)</f>
        <v>5.2218196068414811</v>
      </c>
      <c r="D17" s="116">
        <f t="shared" si="16"/>
        <v>5.5746667687112117</v>
      </c>
      <c r="E17" s="116">
        <f t="shared" si="16"/>
        <v>6.2578153821849458</v>
      </c>
      <c r="F17" s="116">
        <f t="shared" si="16"/>
        <v>6.8305814132068061</v>
      </c>
      <c r="G17" s="116">
        <f t="shared" si="16"/>
        <v>7.2716275551463196</v>
      </c>
      <c r="H17" s="116">
        <f t="shared" si="16"/>
        <v>7.4599718082661841</v>
      </c>
      <c r="I17" s="116">
        <f t="shared" si="16"/>
        <v>7.6873701965920898</v>
      </c>
      <c r="J17" s="116">
        <f t="shared" si="16"/>
        <v>7.6506267016597862</v>
      </c>
      <c r="K17" s="116">
        <f t="shared" si="16"/>
        <v>6.9318753625998806</v>
      </c>
      <c r="L17" s="116">
        <f t="shared" si="16"/>
        <v>6.905781127126934</v>
      </c>
      <c r="M17" s="116">
        <f t="shared" si="16"/>
        <v>6.2211738962025915</v>
      </c>
      <c r="N17" s="116">
        <f t="shared" si="16"/>
        <v>6.5439853473476752</v>
      </c>
      <c r="O17" s="116">
        <f t="shared" si="16"/>
        <v>6.0329372462037547</v>
      </c>
      <c r="P17" s="116">
        <f t="shared" si="16"/>
        <v>5.6352914853244513</v>
      </c>
      <c r="Q17" s="116">
        <f t="shared" si="16"/>
        <v>6.839074760305115</v>
      </c>
      <c r="R17" s="116">
        <f t="shared" si="16"/>
        <v>7.0508806170816829</v>
      </c>
      <c r="S17" s="116">
        <f t="shared" si="16"/>
        <v>11.002891835942908</v>
      </c>
      <c r="T17" s="116">
        <f t="shared" si="16"/>
        <v>7.9816814082158922</v>
      </c>
      <c r="U17" s="116">
        <f t="shared" si="16"/>
        <v>7.9317062031147021</v>
      </c>
      <c r="V17" s="116">
        <f t="shared" si="16"/>
        <v>6.1837270866686378</v>
      </c>
      <c r="W17" s="116">
        <f t="shared" ref="W17" si="17">SUM(W18:W19)</f>
        <v>7.693676461993137</v>
      </c>
      <c r="DA17" s="176" t="s">
        <v>1036</v>
      </c>
    </row>
    <row r="18" spans="1:105" ht="11.45" customHeight="1" x14ac:dyDescent="0.25">
      <c r="A18" s="111" t="s">
        <v>92</v>
      </c>
      <c r="B18" s="87">
        <v>2.155593444062331</v>
      </c>
      <c r="C18" s="87">
        <v>2.1633411410810925</v>
      </c>
      <c r="D18" s="87">
        <v>2.2428119207375814</v>
      </c>
      <c r="E18" s="87">
        <v>2.4644510083179547</v>
      </c>
      <c r="F18" s="87">
        <v>2.3346417888826423</v>
      </c>
      <c r="G18" s="87">
        <v>2.2764746418451134</v>
      </c>
      <c r="H18" s="87">
        <v>2.3364205183601503</v>
      </c>
      <c r="I18" s="87">
        <v>2.4258639674044256</v>
      </c>
      <c r="J18" s="87">
        <v>2.2698508078979751</v>
      </c>
      <c r="K18" s="87">
        <v>2.1964676464709387</v>
      </c>
      <c r="L18" s="87">
        <v>2.0103507258201718</v>
      </c>
      <c r="M18" s="87">
        <v>2.1496093805646805</v>
      </c>
      <c r="N18" s="87">
        <v>1.9652239407928707</v>
      </c>
      <c r="O18" s="87">
        <v>2.2391411741896396</v>
      </c>
      <c r="P18" s="87">
        <v>2.492156263938929</v>
      </c>
      <c r="Q18" s="87">
        <v>2.8165029966980426</v>
      </c>
      <c r="R18" s="87">
        <v>2.5465451935457164</v>
      </c>
      <c r="S18" s="87">
        <v>2.5795634232306379</v>
      </c>
      <c r="T18" s="87">
        <v>2.4513712140507566</v>
      </c>
      <c r="U18" s="87">
        <v>2.2192993205623082</v>
      </c>
      <c r="V18" s="87">
        <v>1.4411833814001587</v>
      </c>
      <c r="W18" s="87">
        <v>2.2194138108845056</v>
      </c>
      <c r="DA18" s="171" t="s">
        <v>1037</v>
      </c>
    </row>
    <row r="19" spans="1:105" ht="11.45" customHeight="1" x14ac:dyDescent="0.25">
      <c r="A19" s="111" t="s">
        <v>93</v>
      </c>
      <c r="B19" s="87">
        <v>2.8510045498513201</v>
      </c>
      <c r="C19" s="87">
        <v>3.0584784657603885</v>
      </c>
      <c r="D19" s="87">
        <v>3.3318548479736303</v>
      </c>
      <c r="E19" s="87">
        <v>3.7933643738669915</v>
      </c>
      <c r="F19" s="87">
        <v>4.4959396243241638</v>
      </c>
      <c r="G19" s="87">
        <v>4.9951529133012063</v>
      </c>
      <c r="H19" s="87">
        <v>5.1235512899060343</v>
      </c>
      <c r="I19" s="87">
        <v>5.2615062291876642</v>
      </c>
      <c r="J19" s="87">
        <v>5.3807758937618111</v>
      </c>
      <c r="K19" s="87">
        <v>4.7354077161289414</v>
      </c>
      <c r="L19" s="87">
        <v>4.8954304013067622</v>
      </c>
      <c r="M19" s="87">
        <v>4.0715645156379114</v>
      </c>
      <c r="N19" s="87">
        <v>4.5787614065548041</v>
      </c>
      <c r="O19" s="87">
        <v>3.7937960720141151</v>
      </c>
      <c r="P19" s="87">
        <v>3.1431352213855224</v>
      </c>
      <c r="Q19" s="87">
        <v>4.0225717636070719</v>
      </c>
      <c r="R19" s="87">
        <v>4.5043354235359665</v>
      </c>
      <c r="S19" s="87">
        <v>8.4233284127122694</v>
      </c>
      <c r="T19" s="87">
        <v>5.5303101941651356</v>
      </c>
      <c r="U19" s="87">
        <v>5.7124068825523935</v>
      </c>
      <c r="V19" s="87">
        <v>4.7425437052684796</v>
      </c>
      <c r="W19" s="87">
        <v>5.4742626511086314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7.0666666666666669E-2</v>
      </c>
      <c r="K20" s="117">
        <v>7.5058823529411775E-2</v>
      </c>
      <c r="L20" s="117">
        <v>7.1555555555555553E-2</v>
      </c>
      <c r="M20" s="117">
        <v>6.2E-2</v>
      </c>
      <c r="N20" s="117">
        <v>5.790909090909091E-2</v>
      </c>
      <c r="O20" s="117">
        <v>5.3374999999999999E-2</v>
      </c>
      <c r="P20" s="117">
        <v>3.7899999999999996E-2</v>
      </c>
      <c r="Q20" s="117">
        <v>2.819230769230769E-2</v>
      </c>
      <c r="R20" s="117">
        <v>1.9439999999999999E-2</v>
      </c>
      <c r="S20" s="117">
        <v>7.7083333333333327E-3</v>
      </c>
      <c r="T20" s="117">
        <v>9.4333333333333335E-3</v>
      </c>
      <c r="U20" s="117">
        <v>8.1979166666666676E-3</v>
      </c>
      <c r="V20" s="117">
        <v>5.0301249999999999E-3</v>
      </c>
      <c r="W20" s="117">
        <v>0.32704639040078093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5.0273348129483386</v>
      </c>
      <c r="C21" s="29">
        <f t="shared" ref="C21:V21" si="19">SUM(C22:C23)</f>
        <v>5.5659055049480166</v>
      </c>
      <c r="D21" s="29">
        <f t="shared" si="19"/>
        <v>6.0031509950267026</v>
      </c>
      <c r="E21" s="29">
        <f t="shared" si="19"/>
        <v>5.9784612206115444</v>
      </c>
      <c r="F21" s="29">
        <f t="shared" si="19"/>
        <v>6.3275874079739838</v>
      </c>
      <c r="G21" s="29">
        <f t="shared" si="19"/>
        <v>6.5696914728237106</v>
      </c>
      <c r="H21" s="29">
        <f t="shared" si="19"/>
        <v>6.8746318090620919</v>
      </c>
      <c r="I21" s="29">
        <f t="shared" si="19"/>
        <v>7.1874731867878117</v>
      </c>
      <c r="J21" s="29">
        <f t="shared" si="19"/>
        <v>6.9380858453647338</v>
      </c>
      <c r="K21" s="29">
        <f t="shared" si="19"/>
        <v>5.2982171720020972</v>
      </c>
      <c r="L21" s="29">
        <f t="shared" si="19"/>
        <v>6.4445971692032975</v>
      </c>
      <c r="M21" s="29">
        <f t="shared" si="19"/>
        <v>7.1699776737026237</v>
      </c>
      <c r="N21" s="29">
        <f t="shared" si="19"/>
        <v>6.6221147507933651</v>
      </c>
      <c r="O21" s="29">
        <f t="shared" si="19"/>
        <v>7.3414958712388838</v>
      </c>
      <c r="P21" s="29">
        <f t="shared" si="19"/>
        <v>7.8875808057651371</v>
      </c>
      <c r="Q21" s="29">
        <f t="shared" si="19"/>
        <v>7.9226364985375177</v>
      </c>
      <c r="R21" s="29">
        <f t="shared" si="19"/>
        <v>8.3158175121713853</v>
      </c>
      <c r="S21" s="29">
        <f t="shared" si="19"/>
        <v>9.3243968647644433</v>
      </c>
      <c r="T21" s="29">
        <f t="shared" si="19"/>
        <v>11.794361164529809</v>
      </c>
      <c r="U21" s="29">
        <f t="shared" si="19"/>
        <v>11.347774292438613</v>
      </c>
      <c r="V21" s="29">
        <f t="shared" si="19"/>
        <v>10.612835047798075</v>
      </c>
      <c r="W21" s="29">
        <f t="shared" ref="W21" si="20">SUM(W22:W23)</f>
        <v>11.163257070382949</v>
      </c>
      <c r="DA21" s="173" t="s">
        <v>1040</v>
      </c>
    </row>
    <row r="22" spans="1:105" ht="11.45" customHeight="1" x14ac:dyDescent="0.25">
      <c r="A22" s="83" t="s">
        <v>92</v>
      </c>
      <c r="B22" s="87">
        <v>1.0774869359665986</v>
      </c>
      <c r="C22" s="87">
        <v>1.1027996642170252</v>
      </c>
      <c r="D22" s="87">
        <v>1.2737379100771693</v>
      </c>
      <c r="E22" s="87">
        <v>1.199642250407404</v>
      </c>
      <c r="F22" s="87">
        <v>1.2934947411430571</v>
      </c>
      <c r="G22" s="87">
        <v>1.3410787717934882</v>
      </c>
      <c r="H22" s="87">
        <v>1.3275151989692597</v>
      </c>
      <c r="I22" s="87">
        <v>1.3243550297061673</v>
      </c>
      <c r="J22" s="87">
        <v>1.0280007256192003</v>
      </c>
      <c r="K22" s="87">
        <v>0.87964485382943525</v>
      </c>
      <c r="L22" s="87">
        <v>0.9904524343854223</v>
      </c>
      <c r="M22" s="87">
        <v>1.1902937168226104</v>
      </c>
      <c r="N22" s="87">
        <v>1.0775670198069278</v>
      </c>
      <c r="O22" s="87">
        <v>1.2168446667543218</v>
      </c>
      <c r="P22" s="87">
        <v>1.8310002972281849</v>
      </c>
      <c r="Q22" s="87">
        <v>1.5285712106378493</v>
      </c>
      <c r="R22" s="87">
        <v>1.2113708567500108</v>
      </c>
      <c r="S22" s="87">
        <v>1.0196800111785287</v>
      </c>
      <c r="T22" s="87">
        <v>0.88795862955144078</v>
      </c>
      <c r="U22" s="87">
        <v>0.76016252493466596</v>
      </c>
      <c r="V22" s="87">
        <v>0.64096183712594934</v>
      </c>
      <c r="W22" s="87">
        <v>0.57261852929786072</v>
      </c>
      <c r="DA22" s="171" t="s">
        <v>1041</v>
      </c>
    </row>
    <row r="23" spans="1:105" ht="11.45" customHeight="1" x14ac:dyDescent="0.25">
      <c r="A23" s="85" t="s">
        <v>93</v>
      </c>
      <c r="B23" s="88">
        <v>3.9498478769817402</v>
      </c>
      <c r="C23" s="88">
        <v>4.4631058407309911</v>
      </c>
      <c r="D23" s="88">
        <v>4.7294130849495328</v>
      </c>
      <c r="E23" s="88">
        <v>4.7788189702041404</v>
      </c>
      <c r="F23" s="88">
        <v>5.0340926668309267</v>
      </c>
      <c r="G23" s="88">
        <v>5.2286127010302224</v>
      </c>
      <c r="H23" s="88">
        <v>5.5471166100928322</v>
      </c>
      <c r="I23" s="88">
        <v>5.8631181570816446</v>
      </c>
      <c r="J23" s="88">
        <v>5.9100851197455331</v>
      </c>
      <c r="K23" s="88">
        <v>4.4185723181726617</v>
      </c>
      <c r="L23" s="88">
        <v>5.4541447348178753</v>
      </c>
      <c r="M23" s="88">
        <v>5.9796839568800131</v>
      </c>
      <c r="N23" s="88">
        <v>5.5445477309864373</v>
      </c>
      <c r="O23" s="88">
        <v>6.1246512044845618</v>
      </c>
      <c r="P23" s="88">
        <v>6.0565805085369524</v>
      </c>
      <c r="Q23" s="88">
        <v>6.394065287899668</v>
      </c>
      <c r="R23" s="88">
        <v>7.1044466554213743</v>
      </c>
      <c r="S23" s="88">
        <v>8.3047168535859139</v>
      </c>
      <c r="T23" s="88">
        <v>10.906402534978367</v>
      </c>
      <c r="U23" s="88">
        <v>10.587611767503947</v>
      </c>
      <c r="V23" s="88">
        <v>9.9718732106721255</v>
      </c>
      <c r="W23" s="88">
        <v>10.590638541085088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58.513994999999994</v>
      </c>
      <c r="C25" s="62">
        <f t="shared" ref="C25:V25" si="22">C26+C32</f>
        <v>62.641661000000006</v>
      </c>
      <c r="D25" s="62">
        <f t="shared" si="22"/>
        <v>67.180202000000008</v>
      </c>
      <c r="E25" s="62">
        <f t="shared" si="22"/>
        <v>71.611077000000009</v>
      </c>
      <c r="F25" s="62">
        <f t="shared" si="22"/>
        <v>77.175148000000007</v>
      </c>
      <c r="G25" s="62">
        <f t="shared" si="22"/>
        <v>81.325975999999997</v>
      </c>
      <c r="H25" s="62">
        <f t="shared" si="22"/>
        <v>84.106305999999989</v>
      </c>
      <c r="I25" s="62">
        <f t="shared" si="22"/>
        <v>87.186503000000016</v>
      </c>
      <c r="J25" s="62">
        <f t="shared" si="22"/>
        <v>86.79467600000001</v>
      </c>
      <c r="K25" s="62">
        <f t="shared" si="22"/>
        <v>81.900879000000003</v>
      </c>
      <c r="L25" s="62">
        <f t="shared" si="22"/>
        <v>78.481610999999987</v>
      </c>
      <c r="M25" s="62">
        <f t="shared" si="22"/>
        <v>81.082951000000008</v>
      </c>
      <c r="N25" s="62">
        <f t="shared" si="22"/>
        <v>77.129590000000007</v>
      </c>
      <c r="O25" s="62">
        <f t="shared" si="22"/>
        <v>80.42629500000001</v>
      </c>
      <c r="P25" s="62">
        <f t="shared" si="22"/>
        <v>82.942818000000003</v>
      </c>
      <c r="Q25" s="62">
        <f t="shared" si="22"/>
        <v>86.347217000000001</v>
      </c>
      <c r="R25" s="62">
        <f t="shared" si="22"/>
        <v>91.135075999999998</v>
      </c>
      <c r="S25" s="62">
        <f t="shared" si="22"/>
        <v>122.58176899999998</v>
      </c>
      <c r="T25" s="62">
        <f t="shared" si="22"/>
        <v>132.29617000000002</v>
      </c>
      <c r="U25" s="62">
        <f t="shared" si="22"/>
        <v>126.82574199999999</v>
      </c>
      <c r="V25" s="62">
        <f t="shared" si="22"/>
        <v>120.974344</v>
      </c>
      <c r="W25" s="62">
        <f t="shared" ref="W25" si="23">W26+W32</f>
        <v>122.41270399999999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33.377319999999997</v>
      </c>
      <c r="C26" s="29">
        <f t="shared" ref="C26:V26" si="25">SUM(C27,C28,C31)</f>
        <v>34.812132000000005</v>
      </c>
      <c r="D26" s="29">
        <f t="shared" si="25"/>
        <v>37.164445999999998</v>
      </c>
      <c r="E26" s="29">
        <f t="shared" si="25"/>
        <v>41.718770000000006</v>
      </c>
      <c r="F26" s="29">
        <f t="shared" si="25"/>
        <v>45.537210000000002</v>
      </c>
      <c r="G26" s="29">
        <f t="shared" si="25"/>
        <v>48.477517999999989</v>
      </c>
      <c r="H26" s="29">
        <f t="shared" si="25"/>
        <v>49.733145999999991</v>
      </c>
      <c r="I26" s="29">
        <f t="shared" si="25"/>
        <v>51.249136000000007</v>
      </c>
      <c r="J26" s="29">
        <f t="shared" si="25"/>
        <v>51.161217000000001</v>
      </c>
      <c r="K26" s="29">
        <f t="shared" si="25"/>
        <v>48.781086999999999</v>
      </c>
      <c r="L26" s="29">
        <f t="shared" si="25"/>
        <v>46.205339999999993</v>
      </c>
      <c r="M26" s="29">
        <f t="shared" si="25"/>
        <v>45.233062000000004</v>
      </c>
      <c r="N26" s="29">
        <f t="shared" si="25"/>
        <v>43.793368000000001</v>
      </c>
      <c r="O26" s="29">
        <f t="shared" si="25"/>
        <v>43.718814000000002</v>
      </c>
      <c r="P26" s="29">
        <f t="shared" si="25"/>
        <v>43.504913000000002</v>
      </c>
      <c r="Q26" s="29">
        <f t="shared" si="25"/>
        <v>45.760631000000004</v>
      </c>
      <c r="R26" s="29">
        <f t="shared" si="25"/>
        <v>47.535325999999998</v>
      </c>
      <c r="S26" s="29">
        <f t="shared" si="25"/>
        <v>73.519410999999991</v>
      </c>
      <c r="T26" s="29">
        <f t="shared" si="25"/>
        <v>70.764127000000002</v>
      </c>
      <c r="U26" s="29">
        <f t="shared" si="25"/>
        <v>67.426395999999997</v>
      </c>
      <c r="V26" s="29">
        <f t="shared" si="25"/>
        <v>64.088664999999992</v>
      </c>
      <c r="W26" s="29">
        <f t="shared" ref="W26" si="26">SUM(W27,W28,W31)</f>
        <v>64.075710000000001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33.377319999999997</v>
      </c>
      <c r="C28" s="116">
        <f t="shared" ref="C28:V28" si="28">SUM(C29:C30)</f>
        <v>34.812132000000005</v>
      </c>
      <c r="D28" s="116">
        <f t="shared" si="28"/>
        <v>37.164445999999998</v>
      </c>
      <c r="E28" s="116">
        <f t="shared" si="28"/>
        <v>41.718770000000006</v>
      </c>
      <c r="F28" s="116">
        <f t="shared" si="28"/>
        <v>45.537210000000002</v>
      </c>
      <c r="G28" s="116">
        <f t="shared" si="28"/>
        <v>48.477517999999989</v>
      </c>
      <c r="H28" s="116">
        <f t="shared" si="28"/>
        <v>49.733145999999991</v>
      </c>
      <c r="I28" s="116">
        <f t="shared" si="28"/>
        <v>51.249136000000007</v>
      </c>
      <c r="J28" s="116">
        <f t="shared" si="28"/>
        <v>51.004179000000001</v>
      </c>
      <c r="K28" s="116">
        <f t="shared" si="28"/>
        <v>48.614288999999999</v>
      </c>
      <c r="L28" s="116">
        <f t="shared" si="28"/>
        <v>46.038541999999993</v>
      </c>
      <c r="M28" s="116">
        <f t="shared" si="28"/>
        <v>45.066264000000004</v>
      </c>
      <c r="N28" s="116">
        <f t="shared" si="28"/>
        <v>43.626570000000001</v>
      </c>
      <c r="O28" s="116">
        <f t="shared" si="28"/>
        <v>43.552016000000002</v>
      </c>
      <c r="P28" s="116">
        <f t="shared" si="28"/>
        <v>43.338115000000002</v>
      </c>
      <c r="Q28" s="116">
        <f t="shared" si="28"/>
        <v>45.593833000000004</v>
      </c>
      <c r="R28" s="116">
        <f t="shared" si="28"/>
        <v>47.368527999999998</v>
      </c>
      <c r="S28" s="116">
        <f t="shared" si="28"/>
        <v>73.352612999999991</v>
      </c>
      <c r="T28" s="116">
        <f t="shared" si="28"/>
        <v>70.597329000000002</v>
      </c>
      <c r="U28" s="116">
        <f t="shared" si="28"/>
        <v>67.259597999999997</v>
      </c>
      <c r="V28" s="116">
        <f t="shared" si="28"/>
        <v>63.921866999999999</v>
      </c>
      <c r="W28" s="116">
        <f t="shared" ref="W28" si="29">SUM(W29:W30)</f>
        <v>63.348939999999999</v>
      </c>
      <c r="DA28" s="176" t="s">
        <v>1046</v>
      </c>
    </row>
    <row r="29" spans="1:105" ht="11.45" customHeight="1" x14ac:dyDescent="0.25">
      <c r="A29" s="111" t="s">
        <v>92</v>
      </c>
      <c r="B29" s="87">
        <v>14.370622999999998</v>
      </c>
      <c r="C29" s="87">
        <v>14.422274999999999</v>
      </c>
      <c r="D29" s="87">
        <v>14.952079999999999</v>
      </c>
      <c r="E29" s="87">
        <v>16.429674000000002</v>
      </c>
      <c r="F29" s="87">
        <v>15.564278999999999</v>
      </c>
      <c r="G29" s="87">
        <v>15.176497999999999</v>
      </c>
      <c r="H29" s="87">
        <v>15.576136999999999</v>
      </c>
      <c r="I29" s="87">
        <v>16.172427000000003</v>
      </c>
      <c r="J29" s="87">
        <v>15.132339</v>
      </c>
      <c r="K29" s="87">
        <v>14.643117999999999</v>
      </c>
      <c r="L29" s="87">
        <v>13.402339</v>
      </c>
      <c r="M29" s="87">
        <v>14.330729999999999</v>
      </c>
      <c r="N29" s="87">
        <v>13.101493</v>
      </c>
      <c r="O29" s="87">
        <v>14.927607999999999</v>
      </c>
      <c r="P29" s="87">
        <v>16.614376</v>
      </c>
      <c r="Q29" s="87">
        <v>18.776687000000003</v>
      </c>
      <c r="R29" s="87">
        <v>17.339625000000002</v>
      </c>
      <c r="S29" s="87">
        <v>17.197089999999999</v>
      </c>
      <c r="T29" s="87">
        <v>16.342475</v>
      </c>
      <c r="U29" s="87">
        <v>14.905412999999999</v>
      </c>
      <c r="V29" s="87">
        <v>13.468350999999998</v>
      </c>
      <c r="W29" s="87">
        <v>14.796092999999999</v>
      </c>
      <c r="DA29" s="171" t="s">
        <v>1047</v>
      </c>
    </row>
    <row r="30" spans="1:105" ht="11.45" customHeight="1" x14ac:dyDescent="0.25">
      <c r="A30" s="111" t="s">
        <v>93</v>
      </c>
      <c r="B30" s="87">
        <v>19.006697000000003</v>
      </c>
      <c r="C30" s="87">
        <v>20.389857000000003</v>
      </c>
      <c r="D30" s="87">
        <v>22.212365999999999</v>
      </c>
      <c r="E30" s="87">
        <v>25.289096000000001</v>
      </c>
      <c r="F30" s="87">
        <v>29.972931000000003</v>
      </c>
      <c r="G30" s="87">
        <v>33.301019999999994</v>
      </c>
      <c r="H30" s="87">
        <v>34.157008999999995</v>
      </c>
      <c r="I30" s="87">
        <v>35.076709000000001</v>
      </c>
      <c r="J30" s="87">
        <v>35.871839999999999</v>
      </c>
      <c r="K30" s="87">
        <v>33.971170999999998</v>
      </c>
      <c r="L30" s="87">
        <v>32.636202999999995</v>
      </c>
      <c r="M30" s="87">
        <v>30.735534000000001</v>
      </c>
      <c r="N30" s="87">
        <v>30.525077</v>
      </c>
      <c r="O30" s="87">
        <v>28.624408000000003</v>
      </c>
      <c r="P30" s="87">
        <v>26.723739000000002</v>
      </c>
      <c r="Q30" s="87">
        <v>26.817146000000001</v>
      </c>
      <c r="R30" s="87">
        <v>30.028903</v>
      </c>
      <c r="S30" s="87">
        <v>56.155522999999995</v>
      </c>
      <c r="T30" s="87">
        <v>54.254853999999995</v>
      </c>
      <c r="U30" s="87">
        <v>52.354184999999994</v>
      </c>
      <c r="V30" s="87">
        <v>50.453516</v>
      </c>
      <c r="W30" s="87">
        <v>48.552847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0.15703800000000001</v>
      </c>
      <c r="K31" s="117">
        <v>0.166798</v>
      </c>
      <c r="L31" s="117">
        <v>0.166798</v>
      </c>
      <c r="M31" s="117">
        <v>0.166798</v>
      </c>
      <c r="N31" s="117">
        <v>0.166798</v>
      </c>
      <c r="O31" s="117">
        <v>0.166798</v>
      </c>
      <c r="P31" s="117">
        <v>0.166798</v>
      </c>
      <c r="Q31" s="117">
        <v>0.166798</v>
      </c>
      <c r="R31" s="117">
        <v>0.166798</v>
      </c>
      <c r="S31" s="117">
        <v>0.166798</v>
      </c>
      <c r="T31" s="117">
        <v>0.166798</v>
      </c>
      <c r="U31" s="117">
        <v>0.166798</v>
      </c>
      <c r="V31" s="117">
        <v>0.166798</v>
      </c>
      <c r="W31" s="117">
        <v>0.72677000000000003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25.136675</v>
      </c>
      <c r="C32" s="29">
        <f t="shared" ref="C32:V32" si="31">SUM(C33:C34)</f>
        <v>27.829529000000001</v>
      </c>
      <c r="D32" s="29">
        <f t="shared" si="31"/>
        <v>30.015756000000003</v>
      </c>
      <c r="E32" s="29">
        <f t="shared" si="31"/>
        <v>29.892307000000002</v>
      </c>
      <c r="F32" s="29">
        <f t="shared" si="31"/>
        <v>31.637938000000002</v>
      </c>
      <c r="G32" s="29">
        <f t="shared" si="31"/>
        <v>32.848458000000001</v>
      </c>
      <c r="H32" s="29">
        <f t="shared" si="31"/>
        <v>34.373159999999999</v>
      </c>
      <c r="I32" s="29">
        <f t="shared" si="31"/>
        <v>35.937367000000002</v>
      </c>
      <c r="J32" s="29">
        <f t="shared" si="31"/>
        <v>35.633459000000002</v>
      </c>
      <c r="K32" s="29">
        <f t="shared" si="31"/>
        <v>33.119792000000004</v>
      </c>
      <c r="L32" s="29">
        <f t="shared" si="31"/>
        <v>32.276271000000001</v>
      </c>
      <c r="M32" s="29">
        <f t="shared" si="31"/>
        <v>35.849889000000005</v>
      </c>
      <c r="N32" s="29">
        <f t="shared" si="31"/>
        <v>33.336221999999999</v>
      </c>
      <c r="O32" s="29">
        <f t="shared" si="31"/>
        <v>36.707481000000001</v>
      </c>
      <c r="P32" s="29">
        <f t="shared" si="31"/>
        <v>39.437905000000001</v>
      </c>
      <c r="Q32" s="29">
        <f t="shared" si="31"/>
        <v>40.586585999999997</v>
      </c>
      <c r="R32" s="29">
        <f t="shared" si="31"/>
        <v>43.59975</v>
      </c>
      <c r="S32" s="29">
        <f t="shared" si="31"/>
        <v>49.062357999999996</v>
      </c>
      <c r="T32" s="29">
        <f t="shared" si="31"/>
        <v>61.532043000000002</v>
      </c>
      <c r="U32" s="29">
        <f t="shared" si="31"/>
        <v>59.399345999999994</v>
      </c>
      <c r="V32" s="29">
        <f t="shared" si="31"/>
        <v>56.885679000000003</v>
      </c>
      <c r="W32" s="29">
        <f t="shared" ref="W32" si="32">SUM(W33:W34)</f>
        <v>58.336993999999997</v>
      </c>
      <c r="DA32" s="173" t="s">
        <v>1050</v>
      </c>
    </row>
    <row r="33" spans="1:105" ht="11.45" customHeight="1" x14ac:dyDescent="0.25">
      <c r="A33" s="83" t="s">
        <v>92</v>
      </c>
      <c r="B33" s="87">
        <v>5.387435</v>
      </c>
      <c r="C33" s="87">
        <v>5.5139990000000001</v>
      </c>
      <c r="D33" s="87">
        <v>6.36869</v>
      </c>
      <c r="E33" s="87">
        <v>5.9982120000000005</v>
      </c>
      <c r="F33" s="87">
        <v>6.4674740000000002</v>
      </c>
      <c r="G33" s="87">
        <v>6.7053940000000001</v>
      </c>
      <c r="H33" s="87">
        <v>6.6375760000000001</v>
      </c>
      <c r="I33" s="87">
        <v>6.6217760000000006</v>
      </c>
      <c r="J33" s="87">
        <v>6.0830330000000004</v>
      </c>
      <c r="K33" s="87">
        <v>5.5442900000000002</v>
      </c>
      <c r="L33" s="87">
        <v>5.005547</v>
      </c>
      <c r="M33" s="87">
        <v>5.9514690000000003</v>
      </c>
      <c r="N33" s="87">
        <v>5.4127260000000001</v>
      </c>
      <c r="O33" s="87">
        <v>6.0842239999999999</v>
      </c>
      <c r="P33" s="87">
        <v>9.1550019999999996</v>
      </c>
      <c r="Q33" s="87">
        <v>8.6162589999999994</v>
      </c>
      <c r="R33" s="87">
        <v>8.0775159999999993</v>
      </c>
      <c r="S33" s="87">
        <v>7.5387729999999999</v>
      </c>
      <c r="T33" s="87">
        <v>7.0000299999999998</v>
      </c>
      <c r="U33" s="87">
        <v>6.4612870000000004</v>
      </c>
      <c r="V33" s="87">
        <v>5.9225440000000003</v>
      </c>
      <c r="W33" s="87">
        <v>5.3838010000000001</v>
      </c>
      <c r="DA33" s="171" t="s">
        <v>1051</v>
      </c>
    </row>
    <row r="34" spans="1:105" ht="11.45" customHeight="1" x14ac:dyDescent="0.25">
      <c r="A34" s="85" t="s">
        <v>93</v>
      </c>
      <c r="B34" s="88">
        <v>19.74924</v>
      </c>
      <c r="C34" s="88">
        <v>22.315530000000003</v>
      </c>
      <c r="D34" s="88">
        <v>23.647066000000002</v>
      </c>
      <c r="E34" s="88">
        <v>23.894095</v>
      </c>
      <c r="F34" s="88">
        <v>25.170464000000003</v>
      </c>
      <c r="G34" s="88">
        <v>26.143064000000003</v>
      </c>
      <c r="H34" s="88">
        <v>27.735583999999999</v>
      </c>
      <c r="I34" s="88">
        <v>29.315591000000001</v>
      </c>
      <c r="J34" s="88">
        <v>29.550426000000002</v>
      </c>
      <c r="K34" s="88">
        <v>27.575502</v>
      </c>
      <c r="L34" s="88">
        <v>27.270724000000001</v>
      </c>
      <c r="M34" s="88">
        <v>29.898420000000002</v>
      </c>
      <c r="N34" s="88">
        <v>27.923496</v>
      </c>
      <c r="O34" s="88">
        <v>30.623257000000002</v>
      </c>
      <c r="P34" s="88">
        <v>30.282903000000001</v>
      </c>
      <c r="Q34" s="88">
        <v>31.970327000000001</v>
      </c>
      <c r="R34" s="88">
        <v>35.522233999999997</v>
      </c>
      <c r="S34" s="88">
        <v>41.523584999999997</v>
      </c>
      <c r="T34" s="88">
        <v>54.532012999999999</v>
      </c>
      <c r="U34" s="88">
        <v>52.938058999999996</v>
      </c>
      <c r="V34" s="88">
        <v>50.963135000000001</v>
      </c>
      <c r="W34" s="88">
        <v>52.953192999999999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6.1553880000000012</v>
      </c>
      <c r="D36" s="54">
        <f t="shared" ref="D36:V36" si="34">D37+D43</f>
        <v>6.566262999999994</v>
      </c>
      <c r="E36" s="54">
        <f t="shared" si="34"/>
        <v>6.6085150000000006</v>
      </c>
      <c r="F36" s="54">
        <f t="shared" si="34"/>
        <v>7.9764450000000018</v>
      </c>
      <c r="G36" s="54">
        <f t="shared" si="34"/>
        <v>6.1785499999999924</v>
      </c>
      <c r="H36" s="54">
        <f t="shared" si="34"/>
        <v>4.808052</v>
      </c>
      <c r="I36" s="54">
        <f t="shared" si="34"/>
        <v>5.1079190000000132</v>
      </c>
      <c r="J36" s="54">
        <f t="shared" si="34"/>
        <v>2.5134229999999995</v>
      </c>
      <c r="K36" s="54">
        <f t="shared" si="34"/>
        <v>9.7599999999999909E-3</v>
      </c>
      <c r="L36" s="54">
        <f t="shared" si="34"/>
        <v>0.43907300000000049</v>
      </c>
      <c r="M36" s="54">
        <f t="shared" si="34"/>
        <v>5.9471629999999998</v>
      </c>
      <c r="N36" s="54">
        <f t="shared" si="34"/>
        <v>0.37211099999999675</v>
      </c>
      <c r="O36" s="54">
        <f t="shared" si="34"/>
        <v>6.6425280000000013</v>
      </c>
      <c r="P36" s="54">
        <f t="shared" si="34"/>
        <v>5.8623459999999996</v>
      </c>
      <c r="Q36" s="54">
        <f t="shared" si="34"/>
        <v>5.7503040000000034</v>
      </c>
      <c r="R36" s="54">
        <f t="shared" si="34"/>
        <v>8.0900829999999928</v>
      </c>
      <c r="S36" s="54">
        <f t="shared" si="34"/>
        <v>33.792597999999998</v>
      </c>
      <c r="T36" s="54">
        <f t="shared" si="34"/>
        <v>13.752279000000001</v>
      </c>
      <c r="U36" s="54">
        <f t="shared" si="34"/>
        <v>0</v>
      </c>
      <c r="V36" s="54">
        <f t="shared" si="34"/>
        <v>0</v>
      </c>
      <c r="W36" s="54">
        <f t="shared" ref="W36" si="35">W37+W43</f>
        <v>5.1023659999999982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2.4981229999999996</v>
      </c>
      <c r="D37" s="28">
        <f t="shared" ref="D37:V37" si="37">SUM(D38,D39,D42)</f>
        <v>3.415624999999995</v>
      </c>
      <c r="E37" s="28">
        <f t="shared" si="37"/>
        <v>5.6176350000000035</v>
      </c>
      <c r="F37" s="28">
        <f t="shared" si="37"/>
        <v>5.2664030000000004</v>
      </c>
      <c r="G37" s="28">
        <f t="shared" si="37"/>
        <v>4.0036189999999934</v>
      </c>
      <c r="H37" s="28">
        <f t="shared" si="37"/>
        <v>2.3189390000000039</v>
      </c>
      <c r="I37" s="28">
        <f t="shared" si="37"/>
        <v>2.5793010000000116</v>
      </c>
      <c r="J37" s="28">
        <f t="shared" si="37"/>
        <v>1.5347369999999998</v>
      </c>
      <c r="K37" s="28">
        <f t="shared" si="37"/>
        <v>9.7599999999999909E-3</v>
      </c>
      <c r="L37" s="28">
        <f t="shared" si="37"/>
        <v>0</v>
      </c>
      <c r="M37" s="28">
        <f t="shared" si="37"/>
        <v>1.4091339999999999</v>
      </c>
      <c r="N37" s="28">
        <f t="shared" si="37"/>
        <v>0.37211099999999675</v>
      </c>
      <c r="O37" s="28">
        <f t="shared" si="37"/>
        <v>2.3068580000000001</v>
      </c>
      <c r="P37" s="28">
        <f t="shared" si="37"/>
        <v>2.1675110000000011</v>
      </c>
      <c r="Q37" s="28">
        <f t="shared" si="37"/>
        <v>3.3190290000000005</v>
      </c>
      <c r="R37" s="28">
        <f t="shared" si="37"/>
        <v>3.7943249999999971</v>
      </c>
      <c r="S37" s="28">
        <f t="shared" si="37"/>
        <v>27.047395999999996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2.3684570000000011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2.4981229999999996</v>
      </c>
      <c r="D39" s="110">
        <f t="shared" ref="D39:V39" si="40">SUM(D40:D41)</f>
        <v>3.415624999999995</v>
      </c>
      <c r="E39" s="110">
        <f t="shared" si="40"/>
        <v>5.6176350000000035</v>
      </c>
      <c r="F39" s="110">
        <f t="shared" si="40"/>
        <v>5.2664030000000004</v>
      </c>
      <c r="G39" s="110">
        <f t="shared" si="40"/>
        <v>4.0036189999999934</v>
      </c>
      <c r="H39" s="110">
        <f t="shared" si="40"/>
        <v>2.3189390000000039</v>
      </c>
      <c r="I39" s="110">
        <f t="shared" si="40"/>
        <v>2.5793010000000116</v>
      </c>
      <c r="J39" s="110">
        <f t="shared" si="40"/>
        <v>1.3776989999999998</v>
      </c>
      <c r="K39" s="110">
        <f t="shared" si="40"/>
        <v>0</v>
      </c>
      <c r="L39" s="110">
        <f t="shared" si="40"/>
        <v>0</v>
      </c>
      <c r="M39" s="110">
        <f t="shared" si="40"/>
        <v>1.4091339999999999</v>
      </c>
      <c r="N39" s="110">
        <f t="shared" si="40"/>
        <v>0.37211099999999675</v>
      </c>
      <c r="O39" s="110">
        <f t="shared" si="40"/>
        <v>2.3068580000000001</v>
      </c>
      <c r="P39" s="110">
        <f t="shared" si="40"/>
        <v>2.1675110000000011</v>
      </c>
      <c r="Q39" s="110">
        <f t="shared" si="40"/>
        <v>3.3190290000000005</v>
      </c>
      <c r="R39" s="110">
        <f t="shared" si="40"/>
        <v>3.7943249999999971</v>
      </c>
      <c r="S39" s="110">
        <f t="shared" si="40"/>
        <v>27.047395999999996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1.808485000000001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0.53239500000000106</v>
      </c>
      <c r="D40" s="84">
        <v>1.010548</v>
      </c>
      <c r="E40" s="84">
        <v>1.9583370000000038</v>
      </c>
      <c r="F40" s="84">
        <v>0</v>
      </c>
      <c r="G40" s="84">
        <v>9.2961999999999989E-2</v>
      </c>
      <c r="H40" s="84">
        <v>0.88038200000000089</v>
      </c>
      <c r="I40" s="84">
        <v>1.0770330000000037</v>
      </c>
      <c r="J40" s="84">
        <v>0</v>
      </c>
      <c r="K40" s="84">
        <v>0</v>
      </c>
      <c r="L40" s="84">
        <v>0</v>
      </c>
      <c r="M40" s="84">
        <v>1.4091339999999999</v>
      </c>
      <c r="N40" s="84">
        <v>0</v>
      </c>
      <c r="O40" s="84">
        <v>2.3068580000000001</v>
      </c>
      <c r="P40" s="84">
        <v>2.1675110000000011</v>
      </c>
      <c r="Q40" s="84">
        <v>2.6430540000000029</v>
      </c>
      <c r="R40" s="84">
        <v>0</v>
      </c>
      <c r="S40" s="84">
        <v>0.33820799999999807</v>
      </c>
      <c r="T40" s="84">
        <v>0</v>
      </c>
      <c r="U40" s="84">
        <v>0</v>
      </c>
      <c r="V40" s="84">
        <v>0</v>
      </c>
      <c r="W40" s="84">
        <v>1.808485000000001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1.9657279999999986</v>
      </c>
      <c r="D41" s="84">
        <v>2.405076999999995</v>
      </c>
      <c r="E41" s="84">
        <v>3.6592979999999997</v>
      </c>
      <c r="F41" s="84">
        <v>5.2664030000000004</v>
      </c>
      <c r="G41" s="84">
        <v>3.9106569999999934</v>
      </c>
      <c r="H41" s="84">
        <v>1.438557000000003</v>
      </c>
      <c r="I41" s="84">
        <v>1.5022680000000079</v>
      </c>
      <c r="J41" s="84">
        <v>1.3776989999999998</v>
      </c>
      <c r="K41" s="84">
        <v>0</v>
      </c>
      <c r="L41" s="84">
        <v>0</v>
      </c>
      <c r="M41" s="84">
        <v>0</v>
      </c>
      <c r="N41" s="84">
        <v>0.37211099999999675</v>
      </c>
      <c r="O41" s="84">
        <v>0</v>
      </c>
      <c r="P41" s="84">
        <v>0</v>
      </c>
      <c r="Q41" s="84">
        <v>0.67597499999999755</v>
      </c>
      <c r="R41" s="84">
        <v>3.7943249999999971</v>
      </c>
      <c r="S41" s="84">
        <v>26.709187999999997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0.15703800000000001</v>
      </c>
      <c r="K42" s="113">
        <v>9.7599999999999909E-3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0.55997200000000003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3.6572650000000015</v>
      </c>
      <c r="D43" s="28">
        <f t="shared" ref="D43:V43" si="43">SUM(D44:D45)</f>
        <v>3.1506379999999989</v>
      </c>
      <c r="E43" s="28">
        <f t="shared" si="43"/>
        <v>0.9908799999999971</v>
      </c>
      <c r="F43" s="28">
        <f t="shared" si="43"/>
        <v>2.7100420000000014</v>
      </c>
      <c r="G43" s="28">
        <f t="shared" si="43"/>
        <v>2.1749309999999991</v>
      </c>
      <c r="H43" s="28">
        <f t="shared" si="43"/>
        <v>2.4891129999999961</v>
      </c>
      <c r="I43" s="28">
        <f t="shared" si="43"/>
        <v>2.5286180000000016</v>
      </c>
      <c r="J43" s="28">
        <f t="shared" si="43"/>
        <v>0.97868599999999972</v>
      </c>
      <c r="K43" s="28">
        <f t="shared" si="43"/>
        <v>0</v>
      </c>
      <c r="L43" s="28">
        <f t="shared" si="43"/>
        <v>0.43907300000000049</v>
      </c>
      <c r="M43" s="28">
        <f t="shared" si="43"/>
        <v>4.5380289999999999</v>
      </c>
      <c r="N43" s="28">
        <f t="shared" si="43"/>
        <v>0</v>
      </c>
      <c r="O43" s="28">
        <f t="shared" si="43"/>
        <v>4.3356700000000012</v>
      </c>
      <c r="P43" s="28">
        <f t="shared" si="43"/>
        <v>3.6948349999999985</v>
      </c>
      <c r="Q43" s="28">
        <f t="shared" si="43"/>
        <v>2.431275000000003</v>
      </c>
      <c r="R43" s="28">
        <f t="shared" si="43"/>
        <v>4.2957579999999957</v>
      </c>
      <c r="S43" s="28">
        <f t="shared" si="43"/>
        <v>6.745201999999999</v>
      </c>
      <c r="T43" s="28">
        <f t="shared" si="43"/>
        <v>13.752279000000001</v>
      </c>
      <c r="U43" s="28">
        <f t="shared" si="43"/>
        <v>0</v>
      </c>
      <c r="V43" s="28">
        <f t="shared" si="43"/>
        <v>0</v>
      </c>
      <c r="W43" s="28">
        <f t="shared" ref="W43" si="44">SUM(W44:W45)</f>
        <v>2.733908999999997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0.34712399999999999</v>
      </c>
      <c r="D44" s="84">
        <v>1.0752509999999997</v>
      </c>
      <c r="E44" s="84">
        <v>0</v>
      </c>
      <c r="F44" s="84">
        <v>0.68982199999999949</v>
      </c>
      <c r="G44" s="84">
        <v>0.45847999999999978</v>
      </c>
      <c r="H44" s="84">
        <v>0.15274199999999993</v>
      </c>
      <c r="I44" s="84">
        <v>0.20476000000000028</v>
      </c>
      <c r="J44" s="84">
        <v>0</v>
      </c>
      <c r="K44" s="84">
        <v>0</v>
      </c>
      <c r="L44" s="84">
        <v>0</v>
      </c>
      <c r="M44" s="84">
        <v>1.1664820000000002</v>
      </c>
      <c r="N44" s="84">
        <v>0</v>
      </c>
      <c r="O44" s="84">
        <v>0.89205799999999957</v>
      </c>
      <c r="P44" s="84">
        <v>3.2913380000000005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3.3101410000000016</v>
      </c>
      <c r="D45" s="86">
        <v>2.0753869999999992</v>
      </c>
      <c r="E45" s="86">
        <v>0.9908799999999971</v>
      </c>
      <c r="F45" s="86">
        <v>2.0202200000000019</v>
      </c>
      <c r="G45" s="86">
        <v>1.7164509999999993</v>
      </c>
      <c r="H45" s="86">
        <v>2.3363709999999962</v>
      </c>
      <c r="I45" s="86">
        <v>2.3238580000000013</v>
      </c>
      <c r="J45" s="86">
        <v>0.97868599999999972</v>
      </c>
      <c r="K45" s="86">
        <v>0</v>
      </c>
      <c r="L45" s="86">
        <v>0.43907300000000049</v>
      </c>
      <c r="M45" s="86">
        <v>3.3715469999999996</v>
      </c>
      <c r="N45" s="86">
        <v>0</v>
      </c>
      <c r="O45" s="86">
        <v>3.4436120000000017</v>
      </c>
      <c r="P45" s="86">
        <v>0.403496999999998</v>
      </c>
      <c r="Q45" s="86">
        <v>2.431275000000003</v>
      </c>
      <c r="R45" s="86">
        <v>4.2957579999999957</v>
      </c>
      <c r="S45" s="86">
        <v>6.745201999999999</v>
      </c>
      <c r="T45" s="86">
        <v>13.752279000000001</v>
      </c>
      <c r="U45" s="86">
        <v>0</v>
      </c>
      <c r="V45" s="86">
        <v>0</v>
      </c>
      <c r="W45" s="86">
        <v>2.733908999999997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140.81418177713573</v>
      </c>
      <c r="C50" s="29">
        <f t="shared" si="45"/>
        <v>136.92545009851108</v>
      </c>
      <c r="D50" s="29">
        <f t="shared" si="45"/>
        <v>134.357806677144</v>
      </c>
      <c r="E50" s="29">
        <f t="shared" si="45"/>
        <v>124.16473682045678</v>
      </c>
      <c r="F50" s="29">
        <f t="shared" si="45"/>
        <v>101.74829314767115</v>
      </c>
      <c r="G50" s="29">
        <f t="shared" si="45"/>
        <v>98.464888990810351</v>
      </c>
      <c r="H50" s="29">
        <f t="shared" si="45"/>
        <v>97.051305099806953</v>
      </c>
      <c r="I50" s="29">
        <f t="shared" si="45"/>
        <v>96.261787981545567</v>
      </c>
      <c r="J50" s="29">
        <f t="shared" si="45"/>
        <v>99.076665463600875</v>
      </c>
      <c r="K50" s="29">
        <f t="shared" ref="K50:V50" si="46">IF(K4=0,0,K4/K15)</f>
        <v>110.31928935913321</v>
      </c>
      <c r="L50" s="29">
        <f t="shared" si="46"/>
        <v>104.48112699066867</v>
      </c>
      <c r="M50" s="29">
        <f t="shared" si="46"/>
        <v>109.65795494159664</v>
      </c>
      <c r="N50" s="29">
        <f t="shared" si="46"/>
        <v>99.819832952980292</v>
      </c>
      <c r="O50" s="29">
        <f t="shared" si="46"/>
        <v>111.5618082893325</v>
      </c>
      <c r="P50" s="29">
        <f t="shared" si="46"/>
        <v>109.28592867063117</v>
      </c>
      <c r="Q50" s="29">
        <f t="shared" si="46"/>
        <v>91.448314705362449</v>
      </c>
      <c r="R50" s="29">
        <f t="shared" si="46"/>
        <v>86.417580346192821</v>
      </c>
      <c r="S50" s="29">
        <f t="shared" si="46"/>
        <v>51.768295209784895</v>
      </c>
      <c r="T50" s="29">
        <f t="shared" si="46"/>
        <v>71.07894434886849</v>
      </c>
      <c r="U50" s="29">
        <f t="shared" si="46"/>
        <v>72.041172206969975</v>
      </c>
      <c r="V50" s="29">
        <f t="shared" si="46"/>
        <v>54.615165604285686</v>
      </c>
      <c r="W50" s="29">
        <f t="shared" ref="W50" si="47">IF(W4=0,0,W4/W15)</f>
        <v>62.837229171878541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140.81418177713573</v>
      </c>
      <c r="C52" s="116">
        <f t="shared" si="51"/>
        <v>136.92545009851108</v>
      </c>
      <c r="D52" s="116">
        <f t="shared" si="51"/>
        <v>134.357806677144</v>
      </c>
      <c r="E52" s="116">
        <f t="shared" si="51"/>
        <v>124.16473682045678</v>
      </c>
      <c r="F52" s="116">
        <f t="shared" si="51"/>
        <v>101.74829314767115</v>
      </c>
      <c r="G52" s="116">
        <f t="shared" si="51"/>
        <v>98.464888990810351</v>
      </c>
      <c r="H52" s="116">
        <f t="shared" si="51"/>
        <v>97.051305099806953</v>
      </c>
      <c r="I52" s="116">
        <f t="shared" si="51"/>
        <v>96.261787981545567</v>
      </c>
      <c r="J52" s="116">
        <f t="shared" si="51"/>
        <v>98.161893042967606</v>
      </c>
      <c r="K52" s="116">
        <f t="shared" ref="K52:V52" si="52">IF(K6=0,0,K6/K17)</f>
        <v>109.20565653622461</v>
      </c>
      <c r="L52" s="116">
        <f t="shared" si="52"/>
        <v>103.37715413477191</v>
      </c>
      <c r="M52" s="116">
        <f t="shared" si="52"/>
        <v>108.60651241599648</v>
      </c>
      <c r="N52" s="116">
        <f t="shared" si="52"/>
        <v>98.887751981639511</v>
      </c>
      <c r="O52" s="116">
        <f t="shared" si="52"/>
        <v>110.7172133143453</v>
      </c>
      <c r="P52" s="116">
        <f t="shared" si="52"/>
        <v>108.65453927175993</v>
      </c>
      <c r="Q52" s="116">
        <f t="shared" si="52"/>
        <v>91.006462396418158</v>
      </c>
      <c r="R52" s="116">
        <f t="shared" si="52"/>
        <v>86.102720067224041</v>
      </c>
      <c r="S52" s="116">
        <f t="shared" si="52"/>
        <v>51.664599495836548</v>
      </c>
      <c r="T52" s="116">
        <f t="shared" si="52"/>
        <v>70.93868710635023</v>
      </c>
      <c r="U52" s="116">
        <f t="shared" si="52"/>
        <v>71.896258559862517</v>
      </c>
      <c r="V52" s="116">
        <f t="shared" si="52"/>
        <v>54.594906157457125</v>
      </c>
      <c r="W52" s="116">
        <f t="shared" ref="W52" si="53">IF(W6=0,0,W6/W17)</f>
        <v>61.99896789998725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129.50376135546384</v>
      </c>
      <c r="C53" s="87">
        <f t="shared" si="54"/>
        <v>119.92353514343132</v>
      </c>
      <c r="D53" s="87">
        <f t="shared" si="54"/>
        <v>112.67945567310775</v>
      </c>
      <c r="E53" s="87">
        <f t="shared" si="54"/>
        <v>104.49810373803106</v>
      </c>
      <c r="F53" s="87">
        <f t="shared" si="54"/>
        <v>98.445676014879069</v>
      </c>
      <c r="G53" s="87">
        <f t="shared" si="54"/>
        <v>102.6663294513519</v>
      </c>
      <c r="H53" s="87">
        <f t="shared" si="54"/>
        <v>100.0903644010134</v>
      </c>
      <c r="I53" s="87">
        <f t="shared" si="54"/>
        <v>99.900165158959481</v>
      </c>
      <c r="J53" s="87">
        <f t="shared" si="54"/>
        <v>108.02657085716498</v>
      </c>
      <c r="K53" s="87">
        <f t="shared" ref="K53:V53" si="55">IF(K7=0,0,K7/K18)</f>
        <v>110.94729696539019</v>
      </c>
      <c r="L53" s="87">
        <f t="shared" si="55"/>
        <v>115.84036227254772</v>
      </c>
      <c r="M53" s="87">
        <f t="shared" si="55"/>
        <v>101.4585952881236</v>
      </c>
      <c r="N53" s="87">
        <f t="shared" si="55"/>
        <v>107.18990295251294</v>
      </c>
      <c r="O53" s="87">
        <f t="shared" si="55"/>
        <v>99.372309439677707</v>
      </c>
      <c r="P53" s="87">
        <f t="shared" si="55"/>
        <v>91.201003427567272</v>
      </c>
      <c r="Q53" s="87">
        <f t="shared" si="55"/>
        <v>80.191055483303074</v>
      </c>
      <c r="R53" s="87">
        <f t="shared" si="55"/>
        <v>79.621946039100223</v>
      </c>
      <c r="S53" s="87">
        <f t="shared" si="55"/>
        <v>75.090686102376495</v>
      </c>
      <c r="T53" s="87">
        <f t="shared" si="55"/>
        <v>79.239614806739482</v>
      </c>
      <c r="U53" s="87">
        <f t="shared" si="55"/>
        <v>82.430589459591147</v>
      </c>
      <c r="V53" s="87">
        <f t="shared" si="55"/>
        <v>68.614823659065067</v>
      </c>
      <c r="W53" s="87">
        <f t="shared" ref="W53" si="56">IF(W7=0,0,W7/W18)</f>
        <v>79.862180377566162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149.36578795111259</v>
      </c>
      <c r="C54" s="87">
        <f t="shared" si="57"/>
        <v>148.95134549429298</v>
      </c>
      <c r="D54" s="87">
        <f t="shared" si="57"/>
        <v>148.95041838210949</v>
      </c>
      <c r="E54" s="87">
        <f t="shared" si="57"/>
        <v>136.94164116007209</v>
      </c>
      <c r="F54" s="87">
        <f t="shared" si="57"/>
        <v>103.46326901816121</v>
      </c>
      <c r="G54" s="87">
        <f t="shared" si="57"/>
        <v>96.550138264726186</v>
      </c>
      <c r="H54" s="87">
        <f t="shared" si="57"/>
        <v>95.665445935707069</v>
      </c>
      <c r="I54" s="87">
        <f t="shared" si="57"/>
        <v>94.584282014613024</v>
      </c>
      <c r="J54" s="87">
        <f t="shared" si="57"/>
        <v>94.000532795244141</v>
      </c>
      <c r="K54" s="87">
        <f t="shared" ref="K54:V54" si="58">IF(K8=0,0,K8/K19)</f>
        <v>108.39781546238883</v>
      </c>
      <c r="L54" s="87">
        <f t="shared" si="58"/>
        <v>98.259030196346131</v>
      </c>
      <c r="M54" s="87">
        <f t="shared" si="58"/>
        <v>112.38030247889743</v>
      </c>
      <c r="N54" s="87">
        <f t="shared" si="58"/>
        <v>95.324433346018893</v>
      </c>
      <c r="O54" s="87">
        <f t="shared" si="58"/>
        <v>117.41310336768323</v>
      </c>
      <c r="P54" s="87">
        <f t="shared" si="58"/>
        <v>122.49324986430439</v>
      </c>
      <c r="Q54" s="87">
        <f t="shared" si="58"/>
        <v>98.579136737964831</v>
      </c>
      <c r="R54" s="87">
        <f t="shared" si="58"/>
        <v>89.766653233821799</v>
      </c>
      <c r="S54" s="87">
        <f t="shared" si="58"/>
        <v>44.490585472061156</v>
      </c>
      <c r="T54" s="87">
        <f t="shared" si="58"/>
        <v>67.259209011953274</v>
      </c>
      <c r="U54" s="87">
        <f t="shared" si="58"/>
        <v>67.803617071079032</v>
      </c>
      <c r="V54" s="87">
        <f t="shared" si="58"/>
        <v>50.334476867269949</v>
      </c>
      <c r="W54" s="87">
        <f t="shared" ref="W54" si="59">IF(W8=0,0,W8/W19)</f>
        <v>54.756739492938848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198.11320754716979</v>
      </c>
      <c r="K55" s="117">
        <f t="shared" ref="K55:V55" si="61">IF(K9=0,0,K9/K20)</f>
        <v>213.16614420062692</v>
      </c>
      <c r="L55" s="117">
        <f t="shared" si="61"/>
        <v>211.0248447204969</v>
      </c>
      <c r="M55" s="117">
        <f t="shared" si="61"/>
        <v>215.16129032258064</v>
      </c>
      <c r="N55" s="117">
        <f t="shared" si="61"/>
        <v>205.14913657770802</v>
      </c>
      <c r="O55" s="117">
        <f t="shared" si="61"/>
        <v>207.0257611241218</v>
      </c>
      <c r="P55" s="117">
        <f t="shared" si="61"/>
        <v>203.16622691292878</v>
      </c>
      <c r="Q55" s="117">
        <f t="shared" si="61"/>
        <v>198.63574351978173</v>
      </c>
      <c r="R55" s="117">
        <f t="shared" si="61"/>
        <v>200.61728395061729</v>
      </c>
      <c r="S55" s="117">
        <f t="shared" si="61"/>
        <v>199.7837837837838</v>
      </c>
      <c r="T55" s="117">
        <f t="shared" si="61"/>
        <v>189.75265017667846</v>
      </c>
      <c r="U55" s="117">
        <f t="shared" si="61"/>
        <v>212.2490470139771</v>
      </c>
      <c r="V55" s="117">
        <f t="shared" si="61"/>
        <v>79.520886657886237</v>
      </c>
      <c r="W55" s="117">
        <f t="shared" ref="W55" si="62">IF(W9=0,0,W9/W20)</f>
        <v>82.557095239341095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568.29316254042749</v>
      </c>
      <c r="C56" s="29">
        <f t="shared" si="63"/>
        <v>509.71041414158833</v>
      </c>
      <c r="D56" s="29">
        <f t="shared" si="63"/>
        <v>512.7307313359205</v>
      </c>
      <c r="E56" s="29">
        <f t="shared" si="63"/>
        <v>504.8121730044918</v>
      </c>
      <c r="F56" s="29">
        <f t="shared" si="63"/>
        <v>497.66203087635756</v>
      </c>
      <c r="G56" s="29">
        <f t="shared" si="63"/>
        <v>493.93491512094869</v>
      </c>
      <c r="H56" s="29">
        <f t="shared" si="63"/>
        <v>490.64445830447744</v>
      </c>
      <c r="I56" s="29">
        <f t="shared" si="63"/>
        <v>501.28882659668523</v>
      </c>
      <c r="J56" s="29">
        <f t="shared" si="63"/>
        <v>507.34454407935539</v>
      </c>
      <c r="K56" s="29">
        <f t="shared" ref="K56:V56" si="64">IF(K10=0,0,K10/K21)</f>
        <v>531.68828467171124</v>
      </c>
      <c r="L56" s="29">
        <f t="shared" si="64"/>
        <v>530.83224756822392</v>
      </c>
      <c r="M56" s="29">
        <f t="shared" si="64"/>
        <v>523.29312178491659</v>
      </c>
      <c r="N56" s="29">
        <f t="shared" si="64"/>
        <v>524.0017925669855</v>
      </c>
      <c r="O56" s="29">
        <f t="shared" si="64"/>
        <v>517.46947306515551</v>
      </c>
      <c r="P56" s="29">
        <f t="shared" si="64"/>
        <v>521.07231624124177</v>
      </c>
      <c r="Q56" s="29">
        <f t="shared" si="64"/>
        <v>526.97104060885363</v>
      </c>
      <c r="R56" s="29">
        <f t="shared" si="64"/>
        <v>524.30202967038633</v>
      </c>
      <c r="S56" s="29">
        <f t="shared" si="64"/>
        <v>549.95514180418206</v>
      </c>
      <c r="T56" s="29">
        <f t="shared" si="64"/>
        <v>436.73412473505078</v>
      </c>
      <c r="U56" s="29">
        <f t="shared" si="64"/>
        <v>466.34695611863111</v>
      </c>
      <c r="V56" s="29">
        <f t="shared" si="64"/>
        <v>445.30985158207454</v>
      </c>
      <c r="W56" s="29">
        <f t="shared" ref="W56" si="65">IF(W10=0,0,W10/W21)</f>
        <v>442.25443962033916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691.6718156381861</v>
      </c>
      <c r="C57" s="87">
        <f t="shared" si="66"/>
        <v>663.67474371797096</v>
      </c>
      <c r="D57" s="87">
        <f t="shared" si="66"/>
        <v>607.52700852112241</v>
      </c>
      <c r="E57" s="87">
        <f t="shared" si="66"/>
        <v>626.2239385505942</v>
      </c>
      <c r="F57" s="87">
        <f t="shared" si="66"/>
        <v>571.83688521387</v>
      </c>
      <c r="G57" s="87">
        <f t="shared" si="66"/>
        <v>585.01724127154534</v>
      </c>
      <c r="H57" s="87">
        <f t="shared" si="66"/>
        <v>602.84764837972477</v>
      </c>
      <c r="I57" s="87">
        <f t="shared" si="66"/>
        <v>613.55525484473787</v>
      </c>
      <c r="J57" s="87">
        <f t="shared" si="66"/>
        <v>743.34879254024759</v>
      </c>
      <c r="K57" s="87">
        <f t="shared" ref="K57:V57" si="67">IF(K11=0,0,K11/K22)</f>
        <v>745.69320560565052</v>
      </c>
      <c r="L57" s="87">
        <f t="shared" si="67"/>
        <v>751.60001125200745</v>
      </c>
      <c r="M57" s="87">
        <f t="shared" si="67"/>
        <v>652.7346250044161</v>
      </c>
      <c r="N57" s="87">
        <f t="shared" si="67"/>
        <v>637.05562284565872</v>
      </c>
      <c r="O57" s="87">
        <f t="shared" si="67"/>
        <v>643.95263447953528</v>
      </c>
      <c r="P57" s="87">
        <f t="shared" si="67"/>
        <v>647.65771998722153</v>
      </c>
      <c r="Q57" s="87">
        <f t="shared" si="67"/>
        <v>634.8661296171033</v>
      </c>
      <c r="R57" s="87">
        <f t="shared" si="67"/>
        <v>631.31147302811223</v>
      </c>
      <c r="S57" s="87">
        <f t="shared" si="67"/>
        <v>671.68091229895492</v>
      </c>
      <c r="T57" s="87">
        <f t="shared" si="67"/>
        <v>682.98848733653313</v>
      </c>
      <c r="U57" s="87">
        <f t="shared" si="67"/>
        <v>693.4572337787248</v>
      </c>
      <c r="V57" s="87">
        <f t="shared" si="67"/>
        <v>598.25954029981938</v>
      </c>
      <c r="W57" s="87">
        <f t="shared" ref="W57" si="68">IF(W11=0,0,W11/W22)</f>
        <v>635.63094453940164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534.63645194539197</v>
      </c>
      <c r="C58" s="88">
        <f t="shared" si="69"/>
        <v>471.66699392764502</v>
      </c>
      <c r="D58" s="88">
        <f t="shared" si="69"/>
        <v>487.199949859203</v>
      </c>
      <c r="E58" s="88">
        <f t="shared" si="69"/>
        <v>474.33378816635667</v>
      </c>
      <c r="F58" s="88">
        <f t="shared" si="69"/>
        <v>478.60302851774105</v>
      </c>
      <c r="G58" s="88">
        <f t="shared" si="69"/>
        <v>470.57335038656544</v>
      </c>
      <c r="H58" s="88">
        <f t="shared" si="69"/>
        <v>463.79241053488226</v>
      </c>
      <c r="I58" s="88">
        <f t="shared" si="69"/>
        <v>475.93020257887071</v>
      </c>
      <c r="J58" s="88">
        <f t="shared" si="69"/>
        <v>466.29394434155387</v>
      </c>
      <c r="K58" s="88">
        <f t="shared" ref="K58:V58" si="70">IF(K12=0,0,K12/K23)</f>
        <v>489.08440408804654</v>
      </c>
      <c r="L58" s="88">
        <f t="shared" si="70"/>
        <v>490.74164132182943</v>
      </c>
      <c r="M58" s="88">
        <f t="shared" si="70"/>
        <v>497.52697610075006</v>
      </c>
      <c r="N58" s="88">
        <f t="shared" si="70"/>
        <v>502.03010346233168</v>
      </c>
      <c r="O58" s="88">
        <f t="shared" si="70"/>
        <v>492.33981992039872</v>
      </c>
      <c r="P58" s="88">
        <f t="shared" si="70"/>
        <v>482.80354204482177</v>
      </c>
      <c r="Q58" s="88">
        <f t="shared" si="70"/>
        <v>501.17754001083364</v>
      </c>
      <c r="R58" s="88">
        <f t="shared" si="70"/>
        <v>506.05597514034474</v>
      </c>
      <c r="S58" s="88">
        <f t="shared" si="70"/>
        <v>535.00925777139526</v>
      </c>
      <c r="T58" s="88">
        <f t="shared" si="70"/>
        <v>416.68501269875924</v>
      </c>
      <c r="U58" s="88">
        <f t="shared" si="70"/>
        <v>450.04103879791973</v>
      </c>
      <c r="V58" s="88">
        <f t="shared" si="70"/>
        <v>435.47870838588466</v>
      </c>
      <c r="W58" s="88">
        <f t="shared" ref="W58" si="71">IF(W12=0,0,W12/W23)</f>
        <v>431.79888782164949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</v>
      </c>
      <c r="G61" s="29">
        <f t="shared" ref="G61" si="77">IF(G26=0,0,(G62*G27+G64*G29+G65*G30+G66*G31)/(G27+G29+G30+G31))</f>
        <v>320</v>
      </c>
      <c r="H61" s="29">
        <f t="shared" ref="H61" si="78">IF(H26=0,0,(H62*H27+H64*H29+H65*H30+H66*H31)/(H27+H29+H30+H31))</f>
        <v>320</v>
      </c>
      <c r="I61" s="29">
        <f t="shared" ref="I61" si="79">IF(I26=0,0,(I62*I27+I64*I29+I65*I30+I66*I31)/(I27+I29+I30+I31))</f>
        <v>319.99999999999994</v>
      </c>
      <c r="J61" s="29">
        <f t="shared" ref="J61" si="80">IF(J26=0,0,(J62*J27+J64*J29+J65*J30+J66*J31)/(J27+J29+J30+J31))</f>
        <v>320.73667364089482</v>
      </c>
      <c r="K61" s="29">
        <f t="shared" ref="K61" si="81">IF(K26=0,0,(K62*K27+K64*K29+K65*K30+K66*K31)/(K27+K29+K30+K31))</f>
        <v>320.82063607971668</v>
      </c>
      <c r="L61" s="29">
        <f t="shared" ref="L61" si="82">IF(L26=0,0,(L62*L27+L64*L29+L65*L30+L66*L31)/(L27+L29+L30+L31))</f>
        <v>320.86638297651314</v>
      </c>
      <c r="M61" s="29">
        <f t="shared" ref="M61" si="83">IF(M26=0,0,(M62*M27+M64*M29+M65*M30+M66*M31)/(M27+M29+M30+M31))</f>
        <v>320.88500575088193</v>
      </c>
      <c r="N61" s="29">
        <f t="shared" ref="N61" si="84">IF(N26=0,0,(N62*N27+N64*N29+N65*N30+N66*N31)/(N27+N29+N30+N31))</f>
        <v>320.9141000527751</v>
      </c>
      <c r="O61" s="29">
        <f t="shared" ref="O61" si="85">IF(O26=0,0,(O62*O27+O64*O29+O65*O30+O66*O31)/(O27+O29+O30+O31))</f>
        <v>320.91565887400333</v>
      </c>
      <c r="P61" s="29">
        <f t="shared" ref="P61" si="86">IF(P26=0,0,(P62*P27+P64*P29+P65*P30+P66*P31)/(P27+P29+P30+P31))</f>
        <v>320.92016090228702</v>
      </c>
      <c r="Q61" s="29">
        <f t="shared" ref="Q61" si="87">IF(Q26=0,0,(Q62*Q27+Q64*Q29+Q65*Q30+Q66*Q31)/(Q27+Q29+Q30+Q31))</f>
        <v>320.87480262236772</v>
      </c>
      <c r="R61" s="29">
        <f t="shared" ref="R61" si="88">IF(R26=0,0,(R62*R27+R64*R29+R65*R30+R66*R31)/(R27+R29+R30+R31))</f>
        <v>320.84214253626874</v>
      </c>
      <c r="S61" s="29">
        <f t="shared" ref="S61" si="89">IF(S26=0,0,(S62*S27+S64*S29+S65*S30+S66*S31)/(S27+S29+S30+S31))</f>
        <v>320.54450273003414</v>
      </c>
      <c r="T61" s="29">
        <f t="shared" ref="T61" si="90">IF(T26=0,0,(T62*T27+T64*T29+T65*T30+T66*T31)/(T27+T29+T30+T31))</f>
        <v>320.56570358029001</v>
      </c>
      <c r="U61" s="29">
        <f t="shared" ref="U61" si="91">IF(U26=0,0,(U62*U27+U64*U29+U65*U30+U66*U31)/(U27+U29+U30+U31))</f>
        <v>320.59370695120646</v>
      </c>
      <c r="V61" s="29">
        <f t="shared" ref="V61" si="92">IF(V26=0,0,(V62*V27+V64*V29+V65*V30+V66*V31)/(V27+V29+V30+V31))</f>
        <v>320.62462714740587</v>
      </c>
      <c r="W61" s="29">
        <f t="shared" ref="W61" si="93">IF(W26=0,0,(W62*W27+W64*W29+W65*W30+W66*W31)/(W27+W29+W30+W31))</f>
        <v>322.72216726119768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2100.0000000000005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0.44004431805354915</v>
      </c>
      <c r="C72" s="30">
        <f t="shared" ref="C72:J72" si="138">IF(C50=0,0,C50/C61)</f>
        <v>0.42789203155784711</v>
      </c>
      <c r="D72" s="30">
        <f t="shared" si="138"/>
        <v>0.41986814586607502</v>
      </c>
      <c r="E72" s="30">
        <f t="shared" si="138"/>
        <v>0.38801480256392745</v>
      </c>
      <c r="F72" s="30">
        <f t="shared" si="138"/>
        <v>0.31796341608647233</v>
      </c>
      <c r="G72" s="30">
        <f t="shared" si="138"/>
        <v>0.30770277809628233</v>
      </c>
      <c r="H72" s="30">
        <f t="shared" si="138"/>
        <v>0.30328532843689671</v>
      </c>
      <c r="I72" s="30">
        <f t="shared" si="138"/>
        <v>0.30081808744232996</v>
      </c>
      <c r="J72" s="30">
        <f t="shared" si="138"/>
        <v>0.30890345135439579</v>
      </c>
      <c r="K72" s="30">
        <f t="shared" ref="K72:V72" si="139">IF(K50=0,0,K50/K61)</f>
        <v>0.3438659392587245</v>
      </c>
      <c r="L72" s="30">
        <f t="shared" si="139"/>
        <v>0.32562191782588989</v>
      </c>
      <c r="M72" s="30">
        <f t="shared" si="139"/>
        <v>0.34173598945514222</v>
      </c>
      <c r="N72" s="30">
        <f t="shared" si="139"/>
        <v>0.31104844859283115</v>
      </c>
      <c r="O72" s="30">
        <f t="shared" si="139"/>
        <v>0.3476359136876318</v>
      </c>
      <c r="P72" s="30">
        <f t="shared" si="139"/>
        <v>0.34053930536295063</v>
      </c>
      <c r="Q72" s="30">
        <f t="shared" si="139"/>
        <v>0.2849968709228517</v>
      </c>
      <c r="R72" s="30">
        <f t="shared" si="139"/>
        <v>0.26934610167809853</v>
      </c>
      <c r="S72" s="30">
        <f t="shared" si="139"/>
        <v>0.16150111690851451</v>
      </c>
      <c r="T72" s="30">
        <f t="shared" si="139"/>
        <v>0.22172972203517652</v>
      </c>
      <c r="U72" s="30">
        <f t="shared" si="139"/>
        <v>0.22471174775097646</v>
      </c>
      <c r="V72" s="30">
        <f t="shared" si="139"/>
        <v>0.17033989587823078</v>
      </c>
      <c r="W72" s="30">
        <f t="shared" ref="W72" si="140">IF(W50=0,0,W50/W61)</f>
        <v>0.19470998755725616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0.44004431805354915</v>
      </c>
      <c r="C74" s="119">
        <f t="shared" si="141"/>
        <v>0.42789203155784711</v>
      </c>
      <c r="D74" s="119">
        <f t="shared" si="141"/>
        <v>0.41986814586607502</v>
      </c>
      <c r="E74" s="119">
        <f t="shared" si="141"/>
        <v>0.38801480256392745</v>
      </c>
      <c r="F74" s="119">
        <f t="shared" si="141"/>
        <v>0.31796341608647233</v>
      </c>
      <c r="G74" s="119">
        <f t="shared" si="141"/>
        <v>0.30770277809628233</v>
      </c>
      <c r="H74" s="119">
        <f t="shared" si="141"/>
        <v>0.30328532843689671</v>
      </c>
      <c r="I74" s="119">
        <f t="shared" si="141"/>
        <v>0.30081808744232996</v>
      </c>
      <c r="J74" s="119">
        <f t="shared" si="141"/>
        <v>0.30675591575927375</v>
      </c>
      <c r="K74" s="119">
        <f t="shared" ref="K74:V74" si="144">IF(K52=0,0,K52/K63)</f>
        <v>0.3412676766757019</v>
      </c>
      <c r="L74" s="119">
        <f t="shared" si="144"/>
        <v>0.32305360667116223</v>
      </c>
      <c r="M74" s="119">
        <f t="shared" si="144"/>
        <v>0.33939535129998899</v>
      </c>
      <c r="N74" s="119">
        <f t="shared" si="144"/>
        <v>0.30902422494262349</v>
      </c>
      <c r="O74" s="119">
        <f t="shared" si="144"/>
        <v>0.34599129160732905</v>
      </c>
      <c r="P74" s="119">
        <f t="shared" si="144"/>
        <v>0.33954543522424979</v>
      </c>
      <c r="Q74" s="119">
        <f t="shared" si="144"/>
        <v>0.28439519498880672</v>
      </c>
      <c r="R74" s="119">
        <f t="shared" si="144"/>
        <v>0.26907100021007507</v>
      </c>
      <c r="S74" s="119">
        <f t="shared" si="144"/>
        <v>0.16145187342448922</v>
      </c>
      <c r="T74" s="119">
        <f t="shared" si="144"/>
        <v>0.22168339720734448</v>
      </c>
      <c r="U74" s="119">
        <f t="shared" si="144"/>
        <v>0.22467580799957038</v>
      </c>
      <c r="V74" s="119">
        <f t="shared" si="144"/>
        <v>0.17060908174205353</v>
      </c>
      <c r="W74" s="119">
        <f t="shared" ref="W74" si="145">IF(W52=0,0,W52/W63)</f>
        <v>0.19374677468746018</v>
      </c>
      <c r="DA74" s="176"/>
    </row>
    <row r="75" spans="1:105" ht="11.45" customHeight="1" x14ac:dyDescent="0.25">
      <c r="A75" s="111" t="s">
        <v>92</v>
      </c>
      <c r="B75" s="120">
        <f t="shared" si="141"/>
        <v>0.40469925423582448</v>
      </c>
      <c r="C75" s="120">
        <f t="shared" si="141"/>
        <v>0.37476104732322291</v>
      </c>
      <c r="D75" s="120">
        <f t="shared" si="141"/>
        <v>0.35212329897846173</v>
      </c>
      <c r="E75" s="120">
        <f t="shared" si="141"/>
        <v>0.32655657418134709</v>
      </c>
      <c r="F75" s="120">
        <f t="shared" si="141"/>
        <v>0.30764273754649707</v>
      </c>
      <c r="G75" s="120">
        <f t="shared" si="141"/>
        <v>0.32083227953547466</v>
      </c>
      <c r="H75" s="120">
        <f t="shared" si="141"/>
        <v>0.31278238875316688</v>
      </c>
      <c r="I75" s="120">
        <f t="shared" si="141"/>
        <v>0.3121880161217484</v>
      </c>
      <c r="J75" s="120">
        <f t="shared" si="141"/>
        <v>0.33758303392864059</v>
      </c>
      <c r="K75" s="120">
        <f t="shared" ref="K75:V75" si="146">IF(K53=0,0,K53/K64)</f>
        <v>0.34671030301684436</v>
      </c>
      <c r="L75" s="120">
        <f t="shared" si="146"/>
        <v>0.36200113210171164</v>
      </c>
      <c r="M75" s="120">
        <f t="shared" si="146"/>
        <v>0.31705811027538627</v>
      </c>
      <c r="N75" s="120">
        <f t="shared" si="146"/>
        <v>0.33496844672660292</v>
      </c>
      <c r="O75" s="120">
        <f t="shared" si="146"/>
        <v>0.31053846699899285</v>
      </c>
      <c r="P75" s="120">
        <f t="shared" si="146"/>
        <v>0.28500313571114771</v>
      </c>
      <c r="Q75" s="120">
        <f t="shared" si="146"/>
        <v>0.2505970483853221</v>
      </c>
      <c r="R75" s="120">
        <f t="shared" si="146"/>
        <v>0.24881858137218821</v>
      </c>
      <c r="S75" s="120">
        <f t="shared" si="146"/>
        <v>0.23465839406992656</v>
      </c>
      <c r="T75" s="120">
        <f t="shared" si="146"/>
        <v>0.24762379627106088</v>
      </c>
      <c r="U75" s="120">
        <f t="shared" si="146"/>
        <v>0.25759559206122234</v>
      </c>
      <c r="V75" s="120">
        <f t="shared" si="146"/>
        <v>0.21442132393457833</v>
      </c>
      <c r="W75" s="120">
        <f t="shared" ref="W75" si="147">IF(W53=0,0,W53/W64)</f>
        <v>0.24956931367989427</v>
      </c>
      <c r="DA75" s="171"/>
    </row>
    <row r="76" spans="1:105" ht="11.45" customHeight="1" x14ac:dyDescent="0.25">
      <c r="A76" s="111" t="s">
        <v>93</v>
      </c>
      <c r="B76" s="120">
        <f t="shared" si="141"/>
        <v>0.46676808734722686</v>
      </c>
      <c r="C76" s="120">
        <f t="shared" si="141"/>
        <v>0.46547295466966554</v>
      </c>
      <c r="D76" s="120">
        <f t="shared" si="141"/>
        <v>0.46547005744409214</v>
      </c>
      <c r="E76" s="120">
        <f t="shared" si="141"/>
        <v>0.42794262862522531</v>
      </c>
      <c r="F76" s="120">
        <f t="shared" si="141"/>
        <v>0.3233227156817538</v>
      </c>
      <c r="G76" s="120">
        <f t="shared" si="141"/>
        <v>0.30171918207726933</v>
      </c>
      <c r="H76" s="120">
        <f t="shared" si="141"/>
        <v>0.29895451854908461</v>
      </c>
      <c r="I76" s="120">
        <f t="shared" si="141"/>
        <v>0.2955758812956657</v>
      </c>
      <c r="J76" s="120">
        <f t="shared" si="141"/>
        <v>0.29375166498513794</v>
      </c>
      <c r="K76" s="120">
        <f t="shared" ref="K76:V76" si="148">IF(K54=0,0,K54/K65)</f>
        <v>0.33874317331996512</v>
      </c>
      <c r="L76" s="120">
        <f t="shared" si="148"/>
        <v>0.30705946936358164</v>
      </c>
      <c r="M76" s="120">
        <f t="shared" si="148"/>
        <v>0.35118844524655446</v>
      </c>
      <c r="N76" s="120">
        <f t="shared" si="148"/>
        <v>0.29788885420630906</v>
      </c>
      <c r="O76" s="120">
        <f t="shared" si="148"/>
        <v>0.36691594802401012</v>
      </c>
      <c r="P76" s="120">
        <f t="shared" si="148"/>
        <v>0.38279140582595123</v>
      </c>
      <c r="Q76" s="120">
        <f t="shared" si="148"/>
        <v>0.30805980230614011</v>
      </c>
      <c r="R76" s="120">
        <f t="shared" si="148"/>
        <v>0.28052079135569313</v>
      </c>
      <c r="S76" s="120">
        <f t="shared" si="148"/>
        <v>0.13903307960019112</v>
      </c>
      <c r="T76" s="120">
        <f t="shared" si="148"/>
        <v>0.21018502816235399</v>
      </c>
      <c r="U76" s="120">
        <f t="shared" si="148"/>
        <v>0.21188630334712197</v>
      </c>
      <c r="V76" s="120">
        <f t="shared" si="148"/>
        <v>0.1572952402102186</v>
      </c>
      <c r="W76" s="120">
        <f t="shared" ref="W76" si="149">IF(W54=0,0,W54/W65)</f>
        <v>0.1711148109154339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0.35377358490566035</v>
      </c>
      <c r="K77" s="121">
        <f t="shared" ref="K77:V77" si="150">IF(K55=0,0,K55/K66)</f>
        <v>0.38065382892969091</v>
      </c>
      <c r="L77" s="121">
        <f t="shared" si="150"/>
        <v>0.37683007985803019</v>
      </c>
      <c r="M77" s="121">
        <f t="shared" si="150"/>
        <v>0.38421658986175117</v>
      </c>
      <c r="N77" s="121">
        <f t="shared" si="150"/>
        <v>0.36633774388876433</v>
      </c>
      <c r="O77" s="121">
        <f t="shared" si="150"/>
        <v>0.36968885915021749</v>
      </c>
      <c r="P77" s="121">
        <f t="shared" si="150"/>
        <v>0.36279683377308708</v>
      </c>
      <c r="Q77" s="121">
        <f t="shared" si="150"/>
        <v>0.35470668485675311</v>
      </c>
      <c r="R77" s="121">
        <f t="shared" si="150"/>
        <v>0.35824514991181661</v>
      </c>
      <c r="S77" s="121">
        <f t="shared" si="150"/>
        <v>0.35675675675675678</v>
      </c>
      <c r="T77" s="121">
        <f t="shared" si="150"/>
        <v>0.33884401817264009</v>
      </c>
      <c r="U77" s="121">
        <f t="shared" si="150"/>
        <v>0.37901615538210198</v>
      </c>
      <c r="V77" s="121">
        <f t="shared" si="150"/>
        <v>0.142001583317654</v>
      </c>
      <c r="W77" s="121">
        <f t="shared" ref="W77" si="151">IF(W55=0,0,W55/W66)</f>
        <v>0.14742338435596625</v>
      </c>
      <c r="DA77" s="204"/>
    </row>
    <row r="78" spans="1:105" ht="11.45" customHeight="1" x14ac:dyDescent="0.25">
      <c r="A78" s="27" t="s">
        <v>34</v>
      </c>
      <c r="B78" s="30">
        <f t="shared" si="141"/>
        <v>0.27061579168591787</v>
      </c>
      <c r="C78" s="30">
        <f t="shared" si="141"/>
        <v>0.24271924482932772</v>
      </c>
      <c r="D78" s="30">
        <f t="shared" si="141"/>
        <v>0.24415749111234314</v>
      </c>
      <c r="E78" s="30">
        <f t="shared" si="141"/>
        <v>0.24038674904975799</v>
      </c>
      <c r="F78" s="30">
        <f t="shared" si="141"/>
        <v>0.23698191946493216</v>
      </c>
      <c r="G78" s="30">
        <f t="shared" si="141"/>
        <v>0.23520710243854701</v>
      </c>
      <c r="H78" s="30">
        <f t="shared" si="141"/>
        <v>0.23364021824022735</v>
      </c>
      <c r="I78" s="30">
        <f t="shared" si="141"/>
        <v>0.23870896504604058</v>
      </c>
      <c r="J78" s="30">
        <f t="shared" si="141"/>
        <v>0.24159264003778827</v>
      </c>
      <c r="K78" s="30">
        <f t="shared" ref="K78:V78" si="152">IF(K56=0,0,K56/K67)</f>
        <v>0.25318489746271966</v>
      </c>
      <c r="L78" s="30">
        <f t="shared" si="152"/>
        <v>0.25277726074677331</v>
      </c>
      <c r="M78" s="30">
        <f t="shared" si="152"/>
        <v>0.24918720084996029</v>
      </c>
      <c r="N78" s="30">
        <f t="shared" si="152"/>
        <v>0.24952466312713595</v>
      </c>
      <c r="O78" s="30">
        <f t="shared" si="152"/>
        <v>0.2464140347929312</v>
      </c>
      <c r="P78" s="30">
        <f t="shared" si="152"/>
        <v>0.2481296744005913</v>
      </c>
      <c r="Q78" s="30">
        <f t="shared" si="152"/>
        <v>0.25093859076612079</v>
      </c>
      <c r="R78" s="30">
        <f t="shared" si="152"/>
        <v>0.24966763317637444</v>
      </c>
      <c r="S78" s="30">
        <f t="shared" si="152"/>
        <v>0.26188340085913431</v>
      </c>
      <c r="T78" s="30">
        <f t="shared" si="152"/>
        <v>0.20796863082621467</v>
      </c>
      <c r="U78" s="30">
        <f t="shared" si="152"/>
        <v>0.22206997910411005</v>
      </c>
      <c r="V78" s="30">
        <f t="shared" si="152"/>
        <v>0.21205231027717836</v>
      </c>
      <c r="W78" s="30">
        <f t="shared" ref="W78" si="153">IF(W56=0,0,W56/W67)</f>
        <v>0.21059735220016151</v>
      </c>
      <c r="DA78" s="173"/>
    </row>
    <row r="79" spans="1:105" ht="11.45" customHeight="1" x14ac:dyDescent="0.25">
      <c r="A79" s="83" t="s">
        <v>92</v>
      </c>
      <c r="B79" s="120">
        <f t="shared" si="141"/>
        <v>0.3293675312562791</v>
      </c>
      <c r="C79" s="120">
        <f t="shared" si="141"/>
        <v>0.31603559224665284</v>
      </c>
      <c r="D79" s="120">
        <f t="shared" si="141"/>
        <v>0.28929857548624877</v>
      </c>
      <c r="E79" s="120">
        <f t="shared" si="141"/>
        <v>0.29820187550028293</v>
      </c>
      <c r="F79" s="120">
        <f t="shared" si="141"/>
        <v>0.27230327867327142</v>
      </c>
      <c r="G79" s="120">
        <f t="shared" si="141"/>
        <v>0.27857963870073588</v>
      </c>
      <c r="H79" s="120">
        <f t="shared" si="141"/>
        <v>0.28707030875224987</v>
      </c>
      <c r="I79" s="120">
        <f t="shared" si="141"/>
        <v>0.29216916897368472</v>
      </c>
      <c r="J79" s="120">
        <f t="shared" si="141"/>
        <v>0.353975615495356</v>
      </c>
      <c r="K79" s="120">
        <f t="shared" ref="K79:V79" si="154">IF(K57=0,0,K57/K68)</f>
        <v>0.35509200266935737</v>
      </c>
      <c r="L79" s="120">
        <f t="shared" si="154"/>
        <v>0.35790476726286069</v>
      </c>
      <c r="M79" s="120">
        <f t="shared" si="154"/>
        <v>0.31082601190686482</v>
      </c>
      <c r="N79" s="120">
        <f t="shared" si="154"/>
        <v>0.3033598204026946</v>
      </c>
      <c r="O79" s="120">
        <f t="shared" si="154"/>
        <v>0.30664411165692157</v>
      </c>
      <c r="P79" s="120">
        <f t="shared" si="154"/>
        <v>0.30840843808915308</v>
      </c>
      <c r="Q79" s="120">
        <f t="shared" si="154"/>
        <v>0.30231720457957301</v>
      </c>
      <c r="R79" s="120">
        <f t="shared" si="154"/>
        <v>0.30062451096576775</v>
      </c>
      <c r="S79" s="120">
        <f t="shared" si="154"/>
        <v>0.31984805347569284</v>
      </c>
      <c r="T79" s="120">
        <f t="shared" si="154"/>
        <v>0.3252326130173967</v>
      </c>
      <c r="U79" s="120">
        <f t="shared" si="154"/>
        <v>0.33021773037082131</v>
      </c>
      <c r="V79" s="120">
        <f t="shared" si="154"/>
        <v>0.28488549538086638</v>
      </c>
      <c r="W79" s="120">
        <f t="shared" ref="W79" si="155">IF(W57=0,0,W57/W68)</f>
        <v>0.30268140216161982</v>
      </c>
      <c r="DA79" s="171"/>
    </row>
    <row r="80" spans="1:105" ht="11.45" customHeight="1" x14ac:dyDescent="0.25">
      <c r="A80" s="85" t="s">
        <v>93</v>
      </c>
      <c r="B80" s="122">
        <f t="shared" si="141"/>
        <v>0.25458878664066287</v>
      </c>
      <c r="C80" s="122">
        <f t="shared" si="141"/>
        <v>0.22460333044173572</v>
      </c>
      <c r="D80" s="122">
        <f t="shared" si="141"/>
        <v>0.23199997612343001</v>
      </c>
      <c r="E80" s="122">
        <f t="shared" si="141"/>
        <v>0.22587323246016985</v>
      </c>
      <c r="F80" s="122">
        <f t="shared" si="141"/>
        <v>0.22790620405606718</v>
      </c>
      <c r="G80" s="122">
        <f t="shared" si="141"/>
        <v>0.22408254780312639</v>
      </c>
      <c r="H80" s="122">
        <f t="shared" si="141"/>
        <v>0.2208535288261344</v>
      </c>
      <c r="I80" s="122">
        <f t="shared" si="141"/>
        <v>0.22663342979946224</v>
      </c>
      <c r="J80" s="122">
        <f t="shared" si="141"/>
        <v>0.22204473540073993</v>
      </c>
      <c r="K80" s="122">
        <f t="shared" ref="K80:V80" si="156">IF(K58=0,0,K58/K69)</f>
        <v>0.23289733528002216</v>
      </c>
      <c r="L80" s="122">
        <f t="shared" si="156"/>
        <v>0.23368649586753781</v>
      </c>
      <c r="M80" s="122">
        <f t="shared" si="156"/>
        <v>0.23691760766702383</v>
      </c>
      <c r="N80" s="122">
        <f t="shared" si="156"/>
        <v>0.23906195402968175</v>
      </c>
      <c r="O80" s="122">
        <f t="shared" si="156"/>
        <v>0.23444753329542797</v>
      </c>
      <c r="P80" s="122">
        <f t="shared" si="156"/>
        <v>0.22990644859277226</v>
      </c>
      <c r="Q80" s="122">
        <f t="shared" si="156"/>
        <v>0.2386559714337303</v>
      </c>
      <c r="R80" s="122">
        <f t="shared" si="156"/>
        <v>0.24097903578111654</v>
      </c>
      <c r="S80" s="122">
        <f t="shared" si="156"/>
        <v>0.25476631322447391</v>
      </c>
      <c r="T80" s="122">
        <f t="shared" si="156"/>
        <v>0.19842143461845679</v>
      </c>
      <c r="U80" s="122">
        <f t="shared" si="156"/>
        <v>0.21430525657043797</v>
      </c>
      <c r="V80" s="122">
        <f t="shared" si="156"/>
        <v>0.20737081351708794</v>
      </c>
      <c r="W80" s="122">
        <f t="shared" ref="W80" si="157">IF(W58=0,0,W58/W69)</f>
        <v>0.20561851801030928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171479.19582079453</v>
      </c>
      <c r="C82" s="54">
        <f t="shared" si="158"/>
        <v>172213.26733002014</v>
      </c>
      <c r="D82" s="54">
        <f t="shared" si="158"/>
        <v>172339.72835833262</v>
      </c>
      <c r="E82" s="54">
        <f t="shared" si="158"/>
        <v>170871.28298316878</v>
      </c>
      <c r="F82" s="54">
        <f t="shared" si="158"/>
        <v>170497.48736705745</v>
      </c>
      <c r="G82" s="54">
        <f t="shared" si="158"/>
        <v>170195.54770507803</v>
      </c>
      <c r="H82" s="54">
        <f t="shared" si="158"/>
        <v>170434.3502772346</v>
      </c>
      <c r="I82" s="54">
        <f t="shared" si="158"/>
        <v>170609.47361749213</v>
      </c>
      <c r="J82" s="54">
        <f t="shared" si="158"/>
        <v>168897.21684877519</v>
      </c>
      <c r="K82" s="54">
        <f t="shared" ref="K82:V82" si="159">IF(K14=0,0,K14/K25*1000000)</f>
        <v>150244.43581529069</v>
      </c>
      <c r="L82" s="54">
        <f t="shared" si="159"/>
        <v>171020.11134666679</v>
      </c>
      <c r="M82" s="54">
        <f t="shared" si="159"/>
        <v>165918.37623059889</v>
      </c>
      <c r="N82" s="54">
        <f t="shared" si="159"/>
        <v>171451.82787890005</v>
      </c>
      <c r="O82" s="54">
        <f t="shared" si="159"/>
        <v>166957.93480779685</v>
      </c>
      <c r="P82" s="54">
        <f t="shared" si="159"/>
        <v>163495.43719493094</v>
      </c>
      <c r="Q82" s="54">
        <f t="shared" si="159"/>
        <v>171284.07932979404</v>
      </c>
      <c r="R82" s="54">
        <f t="shared" si="159"/>
        <v>168827.84109658361</v>
      </c>
      <c r="S82" s="54">
        <f t="shared" si="159"/>
        <v>165889.24437891482</v>
      </c>
      <c r="T82" s="54">
        <f t="shared" si="159"/>
        <v>149554.41193859983</v>
      </c>
      <c r="U82" s="54">
        <f t="shared" si="159"/>
        <v>152080.15429722448</v>
      </c>
      <c r="V82" s="54">
        <f t="shared" si="159"/>
        <v>138885.58271055151</v>
      </c>
      <c r="W82" s="54">
        <f t="shared" ref="W82" si="160">IF(W14=0,0,W14/W25*1000000)</f>
        <v>156715.59646927551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149999.99981765015</v>
      </c>
      <c r="C83" s="28">
        <f t="shared" si="161"/>
        <v>149999.99445140219</v>
      </c>
      <c r="D83" s="28">
        <f t="shared" si="161"/>
        <v>149999.99646735517</v>
      </c>
      <c r="E83" s="28">
        <f t="shared" si="161"/>
        <v>149999.99717597006</v>
      </c>
      <c r="F83" s="28">
        <f t="shared" si="161"/>
        <v>149999.99809401599</v>
      </c>
      <c r="G83" s="28">
        <f t="shared" si="161"/>
        <v>149999.9970119411</v>
      </c>
      <c r="H83" s="28">
        <f t="shared" si="161"/>
        <v>149999.99815547935</v>
      </c>
      <c r="I83" s="28">
        <f t="shared" si="161"/>
        <v>149999.99603099824</v>
      </c>
      <c r="J83" s="28">
        <f t="shared" si="161"/>
        <v>150920.83068169496</v>
      </c>
      <c r="K83" s="28">
        <f t="shared" ref="K83:V83" si="162">IF(K15=0,0,K15/K26*1000000)</f>
        <v>143640.38640896403</v>
      </c>
      <c r="L83" s="28">
        <f t="shared" si="162"/>
        <v>151007.149448148</v>
      </c>
      <c r="M83" s="28">
        <f t="shared" si="162"/>
        <v>138906.66734439935</v>
      </c>
      <c r="N83" s="28">
        <f t="shared" si="162"/>
        <v>150751.00956511876</v>
      </c>
      <c r="O83" s="28">
        <f t="shared" si="162"/>
        <v>139214.94407885251</v>
      </c>
      <c r="P83" s="28">
        <f t="shared" si="162"/>
        <v>130403.46696761467</v>
      </c>
      <c r="Q83" s="28">
        <f t="shared" si="162"/>
        <v>150069.32636041279</v>
      </c>
      <c r="R83" s="28">
        <f t="shared" si="162"/>
        <v>148738.23768625641</v>
      </c>
      <c r="S83" s="28">
        <f t="shared" si="162"/>
        <v>149764.53183603773</v>
      </c>
      <c r="T83" s="28">
        <f t="shared" si="162"/>
        <v>112926.06975211076</v>
      </c>
      <c r="U83" s="28">
        <f t="shared" si="162"/>
        <v>117756.61448346387</v>
      </c>
      <c r="V83" s="28">
        <f t="shared" si="162"/>
        <v>96565.550424067013</v>
      </c>
      <c r="W83" s="28">
        <f t="shared" ref="W83" si="163">IF(W15=0,0,W15/W26*1000000)</f>
        <v>125175.71560883084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149999.99981765015</v>
      </c>
      <c r="C85" s="110">
        <f t="shared" si="161"/>
        <v>149999.99445140219</v>
      </c>
      <c r="D85" s="110">
        <f t="shared" si="161"/>
        <v>149999.99646735517</v>
      </c>
      <c r="E85" s="110">
        <f t="shared" si="161"/>
        <v>149999.99717597006</v>
      </c>
      <c r="F85" s="110">
        <f t="shared" si="161"/>
        <v>149999.99809401599</v>
      </c>
      <c r="G85" s="110">
        <f t="shared" si="161"/>
        <v>149999.9970119411</v>
      </c>
      <c r="H85" s="110">
        <f t="shared" si="161"/>
        <v>149999.99815547935</v>
      </c>
      <c r="I85" s="110">
        <f t="shared" si="161"/>
        <v>149999.99603099824</v>
      </c>
      <c r="J85" s="110">
        <f t="shared" si="161"/>
        <v>149999.99709160667</v>
      </c>
      <c r="K85" s="110">
        <f t="shared" ref="K85:V85" si="166">IF(K17=0,0,K17/K28*1000000)</f>
        <v>142589.25729840214</v>
      </c>
      <c r="L85" s="110">
        <f t="shared" si="166"/>
        <v>149999.99624503608</v>
      </c>
      <c r="M85" s="110">
        <f t="shared" si="166"/>
        <v>138045.03289206733</v>
      </c>
      <c r="N85" s="110">
        <f t="shared" si="166"/>
        <v>149999.99650093223</v>
      </c>
      <c r="O85" s="110">
        <f t="shared" si="166"/>
        <v>138522.57140527674</v>
      </c>
      <c r="P85" s="110">
        <f t="shared" si="166"/>
        <v>130030.83971982749</v>
      </c>
      <c r="Q85" s="110">
        <f t="shared" si="166"/>
        <v>149999.99583946177</v>
      </c>
      <c r="R85" s="110">
        <f t="shared" si="166"/>
        <v>148851.58806458337</v>
      </c>
      <c r="S85" s="110">
        <f t="shared" si="166"/>
        <v>149999.99844508481</v>
      </c>
      <c r="T85" s="110">
        <f t="shared" si="166"/>
        <v>113059.25480857628</v>
      </c>
      <c r="U85" s="110">
        <f t="shared" si="166"/>
        <v>117926.75601651236</v>
      </c>
      <c r="V85" s="110">
        <f t="shared" si="166"/>
        <v>96738.837222458431</v>
      </c>
      <c r="W85" s="110">
        <f t="shared" ref="W85" si="167">IF(W17=0,0,W17/W28*1000000)</f>
        <v>121449.17439807417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149999.99958681897</v>
      </c>
      <c r="C86" s="84">
        <f t="shared" si="161"/>
        <v>149999.99244786918</v>
      </c>
      <c r="D86" s="84">
        <f t="shared" si="161"/>
        <v>149999.99469890355</v>
      </c>
      <c r="E86" s="84">
        <f t="shared" si="161"/>
        <v>149999.99441972826</v>
      </c>
      <c r="F86" s="84">
        <f t="shared" si="161"/>
        <v>149999.99607322912</v>
      </c>
      <c r="G86" s="84">
        <f t="shared" si="161"/>
        <v>149999.99616809582</v>
      </c>
      <c r="H86" s="84">
        <f t="shared" si="161"/>
        <v>149999.99796869728</v>
      </c>
      <c r="I86" s="84">
        <f t="shared" si="161"/>
        <v>149999.9948928151</v>
      </c>
      <c r="J86" s="84">
        <f t="shared" si="161"/>
        <v>149999.99721774505</v>
      </c>
      <c r="K86" s="84">
        <f t="shared" ref="K86:V86" si="168">IF(K18=0,0,K18/K29*1000000)</f>
        <v>149999.99634442193</v>
      </c>
      <c r="L86" s="84">
        <f t="shared" si="168"/>
        <v>149999.99073446597</v>
      </c>
      <c r="M86" s="84">
        <f t="shared" si="168"/>
        <v>149999.9916657896</v>
      </c>
      <c r="N86" s="84">
        <f t="shared" si="168"/>
        <v>149999.99929724581</v>
      </c>
      <c r="O86" s="84">
        <f t="shared" si="168"/>
        <v>149999.99827096477</v>
      </c>
      <c r="P86" s="84">
        <f t="shared" si="168"/>
        <v>149999.9918106421</v>
      </c>
      <c r="Q86" s="84">
        <f t="shared" si="168"/>
        <v>149999.9971612693</v>
      </c>
      <c r="R86" s="84">
        <f t="shared" si="168"/>
        <v>146862.76050062882</v>
      </c>
      <c r="S86" s="84">
        <f t="shared" si="168"/>
        <v>149999.99553590972</v>
      </c>
      <c r="T86" s="84">
        <f t="shared" si="168"/>
        <v>149999.99780025712</v>
      </c>
      <c r="U86" s="84">
        <f t="shared" si="168"/>
        <v>148892.17229756119</v>
      </c>
      <c r="V86" s="84">
        <f t="shared" si="168"/>
        <v>107005.18433178337</v>
      </c>
      <c r="W86" s="84">
        <f t="shared" ref="W86" si="169">IF(W18=0,0,W18/W29*1000000)</f>
        <v>149999.99059782241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149999.99999217747</v>
      </c>
      <c r="C87" s="84">
        <f t="shared" si="161"/>
        <v>149999.99586855309</v>
      </c>
      <c r="D87" s="84">
        <f t="shared" si="161"/>
        <v>149999.99765777451</v>
      </c>
      <c r="E87" s="84">
        <f t="shared" si="161"/>
        <v>149999.99896662938</v>
      </c>
      <c r="F87" s="84">
        <f t="shared" si="161"/>
        <v>149999.99914336583</v>
      </c>
      <c r="G87" s="84">
        <f t="shared" si="161"/>
        <v>149999.99739651239</v>
      </c>
      <c r="H87" s="84">
        <f t="shared" si="161"/>
        <v>149999.99824065494</v>
      </c>
      <c r="I87" s="84">
        <f t="shared" si="161"/>
        <v>149999.99655576766</v>
      </c>
      <c r="J87" s="84">
        <f t="shared" si="161"/>
        <v>149999.9970383959</v>
      </c>
      <c r="K87" s="84">
        <f t="shared" ref="K87:V87" si="170">IF(K19=0,0,K19/K30*1000000)</f>
        <v>139394.89210215749</v>
      </c>
      <c r="L87" s="84">
        <f t="shared" si="170"/>
        <v>149999.99850799932</v>
      </c>
      <c r="M87" s="84">
        <f t="shared" si="170"/>
        <v>132470.92162569589</v>
      </c>
      <c r="N87" s="84">
        <f t="shared" si="170"/>
        <v>149999.99530074254</v>
      </c>
      <c r="O87" s="84">
        <f t="shared" si="170"/>
        <v>132537.10162369523</v>
      </c>
      <c r="P87" s="84">
        <f t="shared" si="170"/>
        <v>117615.84789409605</v>
      </c>
      <c r="Q87" s="84">
        <f t="shared" si="170"/>
        <v>149999.99491396558</v>
      </c>
      <c r="R87" s="84">
        <f t="shared" si="170"/>
        <v>149999.99911871462</v>
      </c>
      <c r="S87" s="84">
        <f t="shared" si="170"/>
        <v>149999.99933599177</v>
      </c>
      <c r="T87" s="84">
        <f t="shared" si="170"/>
        <v>101932.08139800977</v>
      </c>
      <c r="U87" s="84">
        <f t="shared" si="170"/>
        <v>109110.79759053444</v>
      </c>
      <c r="V87" s="84">
        <f t="shared" si="170"/>
        <v>93998.279629678931</v>
      </c>
      <c r="W87" s="84">
        <f t="shared" ref="W87" si="171">IF(W19=0,0,W19/W30*1000000)</f>
        <v>112748.54080356259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449997.24058295868</v>
      </c>
      <c r="K88" s="113">
        <f t="shared" ref="K88:V88" si="172">IF(K20=0,0,K20/K31*1000000)</f>
        <v>449998.34248259437</v>
      </c>
      <c r="L88" s="113">
        <f t="shared" si="172"/>
        <v>428995.2850487149</v>
      </c>
      <c r="M88" s="113">
        <f t="shared" si="172"/>
        <v>371707.09480929025</v>
      </c>
      <c r="N88" s="113">
        <f t="shared" si="172"/>
        <v>347180.96685266553</v>
      </c>
      <c r="O88" s="113">
        <f t="shared" si="172"/>
        <v>319997.84170073981</v>
      </c>
      <c r="P88" s="113">
        <f t="shared" si="172"/>
        <v>227220.94989148548</v>
      </c>
      <c r="Q88" s="113">
        <f t="shared" si="172"/>
        <v>169020.65787544029</v>
      </c>
      <c r="R88" s="113">
        <f t="shared" si="172"/>
        <v>116548.16004988068</v>
      </c>
      <c r="S88" s="113">
        <f t="shared" si="172"/>
        <v>46213.583696047506</v>
      </c>
      <c r="T88" s="113">
        <f t="shared" si="172"/>
        <v>56555.434317757608</v>
      </c>
      <c r="U88" s="113">
        <f t="shared" si="172"/>
        <v>49148.770768634327</v>
      </c>
      <c r="V88" s="113">
        <f t="shared" si="172"/>
        <v>30156.986294799695</v>
      </c>
      <c r="W88" s="113">
        <f t="shared" ref="W88" si="173">IF(W20=0,0,W20/W31*1000000)</f>
        <v>449999.84919683106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199999.99255861557</v>
      </c>
      <c r="C89" s="28">
        <f t="shared" si="161"/>
        <v>199999.9893978808</v>
      </c>
      <c r="D89" s="28">
        <f t="shared" si="161"/>
        <v>199999.99317114326</v>
      </c>
      <c r="E89" s="28">
        <f t="shared" si="161"/>
        <v>199999.99399884205</v>
      </c>
      <c r="F89" s="28">
        <f t="shared" si="161"/>
        <v>199999.99393051415</v>
      </c>
      <c r="G89" s="28">
        <f t="shared" si="161"/>
        <v>199999.99612839392</v>
      </c>
      <c r="H89" s="28">
        <f t="shared" si="161"/>
        <v>199999.99444514536</v>
      </c>
      <c r="I89" s="28">
        <f t="shared" si="161"/>
        <v>199999.99406711714</v>
      </c>
      <c r="J89" s="28">
        <f t="shared" si="161"/>
        <v>194707.05455130621</v>
      </c>
      <c r="K89" s="28">
        <f t="shared" ref="K89:V89" si="174">IF(K21=0,0,K21/K32*1000000)</f>
        <v>159971.32989247327</v>
      </c>
      <c r="L89" s="28">
        <f t="shared" si="174"/>
        <v>199669.81840012738</v>
      </c>
      <c r="M89" s="28">
        <f t="shared" si="174"/>
        <v>199999.99647704969</v>
      </c>
      <c r="N89" s="28">
        <f t="shared" si="174"/>
        <v>198646.22784169621</v>
      </c>
      <c r="O89" s="28">
        <f t="shared" si="174"/>
        <v>199999.99104375709</v>
      </c>
      <c r="P89" s="28">
        <f t="shared" si="174"/>
        <v>199999.99507491934</v>
      </c>
      <c r="Q89" s="28">
        <f t="shared" si="174"/>
        <v>195203.32403759012</v>
      </c>
      <c r="R89" s="28">
        <f t="shared" si="174"/>
        <v>190730.85309368485</v>
      </c>
      <c r="S89" s="28">
        <f t="shared" si="174"/>
        <v>190051.95112645105</v>
      </c>
      <c r="T89" s="28">
        <f t="shared" si="174"/>
        <v>191678.36121628221</v>
      </c>
      <c r="U89" s="28">
        <f t="shared" si="174"/>
        <v>191042.07464571434</v>
      </c>
      <c r="V89" s="28">
        <f t="shared" si="174"/>
        <v>186564.26774475301</v>
      </c>
      <c r="W89" s="28">
        <f t="shared" ref="W89" si="175">IF(W21=0,0,W21/W32*1000000)</f>
        <v>191358.11266488893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199999.98811430647</v>
      </c>
      <c r="C90" s="84">
        <f t="shared" si="161"/>
        <v>199999.97537486409</v>
      </c>
      <c r="D90" s="84">
        <f t="shared" si="161"/>
        <v>199999.98588048236</v>
      </c>
      <c r="E90" s="84">
        <f t="shared" si="161"/>
        <v>199999.97506046869</v>
      </c>
      <c r="F90" s="84">
        <f t="shared" si="161"/>
        <v>199999.99089954703</v>
      </c>
      <c r="G90" s="84">
        <f t="shared" si="161"/>
        <v>199999.99579345944</v>
      </c>
      <c r="H90" s="84">
        <f t="shared" si="161"/>
        <v>199999.99984471133</v>
      </c>
      <c r="I90" s="84">
        <f t="shared" si="161"/>
        <v>199999.97428275543</v>
      </c>
      <c r="J90" s="84">
        <f t="shared" si="161"/>
        <v>168994.76389807521</v>
      </c>
      <c r="K90" s="84">
        <f t="shared" ref="K90:V90" si="176">IF(K22=0,0,K22/K33*1000000)</f>
        <v>158657.79997608985</v>
      </c>
      <c r="L90" s="84">
        <f t="shared" si="176"/>
        <v>197870.96882427082</v>
      </c>
      <c r="M90" s="84">
        <f t="shared" si="176"/>
        <v>199999.98602405729</v>
      </c>
      <c r="N90" s="84">
        <f t="shared" si="176"/>
        <v>199080.2822472314</v>
      </c>
      <c r="O90" s="84">
        <f t="shared" si="176"/>
        <v>199999.97809980728</v>
      </c>
      <c r="P90" s="84">
        <f t="shared" si="176"/>
        <v>199999.98877424441</v>
      </c>
      <c r="Q90" s="84">
        <f t="shared" si="176"/>
        <v>177405.43902380945</v>
      </c>
      <c r="R90" s="84">
        <f t="shared" si="176"/>
        <v>149968.23983388097</v>
      </c>
      <c r="S90" s="84">
        <f t="shared" si="176"/>
        <v>135258.08658498255</v>
      </c>
      <c r="T90" s="84">
        <f t="shared" si="176"/>
        <v>126850.68914725234</v>
      </c>
      <c r="U90" s="84">
        <f t="shared" si="176"/>
        <v>117648.77878581556</v>
      </c>
      <c r="V90" s="84">
        <f t="shared" si="176"/>
        <v>108224.07349374682</v>
      </c>
      <c r="W90" s="84">
        <f t="shared" ref="W90" si="177">IF(W22=0,0,W22/W33*1000000)</f>
        <v>106359.52727410629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199999.99377098764</v>
      </c>
      <c r="C91" s="86">
        <f t="shared" si="161"/>
        <v>199999.99286286236</v>
      </c>
      <c r="D91" s="86">
        <f t="shared" si="161"/>
        <v>199999.99513468321</v>
      </c>
      <c r="E91" s="86">
        <f t="shared" si="161"/>
        <v>199999.99875300322</v>
      </c>
      <c r="F91" s="86">
        <f t="shared" si="161"/>
        <v>199999.99470931193</v>
      </c>
      <c r="G91" s="86">
        <f t="shared" si="161"/>
        <v>199999.99621430074</v>
      </c>
      <c r="H91" s="86">
        <f t="shared" si="161"/>
        <v>199999.99315294146</v>
      </c>
      <c r="I91" s="86">
        <f t="shared" si="161"/>
        <v>199999.99853598874</v>
      </c>
      <c r="J91" s="86">
        <f t="shared" si="161"/>
        <v>199999.99728415193</v>
      </c>
      <c r="K91" s="86">
        <f t="shared" ref="K91:V91" si="178">IF(K23=0,0,K23/K34*1000000)</f>
        <v>160235.42629151998</v>
      </c>
      <c r="L91" s="86">
        <f t="shared" si="178"/>
        <v>199999.99760981317</v>
      </c>
      <c r="M91" s="86">
        <f t="shared" si="178"/>
        <v>199999.99855778375</v>
      </c>
      <c r="N91" s="86">
        <f t="shared" si="178"/>
        <v>198562.09018335087</v>
      </c>
      <c r="O91" s="86">
        <f t="shared" si="178"/>
        <v>199999.99361545904</v>
      </c>
      <c r="P91" s="86">
        <f t="shared" si="178"/>
        <v>199999.99697971335</v>
      </c>
      <c r="Q91" s="86">
        <f t="shared" si="178"/>
        <v>199999.99649361323</v>
      </c>
      <c r="R91" s="86">
        <f t="shared" si="178"/>
        <v>199999.99592991179</v>
      </c>
      <c r="S91" s="86">
        <f t="shared" si="178"/>
        <v>199999.99647395365</v>
      </c>
      <c r="T91" s="86">
        <f t="shared" si="178"/>
        <v>199999.9988076429</v>
      </c>
      <c r="U91" s="86">
        <f t="shared" si="178"/>
        <v>199999.99938614955</v>
      </c>
      <c r="V91" s="86">
        <f t="shared" si="178"/>
        <v>195668.36323299431</v>
      </c>
      <c r="W91" s="86">
        <f t="shared" ref="W91" si="179">IF(W23=0,0,W23/W34*1000000)</f>
        <v>199999.99888741531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21122127.240892921</v>
      </c>
      <c r="C94" s="28">
        <f t="shared" si="180"/>
        <v>20538816.755032409</v>
      </c>
      <c r="D94" s="28">
        <f t="shared" si="180"/>
        <v>20153670.526933189</v>
      </c>
      <c r="E94" s="28">
        <f t="shared" si="180"/>
        <v>18624710.172423583</v>
      </c>
      <c r="F94" s="28">
        <f t="shared" si="180"/>
        <v>15262243.778220054</v>
      </c>
      <c r="G94" s="28">
        <f t="shared" si="180"/>
        <v>14769733.054402664</v>
      </c>
      <c r="H94" s="28">
        <f t="shared" si="180"/>
        <v>14557695.585957907</v>
      </c>
      <c r="I94" s="28">
        <f t="shared" si="180"/>
        <v>14439267.815168628</v>
      </c>
      <c r="J94" s="28">
        <f t="shared" si="180"/>
        <v>14952732.65293904</v>
      </c>
      <c r="K94" s="28">
        <f t="shared" ref="K94:V94" si="181">IF(K4=0,0,K4/K26*1000000)</f>
        <v>15846305.351908211</v>
      </c>
      <c r="L94" s="28">
        <f t="shared" si="181"/>
        <v>15777397.157990832</v>
      </c>
      <c r="M94" s="28">
        <f t="shared" si="181"/>
        <v>15232221.068739496</v>
      </c>
      <c r="N94" s="28">
        <f t="shared" si="181"/>
        <v>15047940.592283288</v>
      </c>
      <c r="O94" s="28">
        <f t="shared" si="181"/>
        <v>15531070.902335091</v>
      </c>
      <c r="P94" s="28">
        <f t="shared" si="181"/>
        <v>14251263.989425745</v>
      </c>
      <c r="Q94" s="28">
        <f t="shared" si="181"/>
        <v>13723586.984628772</v>
      </c>
      <c r="R94" s="28">
        <f t="shared" si="181"/>
        <v>12853598.605803188</v>
      </c>
      <c r="S94" s="28">
        <f t="shared" si="181"/>
        <v>7753054.4960432295</v>
      </c>
      <c r="T94" s="28">
        <f t="shared" si="181"/>
        <v>8026665.8274467224</v>
      </c>
      <c r="U94" s="28">
        <f t="shared" si="181"/>
        <v>8483324.5425129943</v>
      </c>
      <c r="V94" s="28">
        <f t="shared" si="181"/>
        <v>5273943.5280794203</v>
      </c>
      <c r="W94" s="28">
        <f t="shared" ref="W94" si="182">IF(W4=0,0,W4/W26*1000000)</f>
        <v>7865695.1284659971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21122127.240892921</v>
      </c>
      <c r="C96" s="110">
        <f t="shared" si="180"/>
        <v>20538816.755032409</v>
      </c>
      <c r="D96" s="110">
        <f t="shared" si="180"/>
        <v>20153670.526933189</v>
      </c>
      <c r="E96" s="110">
        <f t="shared" si="180"/>
        <v>18624710.172423583</v>
      </c>
      <c r="F96" s="110">
        <f t="shared" si="180"/>
        <v>15262243.778220054</v>
      </c>
      <c r="G96" s="110">
        <f t="shared" si="180"/>
        <v>14769733.054402664</v>
      </c>
      <c r="H96" s="110">
        <f t="shared" si="180"/>
        <v>14557695.585957907</v>
      </c>
      <c r="I96" s="110">
        <f t="shared" si="180"/>
        <v>14439267.815168628</v>
      </c>
      <c r="J96" s="110">
        <f t="shared" si="180"/>
        <v>14724283.670951746</v>
      </c>
      <c r="K96" s="110">
        <f t="shared" ref="K96:V96" si="185">IF(K6=0,0,K6/K28*1000000)</f>
        <v>15571553.458284661</v>
      </c>
      <c r="L96" s="110">
        <f t="shared" si="185"/>
        <v>15506572.732038302</v>
      </c>
      <c r="M96" s="110">
        <f t="shared" si="185"/>
        <v>14992589.578758957</v>
      </c>
      <c r="N96" s="110">
        <f t="shared" si="185"/>
        <v>14833162.45123098</v>
      </c>
      <c r="O96" s="110">
        <f t="shared" si="185"/>
        <v>15336833.087129653</v>
      </c>
      <c r="P96" s="110">
        <f t="shared" si="185"/>
        <v>14128440.980877915</v>
      </c>
      <c r="Q96" s="110">
        <f t="shared" si="185"/>
        <v>13650968.980826857</v>
      </c>
      <c r="R96" s="110">
        <f t="shared" si="185"/>
        <v>12816526.618686568</v>
      </c>
      <c r="S96" s="110">
        <f t="shared" si="185"/>
        <v>7749689.8440414127</v>
      </c>
      <c r="T96" s="110">
        <f t="shared" si="185"/>
        <v>8020275.1013427153</v>
      </c>
      <c r="U96" s="110">
        <f t="shared" si="185"/>
        <v>8478492.5416889954</v>
      </c>
      <c r="V96" s="110">
        <f t="shared" si="185"/>
        <v>5281447.7399416389</v>
      </c>
      <c r="W96" s="110">
        <f t="shared" ref="W96" si="186">IF(W6=0,0,W6/W28*1000000)</f>
        <v>7529723.4649861539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19425564.149811082</v>
      </c>
      <c r="C97" s="84">
        <f t="shared" si="180"/>
        <v>17988529.365836475</v>
      </c>
      <c r="D97" s="84">
        <f t="shared" si="180"/>
        <v>16901917.753641497</v>
      </c>
      <c r="E97" s="84">
        <f t="shared" si="180"/>
        <v>15674714.977576844</v>
      </c>
      <c r="F97" s="84">
        <f t="shared" si="180"/>
        <v>14766851.015658246</v>
      </c>
      <c r="G97" s="84">
        <f t="shared" si="180"/>
        <v>15399949.024295246</v>
      </c>
      <c r="H97" s="84">
        <f t="shared" si="180"/>
        <v>15013554.456838179</v>
      </c>
      <c r="I97" s="84">
        <f t="shared" si="180"/>
        <v>14985024.263635308</v>
      </c>
      <c r="J97" s="84">
        <f t="shared" si="180"/>
        <v>16203985.328017289</v>
      </c>
      <c r="K97" s="84">
        <f t="shared" ref="K97:V97" si="187">IF(K7=0,0,K7/K29*1000000)</f>
        <v>16642094.139232021</v>
      </c>
      <c r="L97" s="84">
        <f t="shared" si="187"/>
        <v>17376053.267559338</v>
      </c>
      <c r="M97" s="84">
        <f t="shared" si="187"/>
        <v>15218788.447641259</v>
      </c>
      <c r="N97" s="84">
        <f t="shared" si="187"/>
        <v>16078485.367548786</v>
      </c>
      <c r="O97" s="84">
        <f t="shared" si="187"/>
        <v>14905846.24413343</v>
      </c>
      <c r="P97" s="84">
        <f t="shared" si="187"/>
        <v>13680149.767257435</v>
      </c>
      <c r="Q97" s="84">
        <f t="shared" si="187"/>
        <v>12028658.094854651</v>
      </c>
      <c r="R97" s="84">
        <f t="shared" si="187"/>
        <v>11693498.791734368</v>
      </c>
      <c r="S97" s="84">
        <f t="shared" si="187"/>
        <v>11263602.580144873</v>
      </c>
      <c r="T97" s="84">
        <f t="shared" si="187"/>
        <v>11885942.046704141</v>
      </c>
      <c r="U97" s="84">
        <f t="shared" si="187"/>
        <v>12273269.528406976</v>
      </c>
      <c r="V97" s="84">
        <f t="shared" si="187"/>
        <v>7342141.8535310682</v>
      </c>
      <c r="W97" s="84">
        <f t="shared" ref="W97" si="188">IF(W7=0,0,W7/W29*1000000)</f>
        <v>11979326.30575652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22404868.191498473</v>
      </c>
      <c r="C98" s="84">
        <f t="shared" si="180"/>
        <v>22342701.208759367</v>
      </c>
      <c r="D98" s="84">
        <f t="shared" si="180"/>
        <v>22342562.408440959</v>
      </c>
      <c r="E98" s="84">
        <f t="shared" si="180"/>
        <v>20541246.032499347</v>
      </c>
      <c r="F98" s="84">
        <f t="shared" si="180"/>
        <v>15519490.264094012</v>
      </c>
      <c r="G98" s="84">
        <f t="shared" si="180"/>
        <v>14482520.488341838</v>
      </c>
      <c r="H98" s="84">
        <f t="shared" si="180"/>
        <v>14349816.722047532</v>
      </c>
      <c r="I98" s="84">
        <f t="shared" si="180"/>
        <v>14187641.976421708</v>
      </c>
      <c r="J98" s="84">
        <f t="shared" si="180"/>
        <v>14100079.640894257</v>
      </c>
      <c r="K98" s="84">
        <f t="shared" ref="K98:V98" si="189">IF(K8=0,0,K8/K30*1000000)</f>
        <v>15110101.790489269</v>
      </c>
      <c r="L98" s="84">
        <f t="shared" si="189"/>
        <v>14738854.38284938</v>
      </c>
      <c r="M98" s="84">
        <f t="shared" si="189"/>
        <v>14887122.241954019</v>
      </c>
      <c r="N98" s="84">
        <f t="shared" si="189"/>
        <v>14298664.553948781</v>
      </c>
      <c r="O98" s="84">
        <f t="shared" si="189"/>
        <v>15561592.412996065</v>
      </c>
      <c r="P98" s="84">
        <f t="shared" si="189"/>
        <v>14407147.444093525</v>
      </c>
      <c r="Q98" s="84">
        <f t="shared" si="189"/>
        <v>14786870.00931784</v>
      </c>
      <c r="R98" s="84">
        <f t="shared" si="189"/>
        <v>13464997.905963231</v>
      </c>
      <c r="S98" s="84">
        <f t="shared" si="189"/>
        <v>6673587.7912670588</v>
      </c>
      <c r="T98" s="84">
        <f t="shared" si="189"/>
        <v>6855871.1677721739</v>
      </c>
      <c r="U98" s="84">
        <f t="shared" si="189"/>
        <v>7398106.7381486092</v>
      </c>
      <c r="V98" s="84">
        <f t="shared" si="189"/>
        <v>4731354.2315832451</v>
      </c>
      <c r="W98" s="84">
        <f t="shared" ref="W98" si="190">IF(W8=0,0,W8/W30*1000000)</f>
        <v>6173742.4769896623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89150396.719265386</v>
      </c>
      <c r="K99" s="113">
        <f t="shared" ref="K99:V99" si="191">IF(K9=0,0,K9/K31*1000000)</f>
        <v>95924411.563687816</v>
      </c>
      <c r="L99" s="113">
        <f t="shared" si="191"/>
        <v>90528663.413230374</v>
      </c>
      <c r="M99" s="113">
        <f t="shared" si="191"/>
        <v>79976978.141224727</v>
      </c>
      <c r="N99" s="113">
        <f t="shared" si="191"/>
        <v>71223875.586038202</v>
      </c>
      <c r="O99" s="113">
        <f t="shared" si="191"/>
        <v>66247796.736171909</v>
      </c>
      <c r="P99" s="113">
        <f t="shared" si="191"/>
        <v>46163623.065024756</v>
      </c>
      <c r="Q99" s="113">
        <f t="shared" si="191"/>
        <v>33573544.047290735</v>
      </c>
      <c r="R99" s="113">
        <f t="shared" si="191"/>
        <v>23381575.318648901</v>
      </c>
      <c r="S99" s="113">
        <f t="shared" si="191"/>
        <v>9232724.6130049527</v>
      </c>
      <c r="T99" s="113">
        <f t="shared" si="191"/>
        <v>10731543.543687573</v>
      </c>
      <c r="U99" s="113">
        <f t="shared" si="191"/>
        <v>10431779.75755105</v>
      </c>
      <c r="V99" s="113">
        <f t="shared" si="191"/>
        <v>2398110.2890921957</v>
      </c>
      <c r="W99" s="113">
        <f t="shared" ref="W99" si="192">IF(W9=0,0,W9/W31*1000000)</f>
        <v>37150680.407831915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113658628.27919763</v>
      </c>
      <c r="C100" s="28">
        <f t="shared" si="180"/>
        <v>101942077.42430711</v>
      </c>
      <c r="D100" s="28">
        <f t="shared" si="180"/>
        <v>102546142.76581939</v>
      </c>
      <c r="E100" s="28">
        <f t="shared" si="180"/>
        <v>100962431.57144076</v>
      </c>
      <c r="F100" s="28">
        <f t="shared" si="180"/>
        <v>99532403.154718861</v>
      </c>
      <c r="G100" s="28">
        <f t="shared" si="180"/>
        <v>98786981.111868322</v>
      </c>
      <c r="H100" s="28">
        <f t="shared" si="180"/>
        <v>98128888.93543683</v>
      </c>
      <c r="I100" s="28">
        <f t="shared" si="180"/>
        <v>100257762.34524916</v>
      </c>
      <c r="J100" s="28">
        <f t="shared" si="180"/>
        <v>98783561.820366636</v>
      </c>
      <c r="K100" s="28">
        <f t="shared" ref="K100:V100" si="193">IF(K10=0,0,K10/K32*1000000)</f>
        <v>85054881.987181544</v>
      </c>
      <c r="L100" s="28">
        <f t="shared" si="193"/>
        <v>105991178.47287872</v>
      </c>
      <c r="M100" s="28">
        <f t="shared" si="193"/>
        <v>104658622.51344766</v>
      </c>
      <c r="N100" s="28">
        <f t="shared" si="193"/>
        <v>104090979.47571865</v>
      </c>
      <c r="O100" s="28">
        <f t="shared" si="193"/>
        <v>103493889.97844881</v>
      </c>
      <c r="P100" s="28">
        <f t="shared" si="193"/>
        <v>104214460.68192516</v>
      </c>
      <c r="Q100" s="28">
        <f t="shared" si="193"/>
        <v>102866498.79839611</v>
      </c>
      <c r="R100" s="28">
        <f t="shared" si="193"/>
        <v>100000573.39778323</v>
      </c>
      <c r="S100" s="28">
        <f t="shared" si="193"/>
        <v>104520047.73190886</v>
      </c>
      <c r="T100" s="28">
        <f t="shared" si="193"/>
        <v>83712481.316441908</v>
      </c>
      <c r="U100" s="28">
        <f t="shared" si="193"/>
        <v>89091890.001617208</v>
      </c>
      <c r="V100" s="28">
        <f t="shared" si="193"/>
        <v>83078906.3799344</v>
      </c>
      <c r="W100" s="28">
        <f t="shared" ref="W100" si="194">IF(W10=0,0,W10/W32*1000000)</f>
        <v>84628974.883416176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138334354.906638</v>
      </c>
      <c r="C101" s="84">
        <f t="shared" si="180"/>
        <v>132734932.40051343</v>
      </c>
      <c r="D101" s="84">
        <f t="shared" si="180"/>
        <v>121505393.12623619</v>
      </c>
      <c r="E101" s="84">
        <f t="shared" si="180"/>
        <v>125244772.0923873</v>
      </c>
      <c r="F101" s="84">
        <f t="shared" si="180"/>
        <v>114367371.83879933</v>
      </c>
      <c r="G101" s="84">
        <f t="shared" si="180"/>
        <v>117003445.79341032</v>
      </c>
      <c r="H101" s="84">
        <f t="shared" si="180"/>
        <v>120569529.58232956</v>
      </c>
      <c r="I101" s="84">
        <f t="shared" si="180"/>
        <v>122711035.18999703</v>
      </c>
      <c r="J101" s="84">
        <f t="shared" si="180"/>
        <v>125622053.68925844</v>
      </c>
      <c r="K101" s="84">
        <f t="shared" ref="K101:V101" si="195">IF(K11=0,0,K11/K33*1000000)</f>
        <v>118310043.45851055</v>
      </c>
      <c r="L101" s="84">
        <f t="shared" si="195"/>
        <v>148719822.39476755</v>
      </c>
      <c r="M101" s="84">
        <f t="shared" si="195"/>
        <v>130546915.87830149</v>
      </c>
      <c r="N101" s="84">
        <f t="shared" si="195"/>
        <v>126825213.20329952</v>
      </c>
      <c r="O101" s="84">
        <f t="shared" si="195"/>
        <v>128790512.79322025</v>
      </c>
      <c r="P101" s="84">
        <f t="shared" si="195"/>
        <v>129531536.72699702</v>
      </c>
      <c r="Q101" s="84">
        <f t="shared" si="195"/>
        <v>112628704.44606894</v>
      </c>
      <c r="R101" s="84">
        <f t="shared" si="195"/>
        <v>94676670.396960601</v>
      </c>
      <c r="S101" s="84">
        <f t="shared" si="195"/>
        <v>90850274.993212119</v>
      </c>
      <c r="T101" s="84">
        <f t="shared" si="195"/>
        <v>86637560.29827866</v>
      </c>
      <c r="U101" s="84">
        <f t="shared" si="195"/>
        <v>81584396.694256783</v>
      </c>
      <c r="V101" s="84">
        <f t="shared" si="195"/>
        <v>64746084.457742855</v>
      </c>
      <c r="W101" s="84">
        <f t="shared" ref="W101" si="196">IF(W11=0,0,W11/W33*1000000)</f>
        <v>67605406.782004431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106927287.05882134</v>
      </c>
      <c r="C102" s="86">
        <f t="shared" si="180"/>
        <v>94333395.419176742</v>
      </c>
      <c r="D102" s="86">
        <f t="shared" si="180"/>
        <v>97439987.601458505</v>
      </c>
      <c r="E102" s="86">
        <f t="shared" si="180"/>
        <v>94866757.041778624</v>
      </c>
      <c r="F102" s="86">
        <f t="shared" si="180"/>
        <v>95720603.171408862</v>
      </c>
      <c r="G102" s="86">
        <f t="shared" si="180"/>
        <v>94114668.295863912</v>
      </c>
      <c r="H102" s="86">
        <f t="shared" si="180"/>
        <v>92758478.931362659</v>
      </c>
      <c r="I102" s="86">
        <f t="shared" si="180"/>
        <v>95186039.819006965</v>
      </c>
      <c r="J102" s="86">
        <f t="shared" si="180"/>
        <v>93258787.601927266</v>
      </c>
      <c r="K102" s="86">
        <f t="shared" ref="K102:V102" si="197">IF(K12=0,0,K12/K34*1000000)</f>
        <v>78368647.98158215</v>
      </c>
      <c r="L102" s="86">
        <f t="shared" si="197"/>
        <v>98148327.091401681</v>
      </c>
      <c r="M102" s="86">
        <f t="shared" si="197"/>
        <v>99505394.502608523</v>
      </c>
      <c r="N102" s="86">
        <f t="shared" si="197"/>
        <v>99684146.678444475</v>
      </c>
      <c r="O102" s="86">
        <f t="shared" si="197"/>
        <v>98467960.840715989</v>
      </c>
      <c r="P102" s="86">
        <f t="shared" si="197"/>
        <v>96560706.950759262</v>
      </c>
      <c r="Q102" s="86">
        <f t="shared" si="197"/>
        <v>100235506.24484444</v>
      </c>
      <c r="R102" s="86">
        <f t="shared" si="197"/>
        <v>101211192.9683765</v>
      </c>
      <c r="S102" s="86">
        <f t="shared" si="197"/>
        <v>107001849.66781162</v>
      </c>
      <c r="T102" s="86">
        <f t="shared" si="197"/>
        <v>83337002.042914525</v>
      </c>
      <c r="U102" s="86">
        <f t="shared" si="197"/>
        <v>90008207.483326048</v>
      </c>
      <c r="V102" s="86">
        <f t="shared" si="197"/>
        <v>85209406.092684478</v>
      </c>
      <c r="W102" s="86">
        <f t="shared" ref="W102" si="198">IF(W12=0,0,W12/W34*1000000)</f>
        <v>86359777.083917066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0.98169934640522871</v>
      </c>
      <c r="K107" s="124">
        <f t="shared" ref="K107:V107" si="204">IF(K6=0,0,K6/K$4)</f>
        <v>0.97930142302716683</v>
      </c>
      <c r="L107" s="124">
        <f t="shared" si="204"/>
        <v>0.97928669410150893</v>
      </c>
      <c r="M107" s="124">
        <f t="shared" si="204"/>
        <v>0.98063860667634251</v>
      </c>
      <c r="N107" s="124">
        <f t="shared" si="204"/>
        <v>0.9819726858877087</v>
      </c>
      <c r="O107" s="124">
        <f t="shared" si="204"/>
        <v>0.98372606774668636</v>
      </c>
      <c r="P107" s="124">
        <f t="shared" si="204"/>
        <v>0.98758064516129029</v>
      </c>
      <c r="Q107" s="124">
        <f t="shared" si="204"/>
        <v>0.9910828025477707</v>
      </c>
      <c r="R107" s="124">
        <f t="shared" si="204"/>
        <v>0.99361702127659579</v>
      </c>
      <c r="S107" s="124">
        <f t="shared" si="204"/>
        <v>0.99729824561403513</v>
      </c>
      <c r="T107" s="124">
        <f t="shared" si="204"/>
        <v>0.99684859154929584</v>
      </c>
      <c r="U107" s="124">
        <f t="shared" si="204"/>
        <v>0.99695804195804194</v>
      </c>
      <c r="V107" s="124">
        <f t="shared" si="204"/>
        <v>0.99881656804733732</v>
      </c>
      <c r="W107" s="124">
        <f t="shared" ref="W107" si="205">IF(W6=0,0,W6/W$4)</f>
        <v>0.9464285714285714</v>
      </c>
      <c r="DA107" s="176"/>
    </row>
    <row r="108" spans="1:105" ht="11.45" customHeight="1" x14ac:dyDescent="0.25">
      <c r="A108" s="111" t="s">
        <v>92</v>
      </c>
      <c r="B108" s="125">
        <f t="shared" si="199"/>
        <v>0.39596802689255389</v>
      </c>
      <c r="C108" s="125">
        <f t="shared" si="199"/>
        <v>0.36284687742611083</v>
      </c>
      <c r="D108" s="125">
        <f t="shared" si="199"/>
        <v>0.33740831295843521</v>
      </c>
      <c r="E108" s="125">
        <f t="shared" si="199"/>
        <v>0.33144202976126758</v>
      </c>
      <c r="F108" s="125">
        <f t="shared" si="199"/>
        <v>0.33069840166782494</v>
      </c>
      <c r="G108" s="125">
        <f t="shared" si="199"/>
        <v>0.3264208038649703</v>
      </c>
      <c r="H108" s="125">
        <f t="shared" si="199"/>
        <v>0.32300163132137022</v>
      </c>
      <c r="I108" s="125">
        <f t="shared" si="199"/>
        <v>0.32749217702279843</v>
      </c>
      <c r="J108" s="125">
        <f t="shared" si="199"/>
        <v>0.32052836488180891</v>
      </c>
      <c r="K108" s="125">
        <f t="shared" ref="K108:V108" si="206">IF(K7=0,0,K7/K$4)</f>
        <v>0.31525504301149149</v>
      </c>
      <c r="L108" s="125">
        <f t="shared" si="206"/>
        <v>0.31945096896280928</v>
      </c>
      <c r="M108" s="125">
        <f t="shared" si="206"/>
        <v>0.31654041824421769</v>
      </c>
      <c r="N108" s="125">
        <f t="shared" si="206"/>
        <v>0.31965426933769781</v>
      </c>
      <c r="O108" s="125">
        <f t="shared" si="206"/>
        <v>0.32770048547967029</v>
      </c>
      <c r="P108" s="125">
        <f t="shared" si="206"/>
        <v>0.36659218059601212</v>
      </c>
      <c r="Q108" s="125">
        <f t="shared" si="206"/>
        <v>0.35964705107818806</v>
      </c>
      <c r="R108" s="125">
        <f t="shared" si="206"/>
        <v>0.33185087395519974</v>
      </c>
      <c r="S108" s="125">
        <f t="shared" si="206"/>
        <v>0.3398266443771642</v>
      </c>
      <c r="T108" s="125">
        <f t="shared" si="206"/>
        <v>0.34198188512273109</v>
      </c>
      <c r="U108" s="125">
        <f t="shared" si="206"/>
        <v>0.31982194262451258</v>
      </c>
      <c r="V108" s="125">
        <f t="shared" si="206"/>
        <v>0.29256373838800886</v>
      </c>
      <c r="W108" s="125">
        <f t="shared" ref="W108" si="207">IF(W7=0,0,W7/W$4)</f>
        <v>0.35168100416134901</v>
      </c>
      <c r="DA108" s="171"/>
    </row>
    <row r="109" spans="1:105" ht="11.45" customHeight="1" x14ac:dyDescent="0.25">
      <c r="A109" s="111" t="s">
        <v>93</v>
      </c>
      <c r="B109" s="125">
        <f t="shared" si="199"/>
        <v>0.60403197310744605</v>
      </c>
      <c r="C109" s="125">
        <f t="shared" si="199"/>
        <v>0.63715312257388923</v>
      </c>
      <c r="D109" s="125">
        <f t="shared" si="199"/>
        <v>0.66259168704156479</v>
      </c>
      <c r="E109" s="125">
        <f t="shared" si="199"/>
        <v>0.66855797023873242</v>
      </c>
      <c r="F109" s="125">
        <f t="shared" si="199"/>
        <v>0.66930159833217506</v>
      </c>
      <c r="G109" s="125">
        <f t="shared" si="199"/>
        <v>0.6735791961350297</v>
      </c>
      <c r="H109" s="125">
        <f t="shared" si="199"/>
        <v>0.67699836867862973</v>
      </c>
      <c r="I109" s="125">
        <f t="shared" si="199"/>
        <v>0.67250782297720157</v>
      </c>
      <c r="J109" s="125">
        <f t="shared" si="199"/>
        <v>0.66117098152341991</v>
      </c>
      <c r="K109" s="125">
        <f t="shared" ref="K109:V109" si="208">IF(K8=0,0,K8/K$4)</f>
        <v>0.66404638001567551</v>
      </c>
      <c r="L109" s="125">
        <f t="shared" si="208"/>
        <v>0.65983572513869959</v>
      </c>
      <c r="M109" s="125">
        <f t="shared" si="208"/>
        <v>0.66409818843212487</v>
      </c>
      <c r="N109" s="125">
        <f t="shared" si="208"/>
        <v>0.66231841655001089</v>
      </c>
      <c r="O109" s="125">
        <f t="shared" si="208"/>
        <v>0.65602558226701602</v>
      </c>
      <c r="P109" s="125">
        <f t="shared" si="208"/>
        <v>0.62098846456527823</v>
      </c>
      <c r="Q109" s="125">
        <f t="shared" si="208"/>
        <v>0.63143575146958264</v>
      </c>
      <c r="R109" s="125">
        <f t="shared" si="208"/>
        <v>0.66176614732139605</v>
      </c>
      <c r="S109" s="125">
        <f t="shared" si="208"/>
        <v>0.65747160123687098</v>
      </c>
      <c r="T109" s="125">
        <f t="shared" si="208"/>
        <v>0.65486670642656464</v>
      </c>
      <c r="U109" s="125">
        <f t="shared" si="208"/>
        <v>0.67713609933352936</v>
      </c>
      <c r="V109" s="125">
        <f t="shared" si="208"/>
        <v>0.70625282965932845</v>
      </c>
      <c r="W109" s="125">
        <f t="shared" ref="W109" si="209">IF(W8=0,0,W8/W$4)</f>
        <v>0.59474756726722244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1.8300653594771243E-2</v>
      </c>
      <c r="K110" s="126">
        <f t="shared" ref="K110:V110" si="210">IF(K9=0,0,K9/K$4)</f>
        <v>2.0698576972833119E-2</v>
      </c>
      <c r="L110" s="126">
        <f t="shared" si="210"/>
        <v>2.0713305898491085E-2</v>
      </c>
      <c r="M110" s="126">
        <f t="shared" si="210"/>
        <v>1.9361393323657473E-2</v>
      </c>
      <c r="N110" s="126">
        <f t="shared" si="210"/>
        <v>1.8027314112291352E-2</v>
      </c>
      <c r="O110" s="126">
        <f t="shared" si="210"/>
        <v>1.6273932253313698E-2</v>
      </c>
      <c r="P110" s="126">
        <f t="shared" si="210"/>
        <v>1.2419354838709677E-2</v>
      </c>
      <c r="Q110" s="126">
        <f t="shared" si="210"/>
        <v>8.9171974522292991E-3</v>
      </c>
      <c r="R110" s="126">
        <f t="shared" si="210"/>
        <v>6.382978723404255E-3</v>
      </c>
      <c r="S110" s="126">
        <f t="shared" si="210"/>
        <v>2.7017543859649122E-3</v>
      </c>
      <c r="T110" s="126">
        <f t="shared" si="210"/>
        <v>3.1514084507042253E-3</v>
      </c>
      <c r="U110" s="126">
        <f t="shared" si="210"/>
        <v>3.0419580419580421E-3</v>
      </c>
      <c r="V110" s="126">
        <f t="shared" si="210"/>
        <v>1.1834319526627219E-3</v>
      </c>
      <c r="W110" s="126">
        <f t="shared" ref="W110" si="211">IF(W9=0,0,W9/W$4)</f>
        <v>5.3571428571428568E-2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0.26085661369493984</v>
      </c>
      <c r="C112" s="125">
        <f t="shared" si="212"/>
        <v>0.25798388597867417</v>
      </c>
      <c r="D112" s="125">
        <f t="shared" si="212"/>
        <v>0.25140681681258253</v>
      </c>
      <c r="E112" s="125">
        <f t="shared" si="212"/>
        <v>0.24892137008012682</v>
      </c>
      <c r="F112" s="125">
        <f t="shared" si="212"/>
        <v>0.23488980749944963</v>
      </c>
      <c r="G112" s="125">
        <f t="shared" si="212"/>
        <v>0.24177325220414755</v>
      </c>
      <c r="H112" s="125">
        <f t="shared" si="212"/>
        <v>0.23726339042008915</v>
      </c>
      <c r="I112" s="125">
        <f t="shared" si="212"/>
        <v>0.22552455946607769</v>
      </c>
      <c r="J112" s="125">
        <f t="shared" si="212"/>
        <v>0.21709178923850309</v>
      </c>
      <c r="K112" s="125">
        <f t="shared" ref="K112:V112" si="215">IF(K11=0,0,K11/K$10)</f>
        <v>0.23285239291678575</v>
      </c>
      <c r="L112" s="125">
        <f t="shared" si="215"/>
        <v>0.21760422707648688</v>
      </c>
      <c r="M112" s="125">
        <f t="shared" si="215"/>
        <v>0.20707513936442409</v>
      </c>
      <c r="N112" s="125">
        <f t="shared" si="215"/>
        <v>0.1978300083461218</v>
      </c>
      <c r="O112" s="125">
        <f t="shared" si="215"/>
        <v>0.20626226083411889</v>
      </c>
      <c r="P112" s="125">
        <f t="shared" si="215"/>
        <v>0.28853077318703918</v>
      </c>
      <c r="Q112" s="125">
        <f t="shared" si="215"/>
        <v>0.2324402606806662</v>
      </c>
      <c r="R112" s="125">
        <f t="shared" si="215"/>
        <v>0.17540190824728796</v>
      </c>
      <c r="S112" s="125">
        <f t="shared" si="215"/>
        <v>0.13356076446205201</v>
      </c>
      <c r="T112" s="125">
        <f t="shared" si="215"/>
        <v>0.11773743374388652</v>
      </c>
      <c r="U112" s="125">
        <f t="shared" si="215"/>
        <v>9.9610771308285023E-2</v>
      </c>
      <c r="V112" s="125">
        <f t="shared" si="215"/>
        <v>8.1138708004379639E-2</v>
      </c>
      <c r="W112" s="125">
        <f t="shared" ref="W112" si="216">IF(W11=0,0,W11/W$10)</f>
        <v>7.3723730329828291E-2</v>
      </c>
      <c r="DA112" s="171"/>
    </row>
    <row r="113" spans="1:105" ht="11.45" customHeight="1" x14ac:dyDescent="0.25">
      <c r="A113" s="85" t="s">
        <v>93</v>
      </c>
      <c r="B113" s="127">
        <f t="shared" si="212"/>
        <v>0.73914338630506005</v>
      </c>
      <c r="C113" s="127">
        <f t="shared" si="212"/>
        <v>0.74201611402132583</v>
      </c>
      <c r="D113" s="127">
        <f t="shared" si="212"/>
        <v>0.74859318318741741</v>
      </c>
      <c r="E113" s="127">
        <f t="shared" si="212"/>
        <v>0.75107862991987318</v>
      </c>
      <c r="F113" s="127">
        <f t="shared" si="212"/>
        <v>0.76511019250055035</v>
      </c>
      <c r="G113" s="127">
        <f t="shared" si="212"/>
        <v>0.75822674779585242</v>
      </c>
      <c r="H113" s="127">
        <f t="shared" si="212"/>
        <v>0.76273660957991085</v>
      </c>
      <c r="I113" s="127">
        <f t="shared" si="212"/>
        <v>0.77447544053392237</v>
      </c>
      <c r="J113" s="127">
        <f t="shared" si="212"/>
        <v>0.78290821076149697</v>
      </c>
      <c r="K113" s="127">
        <f t="shared" ref="K113:V113" si="217">IF(K12=0,0,K12/K$10)</f>
        <v>0.76714760708321428</v>
      </c>
      <c r="L113" s="127">
        <f t="shared" si="217"/>
        <v>0.78239577292351303</v>
      </c>
      <c r="M113" s="127">
        <f t="shared" si="217"/>
        <v>0.79292486063557588</v>
      </c>
      <c r="N113" s="127">
        <f t="shared" si="217"/>
        <v>0.80216999165387826</v>
      </c>
      <c r="O113" s="127">
        <f t="shared" si="217"/>
        <v>0.79373773916588108</v>
      </c>
      <c r="P113" s="127">
        <f t="shared" si="217"/>
        <v>0.71146922681296076</v>
      </c>
      <c r="Q113" s="127">
        <f t="shared" si="217"/>
        <v>0.76755973931933374</v>
      </c>
      <c r="R113" s="127">
        <f t="shared" si="217"/>
        <v>0.82459809175271204</v>
      </c>
      <c r="S113" s="127">
        <f t="shared" si="217"/>
        <v>0.86643923553794788</v>
      </c>
      <c r="T113" s="127">
        <f t="shared" si="217"/>
        <v>0.88226256625611355</v>
      </c>
      <c r="U113" s="127">
        <f t="shared" si="217"/>
        <v>0.90038922869171489</v>
      </c>
      <c r="V113" s="127">
        <f t="shared" si="217"/>
        <v>0.91886129199562039</v>
      </c>
      <c r="W113" s="127">
        <f t="shared" ref="W113" si="218">IF(W12=0,0,W12/W$10)</f>
        <v>0.92627626967017163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0.99084782000946259</v>
      </c>
      <c r="K118" s="124">
        <f t="shared" ref="K118:V118" si="224">IF(K17=0,0,K17/K$15)</f>
        <v>0.98928792228732554</v>
      </c>
      <c r="L118" s="124">
        <f t="shared" si="224"/>
        <v>0.98974457464075749</v>
      </c>
      <c r="M118" s="124">
        <f t="shared" si="224"/>
        <v>0.99013237560757761</v>
      </c>
      <c r="N118" s="124">
        <f t="shared" si="224"/>
        <v>0.99122841307890086</v>
      </c>
      <c r="O118" s="124">
        <f t="shared" si="224"/>
        <v>0.99123032177107051</v>
      </c>
      <c r="P118" s="124">
        <f t="shared" si="224"/>
        <v>0.99331945694094048</v>
      </c>
      <c r="Q118" s="124">
        <f t="shared" si="224"/>
        <v>0.99589468307943219</v>
      </c>
      <c r="R118" s="124">
        <f t="shared" si="224"/>
        <v>0.99725047829471358</v>
      </c>
      <c r="S118" s="124">
        <f t="shared" si="224"/>
        <v>0.99929991706039401</v>
      </c>
      <c r="T118" s="124">
        <f t="shared" si="224"/>
        <v>0.99881952222706993</v>
      </c>
      <c r="U118" s="124">
        <f t="shared" si="224"/>
        <v>0.99896750432461234</v>
      </c>
      <c r="V118" s="124">
        <f t="shared" si="224"/>
        <v>0.99918721565122703</v>
      </c>
      <c r="W118" s="124">
        <f t="shared" ref="W118" si="225">IF(W17=0,0,W17/W$15)</f>
        <v>0.95922482344553661</v>
      </c>
      <c r="DA118" s="176"/>
    </row>
    <row r="119" spans="1:105" ht="11.45" customHeight="1" x14ac:dyDescent="0.25">
      <c r="A119" s="111" t="s">
        <v>92</v>
      </c>
      <c r="B119" s="125">
        <f t="shared" si="219"/>
        <v>0.43055053485077327</v>
      </c>
      <c r="C119" s="125">
        <f t="shared" si="219"/>
        <v>0.41428875448832891</v>
      </c>
      <c r="D119" s="125">
        <f t="shared" si="219"/>
        <v>0.40232215014640049</v>
      </c>
      <c r="E119" s="125">
        <f t="shared" si="219"/>
        <v>0.39381970508971453</v>
      </c>
      <c r="F119" s="125">
        <f t="shared" si="219"/>
        <v>0.34179254263314313</v>
      </c>
      <c r="G119" s="125">
        <f t="shared" si="219"/>
        <v>0.31306260181518691</v>
      </c>
      <c r="H119" s="125">
        <f t="shared" si="219"/>
        <v>0.31319428255361886</v>
      </c>
      <c r="I119" s="125">
        <f t="shared" si="219"/>
        <v>0.31556486878696727</v>
      </c>
      <c r="J119" s="125">
        <f t="shared" si="219"/>
        <v>0.29397287470116584</v>
      </c>
      <c r="K119" s="125">
        <f t="shared" ref="K119:V119" si="226">IF(K18=0,0,K18/K$15)</f>
        <v>0.31347056902846288</v>
      </c>
      <c r="L119" s="125">
        <f t="shared" si="226"/>
        <v>0.28812580175610464</v>
      </c>
      <c r="M119" s="125">
        <f t="shared" si="226"/>
        <v>0.34212157996515996</v>
      </c>
      <c r="N119" s="125">
        <f t="shared" si="226"/>
        <v>0.29767575946152047</v>
      </c>
      <c r="O119" s="125">
        <f t="shared" si="226"/>
        <v>0.36789784743401394</v>
      </c>
      <c r="P119" s="125">
        <f t="shared" si="226"/>
        <v>0.43928647047886521</v>
      </c>
      <c r="Q119" s="125">
        <f t="shared" si="226"/>
        <v>0.41013447836089018</v>
      </c>
      <c r="R119" s="125">
        <f t="shared" si="226"/>
        <v>0.36017393431824568</v>
      </c>
      <c r="S119" s="125">
        <f t="shared" si="226"/>
        <v>0.234280001414328</v>
      </c>
      <c r="T119" s="125">
        <f t="shared" si="226"/>
        <v>0.30676210933438719</v>
      </c>
      <c r="U119" s="125">
        <f t="shared" si="226"/>
        <v>0.27951210582419705</v>
      </c>
      <c r="V119" s="125">
        <f t="shared" si="226"/>
        <v>0.23287121018140264</v>
      </c>
      <c r="W119" s="125">
        <f t="shared" ref="W119" si="227">IF(W18=0,0,W18/W$15)</f>
        <v>0.2767099489321071</v>
      </c>
      <c r="DA119" s="171"/>
    </row>
    <row r="120" spans="1:105" ht="11.45" customHeight="1" x14ac:dyDescent="0.25">
      <c r="A120" s="111" t="s">
        <v>93</v>
      </c>
      <c r="B120" s="125">
        <f t="shared" si="219"/>
        <v>0.56944946514922667</v>
      </c>
      <c r="C120" s="125">
        <f t="shared" si="219"/>
        <v>0.58571124551167109</v>
      </c>
      <c r="D120" s="125">
        <f t="shared" si="219"/>
        <v>0.59767784985359951</v>
      </c>
      <c r="E120" s="125">
        <f t="shared" si="219"/>
        <v>0.60618029491028547</v>
      </c>
      <c r="F120" s="125">
        <f t="shared" si="219"/>
        <v>0.65820745736685693</v>
      </c>
      <c r="G120" s="125">
        <f t="shared" si="219"/>
        <v>0.68693739818481303</v>
      </c>
      <c r="H120" s="125">
        <f t="shared" si="219"/>
        <v>0.68680571744638119</v>
      </c>
      <c r="I120" s="125">
        <f t="shared" si="219"/>
        <v>0.68443513121303279</v>
      </c>
      <c r="J120" s="125">
        <f t="shared" si="219"/>
        <v>0.69687494530829674</v>
      </c>
      <c r="K120" s="125">
        <f t="shared" ref="K120:V120" si="228">IF(K19=0,0,K19/K$15)</f>
        <v>0.67581735325886261</v>
      </c>
      <c r="L120" s="125">
        <f t="shared" si="228"/>
        <v>0.7016187728846528</v>
      </c>
      <c r="M120" s="125">
        <f t="shared" si="228"/>
        <v>0.6480107956424177</v>
      </c>
      <c r="N120" s="125">
        <f t="shared" si="228"/>
        <v>0.69355265361738028</v>
      </c>
      <c r="O120" s="125">
        <f t="shared" si="228"/>
        <v>0.62333247433705663</v>
      </c>
      <c r="P120" s="125">
        <f t="shared" si="228"/>
        <v>0.55403298646207533</v>
      </c>
      <c r="Q120" s="125">
        <f t="shared" si="228"/>
        <v>0.58576020471854195</v>
      </c>
      <c r="R120" s="125">
        <f t="shared" si="228"/>
        <v>0.63707654397646785</v>
      </c>
      <c r="S120" s="125">
        <f t="shared" si="228"/>
        <v>0.76501991564606597</v>
      </c>
      <c r="T120" s="125">
        <f t="shared" si="228"/>
        <v>0.69205741289268274</v>
      </c>
      <c r="U120" s="125">
        <f t="shared" si="228"/>
        <v>0.71945539850041518</v>
      </c>
      <c r="V120" s="125">
        <f t="shared" si="228"/>
        <v>0.76631600546982448</v>
      </c>
      <c r="W120" s="125">
        <f t="shared" ref="W120" si="229">IF(W19=0,0,W19/W$15)</f>
        <v>0.68251487451342951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9.1521799905374228E-3</v>
      </c>
      <c r="K121" s="126">
        <f t="shared" ref="K121:V121" si="230">IF(K20=0,0,K20/K$15)</f>
        <v>1.0712077712674378E-2</v>
      </c>
      <c r="L121" s="126">
        <f t="shared" si="230"/>
        <v>1.0255425359242587E-2</v>
      </c>
      <c r="M121" s="126">
        <f t="shared" si="230"/>
        <v>9.8676243924223396E-3</v>
      </c>
      <c r="N121" s="126">
        <f t="shared" si="230"/>
        <v>8.7715869210992468E-3</v>
      </c>
      <c r="O121" s="126">
        <f t="shared" si="230"/>
        <v>8.7696782289294877E-3</v>
      </c>
      <c r="P121" s="126">
        <f t="shared" si="230"/>
        <v>6.6805430590595495E-3</v>
      </c>
      <c r="Q121" s="126">
        <f t="shared" si="230"/>
        <v>4.1053169205677777E-3</v>
      </c>
      <c r="R121" s="126">
        <f t="shared" si="230"/>
        <v>2.749521705286397E-3</v>
      </c>
      <c r="S121" s="126">
        <f t="shared" si="230"/>
        <v>7.0008293960600908E-4</v>
      </c>
      <c r="T121" s="126">
        <f t="shared" si="230"/>
        <v>1.1804777729301516E-3</v>
      </c>
      <c r="U121" s="126">
        <f t="shared" si="230"/>
        <v>1.0324956753876271E-3</v>
      </c>
      <c r="V121" s="126">
        <f t="shared" si="230"/>
        <v>8.1278434877295126E-4</v>
      </c>
      <c r="W121" s="126">
        <f t="shared" ref="W121" si="231">IF(W20=0,0,W20/W$15)</f>
        <v>4.0775176554463353E-2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0.21432567673659553</v>
      </c>
      <c r="C123" s="125">
        <f t="shared" si="232"/>
        <v>0.1981348162013622</v>
      </c>
      <c r="D123" s="125">
        <f t="shared" si="232"/>
        <v>0.21217822292532618</v>
      </c>
      <c r="E123" s="125">
        <f t="shared" si="232"/>
        <v>0.20066070618163032</v>
      </c>
      <c r="F123" s="125">
        <f t="shared" si="232"/>
        <v>0.20442147342176634</v>
      </c>
      <c r="G123" s="125">
        <f t="shared" si="232"/>
        <v>0.20413116465834291</v>
      </c>
      <c r="H123" s="125">
        <f t="shared" si="232"/>
        <v>0.19310346151474445</v>
      </c>
      <c r="I123" s="125">
        <f t="shared" si="232"/>
        <v>0.18425877847316757</v>
      </c>
      <c r="J123" s="125">
        <f t="shared" si="232"/>
        <v>0.14816777257173855</v>
      </c>
      <c r="K123" s="125">
        <f t="shared" ref="K123:V123" si="235">IF(K22=0,0,K22/K$21)</f>
        <v>0.16602657559562323</v>
      </c>
      <c r="L123" s="125">
        <f t="shared" si="235"/>
        <v>0.15368725280743425</v>
      </c>
      <c r="M123" s="125">
        <f t="shared" si="235"/>
        <v>0.16601079821883669</v>
      </c>
      <c r="N123" s="125">
        <f t="shared" si="235"/>
        <v>0.16272249279247683</v>
      </c>
      <c r="O123" s="125">
        <f t="shared" si="235"/>
        <v>0.16574887299486804</v>
      </c>
      <c r="P123" s="125">
        <f t="shared" si="235"/>
        <v>0.23213712066060643</v>
      </c>
      <c r="Q123" s="125">
        <f t="shared" si="235"/>
        <v>0.19293718838672158</v>
      </c>
      <c r="R123" s="125">
        <f t="shared" si="235"/>
        <v>0.14567068781595996</v>
      </c>
      <c r="S123" s="125">
        <f t="shared" si="235"/>
        <v>0.10935613594824058</v>
      </c>
      <c r="T123" s="125">
        <f t="shared" si="235"/>
        <v>7.5286708382466247E-2</v>
      </c>
      <c r="U123" s="125">
        <f t="shared" si="235"/>
        <v>6.698780794760667E-2</v>
      </c>
      <c r="V123" s="125">
        <f t="shared" si="235"/>
        <v>6.039496837924891E-2</v>
      </c>
      <c r="W123" s="125">
        <f t="shared" ref="W123" si="236">IF(W22=0,0,W22/W$21)</f>
        <v>5.1294933520528288E-2</v>
      </c>
      <c r="DA123" s="171"/>
    </row>
    <row r="124" spans="1:105" ht="11.45" customHeight="1" x14ac:dyDescent="0.25">
      <c r="A124" s="85" t="s">
        <v>93</v>
      </c>
      <c r="B124" s="127">
        <f t="shared" si="232"/>
        <v>0.78567432326340447</v>
      </c>
      <c r="C124" s="127">
        <f t="shared" si="232"/>
        <v>0.8018651837986378</v>
      </c>
      <c r="D124" s="127">
        <f t="shared" si="232"/>
        <v>0.78782177707467371</v>
      </c>
      <c r="E124" s="127">
        <f t="shared" si="232"/>
        <v>0.79933929381836966</v>
      </c>
      <c r="F124" s="127">
        <f t="shared" si="232"/>
        <v>0.79557852657823369</v>
      </c>
      <c r="G124" s="127">
        <f t="shared" si="232"/>
        <v>0.79586883534165709</v>
      </c>
      <c r="H124" s="127">
        <f t="shared" si="232"/>
        <v>0.80689653848525555</v>
      </c>
      <c r="I124" s="127">
        <f t="shared" si="232"/>
        <v>0.81574122152683248</v>
      </c>
      <c r="J124" s="127">
        <f t="shared" si="232"/>
        <v>0.85183222742826137</v>
      </c>
      <c r="K124" s="127">
        <f t="shared" ref="K124:V124" si="237">IF(K23=0,0,K23/K$21)</f>
        <v>0.83397342440437672</v>
      </c>
      <c r="L124" s="127">
        <f t="shared" si="237"/>
        <v>0.84631274719256577</v>
      </c>
      <c r="M124" s="127">
        <f t="shared" si="237"/>
        <v>0.83398920178116331</v>
      </c>
      <c r="N124" s="127">
        <f t="shared" si="237"/>
        <v>0.83727750720752314</v>
      </c>
      <c r="O124" s="127">
        <f t="shared" si="237"/>
        <v>0.83425112700513193</v>
      </c>
      <c r="P124" s="127">
        <f t="shared" si="237"/>
        <v>0.76786287933939357</v>
      </c>
      <c r="Q124" s="127">
        <f t="shared" si="237"/>
        <v>0.80706281161327842</v>
      </c>
      <c r="R124" s="127">
        <f t="shared" si="237"/>
        <v>0.85432931218403996</v>
      </c>
      <c r="S124" s="127">
        <f t="shared" si="237"/>
        <v>0.89064386405175933</v>
      </c>
      <c r="T124" s="127">
        <f t="shared" si="237"/>
        <v>0.92471329161753368</v>
      </c>
      <c r="U124" s="127">
        <f t="shared" si="237"/>
        <v>0.93301219205239339</v>
      </c>
      <c r="V124" s="127">
        <f t="shared" si="237"/>
        <v>0.93960503162075104</v>
      </c>
      <c r="W124" s="127">
        <f t="shared" ref="W124" si="238">IF(W23=0,0,W23/W$21)</f>
        <v>0.94870506647947173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23.937145313843502</v>
      </c>
      <c r="C4" s="146">
        <f t="shared" ref="C4:V4" si="0">SUM(C5,C8)</f>
        <v>25.14092863284608</v>
      </c>
      <c r="D4" s="146">
        <f t="shared" si="0"/>
        <v>26.59785038693035</v>
      </c>
      <c r="E4" s="146">
        <f t="shared" si="0"/>
        <v>26.941788478073939</v>
      </c>
      <c r="F4" s="146">
        <f t="shared" si="0"/>
        <v>27.801633705932929</v>
      </c>
      <c r="G4" s="146">
        <f t="shared" si="0"/>
        <v>28.403525365434213</v>
      </c>
      <c r="H4" s="146">
        <f t="shared" si="0"/>
        <v>28.37489251934651</v>
      </c>
      <c r="I4" s="146">
        <f t="shared" si="0"/>
        <v>28.37489251934651</v>
      </c>
      <c r="J4" s="146">
        <f t="shared" si="0"/>
        <v>26.339896818572651</v>
      </c>
      <c r="K4" s="146">
        <f t="shared" si="0"/>
        <v>21.797076526225275</v>
      </c>
      <c r="L4" s="146">
        <f t="shared" si="0"/>
        <v>23.258813413585553</v>
      </c>
      <c r="M4" s="146">
        <f t="shared" si="0"/>
        <v>23.674376612209798</v>
      </c>
      <c r="N4" s="146">
        <f t="shared" si="0"/>
        <v>22.226999140154774</v>
      </c>
      <c r="O4" s="146">
        <f t="shared" si="0"/>
        <v>22.72880481513328</v>
      </c>
      <c r="P4" s="146">
        <f t="shared" si="0"/>
        <v>24.490627687016342</v>
      </c>
      <c r="Q4" s="146">
        <f t="shared" si="0"/>
        <v>24.67730008598452</v>
      </c>
      <c r="R4" s="146">
        <f t="shared" si="0"/>
        <v>23.93215821152193</v>
      </c>
      <c r="S4" s="146">
        <f t="shared" si="0"/>
        <v>28.718572656921744</v>
      </c>
      <c r="T4" s="146">
        <f t="shared" si="0"/>
        <v>27.895442820292345</v>
      </c>
      <c r="U4" s="146">
        <f t="shared" si="0"/>
        <v>26.620378331900259</v>
      </c>
      <c r="V4" s="146">
        <f t="shared" si="0"/>
        <v>22.788392089423905</v>
      </c>
      <c r="W4" s="146">
        <f t="shared" ref="W4" si="1">SUM(W5,W8)</f>
        <v>26.089767841788472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11.297420464316421</v>
      </c>
      <c r="C5" s="101">
        <f t="shared" ref="C5:V5" si="2">SUM(C6:C7)</f>
        <v>11.297420464316421</v>
      </c>
      <c r="D5" s="101">
        <f t="shared" si="2"/>
        <v>12.32441960447119</v>
      </c>
      <c r="E5" s="101">
        <f t="shared" si="2"/>
        <v>12.32441960447119</v>
      </c>
      <c r="F5" s="101">
        <f t="shared" si="2"/>
        <v>12.32441960447119</v>
      </c>
      <c r="G5" s="101">
        <f t="shared" si="2"/>
        <v>12.32441960447119</v>
      </c>
      <c r="H5" s="101">
        <f t="shared" si="2"/>
        <v>12.209802235597589</v>
      </c>
      <c r="I5" s="101">
        <f t="shared" si="2"/>
        <v>12.209802235597589</v>
      </c>
      <c r="J5" s="101">
        <f t="shared" si="2"/>
        <v>10.17480653482373</v>
      </c>
      <c r="K5" s="101">
        <f t="shared" si="2"/>
        <v>9.1573516766981928</v>
      </c>
      <c r="L5" s="101">
        <f t="shared" si="2"/>
        <v>9.1573516766981928</v>
      </c>
      <c r="M5" s="101">
        <f t="shared" si="2"/>
        <v>10.17480653482373</v>
      </c>
      <c r="N5" s="101">
        <f t="shared" si="2"/>
        <v>9.1573516766981928</v>
      </c>
      <c r="O5" s="101">
        <f t="shared" si="2"/>
        <v>10.17506448839209</v>
      </c>
      <c r="P5" s="101">
        <f t="shared" si="2"/>
        <v>13.226655202063631</v>
      </c>
      <c r="Q5" s="101">
        <f t="shared" si="2"/>
        <v>12.209544282029229</v>
      </c>
      <c r="R5" s="101">
        <f t="shared" si="2"/>
        <v>10.17463456577816</v>
      </c>
      <c r="S5" s="101">
        <f t="shared" si="2"/>
        <v>9.3604471195184846</v>
      </c>
      <c r="T5" s="101">
        <f t="shared" si="2"/>
        <v>8.5180567497850372</v>
      </c>
      <c r="U5" s="101">
        <f t="shared" si="2"/>
        <v>7.5061049011177987</v>
      </c>
      <c r="V5" s="101">
        <f t="shared" si="2"/>
        <v>5.5137575236457437</v>
      </c>
      <c r="W5" s="101">
        <f t="shared" ref="W5" si="3">SUM(W6:W7)</f>
        <v>6.6675838349097152</v>
      </c>
      <c r="DA5" s="175"/>
    </row>
    <row r="6" spans="1:105" ht="11.45" customHeight="1" x14ac:dyDescent="0.25">
      <c r="A6" s="164" t="s">
        <v>182</v>
      </c>
      <c r="B6" s="165">
        <v>11.297420464316421</v>
      </c>
      <c r="C6" s="165">
        <v>11.297420464316421</v>
      </c>
      <c r="D6" s="165">
        <v>12.32441960447119</v>
      </c>
      <c r="E6" s="165">
        <v>12.32441960447119</v>
      </c>
      <c r="F6" s="165">
        <v>12.32441960447119</v>
      </c>
      <c r="G6" s="165">
        <v>12.32441960447119</v>
      </c>
      <c r="H6" s="165">
        <v>12.209802235597589</v>
      </c>
      <c r="I6" s="165">
        <v>12.209802235597589</v>
      </c>
      <c r="J6" s="165">
        <v>10.17480653482373</v>
      </c>
      <c r="K6" s="165">
        <v>9.1573516766981928</v>
      </c>
      <c r="L6" s="165">
        <v>9.1573516766981928</v>
      </c>
      <c r="M6" s="165">
        <v>10.17480653482373</v>
      </c>
      <c r="N6" s="165">
        <v>9.1573516766981928</v>
      </c>
      <c r="O6" s="165">
        <v>10.17506448839209</v>
      </c>
      <c r="P6" s="165">
        <v>13.226655202063631</v>
      </c>
      <c r="Q6" s="165">
        <v>12.209544282029229</v>
      </c>
      <c r="R6" s="165">
        <v>10.17463456577816</v>
      </c>
      <c r="S6" s="165">
        <v>9.3604471195184846</v>
      </c>
      <c r="T6" s="165">
        <v>8.5180567497850372</v>
      </c>
      <c r="U6" s="165">
        <v>7.5061049011177987</v>
      </c>
      <c r="V6" s="165">
        <v>5.5137575236457437</v>
      </c>
      <c r="W6" s="165">
        <v>6.6675838349097152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12.639724849527081</v>
      </c>
      <c r="C8" s="88">
        <v>13.843508168529659</v>
      </c>
      <c r="D8" s="88">
        <v>14.27343078245916</v>
      </c>
      <c r="E8" s="88">
        <v>14.61736887360275</v>
      </c>
      <c r="F8" s="88">
        <v>15.47721410146174</v>
      </c>
      <c r="G8" s="88">
        <v>16.079105760963021</v>
      </c>
      <c r="H8" s="88">
        <v>16.165090283748921</v>
      </c>
      <c r="I8" s="88">
        <v>16.165090283748921</v>
      </c>
      <c r="J8" s="88">
        <v>16.165090283748921</v>
      </c>
      <c r="K8" s="88">
        <v>12.639724849527081</v>
      </c>
      <c r="L8" s="88">
        <v>14.10146173688736</v>
      </c>
      <c r="M8" s="88">
        <v>13.499570077386069</v>
      </c>
      <c r="N8" s="88">
        <v>13.06964746345658</v>
      </c>
      <c r="O8" s="88">
        <v>12.55374032674119</v>
      </c>
      <c r="P8" s="88">
        <v>11.26397248495271</v>
      </c>
      <c r="Q8" s="88">
        <v>12.46775580395529</v>
      </c>
      <c r="R8" s="88">
        <v>13.75752364574377</v>
      </c>
      <c r="S8" s="88">
        <v>19.358125537403261</v>
      </c>
      <c r="T8" s="88">
        <v>19.37738607050731</v>
      </c>
      <c r="U8" s="88">
        <v>19.114273430782461</v>
      </c>
      <c r="V8" s="88">
        <v>17.274634565778161</v>
      </c>
      <c r="W8" s="88">
        <v>19.422184006878759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23.937145313843502</v>
      </c>
      <c r="C10" s="62">
        <f t="shared" ref="C10:V10" si="5">SUM(C11,C17)</f>
        <v>25.14092863284608</v>
      </c>
      <c r="D10" s="62">
        <f t="shared" si="5"/>
        <v>26.597850386930347</v>
      </c>
      <c r="E10" s="62">
        <f t="shared" si="5"/>
        <v>26.941788478073939</v>
      </c>
      <c r="F10" s="62">
        <f t="shared" si="5"/>
        <v>27.801633705932929</v>
      </c>
      <c r="G10" s="62">
        <f t="shared" si="5"/>
        <v>28.403525365434213</v>
      </c>
      <c r="H10" s="62">
        <f t="shared" si="5"/>
        <v>28.37489251934651</v>
      </c>
      <c r="I10" s="62">
        <f t="shared" si="5"/>
        <v>28.37489251934651</v>
      </c>
      <c r="J10" s="62">
        <f t="shared" si="5"/>
        <v>26.339896818572655</v>
      </c>
      <c r="K10" s="62">
        <f t="shared" si="5"/>
        <v>21.797076526225275</v>
      </c>
      <c r="L10" s="62">
        <f t="shared" si="5"/>
        <v>23.25881341358555</v>
      </c>
      <c r="M10" s="62">
        <f t="shared" si="5"/>
        <v>23.674376612209798</v>
      </c>
      <c r="N10" s="62">
        <f t="shared" si="5"/>
        <v>22.226999140154774</v>
      </c>
      <c r="O10" s="62">
        <f t="shared" si="5"/>
        <v>22.72880481513328</v>
      </c>
      <c r="P10" s="62">
        <f t="shared" si="5"/>
        <v>24.490627687016342</v>
      </c>
      <c r="Q10" s="62">
        <f t="shared" si="5"/>
        <v>24.67730008598452</v>
      </c>
      <c r="R10" s="62">
        <f t="shared" si="5"/>
        <v>23.93215821152193</v>
      </c>
      <c r="S10" s="62">
        <f t="shared" si="5"/>
        <v>28.718572656921744</v>
      </c>
      <c r="T10" s="62">
        <f t="shared" si="5"/>
        <v>27.895442820292345</v>
      </c>
      <c r="U10" s="62">
        <f t="shared" si="5"/>
        <v>26.620378331900255</v>
      </c>
      <c r="V10" s="62">
        <f t="shared" si="5"/>
        <v>22.788392089423901</v>
      </c>
      <c r="W10" s="62">
        <f t="shared" ref="W10" si="6">SUM(W11,W17)</f>
        <v>26.089767841788476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10.051627045338581</v>
      </c>
      <c r="C11" s="29">
        <f t="shared" ref="C11:V11" si="8">SUM(C12,C13,C16)</f>
        <v>10.185715447296154</v>
      </c>
      <c r="D11" s="29">
        <f t="shared" si="8"/>
        <v>10.667740205291002</v>
      </c>
      <c r="E11" s="29">
        <f t="shared" si="8"/>
        <v>11.649298923777243</v>
      </c>
      <c r="F11" s="29">
        <f t="shared" si="8"/>
        <v>12.049685230210645</v>
      </c>
      <c r="G11" s="29">
        <f t="shared" si="8"/>
        <v>12.374959222250588</v>
      </c>
      <c r="H11" s="29">
        <f t="shared" si="8"/>
        <v>12.409900564473379</v>
      </c>
      <c r="I11" s="29">
        <f t="shared" si="8"/>
        <v>12.534541524171637</v>
      </c>
      <c r="J11" s="29">
        <f t="shared" si="8"/>
        <v>12.212136629553601</v>
      </c>
      <c r="K11" s="29">
        <f t="shared" si="8"/>
        <v>11.027853555571847</v>
      </c>
      <c r="L11" s="29">
        <f t="shared" si="8"/>
        <v>10.654275736947113</v>
      </c>
      <c r="M11" s="29">
        <f t="shared" si="8"/>
        <v>9.7181175221685301</v>
      </c>
      <c r="N11" s="29">
        <f t="shared" si="8"/>
        <v>9.7186416663566373</v>
      </c>
      <c r="O11" s="29">
        <f t="shared" si="8"/>
        <v>9.1175518782223861</v>
      </c>
      <c r="P11" s="29">
        <f t="shared" si="8"/>
        <v>8.5941169827497088</v>
      </c>
      <c r="Q11" s="29">
        <f t="shared" si="8"/>
        <v>9.89091092379158</v>
      </c>
      <c r="R11" s="29">
        <f t="shared" si="8"/>
        <v>9.7472827162942774</v>
      </c>
      <c r="S11" s="29">
        <f t="shared" si="8"/>
        <v>13.956054196754112</v>
      </c>
      <c r="T11" s="29">
        <f t="shared" si="8"/>
        <v>10.557468294180833</v>
      </c>
      <c r="U11" s="29">
        <f t="shared" si="8"/>
        <v>10.280523858243564</v>
      </c>
      <c r="V11" s="29">
        <f t="shared" si="8"/>
        <v>7.7582465541313583</v>
      </c>
      <c r="W11" s="29">
        <f t="shared" ref="W11" si="9">SUM(W12,W13,W16)</f>
        <v>10.624556679215877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10.051627045338581</v>
      </c>
      <c r="C13" s="116">
        <f t="shared" ref="C13:V13" si="11">SUM(C14:C15)</f>
        <v>10.185715447296154</v>
      </c>
      <c r="D13" s="116">
        <f t="shared" si="11"/>
        <v>10.667740205291002</v>
      </c>
      <c r="E13" s="116">
        <f t="shared" si="11"/>
        <v>11.649298923777243</v>
      </c>
      <c r="F13" s="116">
        <f t="shared" si="11"/>
        <v>12.049685230210645</v>
      </c>
      <c r="G13" s="116">
        <f t="shared" si="11"/>
        <v>12.374959222250588</v>
      </c>
      <c r="H13" s="116">
        <f t="shared" si="11"/>
        <v>12.409900564473379</v>
      </c>
      <c r="I13" s="116">
        <f t="shared" si="11"/>
        <v>12.534541524171637</v>
      </c>
      <c r="J13" s="116">
        <f t="shared" si="11"/>
        <v>12.056528709440865</v>
      </c>
      <c r="K13" s="116">
        <f t="shared" si="11"/>
        <v>10.861625294380953</v>
      </c>
      <c r="L13" s="116">
        <f t="shared" si="11"/>
        <v>10.497490397584766</v>
      </c>
      <c r="M13" s="116">
        <f t="shared" si="11"/>
        <v>9.5843031308162203</v>
      </c>
      <c r="N13" s="116">
        <f t="shared" si="11"/>
        <v>9.5955438872300363</v>
      </c>
      <c r="O13" s="116">
        <f t="shared" si="11"/>
        <v>9.0059707658074863</v>
      </c>
      <c r="P13" s="116">
        <f t="shared" si="11"/>
        <v>8.5157750758600486</v>
      </c>
      <c r="Q13" s="116">
        <f t="shared" si="11"/>
        <v>9.8331447456188528</v>
      </c>
      <c r="R13" s="116">
        <f t="shared" si="11"/>
        <v>9.7077114152105182</v>
      </c>
      <c r="S13" s="116">
        <f t="shared" si="11"/>
        <v>13.940440693755425</v>
      </c>
      <c r="T13" s="116">
        <f t="shared" si="11"/>
        <v>10.538431365120719</v>
      </c>
      <c r="U13" s="116">
        <f t="shared" si="11"/>
        <v>10.264025941984151</v>
      </c>
      <c r="V13" s="116">
        <f t="shared" si="11"/>
        <v>7.7481447303875441</v>
      </c>
      <c r="W13" s="116">
        <f t="shared" ref="W13" si="12">SUM(W14:W15)</f>
        <v>9.9687860982096961</v>
      </c>
      <c r="DA13" s="176" t="s">
        <v>396</v>
      </c>
    </row>
    <row r="14" spans="1:105" ht="11.45" customHeight="1" x14ac:dyDescent="0.25">
      <c r="A14" s="111" t="s">
        <v>95</v>
      </c>
      <c r="B14" s="87">
        <v>5.6581357691942165</v>
      </c>
      <c r="C14" s="87">
        <v>5.5629799348110414</v>
      </c>
      <c r="D14" s="87">
        <v>5.717167003541503</v>
      </c>
      <c r="E14" s="87">
        <v>6.1436322908609293</v>
      </c>
      <c r="F14" s="87">
        <v>5.7061890915319022</v>
      </c>
      <c r="G14" s="87">
        <v>5.5034840701258529</v>
      </c>
      <c r="H14" s="87">
        <v>5.5211835533986262</v>
      </c>
      <c r="I14" s="87">
        <v>5.6452166753898565</v>
      </c>
      <c r="J14" s="87">
        <v>5.1747210509430159</v>
      </c>
      <c r="K14" s="87">
        <v>4.9405988126222207</v>
      </c>
      <c r="L14" s="87">
        <v>4.423369218941013</v>
      </c>
      <c r="M14" s="87">
        <v>4.6192480068375348</v>
      </c>
      <c r="N14" s="87">
        <v>4.1698959450777009</v>
      </c>
      <c r="O14" s="87">
        <v>4.6064546052105015</v>
      </c>
      <c r="P14" s="87">
        <v>4.9799230545499427</v>
      </c>
      <c r="Q14" s="87">
        <v>5.4253491888267904</v>
      </c>
      <c r="R14" s="87">
        <v>4.8199532571707717</v>
      </c>
      <c r="S14" s="87">
        <v>4.8667551038135795</v>
      </c>
      <c r="T14" s="87">
        <v>4.6137467028439261</v>
      </c>
      <c r="U14" s="87">
        <v>4.1694050053154825</v>
      </c>
      <c r="V14" s="87">
        <v>2.7038811727334635</v>
      </c>
      <c r="W14" s="87">
        <v>4.159721503208992</v>
      </c>
      <c r="DA14" s="171" t="s">
        <v>1106</v>
      </c>
    </row>
    <row r="15" spans="1:105" ht="11.45" customHeight="1" x14ac:dyDescent="0.25">
      <c r="A15" s="111" t="s">
        <v>93</v>
      </c>
      <c r="B15" s="87">
        <v>4.3934912761443643</v>
      </c>
      <c r="C15" s="87">
        <v>4.6227355124851126</v>
      </c>
      <c r="D15" s="87">
        <v>4.9505732017494992</v>
      </c>
      <c r="E15" s="87">
        <v>5.5056666329163138</v>
      </c>
      <c r="F15" s="87">
        <v>6.3434961386787432</v>
      </c>
      <c r="G15" s="87">
        <v>6.8714751521247353</v>
      </c>
      <c r="H15" s="87">
        <v>6.8887170110747524</v>
      </c>
      <c r="I15" s="87">
        <v>6.8893248487817802</v>
      </c>
      <c r="J15" s="87">
        <v>6.8818076584978494</v>
      </c>
      <c r="K15" s="87">
        <v>5.9210264817587328</v>
      </c>
      <c r="L15" s="87">
        <v>6.0741211786437521</v>
      </c>
      <c r="M15" s="87">
        <v>4.9650551239786864</v>
      </c>
      <c r="N15" s="87">
        <v>5.4256479421523345</v>
      </c>
      <c r="O15" s="87">
        <v>4.3995161605969839</v>
      </c>
      <c r="P15" s="87">
        <v>3.5358520213101055</v>
      </c>
      <c r="Q15" s="87">
        <v>4.4077955567920624</v>
      </c>
      <c r="R15" s="87">
        <v>4.8877581580397456</v>
      </c>
      <c r="S15" s="87">
        <v>9.0736855899418458</v>
      </c>
      <c r="T15" s="87">
        <v>5.9246846622767926</v>
      </c>
      <c r="U15" s="87">
        <v>6.0946209366686697</v>
      </c>
      <c r="V15" s="87">
        <v>5.0442635576540811</v>
      </c>
      <c r="W15" s="87">
        <v>5.809064595000704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0.15560792011273678</v>
      </c>
      <c r="K16" s="117">
        <v>0.16622826119089251</v>
      </c>
      <c r="L16" s="117">
        <v>0.15678533936234818</v>
      </c>
      <c r="M16" s="117">
        <v>0.13381439135230969</v>
      </c>
      <c r="N16" s="117">
        <v>0.12309777912660166</v>
      </c>
      <c r="O16" s="117">
        <v>0.1115811124148996</v>
      </c>
      <c r="P16" s="117">
        <v>7.8341906889659529E-2</v>
      </c>
      <c r="Q16" s="117">
        <v>5.7766178172727667E-2</v>
      </c>
      <c r="R16" s="117">
        <v>3.9571301083758628E-2</v>
      </c>
      <c r="S16" s="117">
        <v>1.5613502998687223E-2</v>
      </c>
      <c r="T16" s="117">
        <v>1.9036929060114515E-2</v>
      </c>
      <c r="U16" s="117">
        <v>1.6497916259412982E-2</v>
      </c>
      <c r="V16" s="117">
        <v>1.0101823743813772E-2</v>
      </c>
      <c r="W16" s="117">
        <v>0.6557705810061798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13.885518268504921</v>
      </c>
      <c r="C17" s="29">
        <f t="shared" si="13"/>
        <v>14.955213185549926</v>
      </c>
      <c r="D17" s="29">
        <f t="shared" si="13"/>
        <v>15.930110181639346</v>
      </c>
      <c r="E17" s="29">
        <f t="shared" si="13"/>
        <v>15.292489554296697</v>
      </c>
      <c r="F17" s="29">
        <f t="shared" si="13"/>
        <v>15.751948475722285</v>
      </c>
      <c r="G17" s="29">
        <f t="shared" si="13"/>
        <v>16.028566143183625</v>
      </c>
      <c r="H17" s="29">
        <f t="shared" si="13"/>
        <v>15.964991954873131</v>
      </c>
      <c r="I17" s="29">
        <f t="shared" si="13"/>
        <v>15.840350995174873</v>
      </c>
      <c r="J17" s="29">
        <f t="shared" si="13"/>
        <v>14.127760189019051</v>
      </c>
      <c r="K17" s="29">
        <f t="shared" si="13"/>
        <v>10.769222970653429</v>
      </c>
      <c r="L17" s="29">
        <f t="shared" si="13"/>
        <v>12.604537676638438</v>
      </c>
      <c r="M17" s="29">
        <f t="shared" si="13"/>
        <v>13.956259090041268</v>
      </c>
      <c r="N17" s="29">
        <f t="shared" si="13"/>
        <v>12.508357473798135</v>
      </c>
      <c r="O17" s="29">
        <f t="shared" si="13"/>
        <v>13.611252936910894</v>
      </c>
      <c r="P17" s="29">
        <f t="shared" si="13"/>
        <v>15.896510704266632</v>
      </c>
      <c r="Q17" s="29">
        <f t="shared" si="13"/>
        <v>14.78638916219294</v>
      </c>
      <c r="R17" s="29">
        <f t="shared" si="13"/>
        <v>14.184875495227654</v>
      </c>
      <c r="S17" s="29">
        <f t="shared" si="13"/>
        <v>14.762518460167634</v>
      </c>
      <c r="T17" s="29">
        <f t="shared" si="13"/>
        <v>17.337974526111513</v>
      </c>
      <c r="U17" s="29">
        <f t="shared" si="13"/>
        <v>16.339854473656693</v>
      </c>
      <c r="V17" s="29">
        <f t="shared" si="13"/>
        <v>15.030145535292544</v>
      </c>
      <c r="W17" s="29">
        <f t="shared" si="13"/>
        <v>15.465211162572599</v>
      </c>
      <c r="DA17" s="173" t="s">
        <v>401</v>
      </c>
    </row>
    <row r="18" spans="1:105" ht="11.45" customHeight="1" x14ac:dyDescent="0.25">
      <c r="A18" s="83" t="s">
        <v>95</v>
      </c>
      <c r="B18" s="87">
        <v>5.6392846951222042</v>
      </c>
      <c r="C18" s="87">
        <v>5.7344405295053784</v>
      </c>
      <c r="D18" s="87">
        <v>6.6072526009296864</v>
      </c>
      <c r="E18" s="87">
        <v>6.1807873136102609</v>
      </c>
      <c r="F18" s="87">
        <v>6.618230512939288</v>
      </c>
      <c r="G18" s="87">
        <v>6.8209355343453373</v>
      </c>
      <c r="H18" s="87">
        <v>6.6886186821989631</v>
      </c>
      <c r="I18" s="87">
        <v>6.5645855602077336</v>
      </c>
      <c r="J18" s="87">
        <v>5.0000854838807154</v>
      </c>
      <c r="K18" s="87">
        <v>4.2167528640759731</v>
      </c>
      <c r="L18" s="87">
        <v>4.7339824577571799</v>
      </c>
      <c r="M18" s="87">
        <v>5.5555585279861948</v>
      </c>
      <c r="N18" s="87">
        <v>4.9874557316204919</v>
      </c>
      <c r="O18" s="87">
        <v>5.5686098831815887</v>
      </c>
      <c r="P18" s="87">
        <v>8.2467321475136863</v>
      </c>
      <c r="Q18" s="87">
        <v>6.7841950932024382</v>
      </c>
      <c r="R18" s="87">
        <v>5.3546813086073888</v>
      </c>
      <c r="S18" s="87">
        <v>4.4936920157049052</v>
      </c>
      <c r="T18" s="87">
        <v>3.9043100469411116</v>
      </c>
      <c r="U18" s="87">
        <v>3.3366998958023162</v>
      </c>
      <c r="V18" s="87">
        <v>2.8098763509122806</v>
      </c>
      <c r="W18" s="87">
        <v>2.5078623317007227</v>
      </c>
      <c r="DA18" s="171" t="s">
        <v>1108</v>
      </c>
    </row>
    <row r="19" spans="1:105" ht="11.45" customHeight="1" x14ac:dyDescent="0.25">
      <c r="A19" s="85" t="s">
        <v>93</v>
      </c>
      <c r="B19" s="88">
        <v>8.2462335733827175</v>
      </c>
      <c r="C19" s="88">
        <v>9.2207726560445469</v>
      </c>
      <c r="D19" s="88">
        <v>9.3228575807096608</v>
      </c>
      <c r="E19" s="88">
        <v>9.1117022406864354</v>
      </c>
      <c r="F19" s="88">
        <v>9.1337179627829972</v>
      </c>
      <c r="G19" s="88">
        <v>9.2076306088382864</v>
      </c>
      <c r="H19" s="88">
        <v>9.2763732726741672</v>
      </c>
      <c r="I19" s="88">
        <v>9.2757654349671395</v>
      </c>
      <c r="J19" s="88">
        <v>9.127674705138336</v>
      </c>
      <c r="K19" s="88">
        <v>6.5524701065774558</v>
      </c>
      <c r="L19" s="88">
        <v>7.8705552188812584</v>
      </c>
      <c r="M19" s="88">
        <v>8.4007005620550732</v>
      </c>
      <c r="N19" s="88">
        <v>7.5209017421776441</v>
      </c>
      <c r="O19" s="88">
        <v>8.0426430537293054</v>
      </c>
      <c r="P19" s="88">
        <v>7.6497785567529446</v>
      </c>
      <c r="Q19" s="88">
        <v>8.0021940689905016</v>
      </c>
      <c r="R19" s="88">
        <v>8.8301941866202664</v>
      </c>
      <c r="S19" s="88">
        <v>10.268826444462729</v>
      </c>
      <c r="T19" s="88">
        <v>13.433664479170401</v>
      </c>
      <c r="U19" s="88">
        <v>13.003154577854378</v>
      </c>
      <c r="V19" s="88">
        <v>12.220269184380264</v>
      </c>
      <c r="W19" s="88">
        <v>12.957348830871876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238.56194549632028</v>
      </c>
      <c r="C23" s="62">
        <f>IF(C10=0,0,C10/TrRail_act!C14*100)</f>
        <v>233.05125383080539</v>
      </c>
      <c r="D23" s="62">
        <f>IF(D10=0,0,D10/TrRail_act!D14*100)</f>
        <v>229.73111971269438</v>
      </c>
      <c r="E23" s="62">
        <f>IF(E10=0,0,E10/TrRail_act!E14*100)</f>
        <v>220.17962941371101</v>
      </c>
      <c r="F23" s="62">
        <f>IF(F10=0,0,F10/TrRail_act!F14*100)</f>
        <v>211.2880149491657</v>
      </c>
      <c r="G23" s="62">
        <f>IF(G10=0,0,G10/TrRail_act!G14*100)</f>
        <v>205.20822696187705</v>
      </c>
      <c r="H23" s="62">
        <f>IF(H10=0,0,H10/TrRail_act!H14*100)</f>
        <v>197.94682348276262</v>
      </c>
      <c r="I23" s="62">
        <f>IF(I10=0,0,I10/TrRail_act!I14*100)</f>
        <v>190.75758841972487</v>
      </c>
      <c r="J23" s="62">
        <f>IF(J10=0,0,J10/TrRail_act!J14*100)</f>
        <v>179.67948324832474</v>
      </c>
      <c r="K23" s="62">
        <f>IF(K10=0,0,K10/TrRail_act!K14*100)</f>
        <v>177.13781725912301</v>
      </c>
      <c r="L23" s="62">
        <f>IF(L10=0,0,L10/TrRail_act!L14*100)</f>
        <v>173.28958457292413</v>
      </c>
      <c r="M23" s="62">
        <f>IF(M10=0,0,M10/TrRail_act!M14*100)</f>
        <v>175.97643562694651</v>
      </c>
      <c r="N23" s="62">
        <f>IF(N10=0,0,N10/TrRail_act!N14*100)</f>
        <v>168.08063895296885</v>
      </c>
      <c r="O23" s="62">
        <f>IF(O10=0,0,O10/TrRail_act!O14*100)</f>
        <v>169.26667864436271</v>
      </c>
      <c r="P23" s="62">
        <f>IF(P10=0,0,P10/TrRail_act!P14*100)</f>
        <v>180.59906295387367</v>
      </c>
      <c r="Q23" s="62">
        <f>IF(Q10=0,0,Q10/TrRail_act!Q14*100)</f>
        <v>166.85233933385308</v>
      </c>
      <c r="R23" s="62">
        <f>IF(R10=0,0,R10/TrRail_act!R14*100)</f>
        <v>155.54363291475099</v>
      </c>
      <c r="S23" s="62">
        <f>IF(S10=0,0,S10/TrRail_act!S14*100)</f>
        <v>141.22732650930314</v>
      </c>
      <c r="T23" s="62">
        <f>IF(T10=0,0,T10/TrRail_act!T14*100)</f>
        <v>140.98949629875491</v>
      </c>
      <c r="U23" s="62">
        <f>IF(U10=0,0,U10/TrRail_act!U14*100)</f>
        <v>138.01753514842167</v>
      </c>
      <c r="V23" s="62">
        <f>IF(V10=0,0,V10/TrRail_act!V14*100)</f>
        <v>135.63233613518969</v>
      </c>
      <c r="W23" s="62">
        <f>IF(W10=0,0,W10/TrRail_act!W14*100)</f>
        <v>135.99768112148857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200.76760821535896</v>
      </c>
      <c r="C24" s="29">
        <f>IF(C11=0,0,C11/TrRail_act!C15*100)</f>
        <v>195.0606534540396</v>
      </c>
      <c r="D24" s="29">
        <f>IF(D11=0,0,D11/TrRail_act!D15*100)</f>
        <v>191.36103820887649</v>
      </c>
      <c r="E24" s="29">
        <f>IF(E11=0,0,E11/TrRail_act!E15*100)</f>
        <v>186.15600193225634</v>
      </c>
      <c r="F24" s="29">
        <f>IF(F11=0,0,F11/TrRail_act!F15*100)</f>
        <v>176.40790002023542</v>
      </c>
      <c r="G24" s="29">
        <f>IF(G11=0,0,G11/TrRail_act!G15*100)</f>
        <v>170.18142263752918</v>
      </c>
      <c r="H24" s="29">
        <f>IF(H11=0,0,H11/TrRail_act!H15*100)</f>
        <v>166.35318314101829</v>
      </c>
      <c r="I24" s="29">
        <f>IF(I11=0,0,I11/TrRail_act!I15*100)</f>
        <v>163.05369981698502</v>
      </c>
      <c r="J24" s="29">
        <f>IF(J11=0,0,J11/TrRail_act!J15*100)</f>
        <v>158.16180071138152</v>
      </c>
      <c r="K24" s="29">
        <f>IF(K11=0,0,K11/TrRail_act!K15*100)</f>
        <v>157.38485994919489</v>
      </c>
      <c r="L24" s="29">
        <f>IF(L11=0,0,L11/TrRail_act!L15*100)</f>
        <v>152.69831773190279</v>
      </c>
      <c r="M24" s="29">
        <f>IF(M11=0,0,M11/TrRail_act!M15*100)</f>
        <v>154.6689250164147</v>
      </c>
      <c r="N24" s="29">
        <f>IF(N11=0,0,N11/TrRail_act!N15*100)</f>
        <v>147.20989190676684</v>
      </c>
      <c r="O24" s="29">
        <f>IF(O11=0,0,O11/TrRail_act!O15*100)</f>
        <v>149.80420835144173</v>
      </c>
      <c r="P24" s="29">
        <f>IF(P11=0,0,P11/TrRail_act!P15*100)</f>
        <v>151.48646057481363</v>
      </c>
      <c r="Q24" s="29">
        <f>IF(Q11=0,0,Q11/TrRail_act!Q15*100)</f>
        <v>144.02979854802541</v>
      </c>
      <c r="R24" s="29">
        <f>IF(R11=0,0,R11/TrRail_act!R15*100)</f>
        <v>137.86196191365258</v>
      </c>
      <c r="S24" s="29">
        <f>IF(S11=0,0,S11/TrRail_act!S15*100)</f>
        <v>126.75107607391654</v>
      </c>
      <c r="T24" s="29">
        <f>IF(T11=0,0,T11/TrRail_act!T15*100)</f>
        <v>132.11508826532094</v>
      </c>
      <c r="U24" s="29">
        <f>IF(U11=0,0,U11/TrRail_act!U15*100)</f>
        <v>129.47919399468321</v>
      </c>
      <c r="V24" s="29">
        <f>IF(V11=0,0,V11/TrRail_act!V15*100)</f>
        <v>125.36033146531447</v>
      </c>
      <c r="W24" s="29">
        <f>IF(W11=0,0,W11/TrRail_act!W15*100)</f>
        <v>132.46382994077399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200.76760821535896</v>
      </c>
      <c r="C26" s="116">
        <f>IF(C13=0,0,C13/TrRail_act!C17*100)</f>
        <v>195.0606534540396</v>
      </c>
      <c r="D26" s="116">
        <f>IF(D13=0,0,D13/TrRail_act!D17*100)</f>
        <v>191.36103820887649</v>
      </c>
      <c r="E26" s="116">
        <f>IF(E13=0,0,E13/TrRail_act!E17*100)</f>
        <v>186.15600193225634</v>
      </c>
      <c r="F26" s="116">
        <f>IF(F13=0,0,F13/TrRail_act!F17*100)</f>
        <v>176.40790002023542</v>
      </c>
      <c r="G26" s="116">
        <f>IF(G13=0,0,G13/TrRail_act!G17*100)</f>
        <v>170.18142263752918</v>
      </c>
      <c r="H26" s="116">
        <f>IF(H13=0,0,H13/TrRail_act!H17*100)</f>
        <v>166.35318314101829</v>
      </c>
      <c r="I26" s="116">
        <f>IF(I13=0,0,I13/TrRail_act!I17*100)</f>
        <v>163.05369981698502</v>
      </c>
      <c r="J26" s="116">
        <f>IF(J13=0,0,J13/TrRail_act!J17*100)</f>
        <v>157.58877252271674</v>
      </c>
      <c r="K26" s="116">
        <f>IF(K13=0,0,K13/TrRail_act!K17*100)</f>
        <v>156.691006779833</v>
      </c>
      <c r="L26" s="116">
        <f>IF(L13=0,0,L13/TrRail_act!L17*100)</f>
        <v>152.01018109811017</v>
      </c>
      <c r="M26" s="116">
        <f>IF(M13=0,0,M13/TrRail_act!M17*100)</f>
        <v>154.05939925046115</v>
      </c>
      <c r="N26" s="116">
        <f>IF(N13=0,0,N13/TrRail_act!N17*100)</f>
        <v>146.6315001930617</v>
      </c>
      <c r="O26" s="116">
        <f>IF(O13=0,0,O13/TrRail_act!O17*100)</f>
        <v>149.28003389185793</v>
      </c>
      <c r="P26" s="116">
        <f>IF(P13=0,0,P13/TrRail_act!P17*100)</f>
        <v>151.11507715327619</v>
      </c>
      <c r="Q26" s="116">
        <f>IF(Q13=0,0,Q13/TrRail_act!Q17*100)</f>
        <v>143.77887492459814</v>
      </c>
      <c r="R26" s="116">
        <f>IF(R13=0,0,R13/TrRail_act!R17*100)</f>
        <v>137.68083651412724</v>
      </c>
      <c r="S26" s="116">
        <f>IF(S13=0,0,S13/TrRail_act!S17*100)</f>
        <v>126.69797087540651</v>
      </c>
      <c r="T26" s="116">
        <f>IF(T13=0,0,T13/TrRail_act!T17*100)</f>
        <v>132.03272376009713</v>
      </c>
      <c r="U26" s="116">
        <f>IF(U13=0,0,U13/TrRail_act!U17*100)</f>
        <v>129.40501928769839</v>
      </c>
      <c r="V26" s="116">
        <f>IF(V13=0,0,V13/TrRail_act!V17*100)</f>
        <v>125.2989438536445</v>
      </c>
      <c r="W26" s="116">
        <f>IF(W13=0,0,W13/TrRail_act!W17*100)</f>
        <v>129.57116337625621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262.48622089567857</v>
      </c>
      <c r="C27" s="87">
        <f>IF(C14=0,0,C14/TrRail_act!C18*100)</f>
        <v>257.14760511747295</v>
      </c>
      <c r="D27" s="87">
        <f>IF(D14=0,0,D14/TrRail_act!D18*100)</f>
        <v>254.91067488446956</v>
      </c>
      <c r="E27" s="87">
        <f>IF(E14=0,0,E14/TrRail_act!E18*100)</f>
        <v>249.29009625775041</v>
      </c>
      <c r="F27" s="87">
        <f>IF(F14=0,0,F14/TrRail_act!F18*100)</f>
        <v>244.41390189725337</v>
      </c>
      <c r="G27" s="87">
        <f>IF(G14=0,0,G14/TrRail_act!G18*100)</f>
        <v>241.75468370977347</v>
      </c>
      <c r="H27" s="87">
        <f>IF(H14=0,0,H14/TrRail_act!H18*100)</f>
        <v>236.30949608650701</v>
      </c>
      <c r="I27" s="87">
        <f>IF(I14=0,0,I14/TrRail_act!I18*100)</f>
        <v>232.70953158309226</v>
      </c>
      <c r="J27" s="87">
        <f>IF(J14=0,0,J14/TrRail_act!J18*100)</f>
        <v>227.97626315075456</v>
      </c>
      <c r="K27" s="87">
        <f>IF(K14=0,0,K14/TrRail_act!K18*100)</f>
        <v>224.9338304873406</v>
      </c>
      <c r="L27" s="87">
        <f>IF(L14=0,0,L14/TrRail_act!L18*100)</f>
        <v>220.02972725748594</v>
      </c>
      <c r="M27" s="87">
        <f>IF(M14=0,0,M14/TrRail_act!M18*100)</f>
        <v>214.88778606018667</v>
      </c>
      <c r="N27" s="87">
        <f>IF(N14=0,0,N14/TrRail_act!N18*100)</f>
        <v>212.18426350919347</v>
      </c>
      <c r="O27" s="87">
        <f>IF(O14=0,0,O14/TrRail_act!O18*100)</f>
        <v>205.7241704234039</v>
      </c>
      <c r="P27" s="87">
        <f>IF(P14=0,0,P14/TrRail_act!P18*100)</f>
        <v>199.82386845514344</v>
      </c>
      <c r="Q27" s="87">
        <f>IF(Q14=0,0,Q14/TrRail_act!Q18*100)</f>
        <v>192.62714064878529</v>
      </c>
      <c r="R27" s="87">
        <f>IF(R14=0,0,R14/TrRail_act!R18*100)</f>
        <v>189.27420842116078</v>
      </c>
      <c r="S27" s="87">
        <f>IF(S14=0,0,S14/TrRail_act!S18*100)</f>
        <v>188.66584399458063</v>
      </c>
      <c r="T27" s="87">
        <f>IF(T14=0,0,T14/TrRail_act!T18*100)</f>
        <v>188.2108542516481</v>
      </c>
      <c r="U27" s="87">
        <f>IF(U14=0,0,U14/TrRail_act!U18*100)</f>
        <v>187.87033216677921</v>
      </c>
      <c r="V27" s="87">
        <f>IF(V14=0,0,V14/TrRail_act!V18*100)</f>
        <v>187.61534497480474</v>
      </c>
      <c r="W27" s="87">
        <f>IF(W14=0,0,W14/TrRail_act!W18*100)</f>
        <v>187.42433172258279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154.10327129690074</v>
      </c>
      <c r="C28" s="87">
        <f>IF(C15=0,0,C15/TrRail_act!C19*100)</f>
        <v>151.14494230502368</v>
      </c>
      <c r="D28" s="87">
        <f>IF(D15=0,0,D15/TrRail_act!D19*100)</f>
        <v>148.58309943364856</v>
      </c>
      <c r="E28" s="87">
        <f>IF(E15=0,0,E15/TrRail_act!E19*100)</f>
        <v>145.13940898600745</v>
      </c>
      <c r="F28" s="87">
        <f>IF(F15=0,0,F15/TrRail_act!F19*100)</f>
        <v>141.09389068213537</v>
      </c>
      <c r="G28" s="87">
        <f>IF(G15=0,0,G15/TrRail_act!G19*100)</f>
        <v>137.56285886318346</v>
      </c>
      <c r="H28" s="87">
        <f>IF(H15=0,0,H15/TrRail_act!H19*100)</f>
        <v>134.45199669702325</v>
      </c>
      <c r="I28" s="87">
        <f>IF(I15=0,0,I15/TrRail_act!I19*100)</f>
        <v>130.93826270819483</v>
      </c>
      <c r="J28" s="87">
        <f>IF(J15=0,0,J15/TrRail_act!J19*100)</f>
        <v>127.89619553708333</v>
      </c>
      <c r="K28" s="87">
        <f>IF(K15=0,0,K15/TrRail_act!K19*100)</f>
        <v>125.03731118212986</v>
      </c>
      <c r="L28" s="87">
        <f>IF(L15=0,0,L15/TrRail_act!L19*100)</f>
        <v>124.07736768195818</v>
      </c>
      <c r="M28" s="87">
        <f>IF(M15=0,0,M15/TrRail_act!M19*100)</f>
        <v>121.94465063513276</v>
      </c>
      <c r="N28" s="87">
        <f>IF(N15=0,0,N15/TrRail_act!N19*100)</f>
        <v>118.49597435640904</v>
      </c>
      <c r="O28" s="87">
        <f>IF(O15=0,0,O15/TrRail_act!O19*100)</f>
        <v>115.96606873656479</v>
      </c>
      <c r="P28" s="87">
        <f>IF(P15=0,0,P15/TrRail_act!P19*100)</f>
        <v>112.49442904182372</v>
      </c>
      <c r="Q28" s="87">
        <f>IF(Q15=0,0,Q15/TrRail_act!Q19*100)</f>
        <v>109.57655489630238</v>
      </c>
      <c r="R28" s="87">
        <f>IF(R15=0,0,R15/TrRail_act!R19*100)</f>
        <v>108.51230422362255</v>
      </c>
      <c r="S28" s="87">
        <f>IF(S15=0,0,S15/TrRail_act!S19*100)</f>
        <v>107.72090491269549</v>
      </c>
      <c r="T28" s="87">
        <f>IF(T15=0,0,T15/TrRail_act!T19*100)</f>
        <v>107.1311455282879</v>
      </c>
      <c r="U28" s="87">
        <f>IF(U15=0,0,U15/TrRail_act!U19*100)</f>
        <v>106.69094590029442</v>
      </c>
      <c r="V28" s="87">
        <f>IF(V15=0,0,V15/TrRail_act!V19*100)</f>
        <v>106.36198359227396</v>
      </c>
      <c r="W28" s="87">
        <f>IF(W15=0,0,W15/TrRail_act!W19*100)</f>
        <v>106.11592766423566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220.19988695198597</v>
      </c>
      <c r="K29" s="117">
        <f>IF(K16=0,0,K16/TrRail_act!K20*100)</f>
        <v>221.46398434523294</v>
      </c>
      <c r="L29" s="117">
        <f>IF(L16=0,0,L16/TrRail_act!L20*100)</f>
        <v>219.10994631384062</v>
      </c>
      <c r="M29" s="117">
        <f>IF(M16=0,0,M16/TrRail_act!M20*100)</f>
        <v>215.82966347146723</v>
      </c>
      <c r="N29" s="117">
        <f>IF(N16=0,0,N16/TrRail_act!N20*100)</f>
        <v>212.57073318565438</v>
      </c>
      <c r="O29" s="117">
        <f>IF(O16=0,0,O16/TrRail_act!O20*100)</f>
        <v>209.05126447756365</v>
      </c>
      <c r="P29" s="117">
        <f>IF(P16=0,0,P16/TrRail_act!P20*100)</f>
        <v>206.70687833683257</v>
      </c>
      <c r="Q29" s="117">
        <f>IF(Q16=0,0,Q16/TrRail_act!Q20*100)</f>
        <v>204.90049556492761</v>
      </c>
      <c r="R29" s="117">
        <f>IF(R16=0,0,R16/TrRail_act!R20*100)</f>
        <v>203.55607553373781</v>
      </c>
      <c r="S29" s="117">
        <f>IF(S16=0,0,S16/TrRail_act!S20*100)</f>
        <v>202.55355241540181</v>
      </c>
      <c r="T29" s="117">
        <f>IF(T16=0,0,T16/TrRail_act!T20*100)</f>
        <v>201.80490169732704</v>
      </c>
      <c r="U29" s="117">
        <f>IF(U16=0,0,U16/TrRail_act!U20*100)</f>
        <v>201.24523010211513</v>
      </c>
      <c r="V29" s="117">
        <f>IF(V16=0,0,V16/TrRail_act!V20*100)</f>
        <v>200.82649524243976</v>
      </c>
      <c r="W29" s="117">
        <f>IF(W16=0,0,W16/TrRail_act!W20*100)</f>
        <v>200.51301596772308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276.20038818066303</v>
      </c>
      <c r="C30" s="29">
        <f>IF(C17=0,0,C17/TrRail_act!C21*100)</f>
        <v>268.69326423624938</v>
      </c>
      <c r="D30" s="29">
        <f>IF(D17=0,0,D17/TrRail_act!D21*100)</f>
        <v>265.36247705307778</v>
      </c>
      <c r="E30" s="29">
        <f>IF(E17=0,0,E17/TrRail_act!E21*100)</f>
        <v>255.79307099247873</v>
      </c>
      <c r="F30" s="29">
        <f>IF(F17=0,0,F17/TrRail_act!F21*100)</f>
        <v>248.94082784019363</v>
      </c>
      <c r="G30" s="29">
        <f>IF(G17=0,0,G17/TrRail_act!G21*100)</f>
        <v>243.97745631568307</v>
      </c>
      <c r="H30" s="29">
        <f>IF(H17=0,0,H17/TrRail_act!H21*100)</f>
        <v>232.23050191325433</v>
      </c>
      <c r="I30" s="29">
        <f>IF(I17=0,0,I17/TrRail_act!I21*100)</f>
        <v>220.38831427285172</v>
      </c>
      <c r="J30" s="29">
        <f>IF(J17=0,0,J17/TrRail_act!J21*100)</f>
        <v>203.62619465796413</v>
      </c>
      <c r="K30" s="29">
        <f>IF(K17=0,0,K17/TrRail_act!K21*100)</f>
        <v>203.26125979815095</v>
      </c>
      <c r="L30" s="29">
        <f>IF(L17=0,0,L17/TrRail_act!L21*100)</f>
        <v>195.58301854569837</v>
      </c>
      <c r="M30" s="29">
        <f>IF(M17=0,0,M17/TrRail_act!M21*100)</f>
        <v>194.64857109986181</v>
      </c>
      <c r="N30" s="29">
        <f>IF(N17=0,0,N17/TrRail_act!N21*100)</f>
        <v>188.8876581653854</v>
      </c>
      <c r="O30" s="29">
        <f>IF(O17=0,0,O17/TrRail_act!O21*100)</f>
        <v>185.40162898183289</v>
      </c>
      <c r="P30" s="29">
        <f>IF(P17=0,0,P17/TrRail_act!P21*100)</f>
        <v>201.5384830371267</v>
      </c>
      <c r="Q30" s="29">
        <f>IF(Q17=0,0,Q17/TrRail_act!Q21*100)</f>
        <v>186.634703799959</v>
      </c>
      <c r="R30" s="29">
        <f>IF(R17=0,0,R17/TrRail_act!R21*100)</f>
        <v>170.57704157728409</v>
      </c>
      <c r="S30" s="29">
        <f>IF(S17=0,0,S17/TrRail_act!S21*100)</f>
        <v>158.3214300535949</v>
      </c>
      <c r="T30" s="29">
        <f>IF(T17=0,0,T17/TrRail_act!T21*100)</f>
        <v>147.00223508716596</v>
      </c>
      <c r="U30" s="29">
        <f>IF(U17=0,0,U17/TrRail_act!U21*100)</f>
        <v>143.99171196544211</v>
      </c>
      <c r="V30" s="29">
        <f>IF(V17=0,0,V17/TrRail_act!V21*100)</f>
        <v>141.62234188696789</v>
      </c>
      <c r="W30" s="29">
        <f>IF(W17=0,0,W17/TrRail_act!W21*100)</f>
        <v>138.53672870799591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523.37383469649956</v>
      </c>
      <c r="C31" s="87">
        <f>IF(C18=0,0,C18/TrRail_act!C22*100)</f>
        <v>519.98932494931103</v>
      </c>
      <c r="D31" s="87">
        <f>IF(D18=0,0,D18/TrRail_act!D22*100)</f>
        <v>518.72936721569249</v>
      </c>
      <c r="E31" s="87">
        <f>IF(E18=0,0,E18/TrRail_act!E22*100)</f>
        <v>515.21920901929207</v>
      </c>
      <c r="F31" s="87">
        <f>IF(F18=0,0,F18/TrRail_act!F22*100)</f>
        <v>511.65499962456585</v>
      </c>
      <c r="G31" s="87">
        <f>IF(G18=0,0,G18/TrRail_act!G22*100)</f>
        <v>508.61557708674911</v>
      </c>
      <c r="H31" s="87">
        <f>IF(H18=0,0,H18/TrRail_act!H22*100)</f>
        <v>503.84497950699892</v>
      </c>
      <c r="I31" s="87">
        <f>IF(I18=0,0,I18/TrRail_act!I22*100)</f>
        <v>495.68170263710999</v>
      </c>
      <c r="J31" s="87">
        <f>IF(J18=0,0,J18/TrRail_act!J22*100)</f>
        <v>486.38929518935805</v>
      </c>
      <c r="K31" s="87">
        <f>IF(K18=0,0,K18/TrRail_act!K22*100)</f>
        <v>479.36992363666002</v>
      </c>
      <c r="L31" s="87">
        <f>IF(L18=0,0,L18/TrRail_act!L22*100)</f>
        <v>477.96161566250532</v>
      </c>
      <c r="M31" s="87">
        <f>IF(M18=0,0,M18/TrRail_act!M22*100)</f>
        <v>466.73845702691716</v>
      </c>
      <c r="N31" s="87">
        <f>IF(N18=0,0,N18/TrRail_act!N22*100)</f>
        <v>462.84413312075151</v>
      </c>
      <c r="O31" s="87">
        <f>IF(O18=0,0,O18/TrRail_act!O22*100)</f>
        <v>457.62701150958645</v>
      </c>
      <c r="P31" s="87">
        <f>IF(P18=0,0,P18/TrRail_act!P22*100)</f>
        <v>450.39491036663406</v>
      </c>
      <c r="Q31" s="87">
        <f>IF(Q18=0,0,Q18/TrRail_act!Q22*100)</f>
        <v>443.82591049660664</v>
      </c>
      <c r="R31" s="87">
        <f>IF(R18=0,0,R18/TrRail_act!R22*100)</f>
        <v>442.03484661777929</v>
      </c>
      <c r="S31" s="87">
        <f>IF(S18=0,0,S18/TrRail_act!S22*100)</f>
        <v>440.69629358637445</v>
      </c>
      <c r="T31" s="87">
        <f>IF(T18=0,0,T18/TrRail_act!T22*100)</f>
        <v>439.69503949901406</v>
      </c>
      <c r="U31" s="87">
        <f>IF(U18=0,0,U18/TrRail_act!U22*100)</f>
        <v>438.94559207441819</v>
      </c>
      <c r="V31" s="87">
        <f>IF(V18=0,0,V18/TrRail_act!V22*100)</f>
        <v>438.38434492631711</v>
      </c>
      <c r="W31" s="87">
        <f>IF(W18=0,0,W18/TrRail_act!W22*100)</f>
        <v>437.9638805568934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208.77344723675895</v>
      </c>
      <c r="C32" s="88">
        <f>IF(C19=0,0,C19/TrRail_act!C23*100)</f>
        <v>206.59991013196137</v>
      </c>
      <c r="D32" s="88">
        <f>IF(D19=0,0,D19/TrRail_act!D23*100)</f>
        <v>197.12504307094468</v>
      </c>
      <c r="E32" s="88">
        <f>IF(E19=0,0,E19/TrRail_act!E23*100)</f>
        <v>190.66849565756209</v>
      </c>
      <c r="F32" s="88">
        <f>IF(F19=0,0,F19/TrRail_act!F23*100)</f>
        <v>181.43722349340214</v>
      </c>
      <c r="G32" s="88">
        <f>IF(G19=0,0,G19/TrRail_act!G23*100)</f>
        <v>176.10083468266939</v>
      </c>
      <c r="H32" s="88">
        <f>IF(H19=0,0,H19/TrRail_act!H23*100)</f>
        <v>167.22874106875724</v>
      </c>
      <c r="I32" s="88">
        <f>IF(I19=0,0,I19/TrRail_act!I23*100)</f>
        <v>158.20533010687495</v>
      </c>
      <c r="J32" s="88">
        <f>IF(J19=0,0,J19/TrRail_act!J23*100)</f>
        <v>154.44235607779774</v>
      </c>
      <c r="K32" s="88">
        <f>IF(K19=0,0,K19/TrRail_act!K23*100)</f>
        <v>148.29382965236351</v>
      </c>
      <c r="L32" s="88">
        <f>IF(L19=0,0,L19/TrRail_act!L23*100)</f>
        <v>144.30411368876281</v>
      </c>
      <c r="M32" s="88">
        <f>IF(M19=0,0,M19/TrRail_act!M23*100)</f>
        <v>140.48736726946117</v>
      </c>
      <c r="N32" s="88">
        <f>IF(N19=0,0,N19/TrRail_act!N23*100)</f>
        <v>135.64499950367622</v>
      </c>
      <c r="O32" s="88">
        <f>IF(O19=0,0,O19/TrRail_act!O23*100)</f>
        <v>131.31593596448988</v>
      </c>
      <c r="P32" s="88">
        <f>IF(P19=0,0,P19/TrRail_act!P23*100)</f>
        <v>126.30524015936592</v>
      </c>
      <c r="Q32" s="88">
        <f>IF(Q19=0,0,Q19/TrRail_act!Q23*100)</f>
        <v>125.15033407829144</v>
      </c>
      <c r="R32" s="88">
        <f>IF(R19=0,0,R19/TrRail_act!R23*100)</f>
        <v>124.29109000180867</v>
      </c>
      <c r="S32" s="88">
        <f>IF(S19=0,0,S19/TrRail_act!S23*100)</f>
        <v>123.65053048170725</v>
      </c>
      <c r="T32" s="88">
        <f>IF(T19=0,0,T19/TrRail_act!T23*100)</f>
        <v>123.172278265787</v>
      </c>
      <c r="U32" s="88">
        <f>IF(U19=0,0,U19/TrRail_act!U23*100)</f>
        <v>122.81480340792568</v>
      </c>
      <c r="V32" s="88">
        <f>IF(V19=0,0,V19/TrRail_act!V23*100)</f>
        <v>122.54737827293927</v>
      </c>
      <c r="W32" s="88">
        <f>IF(W19=0,0,W19/TrRail_act!W23*100)</f>
        <v>122.34719163160392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14.257627014664653</v>
      </c>
      <c r="C35" s="29">
        <f>IF(C11=0,0,C11/TrRail_act!C4*1000)</f>
        <v>14.24575587034427</v>
      </c>
      <c r="D35" s="29">
        <f>IF(D11=0,0,D11/TrRail_act!D4*1000)</f>
        <v>14.242643798786386</v>
      </c>
      <c r="E35" s="29">
        <f>IF(E11=0,0,E11/TrRail_act!E4*1000)</f>
        <v>14.992662707564019</v>
      </c>
      <c r="F35" s="29">
        <f>IF(F11=0,0,F11/TrRail_act!F4*1000)</f>
        <v>17.337676590231144</v>
      </c>
      <c r="G35" s="29">
        <f>IF(G11=0,0,G11/TrRail_act!G4*1000)</f>
        <v>17.283462600908642</v>
      </c>
      <c r="H35" s="29">
        <f>IF(H11=0,0,H11/TrRail_act!H4*1000)</f>
        <v>17.140746636012953</v>
      </c>
      <c r="I35" s="29">
        <f>IF(I11=0,0,I11/TrRail_act!I4*1000)</f>
        <v>16.938569627258968</v>
      </c>
      <c r="J35" s="29">
        <f>IF(J11=0,0,J11/TrRail_act!J4*1000)</f>
        <v>15.96357729353412</v>
      </c>
      <c r="K35" s="29">
        <f>IF(K11=0,0,K11/TrRail_act!K4*1000)</f>
        <v>14.266304729070953</v>
      </c>
      <c r="L35" s="29">
        <f>IF(L11=0,0,L11/TrRail_act!L4*1000)</f>
        <v>14.61491870637464</v>
      </c>
      <c r="M35" s="29">
        <f>IF(M11=0,0,M11/TrRail_act!M4*1000)</f>
        <v>14.104669843495691</v>
      </c>
      <c r="N35" s="29">
        <f>IF(N11=0,0,N11/TrRail_act!N4*1000)</f>
        <v>14.747559433014624</v>
      </c>
      <c r="O35" s="29">
        <f>IF(O11=0,0,O11/TrRail_act!O4*1000)</f>
        <v>13.427911455408521</v>
      </c>
      <c r="P35" s="29">
        <f>IF(P11=0,0,P11/TrRail_act!P4*1000)</f>
        <v>13.861479004435015</v>
      </c>
      <c r="Q35" s="29">
        <f>IF(Q11=0,0,Q11/TrRail_act!Q4*1000)</f>
        <v>15.749858158903791</v>
      </c>
      <c r="R35" s="29">
        <f>IF(R11=0,0,R11/TrRail_act!R4*1000)</f>
        <v>15.952999535669848</v>
      </c>
      <c r="S35" s="29">
        <f>IF(S11=0,0,S11/TrRail_act!S4*1000)</f>
        <v>24.484305608340545</v>
      </c>
      <c r="T35" s="29">
        <f>IF(T11=0,0,T11/TrRail_act!T4*1000)</f>
        <v>18.587092067219775</v>
      </c>
      <c r="U35" s="29">
        <f>IF(U11=0,0,U11/TrRail_act!U4*1000)</f>
        <v>17.972943808118121</v>
      </c>
      <c r="V35" s="29">
        <f>IF(V11=0,0,V11/TrRail_act!V4*1000)</f>
        <v>22.95339217198627</v>
      </c>
      <c r="W35" s="29">
        <f>IF(W11=0,0,W11/TrRail_act!W4*1000)</f>
        <v>21.080469601618805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14.257627014664653</v>
      </c>
      <c r="C37" s="116">
        <f>IF(C13=0,0,C13/TrRail_act!C6*1000)</f>
        <v>14.24575587034427</v>
      </c>
      <c r="D37" s="116">
        <f>IF(D13=0,0,D13/TrRail_act!D6*1000)</f>
        <v>14.242643798786386</v>
      </c>
      <c r="E37" s="116">
        <f>IF(E13=0,0,E13/TrRail_act!E6*1000)</f>
        <v>14.992662707564019</v>
      </c>
      <c r="F37" s="116">
        <f>IF(F13=0,0,F13/TrRail_act!F6*1000)</f>
        <v>17.337676590231144</v>
      </c>
      <c r="G37" s="116">
        <f>IF(G13=0,0,G13/TrRail_act!G6*1000)</f>
        <v>17.283462600908642</v>
      </c>
      <c r="H37" s="116">
        <f>IF(H13=0,0,H13/TrRail_act!H6*1000)</f>
        <v>17.140746636012953</v>
      </c>
      <c r="I37" s="116">
        <f>IF(I13=0,0,I13/TrRail_act!I6*1000)</f>
        <v>16.938569627258968</v>
      </c>
      <c r="J37" s="116">
        <f>IF(J13=0,0,J13/TrRail_act!J6*1000)</f>
        <v>16.05396632415561</v>
      </c>
      <c r="K37" s="116">
        <f>IF(K13=0,0,K13/TrRail_act!K6*1000)</f>
        <v>14.348250058627416</v>
      </c>
      <c r="L37" s="116">
        <f>IF(L13=0,0,L13/TrRail_act!L6*1000)</f>
        <v>14.704426947170145</v>
      </c>
      <c r="M37" s="116">
        <f>IF(M13=0,0,M13/TrRail_act!M6*1000)</f>
        <v>14.185097727875293</v>
      </c>
      <c r="N37" s="116">
        <f>IF(N13=0,0,N13/TrRail_act!N6*1000)</f>
        <v>14.828074989538317</v>
      </c>
      <c r="O37" s="116">
        <f>IF(O13=0,0,O13/TrRail_act!O6*1000)</f>
        <v>13.483001371071916</v>
      </c>
      <c r="P37" s="116">
        <f>IF(P13=0,0,P13/TrRail_act!P6*1000)</f>
        <v>13.907847584288829</v>
      </c>
      <c r="Q37" s="116">
        <f>IF(Q13=0,0,Q13/TrRail_act!Q6*1000)</f>
        <v>15.798754411341344</v>
      </c>
      <c r="R37" s="116">
        <f>IF(R13=0,0,R13/TrRail_act!R6*1000)</f>
        <v>15.990300469791663</v>
      </c>
      <c r="S37" s="116">
        <f>IF(S13=0,0,S13/TrRail_act!S6*1000)</f>
        <v>24.523169077429237</v>
      </c>
      <c r="T37" s="116">
        <f>IF(T13=0,0,T13/TrRail_act!T6*1000)</f>
        <v>18.612231089385066</v>
      </c>
      <c r="U37" s="116">
        <f>IF(U13=0,0,U13/TrRail_act!U6*1000)</f>
        <v>17.998853052965579</v>
      </c>
      <c r="V37" s="116">
        <f>IF(V13=0,0,V13/TrRail_act!V6*1000)</f>
        <v>22.950665670579216</v>
      </c>
      <c r="W37" s="116">
        <f>IF(W13=0,0,W13/TrRail_act!W6*1000)</f>
        <v>20.898922637756176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20.268617540397344</v>
      </c>
      <c r="C38" s="87">
        <f>IF(C14=0,0,C14/TrRail_act!C7*1000)</f>
        <v>21.442630490330231</v>
      </c>
      <c r="D38" s="87">
        <f>IF(D14=0,0,D14/TrRail_act!D7*1000)</f>
        <v>22.622639891337965</v>
      </c>
      <c r="E38" s="87">
        <f>IF(E14=0,0,E14/TrRail_act!E7*1000)</f>
        <v>23.855944494715619</v>
      </c>
      <c r="F38" s="87">
        <f>IF(F14=0,0,F14/TrRail_act!F7*1000)</f>
        <v>24.827286661154385</v>
      </c>
      <c r="G38" s="87">
        <f>IF(G14=0,0,G14/TrRail_act!G7*1000)</f>
        <v>23.547611471230027</v>
      </c>
      <c r="H38" s="87">
        <f>IF(H14=0,0,H14/TrRail_act!H7*1000)</f>
        <v>23.60961492154528</v>
      </c>
      <c r="I38" s="87">
        <f>IF(I14=0,0,I14/TrRail_act!I7*1000)</f>
        <v>23.294208894730925</v>
      </c>
      <c r="J38" s="87">
        <f>IF(J14=0,0,J14/TrRail_act!J7*1000)</f>
        <v>21.103721180985147</v>
      </c>
      <c r="K38" s="87">
        <f>IF(K14=0,0,K14/TrRail_act!K7*1000)</f>
        <v>20.273935160178645</v>
      </c>
      <c r="L38" s="87">
        <f>IF(L14=0,0,L14/TrRail_act!L7*1000)</f>
        <v>18.994219539801058</v>
      </c>
      <c r="M38" s="87">
        <f>IF(M14=0,0,M14/TrRail_act!M7*1000)</f>
        <v>21.179850307403253</v>
      </c>
      <c r="N38" s="87">
        <f>IF(N14=0,0,N14/TrRail_act!N7*1000)</f>
        <v>19.795172648229276</v>
      </c>
      <c r="O38" s="87">
        <f>IF(O14=0,0,O14/TrRail_act!O7*1000)</f>
        <v>20.702363825838759</v>
      </c>
      <c r="P38" s="87">
        <f>IF(P14=0,0,P14/TrRail_act!P7*1000)</f>
        <v>21.910270824360559</v>
      </c>
      <c r="Q38" s="87">
        <f>IF(Q14=0,0,Q14/TrRail_act!Q7*1000)</f>
        <v>24.021025722612293</v>
      </c>
      <c r="R38" s="87">
        <f>IF(R14=0,0,R14/TrRail_act!R7*1000)</f>
        <v>23.77161295809239</v>
      </c>
      <c r="S38" s="87">
        <f>IF(S14=0,0,S14/TrRail_act!S7*1000)</f>
        <v>25.125065941914428</v>
      </c>
      <c r="T38" s="87">
        <f>IF(T14=0,0,T14/TrRail_act!T7*1000)</f>
        <v>23.752116250272383</v>
      </c>
      <c r="U38" s="87">
        <f>IF(U14=0,0,U14/TrRail_act!U7*1000)</f>
        <v>22.791336735360407</v>
      </c>
      <c r="V38" s="87">
        <f>IF(V14=0,0,V14/TrRail_act!V7*1000)</f>
        <v>27.343267091529992</v>
      </c>
      <c r="W38" s="87">
        <f>IF(W14=0,0,W14/TrRail_act!W7*1000)</f>
        <v>23.468471664120955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10.317173257060631</v>
      </c>
      <c r="C39" s="87">
        <f>IF(C15=0,0,C15/TrRail_act!C8*1000)</f>
        <v>10.147269351844475</v>
      </c>
      <c r="D39" s="87">
        <f>IF(D15=0,0,D15/TrRail_act!D8*1000)</f>
        <v>9.9753395154944364</v>
      </c>
      <c r="E39" s="87">
        <f>IF(E15=0,0,E15/TrRail_act!E8*1000)</f>
        <v>10.598632217088221</v>
      </c>
      <c r="F39" s="87">
        <f>IF(F15=0,0,F15/TrRail_act!F8*1000)</f>
        <v>13.637099622028057</v>
      </c>
      <c r="G39" s="87">
        <f>IF(G15=0,0,G15/TrRail_act!G8*1000)</f>
        <v>14.247815832848055</v>
      </c>
      <c r="H39" s="87">
        <f>IF(H15=0,0,H15/TrRail_act!H8*1000)</f>
        <v>14.054395020265003</v>
      </c>
      <c r="I39" s="87">
        <f>IF(I15=0,0,I15/TrRail_act!I8*1000)</f>
        <v>13.84355412117684</v>
      </c>
      <c r="J39" s="87">
        <f>IF(J15=0,0,J15/TrRail_act!J8*1000)</f>
        <v>13.605901129908714</v>
      </c>
      <c r="K39" s="87">
        <f>IF(K15=0,0,K15/TrRail_act!K8*1000)</f>
        <v>11.535039765216901</v>
      </c>
      <c r="L39" s="87">
        <f>IF(L15=0,0,L15/TrRail_act!L8*1000)</f>
        <v>12.627579107387948</v>
      </c>
      <c r="M39" s="87">
        <f>IF(M15=0,0,M15/TrRail_act!M8*1000)</f>
        <v>10.851069800068505</v>
      </c>
      <c r="N39" s="87">
        <f>IF(N15=0,0,N15/TrRail_act!N8*1000)</f>
        <v>12.430808156632789</v>
      </c>
      <c r="O39" s="87">
        <f>IF(O15=0,0,O15/TrRail_act!O8*1000)</f>
        <v>9.8767569726364357</v>
      </c>
      <c r="P39" s="87">
        <f>IF(P15=0,0,P15/TrRail_act!P8*1000)</f>
        <v>9.1837247494407119</v>
      </c>
      <c r="Q39" s="87">
        <f>IF(Q15=0,0,Q15/TrRail_act!Q8*1000)</f>
        <v>11.115592865006519</v>
      </c>
      <c r="R39" s="87">
        <f>IF(R15=0,0,R15/TrRail_act!R8*1000)</f>
        <v>12.088264440579351</v>
      </c>
      <c r="S39" s="87">
        <f>IF(S15=0,0,S15/TrRail_act!S8*1000)</f>
        <v>24.212067287885255</v>
      </c>
      <c r="T39" s="87">
        <f>IF(T15=0,0,T15/TrRail_act!T8*1000)</f>
        <v>15.928100716921692</v>
      </c>
      <c r="U39" s="87">
        <f>IF(U15=0,0,U15/TrRail_act!U8*1000)</f>
        <v>15.735288249954207</v>
      </c>
      <c r="V39" s="87">
        <f>IF(V15=0,0,V15/TrRail_act!V8*1000)</f>
        <v>21.131039838309306</v>
      </c>
      <c r="W39" s="87">
        <f>IF(W15=0,0,W15/TrRail_act!W8*1000)</f>
        <v>19.379519059552443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11.114851436624054</v>
      </c>
      <c r="K40" s="117">
        <f>IF(K16=0,0,K16/TrRail_act!K9*1000)</f>
        <v>10.389266324430782</v>
      </c>
      <c r="L40" s="117">
        <f>IF(L16=0,0,L16/TrRail_act!L9*1000)</f>
        <v>10.383135057109151</v>
      </c>
      <c r="M40" s="117">
        <f>IF(M16=0,0,M16/TrRail_act!M9*1000)</f>
        <v>10.031063819513468</v>
      </c>
      <c r="N40" s="117">
        <f>IF(N16=0,0,N16/TrRail_act!N9*1000)</f>
        <v>10.361765919747613</v>
      </c>
      <c r="O40" s="117">
        <f>IF(O16=0,0,O16/TrRail_act!O9*1000)</f>
        <v>10.097838227592725</v>
      </c>
      <c r="P40" s="117">
        <f>IF(P16=0,0,P16/TrRail_act!P9*1000)</f>
        <v>10.174273622033706</v>
      </c>
      <c r="Q40" s="117">
        <f>IF(Q16=0,0,Q16/TrRail_act!Q9*1000)</f>
        <v>10.315388959415657</v>
      </c>
      <c r="R40" s="117">
        <f>IF(R16=0,0,R16/TrRail_act!R9*1000)</f>
        <v>10.146487457374008</v>
      </c>
      <c r="S40" s="117">
        <f>IF(S16=0,0,S16/TrRail_act!S9*1000)</f>
        <v>10.138638310835859</v>
      </c>
      <c r="T40" s="117">
        <f>IF(T16=0,0,T16/TrRail_act!T9*1000)</f>
        <v>10.635155899505316</v>
      </c>
      <c r="U40" s="117">
        <f>IF(U16=0,0,U16/TrRail_act!U9*1000)</f>
        <v>9.4815610686281513</v>
      </c>
      <c r="V40" s="117">
        <f>IF(V16=0,0,V16/TrRail_act!V9*1000)</f>
        <v>25.254559359534429</v>
      </c>
      <c r="W40" s="117">
        <f>IF(W16=0,0,W16/TrRail_act!W9*1000)</f>
        <v>24.287799296525179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4.860174402696857</v>
      </c>
      <c r="C41" s="29">
        <f>IF(C17=0,0,C17/TrRail_act!C10*1000)</f>
        <v>5.2714886096404392</v>
      </c>
      <c r="D41" s="29">
        <f>IF(D17=0,0,D17/TrRail_act!D10*1000)</f>
        <v>5.1754743929952394</v>
      </c>
      <c r="E41" s="29">
        <f>IF(E17=0,0,E17/TrRail_act!E10*1000)</f>
        <v>5.0670939543726634</v>
      </c>
      <c r="F41" s="29">
        <f>IF(F17=0,0,F17/TrRail_act!F10*1000)</f>
        <v>5.0022065658057429</v>
      </c>
      <c r="G41" s="29">
        <f>IF(G17=0,0,G17/TrRail_act!G10*1000)</f>
        <v>4.9394656835696837</v>
      </c>
      <c r="H41" s="29">
        <f>IF(H17=0,0,H17/TrRail_act!H10*1000)</f>
        <v>4.7331728297874687</v>
      </c>
      <c r="I41" s="29">
        <f>IF(I17=0,0,I17/TrRail_act!I10*1000)</f>
        <v>4.3964338038231681</v>
      </c>
      <c r="J41" s="29">
        <f>IF(J17=0,0,J17/TrRail_act!J10*1000)</f>
        <v>4.0135682355167761</v>
      </c>
      <c r="K41" s="29">
        <f>IF(K17=0,0,K17/TrRail_act!K10*1000)</f>
        <v>3.8229403516696587</v>
      </c>
      <c r="L41" s="29">
        <f>IF(L17=0,0,L17/TrRail_act!L10*1000)</f>
        <v>3.6844600048636185</v>
      </c>
      <c r="M41" s="29">
        <f>IF(M17=0,0,M17/TrRail_act!M10*1000)</f>
        <v>3.7196852585397835</v>
      </c>
      <c r="N41" s="29">
        <f>IF(N17=0,0,N17/TrRail_act!N10*1000)</f>
        <v>3.6047139693942754</v>
      </c>
      <c r="O41" s="29">
        <f>IF(O17=0,0,O17/TrRail_act!O10*1000)</f>
        <v>3.582851523272149</v>
      </c>
      <c r="P41" s="29">
        <f>IF(P17=0,0,P17/TrRail_act!P10*1000)</f>
        <v>3.8677641616220515</v>
      </c>
      <c r="Q41" s="29">
        <f>IF(Q17=0,0,Q17/TrRail_act!Q10*1000)</f>
        <v>3.541650098728848</v>
      </c>
      <c r="R41" s="29">
        <f>IF(R17=0,0,R17/TrRail_act!R10*1000)</f>
        <v>3.2534118108320307</v>
      </c>
      <c r="S41" s="29">
        <f>IF(S17=0,0,S17/TrRail_act!S10*1000)</f>
        <v>2.878806251982768</v>
      </c>
      <c r="T41" s="29">
        <f>IF(T17=0,0,T17/TrRail_act!T10*1000)</f>
        <v>3.3659434141159994</v>
      </c>
      <c r="U41" s="29">
        <f>IF(U17=0,0,U17/TrRail_act!U10*1000)</f>
        <v>3.0876520169419299</v>
      </c>
      <c r="V41" s="29">
        <f>IF(V17=0,0,V17/TrRail_act!V10*1000)</f>
        <v>3.1803101005697298</v>
      </c>
      <c r="W41" s="29">
        <f>IF(W17=0,0,W17/TrRail_act!W10*1000)</f>
        <v>3.1325118822306255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7.5667942926602745</v>
      </c>
      <c r="C42" s="87">
        <f>IF(C18=0,0,C18/TrRail_act!C11*1000)</f>
        <v>7.8350024597332109</v>
      </c>
      <c r="D42" s="87">
        <f>IF(D18=0,0,D18/TrRail_act!D11*1000)</f>
        <v>8.5383754127806384</v>
      </c>
      <c r="E42" s="87">
        <f>IF(E18=0,0,E18/TrRail_act!E11*1000)</f>
        <v>8.2273956216329811</v>
      </c>
      <c r="F42" s="87">
        <f>IF(F18=0,0,F18/TrRail_act!F11*1000)</f>
        <v>8.9475690158252768</v>
      </c>
      <c r="G42" s="87">
        <f>IF(G18=0,0,G18/TrRail_act!G11*1000)</f>
        <v>8.6940271363842907</v>
      </c>
      <c r="H42" s="87">
        <f>IF(H18=0,0,H18/TrRail_act!H11*1000)</f>
        <v>8.3577497707950652</v>
      </c>
      <c r="I42" s="87">
        <f>IF(I18=0,0,I18/TrRail_act!I11*1000)</f>
        <v>8.0788437344985962</v>
      </c>
      <c r="J42" s="87">
        <f>IF(J18=0,0,J18/TrRail_act!J11*1000)</f>
        <v>6.5432176667324473</v>
      </c>
      <c r="K42" s="87">
        <f>IF(K18=0,0,K18/TrRail_act!K11*1000)</f>
        <v>6.4285140327558263</v>
      </c>
      <c r="L42" s="87">
        <f>IF(L18=0,0,L18/TrRail_act!L11*1000)</f>
        <v>6.3592550360173874</v>
      </c>
      <c r="M42" s="87">
        <f>IF(M18=0,0,M18/TrRail_act!M11*1000)</f>
        <v>7.1505086316473481</v>
      </c>
      <c r="N42" s="87">
        <f>IF(N18=0,0,N18/TrRail_act!N11*1000)</f>
        <v>7.265364538394258</v>
      </c>
      <c r="O42" s="87">
        <f>IF(O18=0,0,O18/TrRail_act!O11*1000)</f>
        <v>7.1065321734331652</v>
      </c>
      <c r="P42" s="87">
        <f>IF(P18=0,0,P18/TrRail_act!P11*1000)</f>
        <v>6.9542120238375364</v>
      </c>
      <c r="Q42" s="87">
        <f>IF(Q18=0,0,Q18/TrRail_act!Q11*1000)</f>
        <v>6.9908582265096468</v>
      </c>
      <c r="R42" s="87">
        <f>IF(R18=0,0,R18/TrRail_act!R11*1000)</f>
        <v>7.0018503623503054</v>
      </c>
      <c r="S42" s="87">
        <f>IF(S18=0,0,S18/TrRail_act!S11*1000)</f>
        <v>6.5610959834783467</v>
      </c>
      <c r="T42" s="87">
        <f>IF(T18=0,0,T18/TrRail_act!T11*1000)</f>
        <v>6.4378104119105082</v>
      </c>
      <c r="U42" s="87">
        <f>IF(U18=0,0,U18/TrRail_act!U11*1000)</f>
        <v>6.3298148853759209</v>
      </c>
      <c r="V42" s="87">
        <f>IF(V18=0,0,V18/TrRail_act!V11*1000)</f>
        <v>7.3276615815707613</v>
      </c>
      <c r="W42" s="87">
        <f>IF(W18=0,0,W18/TrRail_act!W11*1000)</f>
        <v>6.890222767147625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3.9049609594910892</v>
      </c>
      <c r="C43" s="88">
        <f>IF(C19=0,0,C19/TrRail_act!C12*1000)</f>
        <v>4.3802070696440198</v>
      </c>
      <c r="D43" s="88">
        <f>IF(D19=0,0,D19/TrRail_act!D12*1000)</f>
        <v>4.0460809392101194</v>
      </c>
      <c r="E43" s="88">
        <f>IF(E19=0,0,E19/TrRail_act!E12*1000)</f>
        <v>4.0197114440156962</v>
      </c>
      <c r="F43" s="88">
        <f>IF(F19=0,0,F19/TrRail_act!F12*1000)</f>
        <v>3.7909752484292225</v>
      </c>
      <c r="G43" s="88">
        <f>IF(G19=0,0,G19/TrRail_act!G12*1000)</f>
        <v>3.7422611063292575</v>
      </c>
      <c r="H43" s="88">
        <f>IF(H19=0,0,H19/TrRail_act!H12*1000)</f>
        <v>3.6056808449257676</v>
      </c>
      <c r="I43" s="88">
        <f>IF(I19=0,0,I19/TrRail_act!I12*1000)</f>
        <v>3.3241288165706888</v>
      </c>
      <c r="J43" s="88">
        <f>IF(J19=0,0,J19/TrRail_act!J12*1000)</f>
        <v>3.312124421771836</v>
      </c>
      <c r="K43" s="88">
        <f>IF(K19=0,0,K19/TrRail_act!K12*1000)</f>
        <v>3.0320703014211667</v>
      </c>
      <c r="L43" s="88">
        <f>IF(L19=0,0,L19/TrRail_act!L12*1000)</f>
        <v>2.9405312599940521</v>
      </c>
      <c r="M43" s="88">
        <f>IF(M19=0,0,M19/TrRail_act!M12*1000)</f>
        <v>2.8237135676641634</v>
      </c>
      <c r="N43" s="88">
        <f>IF(N19=0,0,N19/TrRail_act!N12*1000)</f>
        <v>2.7019295968145847</v>
      </c>
      <c r="O43" s="88">
        <f>IF(O19=0,0,O19/TrRail_act!O12*1000)</f>
        <v>2.6671808911519888</v>
      </c>
      <c r="P43" s="88">
        <f>IF(P19=0,0,P19/TrRail_act!P12*1000)</f>
        <v>2.616079402077796</v>
      </c>
      <c r="Q43" s="88">
        <f>IF(Q19=0,0,Q19/TrRail_act!Q12*1000)</f>
        <v>2.4971257505990021</v>
      </c>
      <c r="R43" s="88">
        <f>IF(R19=0,0,R19/TrRail_act!R12*1000)</f>
        <v>2.4560739544146073</v>
      </c>
      <c r="S43" s="88">
        <f>IF(S19=0,0,S19/TrRail_act!S12*1000)</f>
        <v>2.3111848755062483</v>
      </c>
      <c r="T43" s="88">
        <f>IF(T19=0,0,T19/TrRail_act!T12*1000)</f>
        <v>2.9560045240896122</v>
      </c>
      <c r="U43" s="88">
        <f>IF(U19=0,0,U19/TrRail_act!U12*1000)</f>
        <v>2.7289689788284566</v>
      </c>
      <c r="V43" s="88">
        <f>IF(V19=0,0,V19/TrRail_act!V12*1000)</f>
        <v>2.8140842689454311</v>
      </c>
      <c r="W43" s="88">
        <f>IF(W19=0,0,W19/TrRail_act!W12*1000)</f>
        <v>2.8334299851679634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409084.1056715321</v>
      </c>
      <c r="C45" s="54">
        <f>IF(C10=0,0,1000000*C10/TrRail_act!C25)</f>
        <v>401345.17877560871</v>
      </c>
      <c r="D45" s="54">
        <f>IF(D10=0,0,1000000*D10/TrRail_act!D25)</f>
        <v>395917.98766741343</v>
      </c>
      <c r="E45" s="54">
        <f>IF(E10=0,0,1000000*E10/TrRail_act!E25)</f>
        <v>376223.75764679443</v>
      </c>
      <c r="F45" s="54">
        <f>IF(F10=0,0,1000000*F10/TrRail_act!F25)</f>
        <v>360240.7565960603</v>
      </c>
      <c r="G45" s="54">
        <f>IF(G10=0,0,1000000*G10/TrRail_act!G25)</f>
        <v>349255.26581364626</v>
      </c>
      <c r="H45" s="54">
        <f>IF(H10=0,0,1000000*H10/TrRail_act!H25)</f>
        <v>337369.38249727094</v>
      </c>
      <c r="I45" s="54">
        <f>IF(I10=0,0,1000000*I10/TrRail_act!I25)</f>
        <v>325450.51748831471</v>
      </c>
      <c r="J45" s="54">
        <f>IF(J10=0,0,1000000*J10/TrRail_act!J25)</f>
        <v>303473.64645468176</v>
      </c>
      <c r="K45" s="54">
        <f>IF(K10=0,0,1000000*K10/TrRail_act!K25)</f>
        <v>266139.71415648999</v>
      </c>
      <c r="L45" s="54">
        <f>IF(L10=0,0,1000000*L10/TrRail_act!L25)</f>
        <v>296360.04048879113</v>
      </c>
      <c r="M45" s="54">
        <f>IF(M10=0,0,1000000*M10/TrRail_act!M25)</f>
        <v>291977.24454071478</v>
      </c>
      <c r="N45" s="54">
        <f>IF(N10=0,0,1000000*N10/TrRail_act!N25)</f>
        <v>288177.32779539959</v>
      </c>
      <c r="O45" s="54">
        <f>IF(O10=0,0,1000000*O10/TrRail_act!O25)</f>
        <v>282604.15098237805</v>
      </c>
      <c r="P45" s="54">
        <f>IF(P10=0,0,1000000*P10/TrRail_act!P25)</f>
        <v>295271.22754638433</v>
      </c>
      <c r="Q45" s="54">
        <f>IF(Q10=0,0,1000000*Q10/TrRail_act!Q25)</f>
        <v>285791.49326821411</v>
      </c>
      <c r="R45" s="54">
        <f>IF(R10=0,0,1000000*R10/TrRail_act!R25)</f>
        <v>262600.95741316915</v>
      </c>
      <c r="S45" s="54">
        <f>IF(S10=0,0,1000000*S10/TrRail_act!S25)</f>
        <v>234280.94480282586</v>
      </c>
      <c r="T45" s="54">
        <f>IF(T10=0,0,1000000*T10/TrRail_act!T25)</f>
        <v>210856.01208479688</v>
      </c>
      <c r="U45" s="54">
        <f>IF(U10=0,0,1000000*U10/TrRail_act!U25)</f>
        <v>209897.28041094571</v>
      </c>
      <c r="V45" s="54">
        <f>IF(V10=0,0,1000000*V10/TrRail_act!V25)</f>
        <v>188373.76038529212</v>
      </c>
      <c r="W45" s="54">
        <f>IF(W10=0,0,1000000*W10/TrRail_act!W25)</f>
        <v>213129.57715392413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301151.41195693903</v>
      </c>
      <c r="C46" s="28">
        <f>IF(C11=0,0,1000000*C11/TrRail_act!C26)</f>
        <v>292590.9693579282</v>
      </c>
      <c r="D46" s="28">
        <f>IF(D11=0,0,1000000*D11/TrRail_act!D26)</f>
        <v>287041.55055320892</v>
      </c>
      <c r="E46" s="28">
        <f>IF(E11=0,0,1000000*E11/TrRail_act!E26)</f>
        <v>279233.99764128332</v>
      </c>
      <c r="F46" s="28">
        <f>IF(F11=0,0,1000000*F11/TrRail_act!F26)</f>
        <v>264611.84666804672</v>
      </c>
      <c r="G46" s="28">
        <f>IF(G11=0,0,1000000*G11/TrRail_act!G26)</f>
        <v>255272.12887117264</v>
      </c>
      <c r="H46" s="28">
        <f>IF(H11=0,0,1000000*H11/TrRail_act!H26)</f>
        <v>249529.77164310863</v>
      </c>
      <c r="I46" s="28">
        <f>IF(I11=0,0,1000000*I11/TrRail_act!I26)</f>
        <v>244580.5432538733</v>
      </c>
      <c r="J46" s="28">
        <f>IF(J11=0,0,1000000*J11/TrRail_act!J26)</f>
        <v>238699.10345474386</v>
      </c>
      <c r="K46" s="28">
        <f>IF(K11=0,0,1000000*K11/TrRail_act!K26)</f>
        <v>226068.22098023046</v>
      </c>
      <c r="L46" s="28">
        <f>IF(L11=0,0,1000000*L11/TrRail_act!L26)</f>
        <v>230585.37686222233</v>
      </c>
      <c r="M46" s="28">
        <f>IF(M11=0,0,1000000*M11/TrRail_act!M26)</f>
        <v>214845.44915770966</v>
      </c>
      <c r="N46" s="28">
        <f>IF(N11=0,0,1000000*N11/TrRail_act!N26)</f>
        <v>221920.39822917109</v>
      </c>
      <c r="O46" s="28">
        <f>IF(O11=0,0,1000000*O11/TrRail_act!O26)</f>
        <v>208549.84488422729</v>
      </c>
      <c r="P46" s="28">
        <f>IF(P11=0,0,1000000*P11/TrRail_act!P26)</f>
        <v>197543.59657608572</v>
      </c>
      <c r="Q46" s="28">
        <f>IF(Q11=0,0,1000000*Q11/TrRail_act!Q26)</f>
        <v>216144.54843928132</v>
      </c>
      <c r="R46" s="28">
        <f>IF(R11=0,0,1000000*R11/TrRail_act!R26)</f>
        <v>205053.45259006487</v>
      </c>
      <c r="S46" s="28">
        <f>IF(S11=0,0,1000000*S11/TrRail_act!S26)</f>
        <v>189828.15567924114</v>
      </c>
      <c r="T46" s="28">
        <f>IF(T11=0,0,1000000*T11/TrRail_act!T26)</f>
        <v>149192.37672755905</v>
      </c>
      <c r="U46" s="28">
        <f>IF(U11=0,0,1000000*U11/TrRail_act!U26)</f>
        <v>152470.31530861542</v>
      </c>
      <c r="V46" s="28">
        <f>IF(V11=0,0,1000000*V11/TrRail_act!V26)</f>
        <v>121054.89409291578</v>
      </c>
      <c r="W46" s="28">
        <f>IF(W11=0,0,1000000*W11/TrRail_act!W26)</f>
        <v>165812.54705122855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301151.41195693903</v>
      </c>
      <c r="C48" s="110">
        <f>IF(C13=0,0,1000000*C13/TrRail_act!C28)</f>
        <v>292590.9693579282</v>
      </c>
      <c r="D48" s="110">
        <f>IF(D13=0,0,1000000*D13/TrRail_act!D28)</f>
        <v>287041.55055320892</v>
      </c>
      <c r="E48" s="110">
        <f>IF(E13=0,0,1000000*E13/TrRail_act!E28)</f>
        <v>279233.99764128332</v>
      </c>
      <c r="F48" s="110">
        <f>IF(F13=0,0,1000000*F13/TrRail_act!F28)</f>
        <v>264611.84666804672</v>
      </c>
      <c r="G48" s="110">
        <f>IF(G13=0,0,1000000*G13/TrRail_act!G28)</f>
        <v>255272.12887117264</v>
      </c>
      <c r="H48" s="110">
        <f>IF(H13=0,0,1000000*H13/TrRail_act!H28)</f>
        <v>249529.77164310863</v>
      </c>
      <c r="I48" s="110">
        <f>IF(I13=0,0,1000000*I13/TrRail_act!I28)</f>
        <v>244580.5432538733</v>
      </c>
      <c r="J48" s="110">
        <f>IF(J13=0,0,1000000*J13/TrRail_act!J28)</f>
        <v>236383.15420077372</v>
      </c>
      <c r="K48" s="110">
        <f>IF(K13=0,0,1000000*K13/TrRail_act!K28)</f>
        <v>223424.54282075283</v>
      </c>
      <c r="L48" s="110">
        <f>IF(L13=0,0,1000000*L13/TrRail_act!L28)</f>
        <v>228015.26593923778</v>
      </c>
      <c r="M48" s="110">
        <f>IF(M13=0,0,1000000*M13/TrRail_act!M28)</f>
        <v>212671.3483686205</v>
      </c>
      <c r="N48" s="110">
        <f>IF(N13=0,0,1000000*N13/TrRail_act!N28)</f>
        <v>219947.24515885703</v>
      </c>
      <c r="O48" s="110">
        <f>IF(O13=0,0,1000000*O13/TrRail_act!O28)</f>
        <v>206786.54154167025</v>
      </c>
      <c r="P48" s="110">
        <f>IF(P13=0,0,1000000*P13/TrRail_act!P28)</f>
        <v>196496.20376567019</v>
      </c>
      <c r="Q48" s="110">
        <f>IF(Q13=0,0,1000000*Q13/TrRail_act!Q28)</f>
        <v>215668.30640492216</v>
      </c>
      <c r="R48" s="110">
        <f>IF(R13=0,0,1000000*R13/TrRail_act!R28)</f>
        <v>204940.11161188121</v>
      </c>
      <c r="S48" s="110">
        <f>IF(S13=0,0,1000000*S13/TrRail_act!S28)</f>
        <v>190046.95434306379</v>
      </c>
      <c r="T48" s="110">
        <f>IF(T13=0,0,1000000*T13/TrRail_act!T28)</f>
        <v>149275.21358663184</v>
      </c>
      <c r="U48" s="110">
        <f>IF(U13=0,0,1000000*U13/TrRail_act!U28)</f>
        <v>152603.14136852484</v>
      </c>
      <c r="V48" s="110">
        <f>IF(V13=0,0,1000000*V13/TrRail_act!V28)</f>
        <v>121212.74133603676</v>
      </c>
      <c r="W48" s="110">
        <f>IF(W13=0,0,1000000*W13/TrRail_act!W28)</f>
        <v>157363.10817844301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393729.33025897463</v>
      </c>
      <c r="C49" s="84">
        <f>IF(C14=0,0,1000000*C14/TrRail_act!C29)</f>
        <v>385721.38825608598</v>
      </c>
      <c r="D49" s="84">
        <f>IF(D14=0,0,1000000*D14/TrRail_act!D29)</f>
        <v>382365.99881364359</v>
      </c>
      <c r="E49" s="84">
        <f>IF(E14=0,0,1000000*E14/TrRail_act!E29)</f>
        <v>373935.13047556079</v>
      </c>
      <c r="F49" s="84">
        <f>IF(F14=0,0,1000000*F14/TrRail_act!F29)</f>
        <v>366620.84324830613</v>
      </c>
      <c r="G49" s="84">
        <f>IF(G14=0,0,1000000*G14/TrRail_act!G29)</f>
        <v>362632.01630085235</v>
      </c>
      <c r="H49" s="84">
        <f>IF(H14=0,0,1000000*H14/TrRail_act!H29)</f>
        <v>354464.23932959925</v>
      </c>
      <c r="I49" s="84">
        <f>IF(I14=0,0,1000000*I14/TrRail_act!I29)</f>
        <v>349064.28548973234</v>
      </c>
      <c r="J49" s="84">
        <f>IF(J14=0,0,1000000*J14/TrRail_act!J29)</f>
        <v>341964.38838325097</v>
      </c>
      <c r="K49" s="84">
        <f>IF(K14=0,0,1000000*K14/TrRail_act!K29)</f>
        <v>337400.73750837904</v>
      </c>
      <c r="L49" s="84">
        <f>IF(L14=0,0,1000000*L14/TrRail_act!L29)</f>
        <v>330044.57049929968</v>
      </c>
      <c r="M49" s="84">
        <f>IF(M14=0,0,1000000*M14/TrRail_act!M29)</f>
        <v>322331.66118107975</v>
      </c>
      <c r="N49" s="84">
        <f>IF(N14=0,0,1000000*N14/TrRail_act!N29)</f>
        <v>318276.39377265639</v>
      </c>
      <c r="O49" s="84">
        <f>IF(O14=0,0,1000000*O14/TrRail_act!O29)</f>
        <v>308586.25207806245</v>
      </c>
      <c r="P49" s="84">
        <f>IF(P14=0,0,1000000*P14/TrRail_act!P29)</f>
        <v>299735.78631842346</v>
      </c>
      <c r="Q49" s="84">
        <f>IF(Q14=0,0,1000000*Q14/TrRail_act!Q29)</f>
        <v>288940.70550501213</v>
      </c>
      <c r="R49" s="84">
        <f>IF(R14=0,0,1000000*R14/TrRail_act!R29)</f>
        <v>277973.32740303042</v>
      </c>
      <c r="S49" s="84">
        <f>IF(S14=0,0,1000000*S14/TrRail_act!S29)</f>
        <v>282998.75756965741</v>
      </c>
      <c r="T49" s="84">
        <f>IF(T14=0,0,1000000*T14/TrRail_act!T29)</f>
        <v>282316.27723731723</v>
      </c>
      <c r="U49" s="84">
        <f>IF(U14=0,0,1000000*U14/TrRail_act!U29)</f>
        <v>279724.21866576141</v>
      </c>
      <c r="V49" s="84">
        <f>IF(V14=0,0,1000000*V14/TrRail_act!V29)</f>
        <v>200758.14572500106</v>
      </c>
      <c r="W49" s="84">
        <f>IF(W14=0,0,1000000*W14/TrRail_act!W29)</f>
        <v>281136.47996190563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231154.90693329636</v>
      </c>
      <c r="C50" s="84">
        <f>IF(C15=0,0,1000000*C15/TrRail_act!C30)</f>
        <v>226717.40721306248</v>
      </c>
      <c r="D50" s="84">
        <f>IF(D15=0,0,1000000*D15/TrRail_act!D30)</f>
        <v>222874.64567032162</v>
      </c>
      <c r="E50" s="84">
        <f>IF(E15=0,0,1000000*E15/TrRail_act!E30)</f>
        <v>217709.11197918319</v>
      </c>
      <c r="F50" s="84">
        <f>IF(F15=0,0,1000000*F15/TrRail_act!F30)</f>
        <v>211640.83481454459</v>
      </c>
      <c r="G50" s="84">
        <f>IF(G15=0,0,1000000*G15/TrRail_act!G30)</f>
        <v>206344.28471334322</v>
      </c>
      <c r="H50" s="84">
        <f>IF(H15=0,0,1000000*H15/TrRail_act!H30)</f>
        <v>201677.9926800603</v>
      </c>
      <c r="I50" s="84">
        <f>IF(I15=0,0,1000000*I15/TrRail_act!I30)</f>
        <v>196407.38955247425</v>
      </c>
      <c r="J50" s="84">
        <f>IF(J15=0,0,1000000*J15/TrRail_act!J30)</f>
        <v>191844.28951784602</v>
      </c>
      <c r="K50" s="84">
        <f>IF(K15=0,0,1000000*K15/TrRail_act!K30)</f>
        <v>174295.62500976879</v>
      </c>
      <c r="L50" s="84">
        <f>IF(L15=0,0,1000000*L15/TrRail_act!L30)</f>
        <v>186116.04967170209</v>
      </c>
      <c r="M50" s="84">
        <f>IF(M15=0,0,1000000*M15/TrRail_act!M30)</f>
        <v>161541.20256959539</v>
      </c>
      <c r="N50" s="84">
        <f>IF(N15=0,0,1000000*N15/TrRail_act!N30)</f>
        <v>177743.95596618264</v>
      </c>
      <c r="O50" s="84">
        <f>IF(O15=0,0,1000000*O15/TrRail_act!O30)</f>
        <v>153698.06637038515</v>
      </c>
      <c r="P50" s="84">
        <f>IF(P15=0,0,1000000*P15/TrRail_act!P30)</f>
        <v>132311.2765511632</v>
      </c>
      <c r="Q50" s="84">
        <f>IF(Q15=0,0,1000000*Q15/TrRail_act!Q30)</f>
        <v>164364.82677135227</v>
      </c>
      <c r="R50" s="84">
        <f>IF(R15=0,0,1000000*R15/TrRail_act!R30)</f>
        <v>162768.45537913076</v>
      </c>
      <c r="S50" s="84">
        <f>IF(S15=0,0,1000000*S15/TrRail_act!S30)</f>
        <v>161581.35665376755</v>
      </c>
      <c r="T50" s="84">
        <f>IF(T15=0,0,1000000*T15/TrRail_act!T30)</f>
        <v>109201.00646251472</v>
      </c>
      <c r="U50" s="84">
        <f>IF(U15=0,0,1000000*U15/TrRail_act!U30)</f>
        <v>116411.34202869686</v>
      </c>
      <c r="V50" s="84">
        <f>IF(V15=0,0,1000000*V15/TrRail_act!V30)</f>
        <v>99978.434756738876</v>
      </c>
      <c r="W50" s="84">
        <f>IF(W15=0,0,1000000*W15/TrRail_act!W30)</f>
        <v>119644.16000158968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990893.41505073151</v>
      </c>
      <c r="K51" s="113">
        <f>IF(K16=0,0,1000000*K16/TrRail_act!K31)</f>
        <v>996584.25874946057</v>
      </c>
      <c r="L51" s="113">
        <f>IF(L16=0,0,1000000*L16/TrRail_act!L31)</f>
        <v>939971.33875914675</v>
      </c>
      <c r="M51" s="113">
        <f>IF(M16=0,0,1000000*M16/TrRail_act!M31)</f>
        <v>802254.17182645889</v>
      </c>
      <c r="N51" s="113">
        <f>IF(N16=0,0,1000000*N16/TrRail_act!N31)</f>
        <v>738005.12671975477</v>
      </c>
      <c r="O51" s="113">
        <f>IF(O16=0,0,1000000*O16/TrRail_act!O31)</f>
        <v>668959.53437630902</v>
      </c>
      <c r="P51" s="113">
        <f>IF(P16=0,0,1000000*P16/TrRail_act!P31)</f>
        <v>469681.33244798816</v>
      </c>
      <c r="Q51" s="113">
        <f>IF(Q16=0,0,1000000*Q16/TrRail_act!Q31)</f>
        <v>346324.16559387802</v>
      </c>
      <c r="R51" s="113">
        <f>IF(R16=0,0,1000000*R16/TrRail_act!R31)</f>
        <v>237240.86070431676</v>
      </c>
      <c r="S51" s="113">
        <f>IF(S16=0,0,1000000*S16/TrRail_act!S31)</f>
        <v>93607.255474809193</v>
      </c>
      <c r="T51" s="113">
        <f>IF(T16=0,0,1000000*T16/TrRail_act!T31)</f>
        <v>114131.63862944709</v>
      </c>
      <c r="U51" s="113">
        <f>IF(U16=0,0,1000000*U16/TrRail_act!U31)</f>
        <v>98909.556825699241</v>
      </c>
      <c r="V51" s="113">
        <f>IF(V16=0,0,1000000*V16/TrRail_act!V31)</f>
        <v>60563.218646589114</v>
      </c>
      <c r="W51" s="113">
        <f>IF(W16=0,0,1000000*W16/TrRail_act!W31)</f>
        <v>902308.26947477157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552400.75580819347</v>
      </c>
      <c r="C52" s="28">
        <f>IF(C17=0,0,1000000*C17/TrRail_act!C32)</f>
        <v>537386.49998531863</v>
      </c>
      <c r="D52" s="28">
        <f>IF(D17=0,0,1000000*D17/TrRail_act!D32)</f>
        <v>530724.93598493212</v>
      </c>
      <c r="E52" s="28">
        <f>IF(E17=0,0,1000000*E17/TrRail_act!E32)</f>
        <v>511586.12663441116</v>
      </c>
      <c r="F52" s="28">
        <f>IF(F17=0,0,1000000*F17/TrRail_act!F32)</f>
        <v>497881.64057095896</v>
      </c>
      <c r="G52" s="28">
        <f>IF(G17=0,0,1000000*G17/TrRail_act!G32)</f>
        <v>487954.90318552015</v>
      </c>
      <c r="H52" s="28">
        <f>IF(H17=0,0,1000000*H17/TrRail_act!H32)</f>
        <v>464460.99092644179</v>
      </c>
      <c r="I52" s="28">
        <f>IF(I17=0,0,1000000*I17/TrRail_act!I32)</f>
        <v>440776.61547032295</v>
      </c>
      <c r="J52" s="28">
        <f>IF(J17=0,0,1000000*J17/TrRail_act!J32)</f>
        <v>396474.56591343129</v>
      </c>
      <c r="K52" s="28">
        <f>IF(K17=0,0,1000000*K17/TrRail_act!K32)</f>
        <v>325159.74045529717</v>
      </c>
      <c r="L52" s="28">
        <f>IF(L17=0,0,1000000*L17/TrRail_act!L32)</f>
        <v>390520.25795168336</v>
      </c>
      <c r="M52" s="28">
        <f>IF(M17=0,0,1000000*M17/TrRail_act!M32)</f>
        <v>389297.13534235116</v>
      </c>
      <c r="N52" s="28">
        <f>IF(N17=0,0,1000000*N17/TrRail_act!N32)</f>
        <v>375218.20780405577</v>
      </c>
      <c r="O52" s="28">
        <f>IF(O17=0,0,1000000*O17/TrRail_act!O32)</f>
        <v>370803.24135864549</v>
      </c>
      <c r="P52" s="28">
        <f>IF(P17=0,0,1000000*P17/TrRail_act!P32)</f>
        <v>403076.95614832058</v>
      </c>
      <c r="Q52" s="28">
        <f>IF(Q17=0,0,1000000*Q17/TrRail_act!Q32)</f>
        <v>364317.14562523045</v>
      </c>
      <c r="R52" s="28">
        <f>IF(R17=0,0,1000000*R17/TrRail_act!R32)</f>
        <v>325343.04658232338</v>
      </c>
      <c r="S52" s="28">
        <f>IF(S17=0,0,1000000*S17/TrRail_act!S32)</f>
        <v>300892.96686815651</v>
      </c>
      <c r="T52" s="28">
        <f>IF(T17=0,0,1000000*T17/TrRail_act!T32)</f>
        <v>281771.47516638628</v>
      </c>
      <c r="U52" s="28">
        <f>IF(U17=0,0,1000000*U17/TrRail_act!U32)</f>
        <v>275084.7538566619</v>
      </c>
      <c r="V52" s="28">
        <f>IF(V17=0,0,1000000*V17/TrRail_act!V32)</f>
        <v>264216.68510439229</v>
      </c>
      <c r="W52" s="28">
        <f>IF(W17=0,0,1000000*W17/TrRail_act!W32)</f>
        <v>265101.26940329833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1046747.607186389</v>
      </c>
      <c r="C53" s="84">
        <f>IF(C18=0,0,1000000*C18/TrRail_act!C33)</f>
        <v>1039978.5218505441</v>
      </c>
      <c r="D53" s="84">
        <f>IF(D18=0,0,1000000*D18/TrRail_act!D33)</f>
        <v>1037458.6611893006</v>
      </c>
      <c r="E53" s="84">
        <f>IF(E18=0,0,1000000*E18/TrRail_act!E33)</f>
        <v>1030438.289545328</v>
      </c>
      <c r="F53" s="84">
        <f>IF(F18=0,0,1000000*F18/TrRail_act!F33)</f>
        <v>1023309.9526862092</v>
      </c>
      <c r="G53" s="84">
        <f>IF(G18=0,0,1000000*G18/TrRail_act!G33)</f>
        <v>1017231.1327783777</v>
      </c>
      <c r="H53" s="84">
        <f>IF(H18=0,0,1000000*H18/TrRail_act!H33)</f>
        <v>1007689.9582315838</v>
      </c>
      <c r="I53" s="84">
        <f>IF(I18=0,0,1000000*I18/TrRail_act!I33)</f>
        <v>991363.27779854427</v>
      </c>
      <c r="J53" s="84">
        <f>IF(J18=0,0,1000000*J18/TrRail_act!J33)</f>
        <v>821972.44103076786</v>
      </c>
      <c r="K53" s="84">
        <f>IF(K18=0,0,1000000*K18/TrRail_act!K33)</f>
        <v>760557.77458898665</v>
      </c>
      <c r="L53" s="84">
        <f>IF(L18=0,0,1000000*L18/TrRail_act!L33)</f>
        <v>945747.279519537</v>
      </c>
      <c r="M53" s="84">
        <f>IF(M18=0,0,1000000*M18/TrRail_act!M33)</f>
        <v>933476.84882273513</v>
      </c>
      <c r="N53" s="84">
        <f>IF(N18=0,0,1000000*N18/TrRail_act!N33)</f>
        <v>921431.4065815435</v>
      </c>
      <c r="O53" s="84">
        <f>IF(O18=0,0,1000000*O18/TrRail_act!O33)</f>
        <v>915253.92279797536</v>
      </c>
      <c r="P53" s="84">
        <f>IF(P18=0,0,1000000*P18/TrRail_act!P33)</f>
        <v>900789.77017303626</v>
      </c>
      <c r="Q53" s="84">
        <f>IF(Q18=0,0,1000000*Q18/TrRail_act!Q33)</f>
        <v>787371.30501792463</v>
      </c>
      <c r="R53" s="84">
        <f>IF(R18=0,0,1000000*R18/TrRail_act!R33)</f>
        <v>662911.87892507913</v>
      </c>
      <c r="S53" s="84">
        <f>IF(S18=0,0,1000000*S18/TrRail_act!S33)</f>
        <v>596077.37435586739</v>
      </c>
      <c r="T53" s="84">
        <f>IF(T18=0,0,1000000*T18/TrRail_act!T33)</f>
        <v>557756.18775078282</v>
      </c>
      <c r="U53" s="84">
        <f>IF(U18=0,0,1000000*U18/TrRail_act!U33)</f>
        <v>516414.12860972062</v>
      </c>
      <c r="V53" s="84">
        <f>IF(V18=0,0,1000000*V18/TrRail_act!V33)</f>
        <v>474437.395638138</v>
      </c>
      <c r="W53" s="84">
        <f>IF(W18=0,0,1000000*W18/TrRail_act!W33)</f>
        <v>465816.31299164338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417546.88146899414</v>
      </c>
      <c r="C54" s="86">
        <f>IF(C19=0,0,1000000*C19/TrRail_act!C34)</f>
        <v>413199.80551860278</v>
      </c>
      <c r="D54" s="86">
        <f>IF(D19=0,0,1000000*D19/TrRail_act!D34)</f>
        <v>394250.0765511315</v>
      </c>
      <c r="E54" s="86">
        <f>IF(E19=0,0,1000000*E19/TrRail_act!E34)</f>
        <v>381336.98893749417</v>
      </c>
      <c r="F54" s="86">
        <f>IF(F19=0,0,1000000*F19/TrRail_act!F34)</f>
        <v>362874.43738752679</v>
      </c>
      <c r="G54" s="86">
        <f>IF(G19=0,0,1000000*G19/TrRail_act!G34)</f>
        <v>352201.66269869078</v>
      </c>
      <c r="H54" s="86">
        <f>IF(H19=0,0,1000000*H19/TrRail_act!H34)</f>
        <v>334457.47068726469</v>
      </c>
      <c r="I54" s="86">
        <f>IF(I19=0,0,1000000*I19/TrRail_act!I34)</f>
        <v>316410.65789760608</v>
      </c>
      <c r="J54" s="86">
        <f>IF(J19=0,0,1000000*J19/TrRail_act!J34)</f>
        <v>308884.70796117582</v>
      </c>
      <c r="K54" s="86">
        <f>IF(K19=0,0,1000000*K19/TrRail_act!K34)</f>
        <v>237619.2501074851</v>
      </c>
      <c r="L54" s="86">
        <f>IF(L19=0,0,1000000*L19/TrRail_act!L34)</f>
        <v>288608.22392838774</v>
      </c>
      <c r="M54" s="86">
        <f>IF(M19=0,0,1000000*M19/TrRail_act!M34)</f>
        <v>280974.73251279077</v>
      </c>
      <c r="N54" s="86">
        <f>IF(N19=0,0,1000000*N19/TrRail_act!N34)</f>
        <v>269339.54624369543</v>
      </c>
      <c r="O54" s="86">
        <f>IF(O19=0,0,1000000*O19/TrRail_act!O34)</f>
        <v>262631.86354506004</v>
      </c>
      <c r="P54" s="86">
        <f>IF(P19=0,0,1000000*P19/TrRail_act!P34)</f>
        <v>252610.47650395156</v>
      </c>
      <c r="Q54" s="86">
        <f>IF(Q19=0,0,1000000*Q19/TrRail_act!Q34)</f>
        <v>250300.66376832809</v>
      </c>
      <c r="R54" s="86">
        <f>IF(R19=0,0,1000000*R19/TrRail_act!R34)</f>
        <v>248582.1749448604</v>
      </c>
      <c r="S54" s="86">
        <f>IF(S19=0,0,1000000*S19/TrRail_act!S34)</f>
        <v>247301.05660343944</v>
      </c>
      <c r="T54" s="86">
        <f>IF(T19=0,0,1000000*T19/TrRail_act!T34)</f>
        <v>246344.55506292058</v>
      </c>
      <c r="U54" s="86">
        <f>IF(U19=0,0,1000000*U19/TrRail_act!U34)</f>
        <v>245629.60606195213</v>
      </c>
      <c r="V54" s="86">
        <f>IF(V19=0,0,1000000*V19/TrRail_act!V34)</f>
        <v>239786.44925160633</v>
      </c>
      <c r="W54" s="86">
        <f>IF(W19=0,0,1000000*W19/TrRail_act!W34)</f>
        <v>244694.38190199176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0.41991753459112152</v>
      </c>
      <c r="C57" s="31">
        <f t="shared" ref="C57:V57" si="17">IF(C11=0,0,C11/C$10)</f>
        <v>0.40514475801775823</v>
      </c>
      <c r="D57" s="31">
        <f t="shared" si="17"/>
        <v>0.4010752767649568</v>
      </c>
      <c r="E57" s="31">
        <f t="shared" si="17"/>
        <v>0.43238773599821717</v>
      </c>
      <c r="F57" s="31">
        <f t="shared" si="17"/>
        <v>0.43341644443143701</v>
      </c>
      <c r="G57" s="31">
        <f t="shared" si="17"/>
        <v>0.43568391821215074</v>
      </c>
      <c r="H57" s="31">
        <f t="shared" si="17"/>
        <v>0.43735498049947102</v>
      </c>
      <c r="I57" s="31">
        <f t="shared" si="17"/>
        <v>0.44174763007913992</v>
      </c>
      <c r="J57" s="31">
        <f t="shared" si="17"/>
        <v>0.46363646424547272</v>
      </c>
      <c r="K57" s="31">
        <f t="shared" si="17"/>
        <v>0.5059326897487203</v>
      </c>
      <c r="L57" s="31">
        <f t="shared" si="17"/>
        <v>0.45807477567724569</v>
      </c>
      <c r="M57" s="31">
        <f t="shared" si="17"/>
        <v>0.41049095743270886</v>
      </c>
      <c r="N57" s="31">
        <f t="shared" si="17"/>
        <v>0.43724488425426566</v>
      </c>
      <c r="O57" s="31">
        <f t="shared" si="17"/>
        <v>0.4011452406926273</v>
      </c>
      <c r="P57" s="31">
        <f t="shared" si="17"/>
        <v>0.35091452504117987</v>
      </c>
      <c r="Q57" s="31">
        <f t="shared" si="17"/>
        <v>0.40081009224380776</v>
      </c>
      <c r="R57" s="31">
        <f t="shared" si="17"/>
        <v>0.40728807783000248</v>
      </c>
      <c r="S57" s="31">
        <f t="shared" si="17"/>
        <v>0.48595918618505668</v>
      </c>
      <c r="T57" s="31">
        <f t="shared" si="17"/>
        <v>0.37846570001394192</v>
      </c>
      <c r="U57" s="31">
        <f t="shared" si="17"/>
        <v>0.38618999813101845</v>
      </c>
      <c r="V57" s="31">
        <f t="shared" si="17"/>
        <v>0.34044729982208627</v>
      </c>
      <c r="W57" s="31">
        <f t="shared" ref="W57" si="18">IF(W11=0,0,W11/W$10)</f>
        <v>0.40723078655373557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0.41991753459112152</v>
      </c>
      <c r="C59" s="124">
        <f t="shared" ref="C59:V59" si="21">IF(C13=0,0,C13/C$10)</f>
        <v>0.40514475801775823</v>
      </c>
      <c r="D59" s="124">
        <f t="shared" si="21"/>
        <v>0.4010752767649568</v>
      </c>
      <c r="E59" s="124">
        <f t="shared" si="21"/>
        <v>0.43238773599821717</v>
      </c>
      <c r="F59" s="124">
        <f t="shared" si="21"/>
        <v>0.43341644443143701</v>
      </c>
      <c r="G59" s="124">
        <f t="shared" si="21"/>
        <v>0.43568391821215074</v>
      </c>
      <c r="H59" s="124">
        <f t="shared" si="21"/>
        <v>0.43735498049947102</v>
      </c>
      <c r="I59" s="124">
        <f t="shared" si="21"/>
        <v>0.44174763007913992</v>
      </c>
      <c r="J59" s="124">
        <f t="shared" si="21"/>
        <v>0.45772877519169425</v>
      </c>
      <c r="K59" s="124">
        <f t="shared" si="21"/>
        <v>0.49830651745029786</v>
      </c>
      <c r="L59" s="124">
        <f t="shared" si="21"/>
        <v>0.45133387550429149</v>
      </c>
      <c r="M59" s="124">
        <f t="shared" si="21"/>
        <v>0.40483866957971859</v>
      </c>
      <c r="N59" s="124">
        <f t="shared" si="21"/>
        <v>0.43170667469433388</v>
      </c>
      <c r="O59" s="124">
        <f t="shared" si="21"/>
        <v>0.39623600268726561</v>
      </c>
      <c r="P59" s="124">
        <f t="shared" si="21"/>
        <v>0.34771567248865043</v>
      </c>
      <c r="Q59" s="124">
        <f t="shared" si="21"/>
        <v>0.39846922926562739</v>
      </c>
      <c r="R59" s="124">
        <f t="shared" si="21"/>
        <v>0.40563459966334436</v>
      </c>
      <c r="S59" s="124">
        <f t="shared" si="21"/>
        <v>0.48541551351771317</v>
      </c>
      <c r="T59" s="124">
        <f t="shared" si="21"/>
        <v>0.3777832613381068</v>
      </c>
      <c r="U59" s="124">
        <f t="shared" si="21"/>
        <v>0.38557025050558208</v>
      </c>
      <c r="V59" s="124">
        <f t="shared" si="21"/>
        <v>0.34000401169082306</v>
      </c>
      <c r="W59" s="124">
        <f t="shared" ref="W59" si="22">IF(W13=0,0,W13/W$10)</f>
        <v>0.3820956230297497</v>
      </c>
      <c r="DA59" s="176"/>
    </row>
    <row r="60" spans="1:105" ht="11.45" customHeight="1" x14ac:dyDescent="0.25">
      <c r="A60" s="111" t="s">
        <v>92</v>
      </c>
      <c r="B60" s="125">
        <f t="shared" si="14"/>
        <v>0.23637470947389716</v>
      </c>
      <c r="C60" s="125">
        <f t="shared" ref="C60:V60" si="23">IF(C14=0,0,C14/C$10)</f>
        <v>0.22127185578750375</v>
      </c>
      <c r="D60" s="125">
        <f t="shared" si="23"/>
        <v>0.21494846088580169</v>
      </c>
      <c r="E60" s="125">
        <f t="shared" si="23"/>
        <v>0.22803357304437333</v>
      </c>
      <c r="F60" s="125">
        <f t="shared" si="23"/>
        <v>0.20524653881452259</v>
      </c>
      <c r="G60" s="125">
        <f t="shared" si="23"/>
        <v>0.19376059835246157</v>
      </c>
      <c r="H60" s="125">
        <f t="shared" si="23"/>
        <v>0.19457989310916982</v>
      </c>
      <c r="I60" s="125">
        <f t="shared" si="23"/>
        <v>0.19895112101449711</v>
      </c>
      <c r="J60" s="125">
        <f t="shared" si="23"/>
        <v>0.19645942755911797</v>
      </c>
      <c r="K60" s="125">
        <f t="shared" si="23"/>
        <v>0.22666336958894057</v>
      </c>
      <c r="L60" s="125">
        <f t="shared" si="23"/>
        <v>0.19018034756482066</v>
      </c>
      <c r="M60" s="125">
        <f t="shared" si="23"/>
        <v>0.19511592987226573</v>
      </c>
      <c r="N60" s="125">
        <f t="shared" si="23"/>
        <v>0.18760498971471434</v>
      </c>
      <c r="O60" s="125">
        <f t="shared" si="23"/>
        <v>0.20267034024347089</v>
      </c>
      <c r="P60" s="125">
        <f t="shared" si="23"/>
        <v>0.2033399518457438</v>
      </c>
      <c r="Q60" s="125">
        <f t="shared" si="23"/>
        <v>0.21985181401218681</v>
      </c>
      <c r="R60" s="125">
        <f t="shared" si="23"/>
        <v>0.20140069335034927</v>
      </c>
      <c r="S60" s="125">
        <f t="shared" si="23"/>
        <v>0.16946368337844936</v>
      </c>
      <c r="T60" s="125">
        <f t="shared" si="23"/>
        <v>0.1653942807994318</v>
      </c>
      <c r="U60" s="125">
        <f t="shared" si="23"/>
        <v>0.15662455857432797</v>
      </c>
      <c r="V60" s="125">
        <f t="shared" si="23"/>
        <v>0.11865168732059581</v>
      </c>
      <c r="W60" s="125">
        <f t="shared" ref="W60" si="24">IF(W14=0,0,W14/W$10)</f>
        <v>0.15943880867143201</v>
      </c>
      <c r="DA60" s="171"/>
    </row>
    <row r="61" spans="1:105" ht="11.45" customHeight="1" x14ac:dyDescent="0.25">
      <c r="A61" s="111" t="s">
        <v>93</v>
      </c>
      <c r="B61" s="125">
        <f t="shared" si="14"/>
        <v>0.18354282511722436</v>
      </c>
      <c r="C61" s="125">
        <f t="shared" ref="C61:V61" si="25">IF(C15=0,0,C15/C$10)</f>
        <v>0.18387290223025449</v>
      </c>
      <c r="D61" s="125">
        <f t="shared" si="25"/>
        <v>0.18612681587915511</v>
      </c>
      <c r="E61" s="125">
        <f t="shared" si="25"/>
        <v>0.20435416295384382</v>
      </c>
      <c r="F61" s="125">
        <f t="shared" si="25"/>
        <v>0.22816990561691441</v>
      </c>
      <c r="G61" s="125">
        <f t="shared" si="25"/>
        <v>0.24192331985968915</v>
      </c>
      <c r="H61" s="125">
        <f t="shared" si="25"/>
        <v>0.24277508739030118</v>
      </c>
      <c r="I61" s="125">
        <f t="shared" si="25"/>
        <v>0.24279650906464281</v>
      </c>
      <c r="J61" s="125">
        <f t="shared" si="25"/>
        <v>0.26126934763257631</v>
      </c>
      <c r="K61" s="125">
        <f t="shared" si="25"/>
        <v>0.27164314786135729</v>
      </c>
      <c r="L61" s="125">
        <f t="shared" si="25"/>
        <v>0.26115352793947078</v>
      </c>
      <c r="M61" s="125">
        <f t="shared" si="25"/>
        <v>0.20972273970745292</v>
      </c>
      <c r="N61" s="125">
        <f t="shared" si="25"/>
        <v>0.24410168497961951</v>
      </c>
      <c r="O61" s="125">
        <f t="shared" si="25"/>
        <v>0.19356566244379469</v>
      </c>
      <c r="P61" s="125">
        <f t="shared" si="25"/>
        <v>0.1443757206429066</v>
      </c>
      <c r="Q61" s="125">
        <f t="shared" si="25"/>
        <v>0.1786174152534406</v>
      </c>
      <c r="R61" s="125">
        <f t="shared" si="25"/>
        <v>0.20423390631299507</v>
      </c>
      <c r="S61" s="125">
        <f t="shared" si="25"/>
        <v>0.31595183013926387</v>
      </c>
      <c r="T61" s="125">
        <f t="shared" si="25"/>
        <v>0.21238898053867503</v>
      </c>
      <c r="U61" s="125">
        <f t="shared" si="25"/>
        <v>0.22894569193125416</v>
      </c>
      <c r="V61" s="125">
        <f t="shared" si="25"/>
        <v>0.22135232437022728</v>
      </c>
      <c r="W61" s="125">
        <f t="shared" ref="W61" si="26">IF(W15=0,0,W15/W$10)</f>
        <v>0.22265681435831772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5.9076890537784988E-3</v>
      </c>
      <c r="K62" s="126">
        <f t="shared" si="27"/>
        <v>7.6261722984224071E-3</v>
      </c>
      <c r="L62" s="126">
        <f t="shared" si="27"/>
        <v>6.7409001729541946E-3</v>
      </c>
      <c r="M62" s="126">
        <f t="shared" si="27"/>
        <v>5.6522878529902407E-3</v>
      </c>
      <c r="N62" s="126">
        <f t="shared" si="27"/>
        <v>5.5382095599318271E-3</v>
      </c>
      <c r="O62" s="126">
        <f t="shared" si="27"/>
        <v>4.9092380053616684E-3</v>
      </c>
      <c r="P62" s="126">
        <f t="shared" si="27"/>
        <v>3.1988525525294045E-3</v>
      </c>
      <c r="Q62" s="126">
        <f t="shared" si="27"/>
        <v>2.3408629781803392E-3</v>
      </c>
      <c r="R62" s="126">
        <f t="shared" si="27"/>
        <v>1.6534781666580898E-3</v>
      </c>
      <c r="S62" s="126">
        <f t="shared" si="27"/>
        <v>5.4367266734351642E-4</v>
      </c>
      <c r="T62" s="126">
        <f t="shared" si="27"/>
        <v>6.8243867583511644E-4</v>
      </c>
      <c r="U62" s="126">
        <f t="shared" si="27"/>
        <v>6.1974762543637015E-4</v>
      </c>
      <c r="V62" s="126">
        <f t="shared" si="27"/>
        <v>4.432881312631983E-4</v>
      </c>
      <c r="W62" s="126">
        <f t="shared" ref="W62" si="28">IF(W16=0,0,W16/W$10)</f>
        <v>2.5135163523985815E-2</v>
      </c>
      <c r="DA62" s="204"/>
    </row>
    <row r="63" spans="1:105" ht="11.45" customHeight="1" x14ac:dyDescent="0.25">
      <c r="A63" s="27" t="s">
        <v>34</v>
      </c>
      <c r="B63" s="31">
        <f t="shared" si="14"/>
        <v>0.58008246540887853</v>
      </c>
      <c r="C63" s="31">
        <f t="shared" ref="C63:V63" si="29">IF(C17=0,0,C17/C$10)</f>
        <v>0.59485524198224182</v>
      </c>
      <c r="D63" s="31">
        <f t="shared" si="29"/>
        <v>0.59892472323504331</v>
      </c>
      <c r="E63" s="31">
        <f t="shared" si="29"/>
        <v>0.56761226400178288</v>
      </c>
      <c r="F63" s="31">
        <f t="shared" si="29"/>
        <v>0.5665835555685631</v>
      </c>
      <c r="G63" s="31">
        <f t="shared" si="29"/>
        <v>0.56431608178784931</v>
      </c>
      <c r="H63" s="31">
        <f t="shared" si="29"/>
        <v>0.56264501950052903</v>
      </c>
      <c r="I63" s="31">
        <f t="shared" si="29"/>
        <v>0.55825236992086003</v>
      </c>
      <c r="J63" s="31">
        <f t="shared" si="29"/>
        <v>0.53636353575452722</v>
      </c>
      <c r="K63" s="31">
        <f t="shared" si="29"/>
        <v>0.4940673102512797</v>
      </c>
      <c r="L63" s="31">
        <f t="shared" si="29"/>
        <v>0.54192522432275436</v>
      </c>
      <c r="M63" s="31">
        <f t="shared" si="29"/>
        <v>0.5895090425672912</v>
      </c>
      <c r="N63" s="31">
        <f t="shared" si="29"/>
        <v>0.56275511574573422</v>
      </c>
      <c r="O63" s="31">
        <f t="shared" si="29"/>
        <v>0.59885475930737264</v>
      </c>
      <c r="P63" s="31">
        <f t="shared" si="29"/>
        <v>0.64908547495882007</v>
      </c>
      <c r="Q63" s="31">
        <f t="shared" si="29"/>
        <v>0.5991899077561923</v>
      </c>
      <c r="R63" s="31">
        <f t="shared" si="29"/>
        <v>0.59271192216999757</v>
      </c>
      <c r="S63" s="31">
        <f t="shared" si="29"/>
        <v>0.51404081381494338</v>
      </c>
      <c r="T63" s="31">
        <f t="shared" si="29"/>
        <v>0.62153429998605803</v>
      </c>
      <c r="U63" s="31">
        <f t="shared" si="29"/>
        <v>0.6138100018689816</v>
      </c>
      <c r="V63" s="31">
        <f t="shared" si="29"/>
        <v>0.65955270017791379</v>
      </c>
      <c r="W63" s="31">
        <f t="shared" ref="W63" si="30">IF(W17=0,0,W17/W$10)</f>
        <v>0.59276921344626443</v>
      </c>
      <c r="DA63" s="173"/>
    </row>
    <row r="64" spans="1:105" ht="11.45" customHeight="1" x14ac:dyDescent="0.25">
      <c r="A64" s="83" t="s">
        <v>92</v>
      </c>
      <c r="B64" s="125">
        <f t="shared" si="14"/>
        <v>0.23558718557224334</v>
      </c>
      <c r="C64" s="125">
        <f t="shared" ref="C64:V64" si="31">IF(C18=0,0,C18/C$10)</f>
        <v>0.22809183436499858</v>
      </c>
      <c r="D64" s="125">
        <f t="shared" si="31"/>
        <v>0.24841302980545971</v>
      </c>
      <c r="E64" s="125">
        <f t="shared" si="31"/>
        <v>0.22941265828140464</v>
      </c>
      <c r="F64" s="125">
        <f t="shared" si="31"/>
        <v>0.23805185633846199</v>
      </c>
      <c r="G64" s="125">
        <f t="shared" si="31"/>
        <v>0.24014397672783613</v>
      </c>
      <c r="H64" s="125">
        <f t="shared" si="31"/>
        <v>0.23572313719386048</v>
      </c>
      <c r="I64" s="125">
        <f t="shared" si="31"/>
        <v>0.23135190928853322</v>
      </c>
      <c r="J64" s="125">
        <f t="shared" si="31"/>
        <v>0.18982934968655915</v>
      </c>
      <c r="K64" s="125">
        <f t="shared" si="31"/>
        <v>0.19345497360632574</v>
      </c>
      <c r="L64" s="125">
        <f t="shared" si="31"/>
        <v>0.20353499439451392</v>
      </c>
      <c r="M64" s="125">
        <f t="shared" si="31"/>
        <v>0.23466546211489162</v>
      </c>
      <c r="N64" s="125">
        <f t="shared" si="31"/>
        <v>0.2243872733413784</v>
      </c>
      <c r="O64" s="125">
        <f t="shared" si="31"/>
        <v>0.24500231879653875</v>
      </c>
      <c r="P64" s="125">
        <f t="shared" si="31"/>
        <v>0.33673012602636049</v>
      </c>
      <c r="Q64" s="125">
        <f t="shared" si="31"/>
        <v>0.2749164239833321</v>
      </c>
      <c r="R64" s="125">
        <f t="shared" si="31"/>
        <v>0.22374418810374669</v>
      </c>
      <c r="S64" s="125">
        <f t="shared" si="31"/>
        <v>0.15647337593645472</v>
      </c>
      <c r="T64" s="125">
        <f t="shared" si="31"/>
        <v>0.13996228961459428</v>
      </c>
      <c r="U64" s="125">
        <f t="shared" si="31"/>
        <v>0.12534381946795312</v>
      </c>
      <c r="V64" s="125">
        <f t="shared" si="31"/>
        <v>0.12330296669839839</v>
      </c>
      <c r="W64" s="125">
        <f t="shared" ref="W64" si="32">IF(W18=0,0,W18/W$10)</f>
        <v>9.6124363655081368E-2</v>
      </c>
      <c r="DA64" s="171"/>
    </row>
    <row r="65" spans="1:105" ht="11.45" customHeight="1" x14ac:dyDescent="0.25">
      <c r="A65" s="85" t="s">
        <v>93</v>
      </c>
      <c r="B65" s="127">
        <f t="shared" si="14"/>
        <v>0.34449527983663519</v>
      </c>
      <c r="C65" s="127">
        <f t="shared" ref="C65:V65" si="33">IF(C19=0,0,C19/C$10)</f>
        <v>0.36676340761724319</v>
      </c>
      <c r="D65" s="127">
        <f t="shared" si="33"/>
        <v>0.3505116934295836</v>
      </c>
      <c r="E65" s="127">
        <f t="shared" si="33"/>
        <v>0.33819960572037822</v>
      </c>
      <c r="F65" s="127">
        <f t="shared" si="33"/>
        <v>0.32853169923010106</v>
      </c>
      <c r="G65" s="127">
        <f t="shared" si="33"/>
        <v>0.32417210506001309</v>
      </c>
      <c r="H65" s="127">
        <f t="shared" si="33"/>
        <v>0.32692188230666847</v>
      </c>
      <c r="I65" s="127">
        <f t="shared" si="33"/>
        <v>0.32690046063232686</v>
      </c>
      <c r="J65" s="127">
        <f t="shared" si="33"/>
        <v>0.34653418606796804</v>
      </c>
      <c r="K65" s="127">
        <f t="shared" si="33"/>
        <v>0.30061233664495396</v>
      </c>
      <c r="L65" s="127">
        <f t="shared" si="33"/>
        <v>0.33839022992824047</v>
      </c>
      <c r="M65" s="127">
        <f t="shared" si="33"/>
        <v>0.3548435804523995</v>
      </c>
      <c r="N65" s="127">
        <f t="shared" si="33"/>
        <v>0.33836784240435586</v>
      </c>
      <c r="O65" s="127">
        <f t="shared" si="33"/>
        <v>0.35385244051083398</v>
      </c>
      <c r="P65" s="127">
        <f t="shared" si="33"/>
        <v>0.31235534893245953</v>
      </c>
      <c r="Q65" s="127">
        <f t="shared" si="33"/>
        <v>0.32427348377286014</v>
      </c>
      <c r="R65" s="127">
        <f t="shared" si="33"/>
        <v>0.36896773406625089</v>
      </c>
      <c r="S65" s="127">
        <f t="shared" si="33"/>
        <v>0.35756743787848866</v>
      </c>
      <c r="T65" s="127">
        <f t="shared" si="33"/>
        <v>0.4815720103714638</v>
      </c>
      <c r="U65" s="127">
        <f t="shared" si="33"/>
        <v>0.48846618240102851</v>
      </c>
      <c r="V65" s="127">
        <f t="shared" si="33"/>
        <v>0.53624973347951543</v>
      </c>
      <c r="W65" s="127">
        <f t="shared" ref="W65" si="34">IF(W19=0,0,W19/W$10)</f>
        <v>0.49664484979118306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35.049329639999996</v>
      </c>
      <c r="C4" s="26">
        <f t="shared" ref="C4:W4" si="0">SUM(C5:C6)</f>
        <v>35.049329639999996</v>
      </c>
      <c r="D4" s="26">
        <f t="shared" si="0"/>
        <v>38.235511079999988</v>
      </c>
      <c r="E4" s="26">
        <f t="shared" si="0"/>
        <v>38.235511079999988</v>
      </c>
      <c r="F4" s="26">
        <f t="shared" si="0"/>
        <v>38.235511079999988</v>
      </c>
      <c r="G4" s="26">
        <f t="shared" si="0"/>
        <v>38.235511079999988</v>
      </c>
      <c r="H4" s="26">
        <f t="shared" si="0"/>
        <v>37.879919999999991</v>
      </c>
      <c r="I4" s="26">
        <f t="shared" si="0"/>
        <v>37.879919999999991</v>
      </c>
      <c r="J4" s="26">
        <f t="shared" si="0"/>
        <v>31.566511079999998</v>
      </c>
      <c r="K4" s="26">
        <f t="shared" si="0"/>
        <v>28.409939999999995</v>
      </c>
      <c r="L4" s="26">
        <f t="shared" si="0"/>
        <v>28.409939999999995</v>
      </c>
      <c r="M4" s="26">
        <f t="shared" si="0"/>
        <v>31.566511079999998</v>
      </c>
      <c r="N4" s="26">
        <f t="shared" si="0"/>
        <v>28.409939999999995</v>
      </c>
      <c r="O4" s="26">
        <f t="shared" si="0"/>
        <v>31.567311360000005</v>
      </c>
      <c r="P4" s="26">
        <f t="shared" si="0"/>
        <v>41.034623760000009</v>
      </c>
      <c r="Q4" s="26">
        <f t="shared" si="0"/>
        <v>37.879119719999984</v>
      </c>
      <c r="R4" s="26">
        <f t="shared" si="0"/>
        <v>31.56597756</v>
      </c>
      <c r="S4" s="26">
        <f t="shared" si="0"/>
        <v>29.226814079999993</v>
      </c>
      <c r="T4" s="26">
        <f t="shared" si="0"/>
        <v>26.587269959999997</v>
      </c>
      <c r="U4" s="26">
        <f t="shared" si="0"/>
        <v>23.379841799999998</v>
      </c>
      <c r="V4" s="26">
        <f t="shared" si="0"/>
        <v>17.105985</v>
      </c>
      <c r="W4" s="26">
        <f t="shared" si="0"/>
        <v>20.685637439999997</v>
      </c>
      <c r="DA4" s="202" t="s">
        <v>1135</v>
      </c>
    </row>
    <row r="5" spans="1:105" ht="11.45" customHeight="1" x14ac:dyDescent="0.25">
      <c r="A5" s="107" t="s">
        <v>92</v>
      </c>
      <c r="B5" s="129">
        <v>35.049329639999996</v>
      </c>
      <c r="C5" s="129">
        <v>35.049329639999996</v>
      </c>
      <c r="D5" s="129">
        <v>38.235511079999988</v>
      </c>
      <c r="E5" s="129">
        <v>38.235511079999988</v>
      </c>
      <c r="F5" s="129">
        <v>38.235511079999988</v>
      </c>
      <c r="G5" s="129">
        <v>38.235511079999988</v>
      </c>
      <c r="H5" s="129">
        <v>37.879919999999991</v>
      </c>
      <c r="I5" s="129">
        <v>37.879919999999991</v>
      </c>
      <c r="J5" s="129">
        <v>31.566511079999998</v>
      </c>
      <c r="K5" s="129">
        <v>28.409939999999995</v>
      </c>
      <c r="L5" s="129">
        <v>28.409939999999995</v>
      </c>
      <c r="M5" s="129">
        <v>31.566511079999998</v>
      </c>
      <c r="N5" s="129">
        <v>28.409939999999995</v>
      </c>
      <c r="O5" s="129">
        <v>31.567311360000005</v>
      </c>
      <c r="P5" s="129">
        <v>41.034623760000009</v>
      </c>
      <c r="Q5" s="129">
        <v>37.879119719999984</v>
      </c>
      <c r="R5" s="129">
        <v>31.56597756</v>
      </c>
      <c r="S5" s="129">
        <v>29.226814079999993</v>
      </c>
      <c r="T5" s="129">
        <v>26.587269959999997</v>
      </c>
      <c r="U5" s="129">
        <v>23.379841799999998</v>
      </c>
      <c r="V5" s="129">
        <v>17.105985</v>
      </c>
      <c r="W5" s="129">
        <v>20.685637439999997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35.049329639999996</v>
      </c>
      <c r="C8" s="79">
        <f t="shared" si="1"/>
        <v>35.049329639999996</v>
      </c>
      <c r="D8" s="79">
        <f t="shared" si="1"/>
        <v>38.235511079999981</v>
      </c>
      <c r="E8" s="79">
        <f t="shared" si="1"/>
        <v>38.235511079999988</v>
      </c>
      <c r="F8" s="79">
        <f t="shared" si="1"/>
        <v>38.235511079999981</v>
      </c>
      <c r="G8" s="79">
        <f t="shared" si="1"/>
        <v>38.235511079999988</v>
      </c>
      <c r="H8" s="79">
        <f t="shared" si="1"/>
        <v>37.879919999999991</v>
      </c>
      <c r="I8" s="79">
        <f t="shared" si="1"/>
        <v>37.879919999999998</v>
      </c>
      <c r="J8" s="79">
        <f t="shared" si="1"/>
        <v>31.566511079999998</v>
      </c>
      <c r="K8" s="79">
        <f t="shared" si="1"/>
        <v>28.409939999999999</v>
      </c>
      <c r="L8" s="79">
        <f t="shared" si="1"/>
        <v>28.409939999999999</v>
      </c>
      <c r="M8" s="79">
        <f t="shared" si="1"/>
        <v>31.566511079999998</v>
      </c>
      <c r="N8" s="79">
        <f t="shared" si="1"/>
        <v>28.409939999999999</v>
      </c>
      <c r="O8" s="79">
        <f t="shared" si="1"/>
        <v>31.567311360000005</v>
      </c>
      <c r="P8" s="79">
        <f t="shared" si="1"/>
        <v>41.034623760000002</v>
      </c>
      <c r="Q8" s="79">
        <f t="shared" si="1"/>
        <v>37.879119719999984</v>
      </c>
      <c r="R8" s="79">
        <f t="shared" si="1"/>
        <v>31.565977560000004</v>
      </c>
      <c r="S8" s="79">
        <f t="shared" si="1"/>
        <v>29.226814079999997</v>
      </c>
      <c r="T8" s="79">
        <f t="shared" si="1"/>
        <v>26.587269960000008</v>
      </c>
      <c r="U8" s="79">
        <f t="shared" si="1"/>
        <v>23.379841800000001</v>
      </c>
      <c r="V8" s="79">
        <f t="shared" si="1"/>
        <v>17.105985000000004</v>
      </c>
      <c r="W8" s="79">
        <f t="shared" si="1"/>
        <v>20.685637439999994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17.553906783300597</v>
      </c>
      <c r="C9" s="32">
        <f t="shared" si="2"/>
        <v>17.258693533780551</v>
      </c>
      <c r="D9" s="32">
        <f t="shared" si="2"/>
        <v>17.737046394526825</v>
      </c>
      <c r="E9" s="32">
        <f t="shared" si="2"/>
        <v>19.060120319454018</v>
      </c>
      <c r="F9" s="32">
        <f t="shared" si="2"/>
        <v>17.702988313923495</v>
      </c>
      <c r="G9" s="32">
        <f t="shared" si="2"/>
        <v>17.074112444658965</v>
      </c>
      <c r="H9" s="32">
        <f t="shared" si="2"/>
        <v>17.129023654314704</v>
      </c>
      <c r="I9" s="32">
        <f t="shared" si="2"/>
        <v>17.51382634380299</v>
      </c>
      <c r="J9" s="32">
        <f t="shared" si="2"/>
        <v>16.05415187320137</v>
      </c>
      <c r="K9" s="32">
        <f t="shared" si="2"/>
        <v>15.327806639536856</v>
      </c>
      <c r="L9" s="32">
        <f t="shared" si="2"/>
        <v>13.723143824183916</v>
      </c>
      <c r="M9" s="32">
        <f t="shared" si="2"/>
        <v>14.330841858275297</v>
      </c>
      <c r="N9" s="32">
        <f t="shared" si="2"/>
        <v>12.936763574052828</v>
      </c>
      <c r="O9" s="32">
        <f t="shared" si="2"/>
        <v>14.291151368551638</v>
      </c>
      <c r="P9" s="32">
        <f t="shared" si="2"/>
        <v>15.449806906989169</v>
      </c>
      <c r="Q9" s="32">
        <f t="shared" si="2"/>
        <v>16.831705319980987</v>
      </c>
      <c r="R9" s="32">
        <f t="shared" si="2"/>
        <v>14.953513600167838</v>
      </c>
      <c r="S9" s="32">
        <f t="shared" si="2"/>
        <v>15.19582823083857</v>
      </c>
      <c r="T9" s="32">
        <f t="shared" si="2"/>
        <v>14.400811443134259</v>
      </c>
      <c r="U9" s="32">
        <f t="shared" si="2"/>
        <v>12.986766200121659</v>
      </c>
      <c r="V9" s="32">
        <f t="shared" si="2"/>
        <v>8.3885717832543456</v>
      </c>
      <c r="W9" s="32">
        <f t="shared" si="2"/>
        <v>12.905198194319837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17.553906783300597</v>
      </c>
      <c r="C11" s="130">
        <f t="shared" si="3"/>
        <v>17.258693533780551</v>
      </c>
      <c r="D11" s="130">
        <f t="shared" si="3"/>
        <v>17.737046394526825</v>
      </c>
      <c r="E11" s="130">
        <f t="shared" si="3"/>
        <v>19.060120319454018</v>
      </c>
      <c r="F11" s="130">
        <f t="shared" si="3"/>
        <v>17.702988313923495</v>
      </c>
      <c r="G11" s="130">
        <f t="shared" si="3"/>
        <v>17.074112444658965</v>
      </c>
      <c r="H11" s="130">
        <f t="shared" si="3"/>
        <v>17.129023654314704</v>
      </c>
      <c r="I11" s="130">
        <f t="shared" si="3"/>
        <v>17.51382634380299</v>
      </c>
      <c r="J11" s="130">
        <f t="shared" si="3"/>
        <v>16.05415187320137</v>
      </c>
      <c r="K11" s="130">
        <f t="shared" si="3"/>
        <v>15.327806639536856</v>
      </c>
      <c r="L11" s="130">
        <f t="shared" si="3"/>
        <v>13.723143824183916</v>
      </c>
      <c r="M11" s="130">
        <f t="shared" si="3"/>
        <v>14.330841858275297</v>
      </c>
      <c r="N11" s="130">
        <f t="shared" si="3"/>
        <v>12.936763574052828</v>
      </c>
      <c r="O11" s="130">
        <f t="shared" si="3"/>
        <v>14.291151368551638</v>
      </c>
      <c r="P11" s="130">
        <f t="shared" si="3"/>
        <v>15.449806906989169</v>
      </c>
      <c r="Q11" s="130">
        <f t="shared" si="3"/>
        <v>16.831705319980987</v>
      </c>
      <c r="R11" s="130">
        <f t="shared" si="3"/>
        <v>14.953513600167838</v>
      </c>
      <c r="S11" s="130">
        <f t="shared" si="3"/>
        <v>15.19582823083857</v>
      </c>
      <c r="T11" s="130">
        <f t="shared" si="3"/>
        <v>14.400811443134259</v>
      </c>
      <c r="U11" s="130">
        <f t="shared" si="3"/>
        <v>12.986766200121659</v>
      </c>
      <c r="V11" s="130">
        <f t="shared" si="3"/>
        <v>8.3885717832543456</v>
      </c>
      <c r="W11" s="130">
        <f t="shared" si="3"/>
        <v>12.905198194319837</v>
      </c>
      <c r="DA11" s="176" t="s">
        <v>408</v>
      </c>
    </row>
    <row r="12" spans="1:105" ht="11.45" customHeight="1" x14ac:dyDescent="0.25">
      <c r="A12" s="111" t="s">
        <v>92</v>
      </c>
      <c r="B12" s="96">
        <v>17.553906783300597</v>
      </c>
      <c r="C12" s="96">
        <v>17.258693533780551</v>
      </c>
      <c r="D12" s="96">
        <v>17.737046394526825</v>
      </c>
      <c r="E12" s="96">
        <v>19.060120319454018</v>
      </c>
      <c r="F12" s="96">
        <v>17.702988313923495</v>
      </c>
      <c r="G12" s="96">
        <v>17.074112444658965</v>
      </c>
      <c r="H12" s="96">
        <v>17.129023654314704</v>
      </c>
      <c r="I12" s="96">
        <v>17.51382634380299</v>
      </c>
      <c r="J12" s="96">
        <v>16.05415187320137</v>
      </c>
      <c r="K12" s="96">
        <v>15.327806639536856</v>
      </c>
      <c r="L12" s="96">
        <v>13.723143824183916</v>
      </c>
      <c r="M12" s="96">
        <v>14.330841858275297</v>
      </c>
      <c r="N12" s="96">
        <v>12.936763574052828</v>
      </c>
      <c r="O12" s="96">
        <v>14.291151368551638</v>
      </c>
      <c r="P12" s="96">
        <v>15.449806906989169</v>
      </c>
      <c r="Q12" s="96">
        <v>16.831705319980987</v>
      </c>
      <c r="R12" s="96">
        <v>14.953513600167838</v>
      </c>
      <c r="S12" s="96">
        <v>15.19582823083857</v>
      </c>
      <c r="T12" s="96">
        <v>14.400811443134259</v>
      </c>
      <c r="U12" s="96">
        <v>12.986766200121659</v>
      </c>
      <c r="V12" s="96">
        <v>8.3885717832543456</v>
      </c>
      <c r="W12" s="96">
        <v>12.905198194319837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17.495422856699395</v>
      </c>
      <c r="C15" s="32">
        <f t="shared" si="4"/>
        <v>17.790636106219441</v>
      </c>
      <c r="D15" s="32">
        <f t="shared" si="4"/>
        <v>20.498464685473159</v>
      </c>
      <c r="E15" s="32">
        <f t="shared" si="4"/>
        <v>19.175390760545969</v>
      </c>
      <c r="F15" s="32">
        <f t="shared" si="4"/>
        <v>20.53252276607649</v>
      </c>
      <c r="G15" s="32">
        <f t="shared" si="4"/>
        <v>21.161398635341023</v>
      </c>
      <c r="H15" s="32">
        <f t="shared" si="4"/>
        <v>20.750896345685288</v>
      </c>
      <c r="I15" s="32">
        <f t="shared" si="4"/>
        <v>20.366093656197005</v>
      </c>
      <c r="J15" s="32">
        <f t="shared" si="4"/>
        <v>15.51235920679863</v>
      </c>
      <c r="K15" s="32">
        <f t="shared" si="4"/>
        <v>13.082133360463144</v>
      </c>
      <c r="L15" s="32">
        <f t="shared" si="4"/>
        <v>14.686796175816081</v>
      </c>
      <c r="M15" s="32">
        <f t="shared" si="4"/>
        <v>17.235669221724699</v>
      </c>
      <c r="N15" s="32">
        <f t="shared" si="4"/>
        <v>15.47317642594717</v>
      </c>
      <c r="O15" s="32">
        <f t="shared" si="4"/>
        <v>17.276159991448367</v>
      </c>
      <c r="P15" s="32">
        <f t="shared" si="4"/>
        <v>25.584816853010835</v>
      </c>
      <c r="Q15" s="32">
        <f t="shared" si="4"/>
        <v>21.047414400018997</v>
      </c>
      <c r="R15" s="32">
        <f t="shared" si="4"/>
        <v>16.612463959832166</v>
      </c>
      <c r="S15" s="32">
        <f t="shared" si="4"/>
        <v>14.030985849161427</v>
      </c>
      <c r="T15" s="32">
        <f t="shared" si="4"/>
        <v>12.186458516865747</v>
      </c>
      <c r="U15" s="32">
        <f t="shared" si="4"/>
        <v>10.393075599878342</v>
      </c>
      <c r="V15" s="32">
        <f t="shared" si="4"/>
        <v>8.7174132167456566</v>
      </c>
      <c r="W15" s="32">
        <f t="shared" si="4"/>
        <v>7.7804392456801583</v>
      </c>
      <c r="DA15" s="173" t="s">
        <v>413</v>
      </c>
    </row>
    <row r="16" spans="1:105" ht="11.45" customHeight="1" x14ac:dyDescent="0.25">
      <c r="A16" s="83" t="s">
        <v>92</v>
      </c>
      <c r="B16" s="96">
        <v>17.495422856699395</v>
      </c>
      <c r="C16" s="96">
        <v>17.790636106219441</v>
      </c>
      <c r="D16" s="96">
        <v>20.498464685473159</v>
      </c>
      <c r="E16" s="96">
        <v>19.175390760545969</v>
      </c>
      <c r="F16" s="96">
        <v>20.53252276607649</v>
      </c>
      <c r="G16" s="96">
        <v>21.161398635341023</v>
      </c>
      <c r="H16" s="96">
        <v>20.750896345685288</v>
      </c>
      <c r="I16" s="96">
        <v>20.366093656197005</v>
      </c>
      <c r="J16" s="96">
        <v>15.51235920679863</v>
      </c>
      <c r="K16" s="96">
        <v>13.082133360463144</v>
      </c>
      <c r="L16" s="96">
        <v>14.686796175816081</v>
      </c>
      <c r="M16" s="96">
        <v>17.235669221724699</v>
      </c>
      <c r="N16" s="96">
        <v>15.47317642594717</v>
      </c>
      <c r="O16" s="96">
        <v>17.276159991448367</v>
      </c>
      <c r="P16" s="96">
        <v>25.584816853010835</v>
      </c>
      <c r="Q16" s="96">
        <v>21.047414400018997</v>
      </c>
      <c r="R16" s="96">
        <v>16.612463959832166</v>
      </c>
      <c r="S16" s="96">
        <v>14.030985849161427</v>
      </c>
      <c r="T16" s="96">
        <v>12.186458516865747</v>
      </c>
      <c r="U16" s="96">
        <v>10.393075599878342</v>
      </c>
      <c r="V16" s="96">
        <v>8.7174132167456566</v>
      </c>
      <c r="W16" s="96">
        <v>7.7804392456801583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1.4642234560747733</v>
      </c>
      <c r="C22" s="134">
        <f>IF(C4=0,0,C4/TrRail_ene!C4)</f>
        <v>1.3941143603664983</v>
      </c>
      <c r="D22" s="134">
        <f>IF(D4=0,0,D4/TrRail_ene!D4)</f>
        <v>1.4375413999165945</v>
      </c>
      <c r="E22" s="134">
        <f>IF(E4=0,0,E4/TrRail_ene!E4)</f>
        <v>1.4191897880542426</v>
      </c>
      <c r="F22" s="134">
        <f>IF(F4=0,0,F4/TrRail_ene!F4)</f>
        <v>1.3752972751324484</v>
      </c>
      <c r="G22" s="134">
        <f>IF(G4=0,0,G4/TrRail_ene!G4)</f>
        <v>1.3461537111351274</v>
      </c>
      <c r="H22" s="134">
        <f>IF(H4=0,0,H4/TrRail_ene!H4)</f>
        <v>1.3349802109090909</v>
      </c>
      <c r="I22" s="134">
        <f>IF(I4=0,0,I4/TrRail_ene!I4)</f>
        <v>1.3349802109090909</v>
      </c>
      <c r="J22" s="134">
        <f>IF(J4=0,0,J4/TrRail_ene!J4)</f>
        <v>1.198429564756001</v>
      </c>
      <c r="K22" s="134">
        <f>IF(K4=0,0,K4/TrRail_ene!K4)</f>
        <v>1.3033830461538463</v>
      </c>
      <c r="L22" s="134">
        <f>IF(L4=0,0,L4/TrRail_ene!L4)</f>
        <v>1.2214698787430682</v>
      </c>
      <c r="M22" s="134">
        <f>IF(M4=0,0,M4/TrRail_ene!M4)</f>
        <v>1.3333618703911265</v>
      </c>
      <c r="N22" s="134">
        <f>IF(N4=0,0,N4/TrRail_ene!N4)</f>
        <v>1.2781725423597676</v>
      </c>
      <c r="O22" s="134">
        <f>IF(O4=0,0,O4/TrRail_ene!O4)</f>
        <v>1.3888680736517161</v>
      </c>
      <c r="P22" s="134">
        <f>IF(P4=0,0,P4/TrRail_ene!P4)</f>
        <v>1.6755235629078806</v>
      </c>
      <c r="Q22" s="134">
        <f>IF(Q4=0,0,Q4/TrRail_ene!Q4)</f>
        <v>1.5349782832001724</v>
      </c>
      <c r="R22" s="134">
        <f>IF(R4=0,0,R4/TrRail_ene!R4)</f>
        <v>1.3189774729469586</v>
      </c>
      <c r="S22" s="134">
        <f>IF(S4=0,0,S4/TrRail_ene!S4)</f>
        <v>1.0176973079111491</v>
      </c>
      <c r="T22" s="134">
        <f>IF(T4=0,0,T4/TrRail_ene!T4)</f>
        <v>0.95310442394767336</v>
      </c>
      <c r="U22" s="134">
        <f>IF(U4=0,0,U4/TrRail_ene!U4)</f>
        <v>0.87826857712172346</v>
      </c>
      <c r="V22" s="134">
        <f>IF(V4=0,0,V4/TrRail_ene!V4)</f>
        <v>0.75064466737602298</v>
      </c>
      <c r="W22" s="134">
        <f>IF(W4=0,0,W4/TrRail_ene!W4)</f>
        <v>0.79286399041341493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1.5611868592823943</v>
      </c>
      <c r="T23" s="129">
        <f>IF(T5=0,0,T5/SUM(TrRail_ene!T5:T7))</f>
        <v>1.5606417485226871</v>
      </c>
      <c r="U23" s="129">
        <f>IF(U5=0,0,U5/SUM(TrRail_ene!U5:U7))</f>
        <v>1.5573884263540139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3493.079963225438</v>
      </c>
      <c r="C26" s="54">
        <f>IF(C8=0,0,C8/TrRail_act!C14*1000)</f>
        <v>3249.0009966694374</v>
      </c>
      <c r="D26" s="54">
        <f>IF(D8=0,0,D8/TrRail_act!D14*1000)</f>
        <v>3302.4799543619342</v>
      </c>
      <c r="E26" s="54">
        <f>IF(E8=0,0,E8/TrRail_act!E14*1000)</f>
        <v>3124.766816015062</v>
      </c>
      <c r="F26" s="54">
        <f>IF(F8=0,0,F8/TrRail_act!F14*1000)</f>
        <v>2905.8383122773153</v>
      </c>
      <c r="G26" s="54">
        <f>IF(G8=0,0,G8/TrRail_act!G14*1000)</f>
        <v>2762.4181628019023</v>
      </c>
      <c r="H26" s="54">
        <f>IF(H8=0,0,H8/TrRail_act!H14*1000)</f>
        <v>2642.5509216180303</v>
      </c>
      <c r="I26" s="54">
        <f>IF(I8=0,0,I8/TrRail_act!I14*1000)</f>
        <v>2546.5760562107394</v>
      </c>
      <c r="J26" s="54">
        <f>IF(J8=0,0,J8/TrRail_act!J14*1000)</f>
        <v>2153.3320490487299</v>
      </c>
      <c r="K26" s="54">
        <f>IF(K8=0,0,K8/TrRail_act!K14*1000)</f>
        <v>2308.7842784823915</v>
      </c>
      <c r="L26" s="54">
        <f>IF(L8=0,0,L8/TrRail_act!L14*1000)</f>
        <v>2116.6800785572636</v>
      </c>
      <c r="M26" s="54">
        <f>IF(M8=0,0,M8/TrRail_act!M14*1000)</f>
        <v>2346.4026935230909</v>
      </c>
      <c r="N26" s="54">
        <f>IF(N8=0,0,N8/TrRail_act!N14*1000)</f>
        <v>2148.3605761197041</v>
      </c>
      <c r="O26" s="54">
        <f>IF(O8=0,0,O8/TrRail_act!O14*1000)</f>
        <v>2350.8908590222009</v>
      </c>
      <c r="P26" s="54">
        <f>IF(P8=0,0,P8/TrRail_act!P14*1000)</f>
        <v>3025.97985418299</v>
      </c>
      <c r="Q26" s="54">
        <f>IF(Q8=0,0,Q8/TrRail_act!Q14*1000)</f>
        <v>2561.1471737861043</v>
      </c>
      <c r="R26" s="54">
        <f>IF(R8=0,0,R8/TrRail_act!R14*1000)</f>
        <v>2051.5854787488765</v>
      </c>
      <c r="S26" s="54">
        <f>IF(S8=0,0,S8/TrRail_act!S14*1000)</f>
        <v>1437.2666999200667</v>
      </c>
      <c r="T26" s="54">
        <f>IF(T8=0,0,T8/TrRail_act!T14*1000)</f>
        <v>1343.7771265249746</v>
      </c>
      <c r="U26" s="54">
        <f>IF(U8=0,0,U8/TrRail_act!U14*1000)</f>
        <v>1212.1646421265179</v>
      </c>
      <c r="V26" s="54">
        <f>IF(V8=0,0,V8/TrRail_act!V14*1000)</f>
        <v>1018.1168984363243</v>
      </c>
      <c r="W26" s="54">
        <f>IF(W8=0,0,W8/TrRail_act!W14*1000)</f>
        <v>1078.2766414095454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3506.1546392660803</v>
      </c>
      <c r="C27" s="28">
        <f>IF(C9=0,0,C9/TrRail_act!C15*1000)</f>
        <v>3305.111021293937</v>
      </c>
      <c r="D27" s="28">
        <f>IF(D9=0,0,D9/TrRail_act!D15*1000)</f>
        <v>3181.7231648856728</v>
      </c>
      <c r="E27" s="28">
        <f>IF(E9=0,0,E9/TrRail_act!E15*1000)</f>
        <v>3045.8105833092009</v>
      </c>
      <c r="F27" s="28">
        <f>IF(F9=0,0,F9/TrRail_act!F15*1000)</f>
        <v>2591.7249561940785</v>
      </c>
      <c r="G27" s="28">
        <f>IF(G9=0,0,G9/TrRail_act!G15*1000)</f>
        <v>2348.0455118435175</v>
      </c>
      <c r="H27" s="28">
        <f>IF(H9=0,0,H9/TrRail_act!H15*1000)</f>
        <v>2296.1244485313628</v>
      </c>
      <c r="I27" s="28">
        <f>IF(I9=0,0,I9/TrRail_act!I15*1000)</f>
        <v>2278.2597814226633</v>
      </c>
      <c r="J27" s="28">
        <f>IF(J9=0,0,J9/TrRail_act!J15*1000)</f>
        <v>2079.2050123438084</v>
      </c>
      <c r="K27" s="28">
        <f>IF(K9=0,0,K9/TrRail_act!K15*1000)</f>
        <v>2187.5197101007889</v>
      </c>
      <c r="L27" s="28">
        <f>IF(L9=0,0,L9/TrRail_act!L15*1000)</f>
        <v>1966.8169171546917</v>
      </c>
      <c r="M27" s="28">
        <f>IF(M9=0,0,M9/TrRail_act!M15*1000)</f>
        <v>2280.8284626558775</v>
      </c>
      <c r="N27" s="28">
        <f>IF(N9=0,0,N9/TrRail_act!N15*1000)</f>
        <v>1959.5532305222362</v>
      </c>
      <c r="O27" s="28">
        <f>IF(O9=0,0,O9/TrRail_act!O15*1000)</f>
        <v>2348.0805437587478</v>
      </c>
      <c r="P27" s="28">
        <f>IF(P9=0,0,P9/TrRail_act!P15*1000)</f>
        <v>2723.300799374585</v>
      </c>
      <c r="Q27" s="28">
        <f>IF(Q9=0,0,Q9/TrRail_act!Q15*1000)</f>
        <v>2451.0049126266631</v>
      </c>
      <c r="R27" s="28">
        <f>IF(R9=0,0,R9/TrRail_act!R15*1000)</f>
        <v>2114.9696612117696</v>
      </c>
      <c r="S27" s="28">
        <f>IF(S9=0,0,S9/TrRail_act!S15*1000)</f>
        <v>1380.1089856337446</v>
      </c>
      <c r="T27" s="28">
        <f>IF(T9=0,0,T9/TrRail_act!T15*1000)</f>
        <v>1802.1029491990996</v>
      </c>
      <c r="U27" s="28">
        <f>IF(U9=0,0,U9/TrRail_act!U15*1000)</f>
        <v>1635.6326227878001</v>
      </c>
      <c r="V27" s="28">
        <f>IF(V9=0,0,V9/TrRail_act!V15*1000)</f>
        <v>1355.4533642777342</v>
      </c>
      <c r="W27" s="28">
        <f>IF(W9=0,0,W9/TrRail_act!W15*1000)</f>
        <v>1608.9819373908508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3506.1546392660803</v>
      </c>
      <c r="C29" s="110">
        <f>IF(C11=0,0,C11/TrRail_act!C17*1000)</f>
        <v>3305.111021293937</v>
      </c>
      <c r="D29" s="110">
        <f>IF(D11=0,0,D11/TrRail_act!D17*1000)</f>
        <v>3181.7231648856728</v>
      </c>
      <c r="E29" s="110">
        <f>IF(E11=0,0,E11/TrRail_act!E17*1000)</f>
        <v>3045.8105833092009</v>
      </c>
      <c r="F29" s="110">
        <f>IF(F11=0,0,F11/TrRail_act!F17*1000)</f>
        <v>2591.7249561940785</v>
      </c>
      <c r="G29" s="110">
        <f>IF(G11=0,0,G11/TrRail_act!G17*1000)</f>
        <v>2348.0455118435175</v>
      </c>
      <c r="H29" s="110">
        <f>IF(H11=0,0,H11/TrRail_act!H17*1000)</f>
        <v>2296.1244485313628</v>
      </c>
      <c r="I29" s="110">
        <f>IF(I11=0,0,I11/TrRail_act!I17*1000)</f>
        <v>2278.2597814226633</v>
      </c>
      <c r="J29" s="110">
        <f>IF(J11=0,0,J11/TrRail_act!J17*1000)</f>
        <v>2098.410038712052</v>
      </c>
      <c r="K29" s="110">
        <f>IF(K11=0,0,K11/TrRail_act!K17*1000)</f>
        <v>2211.2063240831239</v>
      </c>
      <c r="L29" s="110">
        <f>IF(L11=0,0,L11/TrRail_act!L17*1000)</f>
        <v>1987.1964621463846</v>
      </c>
      <c r="M29" s="110">
        <f>IF(M11=0,0,M11/TrRail_act!M17*1000)</f>
        <v>2303.5591188059948</v>
      </c>
      <c r="N29" s="110">
        <f>IF(N11=0,0,N11/TrRail_act!N17*1000)</f>
        <v>1976.8937256707325</v>
      </c>
      <c r="O29" s="110">
        <f>IF(O11=0,0,O11/TrRail_act!O17*1000)</f>
        <v>2368.8546366936589</v>
      </c>
      <c r="P29" s="110">
        <f>IF(P11=0,0,P11/TrRail_act!P17*1000)</f>
        <v>2741.6162850180676</v>
      </c>
      <c r="Q29" s="110">
        <f>IF(Q11=0,0,Q11/TrRail_act!Q17*1000)</f>
        <v>2461.1085431723027</v>
      </c>
      <c r="R29" s="110">
        <f>IF(R11=0,0,R11/TrRail_act!R17*1000)</f>
        <v>2120.8008491791775</v>
      </c>
      <c r="S29" s="110">
        <f>IF(S11=0,0,S11/TrRail_act!S17*1000)</f>
        <v>1381.0758532769255</v>
      </c>
      <c r="T29" s="110">
        <f>IF(T11=0,0,T11/TrRail_act!T17*1000)</f>
        <v>1804.2328059236838</v>
      </c>
      <c r="U29" s="110">
        <f>IF(U11=0,0,U11/TrRail_act!U17*1000)</f>
        <v>1637.323151861309</v>
      </c>
      <c r="V29" s="110">
        <f>IF(V11=0,0,V11/TrRail_act!V17*1000)</f>
        <v>1356.5559517235299</v>
      </c>
      <c r="W29" s="110">
        <f>IF(W11=0,0,W11/TrRail_act!W17*1000)</f>
        <v>1677.3772926469792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8143.4218644770608</v>
      </c>
      <c r="C30" s="84">
        <f>IF(C12=0,0,C12/TrRail_act!C18*1000)</f>
        <v>7977.7956449142439</v>
      </c>
      <c r="D30" s="84">
        <f>IF(D12=0,0,D12/TrRail_act!D18*1000)</f>
        <v>7908.3967008226609</v>
      </c>
      <c r="E30" s="84">
        <f>IF(E12=0,0,E12/TrRail_act!E18*1000)</f>
        <v>7734.0228128385452</v>
      </c>
      <c r="F30" s="84">
        <f>IF(F12=0,0,F12/TrRail_act!F18*1000)</f>
        <v>7582.7428422739449</v>
      </c>
      <c r="G30" s="84">
        <f>IF(G12=0,0,G12/TrRail_act!G18*1000)</f>
        <v>7500.2427572925508</v>
      </c>
      <c r="H30" s="84">
        <f>IF(H12=0,0,H12/TrRail_act!H18*1000)</f>
        <v>7331.3102327730585</v>
      </c>
      <c r="I30" s="84">
        <f>IF(I12=0,0,I12/TrRail_act!I18*1000)</f>
        <v>7219.6242572257925</v>
      </c>
      <c r="J30" s="84">
        <f>IF(J12=0,0,J12/TrRail_act!J18*1000)</f>
        <v>7072.7784475264816</v>
      </c>
      <c r="K30" s="84">
        <f>IF(K12=0,0,K12/TrRail_act!K18*1000)</f>
        <v>6978.3894445993865</v>
      </c>
      <c r="L30" s="84">
        <f>IF(L12=0,0,L12/TrRail_act!L18*1000)</f>
        <v>6826.2436240249681</v>
      </c>
      <c r="M30" s="84">
        <f>IF(M12=0,0,M12/TrRail_act!M18*1000)</f>
        <v>6666.7190736350112</v>
      </c>
      <c r="N30" s="84">
        <f>IF(N12=0,0,N12/TrRail_act!N18*1000)</f>
        <v>6582.844481750758</v>
      </c>
      <c r="O30" s="84">
        <f>IF(O12=0,0,O12/TrRail_act!O18*1000)</f>
        <v>6382.4253393597219</v>
      </c>
      <c r="P30" s="84">
        <f>IF(P12=0,0,P12/TrRail_act!P18*1000)</f>
        <v>6199.3732618396398</v>
      </c>
      <c r="Q30" s="84">
        <f>IF(Q12=0,0,Q12/TrRail_act!Q18*1000)</f>
        <v>5976.100625390357</v>
      </c>
      <c r="R30" s="84">
        <f>IF(R12=0,0,R12/TrRail_act!R18*1000)</f>
        <v>5872.0786256092761</v>
      </c>
      <c r="S30" s="84">
        <f>IF(S12=0,0,S12/TrRail_act!S18*1000)</f>
        <v>5890.8527287952311</v>
      </c>
      <c r="T30" s="84">
        <f>IF(T12=0,0,T12/TrRail_act!T18*1000)</f>
        <v>5874.5943334048161</v>
      </c>
      <c r="U30" s="84">
        <f>IF(U12=0,0,U12/TrRail_act!U18*1000)</f>
        <v>5851.7416194365242</v>
      </c>
      <c r="V30" s="84">
        <f>IF(V12=0,0,V12/TrRail_act!V18*1000)</f>
        <v>5820.6137341831973</v>
      </c>
      <c r="W30" s="84">
        <f>IF(W12=0,0,W12/TrRail_act!W18*1000)</f>
        <v>5814.6877031357717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3480.0592177864123</v>
      </c>
      <c r="C33" s="28">
        <f>IF(C15=0,0,C15/TrRail_act!C21*1000)</f>
        <v>3196.3597100963716</v>
      </c>
      <c r="D33" s="28">
        <f>IF(D15=0,0,D15/TrRail_act!D21*1000)</f>
        <v>3414.6175404308615</v>
      </c>
      <c r="E33" s="28">
        <f>IF(E15=0,0,E15/TrRail_act!E21*1000)</f>
        <v>3207.4124181714592</v>
      </c>
      <c r="F33" s="28">
        <f>IF(F15=0,0,F15/TrRail_act!F21*1000)</f>
        <v>3244.921238101198</v>
      </c>
      <c r="G33" s="28">
        <f>IF(G15=0,0,G15/TrRail_act!G21*1000)</f>
        <v>3221.0642954661721</v>
      </c>
      <c r="H33" s="28">
        <f>IF(H15=0,0,H15/TrRail_act!H21*1000)</f>
        <v>3018.4738502404739</v>
      </c>
      <c r="I33" s="28">
        <f>IF(I15=0,0,I15/TrRail_act!I21*1000)</f>
        <v>2833.554035879321</v>
      </c>
      <c r="J33" s="28">
        <f>IF(J15=0,0,J15/TrRail_act!J21*1000)</f>
        <v>2235.8269344796709</v>
      </c>
      <c r="K33" s="28">
        <f>IF(K15=0,0,K15/TrRail_act!K21*1000)</f>
        <v>2469.1576309092011</v>
      </c>
      <c r="L33" s="28">
        <f>IF(L15=0,0,L15/TrRail_act!L21*1000)</f>
        <v>2278.931605841814</v>
      </c>
      <c r="M33" s="28">
        <f>IF(M15=0,0,M15/TrRail_act!M21*1000)</f>
        <v>2403.8665120171963</v>
      </c>
      <c r="N33" s="28">
        <f>IF(N15=0,0,N15/TrRail_act!N21*1000)</f>
        <v>2336.5914074644206</v>
      </c>
      <c r="O33" s="28">
        <f>IF(O15=0,0,O15/TrRail_act!O21*1000)</f>
        <v>2353.2206915936058</v>
      </c>
      <c r="P33" s="28">
        <f>IF(P15=0,0,P15/TrRail_act!P21*1000)</f>
        <v>3243.6836443324364</v>
      </c>
      <c r="Q33" s="28">
        <f>IF(Q15=0,0,Q15/TrRail_act!Q21*1000)</f>
        <v>2656.6174535338396</v>
      </c>
      <c r="R33" s="28">
        <f>IF(R15=0,0,R15/TrRail_act!R21*1000)</f>
        <v>1997.6946265977404</v>
      </c>
      <c r="S33" s="28">
        <f>IF(S15=0,0,S15/TrRail_act!S21*1000)</f>
        <v>1504.760688831522</v>
      </c>
      <c r="T33" s="28">
        <f>IF(T15=0,0,T15/TrRail_act!T21*1000)</f>
        <v>1033.2444756325699</v>
      </c>
      <c r="U33" s="28">
        <f>IF(U15=0,0,U15/TrRail_act!U21*1000)</f>
        <v>915.86907987794416</v>
      </c>
      <c r="V33" s="28">
        <f>IF(V15=0,0,V15/TrRail_act!V21*1000)</f>
        <v>821.40287467808366</v>
      </c>
      <c r="W33" s="28">
        <f>IF(W15=0,0,W15/TrRail_act!W21*1000)</f>
        <v>696.96856362130302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16237.248241905128</v>
      </c>
      <c r="C34" s="84">
        <f>IF(C16=0,0,C16/TrRail_act!C22*1000)</f>
        <v>16132.246575220517</v>
      </c>
      <c r="D34" s="84">
        <f>IF(D16=0,0,D16/TrRail_act!D22*1000)</f>
        <v>16093.157409620684</v>
      </c>
      <c r="E34" s="84">
        <f>IF(E16=0,0,E16/TrRail_act!E22*1000)</f>
        <v>15984.25760182581</v>
      </c>
      <c r="F34" s="84">
        <f>IF(F16=0,0,F16/TrRail_act!F22*1000)</f>
        <v>15873.680899492461</v>
      </c>
      <c r="G34" s="84">
        <f>IF(G16=0,0,G16/TrRail_act!G22*1000)</f>
        <v>15779.385283267799</v>
      </c>
      <c r="H34" s="84">
        <f>IF(H16=0,0,H16/TrRail_act!H22*1000)</f>
        <v>15631.381367081281</v>
      </c>
      <c r="I34" s="84">
        <f>IF(I16=0,0,I16/TrRail_act!I22*1000)</f>
        <v>15378.122330773796</v>
      </c>
      <c r="J34" s="84">
        <f>IF(J16=0,0,J16/TrRail_act!J22*1000)</f>
        <v>15089.832935142143</v>
      </c>
      <c r="K34" s="84">
        <f>IF(K16=0,0,K16/TrRail_act!K22*1000)</f>
        <v>14872.062632449384</v>
      </c>
      <c r="L34" s="84">
        <f>IF(L16=0,0,L16/TrRail_act!L22*1000)</f>
        <v>14828.371021097309</v>
      </c>
      <c r="M34" s="84">
        <f>IF(M16=0,0,M16/TrRail_act!M22*1000)</f>
        <v>14480.181637633001</v>
      </c>
      <c r="N34" s="84">
        <f>IF(N16=0,0,N16/TrRail_act!N22*1000)</f>
        <v>14359.363400635222</v>
      </c>
      <c r="O34" s="84">
        <f>IF(O16=0,0,O16/TrRail_act!O22*1000)</f>
        <v>14197.506438951574</v>
      </c>
      <c r="P34" s="84">
        <f>IF(P16=0,0,P16/TrRail_act!P22*1000)</f>
        <v>13973.136373457604</v>
      </c>
      <c r="Q34" s="84">
        <f>IF(Q16=0,0,Q16/TrRail_act!Q22*1000)</f>
        <v>13769.3384865179</v>
      </c>
      <c r="R34" s="84">
        <f>IF(R16=0,0,R16/TrRail_act!R22*1000)</f>
        <v>13713.772184021149</v>
      </c>
      <c r="S34" s="84">
        <f>IF(S16=0,0,S16/TrRail_act!S22*1000)</f>
        <v>13760.185249630082</v>
      </c>
      <c r="T34" s="84">
        <f>IF(T16=0,0,T16/TrRail_act!T22*1000)</f>
        <v>13724.128705209871</v>
      </c>
      <c r="U34" s="84">
        <f>IF(U16=0,0,U16/TrRail_act!U22*1000)</f>
        <v>13672.17569791618</v>
      </c>
      <c r="V34" s="84">
        <f>IF(V16=0,0,V16/TrRail_act!V22*1000)</f>
        <v>13600.51833325091</v>
      </c>
      <c r="W34" s="84">
        <f>IF(W16=0,0,W16/TrRail_act!W22*1000)</f>
        <v>13587.473767606607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24.899158557873186</v>
      </c>
      <c r="C38" s="29">
        <f>IF(C9=0,0,C9/TrRail_act!C4*1000)</f>
        <v>24.138032914378392</v>
      </c>
      <c r="D38" s="29">
        <f>IF(D9=0,0,D9/TrRail_act!D4*1000)</f>
        <v>23.680969819127938</v>
      </c>
      <c r="E38" s="29">
        <f>IF(E9=0,0,E9/TrRail_act!E4*1000)</f>
        <v>24.530399381536704</v>
      </c>
      <c r="F38" s="29">
        <f>IF(F9=0,0,F9/TrRail_act!F4*1000)</f>
        <v>25.471925631544597</v>
      </c>
      <c r="G38" s="29">
        <f>IF(G9=0,0,G9/TrRail_act!G4*1000)</f>
        <v>23.846525760696878</v>
      </c>
      <c r="H38" s="29">
        <f>IF(H9=0,0,H9/TrRail_act!H4*1000)</f>
        <v>23.658872450710916</v>
      </c>
      <c r="I38" s="29">
        <f>IF(I9=0,0,I9/TrRail_act!I4*1000)</f>
        <v>23.667332897031066</v>
      </c>
      <c r="J38" s="29">
        <f>IF(J9=0,0,J9/TrRail_act!J4*1000)</f>
        <v>20.985819442093295</v>
      </c>
      <c r="K38" s="29">
        <f>IF(K9=0,0,K9/TrRail_act!K4*1000)</f>
        <v>19.828986597072259</v>
      </c>
      <c r="L38" s="29">
        <f>IF(L9=0,0,L9/TrRail_act!L4*1000)</f>
        <v>18.824614299292065</v>
      </c>
      <c r="M38" s="29">
        <f>IF(M9=0,0,M9/TrRail_act!M4*1000)</f>
        <v>20.799480200689835</v>
      </c>
      <c r="N38" s="29">
        <f>IF(N9=0,0,N9/TrRail_act!N4*1000)</f>
        <v>19.630900719351786</v>
      </c>
      <c r="O38" s="29">
        <f>IF(O9=0,0,O9/TrRail_act!O4*1000)</f>
        <v>21.047351058249834</v>
      </c>
      <c r="P38" s="29">
        <f>IF(P9=0,0,P9/TrRail_act!P4*1000)</f>
        <v>24.919043398369627</v>
      </c>
      <c r="Q38" s="29">
        <f>IF(Q9=0,0,Q9/TrRail_act!Q4*1000)</f>
        <v>26.80207853500157</v>
      </c>
      <c r="R38" s="29">
        <f>IF(R9=0,0,R9/TrRail_act!R4*1000)</f>
        <v>24.473835679489095</v>
      </c>
      <c r="S38" s="29">
        <f>IF(S9=0,0,S9/TrRail_act!S4*1000)</f>
        <v>26.659347773400999</v>
      </c>
      <c r="T38" s="29">
        <f>IF(T9=0,0,T9/TrRail_act!T4*1000)</f>
        <v>25.353541273123692</v>
      </c>
      <c r="U38" s="29">
        <f>IF(U9=0,0,U9/TrRail_act!U4*1000)</f>
        <v>22.704136713499405</v>
      </c>
      <c r="V38" s="29">
        <f>IF(V9=0,0,V9/TrRail_act!V4*1000)</f>
        <v>24.818259713770253</v>
      </c>
      <c r="W38" s="29">
        <f>IF(W9=0,0,W9/TrRail_act!W4*1000)</f>
        <v>25.605551972856819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24.899158557873186</v>
      </c>
      <c r="C40" s="116">
        <f>IF(C11=0,0,C11/TrRail_act!C6*1000)</f>
        <v>24.138032914378392</v>
      </c>
      <c r="D40" s="116">
        <f>IF(D11=0,0,D11/TrRail_act!D6*1000)</f>
        <v>23.680969819127938</v>
      </c>
      <c r="E40" s="116">
        <f>IF(E11=0,0,E11/TrRail_act!E6*1000)</f>
        <v>24.530399381536704</v>
      </c>
      <c r="F40" s="116">
        <f>IF(F11=0,0,F11/TrRail_act!F6*1000)</f>
        <v>25.471925631544597</v>
      </c>
      <c r="G40" s="116">
        <f>IF(G11=0,0,G11/TrRail_act!G6*1000)</f>
        <v>23.846525760696878</v>
      </c>
      <c r="H40" s="116">
        <f>IF(H11=0,0,H11/TrRail_act!H6*1000)</f>
        <v>23.658872450710916</v>
      </c>
      <c r="I40" s="116">
        <f>IF(I11=0,0,I11/TrRail_act!I6*1000)</f>
        <v>23.667332897031066</v>
      </c>
      <c r="J40" s="116">
        <f>IF(J11=0,0,J11/TrRail_act!J6*1000)</f>
        <v>21.377033120108351</v>
      </c>
      <c r="K40" s="116">
        <f>IF(K11=0,0,K11/TrRail_act!K6*1000)</f>
        <v>20.248093315108132</v>
      </c>
      <c r="L40" s="116">
        <f>IF(L11=0,0,L11/TrRail_act!L6*1000)</f>
        <v>19.222781655951696</v>
      </c>
      <c r="M40" s="116">
        <f>IF(M11=0,0,M11/TrRail_act!M6*1000)</f>
        <v>21.210138025449631</v>
      </c>
      <c r="N40" s="116">
        <f>IF(N11=0,0,N11/TrRail_act!N6*1000)</f>
        <v>19.991289983392303</v>
      </c>
      <c r="O40" s="116">
        <f>IF(O11=0,0,O11/TrRail_act!O6*1000)</f>
        <v>21.395540637101035</v>
      </c>
      <c r="P40" s="116">
        <f>IF(P11=0,0,P11/TrRail_act!P6*1000)</f>
        <v>25.232413697516201</v>
      </c>
      <c r="Q40" s="116">
        <f>IF(Q11=0,0,Q11/TrRail_act!Q6*1000)</f>
        <v>27.043228341871767</v>
      </c>
      <c r="R40" s="116">
        <f>IF(R11=0,0,R11/TrRail_act!R6*1000)</f>
        <v>24.631055180642132</v>
      </c>
      <c r="S40" s="116">
        <f>IF(S11=0,0,S11/TrRail_act!S6*1000)</f>
        <v>26.731569909648119</v>
      </c>
      <c r="T40" s="116">
        <f>IF(T11=0,0,T11/TrRail_act!T6*1000)</f>
        <v>25.433693228897862</v>
      </c>
      <c r="U40" s="116">
        <f>IF(U11=0,0,U11/TrRail_act!U6*1000)</f>
        <v>22.773412478731913</v>
      </c>
      <c r="V40" s="116">
        <f>IF(V11=0,0,V11/TrRail_act!V6*1000)</f>
        <v>24.847665234758132</v>
      </c>
      <c r="W40" s="116">
        <f>IF(W11=0,0,W11/TrRail_act!W6*1000)</f>
        <v>27.054922839244941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62.88174010733848</v>
      </c>
      <c r="C41" s="87">
        <f>IF(C12=0,0,C12/TrRail_act!C7*1000)</f>
        <v>66.524019954653738</v>
      </c>
      <c r="D41" s="87">
        <f>IF(D12=0,0,D12/TrRail_act!D7*1000)</f>
        <v>70.184903304516865</v>
      </c>
      <c r="E41" s="87">
        <f>IF(E12=0,0,E12/TrRail_act!E7*1000)</f>
        <v>74.011130692162254</v>
      </c>
      <c r="F41" s="87">
        <f>IF(F12=0,0,F12/TrRail_act!F7*1000)</f>
        <v>77.024640890554593</v>
      </c>
      <c r="G41" s="87">
        <f>IF(G12=0,0,G12/TrRail_act!G7*1000)</f>
        <v>73.054552523439696</v>
      </c>
      <c r="H41" s="87">
        <f>IF(H12=0,0,H12/TrRail_act!H7*1000)</f>
        <v>73.246913193362602</v>
      </c>
      <c r="I41" s="87">
        <f>IF(I12=0,0,I12/TrRail_act!I7*1000)</f>
        <v>72.26839160614044</v>
      </c>
      <c r="J41" s="87">
        <f>IF(J12=0,0,J12/TrRail_act!J7*1000)</f>
        <v>65.472581341846521</v>
      </c>
      <c r="K41" s="87">
        <f>IF(K12=0,0,K12/TrRail_act!K7*1000)</f>
        <v>62.898237590919251</v>
      </c>
      <c r="L41" s="87">
        <f>IF(L12=0,0,L12/TrRail_act!L7*1000)</f>
        <v>58.928023791606158</v>
      </c>
      <c r="M41" s="87">
        <f>IF(M12=0,0,M12/TrRail_act!M7*1000)</f>
        <v>65.708765774873626</v>
      </c>
      <c r="N41" s="87">
        <f>IF(N12=0,0,N12/TrRail_act!N7*1000)</f>
        <v>61.412915773112296</v>
      </c>
      <c r="O41" s="87">
        <f>IF(O12=0,0,O12/TrRail_act!O7*1000)</f>
        <v>64.227402737722088</v>
      </c>
      <c r="P41" s="87">
        <f>IF(P12=0,0,P12/TrRail_act!P7*1000)</f>
        <v>67.974836118587689</v>
      </c>
      <c r="Q41" s="87">
        <f>IF(Q12=0,0,Q12/TrRail_act!Q7*1000)</f>
        <v>74.52328179711597</v>
      </c>
      <c r="R41" s="87">
        <f>IF(R12=0,0,R12/TrRail_act!R7*1000)</f>
        <v>73.749498947509451</v>
      </c>
      <c r="S41" s="87">
        <f>IF(S12=0,0,S12/TrRail_act!S7*1000)</f>
        <v>78.449845574240868</v>
      </c>
      <c r="T41" s="87">
        <f>IF(T12=0,0,T12/TrRail_act!T7*1000)</f>
        <v>74.137088471878471</v>
      </c>
      <c r="U41" s="87">
        <f>IF(U12=0,0,U12/TrRail_act!U7*1000)</f>
        <v>70.989928105574748</v>
      </c>
      <c r="V41" s="87">
        <f>IF(V12=0,0,V12/TrRail_act!V7*1000)</f>
        <v>84.830265878183965</v>
      </c>
      <c r="W41" s="87">
        <f>IF(W12=0,0,W12/TrRail_act!W7*1000)</f>
        <v>72.809027698036132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6.1237041850540415</v>
      </c>
      <c r="C44" s="29">
        <f>IF(C15=0,0,C15/TrRail_act!C10*1000)</f>
        <v>6.2709327128020584</v>
      </c>
      <c r="D44" s="29">
        <f>IF(D15=0,0,D15/TrRail_act!D10*1000)</f>
        <v>6.6596701382303962</v>
      </c>
      <c r="E44" s="29">
        <f>IF(E15=0,0,E15/TrRail_act!E10*1000)</f>
        <v>6.3536748709562527</v>
      </c>
      <c r="F44" s="29">
        <f>IF(F15=0,0,F15/TrRail_act!F10*1000)</f>
        <v>6.5203311419741157</v>
      </c>
      <c r="G44" s="29">
        <f>IF(G15=0,0,G15/TrRail_act!G10*1000)</f>
        <v>6.5212322450973881</v>
      </c>
      <c r="H44" s="29">
        <f>IF(H15=0,0,H15/TrRail_act!H10*1000)</f>
        <v>6.1520593968826827</v>
      </c>
      <c r="I44" s="29">
        <f>IF(I15=0,0,I15/TrRail_act!I10*1000)</f>
        <v>5.6525377896744393</v>
      </c>
      <c r="J44" s="29">
        <f>IF(J15=0,0,J15/TrRail_act!J10*1000)</f>
        <v>4.4069202292041565</v>
      </c>
      <c r="K44" s="29">
        <f>IF(K15=0,0,K15/TrRail_act!K10*1000)</f>
        <v>4.6439948031463061</v>
      </c>
      <c r="L44" s="29">
        <f>IF(L15=0,0,L15/TrRail_act!L10*1000)</f>
        <v>4.2931295456930965</v>
      </c>
      <c r="M44" s="29">
        <f>IF(M15=0,0,M15/TrRail_act!M10*1000)</f>
        <v>4.5937284706089283</v>
      </c>
      <c r="N44" s="29">
        <f>IF(N15=0,0,N15/TrRail_act!N10*1000)</f>
        <v>4.4591286530107119</v>
      </c>
      <c r="O44" s="29">
        <f>IF(O15=0,0,O15/TrRail_act!O10*1000)</f>
        <v>4.5475546173857246</v>
      </c>
      <c r="P44" s="29">
        <f>IF(P15=0,0,P15/TrRail_act!P10*1000)</f>
        <v>6.2250162659393764</v>
      </c>
      <c r="Q44" s="29">
        <f>IF(Q15=0,0,Q15/TrRail_act!Q10*1000)</f>
        <v>5.0412968622799985</v>
      </c>
      <c r="R44" s="29">
        <f>IF(R15=0,0,R15/TrRail_act!R10*1000)</f>
        <v>3.8101981559248084</v>
      </c>
      <c r="S44" s="29">
        <f>IF(S15=0,0,S15/TrRail_act!S10*1000)</f>
        <v>2.7361516866539444</v>
      </c>
      <c r="T44" s="29">
        <f>IF(T15=0,0,T15/TrRail_act!T10*1000)</f>
        <v>2.3658432375976988</v>
      </c>
      <c r="U44" s="29">
        <f>IF(U15=0,0,U15/TrRail_act!U10*1000)</f>
        <v>1.9639220710276533</v>
      </c>
      <c r="V44" s="29">
        <f>IF(V15=0,0,V15/TrRail_act!V10*1000)</f>
        <v>1.8445647940638292</v>
      </c>
      <c r="W44" s="29">
        <f>IF(W15=0,0,W15/TrRail_act!W10*1000)</f>
        <v>1.5759447530241357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23.475364869281936</v>
      </c>
      <c r="C45" s="87">
        <f>IF(C16=0,0,C16/TrRail_act!C11*1000)</f>
        <v>24.307458929122557</v>
      </c>
      <c r="D45" s="87">
        <f>IF(D16=0,0,D16/TrRail_act!D11*1000)</f>
        <v>26.489616402068414</v>
      </c>
      <c r="E45" s="87">
        <f>IF(E16=0,0,E16/TrRail_act!E11*1000)</f>
        <v>25.524826851591847</v>
      </c>
      <c r="F45" s="87">
        <f>IF(F16=0,0,F16/TrRail_act!F11*1000)</f>
        <v>27.759106328993834</v>
      </c>
      <c r="G45" s="87">
        <f>IF(G16=0,0,G16/TrRail_act!G11*1000)</f>
        <v>26.972513235628792</v>
      </c>
      <c r="H45" s="87">
        <f>IF(H16=0,0,H16/TrRail_act!H11*1000)</f>
        <v>25.929240014610301</v>
      </c>
      <c r="I45" s="87">
        <f>IF(I16=0,0,I16/TrRail_act!I11*1000)</f>
        <v>25.063956684170652</v>
      </c>
      <c r="J45" s="87">
        <f>IF(J16=0,0,J16/TrRail_act!J11*1000)</f>
        <v>20.299801501762879</v>
      </c>
      <c r="K45" s="87">
        <f>IF(K16=0,0,K16/TrRail_act!K11*1000)</f>
        <v>19.94394279128549</v>
      </c>
      <c r="L45" s="87">
        <f>IF(L16=0,0,L16/TrRail_act!L11*1000)</f>
        <v>19.729072377735022</v>
      </c>
      <c r="M45" s="87">
        <f>IF(M16=0,0,M16/TrRail_act!M11*1000)</f>
        <v>22.18387240838501</v>
      </c>
      <c r="N45" s="87">
        <f>IF(N16=0,0,N16/TrRail_act!N11*1000)</f>
        <v>22.54020353276767</v>
      </c>
      <c r="O45" s="87">
        <f>IF(O16=0,0,O16/TrRail_act!O11*1000)</f>
        <v>22.047439017663915</v>
      </c>
      <c r="P45" s="87">
        <f>IF(P16=0,0,P16/TrRail_act!P11*1000)</f>
        <v>21.574878121939623</v>
      </c>
      <c r="Q45" s="87">
        <f>IF(Q16=0,0,Q16/TrRail_act!Q11*1000)</f>
        <v>21.688569990058191</v>
      </c>
      <c r="R45" s="87">
        <f>IF(R16=0,0,R16/TrRail_act!R11*1000)</f>
        <v>21.722672198942401</v>
      </c>
      <c r="S45" s="87">
        <f>IF(S16=0,0,S16/TrRail_act!S11*1000)</f>
        <v>20.486193663793788</v>
      </c>
      <c r="T45" s="87">
        <f>IF(T16=0,0,T16/TrRail_act!T11*1000)</f>
        <v>20.09423139580316</v>
      </c>
      <c r="U45" s="87">
        <f>IF(U16=0,0,U16/TrRail_act!U11*1000)</f>
        <v>19.715960886895633</v>
      </c>
      <c r="V45" s="87">
        <f>IF(V16=0,0,V16/TrRail_act!V11*1000)</f>
        <v>22.733475050702861</v>
      </c>
      <c r="W45" s="87">
        <f>IF(W16=0,0,W16/TrRail_act!W11*1000)</f>
        <v>21.376356648986814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598.99054303162848</v>
      </c>
      <c r="C48" s="62">
        <f>IF(C8=0,0,1000000*C8/TrRail_act!C25/1000)</f>
        <v>559.52107719493563</v>
      </c>
      <c r="D48" s="62">
        <f>IF(D8=0,0,1000000*D8/TrRail_act!D25/1000)</f>
        <v>569.14849824357452</v>
      </c>
      <c r="E48" s="62">
        <f>IF(E8=0,0,1000000*E8/TrRail_act!E25/1000)</f>
        <v>533.93291487572492</v>
      </c>
      <c r="F48" s="62">
        <f>IF(F8=0,0,1000000*F8/TrRail_act!F25/1000)</f>
        <v>495.43813093821313</v>
      </c>
      <c r="G48" s="62">
        <f>IF(G8=0,0,1000000*G8/TrRail_act!G25/1000)</f>
        <v>470.15127220852526</v>
      </c>
      <c r="H48" s="62">
        <f>IF(H8=0,0,1000000*H8/TrRail_act!H25/1000)</f>
        <v>450.38144940047653</v>
      </c>
      <c r="I48" s="62">
        <f>IF(I8=0,0,1000000*I8/TrRail_act!I25/1000)</f>
        <v>434.47000047702329</v>
      </c>
      <c r="J48" s="62">
        <f>IF(J8=0,0,1000000*J8/TrRail_act!J25/1000)</f>
        <v>363.69179003560072</v>
      </c>
      <c r="K48" s="62">
        <f>IF(K8=0,0,1000000*K8/TrRail_act!K25/1000)</f>
        <v>346.88199133979987</v>
      </c>
      <c r="L48" s="62">
        <f>IF(L8=0,0,1000000*L8/TrRail_act!L25/1000)</f>
        <v>361.99486272013462</v>
      </c>
      <c r="M48" s="62">
        <f>IF(M8=0,0,1000000*M8/TrRail_act!M25/1000)</f>
        <v>389.31132489245482</v>
      </c>
      <c r="N48" s="62">
        <f>IF(N8=0,0,1000000*N8/TrRail_act!N25/1000)</f>
        <v>368.34034771869005</v>
      </c>
      <c r="O48" s="62">
        <f>IF(O8=0,0,1000000*O8/TrRail_act!O25/1000)</f>
        <v>392.49988278087415</v>
      </c>
      <c r="P48" s="62">
        <f>IF(P8=0,0,1000000*P8/TrRail_act!P25/1000)</f>
        <v>494.73389920270137</v>
      </c>
      <c r="Q48" s="62">
        <f>IF(Q8=0,0,1000000*Q8/TrRail_act!Q25/1000)</f>
        <v>438.68373569005689</v>
      </c>
      <c r="R48" s="62">
        <f>IF(R8=0,0,1000000*R8/TrRail_act!R25/1000)</f>
        <v>346.36474720227375</v>
      </c>
      <c r="S48" s="62">
        <f>IF(S8=0,0,1000000*S8/TrRail_act!S25/1000)</f>
        <v>238.42708682071643</v>
      </c>
      <c r="T48" s="62">
        <f>IF(T8=0,0,1000000*T8/TrRail_act!T25/1000)</f>
        <v>200.96779793398406</v>
      </c>
      <c r="U48" s="62">
        <f>IF(U8=0,0,1000000*U8/TrRail_act!U25/1000)</f>
        <v>184.34618580824076</v>
      </c>
      <c r="V48" s="62">
        <f>IF(V8=0,0,1000000*V8/TrRail_act!V25/1000)</f>
        <v>141.40175870678829</v>
      </c>
      <c r="W48" s="62">
        <f>IF(W8=0,0,1000000*W8/TrRail_act!W25/1000)</f>
        <v>168.98276701738402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525.9231952505653</v>
      </c>
      <c r="C49" s="29">
        <f>IF(C9=0,0,1000000*C9/TrRail_act!C26/1000)</f>
        <v>495.76663485535875</v>
      </c>
      <c r="D49" s="29">
        <f>IF(D9=0,0,1000000*D9/TrRail_act!D26/1000)</f>
        <v>477.25846349295307</v>
      </c>
      <c r="E49" s="29">
        <f>IF(E9=0,0,1000000*E9/TrRail_act!E26/1000)</f>
        <v>456.87157889491982</v>
      </c>
      <c r="F49" s="29">
        <f>IF(F9=0,0,1000000*F9/TrRail_act!F26/1000)</f>
        <v>388.75873848932537</v>
      </c>
      <c r="G49" s="29">
        <f>IF(G9=0,0,1000000*G9/TrRail_act!G26/1000)</f>
        <v>352.20681976042931</v>
      </c>
      <c r="H49" s="29">
        <f>IF(H9=0,0,1000000*H9/TrRail_act!H26/1000)</f>
        <v>344.41866304445546</v>
      </c>
      <c r="I49" s="29">
        <f>IF(I9=0,0,1000000*I9/TrRail_act!I26/1000)</f>
        <v>341.73895817098236</v>
      </c>
      <c r="J49" s="29">
        <f>IF(J9=0,0,1000000*J9/TrRail_act!J26/1000)</f>
        <v>313.79534762047138</v>
      </c>
      <c r="K49" s="29">
        <f>IF(K9=0,0,1000000*K9/TrRail_act!K26/1000)</f>
        <v>314.21617643610233</v>
      </c>
      <c r="L49" s="29">
        <f>IF(L9=0,0,1000000*L9/TrRail_act!L26/1000)</f>
        <v>297.00341614592423</v>
      </c>
      <c r="M49" s="29">
        <f>IF(M9=0,0,1000000*M9/TrRail_act!M26/1000)</f>
        <v>316.82228053177778</v>
      </c>
      <c r="N49" s="29">
        <f>IF(N9=0,0,1000000*N9/TrRail_act!N26/1000)</f>
        <v>295.40462779781694</v>
      </c>
      <c r="O49" s="29">
        <f>IF(O9=0,0,1000000*O9/TrRail_act!O26/1000)</f>
        <v>326.88790159201568</v>
      </c>
      <c r="P49" s="29">
        <f>IF(P9=0,0,1000000*P9/TrRail_act!P26/1000)</f>
        <v>355.12786583412242</v>
      </c>
      <c r="Q49" s="29">
        <f>IF(Q9=0,0,1000000*Q9/TrRail_act!Q26/1000)</f>
        <v>367.82065614394577</v>
      </c>
      <c r="R49" s="29">
        <f>IF(R9=0,0,1000000*R9/TrRail_act!R26/1000)</f>
        <v>314.57686016853734</v>
      </c>
      <c r="S49" s="29">
        <f>IF(S9=0,0,1000000*S9/TrRail_act!S26/1000)</f>
        <v>206.69137611614667</v>
      </c>
      <c r="T49" s="29">
        <f>IF(T9=0,0,1000000*T9/TrRail_act!T26/1000)</f>
        <v>203.50440334174206</v>
      </c>
      <c r="U49" s="29">
        <f>IF(U9=0,0,1000000*U9/TrRail_act!U26/1000)</f>
        <v>192.60656019819982</v>
      </c>
      <c r="V49" s="29">
        <f>IF(V9=0,0,1000000*V9/TrRail_act!V26/1000)</f>
        <v>130.89010019563281</v>
      </c>
      <c r="W49" s="29">
        <f>IF(W9=0,0,1000000*W9/TrRail_act!W26/1000)</f>
        <v>201.40546541458278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525.9231952505653</v>
      </c>
      <c r="C51" s="116">
        <f>IF(C11=0,0,1000000*C11/TrRail_act!C28/1000)</f>
        <v>495.76663485535875</v>
      </c>
      <c r="D51" s="116">
        <f>IF(D11=0,0,1000000*D11/TrRail_act!D28/1000)</f>
        <v>477.25846349295307</v>
      </c>
      <c r="E51" s="116">
        <f>IF(E11=0,0,1000000*E11/TrRail_act!E28/1000)</f>
        <v>456.87157889491982</v>
      </c>
      <c r="F51" s="116">
        <f>IF(F11=0,0,1000000*F11/TrRail_act!F28/1000)</f>
        <v>388.75873848932537</v>
      </c>
      <c r="G51" s="116">
        <f>IF(G11=0,0,1000000*G11/TrRail_act!G28/1000)</f>
        <v>352.20681976042931</v>
      </c>
      <c r="H51" s="116">
        <f>IF(H11=0,0,1000000*H11/TrRail_act!H28/1000)</f>
        <v>344.41866304445546</v>
      </c>
      <c r="I51" s="116">
        <f>IF(I11=0,0,1000000*I11/TrRail_act!I28/1000)</f>
        <v>341.73895817098236</v>
      </c>
      <c r="J51" s="116">
        <f>IF(J11=0,0,1000000*J11/TrRail_act!J28/1000)</f>
        <v>314.76149970380601</v>
      </c>
      <c r="K51" s="116">
        <f>IF(K11=0,0,1000000*K11/TrRail_act!K28/1000)</f>
        <v>315.29426748454256</v>
      </c>
      <c r="L51" s="116">
        <f>IF(L11=0,0,1000000*L11/TrRail_act!L28/1000)</f>
        <v>298.07946186010668</v>
      </c>
      <c r="M51" s="116">
        <f>IF(M11=0,0,1000000*M11/TrRail_act!M28/1000)</f>
        <v>317.9948943243952</v>
      </c>
      <c r="N51" s="116">
        <f>IF(N11=0,0,1000000*N11/TrRail_act!N28/1000)</f>
        <v>296.53405193332475</v>
      </c>
      <c r="O51" s="116">
        <f>IF(O11=0,0,1000000*O11/TrRail_act!O28/1000)</f>
        <v>328.13983556011817</v>
      </c>
      <c r="P51" s="116">
        <f>IF(P11=0,0,1000000*P11/TrRail_act!P28/1000)</f>
        <v>356.49466773045316</v>
      </c>
      <c r="Q51" s="116">
        <f>IF(Q11=0,0,1000000*Q11/TrRail_act!Q28/1000)</f>
        <v>369.16627123630917</v>
      </c>
      <c r="R51" s="116">
        <f>IF(R11=0,0,1000000*R11/TrRail_act!R28/1000)</f>
        <v>315.68457436903759</v>
      </c>
      <c r="S51" s="116">
        <f>IF(S11=0,0,1000000*S11/TrRail_act!S28/1000)</f>
        <v>207.16137584408307</v>
      </c>
      <c r="T51" s="116">
        <f>IF(T11=0,0,1000000*T11/TrRail_act!T28/1000)</f>
        <v>203.98521653891831</v>
      </c>
      <c r="U51" s="116">
        <f>IF(U11=0,0,1000000*U11/TrRail_act!U28/1000)</f>
        <v>193.08420784973561</v>
      </c>
      <c r="V51" s="116">
        <f>IF(V11=0,0,1000000*V11/TrRail_act!V28/1000)</f>
        <v>131.23164539693977</v>
      </c>
      <c r="W51" s="116">
        <f>IF(W11=0,0,1000000*W11/TrRail_act!W28/1000)</f>
        <v>203.71608734605246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1221.5132763068518</v>
      </c>
      <c r="C52" s="87">
        <f>IF(C12=0,0,1000000*C12/TrRail_act!C29/1000)</f>
        <v>1196.6692864877805</v>
      </c>
      <c r="D52" s="87">
        <f>IF(D12=0,0,1000000*D12/TrRail_act!D29/1000)</f>
        <v>1186.2594632002256</v>
      </c>
      <c r="E52" s="87">
        <f>IF(E12=0,0,1000000*E12/TrRail_act!E29/1000)</f>
        <v>1160.103378767833</v>
      </c>
      <c r="F52" s="87">
        <f>IF(F12=0,0,1000000*F12/TrRail_act!F29/1000)</f>
        <v>1137.411396565398</v>
      </c>
      <c r="G52" s="87">
        <f>IF(G12=0,0,1000000*G12/TrRail_act!G29/1000)</f>
        <v>1125.0363848536708</v>
      </c>
      <c r="H52" s="87">
        <f>IF(H12=0,0,1000000*H12/TrRail_act!H29/1000)</f>
        <v>1099.6965200238485</v>
      </c>
      <c r="I52" s="87">
        <f>IF(I12=0,0,1000000*I12/TrRail_act!I29/1000)</f>
        <v>1082.9436017119128</v>
      </c>
      <c r="J52" s="87">
        <f>IF(J12=0,0,1000000*J12/TrRail_act!J29/1000)</f>
        <v>1060.9167474506996</v>
      </c>
      <c r="K52" s="87">
        <f>IF(K12=0,0,1000000*K12/TrRail_act!K29/1000)</f>
        <v>1046.7583911798604</v>
      </c>
      <c r="L52" s="87">
        <f>IF(L12=0,0,1000000*L12/TrRail_act!L29/1000)</f>
        <v>1023.9364803549528</v>
      </c>
      <c r="M52" s="87">
        <f>IF(M12=0,0,1000000*M12/TrRail_act!M29/1000)</f>
        <v>1000.0078054834121</v>
      </c>
      <c r="N52" s="87">
        <f>IF(N12=0,0,1000000*N12/TrRail_act!N29/1000)</f>
        <v>987.42666763649208</v>
      </c>
      <c r="O52" s="87">
        <f>IF(O12=0,0,1000000*O12/TrRail_act!O29/1000)</f>
        <v>957.36378986852003</v>
      </c>
      <c r="P52" s="87">
        <f>IF(P12=0,0,1000000*P12/TrRail_act!P29/1000)</f>
        <v>929.90593850705966</v>
      </c>
      <c r="Q52" s="87">
        <f>IF(Q12=0,0,1000000*Q12/TrRail_act!Q29/1000)</f>
        <v>896.41507684401313</v>
      </c>
      <c r="R52" s="87">
        <f>IF(R12=0,0,1000000*R12/TrRail_act!R29/1000)</f>
        <v>862.38967683371675</v>
      </c>
      <c r="S52" s="87">
        <f>IF(S12=0,0,1000000*S12/TrRail_act!S29/1000)</f>
        <v>883.62788302198635</v>
      </c>
      <c r="T52" s="87">
        <f>IF(T12=0,0,1000000*T12/TrRail_act!T29/1000)</f>
        <v>881.18913708812522</v>
      </c>
      <c r="U52" s="87">
        <f>IF(U12=0,0,1000000*U12/TrRail_act!U29/1000)</f>
        <v>871.27852144195265</v>
      </c>
      <c r="V52" s="87">
        <f>IF(V12=0,0,1000000*V12/TrRail_act!V29/1000)</f>
        <v>622.83584555038294</v>
      </c>
      <c r="W52" s="87">
        <f>IF(W12=0,0,1000000*W12/TrRail_act!W29/1000)</f>
        <v>872.2031007996394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696.01181766082402</v>
      </c>
      <c r="C55" s="29">
        <f>IF(C15=0,0,1000000*C15/TrRail_act!C32/1000)</f>
        <v>639.27190813108768</v>
      </c>
      <c r="D55" s="29">
        <f>IF(D15=0,0,1000000*D15/TrRail_act!D32/1000)</f>
        <v>682.92348476823827</v>
      </c>
      <c r="E55" s="29">
        <f>IF(E15=0,0,1000000*E15/TrRail_act!E32/1000)</f>
        <v>641.48246438610329</v>
      </c>
      <c r="F55" s="29">
        <f>IF(F15=0,0,1000000*F15/TrRail_act!F32/1000)</f>
        <v>648.98422792523615</v>
      </c>
      <c r="G55" s="29">
        <f>IF(G15=0,0,1000000*G15/TrRail_act!G32/1000)</f>
        <v>644.2128466225422</v>
      </c>
      <c r="H55" s="29">
        <f>IF(H15=0,0,1000000*H15/TrRail_act!H32/1000)</f>
        <v>603.6947532809113</v>
      </c>
      <c r="I55" s="29">
        <f>IF(I15=0,0,1000000*I15/TrRail_act!I32/1000)</f>
        <v>566.71079036471997</v>
      </c>
      <c r="J55" s="29">
        <f>IF(J15=0,0,1000000*J15/TrRail_act!J32/1000)</f>
        <v>435.33127689901306</v>
      </c>
      <c r="K55" s="29">
        <f>IF(K15=0,0,1000000*K15/TrRail_act!K32/1000)</f>
        <v>394.99442993069346</v>
      </c>
      <c r="L55" s="29">
        <f>IF(L15=0,0,1000000*L15/TrRail_act!L32/1000)</f>
        <v>455.03385988474565</v>
      </c>
      <c r="M55" s="29">
        <f>IF(M15=0,0,1000000*M15/TrRail_act!M32/1000)</f>
        <v>480.77329393473713</v>
      </c>
      <c r="N55" s="29">
        <f>IF(N15=0,0,1000000*N15/TrRail_act!N32/1000)</f>
        <v>464.15506910012687</v>
      </c>
      <c r="O55" s="29">
        <f>IF(O15=0,0,1000000*O15/TrRail_act!O32/1000)</f>
        <v>470.64411724270497</v>
      </c>
      <c r="P55" s="29">
        <f>IF(P15=0,0,1000000*P15/TrRail_act!P32/1000)</f>
        <v>648.73671289108381</v>
      </c>
      <c r="Q55" s="29">
        <f>IF(Q15=0,0,1000000*Q15/TrRail_act!Q32/1000)</f>
        <v>518.58055762608365</v>
      </c>
      <c r="R55" s="29">
        <f>IF(R15=0,0,1000000*R15/TrRail_act!R32/1000)</f>
        <v>381.02200035165714</v>
      </c>
      <c r="S55" s="29">
        <f>IF(S15=0,0,1000000*S15/TrRail_act!S32/1000)</f>
        <v>285.98270489081324</v>
      </c>
      <c r="T55" s="29">
        <f>IF(T15=0,0,1000000*T15/TrRail_act!T32/1000)</f>
        <v>198.05060782502781</v>
      </c>
      <c r="U55" s="29">
        <f>IF(U15=0,0,1000000*U15/TrRail_act!U32/1000)</f>
        <v>174.96952912374394</v>
      </c>
      <c r="V55" s="29">
        <f>IF(V15=0,0,1000000*V15/TrRail_act!V32/1000)</f>
        <v>153.24442583775181</v>
      </c>
      <c r="W55" s="29">
        <f>IF(W15=0,0,1000000*W15/TrRail_act!W32/1000)</f>
        <v>133.37058892133109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3247.4494553900686</v>
      </c>
      <c r="C56" s="87">
        <f>IF(C16=0,0,1000000*C16/TrRail_act!C33/1000)</f>
        <v>3226.4489177853384</v>
      </c>
      <c r="D56" s="87">
        <f>IF(D16=0,0,1000000*D16/TrRail_act!D33/1000)</f>
        <v>3218.6312546965169</v>
      </c>
      <c r="E56" s="87">
        <f>IF(E16=0,0,1000000*E16/TrRail_act!E33/1000)</f>
        <v>3196.8511217252685</v>
      </c>
      <c r="F56" s="87">
        <f>IF(F16=0,0,1000000*F16/TrRail_act!F33/1000)</f>
        <v>3174.7360354408056</v>
      </c>
      <c r="G56" s="87">
        <f>IF(G16=0,0,1000000*G16/TrRail_act!G33/1000)</f>
        <v>3155.8769902769354</v>
      </c>
      <c r="H56" s="87">
        <f>IF(H16=0,0,1000000*H16/TrRail_act!H33/1000)</f>
        <v>3126.2762709888802</v>
      </c>
      <c r="I56" s="87">
        <f>IF(I16=0,0,1000000*I16/TrRail_act!I33/1000)</f>
        <v>3075.6240706718263</v>
      </c>
      <c r="J56" s="87">
        <f>IF(J16=0,0,1000000*J16/TrRail_act!J33/1000)</f>
        <v>2550.1027541357462</v>
      </c>
      <c r="K56" s="87">
        <f>IF(K16=0,0,1000000*K16/TrRail_act!K33/1000)</f>
        <v>2359.5687383710347</v>
      </c>
      <c r="L56" s="87">
        <f>IF(L16=0,0,1000000*L16/TrRail_act!L33/1000)</f>
        <v>2934.1041400302665</v>
      </c>
      <c r="M56" s="87">
        <f>IF(M16=0,0,1000000*M16/TrRail_act!M33/1000)</f>
        <v>2896.0361251524118</v>
      </c>
      <c r="N56" s="87">
        <f>IF(N16=0,0,1000000*N16/TrRail_act!N33/1000)</f>
        <v>2858.6661186890242</v>
      </c>
      <c r="O56" s="87">
        <f>IF(O16=0,0,1000000*O16/TrRail_act!O33/1000)</f>
        <v>2839.5009768621876</v>
      </c>
      <c r="P56" s="87">
        <f>IF(P16=0,0,1000000*P16/TrRail_act!P33/1000)</f>
        <v>2794.6271178325069</v>
      </c>
      <c r="Q56" s="87">
        <f>IF(Q16=0,0,1000000*Q16/TrRail_act!Q33/1000)</f>
        <v>2442.7555392681438</v>
      </c>
      <c r="R56" s="87">
        <f>IF(R16=0,0,1000000*R16/TrRail_act!R33/1000)</f>
        <v>2056.6302759204891</v>
      </c>
      <c r="S56" s="87">
        <f>IF(S16=0,0,1000000*S16/TrRail_act!S33/1000)</f>
        <v>1861.1763279198656</v>
      </c>
      <c r="T56" s="87">
        <f>IF(T16=0,0,1000000*T16/TrRail_act!T33/1000)</f>
        <v>1740.9151842014601</v>
      </c>
      <c r="U56" s="87">
        <f>IF(U16=0,0,1000000*U16/TrRail_act!U33/1000)</f>
        <v>1608.5147742049442</v>
      </c>
      <c r="V56" s="87">
        <f>IF(V16=0,0,1000000*V16/TrRail_act!V33/1000)</f>
        <v>1471.9034956507974</v>
      </c>
      <c r="W56" s="87">
        <f>IF(W16=0,0,1000000*W16/TrRail_act!W33/1000)</f>
        <v>1445.1572867719588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0.50083430877568702</v>
      </c>
      <c r="C60" s="31">
        <f t="shared" ref="C60:V60" si="8">IF(C9=0,0,C9/C$8)</f>
        <v>0.49241151574220388</v>
      </c>
      <c r="D60" s="31">
        <f t="shared" si="8"/>
        <v>0.4638893503323569</v>
      </c>
      <c r="E60" s="31">
        <f t="shared" si="8"/>
        <v>0.49849262586224136</v>
      </c>
      <c r="F60" s="31">
        <f t="shared" si="8"/>
        <v>0.4629986055864041</v>
      </c>
      <c r="G60" s="31">
        <f t="shared" si="8"/>
        <v>0.44655117618108664</v>
      </c>
      <c r="H60" s="31">
        <f t="shared" si="8"/>
        <v>0.4521927093382116</v>
      </c>
      <c r="I60" s="31">
        <f t="shared" si="8"/>
        <v>0.46235119672383124</v>
      </c>
      <c r="J60" s="31">
        <f t="shared" si="8"/>
        <v>0.5085817635187756</v>
      </c>
      <c r="K60" s="31">
        <f t="shared" si="8"/>
        <v>0.53952266845818253</v>
      </c>
      <c r="L60" s="31">
        <f t="shared" si="8"/>
        <v>0.48304022550501396</v>
      </c>
      <c r="M60" s="31">
        <f t="shared" si="8"/>
        <v>0.45398878013335703</v>
      </c>
      <c r="N60" s="31">
        <f t="shared" si="8"/>
        <v>0.45536046799299218</v>
      </c>
      <c r="O60" s="31">
        <f t="shared" si="8"/>
        <v>0.45271994201762883</v>
      </c>
      <c r="P60" s="31">
        <f t="shared" si="8"/>
        <v>0.3765066056740462</v>
      </c>
      <c r="Q60" s="31">
        <f t="shared" si="8"/>
        <v>0.44435312764393337</v>
      </c>
      <c r="R60" s="31">
        <f t="shared" si="8"/>
        <v>0.47372249352152923</v>
      </c>
      <c r="S60" s="31">
        <f t="shared" si="8"/>
        <v>0.51992763183987012</v>
      </c>
      <c r="T60" s="31">
        <f t="shared" si="8"/>
        <v>0.54164310456846376</v>
      </c>
      <c r="U60" s="31">
        <f t="shared" si="8"/>
        <v>0.5554685233208746</v>
      </c>
      <c r="V60" s="31">
        <f t="shared" si="8"/>
        <v>0.49038811756553885</v>
      </c>
      <c r="W60" s="31">
        <f t="shared" ref="W60" si="9">IF(W9=0,0,W9/W$8)</f>
        <v>0.62387239608893774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0.50083430877568702</v>
      </c>
      <c r="C62" s="124">
        <f t="shared" ref="C62:V62" si="12">IF(C11=0,0,C11/C$8)</f>
        <v>0.49241151574220388</v>
      </c>
      <c r="D62" s="124">
        <f t="shared" si="12"/>
        <v>0.4638893503323569</v>
      </c>
      <c r="E62" s="124">
        <f t="shared" si="12"/>
        <v>0.49849262586224136</v>
      </c>
      <c r="F62" s="124">
        <f t="shared" si="12"/>
        <v>0.4629986055864041</v>
      </c>
      <c r="G62" s="124">
        <f t="shared" si="12"/>
        <v>0.44655117618108664</v>
      </c>
      <c r="H62" s="124">
        <f t="shared" si="12"/>
        <v>0.4521927093382116</v>
      </c>
      <c r="I62" s="124">
        <f t="shared" si="12"/>
        <v>0.46235119672383124</v>
      </c>
      <c r="J62" s="124">
        <f t="shared" si="12"/>
        <v>0.5085817635187756</v>
      </c>
      <c r="K62" s="124">
        <f t="shared" si="12"/>
        <v>0.53952266845818253</v>
      </c>
      <c r="L62" s="124">
        <f t="shared" si="12"/>
        <v>0.48304022550501396</v>
      </c>
      <c r="M62" s="124">
        <f t="shared" si="12"/>
        <v>0.45398878013335703</v>
      </c>
      <c r="N62" s="124">
        <f t="shared" si="12"/>
        <v>0.45536046799299218</v>
      </c>
      <c r="O62" s="124">
        <f t="shared" si="12"/>
        <v>0.45271994201762883</v>
      </c>
      <c r="P62" s="124">
        <f t="shared" si="12"/>
        <v>0.3765066056740462</v>
      </c>
      <c r="Q62" s="124">
        <f t="shared" si="12"/>
        <v>0.44435312764393337</v>
      </c>
      <c r="R62" s="124">
        <f t="shared" si="12"/>
        <v>0.47372249352152923</v>
      </c>
      <c r="S62" s="124">
        <f t="shared" si="12"/>
        <v>0.51992763183987012</v>
      </c>
      <c r="T62" s="124">
        <f t="shared" si="12"/>
        <v>0.54164310456846376</v>
      </c>
      <c r="U62" s="124">
        <f t="shared" si="12"/>
        <v>0.5554685233208746</v>
      </c>
      <c r="V62" s="124">
        <f t="shared" si="12"/>
        <v>0.49038811756553885</v>
      </c>
      <c r="W62" s="124">
        <f t="shared" ref="W62" si="13">IF(W11=0,0,W11/W$8)</f>
        <v>0.62387239608893774</v>
      </c>
      <c r="DA62" s="176"/>
    </row>
    <row r="63" spans="1:105" ht="11.45" customHeight="1" x14ac:dyDescent="0.25">
      <c r="A63" s="111" t="s">
        <v>92</v>
      </c>
      <c r="B63" s="125">
        <f t="shared" si="5"/>
        <v>0.50083430877568702</v>
      </c>
      <c r="C63" s="125">
        <f t="shared" ref="C63:V63" si="14">IF(C12=0,0,C12/C$8)</f>
        <v>0.49241151574220388</v>
      </c>
      <c r="D63" s="125">
        <f t="shared" si="14"/>
        <v>0.4638893503323569</v>
      </c>
      <c r="E63" s="125">
        <f t="shared" si="14"/>
        <v>0.49849262586224136</v>
      </c>
      <c r="F63" s="125">
        <f t="shared" si="14"/>
        <v>0.4629986055864041</v>
      </c>
      <c r="G63" s="125">
        <f t="shared" si="14"/>
        <v>0.44655117618108664</v>
      </c>
      <c r="H63" s="125">
        <f t="shared" si="14"/>
        <v>0.4521927093382116</v>
      </c>
      <c r="I63" s="125">
        <f t="shared" si="14"/>
        <v>0.46235119672383124</v>
      </c>
      <c r="J63" s="125">
        <f t="shared" si="14"/>
        <v>0.5085817635187756</v>
      </c>
      <c r="K63" s="125">
        <f t="shared" si="14"/>
        <v>0.53952266845818253</v>
      </c>
      <c r="L63" s="125">
        <f t="shared" si="14"/>
        <v>0.48304022550501396</v>
      </c>
      <c r="M63" s="125">
        <f t="shared" si="14"/>
        <v>0.45398878013335703</v>
      </c>
      <c r="N63" s="125">
        <f t="shared" si="14"/>
        <v>0.45536046799299218</v>
      </c>
      <c r="O63" s="125">
        <f t="shared" si="14"/>
        <v>0.45271994201762883</v>
      </c>
      <c r="P63" s="125">
        <f t="shared" si="14"/>
        <v>0.3765066056740462</v>
      </c>
      <c r="Q63" s="125">
        <f t="shared" si="14"/>
        <v>0.44435312764393337</v>
      </c>
      <c r="R63" s="125">
        <f t="shared" si="14"/>
        <v>0.47372249352152923</v>
      </c>
      <c r="S63" s="125">
        <f t="shared" si="14"/>
        <v>0.51992763183987012</v>
      </c>
      <c r="T63" s="125">
        <f t="shared" si="14"/>
        <v>0.54164310456846376</v>
      </c>
      <c r="U63" s="125">
        <f t="shared" si="14"/>
        <v>0.5554685233208746</v>
      </c>
      <c r="V63" s="125">
        <f t="shared" si="14"/>
        <v>0.49038811756553885</v>
      </c>
      <c r="W63" s="125">
        <f t="shared" ref="W63" si="15">IF(W12=0,0,W12/W$8)</f>
        <v>0.62387239608893774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0.49916569122431287</v>
      </c>
      <c r="C66" s="31">
        <f t="shared" ref="C66:V66" si="20">IF(C15=0,0,C15/C$8)</f>
        <v>0.50758848425779601</v>
      </c>
      <c r="D66" s="31">
        <f t="shared" si="20"/>
        <v>0.53611064966764321</v>
      </c>
      <c r="E66" s="31">
        <f t="shared" si="20"/>
        <v>0.50150737413775859</v>
      </c>
      <c r="F66" s="31">
        <f t="shared" si="20"/>
        <v>0.53700139441359596</v>
      </c>
      <c r="G66" s="31">
        <f t="shared" si="20"/>
        <v>0.55344882381891336</v>
      </c>
      <c r="H66" s="31">
        <f t="shared" si="20"/>
        <v>0.54780729066178846</v>
      </c>
      <c r="I66" s="31">
        <f t="shared" si="20"/>
        <v>0.5376488032761686</v>
      </c>
      <c r="J66" s="31">
        <f t="shared" si="20"/>
        <v>0.4914182364812244</v>
      </c>
      <c r="K66" s="31">
        <f t="shared" si="20"/>
        <v>0.46047733154181758</v>
      </c>
      <c r="L66" s="31">
        <f t="shared" si="20"/>
        <v>0.51695977449498598</v>
      </c>
      <c r="M66" s="31">
        <f t="shared" si="20"/>
        <v>0.54601121986664292</v>
      </c>
      <c r="N66" s="31">
        <f t="shared" si="20"/>
        <v>0.54463953200700777</v>
      </c>
      <c r="O66" s="31">
        <f t="shared" si="20"/>
        <v>0.54728005798237112</v>
      </c>
      <c r="P66" s="31">
        <f t="shared" si="20"/>
        <v>0.62349339432595385</v>
      </c>
      <c r="Q66" s="31">
        <f t="shared" si="20"/>
        <v>0.55564687235606658</v>
      </c>
      <c r="R66" s="31">
        <f t="shared" si="20"/>
        <v>0.52627750647847082</v>
      </c>
      <c r="S66" s="31">
        <f t="shared" si="20"/>
        <v>0.48007236816012988</v>
      </c>
      <c r="T66" s="31">
        <f t="shared" si="20"/>
        <v>0.45835689543153618</v>
      </c>
      <c r="U66" s="31">
        <f t="shared" si="20"/>
        <v>0.4445314766791254</v>
      </c>
      <c r="V66" s="31">
        <f t="shared" si="20"/>
        <v>0.50961188243446109</v>
      </c>
      <c r="W66" s="31">
        <f t="shared" ref="W66" si="21">IF(W15=0,0,W15/W$8)</f>
        <v>0.37612760391106231</v>
      </c>
      <c r="DA66" s="173"/>
    </row>
    <row r="67" spans="1:105" ht="11.45" customHeight="1" x14ac:dyDescent="0.25">
      <c r="A67" s="83" t="s">
        <v>92</v>
      </c>
      <c r="B67" s="125">
        <f t="shared" si="5"/>
        <v>0.49916569122431287</v>
      </c>
      <c r="C67" s="125">
        <f t="shared" ref="C67:V67" si="22">IF(C16=0,0,C16/C$8)</f>
        <v>0.50758848425779601</v>
      </c>
      <c r="D67" s="125">
        <f t="shared" si="22"/>
        <v>0.53611064966764321</v>
      </c>
      <c r="E67" s="125">
        <f t="shared" si="22"/>
        <v>0.50150737413775859</v>
      </c>
      <c r="F67" s="125">
        <f t="shared" si="22"/>
        <v>0.53700139441359596</v>
      </c>
      <c r="G67" s="125">
        <f t="shared" si="22"/>
        <v>0.55344882381891336</v>
      </c>
      <c r="H67" s="125">
        <f t="shared" si="22"/>
        <v>0.54780729066178846</v>
      </c>
      <c r="I67" s="125">
        <f t="shared" si="22"/>
        <v>0.5376488032761686</v>
      </c>
      <c r="J67" s="125">
        <f t="shared" si="22"/>
        <v>0.4914182364812244</v>
      </c>
      <c r="K67" s="125">
        <f t="shared" si="22"/>
        <v>0.46047733154181758</v>
      </c>
      <c r="L67" s="125">
        <f t="shared" si="22"/>
        <v>0.51695977449498598</v>
      </c>
      <c r="M67" s="125">
        <f t="shared" si="22"/>
        <v>0.54601121986664292</v>
      </c>
      <c r="N67" s="125">
        <f t="shared" si="22"/>
        <v>0.54463953200700777</v>
      </c>
      <c r="O67" s="125">
        <f t="shared" si="22"/>
        <v>0.54728005798237112</v>
      </c>
      <c r="P67" s="125">
        <f t="shared" si="22"/>
        <v>0.62349339432595385</v>
      </c>
      <c r="Q67" s="125">
        <f t="shared" si="22"/>
        <v>0.55564687235606658</v>
      </c>
      <c r="R67" s="125">
        <f t="shared" si="22"/>
        <v>0.52627750647847082</v>
      </c>
      <c r="S67" s="125">
        <f t="shared" si="22"/>
        <v>0.48007236816012988</v>
      </c>
      <c r="T67" s="125">
        <f t="shared" si="22"/>
        <v>0.45835689543153618</v>
      </c>
      <c r="U67" s="125">
        <f t="shared" si="22"/>
        <v>0.4445314766791254</v>
      </c>
      <c r="V67" s="125">
        <f t="shared" si="22"/>
        <v>0.50961188243446109</v>
      </c>
      <c r="W67" s="125">
        <f t="shared" ref="W67" si="23">IF(W16=0,0,W16/W$8)</f>
        <v>0.37612760391106231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674.07848783903137</v>
      </c>
      <c r="C4" s="11">
        <f t="shared" si="0"/>
        <v>735.08725802092499</v>
      </c>
      <c r="D4" s="11">
        <f t="shared" ref="D4:V4" si="1">SUM(D5:D7)</f>
        <v>792.59603405947837</v>
      </c>
      <c r="E4" s="11">
        <f t="shared" si="1"/>
        <v>703.448249476775</v>
      </c>
      <c r="F4" s="11">
        <f t="shared" si="1"/>
        <v>534.95044583758943</v>
      </c>
      <c r="G4" s="11">
        <f t="shared" si="1"/>
        <v>636.15534735891549</v>
      </c>
      <c r="H4" s="11">
        <f t="shared" si="1"/>
        <v>671.41703806418832</v>
      </c>
      <c r="I4" s="11">
        <f t="shared" si="1"/>
        <v>768.83102139718221</v>
      </c>
      <c r="J4" s="11">
        <f t="shared" si="1"/>
        <v>815.89085025728684</v>
      </c>
      <c r="K4" s="11">
        <f t="shared" si="1"/>
        <v>717.96447557665738</v>
      </c>
      <c r="L4" s="11">
        <f t="shared" si="1"/>
        <v>698.42331167282236</v>
      </c>
      <c r="M4" s="11">
        <f t="shared" si="1"/>
        <v>685.76958790029812</v>
      </c>
      <c r="N4" s="11">
        <f t="shared" si="1"/>
        <v>626.33649412660634</v>
      </c>
      <c r="O4" s="11">
        <f t="shared" si="1"/>
        <v>686.46266343819275</v>
      </c>
      <c r="P4" s="11">
        <f t="shared" si="1"/>
        <v>663.94214784953488</v>
      </c>
      <c r="Q4" s="11">
        <f t="shared" si="1"/>
        <v>706.23071453920772</v>
      </c>
      <c r="R4" s="11">
        <f t="shared" si="1"/>
        <v>672.75676440709003</v>
      </c>
      <c r="S4" s="11">
        <f t="shared" si="1"/>
        <v>813.2933165923755</v>
      </c>
      <c r="T4" s="11">
        <f t="shared" si="1"/>
        <v>887.72390658958591</v>
      </c>
      <c r="U4" s="11">
        <f t="shared" si="1"/>
        <v>885.01968271958617</v>
      </c>
      <c r="V4" s="11">
        <f t="shared" si="1"/>
        <v>147.74251248521568</v>
      </c>
      <c r="W4" s="11">
        <f t="shared" ref="W4" si="2">SUM(W5:W7)</f>
        <v>218.22355381864813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369.5228648440654</v>
      </c>
      <c r="C6" s="84">
        <v>404.89951063715665</v>
      </c>
      <c r="D6" s="84">
        <v>437.08058181646601</v>
      </c>
      <c r="E6" s="84">
        <v>385.90286608524826</v>
      </c>
      <c r="F6" s="84">
        <v>292.76262473560473</v>
      </c>
      <c r="G6" s="84">
        <v>384.29785536201746</v>
      </c>
      <c r="H6" s="84">
        <v>409.70953023359078</v>
      </c>
      <c r="I6" s="84">
        <v>445.99409732164497</v>
      </c>
      <c r="J6" s="84">
        <v>458.03144882422407</v>
      </c>
      <c r="K6" s="84">
        <v>370.82679593421511</v>
      </c>
      <c r="L6" s="84">
        <v>349.09618372766141</v>
      </c>
      <c r="M6" s="84">
        <v>358.95068440625738</v>
      </c>
      <c r="N6" s="84">
        <v>282.72413024870019</v>
      </c>
      <c r="O6" s="84">
        <v>318.57330637834764</v>
      </c>
      <c r="P6" s="84">
        <v>326.24774355890793</v>
      </c>
      <c r="Q6" s="84">
        <v>359.42626054084309</v>
      </c>
      <c r="R6" s="84">
        <v>384.46820951737482</v>
      </c>
      <c r="S6" s="84">
        <v>459.1937577394998</v>
      </c>
      <c r="T6" s="84">
        <v>501.01625099199998</v>
      </c>
      <c r="U6" s="84">
        <v>473.56838476584079</v>
      </c>
      <c r="V6" s="84">
        <v>84.044054456383662</v>
      </c>
      <c r="W6" s="84">
        <v>122.12776577756095</v>
      </c>
      <c r="DA6" s="171" t="s">
        <v>191</v>
      </c>
    </row>
    <row r="7" spans="1:105" ht="11.45" customHeight="1" x14ac:dyDescent="0.25">
      <c r="A7" s="83" t="s">
        <v>174</v>
      </c>
      <c r="B7" s="84">
        <v>304.55562299496597</v>
      </c>
      <c r="C7" s="84">
        <v>330.18774738376828</v>
      </c>
      <c r="D7" s="84">
        <v>355.51545224301236</v>
      </c>
      <c r="E7" s="84">
        <v>317.54538339152674</v>
      </c>
      <c r="F7" s="84">
        <v>242.18782110198472</v>
      </c>
      <c r="G7" s="84">
        <v>251.85749199689801</v>
      </c>
      <c r="H7" s="84">
        <v>261.70750783059759</v>
      </c>
      <c r="I7" s="84">
        <v>322.83692407553718</v>
      </c>
      <c r="J7" s="84">
        <v>357.85940143306277</v>
      </c>
      <c r="K7" s="84">
        <v>347.13767964244221</v>
      </c>
      <c r="L7" s="84">
        <v>349.3271279451609</v>
      </c>
      <c r="M7" s="84">
        <v>326.8189034940408</v>
      </c>
      <c r="N7" s="84">
        <v>343.6123638779062</v>
      </c>
      <c r="O7" s="84">
        <v>367.88935705984505</v>
      </c>
      <c r="P7" s="84">
        <v>337.69440429062689</v>
      </c>
      <c r="Q7" s="84">
        <v>346.80445399836464</v>
      </c>
      <c r="R7" s="84">
        <v>288.28855488971516</v>
      </c>
      <c r="S7" s="84">
        <v>354.0995588528757</v>
      </c>
      <c r="T7" s="84">
        <v>386.70765559758593</v>
      </c>
      <c r="U7" s="84">
        <v>411.45129795374532</v>
      </c>
      <c r="V7" s="84">
        <v>63.698458028832036</v>
      </c>
      <c r="W7" s="84">
        <v>96.095788041087175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5.6162761802280015</v>
      </c>
      <c r="C8" s="13">
        <f t="shared" si="3"/>
        <v>5.9419604921194686</v>
      </c>
      <c r="D8" s="13">
        <f t="shared" ref="D8:V8" si="4">SUM(D9:D11)</f>
        <v>5.9073976430943205</v>
      </c>
      <c r="E8" s="13">
        <f t="shared" si="4"/>
        <v>6.3095137354559698</v>
      </c>
      <c r="F8" s="13">
        <f t="shared" si="4"/>
        <v>6.6402085063899063</v>
      </c>
      <c r="G8" s="13">
        <f t="shared" si="4"/>
        <v>6.0431351801791449</v>
      </c>
      <c r="H8" s="13">
        <f t="shared" si="4"/>
        <v>5.4215851859518409</v>
      </c>
      <c r="I8" s="13">
        <f t="shared" si="4"/>
        <v>10.496988472757469</v>
      </c>
      <c r="J8" s="13">
        <f t="shared" si="4"/>
        <v>4.5850028145294068</v>
      </c>
      <c r="K8" s="13">
        <f t="shared" si="4"/>
        <v>2.4114687017598291</v>
      </c>
      <c r="L8" s="13">
        <f t="shared" si="4"/>
        <v>2.6617780253071448</v>
      </c>
      <c r="M8" s="13">
        <f t="shared" si="4"/>
        <v>2.6489905932128419</v>
      </c>
      <c r="N8" s="13">
        <f t="shared" si="4"/>
        <v>2.8017838251679548</v>
      </c>
      <c r="O8" s="13">
        <f t="shared" si="4"/>
        <v>2.805739127756536</v>
      </c>
      <c r="P8" s="13">
        <f t="shared" si="4"/>
        <v>2.5878865845035399</v>
      </c>
      <c r="Q8" s="13">
        <f t="shared" si="4"/>
        <v>2.6229391349459004</v>
      </c>
      <c r="R8" s="13">
        <f t="shared" si="4"/>
        <v>2.620070655668929</v>
      </c>
      <c r="S8" s="13">
        <f t="shared" si="4"/>
        <v>4.0377411745057525</v>
      </c>
      <c r="T8" s="13">
        <f t="shared" si="4"/>
        <v>3.9868395888888797</v>
      </c>
      <c r="U8" s="13">
        <f t="shared" si="4"/>
        <v>3.5690422346661164</v>
      </c>
      <c r="V8" s="13">
        <f t="shared" si="4"/>
        <v>2.5231157793479726</v>
      </c>
      <c r="W8" s="13">
        <f t="shared" ref="W8" si="5">SUM(W9:W11)</f>
        <v>3.2357734728375389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1.2186065239113615</v>
      </c>
      <c r="C10" s="102">
        <v>1.1047557800511765</v>
      </c>
      <c r="D10" s="102">
        <v>0.90395358984174679</v>
      </c>
      <c r="E10" s="102">
        <v>0.77403753209269366</v>
      </c>
      <c r="F10" s="102">
        <v>0.69132802520204373</v>
      </c>
      <c r="G10" s="102">
        <v>0.90690886419809813</v>
      </c>
      <c r="H10" s="102">
        <v>1.7719406699690854</v>
      </c>
      <c r="I10" s="102">
        <v>7.7216877247924653</v>
      </c>
      <c r="J10" s="102">
        <v>2.6361652428191427</v>
      </c>
      <c r="K10" s="102">
        <v>1.286034300335279</v>
      </c>
      <c r="L10" s="102">
        <v>1.9518340845983517</v>
      </c>
      <c r="M10" s="102">
        <v>1.9129742852622753</v>
      </c>
      <c r="N10" s="102">
        <v>1.9711159907658562</v>
      </c>
      <c r="O10" s="102">
        <v>1.95640564369183</v>
      </c>
      <c r="P10" s="102">
        <v>1.8168685438303296</v>
      </c>
      <c r="Q10" s="102">
        <v>2.2295531522114604</v>
      </c>
      <c r="R10" s="102">
        <v>2.2433551520240136</v>
      </c>
      <c r="S10" s="102">
        <v>3.1839871027609132</v>
      </c>
      <c r="T10" s="102">
        <v>2.9865345914158139</v>
      </c>
      <c r="U10" s="102">
        <v>2.5257489125301498</v>
      </c>
      <c r="V10" s="102">
        <v>1.846912181095975</v>
      </c>
      <c r="W10" s="102">
        <v>2.3840864422769132</v>
      </c>
      <c r="DA10" s="175" t="s">
        <v>195</v>
      </c>
    </row>
    <row r="11" spans="1:105" ht="11.45" customHeight="1" x14ac:dyDescent="0.25">
      <c r="A11" s="85" t="s">
        <v>174</v>
      </c>
      <c r="B11" s="86">
        <v>4.3976696563166398</v>
      </c>
      <c r="C11" s="86">
        <v>4.8372047120682922</v>
      </c>
      <c r="D11" s="86">
        <v>5.0034440532525739</v>
      </c>
      <c r="E11" s="86">
        <v>5.5354762033632765</v>
      </c>
      <c r="F11" s="86">
        <v>5.9488804811878628</v>
      </c>
      <c r="G11" s="86">
        <v>5.1362263159810464</v>
      </c>
      <c r="H11" s="86">
        <v>3.6496445159827551</v>
      </c>
      <c r="I11" s="86">
        <v>2.7753007479650043</v>
      </c>
      <c r="J11" s="86">
        <v>1.9488375717102637</v>
      </c>
      <c r="K11" s="86">
        <v>1.1254344014245501</v>
      </c>
      <c r="L11" s="86">
        <v>0.70994394070879308</v>
      </c>
      <c r="M11" s="86">
        <v>0.73601630795056683</v>
      </c>
      <c r="N11" s="86">
        <v>0.83066783440209846</v>
      </c>
      <c r="O11" s="86">
        <v>0.8493334840647061</v>
      </c>
      <c r="P11" s="86">
        <v>0.77101804067321034</v>
      </c>
      <c r="Q11" s="86">
        <v>0.39338598273443998</v>
      </c>
      <c r="R11" s="86">
        <v>0.37671550364491552</v>
      </c>
      <c r="S11" s="86">
        <v>0.85375407174483897</v>
      </c>
      <c r="T11" s="86">
        <v>1.0003049974730656</v>
      </c>
      <c r="U11" s="86">
        <v>1.0432933221359668</v>
      </c>
      <c r="V11" s="86">
        <v>0.67620359825199738</v>
      </c>
      <c r="W11" s="86">
        <v>0.85168703056062567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12.119671757199395</v>
      </c>
      <c r="C13" s="54">
        <f t="shared" si="6"/>
        <v>13.128123976538507</v>
      </c>
      <c r="D13" s="54">
        <f t="shared" ref="D13:V13" si="7">SUM(D14,D18)</f>
        <v>14.143774333339481</v>
      </c>
      <c r="E13" s="54">
        <f t="shared" si="7"/>
        <v>12.661320857440916</v>
      </c>
      <c r="F13" s="54">
        <f t="shared" si="7"/>
        <v>9.6695946953397947</v>
      </c>
      <c r="G13" s="54">
        <f t="shared" si="7"/>
        <v>11.316741260273822</v>
      </c>
      <c r="H13" s="54">
        <f t="shared" si="7"/>
        <v>11.601919976726794</v>
      </c>
      <c r="I13" s="54">
        <f t="shared" si="7"/>
        <v>13.754633412900048</v>
      </c>
      <c r="J13" s="54">
        <f t="shared" si="7"/>
        <v>14.789960089355679</v>
      </c>
      <c r="K13" s="54">
        <f t="shared" si="7"/>
        <v>13.797148077526536</v>
      </c>
      <c r="L13" s="54">
        <f t="shared" si="7"/>
        <v>12.333802394716706</v>
      </c>
      <c r="M13" s="54">
        <f t="shared" si="7"/>
        <v>11.606647394119566</v>
      </c>
      <c r="N13" s="54">
        <f t="shared" si="7"/>
        <v>10.47245399779035</v>
      </c>
      <c r="O13" s="54">
        <f t="shared" si="7"/>
        <v>10.398851907630718</v>
      </c>
      <c r="P13" s="54">
        <f t="shared" si="7"/>
        <v>9.609488865918312</v>
      </c>
      <c r="Q13" s="54">
        <f t="shared" si="7"/>
        <v>9.8507793091964508</v>
      </c>
      <c r="R13" s="54">
        <f t="shared" si="7"/>
        <v>9.069683054283324</v>
      </c>
      <c r="S13" s="54">
        <f t="shared" si="7"/>
        <v>10.477312984295112</v>
      </c>
      <c r="T13" s="54">
        <f t="shared" si="7"/>
        <v>11.155092795626022</v>
      </c>
      <c r="U13" s="54">
        <f t="shared" si="7"/>
        <v>9.8389162253609079</v>
      </c>
      <c r="V13" s="54">
        <f t="shared" si="7"/>
        <v>1.8482277376117489</v>
      </c>
      <c r="W13" s="54">
        <f t="shared" ref="W13" si="8">SUM(W14,W18)</f>
        <v>2.6984109854164133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12.005907890804178</v>
      </c>
      <c r="C14" s="11">
        <f t="shared" si="9"/>
        <v>13.018763205165389</v>
      </c>
      <c r="D14" s="11">
        <f t="shared" ref="D14:V14" si="10">SUM(D15:D17)</f>
        <v>14.034323328307266</v>
      </c>
      <c r="E14" s="11">
        <f t="shared" si="10"/>
        <v>12.543072291315553</v>
      </c>
      <c r="F14" s="11">
        <f t="shared" si="10"/>
        <v>9.5426388017803792</v>
      </c>
      <c r="G14" s="11">
        <f t="shared" si="10"/>
        <v>11.187891266602936</v>
      </c>
      <c r="H14" s="11">
        <f t="shared" si="10"/>
        <v>11.442794208367555</v>
      </c>
      <c r="I14" s="11">
        <f t="shared" si="10"/>
        <v>13.277196355220642</v>
      </c>
      <c r="J14" s="11">
        <f t="shared" si="10"/>
        <v>14.603295884247004</v>
      </c>
      <c r="K14" s="11">
        <f t="shared" si="10"/>
        <v>13.706307511411076</v>
      </c>
      <c r="L14" s="11">
        <f t="shared" si="10"/>
        <v>12.212685613792942</v>
      </c>
      <c r="M14" s="11">
        <f t="shared" si="10"/>
        <v>11.49531039763902</v>
      </c>
      <c r="N14" s="11">
        <f t="shared" si="10"/>
        <v>10.368620777726379</v>
      </c>
      <c r="O14" s="11">
        <f t="shared" si="10"/>
        <v>10.294255943152663</v>
      </c>
      <c r="P14" s="11">
        <f t="shared" si="10"/>
        <v>9.5242477891195385</v>
      </c>
      <c r="Q14" s="11">
        <f t="shared" si="10"/>
        <v>9.7527840126637297</v>
      </c>
      <c r="R14" s="11">
        <f t="shared" si="10"/>
        <v>8.9806244128313253</v>
      </c>
      <c r="S14" s="11">
        <f t="shared" si="10"/>
        <v>10.337654088726111</v>
      </c>
      <c r="T14" s="11">
        <f t="shared" si="10"/>
        <v>11.022123187622256</v>
      </c>
      <c r="U14" s="11">
        <f t="shared" si="10"/>
        <v>9.7328580730399601</v>
      </c>
      <c r="V14" s="11">
        <f t="shared" si="10"/>
        <v>1.7522444083616686</v>
      </c>
      <c r="W14" s="11">
        <f t="shared" ref="W14" si="11">SUM(W15:W17)</f>
        <v>2.5632768757205096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7.2237629226161584</v>
      </c>
      <c r="C16" s="84">
        <v>7.8325836375193747</v>
      </c>
      <c r="D16" s="84">
        <v>8.4441091612032562</v>
      </c>
      <c r="E16" s="84">
        <v>7.547152402779389</v>
      </c>
      <c r="F16" s="84">
        <v>5.7417207179903489</v>
      </c>
      <c r="G16" s="84">
        <v>7.0804215299015976</v>
      </c>
      <c r="H16" s="84">
        <v>7.4100542832238663</v>
      </c>
      <c r="I16" s="84">
        <v>8.4421817164583839</v>
      </c>
      <c r="J16" s="84">
        <v>9.1788246130742692</v>
      </c>
      <c r="K16" s="84">
        <v>8.0289753158802544</v>
      </c>
      <c r="L16" s="84">
        <v>6.6928890546971802</v>
      </c>
      <c r="M16" s="84">
        <v>6.2887227278820497</v>
      </c>
      <c r="N16" s="84">
        <v>5.0272484207296522</v>
      </c>
      <c r="O16" s="84">
        <v>4.7946118335961145</v>
      </c>
      <c r="P16" s="84">
        <v>4.4574103817496322</v>
      </c>
      <c r="Q16" s="84">
        <v>4.7290635944797001</v>
      </c>
      <c r="R16" s="84">
        <v>5.0360608739499746</v>
      </c>
      <c r="S16" s="84">
        <v>5.6574264554582978</v>
      </c>
      <c r="T16" s="84">
        <v>6.1947764425545584</v>
      </c>
      <c r="U16" s="84">
        <v>5.2248081991212754</v>
      </c>
      <c r="V16" s="84">
        <v>0.99214038323569709</v>
      </c>
      <c r="W16" s="84">
        <v>1.4401746306328818</v>
      </c>
      <c r="DA16" s="171" t="s">
        <v>200</v>
      </c>
    </row>
    <row r="17" spans="1:105" ht="11.45" customHeight="1" x14ac:dyDescent="0.25">
      <c r="A17" s="83" t="s">
        <v>174</v>
      </c>
      <c r="B17" s="84">
        <v>4.7821449681880184</v>
      </c>
      <c r="C17" s="84">
        <v>5.1861795676460147</v>
      </c>
      <c r="D17" s="84">
        <v>5.5902141671040093</v>
      </c>
      <c r="E17" s="84">
        <v>4.9959198885361644</v>
      </c>
      <c r="F17" s="84">
        <v>3.8009180837900303</v>
      </c>
      <c r="G17" s="84">
        <v>4.1074697367013373</v>
      </c>
      <c r="H17" s="84">
        <v>4.03273992514369</v>
      </c>
      <c r="I17" s="84">
        <v>4.8350146387622575</v>
      </c>
      <c r="J17" s="84">
        <v>5.4244712711727336</v>
      </c>
      <c r="K17" s="84">
        <v>5.6773321955308216</v>
      </c>
      <c r="L17" s="84">
        <v>5.5197965590957629</v>
      </c>
      <c r="M17" s="84">
        <v>5.2065876697569706</v>
      </c>
      <c r="N17" s="84">
        <v>5.3413723569967271</v>
      </c>
      <c r="O17" s="84">
        <v>5.4996441095565496</v>
      </c>
      <c r="P17" s="84">
        <v>5.0668374073699063</v>
      </c>
      <c r="Q17" s="84">
        <v>5.0237204181840296</v>
      </c>
      <c r="R17" s="84">
        <v>3.9445635388813498</v>
      </c>
      <c r="S17" s="84">
        <v>4.6802276332678145</v>
      </c>
      <c r="T17" s="84">
        <v>4.8273467450676986</v>
      </c>
      <c r="U17" s="84">
        <v>4.5080498739186847</v>
      </c>
      <c r="V17" s="84">
        <v>0.76010402512597142</v>
      </c>
      <c r="W17" s="84">
        <v>1.1231022450876278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0.11376386639521785</v>
      </c>
      <c r="C18" s="13">
        <f t="shared" si="12"/>
        <v>0.10936077137311873</v>
      </c>
      <c r="D18" s="13">
        <f t="shared" ref="D18:V18" si="13">SUM(D19:D21)</f>
        <v>0.10945100503221383</v>
      </c>
      <c r="E18" s="13">
        <f t="shared" si="13"/>
        <v>0.11824856612536232</v>
      </c>
      <c r="F18" s="13">
        <f t="shared" si="13"/>
        <v>0.12695589355941567</v>
      </c>
      <c r="G18" s="13">
        <f t="shared" si="13"/>
        <v>0.12884999367088606</v>
      </c>
      <c r="H18" s="13">
        <f t="shared" si="13"/>
        <v>0.15912576835923892</v>
      </c>
      <c r="I18" s="13">
        <f t="shared" si="13"/>
        <v>0.47743705767940664</v>
      </c>
      <c r="J18" s="13">
        <f t="shared" si="13"/>
        <v>0.1866642051086761</v>
      </c>
      <c r="K18" s="13">
        <f t="shared" si="13"/>
        <v>9.084056611546043E-2</v>
      </c>
      <c r="L18" s="13">
        <f t="shared" si="13"/>
        <v>0.12111678092376439</v>
      </c>
      <c r="M18" s="13">
        <f t="shared" si="13"/>
        <v>0.11133699648054596</v>
      </c>
      <c r="N18" s="13">
        <f t="shared" si="13"/>
        <v>0.10383322006397015</v>
      </c>
      <c r="O18" s="13">
        <f t="shared" si="13"/>
        <v>0.10459596447805375</v>
      </c>
      <c r="P18" s="13">
        <f t="shared" si="13"/>
        <v>8.5241076798773047E-2</v>
      </c>
      <c r="Q18" s="13">
        <f t="shared" si="13"/>
        <v>9.7995296532720641E-2</v>
      </c>
      <c r="R18" s="13">
        <f t="shared" si="13"/>
        <v>8.9058641451997947E-2</v>
      </c>
      <c r="S18" s="13">
        <f t="shared" si="13"/>
        <v>0.13965889556900057</v>
      </c>
      <c r="T18" s="13">
        <f t="shared" si="13"/>
        <v>0.1329696080037665</v>
      </c>
      <c r="U18" s="13">
        <f t="shared" si="13"/>
        <v>0.10605815232094745</v>
      </c>
      <c r="V18" s="13">
        <f t="shared" si="13"/>
        <v>9.5983329250080143E-2</v>
      </c>
      <c r="W18" s="13">
        <f t="shared" ref="W18" si="14">SUM(W19:W21)</f>
        <v>0.13513410969590384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5.326749959920607E-2</v>
      </c>
      <c r="C20" s="102">
        <v>4.583958623730635E-2</v>
      </c>
      <c r="D20" s="102">
        <v>3.9880183216800293E-2</v>
      </c>
      <c r="E20" s="102">
        <v>3.3553652610945825E-2</v>
      </c>
      <c r="F20" s="102">
        <v>3.3186525025597408E-2</v>
      </c>
      <c r="G20" s="102">
        <v>4.2762993670886075E-2</v>
      </c>
      <c r="H20" s="102">
        <v>9.5846980369371754E-2</v>
      </c>
      <c r="I20" s="102">
        <v>0.42850288045073009</v>
      </c>
      <c r="J20" s="102">
        <v>0.15159474493316641</v>
      </c>
      <c r="K20" s="102">
        <v>7.2882803208213845E-2</v>
      </c>
      <c r="L20" s="102">
        <v>0.10997427111984283</v>
      </c>
      <c r="M20" s="102">
        <v>0.10036035948167384</v>
      </c>
      <c r="N20" s="102">
        <v>9.2564359598853868E-2</v>
      </c>
      <c r="O20" s="102">
        <v>9.2881774133390896E-2</v>
      </c>
      <c r="P20" s="102">
        <v>7.5777703946615926E-2</v>
      </c>
      <c r="Q20" s="102">
        <v>9.3198171437037541E-2</v>
      </c>
      <c r="R20" s="102">
        <v>8.5102857874563995E-2</v>
      </c>
      <c r="S20" s="102">
        <v>0.13052371952420058</v>
      </c>
      <c r="T20" s="102">
        <v>0.1224958580037665</v>
      </c>
      <c r="U20" s="102">
        <v>9.5757759191176461E-2</v>
      </c>
      <c r="V20" s="102">
        <v>8.639852669562921E-2</v>
      </c>
      <c r="W20" s="102">
        <v>0.12195470721288744</v>
      </c>
      <c r="DA20" s="175" t="s">
        <v>204</v>
      </c>
    </row>
    <row r="21" spans="1:105" ht="11.45" customHeight="1" x14ac:dyDescent="0.25">
      <c r="A21" s="85" t="s">
        <v>174</v>
      </c>
      <c r="B21" s="86">
        <v>6.049636679601178E-2</v>
      </c>
      <c r="C21" s="86">
        <v>6.3521185135812369E-2</v>
      </c>
      <c r="D21" s="86">
        <v>6.9570821815413547E-2</v>
      </c>
      <c r="E21" s="86">
        <v>8.4694913514416492E-2</v>
      </c>
      <c r="F21" s="86">
        <v>9.3769368533818259E-2</v>
      </c>
      <c r="G21" s="86">
        <v>8.6086999999999997E-2</v>
      </c>
      <c r="H21" s="86">
        <v>6.327878798986715E-2</v>
      </c>
      <c r="I21" s="86">
        <v>4.8934177228676566E-2</v>
      </c>
      <c r="J21" s="86">
        <v>3.5069460175509701E-2</v>
      </c>
      <c r="K21" s="86">
        <v>1.7957762907246592E-2</v>
      </c>
      <c r="L21" s="86">
        <v>1.1142509803921568E-2</v>
      </c>
      <c r="M21" s="86">
        <v>1.0976636998872117E-2</v>
      </c>
      <c r="N21" s="86">
        <v>1.1268860465116279E-2</v>
      </c>
      <c r="O21" s="86">
        <v>1.1714190344662857E-2</v>
      </c>
      <c r="P21" s="86">
        <v>9.4633728521571203E-3</v>
      </c>
      <c r="Q21" s="86">
        <v>4.7971250956830979E-3</v>
      </c>
      <c r="R21" s="86">
        <v>3.9557835774339488E-3</v>
      </c>
      <c r="S21" s="86">
        <v>9.1351760448000006E-3</v>
      </c>
      <c r="T21" s="86">
        <v>1.047375E-2</v>
      </c>
      <c r="U21" s="86">
        <v>1.0300393129770992E-2</v>
      </c>
      <c r="V21" s="86">
        <v>9.5848025544509365E-3</v>
      </c>
      <c r="W21" s="86">
        <v>1.3179402483016401E-2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14465</v>
      </c>
      <c r="C23" s="54">
        <f t="shared" si="15"/>
        <v>15658</v>
      </c>
      <c r="D23" s="54">
        <f t="shared" ref="D23:V23" si="16">SUM(D24,D28)</f>
        <v>16859</v>
      </c>
      <c r="E23" s="54">
        <f t="shared" si="16"/>
        <v>15070</v>
      </c>
      <c r="F23" s="54">
        <f t="shared" si="16"/>
        <v>11491</v>
      </c>
      <c r="G23" s="54">
        <f t="shared" si="16"/>
        <v>12962</v>
      </c>
      <c r="H23" s="54">
        <f t="shared" si="16"/>
        <v>13465</v>
      </c>
      <c r="I23" s="54">
        <f t="shared" si="16"/>
        <v>15405</v>
      </c>
      <c r="J23" s="54">
        <f t="shared" si="16"/>
        <v>16512</v>
      </c>
      <c r="K23" s="54">
        <f t="shared" si="16"/>
        <v>15056</v>
      </c>
      <c r="L23" s="54">
        <f t="shared" si="16"/>
        <v>13408</v>
      </c>
      <c r="M23" s="54">
        <f t="shared" si="16"/>
        <v>12838</v>
      </c>
      <c r="N23" s="54">
        <f t="shared" si="16"/>
        <v>11297</v>
      </c>
      <c r="O23" s="54">
        <f t="shared" si="16"/>
        <v>10697</v>
      </c>
      <c r="P23" s="54">
        <f t="shared" si="16"/>
        <v>10225</v>
      </c>
      <c r="Q23" s="54">
        <f t="shared" si="16"/>
        <v>10766</v>
      </c>
      <c r="R23" s="54">
        <f t="shared" si="16"/>
        <v>10584</v>
      </c>
      <c r="S23" s="54">
        <f t="shared" si="16"/>
        <v>12069</v>
      </c>
      <c r="T23" s="54">
        <f t="shared" si="16"/>
        <v>12503</v>
      </c>
      <c r="U23" s="54">
        <f t="shared" si="16"/>
        <v>10656</v>
      </c>
      <c r="V23" s="54">
        <f t="shared" si="16"/>
        <v>2165</v>
      </c>
      <c r="W23" s="54">
        <f t="shared" ref="W23" si="17">SUM(W24,W28)</f>
        <v>2842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14329</v>
      </c>
      <c r="C24" s="11">
        <f t="shared" si="18"/>
        <v>15538</v>
      </c>
      <c r="D24" s="11">
        <f t="shared" ref="D24:V24" si="19">SUM(D25:D27)</f>
        <v>16750</v>
      </c>
      <c r="E24" s="11">
        <f t="shared" si="19"/>
        <v>14970</v>
      </c>
      <c r="F24" s="11">
        <f t="shared" si="19"/>
        <v>11389</v>
      </c>
      <c r="G24" s="11">
        <f t="shared" si="19"/>
        <v>12843</v>
      </c>
      <c r="H24" s="11">
        <f t="shared" si="19"/>
        <v>13238</v>
      </c>
      <c r="I24" s="11">
        <f t="shared" si="19"/>
        <v>14602</v>
      </c>
      <c r="J24" s="11">
        <f t="shared" si="19"/>
        <v>16230</v>
      </c>
      <c r="K24" s="11">
        <f t="shared" si="19"/>
        <v>14924</v>
      </c>
      <c r="L24" s="11">
        <f t="shared" si="19"/>
        <v>13220</v>
      </c>
      <c r="M24" s="11">
        <f t="shared" si="19"/>
        <v>12644</v>
      </c>
      <c r="N24" s="11">
        <f t="shared" si="19"/>
        <v>11090</v>
      </c>
      <c r="O24" s="11">
        <f t="shared" si="19"/>
        <v>10507</v>
      </c>
      <c r="P24" s="11">
        <f t="shared" si="19"/>
        <v>10071</v>
      </c>
      <c r="Q24" s="11">
        <f t="shared" si="19"/>
        <v>10595</v>
      </c>
      <c r="R24" s="11">
        <f t="shared" si="19"/>
        <v>10425</v>
      </c>
      <c r="S24" s="11">
        <f t="shared" si="19"/>
        <v>11825</v>
      </c>
      <c r="T24" s="11">
        <f t="shared" si="19"/>
        <v>12280</v>
      </c>
      <c r="U24" s="11">
        <f t="shared" si="19"/>
        <v>10465</v>
      </c>
      <c r="V24" s="11">
        <f t="shared" si="19"/>
        <v>1974</v>
      </c>
      <c r="W24" s="11">
        <f t="shared" ref="W24" si="20">SUM(W25:W27)</f>
        <v>2615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9855</v>
      </c>
      <c r="C26" s="84">
        <v>10686</v>
      </c>
      <c r="D26" s="84">
        <v>11520</v>
      </c>
      <c r="E26" s="84">
        <v>10296</v>
      </c>
      <c r="F26" s="84">
        <v>7833</v>
      </c>
      <c r="G26" s="84">
        <v>9171</v>
      </c>
      <c r="H26" s="84">
        <v>9442</v>
      </c>
      <c r="I26" s="84">
        <v>10029</v>
      </c>
      <c r="J26" s="84">
        <v>10965</v>
      </c>
      <c r="K26" s="84">
        <v>9512</v>
      </c>
      <c r="L26" s="84">
        <v>7897</v>
      </c>
      <c r="M26" s="84">
        <v>7714</v>
      </c>
      <c r="N26" s="84">
        <v>6529</v>
      </c>
      <c r="O26" s="84">
        <v>5872</v>
      </c>
      <c r="P26" s="84">
        <v>5435</v>
      </c>
      <c r="Q26" s="84">
        <v>5637</v>
      </c>
      <c r="R26" s="84">
        <v>6020</v>
      </c>
      <c r="S26" s="84">
        <v>6632</v>
      </c>
      <c r="T26" s="84">
        <v>7232</v>
      </c>
      <c r="U26" s="84">
        <v>5932</v>
      </c>
      <c r="V26" s="84">
        <v>1226</v>
      </c>
      <c r="W26" s="84">
        <v>1635</v>
      </c>
      <c r="DA26" s="171" t="s">
        <v>209</v>
      </c>
    </row>
    <row r="27" spans="1:105" ht="11.45" customHeight="1" x14ac:dyDescent="0.25">
      <c r="A27" s="83" t="s">
        <v>174</v>
      </c>
      <c r="B27" s="84">
        <v>4474</v>
      </c>
      <c r="C27" s="84">
        <v>4852</v>
      </c>
      <c r="D27" s="84">
        <v>5230</v>
      </c>
      <c r="E27" s="84">
        <v>4674</v>
      </c>
      <c r="F27" s="84">
        <v>3556</v>
      </c>
      <c r="G27" s="84">
        <v>3672</v>
      </c>
      <c r="H27" s="84">
        <v>3796</v>
      </c>
      <c r="I27" s="84">
        <v>4573</v>
      </c>
      <c r="J27" s="84">
        <v>5265</v>
      </c>
      <c r="K27" s="84">
        <v>5412</v>
      </c>
      <c r="L27" s="84">
        <v>5323</v>
      </c>
      <c r="M27" s="84">
        <v>4930</v>
      </c>
      <c r="N27" s="84">
        <v>4561</v>
      </c>
      <c r="O27" s="84">
        <v>4635</v>
      </c>
      <c r="P27" s="84">
        <v>4636</v>
      </c>
      <c r="Q27" s="84">
        <v>4958</v>
      </c>
      <c r="R27" s="84">
        <v>4405</v>
      </c>
      <c r="S27" s="84">
        <v>5193</v>
      </c>
      <c r="T27" s="84">
        <v>5048</v>
      </c>
      <c r="U27" s="84">
        <v>4533</v>
      </c>
      <c r="V27" s="84">
        <v>748</v>
      </c>
      <c r="W27" s="84">
        <v>980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136</v>
      </c>
      <c r="C28" s="13">
        <f t="shared" si="21"/>
        <v>120</v>
      </c>
      <c r="D28" s="13">
        <f t="shared" ref="D28:V28" si="22">SUM(D29:D31)</f>
        <v>109</v>
      </c>
      <c r="E28" s="13">
        <f t="shared" si="22"/>
        <v>100</v>
      </c>
      <c r="F28" s="13">
        <f t="shared" si="22"/>
        <v>102</v>
      </c>
      <c r="G28" s="13">
        <f t="shared" si="22"/>
        <v>119</v>
      </c>
      <c r="H28" s="13">
        <f t="shared" si="22"/>
        <v>227</v>
      </c>
      <c r="I28" s="13">
        <f t="shared" si="22"/>
        <v>803</v>
      </c>
      <c r="J28" s="13">
        <f t="shared" si="22"/>
        <v>282</v>
      </c>
      <c r="K28" s="13">
        <f t="shared" si="22"/>
        <v>132</v>
      </c>
      <c r="L28" s="13">
        <f t="shared" si="22"/>
        <v>188</v>
      </c>
      <c r="M28" s="13">
        <f t="shared" si="22"/>
        <v>194</v>
      </c>
      <c r="N28" s="13">
        <f t="shared" si="22"/>
        <v>207</v>
      </c>
      <c r="O28" s="13">
        <f t="shared" si="22"/>
        <v>190</v>
      </c>
      <c r="P28" s="13">
        <f t="shared" si="22"/>
        <v>154</v>
      </c>
      <c r="Q28" s="13">
        <f t="shared" si="22"/>
        <v>171</v>
      </c>
      <c r="R28" s="13">
        <f t="shared" si="22"/>
        <v>159</v>
      </c>
      <c r="S28" s="13">
        <f t="shared" si="22"/>
        <v>244</v>
      </c>
      <c r="T28" s="13">
        <f t="shared" si="22"/>
        <v>223</v>
      </c>
      <c r="U28" s="13">
        <f t="shared" si="22"/>
        <v>191</v>
      </c>
      <c r="V28" s="13">
        <f t="shared" si="22"/>
        <v>191</v>
      </c>
      <c r="W28" s="13">
        <f t="shared" ref="W28" si="23">SUM(W29:W31)</f>
        <v>227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116</v>
      </c>
      <c r="C30" s="102">
        <v>99</v>
      </c>
      <c r="D30" s="102">
        <v>86</v>
      </c>
      <c r="E30" s="102">
        <v>72</v>
      </c>
      <c r="F30" s="102">
        <v>71</v>
      </c>
      <c r="G30" s="102">
        <v>91</v>
      </c>
      <c r="H30" s="102">
        <v>202</v>
      </c>
      <c r="I30" s="102">
        <v>779</v>
      </c>
      <c r="J30" s="102">
        <v>259</v>
      </c>
      <c r="K30" s="102">
        <v>115</v>
      </c>
      <c r="L30" s="102">
        <v>168</v>
      </c>
      <c r="M30" s="102">
        <v>172</v>
      </c>
      <c r="N30" s="102">
        <v>186</v>
      </c>
      <c r="O30" s="102">
        <v>170</v>
      </c>
      <c r="P30" s="102">
        <v>136</v>
      </c>
      <c r="Q30" s="102">
        <v>161</v>
      </c>
      <c r="R30" s="102">
        <v>149</v>
      </c>
      <c r="S30" s="102">
        <v>223</v>
      </c>
      <c r="T30" s="102">
        <v>203</v>
      </c>
      <c r="U30" s="102">
        <v>172</v>
      </c>
      <c r="V30" s="102">
        <v>174</v>
      </c>
      <c r="W30" s="102">
        <v>208</v>
      </c>
      <c r="DA30" s="175" t="s">
        <v>213</v>
      </c>
    </row>
    <row r="31" spans="1:105" ht="11.45" customHeight="1" x14ac:dyDescent="0.25">
      <c r="A31" s="85" t="s">
        <v>174</v>
      </c>
      <c r="B31" s="86">
        <v>20</v>
      </c>
      <c r="C31" s="86">
        <v>21</v>
      </c>
      <c r="D31" s="86">
        <v>23</v>
      </c>
      <c r="E31" s="86">
        <v>28</v>
      </c>
      <c r="F31" s="86">
        <v>31</v>
      </c>
      <c r="G31" s="86">
        <v>28</v>
      </c>
      <c r="H31" s="86">
        <v>25</v>
      </c>
      <c r="I31" s="86">
        <v>24</v>
      </c>
      <c r="J31" s="86">
        <v>23</v>
      </c>
      <c r="K31" s="86">
        <v>17</v>
      </c>
      <c r="L31" s="86">
        <v>20</v>
      </c>
      <c r="M31" s="86">
        <v>22</v>
      </c>
      <c r="N31" s="86">
        <v>21</v>
      </c>
      <c r="O31" s="86">
        <v>20</v>
      </c>
      <c r="P31" s="86">
        <v>18</v>
      </c>
      <c r="Q31" s="86">
        <v>10</v>
      </c>
      <c r="R31" s="86">
        <v>10</v>
      </c>
      <c r="S31" s="86">
        <v>21</v>
      </c>
      <c r="T31" s="86">
        <v>20</v>
      </c>
      <c r="U31" s="86">
        <v>19</v>
      </c>
      <c r="V31" s="86">
        <v>17</v>
      </c>
      <c r="W31" s="86">
        <v>19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636493</v>
      </c>
      <c r="C34" s="11">
        <f t="shared" si="24"/>
        <v>694908</v>
      </c>
      <c r="D34" s="11">
        <f t="shared" ref="D34:V34" si="25">SUM(D35:D37)</f>
        <v>755317</v>
      </c>
      <c r="E34" s="11">
        <f t="shared" si="25"/>
        <v>679470</v>
      </c>
      <c r="F34" s="11">
        <f t="shared" si="25"/>
        <v>523341</v>
      </c>
      <c r="G34" s="11">
        <f t="shared" si="25"/>
        <v>607910</v>
      </c>
      <c r="H34" s="11">
        <f t="shared" si="25"/>
        <v>664801</v>
      </c>
      <c r="I34" s="11">
        <f t="shared" si="25"/>
        <v>752292</v>
      </c>
      <c r="J34" s="11">
        <f t="shared" si="25"/>
        <v>822526</v>
      </c>
      <c r="K34" s="11">
        <f t="shared" si="25"/>
        <v>705888</v>
      </c>
      <c r="L34" s="11">
        <f t="shared" si="25"/>
        <v>689102</v>
      </c>
      <c r="M34" s="11">
        <f t="shared" si="25"/>
        <v>678578</v>
      </c>
      <c r="N34" s="11">
        <f t="shared" si="25"/>
        <v>582636</v>
      </c>
      <c r="O34" s="11">
        <f t="shared" si="25"/>
        <v>631360</v>
      </c>
      <c r="P34" s="11">
        <f t="shared" si="25"/>
        <v>654522</v>
      </c>
      <c r="Q34" s="11">
        <f t="shared" si="25"/>
        <v>719560</v>
      </c>
      <c r="R34" s="11">
        <f t="shared" si="25"/>
        <v>703902</v>
      </c>
      <c r="S34" s="11">
        <f t="shared" si="25"/>
        <v>842057</v>
      </c>
      <c r="T34" s="11">
        <f t="shared" si="25"/>
        <v>906041</v>
      </c>
      <c r="U34" s="11">
        <f t="shared" si="25"/>
        <v>858068</v>
      </c>
      <c r="V34" s="11">
        <f t="shared" si="25"/>
        <v>144323</v>
      </c>
      <c r="W34" s="11">
        <f t="shared" ref="W34" si="26">SUM(W35:W37)</f>
        <v>206447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381379</v>
      </c>
      <c r="C36" s="84">
        <v>418323</v>
      </c>
      <c r="D36" s="84">
        <v>457516</v>
      </c>
      <c r="E36" s="84">
        <v>413475</v>
      </c>
      <c r="F36" s="84">
        <v>320470</v>
      </c>
      <c r="G36" s="84">
        <v>406316</v>
      </c>
      <c r="H36" s="84">
        <v>444236</v>
      </c>
      <c r="I36" s="84">
        <v>478903</v>
      </c>
      <c r="J36" s="84">
        <v>511535</v>
      </c>
      <c r="K36" s="84">
        <v>409603</v>
      </c>
      <c r="L36" s="84">
        <v>387482</v>
      </c>
      <c r="M36" s="84">
        <v>404043</v>
      </c>
      <c r="N36" s="84">
        <v>325918</v>
      </c>
      <c r="O36" s="84">
        <v>353526</v>
      </c>
      <c r="P36" s="84">
        <v>370789</v>
      </c>
      <c r="Q36" s="84">
        <v>407906</v>
      </c>
      <c r="R36" s="84">
        <v>429409</v>
      </c>
      <c r="S36" s="84">
        <v>502562</v>
      </c>
      <c r="T36" s="84">
        <v>558040</v>
      </c>
      <c r="U36" s="84">
        <v>507971</v>
      </c>
      <c r="V36" s="84">
        <v>95229</v>
      </c>
      <c r="W36" s="84">
        <v>134435</v>
      </c>
      <c r="DA36" s="171" t="s">
        <v>217</v>
      </c>
    </row>
    <row r="37" spans="1:105" ht="11.45" customHeight="1" x14ac:dyDescent="0.25">
      <c r="A37" s="83" t="s">
        <v>174</v>
      </c>
      <c r="B37" s="84">
        <v>255114</v>
      </c>
      <c r="C37" s="84">
        <v>276585</v>
      </c>
      <c r="D37" s="84">
        <v>297801</v>
      </c>
      <c r="E37" s="84">
        <v>265995</v>
      </c>
      <c r="F37" s="84">
        <v>202871</v>
      </c>
      <c r="G37" s="84">
        <v>201594</v>
      </c>
      <c r="H37" s="84">
        <v>220565</v>
      </c>
      <c r="I37" s="84">
        <v>273389</v>
      </c>
      <c r="J37" s="84">
        <v>310991</v>
      </c>
      <c r="K37" s="84">
        <v>296285</v>
      </c>
      <c r="L37" s="84">
        <v>301620</v>
      </c>
      <c r="M37" s="84">
        <v>274535</v>
      </c>
      <c r="N37" s="84">
        <v>256718</v>
      </c>
      <c r="O37" s="84">
        <v>277834</v>
      </c>
      <c r="P37" s="84">
        <v>283733</v>
      </c>
      <c r="Q37" s="84">
        <v>311654</v>
      </c>
      <c r="R37" s="84">
        <v>274493</v>
      </c>
      <c r="S37" s="84">
        <v>339495</v>
      </c>
      <c r="T37" s="84">
        <v>348001</v>
      </c>
      <c r="U37" s="84">
        <v>350097</v>
      </c>
      <c r="V37" s="84">
        <v>49094</v>
      </c>
      <c r="W37" s="84">
        <v>72012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2907.4072298856709</v>
      </c>
      <c r="C38" s="13">
        <f t="shared" si="27"/>
        <v>2739.487930828257</v>
      </c>
      <c r="D38" s="13">
        <f t="shared" ref="D38:V38" si="28">SUM(D39:D41)</f>
        <v>2617.8690690973581</v>
      </c>
      <c r="E38" s="13">
        <f t="shared" si="28"/>
        <v>2600.2484085848982</v>
      </c>
      <c r="F38" s="13">
        <f t="shared" si="28"/>
        <v>2627.9071827489479</v>
      </c>
      <c r="G38" s="13">
        <f t="shared" si="28"/>
        <v>2619.5197602427129</v>
      </c>
      <c r="H38" s="13">
        <f t="shared" si="28"/>
        <v>3954.12100986937</v>
      </c>
      <c r="I38" s="13">
        <f t="shared" si="28"/>
        <v>11800.128123062375</v>
      </c>
      <c r="J38" s="13">
        <f t="shared" si="28"/>
        <v>4570.0627309392648</v>
      </c>
      <c r="K38" s="13">
        <f t="shared" si="28"/>
        <v>2415.3567264680282</v>
      </c>
      <c r="L38" s="13">
        <f t="shared" si="28"/>
        <v>3473.3099543091366</v>
      </c>
      <c r="M38" s="13">
        <f t="shared" si="28"/>
        <v>3875.6695157490722</v>
      </c>
      <c r="N38" s="13">
        <f t="shared" si="28"/>
        <v>4295.5855101614725</v>
      </c>
      <c r="O38" s="13">
        <f t="shared" si="28"/>
        <v>3999.0715333166304</v>
      </c>
      <c r="P38" s="13">
        <f t="shared" si="28"/>
        <v>3665.2328995561693</v>
      </c>
      <c r="Q38" s="13">
        <f t="shared" si="28"/>
        <v>3585.6642465024452</v>
      </c>
      <c r="R38" s="13">
        <f t="shared" si="28"/>
        <v>3795.5755573672823</v>
      </c>
      <c r="S38" s="13">
        <f t="shared" si="28"/>
        <v>5795.9687164584157</v>
      </c>
      <c r="T38" s="13">
        <f t="shared" si="28"/>
        <v>5321.5762066197312</v>
      </c>
      <c r="U38" s="13">
        <f t="shared" si="28"/>
        <v>4776.1293349947664</v>
      </c>
      <c r="V38" s="13">
        <f t="shared" si="28"/>
        <v>3902.2744403280471</v>
      </c>
      <c r="W38" s="13">
        <f t="shared" ref="W38" si="29">SUM(W39:W41)</f>
        <v>4683.2305370175936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1864.8247530587921</v>
      </c>
      <c r="C40" s="102">
        <v>1608.8727551485586</v>
      </c>
      <c r="D40" s="102">
        <v>1401.4469392042738</v>
      </c>
      <c r="E40" s="102">
        <v>1236.0603794760177</v>
      </c>
      <c r="F40" s="102">
        <v>1138.0649264174795</v>
      </c>
      <c r="G40" s="102">
        <v>1381.4729996430269</v>
      </c>
      <c r="H40" s="102">
        <v>2825.0252556667479</v>
      </c>
      <c r="I40" s="102">
        <v>10715.639770975995</v>
      </c>
      <c r="J40" s="102">
        <v>3537.0658618405005</v>
      </c>
      <c r="K40" s="102">
        <v>1567.0774339384709</v>
      </c>
      <c r="L40" s="102">
        <v>2422.6921925762845</v>
      </c>
      <c r="M40" s="102">
        <v>2664.2290084006581</v>
      </c>
      <c r="N40" s="102">
        <v>3061.8989135578149</v>
      </c>
      <c r="O40" s="102">
        <v>2812.1473397107484</v>
      </c>
      <c r="P40" s="102">
        <v>2474.8944093630439</v>
      </c>
      <c r="Q40" s="102">
        <v>2926.2982878460743</v>
      </c>
      <c r="R40" s="102">
        <v>3065.4532795798491</v>
      </c>
      <c r="S40" s="102">
        <v>4265.5649794068713</v>
      </c>
      <c r="T40" s="102">
        <v>3859.2379617384422</v>
      </c>
      <c r="U40" s="102">
        <v>3352.7342272228466</v>
      </c>
      <c r="V40" s="102">
        <v>3048.3346080609226</v>
      </c>
      <c r="W40" s="102">
        <v>3671.2683825767308</v>
      </c>
      <c r="DA40" s="175" t="s">
        <v>221</v>
      </c>
    </row>
    <row r="41" spans="1:105" ht="11.45" customHeight="1" x14ac:dyDescent="0.25">
      <c r="A41" s="85" t="s">
        <v>174</v>
      </c>
      <c r="B41" s="86">
        <v>1042.582476826879</v>
      </c>
      <c r="C41" s="86">
        <v>1130.6151756796983</v>
      </c>
      <c r="D41" s="86">
        <v>1216.4221298930845</v>
      </c>
      <c r="E41" s="86">
        <v>1364.1880291088808</v>
      </c>
      <c r="F41" s="86">
        <v>1489.8422563314682</v>
      </c>
      <c r="G41" s="86">
        <v>1238.046760599686</v>
      </c>
      <c r="H41" s="86">
        <v>1129.0957542026222</v>
      </c>
      <c r="I41" s="86">
        <v>1084.4883520863812</v>
      </c>
      <c r="J41" s="86">
        <v>1032.9968690987646</v>
      </c>
      <c r="K41" s="86">
        <v>848.27929252955721</v>
      </c>
      <c r="L41" s="86">
        <v>1050.6177617328522</v>
      </c>
      <c r="M41" s="86">
        <v>1211.4405073484138</v>
      </c>
      <c r="N41" s="86">
        <v>1233.6865966036578</v>
      </c>
      <c r="O41" s="86">
        <v>1186.924193605882</v>
      </c>
      <c r="P41" s="86">
        <v>1190.3384901931254</v>
      </c>
      <c r="Q41" s="86">
        <v>659.36595865637071</v>
      </c>
      <c r="R41" s="86">
        <v>730.12227778743318</v>
      </c>
      <c r="S41" s="86">
        <v>1530.4037370515439</v>
      </c>
      <c r="T41" s="86">
        <v>1462.3382448812893</v>
      </c>
      <c r="U41" s="86">
        <v>1423.3951077719203</v>
      </c>
      <c r="V41" s="86">
        <v>853.93983226712442</v>
      </c>
      <c r="W41" s="86">
        <v>1011.9621544408627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10.446507619549271</v>
      </c>
      <c r="C43" s="54">
        <f t="shared" si="30"/>
        <v>11.310713761482106</v>
      </c>
      <c r="D43" s="54">
        <f t="shared" ref="D43:V43" si="31">SUM(D44,D48)</f>
        <v>12.178906178738318</v>
      </c>
      <c r="E43" s="54">
        <f t="shared" si="31"/>
        <v>11.147900640954928</v>
      </c>
      <c r="F43" s="54">
        <f t="shared" si="31"/>
        <v>10.114245001295433</v>
      </c>
      <c r="G43" s="54">
        <f t="shared" si="31"/>
        <v>9.5875856259111814</v>
      </c>
      <c r="H43" s="54">
        <f t="shared" si="31"/>
        <v>9.7804930141519844</v>
      </c>
      <c r="I43" s="54">
        <f t="shared" si="31"/>
        <v>11.507075436691075</v>
      </c>
      <c r="J43" s="54">
        <f t="shared" si="31"/>
        <v>12.656976794357043</v>
      </c>
      <c r="K43" s="54">
        <f t="shared" si="31"/>
        <v>12.252335157978738</v>
      </c>
      <c r="L43" s="54">
        <f t="shared" si="31"/>
        <v>11.509887447410073</v>
      </c>
      <c r="M43" s="54">
        <f t="shared" si="31"/>
        <v>10.567189055678055</v>
      </c>
      <c r="N43" s="54">
        <f t="shared" si="31"/>
        <v>9.8556510189840729</v>
      </c>
      <c r="O43" s="54">
        <f t="shared" si="31"/>
        <v>9.4221867053421899</v>
      </c>
      <c r="P43" s="54">
        <f t="shared" si="31"/>
        <v>8.6545417424896502</v>
      </c>
      <c r="Q43" s="54">
        <f t="shared" si="31"/>
        <v>8.752863275560065</v>
      </c>
      <c r="R43" s="54">
        <f t="shared" si="31"/>
        <v>8.5729547698982245</v>
      </c>
      <c r="S43" s="54">
        <f t="shared" si="31"/>
        <v>9.362961887273185</v>
      </c>
      <c r="T43" s="54">
        <f t="shared" si="31"/>
        <v>9.7652541024012844</v>
      </c>
      <c r="U43" s="54">
        <f t="shared" si="31"/>
        <v>8.7783133632881896</v>
      </c>
      <c r="V43" s="54">
        <f t="shared" si="31"/>
        <v>8.0829301037342383</v>
      </c>
      <c r="W43" s="54">
        <f t="shared" ref="W43" si="32">SUM(W44,W48)</f>
        <v>7.3919205976798494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10.321129443087504</v>
      </c>
      <c r="C44" s="11">
        <f t="shared" si="33"/>
        <v>11.19202544945014</v>
      </c>
      <c r="D44" s="11">
        <f t="shared" ref="D44:V44" si="34">SUM(D45:D47)</f>
        <v>12.064958413397363</v>
      </c>
      <c r="E44" s="11">
        <f t="shared" si="34"/>
        <v>11.032845469088612</v>
      </c>
      <c r="F44" s="11">
        <f t="shared" si="34"/>
        <v>10.000732524779862</v>
      </c>
      <c r="G44" s="11">
        <f t="shared" si="34"/>
        <v>9.462786180717</v>
      </c>
      <c r="H44" s="11">
        <f t="shared" si="34"/>
        <v>9.5763407832135226</v>
      </c>
      <c r="I44" s="11">
        <f t="shared" si="34"/>
        <v>10.852945257659016</v>
      </c>
      <c r="J44" s="11">
        <f t="shared" si="34"/>
        <v>12.01538443297116</v>
      </c>
      <c r="K44" s="11">
        <f t="shared" si="34"/>
        <v>11.623280614239032</v>
      </c>
      <c r="L44" s="11">
        <f t="shared" si="34"/>
        <v>10.893370721316543</v>
      </c>
      <c r="M44" s="11">
        <f t="shared" si="34"/>
        <v>9.9632101472307042</v>
      </c>
      <c r="N44" s="11">
        <f t="shared" si="34"/>
        <v>9.2637396500979285</v>
      </c>
      <c r="O44" s="11">
        <f t="shared" si="34"/>
        <v>8.8417629798944049</v>
      </c>
      <c r="P44" s="11">
        <f t="shared" si="34"/>
        <v>8.0856196411385728</v>
      </c>
      <c r="Q44" s="11">
        <f t="shared" si="34"/>
        <v>8.1954352233250738</v>
      </c>
      <c r="R44" s="11">
        <f t="shared" si="34"/>
        <v>8.0280645353094098</v>
      </c>
      <c r="S44" s="11">
        <f t="shared" si="34"/>
        <v>8.8212693718991595</v>
      </c>
      <c r="T44" s="11">
        <f t="shared" si="34"/>
        <v>9.2311824065130139</v>
      </c>
      <c r="U44" s="11">
        <f t="shared" si="34"/>
        <v>8.2528672033491137</v>
      </c>
      <c r="V44" s="11">
        <f t="shared" si="34"/>
        <v>7.5647919071432801</v>
      </c>
      <c r="W44" s="11">
        <f t="shared" ref="W44" si="35">SUM(W45:W47)</f>
        <v>6.8767166109374465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6.1669975953623419</v>
      </c>
      <c r="C46" s="84">
        <v>6.6869186713628608</v>
      </c>
      <c r="D46" s="84">
        <v>7.2088767049479658</v>
      </c>
      <c r="E46" s="84">
        <v>6.5921769454117314</v>
      </c>
      <c r="F46" s="84">
        <v>5.9754771858754978</v>
      </c>
      <c r="G46" s="84">
        <v>5.8529440265851518</v>
      </c>
      <c r="H46" s="84">
        <v>6.0615259683987084</v>
      </c>
      <c r="I46" s="84">
        <v>6.6304152484254057</v>
      </c>
      <c r="J46" s="84">
        <v>7.2203024657580457</v>
      </c>
      <c r="K46" s="84">
        <v>6.6444397678728873</v>
      </c>
      <c r="L46" s="84">
        <v>6.0277400083366528</v>
      </c>
      <c r="M46" s="84">
        <v>5.4110402488004183</v>
      </c>
      <c r="N46" s="84">
        <v>4.8096380875979277</v>
      </c>
      <c r="O46" s="84">
        <v>4.2842408560005998</v>
      </c>
      <c r="P46" s="84">
        <v>3.7284767839957165</v>
      </c>
      <c r="Q46" s="84">
        <v>3.7166637689438629</v>
      </c>
      <c r="R46" s="84">
        <v>3.9647062657007157</v>
      </c>
      <c r="S46" s="84">
        <v>4.4016949038140529</v>
      </c>
      <c r="T46" s="84">
        <v>4.8069930988881246</v>
      </c>
      <c r="U46" s="84">
        <v>4.1983054859966984</v>
      </c>
      <c r="V46" s="84">
        <v>3.7871723129725421</v>
      </c>
      <c r="W46" s="84">
        <v>3.3760391399483858</v>
      </c>
      <c r="DA46" s="171" t="s">
        <v>226</v>
      </c>
    </row>
    <row r="47" spans="1:105" ht="11.45" customHeight="1" x14ac:dyDescent="0.25">
      <c r="A47" s="83" t="s">
        <v>174</v>
      </c>
      <c r="B47" s="84">
        <v>4.1541318477251625</v>
      </c>
      <c r="C47" s="84">
        <v>4.5051067780872796</v>
      </c>
      <c r="D47" s="84">
        <v>4.8560817084493966</v>
      </c>
      <c r="E47" s="84">
        <v>4.4406685236768801</v>
      </c>
      <c r="F47" s="84">
        <v>4.0252553389043637</v>
      </c>
      <c r="G47" s="84">
        <v>3.6098421541318473</v>
      </c>
      <c r="H47" s="84">
        <v>3.5148148148148146</v>
      </c>
      <c r="I47" s="84">
        <v>4.2225300092336102</v>
      </c>
      <c r="J47" s="84">
        <v>4.7950819672131146</v>
      </c>
      <c r="K47" s="84">
        <v>4.9788408463661451</v>
      </c>
      <c r="L47" s="84">
        <v>4.8656307129798906</v>
      </c>
      <c r="M47" s="84">
        <v>4.5521698984302859</v>
      </c>
      <c r="N47" s="84">
        <v>4.4541015625</v>
      </c>
      <c r="O47" s="84">
        <v>4.5575221238938051</v>
      </c>
      <c r="P47" s="84">
        <v>4.3571428571428568</v>
      </c>
      <c r="Q47" s="84">
        <v>4.47877145438121</v>
      </c>
      <c r="R47" s="84">
        <v>4.0633582696086936</v>
      </c>
      <c r="S47" s="84">
        <v>4.4195744680851066</v>
      </c>
      <c r="T47" s="84">
        <v>4.4241893076248902</v>
      </c>
      <c r="U47" s="84">
        <v>4.0545617173524153</v>
      </c>
      <c r="V47" s="84">
        <v>3.777619594170738</v>
      </c>
      <c r="W47" s="84">
        <v>3.5006774709890607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0.1253781764617678</v>
      </c>
      <c r="C48" s="13">
        <f t="shared" si="36"/>
        <v>0.11868831203196528</v>
      </c>
      <c r="D48" s="13">
        <f t="shared" ref="D48:V48" si="37">SUM(D49:D51)</f>
        <v>0.1139477653409542</v>
      </c>
      <c r="E48" s="13">
        <f t="shared" si="37"/>
        <v>0.11505517186631738</v>
      </c>
      <c r="F48" s="13">
        <f t="shared" si="37"/>
        <v>0.11351247651557249</v>
      </c>
      <c r="G48" s="13">
        <f t="shared" si="37"/>
        <v>0.12479944519418204</v>
      </c>
      <c r="H48" s="13">
        <f t="shared" si="37"/>
        <v>0.20415223093846249</v>
      </c>
      <c r="I48" s="13">
        <f t="shared" si="37"/>
        <v>0.65413017903205861</v>
      </c>
      <c r="J48" s="13">
        <f t="shared" si="37"/>
        <v>0.64159236138588183</v>
      </c>
      <c r="K48" s="13">
        <f t="shared" si="37"/>
        <v>0.62905454373970504</v>
      </c>
      <c r="L48" s="13">
        <f t="shared" si="37"/>
        <v>0.61651672609352826</v>
      </c>
      <c r="M48" s="13">
        <f t="shared" si="37"/>
        <v>0.60397890844735147</v>
      </c>
      <c r="N48" s="13">
        <f t="shared" si="37"/>
        <v>0.59191136888614437</v>
      </c>
      <c r="O48" s="13">
        <f t="shared" si="37"/>
        <v>0.58042372544778442</v>
      </c>
      <c r="P48" s="13">
        <f t="shared" si="37"/>
        <v>0.5689221013510779</v>
      </c>
      <c r="Q48" s="13">
        <f t="shared" si="37"/>
        <v>0.55742805223499192</v>
      </c>
      <c r="R48" s="13">
        <f t="shared" si="37"/>
        <v>0.54489023458881514</v>
      </c>
      <c r="S48" s="13">
        <f t="shared" si="37"/>
        <v>0.54169251537402563</v>
      </c>
      <c r="T48" s="13">
        <f t="shared" si="37"/>
        <v>0.53407169588827008</v>
      </c>
      <c r="U48" s="13">
        <f t="shared" si="37"/>
        <v>0.52544615993907662</v>
      </c>
      <c r="V48" s="13">
        <f t="shared" si="37"/>
        <v>0.5181381965909575</v>
      </c>
      <c r="W48" s="13">
        <f t="shared" ref="W48" si="38">SUM(W49:W51)</f>
        <v>0.51520398674240298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8.6391821685939341E-2</v>
      </c>
      <c r="C50" s="102">
        <v>7.7752639517345401E-2</v>
      </c>
      <c r="D50" s="102">
        <v>6.9113457348751475E-2</v>
      </c>
      <c r="E50" s="102">
        <v>6.0474275180157536E-2</v>
      </c>
      <c r="F50" s="102">
        <v>5.3083626613038379E-2</v>
      </c>
      <c r="G50" s="102">
        <v>6.8269230769230776E-2</v>
      </c>
      <c r="H50" s="102">
        <v>0.15152065199109407</v>
      </c>
      <c r="I50" s="102">
        <v>0.60539723556227298</v>
      </c>
      <c r="J50" s="102">
        <v>0.59675805339367904</v>
      </c>
      <c r="K50" s="102">
        <v>0.5881188712250851</v>
      </c>
      <c r="L50" s="102">
        <v>0.57947968905649117</v>
      </c>
      <c r="M50" s="102">
        <v>0.57084050688789723</v>
      </c>
      <c r="N50" s="102">
        <v>0.56267160280427309</v>
      </c>
      <c r="O50" s="102">
        <v>0.55508259484349598</v>
      </c>
      <c r="P50" s="102">
        <v>0.54747960622437231</v>
      </c>
      <c r="Q50" s="102">
        <v>0.53988419258586906</v>
      </c>
      <c r="R50" s="102">
        <v>0.53124501041727512</v>
      </c>
      <c r="S50" s="102">
        <v>0.52470222411188971</v>
      </c>
      <c r="T50" s="102">
        <v>0.51710816747435995</v>
      </c>
      <c r="U50" s="102">
        <v>0.5091790366514054</v>
      </c>
      <c r="V50" s="102">
        <v>0.50341958187234281</v>
      </c>
      <c r="W50" s="102">
        <v>0.49766012709328011</v>
      </c>
      <c r="DA50" s="175" t="s">
        <v>230</v>
      </c>
    </row>
    <row r="51" spans="1:105" ht="11.45" customHeight="1" x14ac:dyDescent="0.25">
      <c r="A51" s="85" t="s">
        <v>174</v>
      </c>
      <c r="B51" s="86">
        <v>3.8986354775828458E-2</v>
      </c>
      <c r="C51" s="86">
        <v>4.0935672514619881E-2</v>
      </c>
      <c r="D51" s="86">
        <v>4.4834307992202727E-2</v>
      </c>
      <c r="E51" s="86">
        <v>5.4580896686159841E-2</v>
      </c>
      <c r="F51" s="86">
        <v>6.042884990253411E-2</v>
      </c>
      <c r="G51" s="86">
        <v>5.6530214424951264E-2</v>
      </c>
      <c r="H51" s="86">
        <v>5.2631578947368418E-2</v>
      </c>
      <c r="I51" s="86">
        <v>4.8732943469785572E-2</v>
      </c>
      <c r="J51" s="86">
        <v>4.4834307992202727E-2</v>
      </c>
      <c r="K51" s="86">
        <v>4.0935672514619881E-2</v>
      </c>
      <c r="L51" s="86">
        <v>3.7037037037037035E-2</v>
      </c>
      <c r="M51" s="86">
        <v>3.3138401559454189E-2</v>
      </c>
      <c r="N51" s="86">
        <v>2.9239766081871343E-2</v>
      </c>
      <c r="O51" s="86">
        <v>2.5341130604288498E-2</v>
      </c>
      <c r="P51" s="86">
        <v>2.1442495126705652E-2</v>
      </c>
      <c r="Q51" s="86">
        <v>1.7543859649122806E-2</v>
      </c>
      <c r="R51" s="86">
        <v>1.364522417153996E-2</v>
      </c>
      <c r="S51" s="86">
        <v>1.6990291262135922E-2</v>
      </c>
      <c r="T51" s="86">
        <v>1.6963528413910092E-2</v>
      </c>
      <c r="U51" s="86">
        <v>1.6267123287671232E-2</v>
      </c>
      <c r="V51" s="86">
        <v>1.4718614718614719E-2</v>
      </c>
      <c r="W51" s="86">
        <v>1.7543859649122806E-2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2.1301133620689656</v>
      </c>
      <c r="C53" s="54">
        <f t="shared" si="39"/>
        <v>1.2472773614994277</v>
      </c>
      <c r="D53" s="54">
        <f t="shared" ref="D53:V53" si="40">SUM(D54,D58)</f>
        <v>1.2512636368228047</v>
      </c>
      <c r="E53" s="54">
        <f t="shared" si="40"/>
        <v>1.1111111110957111E-2</v>
      </c>
      <c r="F53" s="54">
        <f t="shared" si="40"/>
        <v>7.2124756333742657E-3</v>
      </c>
      <c r="G53" s="54">
        <f t="shared" si="40"/>
        <v>0.11885415824435873</v>
      </c>
      <c r="H53" s="54">
        <f t="shared" si="40"/>
        <v>0.57246529334938701</v>
      </c>
      <c r="I53" s="54">
        <f t="shared" si="40"/>
        <v>2.1480255735494751</v>
      </c>
      <c r="J53" s="54">
        <f t="shared" si="40"/>
        <v>1.5635604930135178</v>
      </c>
      <c r="K53" s="54">
        <f t="shared" si="40"/>
        <v>0.33392910508903029</v>
      </c>
      <c r="L53" s="54">
        <f t="shared" si="40"/>
        <v>3.6960092549745305E-2</v>
      </c>
      <c r="M53" s="54">
        <f t="shared" si="40"/>
        <v>0</v>
      </c>
      <c r="N53" s="54">
        <f t="shared" si="40"/>
        <v>5.2101890005713969E-2</v>
      </c>
      <c r="O53" s="54">
        <f t="shared" si="40"/>
        <v>0.3033455738912133</v>
      </c>
      <c r="P53" s="54">
        <f t="shared" si="40"/>
        <v>1.9373965495507087E-2</v>
      </c>
      <c r="Q53" s="54">
        <f t="shared" si="40"/>
        <v>0.48321419601407872</v>
      </c>
      <c r="R53" s="54">
        <f t="shared" si="40"/>
        <v>0.47093978580185242</v>
      </c>
      <c r="S53" s="54">
        <f t="shared" si="40"/>
        <v>1.1723656672580429</v>
      </c>
      <c r="T53" s="54">
        <f t="shared" si="40"/>
        <v>0.78465076501118292</v>
      </c>
      <c r="U53" s="54">
        <f t="shared" si="40"/>
        <v>6.6811729076114018E-4</v>
      </c>
      <c r="V53" s="54">
        <f t="shared" si="40"/>
        <v>0</v>
      </c>
      <c r="W53" s="54">
        <f t="shared" ref="W53" si="41">SUM(W54,W58)</f>
        <v>4.189767347508087E-3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2.1016649219649111</v>
      </c>
      <c r="C54" s="11">
        <f t="shared" si="42"/>
        <v>1.2439635213436362</v>
      </c>
      <c r="D54" s="11">
        <f t="shared" ref="D54:V54" si="43">SUM(D55:D57)</f>
        <v>1.246000478928222</v>
      </c>
      <c r="E54" s="11">
        <f t="shared" si="43"/>
        <v>0</v>
      </c>
      <c r="F54" s="11">
        <f t="shared" si="43"/>
        <v>0</v>
      </c>
      <c r="G54" s="11">
        <f t="shared" si="43"/>
        <v>0.10036412975465503</v>
      </c>
      <c r="H54" s="11">
        <f t="shared" si="43"/>
        <v>0.48662211747752371</v>
      </c>
      <c r="I54" s="11">
        <f t="shared" si="43"/>
        <v>1.6915572353282964</v>
      </c>
      <c r="J54" s="11">
        <f t="shared" si="43"/>
        <v>1.5635604930135178</v>
      </c>
      <c r="K54" s="11">
        <f t="shared" si="43"/>
        <v>0.33392910508903029</v>
      </c>
      <c r="L54" s="11">
        <f t="shared" si="43"/>
        <v>3.6960092549745305E-2</v>
      </c>
      <c r="M54" s="11">
        <f t="shared" si="43"/>
        <v>0</v>
      </c>
      <c r="N54" s="11">
        <f t="shared" si="43"/>
        <v>5.2101890005713969E-2</v>
      </c>
      <c r="O54" s="11">
        <f t="shared" si="43"/>
        <v>0.30300806936690772</v>
      </c>
      <c r="P54" s="11">
        <f t="shared" si="43"/>
        <v>1.9050441629548109E-2</v>
      </c>
      <c r="Q54" s="11">
        <f t="shared" si="43"/>
        <v>0.48288309716749939</v>
      </c>
      <c r="R54" s="11">
        <f t="shared" si="43"/>
        <v>0.47093978580185242</v>
      </c>
      <c r="S54" s="11">
        <f t="shared" si="43"/>
        <v>1.1662723515707496</v>
      </c>
      <c r="T54" s="11">
        <f t="shared" si="43"/>
        <v>0.78298054959485597</v>
      </c>
      <c r="U54" s="11">
        <f t="shared" si="43"/>
        <v>0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1.2560443710521241</v>
      </c>
      <c r="C56" s="84">
        <v>0.74281836504551946</v>
      </c>
      <c r="D56" s="84">
        <v>0.74485532263010512</v>
      </c>
      <c r="E56" s="84">
        <v>0</v>
      </c>
      <c r="F56" s="84">
        <v>0</v>
      </c>
      <c r="G56" s="84">
        <v>0.10036412975465503</v>
      </c>
      <c r="H56" s="84">
        <v>0.43147923085855655</v>
      </c>
      <c r="I56" s="84">
        <v>0.83367181497350096</v>
      </c>
      <c r="J56" s="84">
        <v>0.8408383090980136</v>
      </c>
      <c r="K56" s="84">
        <v>0</v>
      </c>
      <c r="L56" s="84">
        <v>0</v>
      </c>
      <c r="M56" s="84">
        <v>0</v>
      </c>
      <c r="N56" s="84">
        <v>0</v>
      </c>
      <c r="O56" s="84">
        <v>4.9417282037102828E-2</v>
      </c>
      <c r="P56" s="84">
        <v>1.9050441629548109E-2</v>
      </c>
      <c r="Q56" s="84">
        <v>0.21108427399314628</v>
      </c>
      <c r="R56" s="84">
        <v>0.47093978580185242</v>
      </c>
      <c r="S56" s="84">
        <v>0.65988592715833694</v>
      </c>
      <c r="T56" s="84">
        <v>0.62819548411907256</v>
      </c>
      <c r="U56" s="84">
        <v>0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0.84562055091278721</v>
      </c>
      <c r="C57" s="84">
        <v>0.50114515629811685</v>
      </c>
      <c r="D57" s="84">
        <v>0.50114515629811685</v>
      </c>
      <c r="E57" s="84">
        <v>0</v>
      </c>
      <c r="F57" s="84">
        <v>0</v>
      </c>
      <c r="G57" s="84">
        <v>0</v>
      </c>
      <c r="H57" s="84">
        <v>5.5142886618967157E-2</v>
      </c>
      <c r="I57" s="84">
        <v>0.85788542035479542</v>
      </c>
      <c r="J57" s="84">
        <v>0.72272218391550425</v>
      </c>
      <c r="K57" s="84">
        <v>0.33392910508903029</v>
      </c>
      <c r="L57" s="84">
        <v>3.6960092549745305E-2</v>
      </c>
      <c r="M57" s="84">
        <v>0</v>
      </c>
      <c r="N57" s="84">
        <v>5.2101890005713969E-2</v>
      </c>
      <c r="O57" s="84">
        <v>0.25359078732980489</v>
      </c>
      <c r="P57" s="84">
        <v>0</v>
      </c>
      <c r="Q57" s="84">
        <v>0.27179882317435311</v>
      </c>
      <c r="R57" s="84">
        <v>0</v>
      </c>
      <c r="S57" s="84">
        <v>0.50638642441241277</v>
      </c>
      <c r="T57" s="84">
        <v>0.15478506547578341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2.8448440104054666E-2</v>
      </c>
      <c r="C58" s="13">
        <f t="shared" si="45"/>
        <v>3.3138401557914199E-3</v>
      </c>
      <c r="D58" s="13">
        <f t="shared" ref="D58:V58" si="46">SUM(D59:D61)</f>
        <v>5.2631578945828428E-3</v>
      </c>
      <c r="E58" s="13">
        <f t="shared" si="46"/>
        <v>1.1111111110957111E-2</v>
      </c>
      <c r="F58" s="13">
        <f t="shared" si="46"/>
        <v>7.2124756333742657E-3</v>
      </c>
      <c r="G58" s="13">
        <f t="shared" si="46"/>
        <v>1.84900284897037E-2</v>
      </c>
      <c r="H58" s="13">
        <f t="shared" si="46"/>
        <v>8.5843175871863298E-2</v>
      </c>
      <c r="I58" s="13">
        <f t="shared" si="46"/>
        <v>0.45646833822117888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3.3750452430558828E-4</v>
      </c>
      <c r="P58" s="13">
        <f t="shared" si="46"/>
        <v>3.2352386595897731E-4</v>
      </c>
      <c r="Q58" s="13">
        <f t="shared" si="46"/>
        <v>3.3109884657931679E-4</v>
      </c>
      <c r="R58" s="13">
        <f t="shared" si="46"/>
        <v>0</v>
      </c>
      <c r="S58" s="13">
        <f t="shared" si="46"/>
        <v>6.0933156872932824E-3</v>
      </c>
      <c r="T58" s="13">
        <f t="shared" si="46"/>
        <v>1.6702154163269296E-3</v>
      </c>
      <c r="U58" s="13">
        <f t="shared" si="46"/>
        <v>6.6811729076114018E-4</v>
      </c>
      <c r="V58" s="13">
        <f t="shared" si="46"/>
        <v>0</v>
      </c>
      <c r="W58" s="13">
        <f t="shared" ref="W58" si="47">SUM(W59:W61)</f>
        <v>4.189767347508087E-3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2.12359644706804E-2</v>
      </c>
      <c r="C60" s="102">
        <v>0</v>
      </c>
      <c r="D60" s="102">
        <v>0</v>
      </c>
      <c r="E60" s="102">
        <v>0</v>
      </c>
      <c r="F60" s="102">
        <v>0</v>
      </c>
      <c r="G60" s="102">
        <v>1.84900284897037E-2</v>
      </c>
      <c r="H60" s="102">
        <v>8.5843175871863298E-2</v>
      </c>
      <c r="I60" s="102">
        <v>0.45646833822117888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3.3750452430558828E-4</v>
      </c>
      <c r="P60" s="102">
        <v>3.2352386595897731E-4</v>
      </c>
      <c r="Q60" s="102">
        <v>3.3109884657931679E-4</v>
      </c>
      <c r="R60" s="102">
        <v>0</v>
      </c>
      <c r="S60" s="102">
        <v>1.3837261796973204E-3</v>
      </c>
      <c r="T60" s="102">
        <v>3.3245584755275861E-4</v>
      </c>
      <c r="U60" s="102">
        <v>0</v>
      </c>
      <c r="V60" s="102">
        <v>0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7.2124756333742657E-3</v>
      </c>
      <c r="C61" s="86">
        <v>3.3138401557914199E-3</v>
      </c>
      <c r="D61" s="86">
        <v>5.2631578945828428E-3</v>
      </c>
      <c r="E61" s="86">
        <v>1.1111111110957111E-2</v>
      </c>
      <c r="F61" s="86">
        <v>7.2124756333742657E-3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4.7095895075959619E-3</v>
      </c>
      <c r="T61" s="86">
        <v>1.337759568774171E-3</v>
      </c>
      <c r="U61" s="86">
        <v>6.6811729076114018E-4</v>
      </c>
      <c r="V61" s="86">
        <v>0</v>
      </c>
      <c r="W61" s="86">
        <v>4.189767347508087E-3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44.419917649521949</v>
      </c>
      <c r="C66" s="14">
        <f t="shared" si="48"/>
        <v>44.723130390011583</v>
      </c>
      <c r="D66" s="14">
        <f t="shared" ref="D66:V66" si="49">IF(D34=0,0,D34/D24)</f>
        <v>45.09355223880597</v>
      </c>
      <c r="E66" s="14">
        <f t="shared" si="49"/>
        <v>45.388777555110224</v>
      </c>
      <c r="F66" s="14">
        <f t="shared" si="49"/>
        <v>45.95144437615243</v>
      </c>
      <c r="G66" s="14">
        <f t="shared" si="49"/>
        <v>47.333956240753714</v>
      </c>
      <c r="H66" s="14">
        <f t="shared" si="49"/>
        <v>50.219141864329963</v>
      </c>
      <c r="I66" s="14">
        <f t="shared" si="49"/>
        <v>51.519791809341186</v>
      </c>
      <c r="J66" s="14">
        <f t="shared" si="49"/>
        <v>50.679359211337029</v>
      </c>
      <c r="K66" s="14">
        <f t="shared" si="49"/>
        <v>47.298847493969447</v>
      </c>
      <c r="L66" s="14">
        <f t="shared" si="49"/>
        <v>52.125718608169443</v>
      </c>
      <c r="M66" s="14">
        <f t="shared" si="49"/>
        <v>53.667984814931984</v>
      </c>
      <c r="N66" s="14">
        <f t="shared" si="49"/>
        <v>52.537060414788094</v>
      </c>
      <c r="O66" s="14">
        <f t="shared" si="49"/>
        <v>60.089464166745977</v>
      </c>
      <c r="P66" s="14">
        <f t="shared" si="49"/>
        <v>64.990765564492108</v>
      </c>
      <c r="Q66" s="14">
        <f t="shared" si="49"/>
        <v>67.915054270882493</v>
      </c>
      <c r="R66" s="14">
        <f t="shared" si="49"/>
        <v>67.520575539568341</v>
      </c>
      <c r="S66" s="14">
        <f t="shared" si="49"/>
        <v>71.20989429175475</v>
      </c>
      <c r="T66" s="14">
        <f t="shared" si="49"/>
        <v>73.781840390879481</v>
      </c>
      <c r="U66" s="14">
        <f t="shared" si="49"/>
        <v>81.994075489727663</v>
      </c>
      <c r="V66" s="14">
        <f t="shared" si="49"/>
        <v>73.11195542046606</v>
      </c>
      <c r="W66" s="14">
        <f t="shared" ref="W66" si="50">IF(W34=0,0,W34/W24)</f>
        <v>78.947227533460804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38.699036022323696</v>
      </c>
      <c r="C68" s="87">
        <f t="shared" si="48"/>
        <v>39.146827624929813</v>
      </c>
      <c r="D68" s="87">
        <f t="shared" ref="D68:V68" si="53">IF(D36=0,0,D36/D26)</f>
        <v>39.714930555555554</v>
      </c>
      <c r="E68" s="87">
        <f t="shared" si="53"/>
        <v>40.158799533799531</v>
      </c>
      <c r="F68" s="87">
        <f t="shared" si="53"/>
        <v>40.912804800204263</v>
      </c>
      <c r="G68" s="87">
        <f t="shared" si="53"/>
        <v>44.304437902082654</v>
      </c>
      <c r="H68" s="87">
        <f t="shared" si="53"/>
        <v>47.048930311374711</v>
      </c>
      <c r="I68" s="87">
        <f t="shared" si="53"/>
        <v>47.751819722803866</v>
      </c>
      <c r="J68" s="87">
        <f t="shared" si="53"/>
        <v>46.651618787049706</v>
      </c>
      <c r="K68" s="87">
        <f t="shared" si="53"/>
        <v>43.061711522287638</v>
      </c>
      <c r="L68" s="87">
        <f t="shared" si="53"/>
        <v>49.066987463593769</v>
      </c>
      <c r="M68" s="87">
        <f t="shared" si="53"/>
        <v>52.377884366087635</v>
      </c>
      <c r="N68" s="87">
        <f t="shared" si="53"/>
        <v>49.918517383979172</v>
      </c>
      <c r="O68" s="87">
        <f t="shared" si="53"/>
        <v>60.205381471389643</v>
      </c>
      <c r="P68" s="87">
        <f t="shared" si="53"/>
        <v>68.222447102115922</v>
      </c>
      <c r="Q68" s="87">
        <f t="shared" si="53"/>
        <v>72.362249423452184</v>
      </c>
      <c r="R68" s="87">
        <f t="shared" si="53"/>
        <v>71.330398671096347</v>
      </c>
      <c r="S68" s="87">
        <f t="shared" si="53"/>
        <v>75.778347406513873</v>
      </c>
      <c r="T68" s="87">
        <f t="shared" si="53"/>
        <v>77.162610619469021</v>
      </c>
      <c r="U68" s="87">
        <f t="shared" si="53"/>
        <v>85.632333108563728</v>
      </c>
      <c r="V68" s="87">
        <f t="shared" si="53"/>
        <v>77.674551386623165</v>
      </c>
      <c r="W68" s="87">
        <f t="shared" ref="W68" si="54">IF(W36=0,0,W36/W26)</f>
        <v>82.223241590214073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57.02145730889584</v>
      </c>
      <c r="C69" s="87">
        <f t="shared" si="48"/>
        <v>57.004328112118714</v>
      </c>
      <c r="D69" s="87">
        <f t="shared" ref="D69:V69" si="55">IF(D37=0,0,D37/D27)</f>
        <v>56.940917782026766</v>
      </c>
      <c r="E69" s="87">
        <f t="shared" si="55"/>
        <v>56.909499358151479</v>
      </c>
      <c r="F69" s="87">
        <f t="shared" si="55"/>
        <v>57.050337457817776</v>
      </c>
      <c r="G69" s="87">
        <f t="shared" si="55"/>
        <v>54.900326797385624</v>
      </c>
      <c r="H69" s="87">
        <f t="shared" si="55"/>
        <v>58.10458377239199</v>
      </c>
      <c r="I69" s="87">
        <f t="shared" si="55"/>
        <v>59.783293242947735</v>
      </c>
      <c r="J69" s="87">
        <f t="shared" si="55"/>
        <v>59.067616334283002</v>
      </c>
      <c r="K69" s="87">
        <f t="shared" si="55"/>
        <v>54.74593495934959</v>
      </c>
      <c r="L69" s="87">
        <f t="shared" si="55"/>
        <v>56.663535600225437</v>
      </c>
      <c r="M69" s="87">
        <f t="shared" si="55"/>
        <v>55.68661257606491</v>
      </c>
      <c r="N69" s="87">
        <f t="shared" si="55"/>
        <v>56.285463714097787</v>
      </c>
      <c r="O69" s="87">
        <f t="shared" si="55"/>
        <v>59.942610571736786</v>
      </c>
      <c r="P69" s="87">
        <f t="shared" si="55"/>
        <v>61.202113891285592</v>
      </c>
      <c r="Q69" s="87">
        <f t="shared" si="55"/>
        <v>62.858814037918513</v>
      </c>
      <c r="R69" s="87">
        <f t="shared" si="55"/>
        <v>62.31396140749149</v>
      </c>
      <c r="S69" s="87">
        <f t="shared" si="55"/>
        <v>65.375505488157131</v>
      </c>
      <c r="T69" s="87">
        <f t="shared" si="55"/>
        <v>68.938391442155307</v>
      </c>
      <c r="U69" s="87">
        <f t="shared" si="55"/>
        <v>77.232958305757776</v>
      </c>
      <c r="V69" s="87">
        <f t="shared" si="55"/>
        <v>65.633689839572199</v>
      </c>
      <c r="W69" s="87">
        <f t="shared" ref="W69" si="56">IF(W37=0,0,W37/W27)</f>
        <v>73.481632653061226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21.37799433739464</v>
      </c>
      <c r="C70" s="15">
        <f t="shared" si="48"/>
        <v>22.829066090235475</v>
      </c>
      <c r="D70" s="15">
        <f t="shared" ref="D70:V70" si="57">IF(D38=0,0,D38/D28)</f>
        <v>24.017147422911542</v>
      </c>
      <c r="E70" s="15">
        <f t="shared" si="57"/>
        <v>26.002484085848984</v>
      </c>
      <c r="F70" s="15">
        <f t="shared" si="57"/>
        <v>25.763795909303411</v>
      </c>
      <c r="G70" s="15">
        <f t="shared" si="57"/>
        <v>22.01277109447658</v>
      </c>
      <c r="H70" s="15">
        <f t="shared" si="57"/>
        <v>17.41903528576815</v>
      </c>
      <c r="I70" s="15">
        <f t="shared" si="57"/>
        <v>14.695053702443804</v>
      </c>
      <c r="J70" s="15">
        <f t="shared" si="57"/>
        <v>16.205896209004486</v>
      </c>
      <c r="K70" s="15">
        <f t="shared" si="57"/>
        <v>18.298157018697182</v>
      </c>
      <c r="L70" s="15">
        <f t="shared" si="57"/>
        <v>18.475052948452856</v>
      </c>
      <c r="M70" s="15">
        <f t="shared" si="57"/>
        <v>19.977677916232331</v>
      </c>
      <c r="N70" s="15">
        <f t="shared" si="57"/>
        <v>20.751620822036099</v>
      </c>
      <c r="O70" s="15">
        <f t="shared" si="57"/>
        <v>21.04774491219279</v>
      </c>
      <c r="P70" s="15">
        <f t="shared" si="57"/>
        <v>23.800213633481619</v>
      </c>
      <c r="Q70" s="15">
        <f t="shared" si="57"/>
        <v>20.968796763172193</v>
      </c>
      <c r="R70" s="15">
        <f t="shared" si="57"/>
        <v>23.871544385957751</v>
      </c>
      <c r="S70" s="15">
        <f t="shared" si="57"/>
        <v>23.753970149419736</v>
      </c>
      <c r="T70" s="15">
        <f t="shared" si="57"/>
        <v>23.863570433272336</v>
      </c>
      <c r="U70" s="15">
        <f t="shared" si="57"/>
        <v>25.005912748663697</v>
      </c>
      <c r="V70" s="15">
        <f t="shared" si="57"/>
        <v>20.430756232084015</v>
      </c>
      <c r="W70" s="15">
        <f t="shared" ref="W70" si="58">IF(W38=0,0,W38/W28)</f>
        <v>20.630971528711868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16.542043174769109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52.129123841343947</v>
      </c>
      <c r="C73" s="40">
        <f t="shared" si="48"/>
        <v>53.838817889509443</v>
      </c>
      <c r="D73" s="40">
        <f t="shared" ref="D73:V73" si="63">IF(D41=0,0,D41/D31)</f>
        <v>52.887918691003676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837.86185670234329</v>
      </c>
      <c r="C75" s="62">
        <f t="shared" si="65"/>
        <v>838.4291720870167</v>
      </c>
      <c r="D75" s="62">
        <f t="shared" ref="D75:V75" si="66">IF(D13=0,0,D13*1000000/D23)</f>
        <v>838.94503430449492</v>
      </c>
      <c r="E75" s="62">
        <f t="shared" si="66"/>
        <v>840.16727653887972</v>
      </c>
      <c r="F75" s="62">
        <f t="shared" si="66"/>
        <v>841.49288097987949</v>
      </c>
      <c r="G75" s="62">
        <f t="shared" si="66"/>
        <v>873.07061103794331</v>
      </c>
      <c r="H75" s="62">
        <f t="shared" si="66"/>
        <v>861.63534918134383</v>
      </c>
      <c r="I75" s="62">
        <f t="shared" si="66"/>
        <v>892.86812157741315</v>
      </c>
      <c r="J75" s="62">
        <f t="shared" si="66"/>
        <v>895.70979223326549</v>
      </c>
      <c r="K75" s="62">
        <f t="shared" si="66"/>
        <v>916.38868740213445</v>
      </c>
      <c r="L75" s="62">
        <f t="shared" si="66"/>
        <v>919.88383015488557</v>
      </c>
      <c r="M75" s="62">
        <f t="shared" si="66"/>
        <v>904.08532435890061</v>
      </c>
      <c r="N75" s="62">
        <f t="shared" si="66"/>
        <v>927.01194987964504</v>
      </c>
      <c r="O75" s="62">
        <f t="shared" si="66"/>
        <v>972.12787768820397</v>
      </c>
      <c r="P75" s="62">
        <f t="shared" si="66"/>
        <v>939.80331207025063</v>
      </c>
      <c r="Q75" s="62">
        <f t="shared" si="66"/>
        <v>914.9897184837871</v>
      </c>
      <c r="R75" s="62">
        <f t="shared" si="66"/>
        <v>856.92394692775179</v>
      </c>
      <c r="S75" s="62">
        <f t="shared" si="66"/>
        <v>868.11773836234261</v>
      </c>
      <c r="T75" s="62">
        <f t="shared" si="66"/>
        <v>892.19329725873968</v>
      </c>
      <c r="U75" s="62">
        <f t="shared" si="66"/>
        <v>923.3217178454305</v>
      </c>
      <c r="V75" s="62">
        <f t="shared" si="66"/>
        <v>853.68486725715877</v>
      </c>
      <c r="W75" s="62">
        <f t="shared" ref="W75" si="67">IF(W13=0,0,W13*1000000/W23)</f>
        <v>949.47606805644375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837.87479173732834</v>
      </c>
      <c r="C76" s="14">
        <f t="shared" si="65"/>
        <v>837.86608348342054</v>
      </c>
      <c r="D76" s="14">
        <f t="shared" ref="D76:V76" si="68">IF(D14=0,0,D14*1000000/D24)</f>
        <v>837.87004945118008</v>
      </c>
      <c r="E76" s="14">
        <f t="shared" si="68"/>
        <v>837.88058058220133</v>
      </c>
      <c r="F76" s="14">
        <f t="shared" si="68"/>
        <v>837.88206179474741</v>
      </c>
      <c r="G76" s="14">
        <f t="shared" si="68"/>
        <v>871.12756105294204</v>
      </c>
      <c r="H76" s="14">
        <f t="shared" si="68"/>
        <v>864.38995379721666</v>
      </c>
      <c r="I76" s="14">
        <f t="shared" si="68"/>
        <v>909.27245276130952</v>
      </c>
      <c r="J76" s="14">
        <f t="shared" si="68"/>
        <v>899.7717735210723</v>
      </c>
      <c r="K76" s="14">
        <f t="shared" si="68"/>
        <v>918.40709671744014</v>
      </c>
      <c r="L76" s="14">
        <f t="shared" si="68"/>
        <v>923.80375293441318</v>
      </c>
      <c r="M76" s="14">
        <f t="shared" si="68"/>
        <v>909.15140759561996</v>
      </c>
      <c r="N76" s="14">
        <f t="shared" si="68"/>
        <v>934.95227932609384</v>
      </c>
      <c r="O76" s="14">
        <f t="shared" si="68"/>
        <v>979.75215981275937</v>
      </c>
      <c r="P76" s="14">
        <f t="shared" si="68"/>
        <v>945.7102362346875</v>
      </c>
      <c r="Q76" s="14">
        <f t="shared" si="68"/>
        <v>920.50816542366488</v>
      </c>
      <c r="R76" s="14">
        <f t="shared" si="68"/>
        <v>861.45078300540285</v>
      </c>
      <c r="S76" s="14">
        <f t="shared" si="68"/>
        <v>874.22021891975567</v>
      </c>
      <c r="T76" s="14">
        <f t="shared" si="68"/>
        <v>897.56703482265937</v>
      </c>
      <c r="U76" s="14">
        <f t="shared" si="68"/>
        <v>930.03899407930817</v>
      </c>
      <c r="V76" s="14">
        <f t="shared" si="68"/>
        <v>887.66180768068318</v>
      </c>
      <c r="W76" s="14">
        <f t="shared" ref="W76" si="69">IF(W14=0,0,W14*1000000/W24)</f>
        <v>980.22060256998441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733.0048627718071</v>
      </c>
      <c r="C78" s="39">
        <f t="shared" si="65"/>
        <v>732.97619666099331</v>
      </c>
      <c r="D78" s="39">
        <f t="shared" ref="D78:V78" si="72">IF(D16=0,0,D16*1000000/D26)</f>
        <v>732.99558691000482</v>
      </c>
      <c r="E78" s="39">
        <f t="shared" si="72"/>
        <v>733.01791013785828</v>
      </c>
      <c r="F78" s="39">
        <f t="shared" si="72"/>
        <v>733.01681577816282</v>
      </c>
      <c r="G78" s="39">
        <f t="shared" si="72"/>
        <v>772.04465487968571</v>
      </c>
      <c r="H78" s="39">
        <f t="shared" si="72"/>
        <v>784.79710688666239</v>
      </c>
      <c r="I78" s="39">
        <f t="shared" si="72"/>
        <v>841.77701829278931</v>
      </c>
      <c r="J78" s="39">
        <f t="shared" si="72"/>
        <v>837.10210789551013</v>
      </c>
      <c r="K78" s="39">
        <f t="shared" si="72"/>
        <v>844.08907862492151</v>
      </c>
      <c r="L78" s="39">
        <f t="shared" si="72"/>
        <v>847.52299033774602</v>
      </c>
      <c r="M78" s="39">
        <f t="shared" si="72"/>
        <v>815.23499194737485</v>
      </c>
      <c r="N78" s="39">
        <f t="shared" si="72"/>
        <v>769.98750508954697</v>
      </c>
      <c r="O78" s="39">
        <f t="shared" si="72"/>
        <v>816.52108882767629</v>
      </c>
      <c r="P78" s="39">
        <f t="shared" si="72"/>
        <v>820.1307050137317</v>
      </c>
      <c r="Q78" s="39">
        <f t="shared" si="72"/>
        <v>838.93269371646272</v>
      </c>
      <c r="R78" s="39">
        <f t="shared" si="72"/>
        <v>836.55496245016195</v>
      </c>
      <c r="S78" s="39">
        <f t="shared" si="72"/>
        <v>853.04982742133552</v>
      </c>
      <c r="T78" s="39">
        <f t="shared" si="72"/>
        <v>856.57860101694666</v>
      </c>
      <c r="U78" s="39">
        <f t="shared" si="72"/>
        <v>880.78358043177263</v>
      </c>
      <c r="V78" s="39">
        <f t="shared" si="72"/>
        <v>809.24990475994866</v>
      </c>
      <c r="W78" s="39">
        <f t="shared" ref="W78" si="73">IF(W16=0,0,W16*1000000/W26)</f>
        <v>880.84075268066158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1068.8746017407284</v>
      </c>
      <c r="C79" s="39">
        <f t="shared" si="65"/>
        <v>1068.8746017407284</v>
      </c>
      <c r="D79" s="39">
        <f t="shared" ref="D79:V79" si="74">IF(D17=0,0,D17*1000000/D27)</f>
        <v>1068.8746017407284</v>
      </c>
      <c r="E79" s="39">
        <f t="shared" si="74"/>
        <v>1068.8746017407284</v>
      </c>
      <c r="F79" s="39">
        <f t="shared" si="74"/>
        <v>1068.8746017407284</v>
      </c>
      <c r="G79" s="39">
        <f t="shared" si="74"/>
        <v>1118.5919762258543</v>
      </c>
      <c r="H79" s="39">
        <f t="shared" si="74"/>
        <v>1062.3656283307928</v>
      </c>
      <c r="I79" s="39">
        <f t="shared" si="74"/>
        <v>1057.2960067269314</v>
      </c>
      <c r="J79" s="39">
        <f t="shared" si="74"/>
        <v>1030.2889403936817</v>
      </c>
      <c r="K79" s="39">
        <f t="shared" si="74"/>
        <v>1049.0266436679271</v>
      </c>
      <c r="L79" s="39">
        <f t="shared" si="74"/>
        <v>1036.9709861160554</v>
      </c>
      <c r="M79" s="39">
        <f t="shared" si="74"/>
        <v>1056.1029756099331</v>
      </c>
      <c r="N79" s="39">
        <f t="shared" si="74"/>
        <v>1171.0967675941081</v>
      </c>
      <c r="O79" s="39">
        <f t="shared" si="74"/>
        <v>1186.5467334534087</v>
      </c>
      <c r="P79" s="39">
        <f t="shared" si="74"/>
        <v>1092.9330041781507</v>
      </c>
      <c r="Q79" s="39">
        <f t="shared" si="74"/>
        <v>1013.2554292424425</v>
      </c>
      <c r="R79" s="39">
        <f t="shared" si="74"/>
        <v>895.47412914446079</v>
      </c>
      <c r="S79" s="39">
        <f t="shared" si="74"/>
        <v>901.25700621371357</v>
      </c>
      <c r="T79" s="39">
        <f t="shared" si="74"/>
        <v>956.28897485493246</v>
      </c>
      <c r="U79" s="39">
        <f t="shared" si="74"/>
        <v>994.4958910034602</v>
      </c>
      <c r="V79" s="39">
        <f t="shared" si="74"/>
        <v>1016.181851772689</v>
      </c>
      <c r="W79" s="39">
        <f t="shared" ref="W79" si="75">IF(W17=0,0,W17*1000000/W27)</f>
        <v>1146.022699069008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836.49901761189597</v>
      </c>
      <c r="C80" s="15">
        <f t="shared" si="65"/>
        <v>911.33976144265603</v>
      </c>
      <c r="D80" s="15">
        <f t="shared" ref="D80:V80" si="76">IF(D18=0,0,D18*1000000/D28)</f>
        <v>1004.1376608459984</v>
      </c>
      <c r="E80" s="15">
        <f t="shared" si="76"/>
        <v>1182.4856612536232</v>
      </c>
      <c r="F80" s="15">
        <f t="shared" si="76"/>
        <v>1244.6656231315262</v>
      </c>
      <c r="G80" s="15">
        <f t="shared" si="76"/>
        <v>1082.7730560578661</v>
      </c>
      <c r="H80" s="15">
        <f t="shared" si="76"/>
        <v>700.99457426977494</v>
      </c>
      <c r="I80" s="15">
        <f t="shared" si="76"/>
        <v>594.56669698556243</v>
      </c>
      <c r="J80" s="15">
        <f t="shared" si="76"/>
        <v>661.92980534991523</v>
      </c>
      <c r="K80" s="15">
        <f t="shared" si="76"/>
        <v>688.18610693530627</v>
      </c>
      <c r="L80" s="15">
        <f t="shared" si="76"/>
        <v>644.23819640300212</v>
      </c>
      <c r="M80" s="15">
        <f t="shared" si="76"/>
        <v>573.90204371415439</v>
      </c>
      <c r="N80" s="15">
        <f t="shared" si="76"/>
        <v>501.6097587631408</v>
      </c>
      <c r="O80" s="15">
        <f t="shared" si="76"/>
        <v>550.50507620028293</v>
      </c>
      <c r="P80" s="15">
        <f t="shared" si="76"/>
        <v>553.51348570631853</v>
      </c>
      <c r="Q80" s="15">
        <f t="shared" si="76"/>
        <v>573.07190954807402</v>
      </c>
      <c r="R80" s="15">
        <f t="shared" si="76"/>
        <v>560.11724183646504</v>
      </c>
      <c r="S80" s="15">
        <f t="shared" si="76"/>
        <v>572.37252282377278</v>
      </c>
      <c r="T80" s="15">
        <f t="shared" si="76"/>
        <v>596.27626907518618</v>
      </c>
      <c r="U80" s="15">
        <f t="shared" si="76"/>
        <v>555.27828440286623</v>
      </c>
      <c r="V80" s="15">
        <f t="shared" si="76"/>
        <v>502.5305196339275</v>
      </c>
      <c r="W80" s="15">
        <f t="shared" ref="W80" si="77">IF(W18=0,0,W18*1000000/W28)</f>
        <v>595.30444799957638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459.2025827517765</v>
      </c>
      <c r="C82" s="41">
        <f t="shared" si="65"/>
        <v>463.02612360915504</v>
      </c>
      <c r="D82" s="41">
        <f t="shared" ref="D82:V82" si="80">IF(D20=0,0,D20*1000000/D30)</f>
        <v>463.72306066046855</v>
      </c>
      <c r="E82" s="41">
        <f t="shared" si="80"/>
        <v>466.02295292980318</v>
      </c>
      <c r="F82" s="41">
        <f t="shared" si="80"/>
        <v>467.41584543094945</v>
      </c>
      <c r="G82" s="41">
        <f t="shared" si="80"/>
        <v>469.92300737237446</v>
      </c>
      <c r="H82" s="41">
        <f t="shared" si="80"/>
        <v>474.49000182857304</v>
      </c>
      <c r="I82" s="41">
        <f t="shared" si="80"/>
        <v>550.06788247847248</v>
      </c>
      <c r="J82" s="41">
        <f t="shared" si="80"/>
        <v>585.30789549485098</v>
      </c>
      <c r="K82" s="41">
        <f t="shared" si="80"/>
        <v>633.76350615838123</v>
      </c>
      <c r="L82" s="41">
        <f t="shared" si="80"/>
        <v>654.60875666573111</v>
      </c>
      <c r="M82" s="41">
        <f t="shared" si="80"/>
        <v>583.4904621027548</v>
      </c>
      <c r="N82" s="41">
        <f t="shared" si="80"/>
        <v>497.657847305666</v>
      </c>
      <c r="O82" s="41">
        <f t="shared" si="80"/>
        <v>546.36337725524049</v>
      </c>
      <c r="P82" s="41">
        <f t="shared" si="80"/>
        <v>557.18899960747012</v>
      </c>
      <c r="Q82" s="41">
        <f t="shared" si="80"/>
        <v>578.87063004371146</v>
      </c>
      <c r="R82" s="41">
        <f t="shared" si="80"/>
        <v>571.16011996351676</v>
      </c>
      <c r="S82" s="41">
        <f t="shared" si="80"/>
        <v>585.30815930134793</v>
      </c>
      <c r="T82" s="41">
        <f t="shared" si="80"/>
        <v>603.42787193973641</v>
      </c>
      <c r="U82" s="41">
        <f t="shared" si="80"/>
        <v>556.73115808823525</v>
      </c>
      <c r="V82" s="41">
        <f t="shared" si="80"/>
        <v>496.54325687143222</v>
      </c>
      <c r="W82" s="41">
        <f t="shared" ref="W82" si="81">IF(W20=0,0,W20*1000000/W30)</f>
        <v>586.32070775426655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3024.818339800589</v>
      </c>
      <c r="C83" s="40">
        <f t="shared" si="65"/>
        <v>3024.818339800589</v>
      </c>
      <c r="D83" s="40">
        <f t="shared" ref="D83:V83" si="82">IF(D21=0,0,D21*1000000/D31)</f>
        <v>3024.8183398005895</v>
      </c>
      <c r="E83" s="40">
        <f t="shared" si="82"/>
        <v>3024.818339800589</v>
      </c>
      <c r="F83" s="40">
        <f t="shared" si="82"/>
        <v>3024.818339800589</v>
      </c>
      <c r="G83" s="40">
        <f t="shared" si="82"/>
        <v>3074.5357142857142</v>
      </c>
      <c r="H83" s="40">
        <f t="shared" si="82"/>
        <v>2531.1515195946863</v>
      </c>
      <c r="I83" s="40">
        <f t="shared" si="82"/>
        <v>2038.9240511948567</v>
      </c>
      <c r="J83" s="40">
        <f t="shared" si="82"/>
        <v>1524.7591380656393</v>
      </c>
      <c r="K83" s="40">
        <f t="shared" si="82"/>
        <v>1056.3389945439174</v>
      </c>
      <c r="L83" s="40">
        <f t="shared" si="82"/>
        <v>557.12549019607843</v>
      </c>
      <c r="M83" s="40">
        <f t="shared" si="82"/>
        <v>498.93804540327801</v>
      </c>
      <c r="N83" s="40">
        <f t="shared" si="82"/>
        <v>536.61240310077517</v>
      </c>
      <c r="O83" s="40">
        <f t="shared" si="82"/>
        <v>585.70951723314283</v>
      </c>
      <c r="P83" s="40">
        <f t="shared" si="82"/>
        <v>525.74293623095116</v>
      </c>
      <c r="Q83" s="40">
        <f t="shared" si="82"/>
        <v>479.71250956830983</v>
      </c>
      <c r="R83" s="40">
        <f t="shared" si="82"/>
        <v>395.57835774339486</v>
      </c>
      <c r="S83" s="40">
        <f t="shared" si="82"/>
        <v>435.00838308571429</v>
      </c>
      <c r="T83" s="40">
        <f t="shared" si="82"/>
        <v>523.6875</v>
      </c>
      <c r="U83" s="40">
        <f t="shared" si="82"/>
        <v>542.12595419847321</v>
      </c>
      <c r="V83" s="40">
        <f t="shared" si="82"/>
        <v>563.81191496770214</v>
      </c>
      <c r="W83" s="40">
        <f t="shared" ref="W83" si="83">IF(W21=0,0,W21*1000000/W31)</f>
        <v>693.65276226402113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47042.953998117897</v>
      </c>
      <c r="C86" s="11">
        <f t="shared" si="84"/>
        <v>47309.001031080261</v>
      </c>
      <c r="D86" s="11">
        <f t="shared" ref="D86:V86" si="85">IF(D4=0,0,D4*1000000/D24)</f>
        <v>47319.16621250617</v>
      </c>
      <c r="E86" s="11">
        <f t="shared" si="85"/>
        <v>46990.531027172685</v>
      </c>
      <c r="F86" s="11">
        <f t="shared" si="85"/>
        <v>46970.800407199</v>
      </c>
      <c r="G86" s="11">
        <f t="shared" si="85"/>
        <v>49533.235798405003</v>
      </c>
      <c r="H86" s="11">
        <f t="shared" si="85"/>
        <v>50718.918119367605</v>
      </c>
      <c r="I86" s="11">
        <f t="shared" si="85"/>
        <v>52652.446335925371</v>
      </c>
      <c r="J86" s="11">
        <f t="shared" si="85"/>
        <v>50270.539140929563</v>
      </c>
      <c r="K86" s="11">
        <f t="shared" si="85"/>
        <v>48108.04580385</v>
      </c>
      <c r="L86" s="11">
        <f t="shared" si="85"/>
        <v>52830.810262694584</v>
      </c>
      <c r="M86" s="11">
        <f t="shared" si="85"/>
        <v>54236.759561871091</v>
      </c>
      <c r="N86" s="11">
        <f t="shared" si="85"/>
        <v>56477.591895996964</v>
      </c>
      <c r="O86" s="11">
        <f t="shared" si="85"/>
        <v>65333.840624173667</v>
      </c>
      <c r="P86" s="11">
        <f t="shared" si="85"/>
        <v>65926.139196657226</v>
      </c>
      <c r="Q86" s="11">
        <f t="shared" si="85"/>
        <v>66656.981079679827</v>
      </c>
      <c r="R86" s="11">
        <f t="shared" si="85"/>
        <v>64533.022964708878</v>
      </c>
      <c r="S86" s="11">
        <f t="shared" si="85"/>
        <v>68777.447491955652</v>
      </c>
      <c r="T86" s="11">
        <f t="shared" si="85"/>
        <v>72290.220406318069</v>
      </c>
      <c r="U86" s="11">
        <f t="shared" si="85"/>
        <v>84569.487120839578</v>
      </c>
      <c r="V86" s="11">
        <f t="shared" si="85"/>
        <v>74844.2312488428</v>
      </c>
      <c r="W86" s="11">
        <f t="shared" ref="W86" si="86">IF(W4=0,0,W4*1000000/W24)</f>
        <v>83450.689796806168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37495.978167840221</v>
      </c>
      <c r="C88" s="36">
        <f t="shared" si="84"/>
        <v>37890.652314912659</v>
      </c>
      <c r="D88" s="36">
        <f t="shared" ref="D88:V88" si="89">IF(D6=0,0,D6*1000000/D26)</f>
        <v>37941.022727123789</v>
      </c>
      <c r="E88" s="36">
        <f t="shared" si="89"/>
        <v>37480.853349383091</v>
      </c>
      <c r="F88" s="36">
        <f t="shared" si="89"/>
        <v>37375.542542525814</v>
      </c>
      <c r="G88" s="36">
        <f t="shared" si="89"/>
        <v>41903.593431688743</v>
      </c>
      <c r="H88" s="36">
        <f t="shared" si="89"/>
        <v>43392.240016266762</v>
      </c>
      <c r="I88" s="36">
        <f t="shared" si="89"/>
        <v>44470.445440387375</v>
      </c>
      <c r="J88" s="36">
        <f t="shared" si="89"/>
        <v>41772.133955697587</v>
      </c>
      <c r="K88" s="36">
        <f t="shared" si="89"/>
        <v>38985.155165497803</v>
      </c>
      <c r="L88" s="36">
        <f t="shared" si="89"/>
        <v>44206.177501286744</v>
      </c>
      <c r="M88" s="36">
        <f t="shared" si="89"/>
        <v>46532.367695910994</v>
      </c>
      <c r="N88" s="36">
        <f t="shared" si="89"/>
        <v>43302.822828718061</v>
      </c>
      <c r="O88" s="36">
        <f t="shared" si="89"/>
        <v>54252.947271516969</v>
      </c>
      <c r="P88" s="36">
        <f t="shared" si="89"/>
        <v>60027.183727489959</v>
      </c>
      <c r="Q88" s="36">
        <f t="shared" si="89"/>
        <v>63761.976324435527</v>
      </c>
      <c r="R88" s="36">
        <f t="shared" si="89"/>
        <v>63865.151082620403</v>
      </c>
      <c r="S88" s="36">
        <f t="shared" si="89"/>
        <v>69239.107017415532</v>
      </c>
      <c r="T88" s="36">
        <f t="shared" si="89"/>
        <v>69277.689573008844</v>
      </c>
      <c r="U88" s="36">
        <f t="shared" si="89"/>
        <v>79832.836272056767</v>
      </c>
      <c r="V88" s="36">
        <f t="shared" si="89"/>
        <v>68551.431041095973</v>
      </c>
      <c r="W88" s="36">
        <f t="shared" ref="W88" si="90">IF(W6=0,0,W6*1000000/W26)</f>
        <v>74695.881209517407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68072.334151758158</v>
      </c>
      <c r="C89" s="36">
        <f t="shared" si="84"/>
        <v>68051.885281073424</v>
      </c>
      <c r="D89" s="36">
        <f t="shared" ref="D89:V89" si="91">IF(D7=0,0,D7*1000000/D27)</f>
        <v>67976.1858973255</v>
      </c>
      <c r="E89" s="36">
        <f t="shared" si="91"/>
        <v>67938.678517656561</v>
      </c>
      <c r="F89" s="36">
        <f t="shared" si="91"/>
        <v>68106.811333516511</v>
      </c>
      <c r="G89" s="36">
        <f t="shared" si="91"/>
        <v>68588.641611355662</v>
      </c>
      <c r="H89" s="36">
        <f t="shared" si="91"/>
        <v>68942.968343150045</v>
      </c>
      <c r="I89" s="36">
        <f t="shared" si="91"/>
        <v>70596.309660078114</v>
      </c>
      <c r="J89" s="36">
        <f t="shared" si="91"/>
        <v>67969.496948350003</v>
      </c>
      <c r="K89" s="36">
        <f t="shared" si="91"/>
        <v>64142.217228832633</v>
      </c>
      <c r="L89" s="36">
        <f t="shared" si="91"/>
        <v>65625.986839218662</v>
      </c>
      <c r="M89" s="36">
        <f t="shared" si="91"/>
        <v>66291.866834491026</v>
      </c>
      <c r="N89" s="36">
        <f t="shared" si="91"/>
        <v>75337.0672830314</v>
      </c>
      <c r="O89" s="36">
        <f t="shared" si="91"/>
        <v>79372.029570624596</v>
      </c>
      <c r="P89" s="36">
        <f t="shared" si="91"/>
        <v>72841.761063551952</v>
      </c>
      <c r="Q89" s="36">
        <f t="shared" si="91"/>
        <v>69948.457845575758</v>
      </c>
      <c r="R89" s="36">
        <f t="shared" si="91"/>
        <v>65445.755934101049</v>
      </c>
      <c r="S89" s="36">
        <f t="shared" si="91"/>
        <v>68187.860360653896</v>
      </c>
      <c r="T89" s="36">
        <f t="shared" si="91"/>
        <v>76606.1124400923</v>
      </c>
      <c r="U89" s="36">
        <f t="shared" si="91"/>
        <v>90767.989841991017</v>
      </c>
      <c r="V89" s="36">
        <f t="shared" si="91"/>
        <v>85158.366348705924</v>
      </c>
      <c r="W89" s="36">
        <f t="shared" ref="W89" si="92">IF(W7=0,0,W7*1000000/W27)</f>
        <v>98056.926572537937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41296.148384029424</v>
      </c>
      <c r="C90" s="13">
        <f t="shared" si="84"/>
        <v>49516.337434328903</v>
      </c>
      <c r="D90" s="13">
        <f t="shared" ref="D90:V90" si="93">IF(D8=0,0,D8*1000000/D28)</f>
        <v>54196.308652241474</v>
      </c>
      <c r="E90" s="13">
        <f t="shared" si="93"/>
        <v>63095.137354559702</v>
      </c>
      <c r="F90" s="13">
        <f t="shared" si="93"/>
        <v>65100.083395979476</v>
      </c>
      <c r="G90" s="13">
        <f t="shared" si="93"/>
        <v>50782.648572933991</v>
      </c>
      <c r="H90" s="13">
        <f t="shared" si="93"/>
        <v>23883.635180404584</v>
      </c>
      <c r="I90" s="13">
        <f t="shared" si="93"/>
        <v>13072.214785501206</v>
      </c>
      <c r="J90" s="13">
        <f t="shared" si="93"/>
        <v>16258.875228827685</v>
      </c>
      <c r="K90" s="13">
        <f t="shared" si="93"/>
        <v>18268.702286059313</v>
      </c>
      <c r="L90" s="13">
        <f t="shared" si="93"/>
        <v>14158.39375163375</v>
      </c>
      <c r="M90" s="13">
        <f t="shared" si="93"/>
        <v>13654.590686664134</v>
      </c>
      <c r="N90" s="13">
        <f t="shared" si="93"/>
        <v>13535.18756119785</v>
      </c>
      <c r="O90" s="13">
        <f t="shared" si="93"/>
        <v>14767.048040823875</v>
      </c>
      <c r="P90" s="13">
        <f t="shared" si="93"/>
        <v>16804.458340932077</v>
      </c>
      <c r="Q90" s="13">
        <f t="shared" si="93"/>
        <v>15338.825350560819</v>
      </c>
      <c r="R90" s="13">
        <f t="shared" si="93"/>
        <v>16478.431796659934</v>
      </c>
      <c r="S90" s="13">
        <f t="shared" si="93"/>
        <v>16548.119567646525</v>
      </c>
      <c r="T90" s="13">
        <f t="shared" si="93"/>
        <v>17878.204434479281</v>
      </c>
      <c r="U90" s="13">
        <f t="shared" si="93"/>
        <v>18686.084998251918</v>
      </c>
      <c r="V90" s="13">
        <f t="shared" si="93"/>
        <v>13210.030258366349</v>
      </c>
      <c r="W90" s="13">
        <f t="shared" ref="W90" si="94">IF(W8=0,0,W8*1000000/W28)</f>
        <v>14254.508690914268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10505.228654408289</v>
      </c>
      <c r="C92" s="34">
        <f t="shared" si="84"/>
        <v>11159.149293446226</v>
      </c>
      <c r="D92" s="34">
        <f t="shared" ref="D92:V92" si="97">IF(D10=0,0,D10*1000000/D30)</f>
        <v>10511.088253973801</v>
      </c>
      <c r="E92" s="34">
        <f t="shared" si="97"/>
        <v>10750.521279065189</v>
      </c>
      <c r="F92" s="34">
        <f t="shared" si="97"/>
        <v>9737.0144394654035</v>
      </c>
      <c r="G92" s="34">
        <f t="shared" si="97"/>
        <v>9966.031474704374</v>
      </c>
      <c r="H92" s="34">
        <f t="shared" si="97"/>
        <v>8771.9835146984424</v>
      </c>
      <c r="I92" s="34">
        <f t="shared" si="97"/>
        <v>9912.3077340083</v>
      </c>
      <c r="J92" s="34">
        <f t="shared" si="97"/>
        <v>10178.24418076889</v>
      </c>
      <c r="K92" s="34">
        <f t="shared" si="97"/>
        <v>11182.906959437209</v>
      </c>
      <c r="L92" s="34">
        <f t="shared" si="97"/>
        <v>11618.060027371141</v>
      </c>
      <c r="M92" s="34">
        <f t="shared" si="97"/>
        <v>11121.943518966717</v>
      </c>
      <c r="N92" s="34">
        <f t="shared" si="97"/>
        <v>10597.39779981643</v>
      </c>
      <c r="O92" s="34">
        <f t="shared" si="97"/>
        <v>11508.268492304884</v>
      </c>
      <c r="P92" s="34">
        <f t="shared" si="97"/>
        <v>13359.327528164187</v>
      </c>
      <c r="Q92" s="34">
        <f t="shared" si="97"/>
        <v>13848.156224915903</v>
      </c>
      <c r="R92" s="34">
        <f t="shared" si="97"/>
        <v>15056.074845798748</v>
      </c>
      <c r="S92" s="34">
        <f t="shared" si="97"/>
        <v>14277.969070676741</v>
      </c>
      <c r="T92" s="34">
        <f t="shared" si="97"/>
        <v>14711.993061161646</v>
      </c>
      <c r="U92" s="34">
        <f t="shared" si="97"/>
        <v>14684.586700756685</v>
      </c>
      <c r="V92" s="34">
        <f t="shared" si="97"/>
        <v>10614.437822390661</v>
      </c>
      <c r="W92" s="34">
        <f t="shared" ref="W92" si="98">IF(W10=0,0,W10*1000000/W30)</f>
        <v>11461.954049408236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219883.48281583199</v>
      </c>
      <c r="C93" s="35">
        <f t="shared" si="84"/>
        <v>230343.08152706153</v>
      </c>
      <c r="D93" s="35">
        <f t="shared" ref="D93:V93" si="99">IF(D11=0,0,D11*1000000/D31)</f>
        <v>217541.04579359016</v>
      </c>
      <c r="E93" s="35">
        <f t="shared" si="99"/>
        <v>197695.57869154558</v>
      </c>
      <c r="F93" s="35">
        <f t="shared" si="99"/>
        <v>191899.37036089881</v>
      </c>
      <c r="G93" s="35">
        <f t="shared" si="99"/>
        <v>183436.65414218022</v>
      </c>
      <c r="H93" s="35">
        <f t="shared" si="99"/>
        <v>145985.78063931019</v>
      </c>
      <c r="I93" s="35">
        <f t="shared" si="99"/>
        <v>115637.53116520851</v>
      </c>
      <c r="J93" s="35">
        <f t="shared" si="99"/>
        <v>84732.068335228847</v>
      </c>
      <c r="K93" s="35">
        <f t="shared" si="99"/>
        <v>66202.023613208818</v>
      </c>
      <c r="L93" s="35">
        <f t="shared" si="99"/>
        <v>35497.197035439654</v>
      </c>
      <c r="M93" s="35">
        <f t="shared" si="99"/>
        <v>33455.28672502577</v>
      </c>
      <c r="N93" s="35">
        <f t="shared" si="99"/>
        <v>39555.611162004687</v>
      </c>
      <c r="O93" s="35">
        <f t="shared" si="99"/>
        <v>42466.674203235307</v>
      </c>
      <c r="P93" s="35">
        <f t="shared" si="99"/>
        <v>42834.335592956129</v>
      </c>
      <c r="Q93" s="35">
        <f t="shared" si="99"/>
        <v>39338.598273443997</v>
      </c>
      <c r="R93" s="35">
        <f t="shared" si="99"/>
        <v>37671.550364491552</v>
      </c>
      <c r="S93" s="35">
        <f t="shared" si="99"/>
        <v>40654.955797373281</v>
      </c>
      <c r="T93" s="35">
        <f t="shared" si="99"/>
        <v>50015.249873653273</v>
      </c>
      <c r="U93" s="35">
        <f t="shared" si="99"/>
        <v>54910.174849261413</v>
      </c>
      <c r="V93" s="35">
        <f t="shared" si="99"/>
        <v>39776.68225011749</v>
      </c>
      <c r="W93" s="35">
        <f t="shared" ref="W93" si="100">IF(W11=0,0,W11*1000000/W31)</f>
        <v>44825.633187401356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1384.6732828615993</v>
      </c>
      <c r="C95" s="62">
        <f t="shared" si="101"/>
        <v>1384.3511850969383</v>
      </c>
      <c r="D95" s="62">
        <f t="shared" ref="D95:V95" si="102">IF(D23=0,0,D23/D43)</f>
        <v>1384.278666127841</v>
      </c>
      <c r="E95" s="62">
        <f t="shared" si="102"/>
        <v>1351.8240326466621</v>
      </c>
      <c r="F95" s="62">
        <f t="shared" si="102"/>
        <v>1136.1203924295121</v>
      </c>
      <c r="G95" s="62">
        <f t="shared" si="102"/>
        <v>1351.9566349393747</v>
      </c>
      <c r="H95" s="62">
        <f t="shared" si="102"/>
        <v>1376.7199649871106</v>
      </c>
      <c r="I95" s="62">
        <f t="shared" si="102"/>
        <v>1338.7415494713916</v>
      </c>
      <c r="J95" s="62">
        <f t="shared" si="102"/>
        <v>1304.5769355729301</v>
      </c>
      <c r="K95" s="62">
        <f t="shared" si="102"/>
        <v>1228.8269791734772</v>
      </c>
      <c r="L95" s="62">
        <f t="shared" si="102"/>
        <v>1164.9114781758387</v>
      </c>
      <c r="M95" s="62">
        <f t="shared" si="102"/>
        <v>1214.8926201998604</v>
      </c>
      <c r="N95" s="62">
        <f t="shared" si="102"/>
        <v>1146.2459433922309</v>
      </c>
      <c r="O95" s="62">
        <f t="shared" si="102"/>
        <v>1135.2990908081897</v>
      </c>
      <c r="P95" s="62">
        <f t="shared" si="102"/>
        <v>1181.4605907786142</v>
      </c>
      <c r="Q95" s="62">
        <f t="shared" si="102"/>
        <v>1229.9975060802171</v>
      </c>
      <c r="R95" s="62">
        <f t="shared" si="102"/>
        <v>1234.5801749897312</v>
      </c>
      <c r="S95" s="62">
        <f t="shared" si="102"/>
        <v>1289.0151797376275</v>
      </c>
      <c r="T95" s="62">
        <f t="shared" si="102"/>
        <v>1280.3558278043683</v>
      </c>
      <c r="U95" s="62">
        <f t="shared" si="102"/>
        <v>1213.9006160983599</v>
      </c>
      <c r="V95" s="62">
        <f t="shared" si="102"/>
        <v>267.84841291647325</v>
      </c>
      <c r="W95" s="62">
        <f t="shared" ref="W95" si="103">IF(W23=0,0,W23/W43)</f>
        <v>384.47382685523394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1388.3170518316419</v>
      </c>
      <c r="C96" s="11">
        <f t="shared" si="104"/>
        <v>1388.3099238988395</v>
      </c>
      <c r="D96" s="11">
        <f t="shared" ref="D96:V96" si="105">IF(D24=0,0,D24/D44)</f>
        <v>1388.3180883077225</v>
      </c>
      <c r="E96" s="11">
        <f t="shared" si="105"/>
        <v>1356.8575796644984</v>
      </c>
      <c r="F96" s="11">
        <f t="shared" si="105"/>
        <v>1138.8165788636265</v>
      </c>
      <c r="G96" s="11">
        <f t="shared" si="105"/>
        <v>1357.2112647088131</v>
      </c>
      <c r="H96" s="11">
        <f t="shared" si="105"/>
        <v>1382.3651747236315</v>
      </c>
      <c r="I96" s="11">
        <f t="shared" si="105"/>
        <v>1345.4412284716211</v>
      </c>
      <c r="J96" s="11">
        <f t="shared" si="105"/>
        <v>1350.7682663455696</v>
      </c>
      <c r="K96" s="11">
        <f t="shared" si="105"/>
        <v>1283.9748514474854</v>
      </c>
      <c r="L96" s="11">
        <f t="shared" si="105"/>
        <v>1213.5821260659591</v>
      </c>
      <c r="M96" s="11">
        <f t="shared" si="105"/>
        <v>1269.0688857460693</v>
      </c>
      <c r="N96" s="11">
        <f t="shared" si="105"/>
        <v>1197.1407248996647</v>
      </c>
      <c r="O96" s="11">
        <f t="shared" si="105"/>
        <v>1188.337667939328</v>
      </c>
      <c r="P96" s="11">
        <f t="shared" si="105"/>
        <v>1245.544614634118</v>
      </c>
      <c r="Q96" s="11">
        <f t="shared" si="105"/>
        <v>1292.7928427578211</v>
      </c>
      <c r="R96" s="11">
        <f t="shared" si="105"/>
        <v>1298.5695311925156</v>
      </c>
      <c r="S96" s="11">
        <f t="shared" si="105"/>
        <v>1340.5100220235263</v>
      </c>
      <c r="T96" s="11">
        <f t="shared" si="105"/>
        <v>1330.2737893399126</v>
      </c>
      <c r="U96" s="11">
        <f t="shared" si="105"/>
        <v>1268.0441526737734</v>
      </c>
      <c r="V96" s="11">
        <f t="shared" si="105"/>
        <v>260.94571063296422</v>
      </c>
      <c r="W96" s="11">
        <f t="shared" ref="W96" si="106">IF(W24=0,0,W24/W44)</f>
        <v>380.26868750717915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1598.0223516563524</v>
      </c>
      <c r="C98" s="36">
        <f t="shared" si="104"/>
        <v>1598.0454563868782</v>
      </c>
      <c r="D98" s="36">
        <f t="shared" ref="D98:V98" si="109">IF(D26=0,0,D26/D46)</f>
        <v>1598.0298278777611</v>
      </c>
      <c r="E98" s="36">
        <f t="shared" si="109"/>
        <v>1561.8512799730281</v>
      </c>
      <c r="F98" s="36">
        <f t="shared" si="109"/>
        <v>1310.8576530950886</v>
      </c>
      <c r="G98" s="36">
        <f t="shared" si="109"/>
        <v>1566.9037596026249</v>
      </c>
      <c r="H98" s="36">
        <f t="shared" si="109"/>
        <v>1557.6935658157911</v>
      </c>
      <c r="I98" s="36">
        <f t="shared" si="109"/>
        <v>1512.5749480595039</v>
      </c>
      <c r="J98" s="36">
        <f t="shared" si="109"/>
        <v>1518.6344411471696</v>
      </c>
      <c r="K98" s="36">
        <f t="shared" si="109"/>
        <v>1431.5729139411128</v>
      </c>
      <c r="L98" s="36">
        <f t="shared" si="109"/>
        <v>1310.109591501636</v>
      </c>
      <c r="M98" s="36">
        <f t="shared" si="109"/>
        <v>1425.6038848925821</v>
      </c>
      <c r="N98" s="36">
        <f t="shared" si="109"/>
        <v>1357.4825966293799</v>
      </c>
      <c r="O98" s="36">
        <f t="shared" si="109"/>
        <v>1370.604547542081</v>
      </c>
      <c r="P98" s="36">
        <f t="shared" si="109"/>
        <v>1457.6998369225314</v>
      </c>
      <c r="Q98" s="36">
        <f t="shared" si="109"/>
        <v>1516.6827968411642</v>
      </c>
      <c r="R98" s="36">
        <f t="shared" si="109"/>
        <v>1518.3974792987685</v>
      </c>
      <c r="S98" s="36">
        <f t="shared" si="109"/>
        <v>1506.6923412282381</v>
      </c>
      <c r="T98" s="36">
        <f t="shared" si="109"/>
        <v>1504.4748039419462</v>
      </c>
      <c r="U98" s="36">
        <f t="shared" si="109"/>
        <v>1412.9510155432899</v>
      </c>
      <c r="V98" s="36">
        <f t="shared" si="109"/>
        <v>323.72437763142489</v>
      </c>
      <c r="W98" s="36">
        <f t="shared" ref="W98" si="110">IF(W26=0,0,W26/W46)</f>
        <v>484.2953331474103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1077</v>
      </c>
      <c r="C99" s="36">
        <f t="shared" si="104"/>
        <v>1077</v>
      </c>
      <c r="D99" s="36">
        <f t="shared" ref="D99:V99" si="111">IF(D27=0,0,D27/D47)</f>
        <v>1077</v>
      </c>
      <c r="E99" s="36">
        <f t="shared" si="111"/>
        <v>1052.5442228076779</v>
      </c>
      <c r="F99" s="36">
        <f t="shared" si="111"/>
        <v>883.42221812142463</v>
      </c>
      <c r="G99" s="36">
        <f t="shared" si="111"/>
        <v>1017.2189927465406</v>
      </c>
      <c r="H99" s="36">
        <f t="shared" si="111"/>
        <v>1080</v>
      </c>
      <c r="I99" s="36">
        <f t="shared" si="111"/>
        <v>1083</v>
      </c>
      <c r="J99" s="36">
        <f t="shared" si="111"/>
        <v>1098</v>
      </c>
      <c r="K99" s="36">
        <f t="shared" si="111"/>
        <v>1087</v>
      </c>
      <c r="L99" s="36">
        <f t="shared" si="111"/>
        <v>1094</v>
      </c>
      <c r="M99" s="36">
        <f t="shared" si="111"/>
        <v>1083</v>
      </c>
      <c r="N99" s="36">
        <f t="shared" si="111"/>
        <v>1024</v>
      </c>
      <c r="O99" s="36">
        <f t="shared" si="111"/>
        <v>1017</v>
      </c>
      <c r="P99" s="36">
        <f t="shared" si="111"/>
        <v>1064</v>
      </c>
      <c r="Q99" s="36">
        <f t="shared" si="111"/>
        <v>1107</v>
      </c>
      <c r="R99" s="36">
        <f t="shared" si="111"/>
        <v>1084.0786629489619</v>
      </c>
      <c r="S99" s="36">
        <f t="shared" si="111"/>
        <v>1175</v>
      </c>
      <c r="T99" s="36">
        <f t="shared" si="111"/>
        <v>1141</v>
      </c>
      <c r="U99" s="36">
        <f t="shared" si="111"/>
        <v>1118</v>
      </c>
      <c r="V99" s="36">
        <f t="shared" si="111"/>
        <v>198.00829102915554</v>
      </c>
      <c r="W99" s="36">
        <f t="shared" ref="W99" si="112">IF(W27=0,0,W27/W47)</f>
        <v>279.94581280951786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1084.7182806289352</v>
      </c>
      <c r="C100" s="13">
        <f t="shared" si="104"/>
        <v>1011.0515344398988</v>
      </c>
      <c r="D100" s="13">
        <f t="shared" ref="D100:V100" si="113">IF(D28=0,0,D28/D48)</f>
        <v>956.57865403371875</v>
      </c>
      <c r="E100" s="13">
        <f t="shared" si="113"/>
        <v>869.14823886569843</v>
      </c>
      <c r="F100" s="13">
        <f t="shared" si="113"/>
        <v>898.57963750801332</v>
      </c>
      <c r="G100" s="13">
        <f t="shared" si="113"/>
        <v>953.52987999939921</v>
      </c>
      <c r="H100" s="13">
        <f t="shared" si="113"/>
        <v>1111.9153533444585</v>
      </c>
      <c r="I100" s="13">
        <f t="shared" si="113"/>
        <v>1227.5843948802817</v>
      </c>
      <c r="J100" s="13">
        <f t="shared" si="113"/>
        <v>439.53141741098881</v>
      </c>
      <c r="K100" s="13">
        <f t="shared" si="113"/>
        <v>209.83871957313127</v>
      </c>
      <c r="L100" s="13">
        <f t="shared" si="113"/>
        <v>304.93900983228082</v>
      </c>
      <c r="M100" s="13">
        <f t="shared" si="113"/>
        <v>321.20326933057277</v>
      </c>
      <c r="N100" s="13">
        <f t="shared" si="113"/>
        <v>349.71451957331294</v>
      </c>
      <c r="O100" s="13">
        <f t="shared" si="113"/>
        <v>327.3470598628943</v>
      </c>
      <c r="P100" s="13">
        <f t="shared" si="113"/>
        <v>270.68732192734353</v>
      </c>
      <c r="Q100" s="13">
        <f t="shared" si="113"/>
        <v>306.76604687256116</v>
      </c>
      <c r="R100" s="13">
        <f t="shared" si="113"/>
        <v>291.80188945757953</v>
      </c>
      <c r="S100" s="13">
        <f t="shared" si="113"/>
        <v>450.44004315164642</v>
      </c>
      <c r="T100" s="13">
        <f t="shared" si="113"/>
        <v>417.5469355834436</v>
      </c>
      <c r="U100" s="13">
        <f t="shared" si="113"/>
        <v>363.50061064704647</v>
      </c>
      <c r="V100" s="13">
        <f t="shared" si="113"/>
        <v>368.62752303664718</v>
      </c>
      <c r="W100" s="13">
        <f t="shared" ref="W100" si="114">IF(W28=0,0,W28/W48)</f>
        <v>440.60218057570626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1342.7196896217263</v>
      </c>
      <c r="C102" s="34">
        <f t="shared" si="104"/>
        <v>1273.2686711930164</v>
      </c>
      <c r="D102" s="34">
        <f t="shared" ref="D102:V102" si="117">IF(D30=0,0,D30/D50)</f>
        <v>1244.3307468477205</v>
      </c>
      <c r="E102" s="34">
        <f t="shared" si="117"/>
        <v>1190.5888873493141</v>
      </c>
      <c r="F102" s="34">
        <f t="shared" si="117"/>
        <v>1337.5122336227309</v>
      </c>
      <c r="G102" s="34">
        <f t="shared" si="117"/>
        <v>1332.9577464788731</v>
      </c>
      <c r="H102" s="34">
        <f t="shared" si="117"/>
        <v>1333.1516024091088</v>
      </c>
      <c r="I102" s="34">
        <f t="shared" si="117"/>
        <v>1286.7584360151404</v>
      </c>
      <c r="J102" s="34">
        <f t="shared" si="117"/>
        <v>434.01173813592203</v>
      </c>
      <c r="K102" s="34">
        <f t="shared" si="117"/>
        <v>195.53870080796497</v>
      </c>
      <c r="L102" s="34">
        <f t="shared" si="117"/>
        <v>289.91525185902134</v>
      </c>
      <c r="M102" s="34">
        <f t="shared" si="117"/>
        <v>301.31008210631012</v>
      </c>
      <c r="N102" s="34">
        <f t="shared" si="117"/>
        <v>330.56582040572721</v>
      </c>
      <c r="O102" s="34">
        <f t="shared" si="117"/>
        <v>306.26072872620159</v>
      </c>
      <c r="P102" s="34">
        <f t="shared" si="117"/>
        <v>248.41107952478404</v>
      </c>
      <c r="Q102" s="34">
        <f t="shared" si="117"/>
        <v>298.21210217113889</v>
      </c>
      <c r="R102" s="34">
        <f t="shared" si="117"/>
        <v>280.47322248347427</v>
      </c>
      <c r="S102" s="34">
        <f t="shared" si="117"/>
        <v>425.00296311388712</v>
      </c>
      <c r="T102" s="34">
        <f t="shared" si="117"/>
        <v>392.5677697018109</v>
      </c>
      <c r="U102" s="34">
        <f t="shared" si="117"/>
        <v>337.79866730404063</v>
      </c>
      <c r="V102" s="34">
        <f t="shared" si="117"/>
        <v>345.63613785711448</v>
      </c>
      <c r="W102" s="34">
        <f t="shared" ref="W102" si="118">IF(W30=0,0,W30/W50)</f>
        <v>417.95592750192947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513</v>
      </c>
      <c r="C103" s="35">
        <f t="shared" si="104"/>
        <v>513</v>
      </c>
      <c r="D103" s="35">
        <f t="shared" ref="D103:V103" si="119">IF(D31=0,0,D31/D51)</f>
        <v>513</v>
      </c>
      <c r="E103" s="35">
        <f t="shared" si="119"/>
        <v>513</v>
      </c>
      <c r="F103" s="35">
        <f t="shared" si="119"/>
        <v>513</v>
      </c>
      <c r="G103" s="35">
        <f t="shared" si="119"/>
        <v>495.31034482758622</v>
      </c>
      <c r="H103" s="35">
        <f t="shared" si="119"/>
        <v>475</v>
      </c>
      <c r="I103" s="35">
        <f t="shared" si="119"/>
        <v>492.48</v>
      </c>
      <c r="J103" s="35">
        <f t="shared" si="119"/>
        <v>513</v>
      </c>
      <c r="K103" s="35">
        <f t="shared" si="119"/>
        <v>415.28571428571433</v>
      </c>
      <c r="L103" s="35">
        <f t="shared" si="119"/>
        <v>540</v>
      </c>
      <c r="M103" s="35">
        <f t="shared" si="119"/>
        <v>663.88235294117646</v>
      </c>
      <c r="N103" s="35">
        <f t="shared" si="119"/>
        <v>718.2</v>
      </c>
      <c r="O103" s="35">
        <f t="shared" si="119"/>
        <v>789.23076923076928</v>
      </c>
      <c r="P103" s="35">
        <f t="shared" si="119"/>
        <v>839.4545454545455</v>
      </c>
      <c r="Q103" s="35">
        <f t="shared" si="119"/>
        <v>570</v>
      </c>
      <c r="R103" s="35">
        <f t="shared" si="119"/>
        <v>732.85714285714289</v>
      </c>
      <c r="S103" s="35">
        <f t="shared" si="119"/>
        <v>1236</v>
      </c>
      <c r="T103" s="35">
        <f t="shared" si="119"/>
        <v>1179</v>
      </c>
      <c r="U103" s="35">
        <f t="shared" si="119"/>
        <v>1168</v>
      </c>
      <c r="V103" s="35">
        <f t="shared" si="119"/>
        <v>1155</v>
      </c>
      <c r="W103" s="35">
        <f t="shared" ref="W103" si="120">IF(W31=0,0,W31/W51)</f>
        <v>1083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0.54818967154505416</v>
      </c>
      <c r="C108" s="43">
        <f t="shared" si="127"/>
        <v>0.55081829567726059</v>
      </c>
      <c r="D108" s="43">
        <f t="shared" ref="D108:V108" si="128">IF(D6=0,0,D6/D$4)</f>
        <v>0.55145441439802412</v>
      </c>
      <c r="E108" s="43">
        <f t="shared" si="128"/>
        <v>0.54858742824690077</v>
      </c>
      <c r="F108" s="43">
        <f t="shared" si="128"/>
        <v>0.54727055003611913</v>
      </c>
      <c r="G108" s="43">
        <f t="shared" si="128"/>
        <v>0.60409435675968415</v>
      </c>
      <c r="H108" s="43">
        <f t="shared" si="128"/>
        <v>0.61021616522400801</v>
      </c>
      <c r="I108" s="43">
        <f t="shared" si="128"/>
        <v>0.58009378512218235</v>
      </c>
      <c r="J108" s="43">
        <f t="shared" si="128"/>
        <v>0.56138814239648149</v>
      </c>
      <c r="K108" s="43">
        <f t="shared" si="128"/>
        <v>0.51649741533015692</v>
      </c>
      <c r="L108" s="43">
        <f t="shared" si="128"/>
        <v>0.49983466744763544</v>
      </c>
      <c r="M108" s="43">
        <f t="shared" si="128"/>
        <v>0.5234275341741228</v>
      </c>
      <c r="N108" s="43">
        <f t="shared" si="128"/>
        <v>0.45139335309360235</v>
      </c>
      <c r="O108" s="43">
        <f t="shared" si="128"/>
        <v>0.46407958268662797</v>
      </c>
      <c r="P108" s="43">
        <f t="shared" si="128"/>
        <v>0.49137977550544576</v>
      </c>
      <c r="Q108" s="43">
        <f t="shared" si="128"/>
        <v>0.50893603625743877</v>
      </c>
      <c r="R108" s="43">
        <f t="shared" si="128"/>
        <v>0.57148174475244706</v>
      </c>
      <c r="S108" s="43">
        <f t="shared" si="128"/>
        <v>0.56461026836354633</v>
      </c>
      <c r="T108" s="43">
        <f t="shared" si="128"/>
        <v>0.56438296555150758</v>
      </c>
      <c r="U108" s="43">
        <f t="shared" si="128"/>
        <v>0.53509361883411177</v>
      </c>
      <c r="V108" s="43">
        <f t="shared" si="128"/>
        <v>0.56885491550574374</v>
      </c>
      <c r="W108" s="43">
        <f t="shared" ref="W108" si="129">IF(W6=0,0,W6/W$4)</f>
        <v>0.55964520621387026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0.45181032845494584</v>
      </c>
      <c r="C109" s="43">
        <f t="shared" si="130"/>
        <v>0.44918170432273929</v>
      </c>
      <c r="D109" s="43">
        <f t="shared" ref="D109:V109" si="131">IF(D7=0,0,D7/D$4)</f>
        <v>0.44854558560197588</v>
      </c>
      <c r="E109" s="43">
        <f t="shared" si="131"/>
        <v>0.45141257175309923</v>
      </c>
      <c r="F109" s="43">
        <f t="shared" si="131"/>
        <v>0.45272944996388093</v>
      </c>
      <c r="G109" s="43">
        <f t="shared" si="131"/>
        <v>0.39590564324031585</v>
      </c>
      <c r="H109" s="43">
        <f t="shared" si="131"/>
        <v>0.3897838347759921</v>
      </c>
      <c r="I109" s="43">
        <f t="shared" si="131"/>
        <v>0.4199062148778176</v>
      </c>
      <c r="J109" s="43">
        <f t="shared" si="131"/>
        <v>0.43861185760351856</v>
      </c>
      <c r="K109" s="43">
        <f t="shared" si="131"/>
        <v>0.48350258466984297</v>
      </c>
      <c r="L109" s="43">
        <f t="shared" si="131"/>
        <v>0.50016533255236451</v>
      </c>
      <c r="M109" s="43">
        <f t="shared" si="131"/>
        <v>0.47657246582587731</v>
      </c>
      <c r="N109" s="43">
        <f t="shared" si="131"/>
        <v>0.54860664690639782</v>
      </c>
      <c r="O109" s="43">
        <f t="shared" si="131"/>
        <v>0.53592041731337192</v>
      </c>
      <c r="P109" s="43">
        <f t="shared" si="131"/>
        <v>0.50862022449455413</v>
      </c>
      <c r="Q109" s="43">
        <f t="shared" si="131"/>
        <v>0.49106396374256128</v>
      </c>
      <c r="R109" s="43">
        <f t="shared" si="131"/>
        <v>0.42851825524755283</v>
      </c>
      <c r="S109" s="43">
        <f t="shared" si="131"/>
        <v>0.43538973163645367</v>
      </c>
      <c r="T109" s="43">
        <f t="shared" si="131"/>
        <v>0.43561703444849242</v>
      </c>
      <c r="U109" s="43">
        <f t="shared" si="131"/>
        <v>0.46490638116588817</v>
      </c>
      <c r="V109" s="43">
        <f t="shared" si="131"/>
        <v>0.43114508449425631</v>
      </c>
      <c r="W109" s="43">
        <f t="shared" ref="W109" si="132">IF(W7=0,0,W7/W$4)</f>
        <v>0.44035479378612968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0.21697767075654928</v>
      </c>
      <c r="C112" s="44">
        <f t="shared" si="139"/>
        <v>0.18592445734305368</v>
      </c>
      <c r="D112" s="44">
        <f t="shared" ref="D112:V112" si="140">IF(D10=0,0,D10/D$8)</f>
        <v>0.15302060982782462</v>
      </c>
      <c r="E112" s="44">
        <f t="shared" si="140"/>
        <v>0.12267784246875188</v>
      </c>
      <c r="F112" s="44">
        <f t="shared" si="140"/>
        <v>0.10411239715391095</v>
      </c>
      <c r="G112" s="44">
        <f t="shared" si="140"/>
        <v>0.15007257609802688</v>
      </c>
      <c r="H112" s="44">
        <f t="shared" si="140"/>
        <v>0.32683073477485064</v>
      </c>
      <c r="I112" s="44">
        <f t="shared" si="140"/>
        <v>0.73560981274127701</v>
      </c>
      <c r="J112" s="44">
        <f t="shared" si="140"/>
        <v>0.57495389849389045</v>
      </c>
      <c r="K112" s="44">
        <f t="shared" si="140"/>
        <v>0.53329918791679265</v>
      </c>
      <c r="L112" s="44">
        <f t="shared" si="140"/>
        <v>0.7332820641094322</v>
      </c>
      <c r="M112" s="44">
        <f t="shared" si="140"/>
        <v>0.72215216247412739</v>
      </c>
      <c r="N112" s="44">
        <f t="shared" si="140"/>
        <v>0.70352179674236515</v>
      </c>
      <c r="O112" s="44">
        <f t="shared" si="140"/>
        <v>0.69728708002021855</v>
      </c>
      <c r="P112" s="44">
        <f t="shared" si="140"/>
        <v>0.70206652590954932</v>
      </c>
      <c r="Q112" s="44">
        <f t="shared" si="140"/>
        <v>0.85002092595543444</v>
      </c>
      <c r="R112" s="44">
        <f t="shared" si="140"/>
        <v>0.85621933407412776</v>
      </c>
      <c r="S112" s="44">
        <f t="shared" si="140"/>
        <v>0.78855651344483602</v>
      </c>
      <c r="T112" s="44">
        <f t="shared" si="140"/>
        <v>0.74909825811380393</v>
      </c>
      <c r="U112" s="44">
        <f t="shared" si="140"/>
        <v>0.70768255079683395</v>
      </c>
      <c r="V112" s="44">
        <f t="shared" si="140"/>
        <v>0.73199660364902353</v>
      </c>
      <c r="W112" s="44">
        <f t="shared" ref="W112" si="141">IF(W10=0,0,W10/W$8)</f>
        <v>0.73679027975535083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0.78302232924345072</v>
      </c>
      <c r="C113" s="45">
        <f t="shared" si="142"/>
        <v>0.81407554265694626</v>
      </c>
      <c r="D113" s="45">
        <f t="shared" ref="D113:V113" si="143">IF(D11=0,0,D11/D$8)</f>
        <v>0.84697939017217538</v>
      </c>
      <c r="E113" s="45">
        <f t="shared" si="143"/>
        <v>0.8773221575312482</v>
      </c>
      <c r="F113" s="45">
        <f t="shared" si="143"/>
        <v>0.89588760284608904</v>
      </c>
      <c r="G113" s="45">
        <f t="shared" si="143"/>
        <v>0.84992742390197307</v>
      </c>
      <c r="H113" s="45">
        <f t="shared" si="143"/>
        <v>0.6731692652251493</v>
      </c>
      <c r="I113" s="45">
        <f t="shared" si="143"/>
        <v>0.26439018725872304</v>
      </c>
      <c r="J113" s="45">
        <f t="shared" si="143"/>
        <v>0.42504610150610944</v>
      </c>
      <c r="K113" s="45">
        <f t="shared" si="143"/>
        <v>0.46670081208320741</v>
      </c>
      <c r="L113" s="45">
        <f t="shared" si="143"/>
        <v>0.26671793589056775</v>
      </c>
      <c r="M113" s="45">
        <f t="shared" si="143"/>
        <v>0.27784783752587272</v>
      </c>
      <c r="N113" s="45">
        <f t="shared" si="143"/>
        <v>0.2964782032576348</v>
      </c>
      <c r="O113" s="45">
        <f t="shared" si="143"/>
        <v>0.30271291997978145</v>
      </c>
      <c r="P113" s="45">
        <f t="shared" si="143"/>
        <v>0.29793347409045068</v>
      </c>
      <c r="Q113" s="45">
        <f t="shared" si="143"/>
        <v>0.14997907404456559</v>
      </c>
      <c r="R113" s="45">
        <f t="shared" si="143"/>
        <v>0.14378066592587233</v>
      </c>
      <c r="S113" s="45">
        <f t="shared" si="143"/>
        <v>0.21144348655516396</v>
      </c>
      <c r="T113" s="45">
        <f t="shared" si="143"/>
        <v>0.25090174188619602</v>
      </c>
      <c r="U113" s="45">
        <f t="shared" si="143"/>
        <v>0.2923174492031661</v>
      </c>
      <c r="V113" s="45">
        <f t="shared" si="143"/>
        <v>0.26800339635097636</v>
      </c>
      <c r="W113" s="45">
        <f t="shared" ref="W113" si="144">IF(W11=0,0,W11/W$8)</f>
        <v>0.26320972024464923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0.60168401992731746</v>
      </c>
      <c r="C118" s="43">
        <f t="shared" si="151"/>
        <v>0.60163807529824953</v>
      </c>
      <c r="D118" s="43">
        <f t="shared" ref="D118:V118" si="152">IF(D16=0,0,D16/D$14)</f>
        <v>0.60167554670565881</v>
      </c>
      <c r="E118" s="43">
        <f t="shared" si="152"/>
        <v>0.60169886830715391</v>
      </c>
      <c r="F118" s="43">
        <f t="shared" si="152"/>
        <v>0.60169108747143507</v>
      </c>
      <c r="G118" s="43">
        <f t="shared" si="152"/>
        <v>0.63286470713542065</v>
      </c>
      <c r="H118" s="43">
        <f t="shared" si="152"/>
        <v>0.64757384851029276</v>
      </c>
      <c r="I118" s="43">
        <f t="shared" si="152"/>
        <v>0.63584069185953462</v>
      </c>
      <c r="J118" s="43">
        <f t="shared" si="152"/>
        <v>0.62854472619264889</v>
      </c>
      <c r="K118" s="43">
        <f t="shared" si="152"/>
        <v>0.5857868947705861</v>
      </c>
      <c r="L118" s="43">
        <f t="shared" si="152"/>
        <v>0.54802762196205779</v>
      </c>
      <c r="M118" s="43">
        <f t="shared" si="152"/>
        <v>0.54706854450608544</v>
      </c>
      <c r="N118" s="43">
        <f t="shared" si="152"/>
        <v>0.4848521831880539</v>
      </c>
      <c r="O118" s="43">
        <f t="shared" si="152"/>
        <v>0.46575603521741687</v>
      </c>
      <c r="P118" s="43">
        <f t="shared" si="152"/>
        <v>0.46800655342480268</v>
      </c>
      <c r="Q118" s="43">
        <f t="shared" si="152"/>
        <v>0.48489370710344221</v>
      </c>
      <c r="R118" s="43">
        <f t="shared" si="152"/>
        <v>0.56076956817774914</v>
      </c>
      <c r="S118" s="43">
        <f t="shared" si="152"/>
        <v>0.5472640510991843</v>
      </c>
      <c r="T118" s="43">
        <f t="shared" si="152"/>
        <v>0.56203113838459329</v>
      </c>
      <c r="U118" s="43">
        <f t="shared" si="152"/>
        <v>0.53682157490758098</v>
      </c>
      <c r="V118" s="43">
        <f t="shared" si="152"/>
        <v>0.56621118520979541</v>
      </c>
      <c r="W118" s="43">
        <f t="shared" ref="W118" si="153">IF(W16=0,0,W16/W$14)</f>
        <v>0.56184903171182554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0.39831598007268249</v>
      </c>
      <c r="C119" s="43">
        <f t="shared" si="154"/>
        <v>0.39836192470175052</v>
      </c>
      <c r="D119" s="43">
        <f t="shared" ref="D119:V119" si="155">IF(D17=0,0,D17/D$14)</f>
        <v>0.39832445329434107</v>
      </c>
      <c r="E119" s="43">
        <f t="shared" si="155"/>
        <v>0.39830113169284603</v>
      </c>
      <c r="F119" s="43">
        <f t="shared" si="155"/>
        <v>0.39830891252856487</v>
      </c>
      <c r="G119" s="43">
        <f t="shared" si="155"/>
        <v>0.36713529286457924</v>
      </c>
      <c r="H119" s="43">
        <f t="shared" si="155"/>
        <v>0.35242615148970735</v>
      </c>
      <c r="I119" s="43">
        <f t="shared" si="155"/>
        <v>0.36415930814046538</v>
      </c>
      <c r="J119" s="43">
        <f t="shared" si="155"/>
        <v>0.37145527380735105</v>
      </c>
      <c r="K119" s="43">
        <f t="shared" si="155"/>
        <v>0.41421310522941385</v>
      </c>
      <c r="L119" s="43">
        <f t="shared" si="155"/>
        <v>0.45197237803794227</v>
      </c>
      <c r="M119" s="43">
        <f t="shared" si="155"/>
        <v>0.4529314554939145</v>
      </c>
      <c r="N119" s="43">
        <f t="shared" si="155"/>
        <v>0.5151478168119461</v>
      </c>
      <c r="O119" s="43">
        <f t="shared" si="155"/>
        <v>0.53424396478258318</v>
      </c>
      <c r="P119" s="43">
        <f t="shared" si="155"/>
        <v>0.53199344657519732</v>
      </c>
      <c r="Q119" s="43">
        <f t="shared" si="155"/>
        <v>0.51510629289655785</v>
      </c>
      <c r="R119" s="43">
        <f t="shared" si="155"/>
        <v>0.43923043182225074</v>
      </c>
      <c r="S119" s="43">
        <f t="shared" si="155"/>
        <v>0.45273594890081581</v>
      </c>
      <c r="T119" s="43">
        <f t="shared" si="155"/>
        <v>0.43796886161540682</v>
      </c>
      <c r="U119" s="43">
        <f t="shared" si="155"/>
        <v>0.46317842509241902</v>
      </c>
      <c r="V119" s="43">
        <f t="shared" si="155"/>
        <v>0.43378881479020454</v>
      </c>
      <c r="W119" s="43">
        <f t="shared" ref="W119" si="156">IF(W17=0,0,W17/W$14)</f>
        <v>0.4381509682881744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0.46822863257964314</v>
      </c>
      <c r="C122" s="44">
        <f t="shared" si="163"/>
        <v>0.41915931701789266</v>
      </c>
      <c r="D122" s="44">
        <f t="shared" ref="D122:V122" si="164">IF(D20=0,0,D20/D$18)</f>
        <v>0.36436561916505639</v>
      </c>
      <c r="E122" s="44">
        <f t="shared" si="164"/>
        <v>0.28375525987667038</v>
      </c>
      <c r="F122" s="44">
        <f t="shared" si="164"/>
        <v>0.26140200423280102</v>
      </c>
      <c r="G122" s="44">
        <f t="shared" si="164"/>
        <v>0.33188200055417205</v>
      </c>
      <c r="H122" s="44">
        <f t="shared" si="164"/>
        <v>0.60233475292945438</v>
      </c>
      <c r="I122" s="44">
        <f t="shared" si="164"/>
        <v>0.89750653737160202</v>
      </c>
      <c r="J122" s="44">
        <f t="shared" si="164"/>
        <v>0.81212541443019448</v>
      </c>
      <c r="K122" s="44">
        <f t="shared" si="164"/>
        <v>0.80231559890961202</v>
      </c>
      <c r="L122" s="44">
        <f t="shared" si="164"/>
        <v>0.90800193235869531</v>
      </c>
      <c r="M122" s="44">
        <f t="shared" si="164"/>
        <v>0.90141069594247514</v>
      </c>
      <c r="N122" s="44">
        <f t="shared" si="164"/>
        <v>0.89147153041990124</v>
      </c>
      <c r="O122" s="44">
        <f t="shared" si="164"/>
        <v>0.88800533172462193</v>
      </c>
      <c r="P122" s="44">
        <f t="shared" si="164"/>
        <v>0.88898107335625143</v>
      </c>
      <c r="Q122" s="44">
        <f t="shared" si="164"/>
        <v>0.95104739446263797</v>
      </c>
      <c r="R122" s="44">
        <f t="shared" si="164"/>
        <v>0.95558226003743729</v>
      </c>
      <c r="S122" s="44">
        <f t="shared" si="164"/>
        <v>0.93458937214431415</v>
      </c>
      <c r="T122" s="44">
        <f t="shared" si="164"/>
        <v>0.92123200062601285</v>
      </c>
      <c r="U122" s="44">
        <f t="shared" si="164"/>
        <v>0.90287976073163623</v>
      </c>
      <c r="V122" s="44">
        <f t="shared" si="164"/>
        <v>0.90014096583920145</v>
      </c>
      <c r="W122" s="44">
        <f t="shared" ref="W122" si="165">IF(W20=0,0,W20/W$18)</f>
        <v>0.9024716815563858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0.53177136742035691</v>
      </c>
      <c r="C123" s="45">
        <f t="shared" si="166"/>
        <v>0.58084068298210734</v>
      </c>
      <c r="D123" s="45">
        <f t="shared" ref="D123:V123" si="167">IF(D21=0,0,D21/D$18)</f>
        <v>0.63563438083494372</v>
      </c>
      <c r="E123" s="45">
        <f t="shared" si="167"/>
        <v>0.71624474012332962</v>
      </c>
      <c r="F123" s="45">
        <f t="shared" si="167"/>
        <v>0.73859799576719898</v>
      </c>
      <c r="G123" s="45">
        <f t="shared" si="167"/>
        <v>0.66811799944582795</v>
      </c>
      <c r="H123" s="45">
        <f t="shared" si="167"/>
        <v>0.39766524707054557</v>
      </c>
      <c r="I123" s="45">
        <f t="shared" si="167"/>
        <v>0.10249346262839801</v>
      </c>
      <c r="J123" s="45">
        <f t="shared" si="167"/>
        <v>0.18787458556980555</v>
      </c>
      <c r="K123" s="45">
        <f t="shared" si="167"/>
        <v>0.19768440109038804</v>
      </c>
      <c r="L123" s="45">
        <f t="shared" si="167"/>
        <v>9.1998067641304776E-2</v>
      </c>
      <c r="M123" s="45">
        <f t="shared" si="167"/>
        <v>9.8589304057524821E-2</v>
      </c>
      <c r="N123" s="45">
        <f t="shared" si="167"/>
        <v>0.10852846958009871</v>
      </c>
      <c r="O123" s="45">
        <f t="shared" si="167"/>
        <v>0.11199466827537806</v>
      </c>
      <c r="P123" s="45">
        <f t="shared" si="167"/>
        <v>0.11101892664374854</v>
      </c>
      <c r="Q123" s="45">
        <f t="shared" si="167"/>
        <v>4.8952605537362061E-2</v>
      </c>
      <c r="R123" s="45">
        <f t="shared" si="167"/>
        <v>4.4417739962562659E-2</v>
      </c>
      <c r="S123" s="45">
        <f t="shared" si="167"/>
        <v>6.5410627855685924E-2</v>
      </c>
      <c r="T123" s="45">
        <f t="shared" si="167"/>
        <v>7.876799937398718E-2</v>
      </c>
      <c r="U123" s="45">
        <f t="shared" si="167"/>
        <v>9.7120239268363814E-2</v>
      </c>
      <c r="V123" s="45">
        <f t="shared" si="167"/>
        <v>9.9859034160798638E-2</v>
      </c>
      <c r="W123" s="45">
        <f t="shared" ref="W123" si="168">IF(W21=0,0,W21/W$18)</f>
        <v>9.752831844361419E-2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25.279449699054169</v>
      </c>
      <c r="C3" s="79">
        <f t="shared" si="0"/>
        <v>27.386070507308681</v>
      </c>
      <c r="D3" s="79">
        <f t="shared" ref="D3" si="1">SUM(D4:D5)</f>
        <v>29.492691315563206</v>
      </c>
      <c r="E3" s="79">
        <f t="shared" ref="E3" si="2">SUM(E4:E5)</f>
        <v>26.332760103181421</v>
      </c>
      <c r="F3" s="79">
        <f t="shared" ref="F3" si="3">SUM(F4:F5)</f>
        <v>20.012897678417875</v>
      </c>
      <c r="G3" s="79">
        <f t="shared" ref="G3" si="4">SUM(G4:G5)</f>
        <v>23.172828890799646</v>
      </c>
      <c r="H3" s="79">
        <f t="shared" ref="H3" si="5">SUM(H4:H5)</f>
        <v>25.279449699054169</v>
      </c>
      <c r="I3" s="79">
        <f t="shared" ref="I3" si="6">SUM(I4:I5)</f>
        <v>32.238005159071371</v>
      </c>
      <c r="J3" s="79">
        <f t="shared" ref="J3" si="7">SUM(J4:J5)</f>
        <v>35.357781599312119</v>
      </c>
      <c r="K3" s="79">
        <f t="shared" ref="K3" si="8">SUM(K4:K5)</f>
        <v>28.078245915735167</v>
      </c>
      <c r="L3" s="79">
        <f t="shared" ref="L3" si="9">SUM(L4:L5)</f>
        <v>28.078245915735177</v>
      </c>
      <c r="M3" s="79">
        <f t="shared" ref="M3" si="10">SUM(M4:M5)</f>
        <v>23.918486672398974</v>
      </c>
      <c r="N3" s="79">
        <f t="shared" ref="N3" si="11">SUM(N4:N5)</f>
        <v>23.91848667239897</v>
      </c>
      <c r="O3" s="79">
        <f t="shared" ref="O3" si="12">SUM(O4:O5)</f>
        <v>25.998366294067065</v>
      </c>
      <c r="P3" s="79">
        <f t="shared" ref="P3" si="13">SUM(P4:P5)</f>
        <v>25.998366294067065</v>
      </c>
      <c r="Q3" s="79">
        <f t="shared" ref="Q3" si="14">SUM(Q4:Q5)</f>
        <v>25.998366294067061</v>
      </c>
      <c r="R3" s="79">
        <f t="shared" ref="R3" si="15">SUM(R4:R5)</f>
        <v>21.838607050730868</v>
      </c>
      <c r="S3" s="79">
        <f t="shared" ref="S3" si="16">SUM(S4:S5)</f>
        <v>26.363370593293197</v>
      </c>
      <c r="T3" s="79">
        <f t="shared" ref="T3" si="17">SUM(T4:T5)</f>
        <v>35.548065348237323</v>
      </c>
      <c r="U3" s="79">
        <f t="shared" ref="U3" si="18">SUM(U4:U5)</f>
        <v>27.499999999999996</v>
      </c>
      <c r="V3" s="79">
        <f t="shared" ref="V3:W3" si="19">SUM(V4:V5)</f>
        <v>9.9469475494411039</v>
      </c>
      <c r="W3" s="79">
        <f t="shared" si="19"/>
        <v>10.692605331040411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25.279449699054169</v>
      </c>
      <c r="C5" s="96">
        <f t="shared" si="23"/>
        <v>27.386070507308681</v>
      </c>
      <c r="D5" s="96">
        <f t="shared" ref="D5:V5" si="24">SUM(D8:D9,D12:D13)</f>
        <v>29.492691315563206</v>
      </c>
      <c r="E5" s="96">
        <f t="shared" si="24"/>
        <v>26.332760103181421</v>
      </c>
      <c r="F5" s="96">
        <f t="shared" si="24"/>
        <v>20.012897678417875</v>
      </c>
      <c r="G5" s="96">
        <f t="shared" si="24"/>
        <v>23.172828890799646</v>
      </c>
      <c r="H5" s="96">
        <f t="shared" si="24"/>
        <v>25.279449699054169</v>
      </c>
      <c r="I5" s="96">
        <f t="shared" si="24"/>
        <v>32.238005159071371</v>
      </c>
      <c r="J5" s="96">
        <f t="shared" si="24"/>
        <v>35.357781599312119</v>
      </c>
      <c r="K5" s="96">
        <f t="shared" si="24"/>
        <v>28.078245915735167</v>
      </c>
      <c r="L5" s="96">
        <f t="shared" si="24"/>
        <v>28.078245915735177</v>
      </c>
      <c r="M5" s="96">
        <f t="shared" si="24"/>
        <v>23.918486672398974</v>
      </c>
      <c r="N5" s="96">
        <f t="shared" si="24"/>
        <v>23.91848667239897</v>
      </c>
      <c r="O5" s="96">
        <f t="shared" si="24"/>
        <v>25.998366294067065</v>
      </c>
      <c r="P5" s="96">
        <f t="shared" si="24"/>
        <v>25.998366294067065</v>
      </c>
      <c r="Q5" s="96">
        <f t="shared" si="24"/>
        <v>25.998366294067061</v>
      </c>
      <c r="R5" s="96">
        <f t="shared" si="24"/>
        <v>21.838607050730868</v>
      </c>
      <c r="S5" s="96">
        <f t="shared" si="24"/>
        <v>26.363370593293197</v>
      </c>
      <c r="T5" s="96">
        <f t="shared" si="24"/>
        <v>35.548065348237323</v>
      </c>
      <c r="U5" s="96">
        <f t="shared" si="24"/>
        <v>27.499999999999996</v>
      </c>
      <c r="V5" s="96">
        <f t="shared" si="24"/>
        <v>9.9469475494411039</v>
      </c>
      <c r="W5" s="96">
        <f t="shared" ref="W5" si="25">SUM(W8:W9,W12:W13)</f>
        <v>10.692605331040411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24.936831903887402</v>
      </c>
      <c r="C6" s="21">
        <f t="shared" si="26"/>
        <v>27.059614648350291</v>
      </c>
      <c r="D6" s="21">
        <f t="shared" ref="D6:V6" si="27">SUM(D7:D9)</f>
        <v>29.170359653400137</v>
      </c>
      <c r="E6" s="21">
        <f t="shared" si="27"/>
        <v>25.992408569476137</v>
      </c>
      <c r="F6" s="21">
        <f t="shared" si="27"/>
        <v>19.651707501296414</v>
      </c>
      <c r="G6" s="21">
        <f t="shared" si="27"/>
        <v>22.797585627144763</v>
      </c>
      <c r="H6" s="21">
        <f t="shared" si="27"/>
        <v>24.845715617619568</v>
      </c>
      <c r="I6" s="21">
        <f t="shared" si="27"/>
        <v>31.005366836861164</v>
      </c>
      <c r="J6" s="21">
        <f t="shared" si="27"/>
        <v>34.864814739241702</v>
      </c>
      <c r="K6" s="21">
        <f t="shared" si="27"/>
        <v>27.850134300079667</v>
      </c>
      <c r="L6" s="21">
        <f t="shared" si="27"/>
        <v>27.729669302133804</v>
      </c>
      <c r="M6" s="21">
        <f t="shared" si="27"/>
        <v>23.624704886811777</v>
      </c>
      <c r="N6" s="21">
        <f t="shared" si="27"/>
        <v>23.568204378621051</v>
      </c>
      <c r="O6" s="21">
        <f t="shared" si="27"/>
        <v>25.609725503590777</v>
      </c>
      <c r="P6" s="21">
        <f t="shared" si="27"/>
        <v>25.650094076601142</v>
      </c>
      <c r="Q6" s="21">
        <f t="shared" si="27"/>
        <v>25.618323136452769</v>
      </c>
      <c r="R6" s="21">
        <f t="shared" si="27"/>
        <v>21.560180726465227</v>
      </c>
      <c r="S6" s="21">
        <f t="shared" si="27"/>
        <v>25.896480803239328</v>
      </c>
      <c r="T6" s="21">
        <f t="shared" si="27"/>
        <v>35.012301523535697</v>
      </c>
      <c r="U6" s="21">
        <f t="shared" si="27"/>
        <v>27.122813905593539</v>
      </c>
      <c r="V6" s="21">
        <f t="shared" si="27"/>
        <v>9.3024733672484956</v>
      </c>
      <c r="W6" s="21">
        <f t="shared" ref="W6" si="28">SUM(W7:W9)</f>
        <v>10.050167015235909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14.640956433084042</v>
      </c>
      <c r="C8" s="96">
        <v>15.88590495126105</v>
      </c>
      <c r="D8" s="96">
        <v>17.126258744557013</v>
      </c>
      <c r="E8" s="96">
        <v>15.261153865241518</v>
      </c>
      <c r="F8" s="96">
        <v>11.538123539582923</v>
      </c>
      <c r="G8" s="96">
        <v>13.59444081287169</v>
      </c>
      <c r="H8" s="96">
        <v>15.182495475952896</v>
      </c>
      <c r="I8" s="96">
        <v>19.088977143802211</v>
      </c>
      <c r="J8" s="96">
        <v>21.0189191421419</v>
      </c>
      <c r="K8" s="96">
        <v>16.252508127406614</v>
      </c>
      <c r="L8" s="96">
        <v>15.945923777562603</v>
      </c>
      <c r="M8" s="96">
        <v>13.536123960423055</v>
      </c>
      <c r="N8" s="96">
        <v>13.317610558231005</v>
      </c>
      <c r="O8" s="96">
        <v>14.573333720008801</v>
      </c>
      <c r="P8" s="96">
        <v>14.635541865433199</v>
      </c>
      <c r="Q8" s="96">
        <v>14.829245092168273</v>
      </c>
      <c r="R8" s="96">
        <v>12.841127186626652</v>
      </c>
      <c r="S8" s="96">
        <v>15.919443772525339</v>
      </c>
      <c r="T8" s="96">
        <v>21.402679690475118</v>
      </c>
      <c r="U8" s="96">
        <v>16.1653443724481</v>
      </c>
      <c r="V8" s="96">
        <v>4.7789958642117139</v>
      </c>
      <c r="W8" s="96">
        <v>5.553004480477715</v>
      </c>
      <c r="DA8" s="171" t="s">
        <v>281</v>
      </c>
    </row>
    <row r="9" spans="1:105" ht="11.45" customHeight="1" x14ac:dyDescent="0.25">
      <c r="A9" s="83" t="s">
        <v>174</v>
      </c>
      <c r="B9" s="96">
        <v>10.295875470803361</v>
      </c>
      <c r="C9" s="96">
        <v>11.173709697089242</v>
      </c>
      <c r="D9" s="96">
        <v>12.044100908843124</v>
      </c>
      <c r="E9" s="96">
        <v>10.731254704234619</v>
      </c>
      <c r="F9" s="96">
        <v>8.1135839617134895</v>
      </c>
      <c r="G9" s="96">
        <v>9.2031448142730703</v>
      </c>
      <c r="H9" s="96">
        <v>9.6632201416666703</v>
      </c>
      <c r="I9" s="96">
        <v>11.916389693058951</v>
      </c>
      <c r="J9" s="96">
        <v>13.845895597099803</v>
      </c>
      <c r="K9" s="96">
        <v>11.597626172673051</v>
      </c>
      <c r="L9" s="96">
        <v>11.7837455245712</v>
      </c>
      <c r="M9" s="96">
        <v>10.088580926388721</v>
      </c>
      <c r="N9" s="96">
        <v>10.250593820390046</v>
      </c>
      <c r="O9" s="96">
        <v>11.036391783581976</v>
      </c>
      <c r="P9" s="96">
        <v>11.014552211167944</v>
      </c>
      <c r="Q9" s="96">
        <v>10.789078044284496</v>
      </c>
      <c r="R9" s="96">
        <v>8.7190535398385745</v>
      </c>
      <c r="S9" s="96">
        <v>9.9770370307139888</v>
      </c>
      <c r="T9" s="96">
        <v>13.609621833060578</v>
      </c>
      <c r="U9" s="96">
        <v>10.95746953314544</v>
      </c>
      <c r="V9" s="96">
        <v>4.5234775030367809</v>
      </c>
      <c r="W9" s="96">
        <v>4.4971625347581936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0.34261779516676527</v>
      </c>
      <c r="C10" s="22">
        <f t="shared" si="29"/>
        <v>0.32645585895838836</v>
      </c>
      <c r="D10" s="22">
        <f t="shared" ref="D10:V10" si="30">SUM(D11:D13)</f>
        <v>0.32233166216306752</v>
      </c>
      <c r="E10" s="22">
        <f t="shared" si="30"/>
        <v>0.34035153370528415</v>
      </c>
      <c r="F10" s="22">
        <f t="shared" si="30"/>
        <v>0.36119017712146373</v>
      </c>
      <c r="G10" s="22">
        <f t="shared" si="30"/>
        <v>0.37524326365488547</v>
      </c>
      <c r="H10" s="22">
        <f t="shared" si="30"/>
        <v>0.4337340814346019</v>
      </c>
      <c r="I10" s="22">
        <f t="shared" si="30"/>
        <v>1.2326383222102011</v>
      </c>
      <c r="J10" s="22">
        <f t="shared" si="30"/>
        <v>0.49296686007042068</v>
      </c>
      <c r="K10" s="22">
        <f t="shared" si="30"/>
        <v>0.22811161565550164</v>
      </c>
      <c r="L10" s="22">
        <f t="shared" si="30"/>
        <v>0.34857661360137265</v>
      </c>
      <c r="M10" s="22">
        <f t="shared" si="30"/>
        <v>0.29378178558719542</v>
      </c>
      <c r="N10" s="22">
        <f t="shared" si="30"/>
        <v>0.35028229377791703</v>
      </c>
      <c r="O10" s="22">
        <f t="shared" si="30"/>
        <v>0.38864079047628591</v>
      </c>
      <c r="P10" s="22">
        <f t="shared" si="30"/>
        <v>0.34827221746591996</v>
      </c>
      <c r="Q10" s="22">
        <f t="shared" si="30"/>
        <v>0.38004315761429314</v>
      </c>
      <c r="R10" s="22">
        <f t="shared" si="30"/>
        <v>0.27842632426564218</v>
      </c>
      <c r="S10" s="22">
        <f t="shared" si="30"/>
        <v>0.46688979005386816</v>
      </c>
      <c r="T10" s="22">
        <f t="shared" si="30"/>
        <v>0.53576382470162287</v>
      </c>
      <c r="U10" s="22">
        <f t="shared" si="30"/>
        <v>0.37718609440645889</v>
      </c>
      <c r="V10" s="22">
        <f t="shared" si="30"/>
        <v>0.64447418219260744</v>
      </c>
      <c r="W10" s="22">
        <f t="shared" ref="W10" si="31">SUM(W11:W13)</f>
        <v>0.64243831580450195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0.18124710704418967</v>
      </c>
      <c r="C12" s="97">
        <v>0.15689592440109687</v>
      </c>
      <c r="D12" s="97">
        <v>0.13662482793769057</v>
      </c>
      <c r="E12" s="97">
        <v>0.11495502740403626</v>
      </c>
      <c r="F12" s="97">
        <v>0.11319683002656823</v>
      </c>
      <c r="G12" s="97">
        <v>0.12919575691863072</v>
      </c>
      <c r="H12" s="97">
        <v>0.27570780910568271</v>
      </c>
      <c r="I12" s="97">
        <v>1.1227256413143081</v>
      </c>
      <c r="J12" s="97">
        <v>0.41777657946573199</v>
      </c>
      <c r="K12" s="97">
        <v>0.19610110648513795</v>
      </c>
      <c r="L12" s="97">
        <v>0.32109789691331725</v>
      </c>
      <c r="M12" s="97">
        <v>0.26872945815298915</v>
      </c>
      <c r="N12" s="97">
        <v>0.3267138335071913</v>
      </c>
      <c r="O12" s="97">
        <v>0.36404142770274639</v>
      </c>
      <c r="P12" s="97">
        <v>0.32541786895008606</v>
      </c>
      <c r="Q12" s="97">
        <v>0.36801022148018442</v>
      </c>
      <c r="R12" s="97">
        <v>0.2670996045473899</v>
      </c>
      <c r="S12" s="97">
        <v>0.44299309143189025</v>
      </c>
      <c r="T12" s="97">
        <v>0.50270281496934999</v>
      </c>
      <c r="U12" s="97">
        <v>0.34943893202043497</v>
      </c>
      <c r="V12" s="97">
        <v>0.58236437509620465</v>
      </c>
      <c r="W12" s="97">
        <v>0.58976307479443846</v>
      </c>
      <c r="DA12" s="175" t="s">
        <v>285</v>
      </c>
    </row>
    <row r="13" spans="1:105" ht="11.45" customHeight="1" x14ac:dyDescent="0.25">
      <c r="A13" s="85" t="s">
        <v>174</v>
      </c>
      <c r="B13" s="98">
        <v>0.16137068812257563</v>
      </c>
      <c r="C13" s="98">
        <v>0.16955993455729151</v>
      </c>
      <c r="D13" s="98">
        <v>0.18570683422537693</v>
      </c>
      <c r="E13" s="98">
        <v>0.22539650630124791</v>
      </c>
      <c r="F13" s="98">
        <v>0.24799334709489548</v>
      </c>
      <c r="G13" s="98">
        <v>0.24604750673625472</v>
      </c>
      <c r="H13" s="98">
        <v>0.15802627232891917</v>
      </c>
      <c r="I13" s="98">
        <v>0.10991268089589294</v>
      </c>
      <c r="J13" s="98">
        <v>7.51902806046887E-2</v>
      </c>
      <c r="K13" s="98">
        <v>3.2010509170363688E-2</v>
      </c>
      <c r="L13" s="98">
        <v>2.7478716688055415E-2</v>
      </c>
      <c r="M13" s="98">
        <v>2.5052327434206254E-2</v>
      </c>
      <c r="N13" s="98">
        <v>2.3568460270725726E-2</v>
      </c>
      <c r="O13" s="98">
        <v>2.4599362773539538E-2</v>
      </c>
      <c r="P13" s="98">
        <v>2.2854348515833917E-2</v>
      </c>
      <c r="Q13" s="98">
        <v>1.2032936134108742E-2</v>
      </c>
      <c r="R13" s="98">
        <v>1.1326719718252259E-2</v>
      </c>
      <c r="S13" s="98">
        <v>2.3896698621977921E-2</v>
      </c>
      <c r="T13" s="98">
        <v>3.3061009732272911E-2</v>
      </c>
      <c r="U13" s="98">
        <v>2.7747162386023906E-2</v>
      </c>
      <c r="V13" s="98">
        <v>6.210980709640284E-2</v>
      </c>
      <c r="W13" s="98">
        <v>5.2675241010063462E-2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208.58196661999142</v>
      </c>
      <c r="C17" s="62">
        <f>IF(C3=0,0,C3/TrAvia_act!C13*100)</f>
        <v>208.60612343584501</v>
      </c>
      <c r="D17" s="62">
        <f>IF(D3=0,0,D3/TrAvia_act!D13*100)</f>
        <v>208.52065806821804</v>
      </c>
      <c r="E17" s="62">
        <f>IF(E3=0,0,E3/TrAvia_act!E13*100)</f>
        <v>207.97798586476821</v>
      </c>
      <c r="F17" s="62">
        <f>IF(F3=0,0,F3/TrAvia_act!F13*100)</f>
        <v>206.9672856925738</v>
      </c>
      <c r="G17" s="62">
        <f>IF(G3=0,0,G3/TrAvia_act!G13*100)</f>
        <v>204.76591589263703</v>
      </c>
      <c r="H17" s="62">
        <f>IF(H3=0,0,H3/TrAvia_act!H13*100)</f>
        <v>217.89022635705305</v>
      </c>
      <c r="I17" s="62">
        <f>IF(I3=0,0,I3/TrAvia_act!I13*100)</f>
        <v>234.37923928118894</v>
      </c>
      <c r="J17" s="62">
        <f>IF(J3=0,0,J3/TrAvia_act!J13*100)</f>
        <v>239.06610555872345</v>
      </c>
      <c r="K17" s="62">
        <f>IF(K3=0,0,K3/TrAvia_act!K13*100)</f>
        <v>203.50760720956802</v>
      </c>
      <c r="L17" s="62">
        <f>IF(L3=0,0,L3/TrAvia_act!L13*100)</f>
        <v>227.65279527879207</v>
      </c>
      <c r="M17" s="62">
        <f>IF(M3=0,0,M3/TrAvia_act!M13*100)</f>
        <v>206.07575865979285</v>
      </c>
      <c r="N17" s="62">
        <f>IF(N3=0,0,N3/TrAvia_act!N13*100)</f>
        <v>228.39428731265551</v>
      </c>
      <c r="O17" s="62">
        <f>IF(O3=0,0,O3/TrAvia_act!O13*100)</f>
        <v>250.01189097605442</v>
      </c>
      <c r="P17" s="62">
        <f>IF(P3=0,0,P3/TrAvia_act!P13*100)</f>
        <v>270.54889866488838</v>
      </c>
      <c r="Q17" s="62">
        <f>IF(Q3=0,0,Q3/TrAvia_act!Q13*100)</f>
        <v>263.92192412427323</v>
      </c>
      <c r="R17" s="62">
        <f>IF(R3=0,0,R3/TrAvia_act!R13*100)</f>
        <v>240.78688218787519</v>
      </c>
      <c r="S17" s="62">
        <f>IF(S3=0,0,S3/TrAvia_act!S13*100)</f>
        <v>251.62339459373189</v>
      </c>
      <c r="T17" s="62">
        <f>IF(T3=0,0,T3/TrAvia_act!T13*100)</f>
        <v>318.67117557440611</v>
      </c>
      <c r="U17" s="62">
        <f>IF(U3=0,0,U3/TrAvia_act!U13*100)</f>
        <v>279.50232901786143</v>
      </c>
      <c r="V17" s="62">
        <f>IF(V3=0,0,V3/TrAvia_act!V13*100)</f>
        <v>538.18841406927459</v>
      </c>
      <c r="W17" s="62">
        <f>IF(W3=0,0,W3/TrAvia_act!W13*100)</f>
        <v>396.25562558219241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207.7046744876958</v>
      </c>
      <c r="C18" s="14">
        <f>IF(C6=0,0,C6/TrAvia_act!C14*100)</f>
        <v>207.85088584769699</v>
      </c>
      <c r="D18" s="14">
        <f>IF(D6=0,0,D6/TrAvia_act!D14*100)</f>
        <v>207.85013264275767</v>
      </c>
      <c r="E18" s="14">
        <f>IF(E6=0,0,E6/TrAvia_act!E14*100)</f>
        <v>207.22521536826747</v>
      </c>
      <c r="F18" s="14">
        <f>IF(F6=0,0,F6/TrAvia_act!F14*100)</f>
        <v>205.9357784518678</v>
      </c>
      <c r="G18" s="14">
        <f>IF(G6=0,0,G6/TrAvia_act!G14*100)</f>
        <v>203.77017512851614</v>
      </c>
      <c r="H18" s="14">
        <f>IF(H6=0,0,H6/TrAvia_act!H14*100)</f>
        <v>217.12979509367662</v>
      </c>
      <c r="I18" s="14">
        <f>IF(I6=0,0,I6/TrAvia_act!I14*100)</f>
        <v>233.52344883164841</v>
      </c>
      <c r="J18" s="14">
        <f>IF(J6=0,0,J6/TrAvia_act!J14*100)</f>
        <v>238.74620507313958</v>
      </c>
      <c r="K18" s="14">
        <f>IF(K6=0,0,K6/TrAvia_act!K14*100)</f>
        <v>203.19210171589438</v>
      </c>
      <c r="L18" s="14">
        <f>IF(L6=0,0,L6/TrAvia_act!L14*100)</f>
        <v>227.05627721077221</v>
      </c>
      <c r="M18" s="14">
        <f>IF(M6=0,0,M6/TrAvia_act!M14*100)</f>
        <v>205.5160240967827</v>
      </c>
      <c r="N18" s="14">
        <f>IF(N6=0,0,N6/TrAvia_act!N14*100)</f>
        <v>227.30317641908266</v>
      </c>
      <c r="O18" s="14">
        <f>IF(O6=0,0,O6/TrAvia_act!O14*100)</f>
        <v>248.77684841929118</v>
      </c>
      <c r="P18" s="14">
        <f>IF(P6=0,0,P6/TrAvia_act!P14*100)</f>
        <v>269.31359456968039</v>
      </c>
      <c r="Q18" s="14">
        <f>IF(Q6=0,0,Q6/TrAvia_act!Q14*100)</f>
        <v>262.6770274332751</v>
      </c>
      <c r="R18" s="14">
        <f>IF(R6=0,0,R6/TrAvia_act!R14*100)</f>
        <v>240.07440613662118</v>
      </c>
      <c r="S18" s="14">
        <f>IF(S6=0,0,S6/TrAvia_act!S14*100)</f>
        <v>250.50635841531141</v>
      </c>
      <c r="T18" s="14">
        <f>IF(T6=0,0,T6/TrAvia_act!T14*100)</f>
        <v>317.65478327128653</v>
      </c>
      <c r="U18" s="14">
        <f>IF(U6=0,0,U6/TrAvia_act!U14*100)</f>
        <v>278.67265403493138</v>
      </c>
      <c r="V18" s="14">
        <f>IF(V6=0,0,V6/TrAvia_act!V14*100)</f>
        <v>530.88903139638023</v>
      </c>
      <c r="W18" s="14">
        <f>IF(W6=0,0,W6/TrAvia_act!W14*100)</f>
        <v>392.08277148799675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202.67769845056978</v>
      </c>
      <c r="C20" s="87">
        <f>IF(C8=0,0,C8/TrAvia_act!C16*100)</f>
        <v>202.81819749954448</v>
      </c>
      <c r="D20" s="87">
        <f>IF(D8=0,0,D8/TrAvia_act!D16*100)</f>
        <v>202.81901166370739</v>
      </c>
      <c r="E20" s="87">
        <f>IF(E8=0,0,E8/TrAvia_act!E16*100)</f>
        <v>202.21075514019424</v>
      </c>
      <c r="F20" s="87">
        <f>IF(F8=0,0,F8/TrAvia_act!F16*100)</f>
        <v>200.9523643919303</v>
      </c>
      <c r="G20" s="87">
        <f>IF(G8=0,0,G8/TrAvia_act!G16*100)</f>
        <v>192.00044454218565</v>
      </c>
      <c r="H20" s="87">
        <f>IF(H8=0,0,H8/TrAvia_act!H16*100)</f>
        <v>204.89047577324223</v>
      </c>
      <c r="I20" s="87">
        <f>IF(I8=0,0,I8/TrAvia_act!I16*100)</f>
        <v>226.11426506713849</v>
      </c>
      <c r="J20" s="87">
        <f>IF(J8=0,0,J8/TrAvia_act!J16*100)</f>
        <v>228.99358063997281</v>
      </c>
      <c r="K20" s="87">
        <f>IF(K8=0,0,K8/TrAvia_act!K16*100)</f>
        <v>202.42319210100567</v>
      </c>
      <c r="L20" s="87">
        <f>IF(L8=0,0,L8/TrAvia_act!L16*100)</f>
        <v>238.25172727719863</v>
      </c>
      <c r="M20" s="87">
        <f>IF(M8=0,0,M8/TrAvia_act!M16*100)</f>
        <v>215.24440726903893</v>
      </c>
      <c r="N20" s="87">
        <f>IF(N8=0,0,N8/TrAvia_act!N16*100)</f>
        <v>264.90854327620622</v>
      </c>
      <c r="O20" s="87">
        <f>IF(O8=0,0,O8/TrAvia_act!O16*100)</f>
        <v>303.95231617902067</v>
      </c>
      <c r="P20" s="87">
        <f>IF(P8=0,0,P8/TrAvia_act!P16*100)</f>
        <v>328.34180862854333</v>
      </c>
      <c r="Q20" s="87">
        <f>IF(Q8=0,0,Q8/TrAvia_act!Q16*100)</f>
        <v>313.57677468069267</v>
      </c>
      <c r="R20" s="87">
        <f>IF(R8=0,0,R8/TrAvia_act!R16*100)</f>
        <v>254.98355774549773</v>
      </c>
      <c r="S20" s="87">
        <f>IF(S8=0,0,S8/TrAvia_act!S16*100)</f>
        <v>281.39020273372222</v>
      </c>
      <c r="T20" s="87">
        <f>IF(T8=0,0,T8/TrAvia_act!T16*100)</f>
        <v>345.49559437611009</v>
      </c>
      <c r="U20" s="87">
        <f>IF(U8=0,0,U8/TrAvia_act!U16*100)</f>
        <v>309.3959386904736</v>
      </c>
      <c r="V20" s="87">
        <f>IF(V8=0,0,V8/TrAvia_act!V16*100)</f>
        <v>481.68544945482734</v>
      </c>
      <c r="W20" s="87">
        <f>IF(W8=0,0,W8/TrAvia_act!W16*100)</f>
        <v>385.57855154256248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215.29827178586194</v>
      </c>
      <c r="C21" s="87">
        <f>IF(C9=0,0,C9/TrAvia_act!C17*100)</f>
        <v>215.4516547555823</v>
      </c>
      <c r="D21" s="87">
        <f>IF(D9=0,0,D9/TrAvia_act!D17*100)</f>
        <v>215.44972247606262</v>
      </c>
      <c r="E21" s="87">
        <f>IF(E9=0,0,E9/TrAvia_act!E17*100)</f>
        <v>214.8003759799868</v>
      </c>
      <c r="F21" s="87">
        <f>IF(F9=0,0,F9/TrAvia_act!F17*100)</f>
        <v>213.46379434789466</v>
      </c>
      <c r="G21" s="87">
        <f>IF(G9=0,0,G9/TrAvia_act!G17*100)</f>
        <v>224.05873698935665</v>
      </c>
      <c r="H21" s="87">
        <f>IF(H9=0,0,H9/TrAvia_act!H17*100)</f>
        <v>239.61922467197937</v>
      </c>
      <c r="I21" s="87">
        <f>IF(I9=0,0,I9/TrAvia_act!I17*100)</f>
        <v>246.46026089611789</v>
      </c>
      <c r="J21" s="87">
        <f>IF(J9=0,0,J9/TrAvia_act!J17*100)</f>
        <v>255.24875891003501</v>
      </c>
      <c r="K21" s="87">
        <f>IF(K9=0,0,K9/TrAvia_act!K17*100)</f>
        <v>204.27950617021611</v>
      </c>
      <c r="L21" s="87">
        <f>IF(L9=0,0,L9/TrAvia_act!L17*100)</f>
        <v>213.48151871926197</v>
      </c>
      <c r="M21" s="87">
        <f>IF(M9=0,0,M9/TrAvia_act!M17*100)</f>
        <v>193.76569773307261</v>
      </c>
      <c r="N21" s="87">
        <f>IF(N9=0,0,N9/TrAvia_act!N17*100)</f>
        <v>191.90936589475308</v>
      </c>
      <c r="O21" s="87">
        <f>IF(O9=0,0,O9/TrAvia_act!O17*100)</f>
        <v>200.67465391813997</v>
      </c>
      <c r="P21" s="87">
        <f>IF(P9=0,0,P9/TrAvia_act!P17*100)</f>
        <v>217.38515222822943</v>
      </c>
      <c r="Q21" s="87">
        <f>IF(Q9=0,0,Q9/TrAvia_act!Q17*100)</f>
        <v>214.76270863386389</v>
      </c>
      <c r="R21" s="87">
        <f>IF(R9=0,0,R9/TrAvia_act!R17*100)</f>
        <v>221.03975392702728</v>
      </c>
      <c r="S21" s="87">
        <f>IF(S9=0,0,S9/TrAvia_act!S17*100)</f>
        <v>213.17418323407171</v>
      </c>
      <c r="T21" s="87">
        <f>IF(T9=0,0,T9/TrAvia_act!T17*100)</f>
        <v>281.92757951282647</v>
      </c>
      <c r="U21" s="87">
        <f>IF(U9=0,0,U9/TrAvia_act!U17*100)</f>
        <v>243.06451435996445</v>
      </c>
      <c r="V21" s="87">
        <f>IF(V9=0,0,V9/TrAvia_act!V17*100)</f>
        <v>595.11295211035213</v>
      </c>
      <c r="W21" s="87">
        <f>IF(W9=0,0,W9/TrAvia_act!W17*100)</f>
        <v>400.42325215077028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301.16574446978137</v>
      </c>
      <c r="C22" s="15">
        <f>IF(C10=0,0,C10/TrAvia_act!C18*100)</f>
        <v>298.51276180613371</v>
      </c>
      <c r="D22" s="15">
        <f>IF(D10=0,0,D10/TrAvia_act!D18*100)</f>
        <v>294.49858598210056</v>
      </c>
      <c r="E22" s="15">
        <f>IF(E10=0,0,E10/TrAvia_act!E18*100)</f>
        <v>287.82719728242398</v>
      </c>
      <c r="F22" s="15">
        <f>IF(F10=0,0,F10/TrAvia_act!F18*100)</f>
        <v>284.50051982220572</v>
      </c>
      <c r="G22" s="15">
        <f>IF(G10=0,0,G10/TrAvia_act!G18*100)</f>
        <v>291.22489878683825</v>
      </c>
      <c r="H22" s="15">
        <f>IF(H10=0,0,H10/TrAvia_act!H18*100)</f>
        <v>272.57312621763003</v>
      </c>
      <c r="I22" s="15">
        <f>IF(I10=0,0,I10/TrAvia_act!I18*100)</f>
        <v>258.17818336127215</v>
      </c>
      <c r="J22" s="15">
        <f>IF(J10=0,0,J10/TrAvia_act!J18*100)</f>
        <v>264.09287189443467</v>
      </c>
      <c r="K22" s="15">
        <f>IF(K10=0,0,K10/TrAvia_act!K18*100)</f>
        <v>251.11205864301479</v>
      </c>
      <c r="L22" s="15">
        <f>IF(L10=0,0,L10/TrAvia_act!L18*100)</f>
        <v>287.80207907010038</v>
      </c>
      <c r="M22" s="15">
        <f>IF(M10=0,0,M10/TrAvia_act!M18*100)</f>
        <v>263.86717342292258</v>
      </c>
      <c r="N22" s="15">
        <f>IF(N10=0,0,N10/TrAvia_act!N18*100)</f>
        <v>337.35089171087361</v>
      </c>
      <c r="O22" s="15">
        <f>IF(O10=0,0,O10/TrAvia_act!O18*100)</f>
        <v>371.56384800852453</v>
      </c>
      <c r="P22" s="15">
        <f>IF(P10=0,0,P10/TrAvia_act!P18*100)</f>
        <v>408.57322613143356</v>
      </c>
      <c r="Q22" s="15">
        <f>IF(Q10=0,0,Q10/TrAvia_act!Q18*100)</f>
        <v>387.8177535667711</v>
      </c>
      <c r="R22" s="15">
        <f>IF(R10=0,0,R10/TrAvia_act!R18*100)</f>
        <v>312.63257526302175</v>
      </c>
      <c r="S22" s="15">
        <f>IF(S10=0,0,S10/TrAvia_act!S18*100)</f>
        <v>334.30723345738778</v>
      </c>
      <c r="T22" s="15">
        <f>IF(T10=0,0,T10/TrAvia_act!T18*100)</f>
        <v>402.92201559806563</v>
      </c>
      <c r="U22" s="15">
        <f>IF(U10=0,0,U10/TrAvia_act!U18*100)</f>
        <v>355.64083114048481</v>
      </c>
      <c r="V22" s="15">
        <f>IF(V10=0,0,V10/TrAvia_act!V18*100)</f>
        <v>671.44387179304817</v>
      </c>
      <c r="W22" s="15">
        <f>IF(W10=0,0,W10/TrAvia_act!W18*100)</f>
        <v>475.40796120994122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340.25833464668784</v>
      </c>
      <c r="C24" s="101">
        <f>IF(C12=0,0,C12/TrAvia_act!C20*100)</f>
        <v>342.27168541370429</v>
      </c>
      <c r="D24" s="101">
        <f>IF(D12=0,0,D12/TrAvia_act!D20*100)</f>
        <v>342.58826544240833</v>
      </c>
      <c r="E24" s="101">
        <f>IF(E12=0,0,E12/TrAvia_act!E20*100)</f>
        <v>342.60063647000925</v>
      </c>
      <c r="F24" s="101">
        <f>IF(F12=0,0,F12/TrAvia_act!F20*100)</f>
        <v>341.09274755117423</v>
      </c>
      <c r="G24" s="101">
        <f>IF(G12=0,0,G12/TrAvia_act!G20*100)</f>
        <v>302.1204687233809</v>
      </c>
      <c r="H24" s="101">
        <f>IF(H12=0,0,H12/TrAvia_act!H20*100)</f>
        <v>287.65414209521214</v>
      </c>
      <c r="I24" s="101">
        <f>IF(I12=0,0,I12/TrAvia_act!I20*100)</f>
        <v>262.01122385299828</v>
      </c>
      <c r="J24" s="101">
        <f>IF(J12=0,0,J12/TrAvia_act!J20*100)</f>
        <v>275.58777162751727</v>
      </c>
      <c r="K24" s="101">
        <f>IF(K12=0,0,K12/TrAvia_act!K20*100)</f>
        <v>269.06361700291666</v>
      </c>
      <c r="L24" s="101">
        <f>IF(L12=0,0,L12/TrAvia_act!L20*100)</f>
        <v>291.975471756849</v>
      </c>
      <c r="M24" s="101">
        <f>IF(M12=0,0,M12/TrAvia_act!M20*100)</f>
        <v>267.7645432328888</v>
      </c>
      <c r="N24" s="101">
        <f>IF(N12=0,0,N12/TrAvia_act!N20*100)</f>
        <v>352.9585630182836</v>
      </c>
      <c r="O24" s="101">
        <f>IF(O12=0,0,O12/TrAvia_act!O20*100)</f>
        <v>391.94064831269617</v>
      </c>
      <c r="P24" s="101">
        <f>IF(P12=0,0,P12/TrAvia_act!P20*100)</f>
        <v>429.43748886788296</v>
      </c>
      <c r="Q24" s="101">
        <f>IF(Q12=0,0,Q12/TrAvia_act!Q20*100)</f>
        <v>394.86849989197839</v>
      </c>
      <c r="R24" s="101">
        <f>IF(R12=0,0,R12/TrAvia_act!R20*100)</f>
        <v>313.85503521054147</v>
      </c>
      <c r="S24" s="101">
        <f>IF(S12=0,0,S12/TrAvia_act!S20*100)</f>
        <v>339.3966192863162</v>
      </c>
      <c r="T24" s="101">
        <f>IF(T12=0,0,T12/TrAvia_act!T20*100)</f>
        <v>410.38352084842973</v>
      </c>
      <c r="U24" s="101">
        <f>IF(U12=0,0,U12/TrAvia_act!U20*100)</f>
        <v>364.91970465055931</v>
      </c>
      <c r="V24" s="101">
        <f>IF(V12=0,0,V12/TrAvia_act!V20*100)</f>
        <v>674.04433544080996</v>
      </c>
      <c r="W24" s="101">
        <f>IF(W12=0,0,W12/TrAvia_act!W20*100)</f>
        <v>483.59189101650014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266.74442891207474</v>
      </c>
      <c r="C25" s="88">
        <f>IF(C13=0,0,C13/TrAvia_act!C21*100)</f>
        <v>266.93446319485616</v>
      </c>
      <c r="D25" s="88">
        <f>IF(D13=0,0,D13/TrAvia_act!D21*100)</f>
        <v>266.93206919144546</v>
      </c>
      <c r="E25" s="88">
        <f>IF(E13=0,0,E13/TrAvia_act!E21*100)</f>
        <v>266.12755943470165</v>
      </c>
      <c r="F25" s="88">
        <f>IF(F13=0,0,F13/TrAvia_act!F21*100)</f>
        <v>264.47159767899666</v>
      </c>
      <c r="G25" s="88">
        <f>IF(G13=0,0,G13/TrAvia_act!G21*100)</f>
        <v>285.81261600038886</v>
      </c>
      <c r="H25" s="88">
        <f>IF(H13=0,0,H13/TrAvia_act!H21*100)</f>
        <v>249.73024507710858</v>
      </c>
      <c r="I25" s="88">
        <f>IF(I13=0,0,I13/TrAvia_act!I21*100)</f>
        <v>224.61332165094942</v>
      </c>
      <c r="J25" s="88">
        <f>IF(J13=0,0,J13/TrAvia_act!J21*100)</f>
        <v>214.40387228200578</v>
      </c>
      <c r="K25" s="88">
        <f>IF(K13=0,0,K13/TrAvia_act!K21*100)</f>
        <v>178.25443701256526</v>
      </c>
      <c r="L25" s="88">
        <f>IF(L13=0,0,L13/TrAvia_act!L21*100)</f>
        <v>246.61155495133039</v>
      </c>
      <c r="M25" s="88">
        <f>IF(M13=0,0,M13/TrAvia_act!M21*100)</f>
        <v>228.23317776455991</v>
      </c>
      <c r="N25" s="88">
        <f>IF(N13=0,0,N13/TrAvia_act!N21*100)</f>
        <v>209.14679300257473</v>
      </c>
      <c r="O25" s="88">
        <f>IF(O13=0,0,O13/TrAvia_act!O21*100)</f>
        <v>209.9962699065014</v>
      </c>
      <c r="P25" s="88">
        <f>IF(P13=0,0,P13/TrAvia_act!P21*100)</f>
        <v>241.50320264116405</v>
      </c>
      <c r="Q25" s="88">
        <f>IF(Q13=0,0,Q13/TrAvia_act!Q21*100)</f>
        <v>250.83640501551864</v>
      </c>
      <c r="R25" s="88">
        <f>IF(R13=0,0,R13/TrAvia_act!R21*100)</f>
        <v>286.33314984334191</v>
      </c>
      <c r="S25" s="88">
        <f>IF(S13=0,0,S13/TrAvia_act!S21*100)</f>
        <v>261.58990811765028</v>
      </c>
      <c r="T25" s="88">
        <f>IF(T13=0,0,T13/TrAvia_act!T21*100)</f>
        <v>315.65589910273695</v>
      </c>
      <c r="U25" s="88">
        <f>IF(U13=0,0,U13/TrAvia_act!U21*100)</f>
        <v>269.37964441208476</v>
      </c>
      <c r="V25" s="88">
        <f>IF(V13=0,0,V13/TrAvia_act!V21*100)</f>
        <v>648.00298956143479</v>
      </c>
      <c r="W25" s="88">
        <f>IF(W13=0,0,W13/TrAvia_act!W21*100)</f>
        <v>399.67852167761976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36.99395894360935</v>
      </c>
      <c r="C28" s="14">
        <f>IF(C6=0,0,C6/TrAvia_act!C4*1000)</f>
        <v>36.811432048492961</v>
      </c>
      <c r="D28" s="14">
        <f>IF(D6=0,0,D6/TrAvia_act!D4*1000)</f>
        <v>36.803564993880755</v>
      </c>
      <c r="E28" s="14">
        <f>IF(E6=0,0,E6/TrAvia_act!E4*1000)</f>
        <v>36.949993960194369</v>
      </c>
      <c r="F28" s="14">
        <f>IF(F6=0,0,F6/TrAvia_act!F4*1000)</f>
        <v>36.735566171044297</v>
      </c>
      <c r="G28" s="14">
        <f>IF(G6=0,0,G6/TrAvia_act!G4*1000)</f>
        <v>35.836507107567371</v>
      </c>
      <c r="H28" s="14">
        <f>IF(H6=0,0,H6/TrAvia_act!H4*1000)</f>
        <v>37.004892948880283</v>
      </c>
      <c r="I28" s="14">
        <f>IF(I6=0,0,I6/TrAvia_act!I4*1000)</f>
        <v>40.327934193544493</v>
      </c>
      <c r="J28" s="14">
        <f>IF(J6=0,0,J6/TrAvia_act!J4*1000)</f>
        <v>42.732204593601296</v>
      </c>
      <c r="K28" s="14">
        <f>IF(K6=0,0,K6/TrAvia_act!K4*1000)</f>
        <v>38.790407112706923</v>
      </c>
      <c r="L28" s="14">
        <f>IF(L6=0,0,L6/TrAvia_act!L4*1000)</f>
        <v>39.703241341869493</v>
      </c>
      <c r="M28" s="14">
        <f>IF(M6=0,0,M6/TrAvia_act!M4*1000)</f>
        <v>34.449916274570199</v>
      </c>
      <c r="N28" s="14">
        <f>IF(N6=0,0,N6/TrAvia_act!N4*1000)</f>
        <v>37.628662228097831</v>
      </c>
      <c r="O28" s="14">
        <f>IF(O6=0,0,O6/TrAvia_act!O4*1000)</f>
        <v>37.306800307714923</v>
      </c>
      <c r="P28" s="14">
        <f>IF(P6=0,0,P6/TrAvia_act!P4*1000)</f>
        <v>38.633025723220186</v>
      </c>
      <c r="Q28" s="14">
        <f>IF(Q6=0,0,Q6/TrAvia_act!Q4*1000)</f>
        <v>36.274722422923624</v>
      </c>
      <c r="R28" s="14">
        <f>IF(R6=0,0,R6/TrAvia_act!R4*1000)</f>
        <v>32.047512365730753</v>
      </c>
      <c r="S28" s="14">
        <f>IF(S6=0,0,S6/TrAvia_act!S4*1000)</f>
        <v>31.841502044727495</v>
      </c>
      <c r="T28" s="14">
        <f>IF(T6=0,0,T6/TrAvia_act!T4*1000)</f>
        <v>39.440530173445744</v>
      </c>
      <c r="U28" s="14">
        <f>IF(U6=0,0,U6/TrAvia_act!U4*1000)</f>
        <v>30.646565760263726</v>
      </c>
      <c r="V28" s="14">
        <f>IF(V6=0,0,V6/TrAvia_act!V4*1000)</f>
        <v>62.964093481078287</v>
      </c>
      <c r="W28" s="14">
        <f>IF(W6=0,0,W6/TrAvia_act!W4*1000)</f>
        <v>46.054455806305725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39.621246277310512</v>
      </c>
      <c r="C30" s="87">
        <f>IF(C8=0,0,C8/TrAvia_act!C6*1000)</f>
        <v>39.234191531283223</v>
      </c>
      <c r="D30" s="87">
        <f>IF(D8=0,0,D8/TrAvia_act!D6*1000)</f>
        <v>39.183298130934766</v>
      </c>
      <c r="E30" s="87">
        <f>IF(E8=0,0,E8/TrAvia_act!E6*1000)</f>
        <v>39.54661964565517</v>
      </c>
      <c r="F30" s="87">
        <f>IF(F8=0,0,F8/TrAvia_act!F6*1000)</f>
        <v>39.411190379930005</v>
      </c>
      <c r="G30" s="87">
        <f>IF(G8=0,0,G8/TrAvia_act!G6*1000)</f>
        <v>35.374750660696279</v>
      </c>
      <c r="H30" s="87">
        <f>IF(H8=0,0,H8/TrAvia_act!H6*1000)</f>
        <v>37.056730087036989</v>
      </c>
      <c r="I30" s="87">
        <f>IF(I8=0,0,I8/TrAvia_act!I6*1000)</f>
        <v>42.800963641533343</v>
      </c>
      <c r="J30" s="87">
        <f>IF(J8=0,0,J8/TrAvia_act!J6*1000)</f>
        <v>45.889685514166956</v>
      </c>
      <c r="K30" s="87">
        <f>IF(K8=0,0,K8/TrAvia_act!K6*1000)</f>
        <v>43.827760845766434</v>
      </c>
      <c r="L30" s="87">
        <f>IF(L8=0,0,L8/TrAvia_act!L6*1000)</f>
        <v>45.677737313801209</v>
      </c>
      <c r="M30" s="87">
        <f>IF(M8=0,0,M8/TrAvia_act!M6*1000)</f>
        <v>37.710260903425336</v>
      </c>
      <c r="N30" s="87">
        <f>IF(N8=0,0,N8/TrAvia_act!N6*1000)</f>
        <v>47.104612353095149</v>
      </c>
      <c r="O30" s="87">
        <f>IF(O8=0,0,O8/TrAvia_act!O6*1000)</f>
        <v>45.745620955137568</v>
      </c>
      <c r="P30" s="87">
        <f>IF(P8=0,0,P8/TrAvia_act!P6*1000)</f>
        <v>44.860208704525725</v>
      </c>
      <c r="Q30" s="87">
        <f>IF(Q8=0,0,Q8/TrAvia_act!Q6*1000)</f>
        <v>41.258101369260316</v>
      </c>
      <c r="R30" s="87">
        <f>IF(R8=0,0,R8/TrAvia_act!R6*1000)</f>
        <v>33.399711260252687</v>
      </c>
      <c r="S30" s="87">
        <f>IF(S8=0,0,S8/TrAvia_act!S6*1000)</f>
        <v>34.668249522582634</v>
      </c>
      <c r="T30" s="87">
        <f>IF(T8=0,0,T8/TrAvia_act!T6*1000)</f>
        <v>42.71853387609351</v>
      </c>
      <c r="U30" s="87">
        <f>IF(U8=0,0,U8/TrAvia_act!U6*1000)</f>
        <v>34.135184890860415</v>
      </c>
      <c r="V30" s="87">
        <f>IF(V8=0,0,V8/TrAvia_act!V6*1000)</f>
        <v>56.862985670115059</v>
      </c>
      <c r="W30" s="87">
        <f>IF(W8=0,0,W8/TrAvia_act!W6*1000)</f>
        <v>45.468812477841887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33.806223538264938</v>
      </c>
      <c r="C31" s="87">
        <f>IF(C9=0,0,C9/TrAvia_act!C7*1000)</f>
        <v>33.840473444650094</v>
      </c>
      <c r="D31" s="87">
        <f>IF(D9=0,0,D9/TrAvia_act!D7*1000)</f>
        <v>33.877854908569169</v>
      </c>
      <c r="E31" s="87">
        <f>IF(E9=0,0,E9/TrAvia_act!E7*1000)</f>
        <v>33.794396850050276</v>
      </c>
      <c r="F31" s="87">
        <f>IF(F9=0,0,F9/TrAvia_act!F7*1000)</f>
        <v>33.501205489176428</v>
      </c>
      <c r="G31" s="87">
        <f>IF(G9=0,0,G9/TrAvia_act!G7*1000)</f>
        <v>36.541080200967066</v>
      </c>
      <c r="H31" s="87">
        <f>IF(H9=0,0,H9/TrAvia_act!H7*1000)</f>
        <v>36.923740636136586</v>
      </c>
      <c r="I31" s="87">
        <f>IF(I9=0,0,I9/TrAvia_act!I7*1000)</f>
        <v>36.911483180501257</v>
      </c>
      <c r="J31" s="87">
        <f>IF(J9=0,0,J9/TrAvia_act!J7*1000)</f>
        <v>38.69088122780439</v>
      </c>
      <c r="K31" s="87">
        <f>IF(K9=0,0,K9/TrAvia_act!K7*1000)</f>
        <v>33.409297961024592</v>
      </c>
      <c r="L31" s="87">
        <f>IF(L9=0,0,L9/TrAvia_act!L7*1000)</f>
        <v>33.732695178546429</v>
      </c>
      <c r="M31" s="87">
        <f>IF(M9=0,0,M9/TrAvia_act!M7*1000)</f>
        <v>30.86902507330845</v>
      </c>
      <c r="N31" s="87">
        <f>IF(N9=0,0,N9/TrAvia_act!N7*1000)</f>
        <v>29.831853850382199</v>
      </c>
      <c r="O31" s="87">
        <f>IF(O9=0,0,O9/TrAvia_act!O7*1000)</f>
        <v>29.999214632856781</v>
      </c>
      <c r="P31" s="87">
        <f>IF(P9=0,0,P9/TrAvia_act!P7*1000)</f>
        <v>32.616922493298375</v>
      </c>
      <c r="Q31" s="87">
        <f>IF(Q9=0,0,Q9/TrAvia_act!Q7*1000)</f>
        <v>31.109975433981514</v>
      </c>
      <c r="R31" s="87">
        <f>IF(R9=0,0,R9/TrAvia_act!R7*1000)</f>
        <v>30.24418899728451</v>
      </c>
      <c r="S31" s="87">
        <f>IF(S9=0,0,S9/TrAvia_act!S7*1000)</f>
        <v>28.175796273328128</v>
      </c>
      <c r="T31" s="87">
        <f>IF(T9=0,0,T9/TrAvia_act!T7*1000)</f>
        <v>35.193567119920075</v>
      </c>
      <c r="U31" s="87">
        <f>IF(U9=0,0,U9/TrAvia_act!U7*1000)</f>
        <v>26.631267388485092</v>
      </c>
      <c r="V31" s="87">
        <f>IF(V9=0,0,V9/TrAvia_act!V7*1000)</f>
        <v>71.013924716816618</v>
      </c>
      <c r="W31" s="87">
        <f>IF(W9=0,0,W9/TrAvia_act!W7*1000)</f>
        <v>46.79874764995283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61.004442120019846</v>
      </c>
      <c r="C32" s="15">
        <f>IF(C10=0,0,C10/TrAvia_act!C8*1000)</f>
        <v>54.940765659978851</v>
      </c>
      <c r="D32" s="15">
        <f>IF(D10=0,0,D10/TrAvia_act!D8*1000)</f>
        <v>54.564070617434993</v>
      </c>
      <c r="E32" s="15">
        <f>IF(E10=0,0,E10/TrAvia_act!E8*1000)</f>
        <v>53.942593355918568</v>
      </c>
      <c r="F32" s="15">
        <f>IF(F10=0,0,F10/TrAvia_act!F8*1000)</f>
        <v>54.394402942902865</v>
      </c>
      <c r="G32" s="15">
        <f>IF(G10=0,0,G10/TrAvia_act!G8*1000)</f>
        <v>62.094136978044837</v>
      </c>
      <c r="H32" s="15">
        <f>IF(H10=0,0,H10/TrAvia_act!H8*1000)</f>
        <v>80.001340301444202</v>
      </c>
      <c r="I32" s="15">
        <f>IF(I10=0,0,I10/TrAvia_act!I8*1000)</f>
        <v>117.42780564246897</v>
      </c>
      <c r="J32" s="15">
        <f>IF(J10=0,0,J10/TrAvia_act!J8*1000)</f>
        <v>107.51724263031178</v>
      </c>
      <c r="K32" s="15">
        <f>IF(K10=0,0,K10/TrAvia_act!K8*1000)</f>
        <v>94.594474930996014</v>
      </c>
      <c r="L32" s="15">
        <f>IF(L10=0,0,L10/TrAvia_act!L8*1000)</f>
        <v>130.95630450294595</v>
      </c>
      <c r="M32" s="15">
        <f>IF(M10=0,0,M10/TrAvia_act!M8*1000)</f>
        <v>110.90329514189806</v>
      </c>
      <c r="N32" s="15">
        <f>IF(N10=0,0,N10/TrAvia_act!N8*1000)</f>
        <v>125.02117066684085</v>
      </c>
      <c r="O32" s="15">
        <f>IF(O10=0,0,O10/TrAvia_act!O8*1000)</f>
        <v>138.51636691079059</v>
      </c>
      <c r="P32" s="15">
        <f>IF(P10=0,0,P10/TrAvia_act!P8*1000)</f>
        <v>134.57785188555027</v>
      </c>
      <c r="Q32" s="15">
        <f>IF(Q10=0,0,Q10/TrAvia_act!Q8*1000)</f>
        <v>144.892099306045</v>
      </c>
      <c r="R32" s="15">
        <f>IF(R10=0,0,R10/TrAvia_act!R8*1000)</f>
        <v>106.26672363328204</v>
      </c>
      <c r="S32" s="15">
        <f>IF(S10=0,0,S10/TrAvia_act!S8*1000)</f>
        <v>115.63143100944767</v>
      </c>
      <c r="T32" s="15">
        <f>IF(T10=0,0,T10/TrAvia_act!T8*1000)</f>
        <v>134.38309035426695</v>
      </c>
      <c r="U32" s="15">
        <f>IF(U10=0,0,U10/TrAvia_act!U8*1000)</f>
        <v>105.68272091118715</v>
      </c>
      <c r="V32" s="15">
        <f>IF(V10=0,0,V10/TrAvia_act!V8*1000)</f>
        <v>255.42790682366285</v>
      </c>
      <c r="W32" s="15">
        <f>IF(W10=0,0,W10/TrAvia_act!W8*1000)</f>
        <v>198.54242616097909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148.73308445981465</v>
      </c>
      <c r="C34" s="101">
        <f>IF(C12=0,0,C12/TrAvia_act!C10*1000)</f>
        <v>142.01864994436042</v>
      </c>
      <c r="D34" s="101">
        <f>IF(D12=0,0,D12/TrAvia_act!D10*1000)</f>
        <v>151.14141862261889</v>
      </c>
      <c r="E34" s="101">
        <f>IF(E12=0,0,E12/TrAvia_act!E10*1000)</f>
        <v>148.51350566069192</v>
      </c>
      <c r="F34" s="101">
        <f>IF(F12=0,0,F12/TrAvia_act!F10*1000)</f>
        <v>163.7382340944242</v>
      </c>
      <c r="G34" s="101">
        <f>IF(G12=0,0,G12/TrAvia_act!G10*1000)</f>
        <v>142.45726557416268</v>
      </c>
      <c r="H34" s="101">
        <f>IF(H12=0,0,H12/TrAvia_act!H10*1000)</f>
        <v>155.59652407012751</v>
      </c>
      <c r="I34" s="101">
        <f>IF(I12=0,0,I12/TrAvia_act!I10*1000)</f>
        <v>145.39899583215578</v>
      </c>
      <c r="J34" s="101">
        <f>IF(J12=0,0,J12/TrAvia_act!J10*1000)</f>
        <v>158.47890438725204</v>
      </c>
      <c r="K34" s="101">
        <f>IF(K12=0,0,K12/TrAvia_act!K10*1000)</f>
        <v>152.48512923334386</v>
      </c>
      <c r="L34" s="101">
        <f>IF(L12=0,0,L12/TrAvia_act!L10*1000)</f>
        <v>164.51085645396586</v>
      </c>
      <c r="M34" s="101">
        <f>IF(M12=0,0,M12/TrAvia_act!M10*1000)</f>
        <v>140.47729769464488</v>
      </c>
      <c r="N34" s="101">
        <f>IF(N12=0,0,N12/TrAvia_act!N10*1000)</f>
        <v>165.75068896896832</v>
      </c>
      <c r="O34" s="101">
        <f>IF(O12=0,0,O12/TrAvia_act!O10*1000)</f>
        <v>186.07665995881254</v>
      </c>
      <c r="P34" s="101">
        <f>IF(P12=0,0,P12/TrAvia_act!P10*1000)</f>
        <v>179.1091986567387</v>
      </c>
      <c r="Q34" s="101">
        <f>IF(Q12=0,0,Q12/TrAvia_act!Q10*1000)</f>
        <v>165.06007991563717</v>
      </c>
      <c r="R34" s="101">
        <f>IF(R12=0,0,R12/TrAvia_act!R10*1000)</f>
        <v>119.06255873324635</v>
      </c>
      <c r="S34" s="101">
        <f>IF(S12=0,0,S12/TrAvia_act!S10*1000)</f>
        <v>139.13155962464802</v>
      </c>
      <c r="T34" s="101">
        <f>IF(T12=0,0,T12/TrAvia_act!T10*1000)</f>
        <v>168.32311817658731</v>
      </c>
      <c r="U34" s="101">
        <f>IF(U12=0,0,U12/TrAvia_act!U10*1000)</f>
        <v>138.35062158668305</v>
      </c>
      <c r="V34" s="101">
        <f>IF(V12=0,0,V12/TrAvia_act!V10*1000)</f>
        <v>315.31784838336182</v>
      </c>
      <c r="W34" s="101">
        <f>IF(W12=0,0,W12/TrAvia_act!W10*1000)</f>
        <v>247.37487044772897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36.694590711421249</v>
      </c>
      <c r="C35" s="88">
        <f>IF(C13=0,0,C13/TrAvia_act!C11*1000)</f>
        <v>35.0532889654759</v>
      </c>
      <c r="D35" s="88">
        <f>IF(D13=0,0,D13/TrAvia_act!D11*1000)</f>
        <v>37.11580108598497</v>
      </c>
      <c r="E35" s="88">
        <f>IF(E13=0,0,E13/TrAvia_act!E11*1000)</f>
        <v>40.71853947530299</v>
      </c>
      <c r="F35" s="88">
        <f>IF(F13=0,0,F13/TrAvia_act!F11*1000)</f>
        <v>41.687397801842636</v>
      </c>
      <c r="G35" s="88">
        <f>IF(G13=0,0,G13/TrAvia_act!G11*1000)</f>
        <v>47.90433512843726</v>
      </c>
      <c r="H35" s="88">
        <f>IF(H13=0,0,H13/TrAvia_act!H11*1000)</f>
        <v>43.299086153974855</v>
      </c>
      <c r="I35" s="88">
        <f>IF(I13=0,0,I13/TrAvia_act!I11*1000)</f>
        <v>39.603881120446736</v>
      </c>
      <c r="J35" s="88">
        <f>IF(J13=0,0,J13/TrAvia_act!J11*1000)</f>
        <v>38.582117717847105</v>
      </c>
      <c r="K35" s="88">
        <f>IF(K13=0,0,K13/TrAvia_act!K11*1000)</f>
        <v>28.442803178795216</v>
      </c>
      <c r="L35" s="88">
        <f>IF(L13=0,0,L13/TrAvia_act!L11*1000)</f>
        <v>38.705473928858723</v>
      </c>
      <c r="M35" s="88">
        <f>IF(M13=0,0,M13/TrAvia_act!M11*1000)</f>
        <v>34.037734169184802</v>
      </c>
      <c r="N35" s="88">
        <f>IF(N13=0,0,N13/TrAvia_act!N11*1000)</f>
        <v>28.372905865182478</v>
      </c>
      <c r="O35" s="88">
        <f>IF(O13=0,0,O13/TrAvia_act!O11*1000)</f>
        <v>28.96313784287992</v>
      </c>
      <c r="P35" s="88">
        <f>IF(P13=0,0,P13/TrAvia_act!P11*1000)</f>
        <v>29.641781787464744</v>
      </c>
      <c r="Q35" s="88">
        <f>IF(Q13=0,0,Q13/TrAvia_act!Q11*1000)</f>
        <v>30.588116156217296</v>
      </c>
      <c r="R35" s="88">
        <f>IF(R13=0,0,R13/TrAvia_act!R11*1000)</f>
        <v>30.067038942279893</v>
      </c>
      <c r="S35" s="88">
        <f>IF(S13=0,0,S13/TrAvia_act!S11*1000)</f>
        <v>27.990143078485854</v>
      </c>
      <c r="T35" s="88">
        <f>IF(T13=0,0,T13/TrAvia_act!T11*1000)</f>
        <v>33.05092928235932</v>
      </c>
      <c r="U35" s="88">
        <f>IF(U13=0,0,U13/TrAvia_act!U11*1000)</f>
        <v>26.59574426223325</v>
      </c>
      <c r="V35" s="88">
        <f>IF(V13=0,0,V13/TrAvia_act!V11*1000)</f>
        <v>91.850749178144255</v>
      </c>
      <c r="W35" s="88">
        <f>IF(W13=0,0,W13/TrAvia_act!W11*1000)</f>
        <v>61.848119226835969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1747.6287382685218</v>
      </c>
      <c r="C37" s="62">
        <f>IF(C3=0,0,C3/TrAvia_act!C23*1000000)</f>
        <v>1749.0145936459751</v>
      </c>
      <c r="D37" s="62">
        <f>IF(D3=0,0,D3/TrAvia_act!D23*1000000)</f>
        <v>1749.3737063623705</v>
      </c>
      <c r="E37" s="62">
        <f>IF(E3=0,0,E3/TrAvia_act!E23*1000000)</f>
        <v>1747.3629796404393</v>
      </c>
      <c r="F37" s="62">
        <f>IF(F3=0,0,F3/TrAvia_act!F23*1000000)</f>
        <v>1741.6149750602974</v>
      </c>
      <c r="G37" s="62">
        <f>IF(G3=0,0,G3/TrAvia_act!G23*1000000)</f>
        <v>1787.7510330812872</v>
      </c>
      <c r="H37" s="62">
        <f>IF(H3=0,0,H3/TrAvia_act!H23*1000000)</f>
        <v>1877.4192127036144</v>
      </c>
      <c r="I37" s="62">
        <f>IF(I3=0,0,I3/TrAvia_act!I23*1000000)</f>
        <v>2092.6975111373822</v>
      </c>
      <c r="J37" s="62">
        <f>IF(J3=0,0,J3/TrAvia_act!J23*1000000)</f>
        <v>2141.338517400201</v>
      </c>
      <c r="K37" s="62">
        <f>IF(K3=0,0,K3/TrAvia_act!K23*1000000)</f>
        <v>1864.9206904712516</v>
      </c>
      <c r="L37" s="62">
        <f>IF(L3=0,0,L3/TrAvia_act!L23*1000000)</f>
        <v>2094.1412526652134</v>
      </c>
      <c r="M37" s="62">
        <f>IF(M3=0,0,M3/TrAvia_act!M23*1000000)</f>
        <v>1863.1006911044535</v>
      </c>
      <c r="N37" s="62">
        <f>IF(N3=0,0,N3/TrAvia_act!N23*1000000)</f>
        <v>2117.2423362307663</v>
      </c>
      <c r="O37" s="62">
        <f>IF(O3=0,0,O3/TrAvia_act!O23*1000000)</f>
        <v>2430.4352897136641</v>
      </c>
      <c r="P37" s="62">
        <f>IF(P3=0,0,P3/TrAvia_act!P23*1000000)</f>
        <v>2542.6275104222068</v>
      </c>
      <c r="Q37" s="62">
        <f>IF(Q3=0,0,Q3/TrAvia_act!Q23*1000000)</f>
        <v>2414.8584705616813</v>
      </c>
      <c r="R37" s="62">
        <f>IF(R3=0,0,R3/TrAvia_act!R23*1000000)</f>
        <v>2063.3604545286153</v>
      </c>
      <c r="S37" s="62">
        <f>IF(S3=0,0,S3/TrAvia_act!S23*1000000)</f>
        <v>2184.3873223376581</v>
      </c>
      <c r="T37" s="62">
        <f>IF(T3=0,0,T3/TrAvia_act!T23*1000000)</f>
        <v>2843.1628687704811</v>
      </c>
      <c r="U37" s="62">
        <f>IF(U3=0,0,U3/TrAvia_act!U23*1000000)</f>
        <v>2580.7057057057054</v>
      </c>
      <c r="V37" s="62">
        <f>IF(V3=0,0,V3/TrAvia_act!V23*1000000)</f>
        <v>4594.4330482406949</v>
      </c>
      <c r="W37" s="62">
        <f>IF(W3=0,0,W3/TrAvia_act!W23*1000000)</f>
        <v>3762.3523332302648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1740.3051087924769</v>
      </c>
      <c r="C38" s="14">
        <f>IF(C6=0,0,C6/TrAvia_act!C24*1000000)</f>
        <v>1741.5120767376941</v>
      </c>
      <c r="D38" s="14">
        <f>IF(D6=0,0,D6/TrAvia_act!D24*1000000)</f>
        <v>1741.514009158217</v>
      </c>
      <c r="E38" s="14">
        <f>IF(E6=0,0,E6/TrAvia_act!E24*1000000)</f>
        <v>1736.2998376403566</v>
      </c>
      <c r="F38" s="14">
        <f>IF(F6=0,0,F6/TrAvia_act!F24*1000000)</f>
        <v>1725.4989464655732</v>
      </c>
      <c r="G38" s="14">
        <f>IF(G6=0,0,G6/TrAvia_act!G24*1000000)</f>
        <v>1775.0981567503513</v>
      </c>
      <c r="H38" s="14">
        <f>IF(H6=0,0,H6/TrAvia_act!H24*1000000)</f>
        <v>1876.8481354902228</v>
      </c>
      <c r="I38" s="14">
        <f>IF(I6=0,0,I6/TrAvia_act!I24*1000000)</f>
        <v>2123.3643909643311</v>
      </c>
      <c r="J38" s="14">
        <f>IF(J6=0,0,J6/TrAvia_act!J24*1000000)</f>
        <v>2148.1709636008441</v>
      </c>
      <c r="K38" s="14">
        <f>IF(K6=0,0,K6/TrAvia_act!K24*1000000)</f>
        <v>1866.1306821280934</v>
      </c>
      <c r="L38" s="14">
        <f>IF(L6=0,0,L6/TrAvia_act!L24*1000000)</f>
        <v>2097.5544101462788</v>
      </c>
      <c r="M38" s="14">
        <f>IF(M6=0,0,M6/TrAvia_act!M24*1000000)</f>
        <v>1868.4518259104536</v>
      </c>
      <c r="N38" s="14">
        <f>IF(N6=0,0,N6/TrAvia_act!N24*1000000)</f>
        <v>2125.1762289108251</v>
      </c>
      <c r="O38" s="14">
        <f>IF(O6=0,0,O6/TrAvia_act!O24*1000000)</f>
        <v>2437.3965455021203</v>
      </c>
      <c r="P38" s="14">
        <f>IF(P6=0,0,P6/TrAvia_act!P24*1000000)</f>
        <v>2546.9262314170533</v>
      </c>
      <c r="Q38" s="14">
        <f>IF(Q6=0,0,Q6/TrAvia_act!Q24*1000000)</f>
        <v>2417.9634862154571</v>
      </c>
      <c r="R38" s="14">
        <f>IF(R6=0,0,R6/TrAvia_act!R24*1000000)</f>
        <v>2068.1228514594941</v>
      </c>
      <c r="S38" s="14">
        <f>IF(S6=0,0,S6/TrAvia_act!S24*1000000)</f>
        <v>2189.9772349462437</v>
      </c>
      <c r="T38" s="14">
        <f>IF(T6=0,0,T6/TrAvia_act!T24*1000000)</f>
        <v>2851.1646191804316</v>
      </c>
      <c r="U38" s="14">
        <f>IF(U6=0,0,U6/TrAvia_act!U24*1000000)</f>
        <v>2591.7643483605866</v>
      </c>
      <c r="V38" s="14">
        <f>IF(V6=0,0,V6/TrAvia_act!V24*1000000)</f>
        <v>4712.4991728715786</v>
      </c>
      <c r="W38" s="14">
        <f>IF(W6=0,0,W6/TrAvia_act!W24*1000000)</f>
        <v>3843.2761052527376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1485.6373853966556</v>
      </c>
      <c r="C40" s="87">
        <f>IF(C8=0,0,C8/TrAvia_act!C26*1000000)</f>
        <v>1486.6091101685429</v>
      </c>
      <c r="D40" s="87">
        <f>IF(D8=0,0,D8/TrAvia_act!D26*1000000)</f>
        <v>1486.654404909463</v>
      </c>
      <c r="E40" s="87">
        <f>IF(E8=0,0,E8/TrAvia_act!E26*1000000)</f>
        <v>1482.241051402634</v>
      </c>
      <c r="F40" s="87">
        <f>IF(F8=0,0,F8/TrAvia_act!F26*1000000)</f>
        <v>1473.0146226966581</v>
      </c>
      <c r="G40" s="87">
        <f>IF(G8=0,0,G8/TrAvia_act!G26*1000000)</f>
        <v>1482.3291694331797</v>
      </c>
      <c r="H40" s="87">
        <f>IF(H8=0,0,H8/TrAvia_act!H26*1000000)</f>
        <v>1607.9745261547232</v>
      </c>
      <c r="I40" s="87">
        <f>IF(I8=0,0,I8/TrAvia_act!I26*1000000)</f>
        <v>1903.3779184168125</v>
      </c>
      <c r="J40" s="87">
        <f>IF(J8=0,0,J8/TrAvia_act!J26*1000000)</f>
        <v>1916.9100904826175</v>
      </c>
      <c r="K40" s="87">
        <f>IF(K8=0,0,K8/TrAvia_act!K26*1000000)</f>
        <v>1708.6320571285337</v>
      </c>
      <c r="L40" s="87">
        <f>IF(L8=0,0,L8/TrAvia_act!L26*1000000)</f>
        <v>2019.2381635510451</v>
      </c>
      <c r="M40" s="87">
        <f>IF(M8=0,0,M8/TrAvia_act!M26*1000000)</f>
        <v>1754.7477262669245</v>
      </c>
      <c r="N40" s="87">
        <f>IF(N8=0,0,N8/TrAvia_act!N26*1000000)</f>
        <v>2039.762683141523</v>
      </c>
      <c r="O40" s="87">
        <f>IF(O8=0,0,O8/TrAvia_act!O26*1000000)</f>
        <v>2481.8347615818802</v>
      </c>
      <c r="P40" s="87">
        <f>IF(P8=0,0,P8/TrAvia_act!P26*1000000)</f>
        <v>2692.8319899601101</v>
      </c>
      <c r="Q40" s="87">
        <f>IF(Q8=0,0,Q8/TrAvia_act!Q26*1000000)</f>
        <v>2630.6980826979375</v>
      </c>
      <c r="R40" s="87">
        <f>IF(R8=0,0,R8/TrAvia_act!R26*1000000)</f>
        <v>2133.0776057519356</v>
      </c>
      <c r="S40" s="87">
        <f>IF(S8=0,0,S8/TrAvia_act!S26*1000000)</f>
        <v>2400.3986388005637</v>
      </c>
      <c r="T40" s="87">
        <f>IF(T8=0,0,T8/TrAvia_act!T26*1000000)</f>
        <v>2959.4413288820683</v>
      </c>
      <c r="U40" s="87">
        <f>IF(U8=0,0,U8/TrAvia_act!U26*1000000)</f>
        <v>2725.1086265084459</v>
      </c>
      <c r="V40" s="87">
        <f>IF(V8=0,0,V8/TrAvia_act!V26*1000000)</f>
        <v>3898.0390409557208</v>
      </c>
      <c r="W40" s="87">
        <f>IF(W8=0,0,W8/TrAvia_act!W26*1000000)</f>
        <v>3396.3330155827002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2301.2685451058023</v>
      </c>
      <c r="C41" s="87">
        <f>IF(C9=0,0,C9/TrAvia_act!C27*1000000)</f>
        <v>2302.9080167125394</v>
      </c>
      <c r="D41" s="87">
        <f>IF(D9=0,0,D9/TrAvia_act!D27*1000000)</f>
        <v>2302.8873630675189</v>
      </c>
      <c r="E41" s="87">
        <f>IF(E9=0,0,E9/TrAvia_act!E27*1000000)</f>
        <v>2295.946663293671</v>
      </c>
      <c r="F41" s="87">
        <f>IF(F9=0,0,F9/TrAvia_act!F27*1000000)</f>
        <v>2281.660281696707</v>
      </c>
      <c r="G41" s="87">
        <f>IF(G9=0,0,G9/TrAvia_act!G27*1000000)</f>
        <v>2506.3030539959341</v>
      </c>
      <c r="H41" s="87">
        <f>IF(H9=0,0,H9/TrAvia_act!H27*1000000)</f>
        <v>2545.6322817878477</v>
      </c>
      <c r="I41" s="87">
        <f>IF(I9=0,0,I9/TrAvia_act!I27*1000000)</f>
        <v>2605.8144966234313</v>
      </c>
      <c r="J41" s="87">
        <f>IF(J9=0,0,J9/TrAvia_act!J27*1000000)</f>
        <v>2629.7997335422228</v>
      </c>
      <c r="K41" s="87">
        <f>IF(K9=0,0,K9/TrAvia_act!K27*1000000)</f>
        <v>2142.9464472788345</v>
      </c>
      <c r="L41" s="87">
        <f>IF(L9=0,0,L9/TrAvia_act!L27*1000000)</f>
        <v>2213.7414098386625</v>
      </c>
      <c r="M41" s="87">
        <f>IF(M9=0,0,M9/TrAvia_act!M27*1000000)</f>
        <v>2046.3652994703289</v>
      </c>
      <c r="N41" s="87">
        <f>IF(N9=0,0,N9/TrAvia_act!N27*1000000)</f>
        <v>2247.4443807038028</v>
      </c>
      <c r="O41" s="87">
        <f>IF(O9=0,0,O9/TrAvia_act!O27*1000000)</f>
        <v>2381.0985509346228</v>
      </c>
      <c r="P41" s="87">
        <f>IF(P9=0,0,P9/TrAvia_act!P27*1000000)</f>
        <v>2375.8740748852338</v>
      </c>
      <c r="Q41" s="87">
        <f>IF(Q9=0,0,Q9/TrAvia_act!Q27*1000000)</f>
        <v>2176.0948052207536</v>
      </c>
      <c r="R41" s="87">
        <f>IF(R9=0,0,R9/TrAvia_act!R27*1000000)</f>
        <v>1979.3538115411066</v>
      </c>
      <c r="S41" s="87">
        <f>IF(S9=0,0,S9/TrAvia_act!S27*1000000)</f>
        <v>1921.2472618359309</v>
      </c>
      <c r="T41" s="87">
        <f>IF(T9=0,0,T9/TrAvia_act!T27*1000000)</f>
        <v>2696.0423599565329</v>
      </c>
      <c r="U41" s="87">
        <f>IF(U9=0,0,U9/TrAvia_act!U27*1000000)</f>
        <v>2417.2666077973618</v>
      </c>
      <c r="V41" s="87">
        <f>IF(V9=0,0,V9/TrAvia_act!V27*1000000)</f>
        <v>6047.4298168940923</v>
      </c>
      <c r="W41" s="87">
        <f>IF(W9=0,0,W9/TrAvia_act!W27*1000000)</f>
        <v>4588.9413619981569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2519.2484938732737</v>
      </c>
      <c r="C42" s="15">
        <f>IF(C10=0,0,C10/TrAvia_act!C28*1000000)</f>
        <v>2720.4654913199029</v>
      </c>
      <c r="D42" s="15">
        <f>IF(D10=0,0,D10/TrAvia_act!D28*1000000)</f>
        <v>2957.1712125052068</v>
      </c>
      <c r="E42" s="15">
        <f>IF(E10=0,0,E10/TrAvia_act!E28*1000000)</f>
        <v>3403.5153370528415</v>
      </c>
      <c r="F42" s="15">
        <f>IF(F10=0,0,F10/TrAvia_act!F28*1000000)</f>
        <v>3541.0801678574876</v>
      </c>
      <c r="G42" s="15">
        <f>IF(G10=0,0,G10/TrAvia_act!G28*1000000)</f>
        <v>3153.3047365956763</v>
      </c>
      <c r="H42" s="15">
        <f>IF(H10=0,0,H10/TrAvia_act!H28*1000000)</f>
        <v>1910.7228257030922</v>
      </c>
      <c r="I42" s="15">
        <f>IF(I10=0,0,I10/TrAvia_act!I28*1000000)</f>
        <v>1535.0414971484447</v>
      </c>
      <c r="J42" s="15">
        <f>IF(J10=0,0,J10/TrAvia_act!J28*1000000)</f>
        <v>1748.109432873832</v>
      </c>
      <c r="K42" s="15">
        <f>IF(K10=0,0,K10/TrAvia_act!K28*1000000)</f>
        <v>1728.118300420467</v>
      </c>
      <c r="L42" s="15">
        <f>IF(L10=0,0,L10/TrAvia_act!L28*1000000)</f>
        <v>1854.1309234115568</v>
      </c>
      <c r="M42" s="15">
        <f>IF(M10=0,0,M10/TrAvia_act!M28*1000000)</f>
        <v>1514.3391009649247</v>
      </c>
      <c r="N42" s="15">
        <f>IF(N10=0,0,N10/TrAvia_act!N28*1000000)</f>
        <v>1692.1849940962175</v>
      </c>
      <c r="O42" s="15">
        <f>IF(O10=0,0,O10/TrAvia_act!O28*1000000)</f>
        <v>2045.4778446120313</v>
      </c>
      <c r="P42" s="15">
        <f>IF(P10=0,0,P10/TrAvia_act!P28*1000000)</f>
        <v>2261.5079056228569</v>
      </c>
      <c r="Q42" s="15">
        <f>IF(Q10=0,0,Q10/TrAvia_act!Q28*1000000)</f>
        <v>2222.4746059315389</v>
      </c>
      <c r="R42" s="15">
        <f>IF(R10=0,0,R10/TrAvia_act!R28*1000000)</f>
        <v>1751.1089576455483</v>
      </c>
      <c r="S42" s="15">
        <f>IF(S10=0,0,S10/TrAvia_act!S28*1000000)</f>
        <v>1913.4827461224106</v>
      </c>
      <c r="T42" s="15">
        <f>IF(T10=0,0,T10/TrAvia_act!T28*1000000)</f>
        <v>2402.5283618906856</v>
      </c>
      <c r="U42" s="15">
        <f>IF(U10=0,0,U10/TrAvia_act!U28*1000000)</f>
        <v>1974.7963057929787</v>
      </c>
      <c r="V42" s="15">
        <f>IF(V10=0,0,V10/TrAvia_act!V28*1000000)</f>
        <v>3374.2103779717668</v>
      </c>
      <c r="W42" s="15">
        <f>IF(W10=0,0,W10/TrAvia_act!W28*1000000)</f>
        <v>2830.124739226881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1562.4750607257729</v>
      </c>
      <c r="C44" s="101">
        <f>IF(C12=0,0,C12/TrAvia_act!C30*1000000)</f>
        <v>1584.8073171827966</v>
      </c>
      <c r="D44" s="101">
        <f>IF(D12=0,0,D12/TrAvia_act!D30*1000000)</f>
        <v>1588.6607899731462</v>
      </c>
      <c r="E44" s="101">
        <f>IF(E12=0,0,E12/TrAvia_act!E30*1000000)</f>
        <v>1596.5976028338371</v>
      </c>
      <c r="F44" s="101">
        <f>IF(F12=0,0,F12/TrAvia_act!F30*1000000)</f>
        <v>1594.321549669975</v>
      </c>
      <c r="G44" s="101">
        <f>IF(G12=0,0,G12/TrAvia_act!G30*1000000)</f>
        <v>1419.7335925124255</v>
      </c>
      <c r="H44" s="101">
        <f>IF(H12=0,0,H12/TrAvia_act!H30*1000000)</f>
        <v>1364.8901440875381</v>
      </c>
      <c r="I44" s="101">
        <f>IF(I12=0,0,I12/TrAvia_act!I30*1000000)</f>
        <v>1441.2395909041181</v>
      </c>
      <c r="J44" s="101">
        <f>IF(J12=0,0,J12/TrAvia_act!J30*1000000)</f>
        <v>1613.0369863541775</v>
      </c>
      <c r="K44" s="101">
        <f>IF(K12=0,0,K12/TrAvia_act!K30*1000000)</f>
        <v>1705.2270129142432</v>
      </c>
      <c r="L44" s="101">
        <f>IF(L12=0,0,L12/TrAvia_act!L30*1000000)</f>
        <v>1911.2970054364121</v>
      </c>
      <c r="M44" s="101">
        <f>IF(M12=0,0,M12/TrAvia_act!M30*1000000)</f>
        <v>1562.3805706569135</v>
      </c>
      <c r="N44" s="101">
        <f>IF(N12=0,0,N12/TrAvia_act!N30*1000000)</f>
        <v>1756.5259865978028</v>
      </c>
      <c r="O44" s="101">
        <f>IF(O12=0,0,O12/TrAvia_act!O30*1000000)</f>
        <v>2141.4201629573317</v>
      </c>
      <c r="P44" s="101">
        <f>IF(P12=0,0,P12/TrAvia_act!P30*1000000)</f>
        <v>2392.7784481623976</v>
      </c>
      <c r="Q44" s="101">
        <f>IF(Q12=0,0,Q12/TrAvia_act!Q30*1000000)</f>
        <v>2285.777773168847</v>
      </c>
      <c r="R44" s="101">
        <f>IF(R12=0,0,R12/TrAvia_act!R30*1000000)</f>
        <v>1792.6147956200664</v>
      </c>
      <c r="S44" s="101">
        <f>IF(S12=0,0,S12/TrAvia_act!S30*1000000)</f>
        <v>1986.5161050757408</v>
      </c>
      <c r="T44" s="101">
        <f>IF(T12=0,0,T12/TrAvia_act!T30*1000000)</f>
        <v>2476.3685466470442</v>
      </c>
      <c r="U44" s="101">
        <f>IF(U12=0,0,U12/TrAvia_act!U30*1000000)</f>
        <v>2031.6216977932263</v>
      </c>
      <c r="V44" s="101">
        <f>IF(V12=0,0,V12/TrAvia_act!V30*1000000)</f>
        <v>3346.9216959551991</v>
      </c>
      <c r="W44" s="101">
        <f>IF(W12=0,0,W12/TrAvia_act!W30*1000000)</f>
        <v>2835.399398050185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8068.5344061287824</v>
      </c>
      <c r="C45" s="88">
        <f>IF(C13=0,0,C13/TrAvia_act!C31*1000000)</f>
        <v>8074.2825979662621</v>
      </c>
      <c r="D45" s="88">
        <f>IF(D13=0,0,D13/TrAvia_act!D31*1000000)</f>
        <v>8074.2101837120408</v>
      </c>
      <c r="E45" s="88">
        <f>IF(E13=0,0,E13/TrAvia_act!E31*1000000)</f>
        <v>8049.8752250445677</v>
      </c>
      <c r="F45" s="88">
        <f>IF(F13=0,0,F13/TrAvia_act!F31*1000000)</f>
        <v>7999.7853901579183</v>
      </c>
      <c r="G45" s="88">
        <f>IF(G13=0,0,G13/TrAvia_act!G31*1000000)</f>
        <v>8787.41095486624</v>
      </c>
      <c r="H45" s="88">
        <f>IF(H13=0,0,H13/TrAvia_act!H31*1000000)</f>
        <v>6321.0508931567665</v>
      </c>
      <c r="I45" s="88">
        <f>IF(I13=0,0,I13/TrAvia_act!I31*1000000)</f>
        <v>4579.6950373288728</v>
      </c>
      <c r="J45" s="88">
        <f>IF(J13=0,0,J13/TrAvia_act!J31*1000000)</f>
        <v>3269.1426349864655</v>
      </c>
      <c r="K45" s="88">
        <f>IF(K13=0,0,K13/TrAvia_act!K31*1000000)</f>
        <v>1882.9711276684523</v>
      </c>
      <c r="L45" s="88">
        <f>IF(L13=0,0,L13/TrAvia_act!L31*1000000)</f>
        <v>1373.9358344027708</v>
      </c>
      <c r="M45" s="88">
        <f>IF(M13=0,0,M13/TrAvia_act!M31*1000000)</f>
        <v>1138.7421561002843</v>
      </c>
      <c r="N45" s="88">
        <f>IF(N13=0,0,N13/TrAvia_act!N31*1000000)</f>
        <v>1122.3076319393201</v>
      </c>
      <c r="O45" s="88">
        <f>IF(O13=0,0,O13/TrAvia_act!O31*1000000)</f>
        <v>1229.9681386769769</v>
      </c>
      <c r="P45" s="88">
        <f>IF(P13=0,0,P13/TrAvia_act!P31*1000000)</f>
        <v>1269.6860286574399</v>
      </c>
      <c r="Q45" s="88">
        <f>IF(Q13=0,0,Q13/TrAvia_act!Q31*1000000)</f>
        <v>1203.2936134108743</v>
      </c>
      <c r="R45" s="88">
        <f>IF(R13=0,0,R13/TrAvia_act!R31*1000000)</f>
        <v>1132.6719718252257</v>
      </c>
      <c r="S45" s="88">
        <f>IF(S13=0,0,S13/TrAvia_act!S31*1000000)</f>
        <v>1137.9380296179961</v>
      </c>
      <c r="T45" s="88">
        <f>IF(T13=0,0,T13/TrAvia_act!T31*1000000)</f>
        <v>1653.0504866136455</v>
      </c>
      <c r="U45" s="88">
        <f>IF(U13=0,0,U13/TrAvia_act!U31*1000000)</f>
        <v>1460.3769676854686</v>
      </c>
      <c r="V45" s="88">
        <f>IF(V13=0,0,V13/TrAvia_act!V31*1000000)</f>
        <v>3653.5180644942848</v>
      </c>
      <c r="W45" s="88">
        <f>IF(W13=0,0,W13/TrAvia_act!W31*1000000)</f>
        <v>2772.3811057928137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0.98644678585785883</v>
      </c>
      <c r="C48" s="16">
        <f t="shared" si="35"/>
        <v>0.98807949249706095</v>
      </c>
      <c r="D48" s="16">
        <f t="shared" ref="D48:V48" si="36">IF(D6=0,0,D6/D$3)</f>
        <v>0.98907079524502484</v>
      </c>
      <c r="E48" s="16">
        <f t="shared" si="36"/>
        <v>0.98707497685880008</v>
      </c>
      <c r="F48" s="16">
        <f t="shared" si="36"/>
        <v>0.98195212992514458</v>
      </c>
      <c r="G48" s="16">
        <f t="shared" si="36"/>
        <v>0.98380675637734216</v>
      </c>
      <c r="H48" s="16">
        <f t="shared" si="36"/>
        <v>0.98284242392148158</v>
      </c>
      <c r="I48" s="16">
        <f t="shared" si="36"/>
        <v>0.96176443560549041</v>
      </c>
      <c r="J48" s="16">
        <f t="shared" si="36"/>
        <v>0.98605775482022862</v>
      </c>
      <c r="K48" s="16">
        <f t="shared" si="36"/>
        <v>0.99187585946999401</v>
      </c>
      <c r="L48" s="16">
        <f t="shared" si="36"/>
        <v>0.98758552743474515</v>
      </c>
      <c r="M48" s="16">
        <f t="shared" si="36"/>
        <v>0.9877173757014398</v>
      </c>
      <c r="N48" s="16">
        <f t="shared" si="36"/>
        <v>0.98535516487411678</v>
      </c>
      <c r="O48" s="16">
        <f t="shared" si="36"/>
        <v>0.98505133799253464</v>
      </c>
      <c r="P48" s="16">
        <f t="shared" si="36"/>
        <v>0.98660407298187047</v>
      </c>
      <c r="Q48" s="16">
        <f t="shared" si="36"/>
        <v>0.98538203695895232</v>
      </c>
      <c r="R48" s="16">
        <f t="shared" si="36"/>
        <v>0.98725072878417286</v>
      </c>
      <c r="S48" s="16">
        <f t="shared" si="36"/>
        <v>0.98229020874240391</v>
      </c>
      <c r="T48" s="16">
        <f t="shared" si="36"/>
        <v>0.98492846742985429</v>
      </c>
      <c r="U48" s="16">
        <f t="shared" si="36"/>
        <v>0.98628414202158332</v>
      </c>
      <c r="V48" s="16">
        <f t="shared" si="36"/>
        <v>0.9352088488464162</v>
      </c>
      <c r="W48" s="16">
        <f t="shared" ref="W48" si="37">IF(W6=0,0,W6/W$3)</f>
        <v>0.939917513467039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0.57916436502301849</v>
      </c>
      <c r="C50" s="103">
        <f t="shared" si="41"/>
        <v>0.58007244767085098</v>
      </c>
      <c r="D50" s="103">
        <f t="shared" ref="D50:V50" si="42">IF(D8=0,0,D8/D$3)</f>
        <v>0.58069501224255982</v>
      </c>
      <c r="E50" s="103">
        <f t="shared" si="42"/>
        <v>0.57955010433553922</v>
      </c>
      <c r="F50" s="103">
        <f t="shared" si="42"/>
        <v>0.57653437922813944</v>
      </c>
      <c r="G50" s="103">
        <f t="shared" si="42"/>
        <v>0.58665434750908285</v>
      </c>
      <c r="H50" s="103">
        <f t="shared" si="42"/>
        <v>0.60058647069840876</v>
      </c>
      <c r="I50" s="103">
        <f t="shared" si="42"/>
        <v>0.59212649944101181</v>
      </c>
      <c r="J50" s="103">
        <f t="shared" si="42"/>
        <v>0.59446374154171544</v>
      </c>
      <c r="K50" s="103">
        <f t="shared" si="42"/>
        <v>0.57882918242761883</v>
      </c>
      <c r="L50" s="103">
        <f t="shared" si="42"/>
        <v>0.5679102542736274</v>
      </c>
      <c r="M50" s="103">
        <f t="shared" si="42"/>
        <v>0.56592727398774889</v>
      </c>
      <c r="N50" s="103">
        <f t="shared" si="42"/>
        <v>0.55679152032636847</v>
      </c>
      <c r="O50" s="103">
        <f t="shared" si="42"/>
        <v>0.56054805733445245</v>
      </c>
      <c r="P50" s="103">
        <f t="shared" si="42"/>
        <v>0.56294082866172601</v>
      </c>
      <c r="Q50" s="103">
        <f t="shared" si="42"/>
        <v>0.57039142092372053</v>
      </c>
      <c r="R50" s="103">
        <f t="shared" si="42"/>
        <v>0.58800120157832603</v>
      </c>
      <c r="S50" s="103">
        <f t="shared" si="42"/>
        <v>0.60384705803040306</v>
      </c>
      <c r="T50" s="103">
        <f t="shared" si="42"/>
        <v>0.60207720113062035</v>
      </c>
      <c r="U50" s="103">
        <f t="shared" si="42"/>
        <v>0.58783070445265828</v>
      </c>
      <c r="V50" s="103">
        <f t="shared" si="42"/>
        <v>0.48044848336213802</v>
      </c>
      <c r="W50" s="103">
        <f t="shared" ref="W50" si="43">IF(W8=0,0,W8/W$3)</f>
        <v>0.51933128630095959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0.40728242083484045</v>
      </c>
      <c r="C51" s="103">
        <f t="shared" si="44"/>
        <v>0.40800704482621003</v>
      </c>
      <c r="D51" s="103">
        <f t="shared" ref="D51:V51" si="45">IF(D9=0,0,D9/D$3)</f>
        <v>0.40837578300246496</v>
      </c>
      <c r="E51" s="103">
        <f t="shared" si="45"/>
        <v>0.40752487252326092</v>
      </c>
      <c r="F51" s="103">
        <f t="shared" si="45"/>
        <v>0.40541775069700503</v>
      </c>
      <c r="G51" s="103">
        <f t="shared" si="45"/>
        <v>0.3971524088682592</v>
      </c>
      <c r="H51" s="103">
        <f t="shared" si="45"/>
        <v>0.38225595322307271</v>
      </c>
      <c r="I51" s="103">
        <f t="shared" si="45"/>
        <v>0.36963793616447849</v>
      </c>
      <c r="J51" s="103">
        <f t="shared" si="45"/>
        <v>0.39159401327851329</v>
      </c>
      <c r="K51" s="103">
        <f t="shared" si="45"/>
        <v>0.41304667704237508</v>
      </c>
      <c r="L51" s="103">
        <f t="shared" si="45"/>
        <v>0.4196752731611178</v>
      </c>
      <c r="M51" s="103">
        <f t="shared" si="45"/>
        <v>0.4217901017136908</v>
      </c>
      <c r="N51" s="103">
        <f t="shared" si="45"/>
        <v>0.42856364454774826</v>
      </c>
      <c r="O51" s="103">
        <f t="shared" si="45"/>
        <v>0.42450328065808224</v>
      </c>
      <c r="P51" s="103">
        <f t="shared" si="45"/>
        <v>0.42366324432014446</v>
      </c>
      <c r="Q51" s="103">
        <f t="shared" si="45"/>
        <v>0.4149906160352318</v>
      </c>
      <c r="R51" s="103">
        <f t="shared" si="45"/>
        <v>0.39924952720584694</v>
      </c>
      <c r="S51" s="103">
        <f t="shared" si="45"/>
        <v>0.37844315071200085</v>
      </c>
      <c r="T51" s="103">
        <f t="shared" si="45"/>
        <v>0.38285126629923394</v>
      </c>
      <c r="U51" s="103">
        <f t="shared" si="45"/>
        <v>0.39845343756892515</v>
      </c>
      <c r="V51" s="103">
        <f t="shared" si="45"/>
        <v>0.45476036548427812</v>
      </c>
      <c r="W51" s="103">
        <f t="shared" ref="W51" si="46">IF(W9=0,0,W9/W$3)</f>
        <v>0.42058622716607935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1.355321414214109E-2</v>
      </c>
      <c r="C52" s="17">
        <f t="shared" si="47"/>
        <v>1.1920507502938955E-2</v>
      </c>
      <c r="D52" s="17">
        <f t="shared" ref="D52:V52" si="48">IF(D10=0,0,D10/D$3)</f>
        <v>1.0929204754975145E-2</v>
      </c>
      <c r="E52" s="17">
        <f t="shared" si="48"/>
        <v>1.2925023141199855E-2</v>
      </c>
      <c r="F52" s="17">
        <f t="shared" si="48"/>
        <v>1.8047870074855532E-2</v>
      </c>
      <c r="G52" s="17">
        <f t="shared" si="48"/>
        <v>1.6193243622657959E-2</v>
      </c>
      <c r="H52" s="17">
        <f t="shared" si="48"/>
        <v>1.7157576078518436E-2</v>
      </c>
      <c r="I52" s="17">
        <f t="shared" si="48"/>
        <v>3.8235564394509446E-2</v>
      </c>
      <c r="J52" s="17">
        <f t="shared" si="48"/>
        <v>1.394224517977144E-2</v>
      </c>
      <c r="K52" s="17">
        <f t="shared" si="48"/>
        <v>8.1241405300060757E-3</v>
      </c>
      <c r="L52" s="17">
        <f t="shared" si="48"/>
        <v>1.2414472565254823E-2</v>
      </c>
      <c r="M52" s="17">
        <f t="shared" si="48"/>
        <v>1.2282624298560179E-2</v>
      </c>
      <c r="N52" s="17">
        <f t="shared" si="48"/>
        <v>1.4644835125883176E-2</v>
      </c>
      <c r="O52" s="17">
        <f t="shared" si="48"/>
        <v>1.4948662007465268E-2</v>
      </c>
      <c r="P52" s="17">
        <f t="shared" si="48"/>
        <v>1.3395927018129486E-2</v>
      </c>
      <c r="Q52" s="17">
        <f t="shared" si="48"/>
        <v>1.4617963041047722E-2</v>
      </c>
      <c r="R52" s="17">
        <f t="shared" si="48"/>
        <v>1.2749271215827116E-2</v>
      </c>
      <c r="S52" s="17">
        <f t="shared" si="48"/>
        <v>1.770979125759603E-2</v>
      </c>
      <c r="T52" s="17">
        <f t="shared" si="48"/>
        <v>1.5071532570145596E-2</v>
      </c>
      <c r="U52" s="17">
        <f t="shared" si="48"/>
        <v>1.3715857978416689E-2</v>
      </c>
      <c r="V52" s="17">
        <f t="shared" si="48"/>
        <v>6.4791151153583693E-2</v>
      </c>
      <c r="W52" s="17">
        <f t="shared" ref="W52" si="49">IF(W10=0,0,W10/W$3)</f>
        <v>6.0082486532960944E-2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7.1697410031426054E-3</v>
      </c>
      <c r="C54" s="104">
        <f t="shared" si="53"/>
        <v>5.7290411327621882E-3</v>
      </c>
      <c r="D54" s="104">
        <f t="shared" ref="D54:V54" si="54">IF(D12=0,0,D12/D$3)</f>
        <v>4.6324978102488075E-3</v>
      </c>
      <c r="E54" s="104">
        <f t="shared" si="54"/>
        <v>4.365475816192464E-3</v>
      </c>
      <c r="F54" s="104">
        <f t="shared" si="54"/>
        <v>5.6561939128205764E-3</v>
      </c>
      <c r="G54" s="104">
        <f t="shared" si="54"/>
        <v>5.5753122558949014E-3</v>
      </c>
      <c r="H54" s="104">
        <f t="shared" si="54"/>
        <v>1.090640074795609E-2</v>
      </c>
      <c r="I54" s="104">
        <f t="shared" si="54"/>
        <v>3.482615117698705E-2</v>
      </c>
      <c r="J54" s="104">
        <f t="shared" si="54"/>
        <v>1.1815689802039496E-2</v>
      </c>
      <c r="K54" s="104">
        <f t="shared" si="54"/>
        <v>6.9840939164665583E-3</v>
      </c>
      <c r="L54" s="104">
        <f t="shared" si="54"/>
        <v>1.143582465503561E-2</v>
      </c>
      <c r="M54" s="104">
        <f t="shared" si="54"/>
        <v>1.123521992982494E-2</v>
      </c>
      <c r="N54" s="104">
        <f t="shared" si="54"/>
        <v>1.3659469262501741E-2</v>
      </c>
      <c r="O54" s="104">
        <f t="shared" si="54"/>
        <v>1.4002473216396761E-2</v>
      </c>
      <c r="P54" s="104">
        <f t="shared" si="54"/>
        <v>1.2516858377533814E-2</v>
      </c>
      <c r="Q54" s="104">
        <f t="shared" si="54"/>
        <v>1.4155128722998489E-2</v>
      </c>
      <c r="R54" s="104">
        <f t="shared" si="54"/>
        <v>1.2230615438380303E-2</v>
      </c>
      <c r="S54" s="104">
        <f t="shared" si="54"/>
        <v>1.6803355620414753E-2</v>
      </c>
      <c r="T54" s="104">
        <f t="shared" si="54"/>
        <v>1.4141495747933211E-2</v>
      </c>
      <c r="U54" s="104">
        <f t="shared" si="54"/>
        <v>1.2706870255288546E-2</v>
      </c>
      <c r="V54" s="104">
        <f t="shared" si="54"/>
        <v>5.8547043924940208E-2</v>
      </c>
      <c r="W54" s="104">
        <f t="shared" ref="W54" si="55">IF(W12=0,0,W12/W$3)</f>
        <v>5.5156162276219854E-2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6.3834731389984852E-3</v>
      </c>
      <c r="C55" s="105">
        <f t="shared" si="56"/>
        <v>6.1914663701767682E-3</v>
      </c>
      <c r="D55" s="105">
        <f t="shared" ref="D55:V55" si="57">IF(D13=0,0,D13/D$3)</f>
        <v>6.2967069447263354E-3</v>
      </c>
      <c r="E55" s="105">
        <f t="shared" si="57"/>
        <v>8.5595473250073915E-3</v>
      </c>
      <c r="F55" s="105">
        <f t="shared" si="57"/>
        <v>1.2391676162034956E-2</v>
      </c>
      <c r="G55" s="105">
        <f t="shared" si="57"/>
        <v>1.0617931366763056E-2</v>
      </c>
      <c r="H55" s="105">
        <f t="shared" si="57"/>
        <v>6.2511753305623469E-3</v>
      </c>
      <c r="I55" s="105">
        <f t="shared" si="57"/>
        <v>3.4094132175223903E-3</v>
      </c>
      <c r="J55" s="105">
        <f t="shared" si="57"/>
        <v>2.1265553777319421E-3</v>
      </c>
      <c r="K55" s="105">
        <f t="shared" si="57"/>
        <v>1.1400466135395183E-3</v>
      </c>
      <c r="L55" s="105">
        <f t="shared" si="57"/>
        <v>9.7864791021921404E-4</v>
      </c>
      <c r="M55" s="105">
        <f t="shared" si="57"/>
        <v>1.0474043687352381E-3</v>
      </c>
      <c r="N55" s="105">
        <f t="shared" si="57"/>
        <v>9.853658633814336E-4</v>
      </c>
      <c r="O55" s="105">
        <f t="shared" si="57"/>
        <v>9.4618879106850707E-4</v>
      </c>
      <c r="P55" s="105">
        <f t="shared" si="57"/>
        <v>8.7906864059567372E-4</v>
      </c>
      <c r="Q55" s="105">
        <f t="shared" si="57"/>
        <v>4.6283431804923492E-4</v>
      </c>
      <c r="R55" s="105">
        <f t="shared" si="57"/>
        <v>5.1865577744681247E-4</v>
      </c>
      <c r="S55" s="105">
        <f t="shared" si="57"/>
        <v>9.0643563718127934E-4</v>
      </c>
      <c r="T55" s="105">
        <f t="shared" si="57"/>
        <v>9.3003682221238701E-4</v>
      </c>
      <c r="U55" s="105">
        <f t="shared" si="57"/>
        <v>1.0089877231281423E-3</v>
      </c>
      <c r="V55" s="105">
        <f t="shared" si="57"/>
        <v>6.2441072286434892E-3</v>
      </c>
      <c r="W55" s="105">
        <f t="shared" ref="W55" si="58">IF(W13=0,0,W13/W$3)</f>
        <v>4.9263242567410895E-3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368.42002989117861</v>
      </c>
      <c r="C57" s="62">
        <v>368.20801820590219</v>
      </c>
      <c r="D57" s="62">
        <v>368.06738379906596</v>
      </c>
      <c r="E57" s="62">
        <v>368.21527613890032</v>
      </c>
      <c r="F57" s="62">
        <v>368.70566743295223</v>
      </c>
      <c r="G57" s="62">
        <v>361.53477151158222</v>
      </c>
      <c r="H57" s="62">
        <v>362.79413659316828</v>
      </c>
      <c r="I57" s="62">
        <v>357.02235666604037</v>
      </c>
      <c r="J57" s="62">
        <v>357.24410809603688</v>
      </c>
      <c r="K57" s="62">
        <v>355.85247210409858</v>
      </c>
      <c r="L57" s="62">
        <v>357.12678991874111</v>
      </c>
      <c r="M57" s="62">
        <v>365.81733323793679</v>
      </c>
      <c r="N57" s="62">
        <v>372.60266109585808</v>
      </c>
      <c r="O57" s="62">
        <v>364.15629288716383</v>
      </c>
      <c r="P57" s="62">
        <v>365.29837068429646</v>
      </c>
      <c r="Q57" s="62">
        <v>365.32472077697349</v>
      </c>
      <c r="R57" s="62">
        <v>370.12680269678452</v>
      </c>
      <c r="S57" s="62">
        <v>366.16237093765261</v>
      </c>
      <c r="T57" s="62">
        <v>359.03353114866076</v>
      </c>
      <c r="U57" s="62">
        <v>356.52215400732558</v>
      </c>
      <c r="V57" s="62">
        <v>367.269957598595</v>
      </c>
      <c r="W57" s="62">
        <v>351.76616732691872</v>
      </c>
      <c r="DA57" s="172" t="s">
        <v>313</v>
      </c>
    </row>
    <row r="58" spans="1:105" ht="11.45" customHeight="1" x14ac:dyDescent="0.25">
      <c r="A58" s="10" t="s">
        <v>33</v>
      </c>
      <c r="B58" s="14">
        <v>366.92563210627293</v>
      </c>
      <c r="C58" s="14">
        <v>366.92809232948827</v>
      </c>
      <c r="D58" s="14">
        <v>366.92667781043542</v>
      </c>
      <c r="E58" s="14">
        <v>366.92427557849322</v>
      </c>
      <c r="F58" s="14">
        <v>366.92413427725069</v>
      </c>
      <c r="G58" s="14">
        <v>359.90060595797593</v>
      </c>
      <c r="H58" s="14">
        <v>361.23023689105406</v>
      </c>
      <c r="I58" s="14">
        <v>353.9436228521036</v>
      </c>
      <c r="J58" s="14">
        <v>356.38694728010501</v>
      </c>
      <c r="K58" s="14">
        <v>355.35204837231987</v>
      </c>
      <c r="L58" s="14">
        <v>356.34021262989029</v>
      </c>
      <c r="M58" s="14">
        <v>364.91385121800289</v>
      </c>
      <c r="N58" s="14">
        <v>371.3339259365319</v>
      </c>
      <c r="O58" s="14">
        <v>363.0746605011131</v>
      </c>
      <c r="P58" s="14">
        <v>364.32001423492216</v>
      </c>
      <c r="Q58" s="14">
        <v>364.365851742666</v>
      </c>
      <c r="R58" s="14">
        <v>369.24234065028537</v>
      </c>
      <c r="S58" s="14">
        <v>365.00349374408677</v>
      </c>
      <c r="T58" s="14">
        <v>358.03641806613842</v>
      </c>
      <c r="U58" s="14">
        <v>355.62495565543122</v>
      </c>
      <c r="V58" s="14">
        <v>361.73081683471156</v>
      </c>
      <c r="W58" s="14">
        <v>348.19301155533338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382.47338646624763</v>
      </c>
      <c r="C60" s="87">
        <v>382.48045651910411</v>
      </c>
      <c r="D60" s="87">
        <v>382.47567415357361</v>
      </c>
      <c r="E60" s="87">
        <v>382.47016871833449</v>
      </c>
      <c r="F60" s="87">
        <v>382.47043860546648</v>
      </c>
      <c r="G60" s="87">
        <v>372.07234659441417</v>
      </c>
      <c r="H60" s="87">
        <v>369.71754923369036</v>
      </c>
      <c r="I60" s="87">
        <v>357.51885156488436</v>
      </c>
      <c r="J60" s="87">
        <v>358.86931964598205</v>
      </c>
      <c r="K60" s="87">
        <v>357.9539057535593</v>
      </c>
      <c r="L60" s="87">
        <v>357.81650222819565</v>
      </c>
      <c r="M60" s="87">
        <v>364.09449950495286</v>
      </c>
      <c r="N60" s="87">
        <v>374.29009353543461</v>
      </c>
      <c r="O60" s="87">
        <v>363.11062742663921</v>
      </c>
      <c r="P60" s="87">
        <v>361.86645501833033</v>
      </c>
      <c r="Q60" s="87">
        <v>357.49520790309589</v>
      </c>
      <c r="R60" s="87">
        <v>357.69628524104957</v>
      </c>
      <c r="S60" s="87">
        <v>354.11092773351851</v>
      </c>
      <c r="T60" s="87">
        <v>352.86256051440211</v>
      </c>
      <c r="U60" s="87">
        <v>348.30330663824731</v>
      </c>
      <c r="V60" s="87">
        <v>361.99745932787283</v>
      </c>
      <c r="W60" s="87">
        <v>347.90345715605667</v>
      </c>
      <c r="DA60" s="171" t="s">
        <v>316</v>
      </c>
    </row>
    <row r="61" spans="1:105" ht="11.45" customHeight="1" x14ac:dyDescent="0.25">
      <c r="A61" s="83" t="s">
        <v>174</v>
      </c>
      <c r="B61" s="87">
        <v>343.43966666133895</v>
      </c>
      <c r="C61" s="87">
        <v>343.43966666133895</v>
      </c>
      <c r="D61" s="87">
        <v>343.43966666133895</v>
      </c>
      <c r="E61" s="87">
        <v>343.43966666133895</v>
      </c>
      <c r="F61" s="87">
        <v>343.43966666133895</v>
      </c>
      <c r="G61" s="87">
        <v>338.91906257895494</v>
      </c>
      <c r="H61" s="87">
        <v>345.63502213755856</v>
      </c>
      <c r="I61" s="87">
        <v>347.70109149982608</v>
      </c>
      <c r="J61" s="87">
        <v>352.18648986560731</v>
      </c>
      <c r="K61" s="87">
        <v>351.67245944393949</v>
      </c>
      <c r="L61" s="87">
        <v>354.55017519132218</v>
      </c>
      <c r="M61" s="87">
        <v>365.90349665697568</v>
      </c>
      <c r="N61" s="87">
        <v>368.55160935200678</v>
      </c>
      <c r="O61" s="87">
        <v>363.04330439091564</v>
      </c>
      <c r="P61" s="87">
        <v>366.47846524587567</v>
      </c>
      <c r="Q61" s="87">
        <v>370.8335109568888</v>
      </c>
      <c r="R61" s="87">
        <v>383.98329673370574</v>
      </c>
      <c r="S61" s="87">
        <v>378.17035141527822</v>
      </c>
      <c r="T61" s="87">
        <v>364.67586051169638</v>
      </c>
      <c r="U61" s="87">
        <v>364.11071177747209</v>
      </c>
      <c r="V61" s="87">
        <v>361.38277659731381</v>
      </c>
      <c r="W61" s="87">
        <v>348.56431247815704</v>
      </c>
      <c r="DA61" s="171" t="s">
        <v>317</v>
      </c>
    </row>
    <row r="62" spans="1:105" ht="11.45" customHeight="1" x14ac:dyDescent="0.25">
      <c r="A62" s="12" t="s">
        <v>34</v>
      </c>
      <c r="B62" s="15">
        <v>526.12917538971624</v>
      </c>
      <c r="C62" s="15">
        <v>520.57574290258947</v>
      </c>
      <c r="D62" s="15">
        <v>514.33407785331951</v>
      </c>
      <c r="E62" s="15">
        <v>505.15658450240892</v>
      </c>
      <c r="F62" s="15">
        <v>502.61459392401838</v>
      </c>
      <c r="G62" s="15">
        <v>503.42741740548331</v>
      </c>
      <c r="H62" s="15">
        <v>475.25475587777913</v>
      </c>
      <c r="I62" s="15">
        <v>442.63982752550601</v>
      </c>
      <c r="J62" s="15">
        <v>424.30234782736272</v>
      </c>
      <c r="K62" s="15">
        <v>431.35796317565848</v>
      </c>
      <c r="L62" s="15">
        <v>436.440499104352</v>
      </c>
      <c r="M62" s="15">
        <v>459.09994895535016</v>
      </c>
      <c r="N62" s="15">
        <v>499.29654313396117</v>
      </c>
      <c r="O62" s="15">
        <v>470.60973661199415</v>
      </c>
      <c r="P62" s="15">
        <v>474.61314707925453</v>
      </c>
      <c r="Q62" s="15">
        <v>460.75422524211262</v>
      </c>
      <c r="R62" s="15">
        <v>459.3154689228985</v>
      </c>
      <c r="S62" s="15">
        <v>451.9433124923475</v>
      </c>
      <c r="T62" s="15">
        <v>441.68627708470444</v>
      </c>
      <c r="U62" s="15">
        <v>438.85721294676551</v>
      </c>
      <c r="V62" s="15">
        <v>468.3909387780929</v>
      </c>
      <c r="W62" s="15">
        <v>419.54318959955316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586.71377430174141</v>
      </c>
      <c r="C64" s="101">
        <v>586.8021039850745</v>
      </c>
      <c r="D64" s="101">
        <v>586.81804735489823</v>
      </c>
      <c r="E64" s="101">
        <v>586.87032213888722</v>
      </c>
      <c r="F64" s="101">
        <v>586.90173139251522</v>
      </c>
      <c r="G64" s="101">
        <v>549.85115479288118</v>
      </c>
      <c r="H64" s="101">
        <v>524.77740432657595</v>
      </c>
      <c r="I64" s="101">
        <v>452.98058036839808</v>
      </c>
      <c r="J64" s="101">
        <v>446.41879356812723</v>
      </c>
      <c r="K64" s="101">
        <v>453.62978591983426</v>
      </c>
      <c r="L64" s="101">
        <v>434.55189707598475</v>
      </c>
      <c r="M64" s="101">
        <v>456.93665322566397</v>
      </c>
      <c r="N64" s="101">
        <v>505.75039273167545</v>
      </c>
      <c r="O64" s="101">
        <v>476.72534778409062</v>
      </c>
      <c r="P64" s="101">
        <v>477.3902729049052</v>
      </c>
      <c r="Q64" s="101">
        <v>459.69940776539477</v>
      </c>
      <c r="R64" s="101">
        <v>454.9758218007654</v>
      </c>
      <c r="S64" s="101">
        <v>447.48653631488469</v>
      </c>
      <c r="T64" s="101">
        <v>440.66156331991579</v>
      </c>
      <c r="U64" s="101">
        <v>437.83421401214952</v>
      </c>
      <c r="V64" s="101">
        <v>471.84867018139192</v>
      </c>
      <c r="W64" s="101">
        <v>423.10617247059383</v>
      </c>
      <c r="DA64" s="175" t="s">
        <v>320</v>
      </c>
    </row>
    <row r="65" spans="1:105" ht="11.45" customHeight="1" x14ac:dyDescent="0.25">
      <c r="A65" s="85" t="s">
        <v>174</v>
      </c>
      <c r="B65" s="88">
        <v>472.78398675803948</v>
      </c>
      <c r="C65" s="88">
        <v>472.78398675803953</v>
      </c>
      <c r="D65" s="88">
        <v>472.78398675803953</v>
      </c>
      <c r="E65" s="88">
        <v>472.78398675803953</v>
      </c>
      <c r="F65" s="88">
        <v>472.78398675803959</v>
      </c>
      <c r="G65" s="88">
        <v>480.36681605944756</v>
      </c>
      <c r="H65" s="88">
        <v>400.24389576978859</v>
      </c>
      <c r="I65" s="88">
        <v>352.08875197556034</v>
      </c>
      <c r="J65" s="88">
        <v>328.69959448812699</v>
      </c>
      <c r="K65" s="88">
        <v>340.96625444578348</v>
      </c>
      <c r="L65" s="88">
        <v>455.08061117605411</v>
      </c>
      <c r="M65" s="88">
        <v>478.87915246902952</v>
      </c>
      <c r="N65" s="88">
        <v>446.28351162034664</v>
      </c>
      <c r="O65" s="88">
        <v>422.11907709039031</v>
      </c>
      <c r="P65" s="88">
        <v>452.37538661833355</v>
      </c>
      <c r="Q65" s="88">
        <v>481.24713673996098</v>
      </c>
      <c r="R65" s="88">
        <v>552.67658563500777</v>
      </c>
      <c r="S65" s="88">
        <v>515.62188868141016</v>
      </c>
      <c r="T65" s="88">
        <v>453.67082816011197</v>
      </c>
      <c r="U65" s="88">
        <v>448.36753788287467</v>
      </c>
      <c r="V65" s="88">
        <v>437.2225451406556</v>
      </c>
      <c r="W65" s="88">
        <v>386.57336919971067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0.56615262389941434</v>
      </c>
      <c r="C67" s="59">
        <f t="shared" ref="C67:W67" si="60">IF(C3=0,0,C17/C57)</f>
        <v>0.56654421718538539</v>
      </c>
      <c r="D67" s="59">
        <f t="shared" si="60"/>
        <v>0.56652848702848635</v>
      </c>
      <c r="E67" s="59">
        <f t="shared" si="60"/>
        <v>0.56482715232681857</v>
      </c>
      <c r="F67" s="59">
        <f t="shared" si="60"/>
        <v>0.56133470129045426</v>
      </c>
      <c r="G67" s="59">
        <f t="shared" si="60"/>
        <v>0.5663795906449266</v>
      </c>
      <c r="H67" s="59">
        <f t="shared" si="60"/>
        <v>0.60058916167488063</v>
      </c>
      <c r="I67" s="59">
        <f t="shared" si="60"/>
        <v>0.6564833683522735</v>
      </c>
      <c r="J67" s="59">
        <f t="shared" si="60"/>
        <v>0.66919537688905983</v>
      </c>
      <c r="K67" s="59">
        <f t="shared" si="60"/>
        <v>0.5718875746633435</v>
      </c>
      <c r="L67" s="59">
        <f t="shared" si="60"/>
        <v>0.63745650481889382</v>
      </c>
      <c r="M67" s="59">
        <f t="shared" si="60"/>
        <v>0.56332967286095215</v>
      </c>
      <c r="N67" s="59">
        <f t="shared" si="60"/>
        <v>0.61297009162770677</v>
      </c>
      <c r="O67" s="59">
        <f t="shared" si="60"/>
        <v>0.68655106573572855</v>
      </c>
      <c r="P67" s="59">
        <f t="shared" si="60"/>
        <v>0.74062443300275804</v>
      </c>
      <c r="Q67" s="59">
        <f t="shared" si="60"/>
        <v>0.7224310568498169</v>
      </c>
      <c r="R67" s="59">
        <f t="shared" si="60"/>
        <v>0.65055240645496493</v>
      </c>
      <c r="S67" s="59">
        <f t="shared" si="60"/>
        <v>0.68719075078464698</v>
      </c>
      <c r="T67" s="59">
        <f t="shared" si="60"/>
        <v>0.88758054033247857</v>
      </c>
      <c r="U67" s="59">
        <f t="shared" si="60"/>
        <v>0.78396903495685266</v>
      </c>
      <c r="V67" s="59">
        <f t="shared" si="60"/>
        <v>1.4653755444312264</v>
      </c>
      <c r="W67" s="59">
        <f t="shared" si="60"/>
        <v>1.1264745230996782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0.56606749791613942</v>
      </c>
      <c r="C68" s="23">
        <f t="shared" ref="C68:W68" si="62">IF(C6=0,0,C18/C58)</f>
        <v>0.566462176630113</v>
      </c>
      <c r="D68" s="23">
        <f t="shared" si="62"/>
        <v>0.56646230762795302</v>
      </c>
      <c r="E68" s="23">
        <f t="shared" si="62"/>
        <v>0.56476289294720539</v>
      </c>
      <c r="F68" s="23">
        <f t="shared" si="62"/>
        <v>0.56124893190116831</v>
      </c>
      <c r="G68" s="23">
        <f t="shared" si="62"/>
        <v>0.56618458473034505</v>
      </c>
      <c r="H68" s="23">
        <f t="shared" si="62"/>
        <v>0.6010842197552867</v>
      </c>
      <c r="I68" s="23">
        <f t="shared" si="62"/>
        <v>0.65977583364802384</v>
      </c>
      <c r="J68" s="23">
        <f t="shared" si="62"/>
        <v>0.66990726482890861</v>
      </c>
      <c r="K68" s="23">
        <f t="shared" si="62"/>
        <v>0.57180506668418019</v>
      </c>
      <c r="L68" s="23">
        <f t="shared" si="62"/>
        <v>0.63718959904927219</v>
      </c>
      <c r="M68" s="23">
        <f t="shared" si="62"/>
        <v>0.56319052677999204</v>
      </c>
      <c r="N68" s="23">
        <f t="shared" si="62"/>
        <v>0.61212606913253909</v>
      </c>
      <c r="O68" s="23">
        <f t="shared" si="62"/>
        <v>0.68519474224924182</v>
      </c>
      <c r="P68" s="23">
        <f t="shared" si="62"/>
        <v>0.7392226176078831</v>
      </c>
      <c r="Q68" s="23">
        <f t="shared" si="62"/>
        <v>0.7209156022084946</v>
      </c>
      <c r="R68" s="23">
        <f t="shared" si="62"/>
        <v>0.65018114042343544</v>
      </c>
      <c r="S68" s="23">
        <f t="shared" si="62"/>
        <v>0.68631222086588517</v>
      </c>
      <c r="T68" s="23">
        <f t="shared" si="62"/>
        <v>0.88721361080259609</v>
      </c>
      <c r="U68" s="23">
        <f t="shared" si="62"/>
        <v>0.78361388761743778</v>
      </c>
      <c r="V68" s="23">
        <f t="shared" si="62"/>
        <v>1.4676356193311653</v>
      </c>
      <c r="W68" s="23">
        <f t="shared" si="62"/>
        <v>1.1260500885316838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0.52991320604853531</v>
      </c>
      <c r="C70" s="91">
        <f t="shared" ref="C70:W70" si="64">IF(C8=0,0,C20/C60)</f>
        <v>0.53027074728304224</v>
      </c>
      <c r="D70" s="91">
        <f t="shared" si="64"/>
        <v>0.5302795063046819</v>
      </c>
      <c r="E70" s="91">
        <f t="shared" si="64"/>
        <v>0.52869680220501036</v>
      </c>
      <c r="F70" s="91">
        <f t="shared" si="64"/>
        <v>0.52540626440209848</v>
      </c>
      <c r="G70" s="91">
        <f t="shared" si="64"/>
        <v>0.51602986972713683</v>
      </c>
      <c r="H70" s="91">
        <f t="shared" si="64"/>
        <v>0.55418109364274581</v>
      </c>
      <c r="I70" s="91">
        <f t="shared" si="64"/>
        <v>0.63245410438476446</v>
      </c>
      <c r="J70" s="91">
        <f t="shared" si="64"/>
        <v>0.63809740232425205</v>
      </c>
      <c r="K70" s="91">
        <f t="shared" si="64"/>
        <v>0.56550072187330191</v>
      </c>
      <c r="L70" s="91">
        <f t="shared" si="64"/>
        <v>0.66584890801166796</v>
      </c>
      <c r="M70" s="91">
        <f t="shared" si="64"/>
        <v>0.59117731127962536</v>
      </c>
      <c r="N70" s="91">
        <f t="shared" si="64"/>
        <v>0.7077626361252517</v>
      </c>
      <c r="O70" s="91">
        <f t="shared" si="64"/>
        <v>0.83707909716971707</v>
      </c>
      <c r="P70" s="91">
        <f t="shared" si="64"/>
        <v>0.90735630251196175</v>
      </c>
      <c r="Q70" s="91">
        <f t="shared" si="64"/>
        <v>0.87714958899726581</v>
      </c>
      <c r="R70" s="91">
        <f t="shared" si="64"/>
        <v>0.71284933130816752</v>
      </c>
      <c r="S70" s="91">
        <f t="shared" si="64"/>
        <v>0.79463857423083728</v>
      </c>
      <c r="T70" s="91">
        <f t="shared" si="64"/>
        <v>0.97912227886247705</v>
      </c>
      <c r="U70" s="91">
        <f t="shared" si="64"/>
        <v>0.88829457772508758</v>
      </c>
      <c r="V70" s="91">
        <f t="shared" si="64"/>
        <v>1.3306321274994066</v>
      </c>
      <c r="W70" s="91">
        <f t="shared" si="64"/>
        <v>1.1082918080046733</v>
      </c>
      <c r="DA70" s="171"/>
    </row>
    <row r="71" spans="1:105" ht="11.45" customHeight="1" x14ac:dyDescent="0.25">
      <c r="A71" s="83" t="s">
        <v>174</v>
      </c>
      <c r="B71" s="91">
        <f t="shared" si="61"/>
        <v>0.62688819226628401</v>
      </c>
      <c r="C71" s="91">
        <f t="shared" ref="C71:W71" si="65">IF(C9=0,0,C21/C61)</f>
        <v>0.62733480046157908</v>
      </c>
      <c r="D71" s="91">
        <f t="shared" si="65"/>
        <v>0.62732917420547862</v>
      </c>
      <c r="E71" s="91">
        <f t="shared" si="65"/>
        <v>0.62543845930236841</v>
      </c>
      <c r="F71" s="91">
        <f t="shared" si="65"/>
        <v>0.62154670840159043</v>
      </c>
      <c r="G71" s="91">
        <f t="shared" si="65"/>
        <v>0.66109806655434056</v>
      </c>
      <c r="H71" s="91">
        <f t="shared" si="65"/>
        <v>0.69327240969410153</v>
      </c>
      <c r="I71" s="91">
        <f t="shared" si="65"/>
        <v>0.70882797587145674</v>
      </c>
      <c r="J71" s="91">
        <f t="shared" si="65"/>
        <v>0.72475454412642781</v>
      </c>
      <c r="K71" s="91">
        <f t="shared" si="65"/>
        <v>0.58088002254490034</v>
      </c>
      <c r="L71" s="91">
        <f t="shared" si="65"/>
        <v>0.60211934348661145</v>
      </c>
      <c r="M71" s="91">
        <f t="shared" si="65"/>
        <v>0.52955410238870315</v>
      </c>
      <c r="N71" s="91">
        <f t="shared" si="65"/>
        <v>0.52071232637451004</v>
      </c>
      <c r="O71" s="91">
        <f t="shared" si="65"/>
        <v>0.55275679647863352</v>
      </c>
      <c r="P71" s="91">
        <f t="shared" si="65"/>
        <v>0.59317305883821192</v>
      </c>
      <c r="Q71" s="91">
        <f t="shared" si="65"/>
        <v>0.57913511667188866</v>
      </c>
      <c r="R71" s="91">
        <f t="shared" si="65"/>
        <v>0.57564939883392741</v>
      </c>
      <c r="S71" s="91">
        <f t="shared" si="65"/>
        <v>0.56369882629952617</v>
      </c>
      <c r="T71" s="91">
        <f t="shared" si="65"/>
        <v>0.77309087340532678</v>
      </c>
      <c r="U71" s="91">
        <f t="shared" si="65"/>
        <v>0.66755661533109312</v>
      </c>
      <c r="V71" s="91">
        <f t="shared" si="65"/>
        <v>1.6467662286337519</v>
      </c>
      <c r="W71" s="91">
        <f t="shared" si="65"/>
        <v>1.1487786839218173</v>
      </c>
      <c r="DA71" s="171"/>
    </row>
    <row r="72" spans="1:105" ht="11.45" customHeight="1" x14ac:dyDescent="0.25">
      <c r="A72" s="12" t="s">
        <v>34</v>
      </c>
      <c r="B72" s="24">
        <f t="shared" si="61"/>
        <v>0.57241787484357021</v>
      </c>
      <c r="C72" s="24">
        <f t="shared" ref="C72:W72" si="66">IF(C10=0,0,C22/C62)</f>
        <v>0.57342810508554876</v>
      </c>
      <c r="D72" s="24">
        <f t="shared" si="66"/>
        <v>0.57258229361595447</v>
      </c>
      <c r="E72" s="24">
        <f t="shared" si="66"/>
        <v>0.56977817594111047</v>
      </c>
      <c r="F72" s="24">
        <f t="shared" si="66"/>
        <v>0.56604110437989874</v>
      </c>
      <c r="G72" s="24">
        <f t="shared" si="66"/>
        <v>0.57848438268961522</v>
      </c>
      <c r="H72" s="24">
        <f t="shared" si="66"/>
        <v>0.57353055986614354</v>
      </c>
      <c r="I72" s="24">
        <f t="shared" si="66"/>
        <v>0.58326921191111136</v>
      </c>
      <c r="J72" s="24">
        <f t="shared" si="66"/>
        <v>0.62241671121246533</v>
      </c>
      <c r="K72" s="24">
        <f t="shared" si="66"/>
        <v>0.58214309246623652</v>
      </c>
      <c r="L72" s="24">
        <f t="shared" si="66"/>
        <v>0.65943027666020404</v>
      </c>
      <c r="M72" s="24">
        <f t="shared" si="66"/>
        <v>0.57474886247174251</v>
      </c>
      <c r="N72" s="24">
        <f t="shared" si="66"/>
        <v>0.67565236801642037</v>
      </c>
      <c r="O72" s="24">
        <f t="shared" si="66"/>
        <v>0.78953710283064016</v>
      </c>
      <c r="P72" s="24">
        <f t="shared" si="66"/>
        <v>0.86085526422049763</v>
      </c>
      <c r="Q72" s="24">
        <f t="shared" si="66"/>
        <v>0.8417020014585529</v>
      </c>
      <c r="R72" s="24">
        <f t="shared" si="66"/>
        <v>0.68064891434235764</v>
      </c>
      <c r="S72" s="24">
        <f t="shared" si="66"/>
        <v>0.73971054381526757</v>
      </c>
      <c r="T72" s="24">
        <f t="shared" si="66"/>
        <v>0.91223575760040021</v>
      </c>
      <c r="U72" s="24">
        <f t="shared" si="66"/>
        <v>0.81037936861624493</v>
      </c>
      <c r="V72" s="24">
        <f t="shared" si="66"/>
        <v>1.433511659180825</v>
      </c>
      <c r="W72" s="24">
        <f t="shared" si="66"/>
        <v>1.1331561874802687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0.57993923025181293</v>
      </c>
      <c r="C74" s="93">
        <f t="shared" ref="C74:W74" si="68">IF(C12=0,0,C24/C64)</f>
        <v>0.58328298942569923</v>
      </c>
      <c r="D74" s="93">
        <f t="shared" si="68"/>
        <v>0.58380662794308436</v>
      </c>
      <c r="E74" s="93">
        <f t="shared" si="68"/>
        <v>0.58377570571532544</v>
      </c>
      <c r="F74" s="93">
        <f t="shared" si="68"/>
        <v>0.5811752279923913</v>
      </c>
      <c r="G74" s="93">
        <f t="shared" si="68"/>
        <v>0.5494586418340508</v>
      </c>
      <c r="H74" s="93">
        <f t="shared" si="68"/>
        <v>0.54814506059830492</v>
      </c>
      <c r="I74" s="93">
        <f t="shared" si="68"/>
        <v>0.57841601871742698</v>
      </c>
      <c r="J74" s="93">
        <f t="shared" si="68"/>
        <v>0.61733012946163135</v>
      </c>
      <c r="K74" s="93">
        <f t="shared" si="68"/>
        <v>0.59313481026677062</v>
      </c>
      <c r="L74" s="93">
        <f t="shared" si="68"/>
        <v>0.67190011992007215</v>
      </c>
      <c r="M74" s="93">
        <f t="shared" si="68"/>
        <v>0.58599926563704641</v>
      </c>
      <c r="N74" s="93">
        <f t="shared" si="68"/>
        <v>0.69789083328610457</v>
      </c>
      <c r="O74" s="93">
        <f t="shared" si="68"/>
        <v>0.82215189549813172</v>
      </c>
      <c r="P74" s="93">
        <f t="shared" si="68"/>
        <v>0.89955223899885728</v>
      </c>
      <c r="Q74" s="93">
        <f t="shared" si="68"/>
        <v>0.85897108680526624</v>
      </c>
      <c r="R74" s="93">
        <f t="shared" si="68"/>
        <v>0.68982794287468552</v>
      </c>
      <c r="S74" s="93">
        <f t="shared" si="68"/>
        <v>0.75845101861900843</v>
      </c>
      <c r="T74" s="93">
        <f t="shared" si="68"/>
        <v>0.93128957687306957</v>
      </c>
      <c r="U74" s="93">
        <f t="shared" si="68"/>
        <v>0.83346548298857503</v>
      </c>
      <c r="V74" s="93">
        <f t="shared" si="68"/>
        <v>1.4285180356271605</v>
      </c>
      <c r="W74" s="93">
        <f t="shared" si="68"/>
        <v>1.1429563605577275</v>
      </c>
      <c r="DA74" s="175"/>
    </row>
    <row r="75" spans="1:105" ht="11.45" customHeight="1" x14ac:dyDescent="0.25">
      <c r="A75" s="85" t="s">
        <v>174</v>
      </c>
      <c r="B75" s="94">
        <f t="shared" si="61"/>
        <v>0.56419937303965562</v>
      </c>
      <c r="C75" s="94">
        <f t="shared" ref="C75:W75" si="69">IF(C13=0,0,C25/C65)</f>
        <v>0.56460132041542122</v>
      </c>
      <c r="D75" s="94">
        <f t="shared" si="69"/>
        <v>0.56459625678493086</v>
      </c>
      <c r="E75" s="94">
        <f t="shared" si="69"/>
        <v>0.56289461337213165</v>
      </c>
      <c r="F75" s="94">
        <f t="shared" si="69"/>
        <v>0.55939203756143163</v>
      </c>
      <c r="G75" s="94">
        <f t="shared" si="69"/>
        <v>0.59498825989890658</v>
      </c>
      <c r="H75" s="94">
        <f t="shared" si="69"/>
        <v>0.62394516872469152</v>
      </c>
      <c r="I75" s="94">
        <f t="shared" si="69"/>
        <v>0.63794517828431108</v>
      </c>
      <c r="J75" s="94">
        <f t="shared" si="69"/>
        <v>0.65227908971378512</v>
      </c>
      <c r="K75" s="94">
        <f t="shared" si="69"/>
        <v>0.52279202029041039</v>
      </c>
      <c r="L75" s="94">
        <f t="shared" si="69"/>
        <v>0.54190740913795021</v>
      </c>
      <c r="M75" s="94">
        <f t="shared" si="69"/>
        <v>0.47659869214983291</v>
      </c>
      <c r="N75" s="94">
        <f t="shared" si="69"/>
        <v>0.46864109373705898</v>
      </c>
      <c r="O75" s="94">
        <f t="shared" si="69"/>
        <v>0.49748111683077029</v>
      </c>
      <c r="P75" s="94">
        <f t="shared" si="69"/>
        <v>0.53385575295439069</v>
      </c>
      <c r="Q75" s="94">
        <f t="shared" si="69"/>
        <v>0.52122160500469972</v>
      </c>
      <c r="R75" s="94">
        <f t="shared" si="69"/>
        <v>0.51808445895053479</v>
      </c>
      <c r="S75" s="94">
        <f t="shared" si="69"/>
        <v>0.5073289436695736</v>
      </c>
      <c r="T75" s="94">
        <f t="shared" si="69"/>
        <v>0.69578178606479402</v>
      </c>
      <c r="U75" s="94">
        <f t="shared" si="69"/>
        <v>0.60080095379798382</v>
      </c>
      <c r="V75" s="94">
        <f t="shared" si="69"/>
        <v>1.4820896057703763</v>
      </c>
      <c r="W75" s="94">
        <f t="shared" si="69"/>
        <v>1.0339008155296356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76.098960000000019</v>
      </c>
      <c r="C3" s="79">
        <f t="shared" si="0"/>
        <v>82.440539999999999</v>
      </c>
      <c r="D3" s="79">
        <f t="shared" ref="D3" si="1">SUM(D4:D5)</f>
        <v>88.782120000000006</v>
      </c>
      <c r="E3" s="79">
        <f t="shared" ref="E3" si="2">SUM(E4:E5)</f>
        <v>79.269749999999988</v>
      </c>
      <c r="F3" s="79">
        <f t="shared" ref="F3" si="3">SUM(F4:F5)</f>
        <v>60.245010000000001</v>
      </c>
      <c r="G3" s="79">
        <f t="shared" ref="G3" si="4">SUM(G4:G5)</f>
        <v>69.757379999999998</v>
      </c>
      <c r="H3" s="79">
        <f t="shared" ref="H3" si="5">SUM(H4:H5)</f>
        <v>76.098960000000019</v>
      </c>
      <c r="I3" s="79">
        <f t="shared" ref="I3" si="6">SUM(I4:I5)</f>
        <v>97.046363519999986</v>
      </c>
      <c r="J3" s="79">
        <f t="shared" ref="J3" si="7">SUM(J4:J5)</f>
        <v>106.43785524</v>
      </c>
      <c r="K3" s="79">
        <f t="shared" ref="K3" si="8">SUM(K4:K5)</f>
        <v>84.524202000000002</v>
      </c>
      <c r="L3" s="79">
        <f t="shared" ref="L3" si="9">SUM(L4:L5)</f>
        <v>84.524202000000017</v>
      </c>
      <c r="M3" s="79">
        <f t="shared" ref="M3" si="10">SUM(M4:M5)</f>
        <v>72.002040480000034</v>
      </c>
      <c r="N3" s="79">
        <f t="shared" ref="N3" si="11">SUM(N4:N5)</f>
        <v>72.002040480000019</v>
      </c>
      <c r="O3" s="79">
        <f t="shared" ref="O3" si="12">SUM(O4:O5)</f>
        <v>78.26312123999999</v>
      </c>
      <c r="P3" s="79">
        <f t="shared" ref="P3" si="13">SUM(P4:P5)</f>
        <v>78.26312123999999</v>
      </c>
      <c r="Q3" s="79">
        <f t="shared" ref="Q3" si="14">SUM(Q4:Q5)</f>
        <v>78.26312123999999</v>
      </c>
      <c r="R3" s="79">
        <f t="shared" ref="R3" si="15">SUM(R4:R5)</f>
        <v>65.740959720000021</v>
      </c>
      <c r="S3" s="79">
        <f t="shared" ref="S3" si="16">SUM(S4:S5)</f>
        <v>79.361897039999988</v>
      </c>
      <c r="T3" s="79">
        <f t="shared" ref="T3" si="17">SUM(T4:T5)</f>
        <v>107.01066816000002</v>
      </c>
      <c r="U3" s="79">
        <f t="shared" ref="U3" si="18">SUM(U4:U5)</f>
        <v>82.78350300000001</v>
      </c>
      <c r="V3" s="79">
        <f t="shared" ref="V3:W3" si="19">SUM(V4:V5)</f>
        <v>29.943387719999997</v>
      </c>
      <c r="W3" s="79">
        <f t="shared" si="19"/>
        <v>32.188048199999997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76.098960000000019</v>
      </c>
      <c r="C5" s="96">
        <f t="shared" si="23"/>
        <v>82.440539999999999</v>
      </c>
      <c r="D5" s="96">
        <f t="shared" ref="D5:V5" si="24">SUM(D8:D9,D12:D13)</f>
        <v>88.782120000000006</v>
      </c>
      <c r="E5" s="96">
        <f t="shared" si="24"/>
        <v>79.269749999999988</v>
      </c>
      <c r="F5" s="96">
        <f t="shared" si="24"/>
        <v>60.245010000000001</v>
      </c>
      <c r="G5" s="96">
        <f t="shared" si="24"/>
        <v>69.757379999999998</v>
      </c>
      <c r="H5" s="96">
        <f t="shared" si="24"/>
        <v>76.098960000000019</v>
      </c>
      <c r="I5" s="96">
        <f t="shared" si="24"/>
        <v>97.046363519999986</v>
      </c>
      <c r="J5" s="96">
        <f t="shared" si="24"/>
        <v>106.43785524</v>
      </c>
      <c r="K5" s="96">
        <f t="shared" si="24"/>
        <v>84.524202000000002</v>
      </c>
      <c r="L5" s="96">
        <f t="shared" si="24"/>
        <v>84.524202000000017</v>
      </c>
      <c r="M5" s="96">
        <f t="shared" si="24"/>
        <v>72.002040480000034</v>
      </c>
      <c r="N5" s="96">
        <f t="shared" si="24"/>
        <v>72.002040480000019</v>
      </c>
      <c r="O5" s="96">
        <f t="shared" si="24"/>
        <v>78.26312123999999</v>
      </c>
      <c r="P5" s="96">
        <f t="shared" si="24"/>
        <v>78.26312123999999</v>
      </c>
      <c r="Q5" s="96">
        <f t="shared" si="24"/>
        <v>78.26312123999999</v>
      </c>
      <c r="R5" s="96">
        <f t="shared" si="24"/>
        <v>65.740959720000021</v>
      </c>
      <c r="S5" s="96">
        <f t="shared" si="24"/>
        <v>79.361897039999988</v>
      </c>
      <c r="T5" s="96">
        <f t="shared" si="24"/>
        <v>107.01066816000002</v>
      </c>
      <c r="U5" s="96">
        <f t="shared" si="24"/>
        <v>82.78350300000001</v>
      </c>
      <c r="V5" s="96">
        <f t="shared" si="24"/>
        <v>29.943387719999997</v>
      </c>
      <c r="W5" s="96">
        <f t="shared" ref="W5" si="25">SUM(W8:W9,W12:W13)</f>
        <v>32.188048199999997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75.067574499125783</v>
      </c>
      <c r="C6" s="21">
        <f t="shared" si="26"/>
        <v>81.457806924383661</v>
      </c>
      <c r="D6" s="21">
        <f t="shared" ref="D6:V6" si="27">SUM(D7:D9)</f>
        <v>87.811802031939237</v>
      </c>
      <c r="E6" s="21">
        <f t="shared" si="27"/>
        <v>78.245186646852858</v>
      </c>
      <c r="F6" s="21">
        <f t="shared" si="27"/>
        <v>59.157715886861624</v>
      </c>
      <c r="G6" s="21">
        <f t="shared" si="27"/>
        <v>68.627781751181672</v>
      </c>
      <c r="H6" s="21">
        <f t="shared" si="27"/>
        <v>74.793286304303876</v>
      </c>
      <c r="I6" s="21">
        <f t="shared" si="27"/>
        <v>93.335741038378046</v>
      </c>
      <c r="J6" s="21">
        <f t="shared" si="27"/>
        <v>104.95387256583491</v>
      </c>
      <c r="K6" s="21">
        <f t="shared" si="27"/>
        <v>83.837515504765392</v>
      </c>
      <c r="L6" s="21">
        <f t="shared" si="27"/>
        <v>83.474878613170972</v>
      </c>
      <c r="M6" s="21">
        <f t="shared" si="27"/>
        <v>71.117666468054466</v>
      </c>
      <c r="N6" s="21">
        <f t="shared" si="27"/>
        <v>70.947582468443244</v>
      </c>
      <c r="O6" s="21">
        <f t="shared" si="27"/>
        <v>77.093192292933949</v>
      </c>
      <c r="P6" s="21">
        <f t="shared" si="27"/>
        <v>77.214714179657932</v>
      </c>
      <c r="Q6" s="21">
        <f t="shared" si="27"/>
        <v>77.119073826236644</v>
      </c>
      <c r="R6" s="21">
        <f t="shared" si="27"/>
        <v>64.902810394540978</v>
      </c>
      <c r="S6" s="21">
        <f t="shared" si="27"/>
        <v>77.956414409614766</v>
      </c>
      <c r="T6" s="21">
        <f t="shared" si="27"/>
        <v>105.39785338947354</v>
      </c>
      <c r="U6" s="21">
        <f t="shared" si="27"/>
        <v>81.648056229896184</v>
      </c>
      <c r="V6" s="21">
        <f t="shared" si="27"/>
        <v>28.003321160183116</v>
      </c>
      <c r="W6" s="21">
        <f t="shared" ref="W6" si="28">SUM(W7:W9)</f>
        <v>30.254110227501197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44.073805847312087</v>
      </c>
      <c r="C8" s="96">
        <v>47.821485825106699</v>
      </c>
      <c r="D8" s="96">
        <v>51.555334260320421</v>
      </c>
      <c r="E8" s="96">
        <v>45.940791883152109</v>
      </c>
      <c r="F8" s="96">
        <v>34.733319441943053</v>
      </c>
      <c r="G8" s="96">
        <v>40.923470247843142</v>
      </c>
      <c r="H8" s="96">
        <v>45.704005810219385</v>
      </c>
      <c r="I8" s="96">
        <v>57.463723514577509</v>
      </c>
      <c r="J8" s="96">
        <v>63.273445667645873</v>
      </c>
      <c r="K8" s="96">
        <v>48.925074739006917</v>
      </c>
      <c r="L8" s="96">
        <v>48.002161050095459</v>
      </c>
      <c r="M8" s="96">
        <v>40.747918490401972</v>
      </c>
      <c r="N8" s="96">
        <v>40.09012558545993</v>
      </c>
      <c r="O8" s="96">
        <v>43.870240572012719</v>
      </c>
      <c r="P8" s="96">
        <v>44.057506324498725</v>
      </c>
      <c r="Q8" s="96">
        <v>44.640612930009006</v>
      </c>
      <c r="R8" s="96">
        <v>38.655763308272341</v>
      </c>
      <c r="S8" s="96">
        <v>47.922448047315754</v>
      </c>
      <c r="T8" s="96">
        <v>64.428683576890421</v>
      </c>
      <c r="U8" s="96">
        <v>48.662684885548757</v>
      </c>
      <c r="V8" s="96">
        <v>14.386255216798469</v>
      </c>
      <c r="W8" s="96">
        <v>16.716260475223287</v>
      </c>
      <c r="DA8" s="171" t="s">
        <v>328</v>
      </c>
    </row>
    <row r="9" spans="1:105" ht="11.45" customHeight="1" x14ac:dyDescent="0.25">
      <c r="A9" s="83" t="s">
        <v>174</v>
      </c>
      <c r="B9" s="96">
        <v>30.993768651813692</v>
      </c>
      <c r="C9" s="96">
        <v>33.636321099276962</v>
      </c>
      <c r="D9" s="96">
        <v>36.256467771618816</v>
      </c>
      <c r="E9" s="96">
        <v>32.304394763700756</v>
      </c>
      <c r="F9" s="96">
        <v>24.424396444918571</v>
      </c>
      <c r="G9" s="96">
        <v>27.704311503338527</v>
      </c>
      <c r="H9" s="96">
        <v>29.089280494084484</v>
      </c>
      <c r="I9" s="96">
        <v>35.872017523800537</v>
      </c>
      <c r="J9" s="96">
        <v>41.68042689818904</v>
      </c>
      <c r="K9" s="96">
        <v>34.912440765758475</v>
      </c>
      <c r="L9" s="96">
        <v>35.472717563075513</v>
      </c>
      <c r="M9" s="96">
        <v>30.369747977652494</v>
      </c>
      <c r="N9" s="96">
        <v>30.85745688298331</v>
      </c>
      <c r="O9" s="96">
        <v>33.22295172092123</v>
      </c>
      <c r="P9" s="96">
        <v>33.1572078551592</v>
      </c>
      <c r="Q9" s="96">
        <v>32.478460896227631</v>
      </c>
      <c r="R9" s="96">
        <v>26.247047086268637</v>
      </c>
      <c r="S9" s="96">
        <v>30.033966362299015</v>
      </c>
      <c r="T9" s="96">
        <v>40.969169812583125</v>
      </c>
      <c r="U9" s="96">
        <v>32.985371344347435</v>
      </c>
      <c r="V9" s="96">
        <v>13.617065943384647</v>
      </c>
      <c r="W9" s="96">
        <v>13.537849752277911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1.0313855008742292</v>
      </c>
      <c r="C10" s="22">
        <f t="shared" si="29"/>
        <v>0.98273307561633905</v>
      </c>
      <c r="D10" s="22">
        <f t="shared" ref="D10:V10" si="30">SUM(D11:D13)</f>
        <v>0.97031796806077397</v>
      </c>
      <c r="E10" s="22">
        <f t="shared" si="30"/>
        <v>1.0245633531471272</v>
      </c>
      <c r="F10" s="22">
        <f t="shared" si="30"/>
        <v>1.0872941131383722</v>
      </c>
      <c r="G10" s="22">
        <f t="shared" si="30"/>
        <v>1.1295982488183278</v>
      </c>
      <c r="H10" s="22">
        <f t="shared" si="30"/>
        <v>1.3056736956961315</v>
      </c>
      <c r="I10" s="22">
        <f t="shared" si="30"/>
        <v>3.7106224816219324</v>
      </c>
      <c r="J10" s="22">
        <f t="shared" si="30"/>
        <v>1.4839826741651003</v>
      </c>
      <c r="K10" s="22">
        <f t="shared" si="30"/>
        <v>0.68668649523462066</v>
      </c>
      <c r="L10" s="22">
        <f t="shared" si="30"/>
        <v>1.0493233868290575</v>
      </c>
      <c r="M10" s="22">
        <f t="shared" si="30"/>
        <v>0.88437401194556187</v>
      </c>
      <c r="N10" s="22">
        <f t="shared" si="30"/>
        <v>1.0544580115567666</v>
      </c>
      <c r="O10" s="22">
        <f t="shared" si="30"/>
        <v>1.1699289470660359</v>
      </c>
      <c r="P10" s="22">
        <f t="shared" si="30"/>
        <v>1.0484070603420597</v>
      </c>
      <c r="Q10" s="22">
        <f t="shared" si="30"/>
        <v>1.1440474137633567</v>
      </c>
      <c r="R10" s="22">
        <f t="shared" si="30"/>
        <v>0.83814932545904608</v>
      </c>
      <c r="S10" s="22">
        <f t="shared" si="30"/>
        <v>1.4054826303852284</v>
      </c>
      <c r="T10" s="22">
        <f t="shared" si="30"/>
        <v>1.6128147705264828</v>
      </c>
      <c r="U10" s="22">
        <f t="shared" si="30"/>
        <v>1.1354467701038318</v>
      </c>
      <c r="V10" s="22">
        <f t="shared" si="30"/>
        <v>1.940066559816882</v>
      </c>
      <c r="W10" s="22">
        <f t="shared" ref="W10" si="31">SUM(W11:W13)</f>
        <v>1.9339379724987977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0.54560983380850903</v>
      </c>
      <c r="C12" s="97">
        <v>0.47230524466712642</v>
      </c>
      <c r="D12" s="97">
        <v>0.41128297648924694</v>
      </c>
      <c r="E12" s="97">
        <v>0.34605017658062254</v>
      </c>
      <c r="F12" s="97">
        <v>0.34075745883981473</v>
      </c>
      <c r="G12" s="97">
        <v>0.38891917565311784</v>
      </c>
      <c r="H12" s="97">
        <v>0.82996575426268071</v>
      </c>
      <c r="I12" s="97">
        <v>3.3797513271243615</v>
      </c>
      <c r="J12" s="97">
        <v>1.2576366807102244</v>
      </c>
      <c r="K12" s="97">
        <v>0.59032496498239051</v>
      </c>
      <c r="L12" s="97">
        <v>0.96660395317881065</v>
      </c>
      <c r="M12" s="97">
        <v>0.8089587601889584</v>
      </c>
      <c r="N12" s="97">
        <v>0.98350965877396634</v>
      </c>
      <c r="O12" s="97">
        <v>1.0958772589947123</v>
      </c>
      <c r="P12" s="97">
        <v>0.97960840474483846</v>
      </c>
      <c r="Q12" s="97">
        <v>1.1078245554158368</v>
      </c>
      <c r="R12" s="97">
        <v>0.80405239688536989</v>
      </c>
      <c r="S12" s="97">
        <v>1.3335461786738609</v>
      </c>
      <c r="T12" s="97">
        <v>1.5132909087681321</v>
      </c>
      <c r="U12" s="97">
        <v>1.05191923189929</v>
      </c>
      <c r="V12" s="97">
        <v>1.7530968361043553</v>
      </c>
      <c r="W12" s="97">
        <v>1.7753692098739864</v>
      </c>
      <c r="DA12" s="175" t="s">
        <v>332</v>
      </c>
    </row>
    <row r="13" spans="1:105" ht="11.45" customHeight="1" x14ac:dyDescent="0.25">
      <c r="A13" s="85" t="s">
        <v>174</v>
      </c>
      <c r="B13" s="98">
        <v>0.48577566706572017</v>
      </c>
      <c r="C13" s="98">
        <v>0.51042783094921262</v>
      </c>
      <c r="D13" s="98">
        <v>0.55903499157152703</v>
      </c>
      <c r="E13" s="98">
        <v>0.67851317656650456</v>
      </c>
      <c r="F13" s="98">
        <v>0.74653665429855742</v>
      </c>
      <c r="G13" s="98">
        <v>0.74067907316520987</v>
      </c>
      <c r="H13" s="98">
        <v>0.47570794143345085</v>
      </c>
      <c r="I13" s="98">
        <v>0.33087115449757071</v>
      </c>
      <c r="J13" s="98">
        <v>0.22634599345487599</v>
      </c>
      <c r="K13" s="98">
        <v>9.6361530252230196E-2</v>
      </c>
      <c r="L13" s="98">
        <v>8.271943365024674E-2</v>
      </c>
      <c r="M13" s="98">
        <v>7.5415251756603505E-2</v>
      </c>
      <c r="N13" s="98">
        <v>7.094835278280015E-2</v>
      </c>
      <c r="O13" s="98">
        <v>7.405168807132359E-2</v>
      </c>
      <c r="P13" s="98">
        <v>6.8798655597221189E-2</v>
      </c>
      <c r="Q13" s="98">
        <v>3.6222858347519989E-2</v>
      </c>
      <c r="R13" s="98">
        <v>3.4096928573676195E-2</v>
      </c>
      <c r="S13" s="98">
        <v>7.1936451711367491E-2</v>
      </c>
      <c r="T13" s="98">
        <v>9.9523861758350693E-2</v>
      </c>
      <c r="U13" s="98">
        <v>8.3527538204541743E-2</v>
      </c>
      <c r="V13" s="98">
        <v>0.18696972371252671</v>
      </c>
      <c r="W13" s="98">
        <v>0.15856876262481134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3.0103092000000005</v>
      </c>
      <c r="D19" s="98">
        <f>IF(D5=0,0,D5/TrAvia_ene!D5)</f>
        <v>3.0103091999999996</v>
      </c>
      <c r="E19" s="98">
        <f>IF(E5=0,0,E5/TrAvia_ene!E5)</f>
        <v>3.0103092000000005</v>
      </c>
      <c r="F19" s="98">
        <f>IF(F5=0,0,F5/TrAvia_ene!F5)</f>
        <v>3.0103092000000014</v>
      </c>
      <c r="G19" s="98">
        <f>IF(G5=0,0,G5/TrAvia_ene!G5)</f>
        <v>3.0103092000000014</v>
      </c>
      <c r="H19" s="98">
        <f>IF(H5=0,0,H5/TrAvia_ene!H5)</f>
        <v>3.0103092000000009</v>
      </c>
      <c r="I19" s="98">
        <f>IF(I5=0,0,I5/TrAvia_ene!I5)</f>
        <v>3.0103091999999991</v>
      </c>
      <c r="J19" s="98">
        <f>IF(J5=0,0,J5/TrAvia_ene!J5)</f>
        <v>3.0103092000000005</v>
      </c>
      <c r="K19" s="98">
        <f>IF(K5=0,0,K5/TrAvia_ene!K5)</f>
        <v>3.0103092</v>
      </c>
      <c r="L19" s="98">
        <f>IF(L5=0,0,L5/TrAvia_ene!L5)</f>
        <v>3.0103091999999996</v>
      </c>
      <c r="M19" s="98">
        <f>IF(M5=0,0,M5/TrAvia_ene!M5)</f>
        <v>3.0103092000000009</v>
      </c>
      <c r="N19" s="98">
        <f>IF(N5=0,0,N5/TrAvia_ene!N5)</f>
        <v>3.0103092000000005</v>
      </c>
      <c r="O19" s="98">
        <f>IF(O5=0,0,O5/TrAvia_ene!O5)</f>
        <v>3.0103092</v>
      </c>
      <c r="P19" s="98">
        <f>IF(P5=0,0,P5/TrAvia_ene!P5)</f>
        <v>3.0103092</v>
      </c>
      <c r="Q19" s="98">
        <f>IF(Q5=0,0,Q5/TrAvia_ene!Q5)</f>
        <v>3.0103092000000005</v>
      </c>
      <c r="R19" s="98">
        <f>IF(R5=0,0,R5/TrAvia_ene!R5)</f>
        <v>3.0103092000000009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3.0103092000000009</v>
      </c>
      <c r="V19" s="98">
        <f>IF(V5=0,0,V5/TrAvia_ene!V5)</f>
        <v>3.0103091999999987</v>
      </c>
      <c r="W19" s="98">
        <f>IF(W5=0,0,W5/TrAvia_ene!W5)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6278.9621307025327</v>
      </c>
      <c r="C21" s="54">
        <f>IF(C3=0,0,C3/TrAvia_act!C13*1000)</f>
        <v>6279.6893255525983</v>
      </c>
      <c r="D21" s="54">
        <f>IF(D3=0,0,D3/TrAvia_act!D13*1000)</f>
        <v>6277.1165537281095</v>
      </c>
      <c r="E21" s="54">
        <f>IF(E3=0,0,E3/TrAvia_act!E13*1000)</f>
        <v>6260.780442461818</v>
      </c>
      <c r="F21" s="54">
        <f>IF(F3=0,0,F3/TrAvia_act!F13*1000)</f>
        <v>6230.3552421938357</v>
      </c>
      <c r="G21" s="54">
        <f>IF(G3=0,0,G3/TrAvia_act!G13*1000)</f>
        <v>6164.0872045803162</v>
      </c>
      <c r="H21" s="54">
        <f>IF(H3=0,0,H3/TrAvia_act!H13*1000)</f>
        <v>6559.1695299271951</v>
      </c>
      <c r="I21" s="54">
        <f>IF(I3=0,0,I3/TrAvia_act!I13*1000)</f>
        <v>7055.5398029716434</v>
      </c>
      <c r="J21" s="54">
        <f>IF(J3=0,0,J3/TrAvia_act!J13*1000)</f>
        <v>7196.6289697159646</v>
      </c>
      <c r="K21" s="54">
        <f>IF(K3=0,0,K3/TrAvia_act!K13*1000)</f>
        <v>6126.2082225294889</v>
      </c>
      <c r="L21" s="54">
        <f>IF(L3=0,0,L3/TrAvia_act!L13*1000)</f>
        <v>6853.053040334642</v>
      </c>
      <c r="M21" s="54">
        <f>IF(M3=0,0,M3/TrAvia_act!M13*1000)</f>
        <v>6203.5175219055427</v>
      </c>
      <c r="N21" s="54">
        <f>IF(N3=0,0,N3/TrAvia_act!N13*1000)</f>
        <v>6875.3742432473027</v>
      </c>
      <c r="O21" s="54">
        <f>IF(O3=0,0,O3/TrAvia_act!O13*1000)</f>
        <v>7526.1309551461354</v>
      </c>
      <c r="P21" s="54">
        <f>IF(P3=0,0,P3/TrAvia_act!P13*1000)</f>
        <v>8144.358387007811</v>
      </c>
      <c r="Q21" s="54">
        <f>IF(Q3=0,0,Q3/TrAvia_act!Q13*1000)</f>
        <v>7944.8659627300167</v>
      </c>
      <c r="R21" s="54">
        <f>IF(R3=0,0,R3/TrAvia_act!R13*1000)</f>
        <v>7248.42966689477</v>
      </c>
      <c r="S21" s="54">
        <f>IF(S3=0,0,S3/TrAvia_act!S13*1000)</f>
        <v>7574.6421968074155</v>
      </c>
      <c r="T21" s="54">
        <f>IF(T3=0,0,T3/TrAvia_act!T13*1000)</f>
        <v>9592.9877160644992</v>
      </c>
      <c r="U21" s="54">
        <f>IF(U3=0,0,U3/TrAvia_act!U13*1000)</f>
        <v>8413.8843246389533</v>
      </c>
      <c r="V21" s="54">
        <f>IF(V3=0,0,V3/TrAvia_act!V13*1000)</f>
        <v>16201.13534206146</v>
      </c>
      <c r="W21" s="54">
        <f>IF(W3=0,0,W3/TrAvia_act!W13*1000)</f>
        <v>11928.519552418293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6252.5529249331621</v>
      </c>
      <c r="C22" s="11">
        <f>IF(C6=0,0,C6/TrAvia_act!C14*1000)</f>
        <v>6256.9543389547216</v>
      </c>
      <c r="D22" s="11">
        <f>IF(D6=0,0,D6/TrAvia_act!D14*1000)</f>
        <v>6256.9316651571371</v>
      </c>
      <c r="E22" s="11">
        <f>IF(E6=0,0,E6/TrAvia_act!E14*1000)</f>
        <v>6238.1197229507698</v>
      </c>
      <c r="F22" s="11">
        <f>IF(F6=0,0,F6/TrAvia_act!F14*1000)</f>
        <v>6199.3036848281954</v>
      </c>
      <c r="G22" s="11">
        <f>IF(G6=0,0,G6/TrAvia_act!G14*1000)</f>
        <v>6134.1123287498349</v>
      </c>
      <c r="H22" s="11">
        <f>IF(H6=0,0,H6/TrAvia_act!H14*1000)</f>
        <v>6536.2781976460965</v>
      </c>
      <c r="I22" s="11">
        <f>IF(I6=0,0,I6/TrAvia_act!I14*1000)</f>
        <v>7029.7778643364036</v>
      </c>
      <c r="J22" s="11">
        <f>IF(J6=0,0,J6/TrAvia_act!J14*1000)</f>
        <v>7186.9989759675882</v>
      </c>
      <c r="K22" s="11">
        <f>IF(K6=0,0,K6/TrAvia_act!K14*1000)</f>
        <v>6116.7105316269281</v>
      </c>
      <c r="L22" s="11">
        <f>IF(L6=0,0,L6/TrAvia_act!L14*1000)</f>
        <v>6835.0960020533803</v>
      </c>
      <c r="M22" s="11">
        <f>IF(M6=0,0,M6/TrAvia_act!M14*1000)</f>
        <v>6186.6677808596687</v>
      </c>
      <c r="N22" s="11">
        <f>IF(N6=0,0,N6/TrAvia_act!N14*1000)</f>
        <v>6842.5284316358757</v>
      </c>
      <c r="O22" s="11">
        <f>IF(O6=0,0,O6/TrAvia_act!O14*1000)</f>
        <v>7488.9523554359776</v>
      </c>
      <c r="P22" s="11">
        <f>IF(P6=0,0,P6/TrAvia_act!P14*1000)</f>
        <v>8107.1719141817912</v>
      </c>
      <c r="Q22" s="11">
        <f>IF(Q6=0,0,Q6/TrAvia_act!Q14*1000)</f>
        <v>7907.3907231104049</v>
      </c>
      <c r="R22" s="11">
        <f>IF(R6=0,0,R6/TrAvia_act!R14*1000)</f>
        <v>7226.9819347760749</v>
      </c>
      <c r="S22" s="11">
        <f>IF(S6=0,0,S6/TrAvia_act!S14*1000)</f>
        <v>7541.0159539610968</v>
      </c>
      <c r="T22" s="11">
        <f>IF(T6=0,0,T6/TrAvia_act!T14*1000)</f>
        <v>9562.3911650556001</v>
      </c>
      <c r="U22" s="11">
        <f>IF(U6=0,0,U6/TrAvia_act!U14*1000)</f>
        <v>8388.9085422977132</v>
      </c>
      <c r="V22" s="11">
        <f>IF(V6=0,0,V6/TrAvia_act!V14*1000)</f>
        <v>15981.401353916117</v>
      </c>
      <c r="W22" s="11">
        <f>IF(W6=0,0,W6/TrAvia_act!W14*1000)</f>
        <v>11802.903741718144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6101.2254028057605</v>
      </c>
      <c r="C24" s="84">
        <f>IF(C8=0,0,C8/TrAvia_act!C16*1000)</f>
        <v>6105.4548586029587</v>
      </c>
      <c r="D24" s="84">
        <f>IF(D8=0,0,D8/TrAvia_act!D16*1000)</f>
        <v>6105.4793674616549</v>
      </c>
      <c r="E24" s="84">
        <f>IF(E8=0,0,E8/TrAvia_act!E16*1000)</f>
        <v>6087.1689653747408</v>
      </c>
      <c r="F24" s="84">
        <f>IF(F8=0,0,F8/TrAvia_act!F16*1000)</f>
        <v>6049.2875129078047</v>
      </c>
      <c r="G24" s="84">
        <f>IF(G8=0,0,G8/TrAvia_act!G16*1000)</f>
        <v>5779.8070460943145</v>
      </c>
      <c r="H24" s="84">
        <f>IF(H8=0,0,H8/TrAvia_act!H16*1000)</f>
        <v>6167.8368421256837</v>
      </c>
      <c r="I24" s="84">
        <f>IF(I8=0,0,I8/TrAvia_act!I16*1000)</f>
        <v>6806.7385238284542</v>
      </c>
      <c r="J24" s="84">
        <f>IF(J8=0,0,J8/TrAvia_act!J16*1000)</f>
        <v>6893.4148254145211</v>
      </c>
      <c r="K24" s="84">
        <f>IF(K8=0,0,K8/TrAvia_act!K16*1000)</f>
        <v>6093.5639747502491</v>
      </c>
      <c r="L24" s="84">
        <f>IF(L8=0,0,L8/TrAvia_act!L16*1000)</f>
        <v>7172.1136653844196</v>
      </c>
      <c r="M24" s="84">
        <f>IF(M8=0,0,M8/TrAvia_act!M16*1000)</f>
        <v>6479.5221945053509</v>
      </c>
      <c r="N24" s="84">
        <f>IF(N8=0,0,N8/TrAvia_act!N16*1000)</f>
        <v>7974.5662498296178</v>
      </c>
      <c r="O24" s="84">
        <f>IF(O8=0,0,O8/TrAvia_act!O16*1000)</f>
        <v>9149.9045375501482</v>
      </c>
      <c r="P24" s="84">
        <f>IF(P8=0,0,P8/TrAvia_act!P16*1000)</f>
        <v>9884.1036725914346</v>
      </c>
      <c r="Q24" s="84">
        <f>IF(Q8=0,0,Q8/TrAvia_act!Q16*1000)</f>
        <v>9439.6304972761627</v>
      </c>
      <c r="R24" s="84">
        <f>IF(R8=0,0,R8/TrAvia_act!R16*1000)</f>
        <v>7675.7934973000338</v>
      </c>
      <c r="S24" s="84">
        <f>IF(S8=0,0,S8/TrAvia_act!S16*1000)</f>
        <v>8470.715160791895</v>
      </c>
      <c r="T24" s="84">
        <f>IF(T8=0,0,T8/TrAvia_act!T16*1000)</f>
        <v>10400.485663098727</v>
      </c>
      <c r="U24" s="84">
        <f>IF(U8=0,0,U8/TrAvia_act!U16*1000)</f>
        <v>9313.7744068256907</v>
      </c>
      <c r="V24" s="84">
        <f>IF(V8=0,0,V8/TrAvia_act!V16*1000)</f>
        <v>14500.221400000013</v>
      </c>
      <c r="W24" s="84">
        <f>IF(W8=0,0,W8/TrAvia_act!W16*1000)</f>
        <v>11607.106610312501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6481.1436830108078</v>
      </c>
      <c r="C25" s="84">
        <f>IF(C9=0,0,C9/TrAvia_act!C17*1000)</f>
        <v>6485.7609846595315</v>
      </c>
      <c r="D25" s="84">
        <f>IF(D9=0,0,D9/TrAvia_act!D17*1000)</f>
        <v>6485.7028170713811</v>
      </c>
      <c r="E25" s="84">
        <f>IF(E9=0,0,E9/TrAvia_act!E17*1000)</f>
        <v>6466.1554797601339</v>
      </c>
      <c r="F25" s="84">
        <f>IF(F9=0,0,F9/TrAvia_act!F17*1000)</f>
        <v>6425.9202399237547</v>
      </c>
      <c r="G25" s="84">
        <f>IF(G9=0,0,G9/TrAvia_act!G17*1000)</f>
        <v>6744.8607729944097</v>
      </c>
      <c r="H25" s="84">
        <f>IF(H9=0,0,H9/TrAvia_act!H17*1000)</f>
        <v>7213.2795652692648</v>
      </c>
      <c r="I25" s="84">
        <f>IF(I9=0,0,I9/TrAvia_act!I17*1000)</f>
        <v>7419.215908099839</v>
      </c>
      <c r="J25" s="84">
        <f>IF(J9=0,0,J9/TrAvia_act!J17*1000)</f>
        <v>7683.776872354606</v>
      </c>
      <c r="K25" s="84">
        <f>IF(K9=0,0,K9/TrAvia_act!K17*1000)</f>
        <v>6149.4447679565837</v>
      </c>
      <c r="L25" s="84">
        <f>IF(L9=0,0,L9/TrAvia_act!L17*1000)</f>
        <v>6426.4537983056662</v>
      </c>
      <c r="M25" s="84">
        <f>IF(M9=0,0,M9/TrAvia_act!M17*1000)</f>
        <v>5832.9466253028777</v>
      </c>
      <c r="N25" s="84">
        <f>IF(N9=0,0,N9/TrAvia_act!N17*1000)</f>
        <v>5777.065297191416</v>
      </c>
      <c r="O25" s="84">
        <f>IF(O9=0,0,O9/TrAvia_act!O17*1000)</f>
        <v>6040.927568965928</v>
      </c>
      <c r="P25" s="84">
        <f>IF(P9=0,0,P9/TrAvia_act!P17*1000)</f>
        <v>6543.9652369603946</v>
      </c>
      <c r="Q25" s="84">
        <f>IF(Q9=0,0,Q9/TrAvia_act!Q17*1000)</f>
        <v>6465.0215761744003</v>
      </c>
      <c r="R25" s="84">
        <f>IF(R9=0,0,R9/TrAvia_act!R17*1000)</f>
        <v>6653.9800481226657</v>
      </c>
      <c r="S25" s="84">
        <f>IF(S9=0,0,S9/TrAvia_act!S17*1000)</f>
        <v>6417.2020499201208</v>
      </c>
      <c r="T25" s="84">
        <f>IF(T9=0,0,T9/TrAvia_act!T17*1000)</f>
        <v>8486.8918634119327</v>
      </c>
      <c r="U25" s="84">
        <f>IF(U9=0,0,U9/TrAvia_act!U17*1000)</f>
        <v>7316.9934377133332</v>
      </c>
      <c r="V25" s="84">
        <f>IF(V9=0,0,V9/TrAvia_act!V17*1000)</f>
        <v>17914.739947769518</v>
      </c>
      <c r="W25" s="84">
        <f>IF(W9=0,0,W9/TrAvia_act!W17*1000)</f>
        <v>12053.977998433835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9066.0201130223213</v>
      </c>
      <c r="C26" s="13">
        <f>IF(C10=0,0,C10/TrAvia_act!C18*1000)</f>
        <v>8986.1571318241313</v>
      </c>
      <c r="D26" s="13">
        <f>IF(D10=0,0,D10/TrAvia_act!D18*1000)</f>
        <v>8865.3180276890853</v>
      </c>
      <c r="E26" s="13">
        <f>IF(E10=0,0,E10/TrAvia_act!E18*1000)</f>
        <v>8664.4885998949612</v>
      </c>
      <c r="F26" s="13">
        <f>IF(F10=0,0,F10/TrAvia_act!F18*1000)</f>
        <v>8564.3453222556855</v>
      </c>
      <c r="G26" s="13">
        <f>IF(G10=0,0,G10/TrAvia_act!G18*1000)</f>
        <v>8766.7699208708855</v>
      </c>
      <c r="H26" s="13">
        <f>IF(H10=0,0,H10/TrAvia_act!H18*1000)</f>
        <v>8205.2938952569311</v>
      </c>
      <c r="I26" s="13">
        <f>IF(I10=0,0,I10/TrAvia_act!I18*1000)</f>
        <v>7771.9616061172437</v>
      </c>
      <c r="J26" s="13">
        <f>IF(J10=0,0,J10/TrAvia_act!J18*1000)</f>
        <v>7950.0120191823817</v>
      </c>
      <c r="K26" s="13">
        <f>IF(K10=0,0,K10/TrAvia_act!K18*1000)</f>
        <v>7559.2494036400713</v>
      </c>
      <c r="L26" s="13">
        <f>IF(L10=0,0,L10/TrAvia_act!L18*1000)</f>
        <v>8663.7324640385086</v>
      </c>
      <c r="M26" s="13">
        <f>IF(M10=0,0,M10/TrAvia_act!M18*1000)</f>
        <v>7943.2177973301941</v>
      </c>
      <c r="N26" s="13">
        <f>IF(N10=0,0,N10/TrAvia_act!N18*1000)</f>
        <v>10155.304929454467</v>
      </c>
      <c r="O26" s="13">
        <f>IF(O10=0,0,O10/TrAvia_act!O18*1000)</f>
        <v>11185.220700474631</v>
      </c>
      <c r="P26" s="13">
        <f>IF(P10=0,0,P10/TrAvia_act!P18*1000)</f>
        <v>12299.31741497135</v>
      </c>
      <c r="Q26" s="13">
        <f>IF(Q10=0,0,Q10/TrAvia_act!Q18*1000)</f>
        <v>11674.513514853839</v>
      </c>
      <c r="R26" s="13">
        <f>IF(R10=0,0,R10/TrAvia_act!R18*1000)</f>
        <v>9411.2071753396704</v>
      </c>
      <c r="S26" s="13">
        <f>IF(S10=0,0,S10/TrAvia_act!S18*1000)</f>
        <v>10063.681405033227</v>
      </c>
      <c r="T26" s="13">
        <f>IF(T10=0,0,T10/TrAvia_act!T18*1000)</f>
        <v>12129.198504374008</v>
      </c>
      <c r="U26" s="13">
        <f>IF(U10=0,0,U10/TrAvia_act!U18*1000)</f>
        <v>10705.888658778478</v>
      </c>
      <c r="V26" s="13">
        <f>IF(V10=0,0,V10/TrAvia_act!V18*1000)</f>
        <v>20212.536645422333</v>
      </c>
      <c r="W26" s="13">
        <f>IF(W10=0,0,W10/TrAvia_act!W18*1000)</f>
        <v>14311.249593835293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10242.827951636031</v>
      </c>
      <c r="C28" s="102">
        <f>IF(C12=0,0,C12/TrAvia_act!C20*1000)</f>
        <v>10303.436035003799</v>
      </c>
      <c r="D28" s="102">
        <f>IF(D12=0,0,D12/TrAvia_act!D20*1000)</f>
        <v>10312.966072733239</v>
      </c>
      <c r="E28" s="102">
        <f>IF(E12=0,0,E12/TrAvia_act!E20*1000)</f>
        <v>10313.338478915246</v>
      </c>
      <c r="F28" s="102">
        <f>IF(F12=0,0,F12/TrAvia_act!F20*1000)</f>
        <v>10267.946360065776</v>
      </c>
      <c r="G28" s="102">
        <f>IF(G12=0,0,G12/TrAvia_act!G20*1000)</f>
        <v>9094.7602650630597</v>
      </c>
      <c r="H28" s="102">
        <f>IF(H12=0,0,H12/TrAvia_act!H20*1000)</f>
        <v>8659.2791036732469</v>
      </c>
      <c r="I28" s="102">
        <f>IF(I12=0,0,I12/TrAvia_act!I20*1000)</f>
        <v>7887.3479766794017</v>
      </c>
      <c r="J28" s="102">
        <f>IF(J12=0,0,J12/TrAvia_act!J20*1000)</f>
        <v>8296.0440433781441</v>
      </c>
      <c r="K28" s="102">
        <f>IF(K12=0,0,K12/TrAvia_act!K20*1000)</f>
        <v>8099.6468164915659</v>
      </c>
      <c r="L28" s="102">
        <f>IF(L12=0,0,L12/TrAvia_act!L20*1000)</f>
        <v>8789.3644880398278</v>
      </c>
      <c r="M28" s="102">
        <f>IF(M12=0,0,M12/TrAvia_act!M20*1000)</f>
        <v>8060.5406792776312</v>
      </c>
      <c r="N28" s="102">
        <f>IF(N12=0,0,N12/TrAvia_act!N20*1000)</f>
        <v>10625.144094727189</v>
      </c>
      <c r="O28" s="102">
        <f>IF(O12=0,0,O12/TrAvia_act!O20*1000)</f>
        <v>11798.625394696737</v>
      </c>
      <c r="P28" s="102">
        <f>IF(P12=0,0,P12/TrAvia_act!P20*1000)</f>
        <v>12927.396235638857</v>
      </c>
      <c r="Q28" s="102">
        <f>IF(Q12=0,0,Q12/TrAvia_act!Q20*1000)</f>
        <v>11886.762780150215</v>
      </c>
      <c r="R28" s="102">
        <f>IF(R12=0,0,R12/TrAvia_act!R20*1000)</f>
        <v>9448.0069996061738</v>
      </c>
      <c r="S28" s="102">
        <f>IF(S12=0,0,S12/TrAvia_act!S20*1000)</f>
        <v>10216.887654864955</v>
      </c>
      <c r="T28" s="102">
        <f>IF(T12=0,0,T12/TrAvia_act!T20*1000)</f>
        <v>12353.812883384198</v>
      </c>
      <c r="U28" s="102">
        <f>IF(U12=0,0,U12/TrAvia_act!U20*1000)</f>
        <v>10985.211441708616</v>
      </c>
      <c r="V28" s="102">
        <f>IF(V12=0,0,V12/TrAvia_act!V20*1000)</f>
        <v>20290.818641853555</v>
      </c>
      <c r="W28" s="102">
        <f>IF(W12=0,0,W12/TrAvia_act!W20*1000)</f>
        <v>14557.611185723677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8029.8320840276465</v>
      </c>
      <c r="C29" s="86">
        <f>IF(C13=0,0,C13/TrAvia_act!C21*1000)</f>
        <v>8035.5527035253708</v>
      </c>
      <c r="D29" s="86">
        <f>IF(D13=0,0,D13/TrAvia_act!D21*1000)</f>
        <v>8035.4806366204484</v>
      </c>
      <c r="E29" s="86">
        <f>IF(E13=0,0,E13/TrAvia_act!E21*1000)</f>
        <v>8011.2624053982909</v>
      </c>
      <c r="F29" s="86">
        <f>IF(F13=0,0,F13/TrAvia_act!F21*1000)</f>
        <v>7961.4128363178252</v>
      </c>
      <c r="G29" s="86">
        <f>IF(G13=0,0,G13/TrAvia_act!G21*1000)</f>
        <v>8603.843474220379</v>
      </c>
      <c r="H29" s="86">
        <f>IF(H13=0,0,H13/TrAvia_act!H21*1000)</f>
        <v>7517.6525427387469</v>
      </c>
      <c r="I29" s="86">
        <f>IF(I13=0,0,I13/TrAvia_act!I21*1000)</f>
        <v>6761.5554860841212</v>
      </c>
      <c r="J29" s="86">
        <f>IF(J13=0,0,J13/TrAvia_act!J21*1000)</f>
        <v>6454.2194924614705</v>
      </c>
      <c r="K29" s="86">
        <f>IF(K13=0,0,K13/TrAvia_act!K21*1000)</f>
        <v>5366.0097167974591</v>
      </c>
      <c r="L29" s="86">
        <f>IF(L13=0,0,L13/TrAvia_act!L21*1000)</f>
        <v>7423.7703269629537</v>
      </c>
      <c r="M29" s="86">
        <f>IF(M13=0,0,M13/TrAvia_act!M21*1000)</f>
        <v>6870.5243476989035</v>
      </c>
      <c r="N29" s="86">
        <f>IF(N13=0,0,N13/TrAvia_act!N21*1000)</f>
        <v>6295.9651512614646</v>
      </c>
      <c r="O29" s="86">
        <f>IF(O13=0,0,O13/TrAvia_act!O21*1000)</f>
        <v>6321.5370326522425</v>
      </c>
      <c r="P29" s="86">
        <f>IF(P13=0,0,P13/TrAvia_act!P21*1000)</f>
        <v>7269.9931274016053</v>
      </c>
      <c r="Q29" s="86">
        <f>IF(Q13=0,0,Q13/TrAvia_act!Q21*1000)</f>
        <v>7550.9513771314205</v>
      </c>
      <c r="R29" s="86">
        <f>IF(R13=0,0,R13/TrAvia_act!R21*1000)</f>
        <v>8619.51315238391</v>
      </c>
      <c r="S29" s="86">
        <f>IF(S13=0,0,S13/TrAvia_act!S21*1000)</f>
        <v>7874.665070337177</v>
      </c>
      <c r="T29" s="86">
        <f>IF(T13=0,0,T13/TrAvia_act!T21*1000)</f>
        <v>9502.2185710324084</v>
      </c>
      <c r="U29" s="86">
        <f>IF(U13=0,0,U13/TrAvia_act!U21*1000)</f>
        <v>8109.1602186642749</v>
      </c>
      <c r="V29" s="86">
        <f>IF(V13=0,0,V13/TrAvia_act!V21*1000)</f>
        <v>19506.893611042909</v>
      </c>
      <c r="W29" s="86">
        <f>IF(W13=0,0,W13/TrAvia_act!W21*1000)</f>
        <v>12031.559308485383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111.36325495236954</v>
      </c>
      <c r="C32" s="14">
        <f>IF(C6=0,0,C6/TrAvia_act!C4*1000)</f>
        <v>110.81379256075321</v>
      </c>
      <c r="D32" s="14">
        <f>IF(D6=0,0,D6/TrAvia_act!D4*1000)</f>
        <v>110.79011029387716</v>
      </c>
      <c r="E32" s="14">
        <f>IF(E6=0,0,E6/TrAvia_act!E4*1000)</f>
        <v>111.23090675831754</v>
      </c>
      <c r="F32" s="14">
        <f>IF(F6=0,0,F6/TrAvia_act!F4*1000)</f>
        <v>110.58541281190345</v>
      </c>
      <c r="G32" s="14">
        <f>IF(G6=0,0,G6/TrAvia_act!G4*1000)</f>
        <v>107.87896704177548</v>
      </c>
      <c r="H32" s="14">
        <f>IF(H6=0,0,H6/TrAvia_act!H4*1000)</f>
        <v>111.39616968902946</v>
      </c>
      <c r="I32" s="14">
        <f>IF(I6=0,0,I6/TrAvia_act!I4*1000)</f>
        <v>121.39955131982155</v>
      </c>
      <c r="J32" s="14">
        <f>IF(J6=0,0,J6/TrAvia_act!J4*1000)</f>
        <v>128.63714862440025</v>
      </c>
      <c r="K32" s="14">
        <f>IF(K6=0,0,K6/TrAvia_act!K4*1000)</f>
        <v>116.7711194031271</v>
      </c>
      <c r="L32" s="14">
        <f>IF(L6=0,0,L6/TrAvia_act!L4*1000)</f>
        <v>119.51903268125008</v>
      </c>
      <c r="M32" s="14">
        <f>IF(M6=0,0,M6/TrAvia_act!M4*1000)</f>
        <v>103.70489990056842</v>
      </c>
      <c r="N32" s="14">
        <f>IF(N6=0,0,N6/TrAvia_act!N4*1000)</f>
        <v>113.27390808893541</v>
      </c>
      <c r="O32" s="14">
        <f>IF(O6=0,0,O6/TrAvia_act!O4*1000)</f>
        <v>112.30500418887706</v>
      </c>
      <c r="P32" s="14">
        <f>IF(P6=0,0,P6/TrAvia_act!P4*1000)</f>
        <v>116.29735275844639</v>
      </c>
      <c r="Q32" s="14">
        <f>IF(Q6=0,0,Q6/TrAvia_act!Q4*1000)</f>
        <v>109.19813063717329</v>
      </c>
      <c r="R32" s="14">
        <f>IF(R6=0,0,R6/TrAvia_act!R4*1000)</f>
        <v>96.472921311673076</v>
      </c>
      <c r="S32" s="14">
        <f>IF(S6=0,0,S6/TrAvia_act!S4*1000)</f>
        <v>95.852766547062018</v>
      </c>
      <c r="T32" s="14">
        <f>IF(T6=0,0,T6/TrAvia_act!T4*1000)</f>
        <v>118.72819083400134</v>
      </c>
      <c r="U32" s="14">
        <f>IF(U6=0,0,U6/TrAvia_act!U4*1000)</f>
        <v>92.255638856526915</v>
      </c>
      <c r="V32" s="14">
        <f>IF(V6=0,0,V6/TrAvia_act!V4*1000)</f>
        <v>189.54138987574993</v>
      </c>
      <c r="W32" s="14">
        <f>IF(W6=0,0,W6/TrAvia_act!W4*1000)</f>
        <v>138.63815201471556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119.27220218405361</v>
      </c>
      <c r="C34" s="87">
        <f>IF(C8=0,0,C8/TrAvia_act!C6*1000)</f>
        <v>118.10704772118396</v>
      </c>
      <c r="D34" s="87">
        <f>IF(D8=0,0,D8/TrAvia_act!D6*1000)</f>
        <v>117.95384284989572</v>
      </c>
      <c r="E34" s="87">
        <f>IF(E8=0,0,E8/TrAvia_act!E6*1000)</f>
        <v>119.04755294821653</v>
      </c>
      <c r="F34" s="87">
        <f>IF(F8=0,0,F8/TrAvia_act!F6*1000)</f>
        <v>118.63986898365484</v>
      </c>
      <c r="G34" s="87">
        <f>IF(G8=0,0,G8/TrAvia_act!G6*1000)</f>
        <v>106.48893736160014</v>
      </c>
      <c r="H34" s="87">
        <f>IF(H8=0,0,H8/TrAvia_act!H6*1000)</f>
        <v>111.55221550292427</v>
      </c>
      <c r="I34" s="87">
        <f>IF(I8=0,0,I8/TrAvia_act!I6*1000)</f>
        <v>128.84413461897333</v>
      </c>
      <c r="J34" s="87">
        <f>IF(J8=0,0,J8/TrAvia_act!J6*1000)</f>
        <v>138.14214248840352</v>
      </c>
      <c r="K34" s="87">
        <f>IF(K8=0,0,K8/TrAvia_act!K6*1000)</f>
        <v>131.93511168941052</v>
      </c>
      <c r="L34" s="87">
        <f>IF(L8=0,0,L8/TrAvia_act!L6*1000)</f>
        <v>137.50411287091907</v>
      </c>
      <c r="M34" s="87">
        <f>IF(M8=0,0,M8/TrAvia_act!M6*1000)</f>
        <v>113.51954533198165</v>
      </c>
      <c r="N34" s="87">
        <f>IF(N8=0,0,N8/TrAvia_act!N6*1000)</f>
        <v>141.79944792895597</v>
      </c>
      <c r="O34" s="87">
        <f>IF(O8=0,0,O8/TrAvia_act!O6*1000)</f>
        <v>137.70846362096341</v>
      </c>
      <c r="P34" s="87">
        <f>IF(P8=0,0,P8/TrAvia_act!P6*1000)</f>
        <v>135.04309897715387</v>
      </c>
      <c r="Q34" s="87">
        <f>IF(Q8=0,0,Q8/TrAvia_act!Q6*1000)</f>
        <v>124.19964212641695</v>
      </c>
      <c r="R34" s="87">
        <f>IF(R8=0,0,R8/TrAvia_act!R6*1000)</f>
        <v>100.54345808408229</v>
      </c>
      <c r="S34" s="87">
        <f>IF(S8=0,0,S8/TrAvia_act!S6*1000)</f>
        <v>104.36215048572615</v>
      </c>
      <c r="T34" s="87">
        <f>IF(T8=0,0,T8/TrAvia_act!T6*1000)</f>
        <v>128.59599553771596</v>
      </c>
      <c r="U34" s="87">
        <f>IF(U8=0,0,U8/TrAvia_act!U6*1000)</f>
        <v>102.75746112065814</v>
      </c>
      <c r="V34" s="87">
        <f>IF(V8=0,0,V8/TrAvia_act!V6*1000)</f>
        <v>171.17516890221549</v>
      </c>
      <c r="W34" s="87">
        <f>IF(W8=0,0,W8/TrAvia_act!W6*1000)</f>
        <v>136.87518451512224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101.7671857344955</v>
      </c>
      <c r="C35" s="87">
        <f>IF(C9=0,0,C9/TrAvia_act!C7*1000)</f>
        <v>101.87028854278586</v>
      </c>
      <c r="D35" s="87">
        <f>IF(D9=0,0,D9/TrAvia_act!D7*1000)</f>
        <v>101.98281830753092</v>
      </c>
      <c r="E35" s="87">
        <f>IF(E9=0,0,E9/TrAvia_act!E7*1000)</f>
        <v>101.73158374615738</v>
      </c>
      <c r="F35" s="87">
        <f>IF(F9=0,0,F9/TrAvia_act!F7*1000)</f>
        <v>100.84898709515832</v>
      </c>
      <c r="G35" s="87">
        <f>IF(G9=0,0,G9/TrAvia_act!G7*1000)</f>
        <v>109.99994990690905</v>
      </c>
      <c r="H35" s="87">
        <f>IF(H9=0,0,H9/TrAvia_act!H7*1000)</f>
        <v>111.15187613537583</v>
      </c>
      <c r="I35" s="87">
        <f>IF(I9=0,0,I9/TrAvia_act!I7*1000)</f>
        <v>111.11497740390818</v>
      </c>
      <c r="J35" s="87">
        <f>IF(J9=0,0,J9/TrAvia_act!J7*1000)</f>
        <v>116.47151571616688</v>
      </c>
      <c r="K35" s="87">
        <f>IF(K9=0,0,K9/TrAvia_act!K7*1000)</f>
        <v>100.57231701761356</v>
      </c>
      <c r="L35" s="87">
        <f>IF(L9=0,0,L9/TrAvia_act!L7*1000)</f>
        <v>101.54584263677397</v>
      </c>
      <c r="M35" s="87">
        <f>IF(M9=0,0,M9/TrAvia_act!M7*1000)</f>
        <v>92.925310173211116</v>
      </c>
      <c r="N35" s="87">
        <f>IF(N9=0,0,N9/TrAvia_act!N7*1000)</f>
        <v>89.803104098860985</v>
      </c>
      <c r="O35" s="87">
        <f>IF(O9=0,0,O9/TrAvia_act!O7*1000)</f>
        <v>90.306911802063382</v>
      </c>
      <c r="P35" s="87">
        <f>IF(P9=0,0,P9/TrAvia_act!P7*1000)</f>
        <v>98.187021857263019</v>
      </c>
      <c r="Q35" s="87">
        <f>IF(Q9=0,0,Q9/TrAvia_act!Q7*1000)</f>
        <v>93.650645260688563</v>
      </c>
      <c r="R35" s="87">
        <f>IF(R9=0,0,R9/TrAvia_act!R7*1000)</f>
        <v>91.044360385064365</v>
      </c>
      <c r="S35" s="87">
        <f>IF(S9=0,0,S9/TrAvia_act!S7*1000)</f>
        <v>84.817858738925409</v>
      </c>
      <c r="T35" s="87">
        <f>IF(T9=0,0,T9/TrAvia_act!T7*1000)</f>
        <v>105.94351888191294</v>
      </c>
      <c r="U35" s="87">
        <f>IF(U9=0,0,U9/TrAvia_act!U7*1000)</f>
        <v>80.16834922721668</v>
      </c>
      <c r="V35" s="87">
        <f>IF(V9=0,0,V9/TrAvia_act!V7*1000)</f>
        <v>213.77387090314039</v>
      </c>
      <c r="W35" s="87">
        <f>IF(W9=0,0,W9/TrAvia_act!W7*1000)</f>
        <v>140.87870059913138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183.64223335476328</v>
      </c>
      <c r="C36" s="15">
        <f>IF(C10=0,0,C10/TrAvia_act!C8*1000)</f>
        <v>165.38869232127846</v>
      </c>
      <c r="D36" s="15">
        <f>IF(D10=0,0,D10/TrAvia_act!D8*1000)</f>
        <v>164.25472376911421</v>
      </c>
      <c r="E36" s="15">
        <f>IF(E10=0,0,E10/TrAvia_act!E8*1000)</f>
        <v>162.38388505118058</v>
      </c>
      <c r="F36" s="15">
        <f>IF(F10=0,0,F10/TrAvia_act!F8*1000)</f>
        <v>163.74397160752764</v>
      </c>
      <c r="G36" s="15">
        <f>IF(G10=0,0,G10/TrAvia_act!G8*1000)</f>
        <v>186.92255181106864</v>
      </c>
      <c r="H36" s="15">
        <f>IF(H10=0,0,H10/TrAvia_act!H8*1000)</f>
        <v>240.82877072176831</v>
      </c>
      <c r="I36" s="15">
        <f>IF(I10=0,0,I10/TrAvia_act!I8*1000)</f>
        <v>353.49400366133619</v>
      </c>
      <c r="J36" s="15">
        <f>IF(J10=0,0,J10/TrAvia_act!J8*1000)</f>
        <v>323.66014464865981</v>
      </c>
      <c r="K36" s="15">
        <f>IF(K10=0,0,K10/TrAvia_act!K8*1000)</f>
        <v>284.75861815394666</v>
      </c>
      <c r="L36" s="15">
        <f>IF(L10=0,0,L10/TrAvia_act!L8*1000)</f>
        <v>394.21896824321971</v>
      </c>
      <c r="M36" s="15">
        <f>IF(M10=0,0,M10/TrAvia_act!M8*1000)</f>
        <v>333.85320967597102</v>
      </c>
      <c r="N36" s="15">
        <f>IF(N10=0,0,N10/TrAvia_act!N8*1000)</f>
        <v>376.35238025316113</v>
      </c>
      <c r="O36" s="15">
        <f>IF(O10=0,0,O10/TrAvia_act!O8*1000)</f>
        <v>416.97709366212854</v>
      </c>
      <c r="P36" s="15">
        <f>IF(P10=0,0,P10/TrAvia_act!P8*1000)</f>
        <v>405.12094564730938</v>
      </c>
      <c r="Q36" s="15">
        <f>IF(Q10=0,0,Q10/TrAvia_act!Q8*1000)</f>
        <v>436.17001954830084</v>
      </c>
      <c r="R36" s="15">
        <f>IF(R10=0,0,R10/TrAvia_act!R8*1000)</f>
        <v>319.89569580712646</v>
      </c>
      <c r="S36" s="15">
        <f>IF(S10=0,0,S10/TrAvia_act!S8*1000)</f>
        <v>348.0863605769058</v>
      </c>
      <c r="T36" s="15">
        <f>IF(T10=0,0,T10/TrAvia_act!T8*1000)</f>
        <v>404.53465321788116</v>
      </c>
      <c r="U36" s="15">
        <f>IF(U10=0,0,U10/TrAvia_act!U8*1000)</f>
        <v>318.13766703997908</v>
      </c>
      <c r="V36" s="15">
        <f>IF(V10=0,0,V10/TrAvia_act!V8*1000)</f>
        <v>768.91697784801499</v>
      </c>
      <c r="W36" s="15">
        <f>IF(W10=0,0,W10/TrAvia_act!W8*1000)</f>
        <v>597.674092062716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447.73257249375712</v>
      </c>
      <c r="C38" s="101">
        <f>IF(C12=0,0,C12/TrAvia_act!C10*1000)</f>
        <v>427.52004849908769</v>
      </c>
      <c r="D38" s="101">
        <f>IF(D12=0,0,D12/TrAvia_act!D10*1000)</f>
        <v>454.98240298072091</v>
      </c>
      <c r="E38" s="101">
        <f>IF(E12=0,0,E12/TrAvia_act!E10*1000)</f>
        <v>447.07157241463301</v>
      </c>
      <c r="F38" s="101">
        <f>IF(F12=0,0,F12/TrAvia_act!F10*1000)</f>
        <v>492.90271248619905</v>
      </c>
      <c r="G38" s="101">
        <f>IF(G12=0,0,G12/TrAvia_act!G10*1000)</f>
        <v>428.84041716474542</v>
      </c>
      <c r="H38" s="101">
        <f>IF(H12=0,0,H12/TrAvia_act!H10*1000)</f>
        <v>468.39364789632651</v>
      </c>
      <c r="I38" s="101">
        <f>IF(I12=0,0,I12/TrAvia_act!I10*1000)</f>
        <v>437.6959348243002</v>
      </c>
      <c r="J38" s="101">
        <f>IF(J12=0,0,J12/TrAvia_act!J10*1000)</f>
        <v>477.0705038828653</v>
      </c>
      <c r="K38" s="101">
        <f>IF(K12=0,0,K12/TrAvia_act!K10*1000)</f>
        <v>459.02738739432397</v>
      </c>
      <c r="L38" s="101">
        <f>IF(L12=0,0,L12/TrAvia_act!L10*1000)</f>
        <v>495.22854468325278</v>
      </c>
      <c r="M38" s="101">
        <f>IF(M12=0,0,M12/TrAvia_act!M10*1000)</f>
        <v>422.88010164132834</v>
      </c>
      <c r="N38" s="101">
        <f>IF(N12=0,0,N12/TrAvia_act!N10*1000)</f>
        <v>498.96082390962397</v>
      </c>
      <c r="O38" s="101">
        <f>IF(O12=0,0,O12/TrAvia_act!O10*1000)</f>
        <v>560.14828137928498</v>
      </c>
      <c r="P38" s="101">
        <f>IF(P12=0,0,P12/TrAvia_act!P10*1000)</f>
        <v>539.17406852100817</v>
      </c>
      <c r="Q38" s="101">
        <f>IF(Q12=0,0,Q12/TrAvia_act!Q10*1000)</f>
        <v>496.88187712277784</v>
      </c>
      <c r="R38" s="101">
        <f>IF(R12=0,0,R12/TrAvia_act!R10*1000)</f>
        <v>358.41511593023188</v>
      </c>
      <c r="S38" s="101">
        <f>IF(S12=0,0,S12/TrAvia_act!S10*1000)</f>
        <v>418.82901394842656</v>
      </c>
      <c r="T38" s="101">
        <f>IF(T12=0,0,T12/TrAvia_act!T10*1000)</f>
        <v>506.70463121966816</v>
      </c>
      <c r="U38" s="101">
        <f>IF(U12=0,0,U12/TrAvia_act!U10*1000)</f>
        <v>416.4781489881106</v>
      </c>
      <c r="V38" s="101">
        <f>IF(V12=0,0,V12/TrAvia_act!V10*1000)</f>
        <v>949.20421991263879</v>
      </c>
      <c r="W38" s="101">
        <f>IF(W12=0,0,W12/TrAvia_act!W10*1000)</f>
        <v>744.67484835760672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110.46206400882592</v>
      </c>
      <c r="C39" s="88">
        <f>IF(C13=0,0,C13/TrAvia_act!C11*1000)</f>
        <v>105.5212382630306</v>
      </c>
      <c r="D39" s="88">
        <f>IF(D13=0,0,D13/TrAvia_act!D11*1000)</f>
        <v>111.73003747451055</v>
      </c>
      <c r="E39" s="88">
        <f>IF(E13=0,0,E13/TrAvia_act!E11*1000)</f>
        <v>122.57539399306778</v>
      </c>
      <c r="F39" s="88">
        <f>IF(F13=0,0,F13/TrAvia_act!F11*1000)</f>
        <v>125.49195712694672</v>
      </c>
      <c r="G39" s="88">
        <f>IF(G13=0,0,G13/TrAvia_act!G11*1000)</f>
        <v>144.20686075701792</v>
      </c>
      <c r="H39" s="88">
        <f>IF(H13=0,0,H13/TrAvia_act!H11*1000)</f>
        <v>130.34363740090313</v>
      </c>
      <c r="I39" s="88">
        <f>IF(I13=0,0,I13/TrAvia_act!I11*1000)</f>
        <v>119.21992769258711</v>
      </c>
      <c r="J39" s="88">
        <f>IF(J13=0,0,J13/TrAvia_act!J11*1000)</f>
        <v>116.14410392151817</v>
      </c>
      <c r="K39" s="88">
        <f>IF(K13=0,0,K13/TrAvia_act!K11*1000)</f>
        <v>85.621632082916506</v>
      </c>
      <c r="L39" s="88">
        <f>IF(L13=0,0,L13/TrAvia_act!L11*1000)</f>
        <v>116.51544425840356</v>
      </c>
      <c r="M39" s="88">
        <f>IF(M13=0,0,M13/TrAvia_act!M11*1000)</f>
        <v>102.4641043166514</v>
      </c>
      <c r="N39" s="88">
        <f>IF(N13=0,0,N13/TrAvia_act!N11*1000)</f>
        <v>85.411219556692771</v>
      </c>
      <c r="O39" s="88">
        <f>IF(O13=0,0,O13/TrAvia_act!O11*1000)</f>
        <v>87.188000309289578</v>
      </c>
      <c r="P39" s="88">
        <f>IF(P13=0,0,P13/TrAvia_act!P11*1000)</f>
        <v>89.230928419197568</v>
      </c>
      <c r="Q39" s="88">
        <f>IF(Q13=0,0,Q13/TrAvia_act!Q11*1000)</f>
        <v>92.079687475729585</v>
      </c>
      <c r="R39" s="88">
        <f>IF(R13=0,0,R13/TrAvia_act!R11*1000)</f>
        <v>90.511083944703472</v>
      </c>
      <c r="S39" s="88">
        <f>IF(S13=0,0,S13/TrAvia_act!S11*1000)</f>
        <v>84.258985218482337</v>
      </c>
      <c r="T39" s="88">
        <f>IF(T13=0,0,T13/TrAvia_act!T11*1000)</f>
        <v>99.493516487235667</v>
      </c>
      <c r="U39" s="88">
        <f>IF(U13=0,0,U13/TrAvia_act!U11*1000)</f>
        <v>80.061413633447998</v>
      </c>
      <c r="V39" s="88">
        <f>IF(V13=0,0,V13/TrAvia_act!V11*1000)</f>
        <v>276.49915527785998</v>
      </c>
      <c r="W39" s="88">
        <f>IF(W13=0,0,W13/TrAvia_act!W11*1000)</f>
        <v>186.18196231124119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5260.9028689941251</v>
      </c>
      <c r="C41" s="54">
        <f>IF(C3=0,0,C3/TrAvia_act!C23*1000000)</f>
        <v>5265.0747221867414</v>
      </c>
      <c r="D41" s="54">
        <f>IF(D3=0,0,D3/TrAvia_act!D23*1000000)</f>
        <v>5266.1557625007417</v>
      </c>
      <c r="E41" s="54">
        <f>IF(E3=0,0,E3/TrAvia_act!E23*1000000)</f>
        <v>5260.102853351028</v>
      </c>
      <c r="F41" s="54">
        <f>IF(F3=0,0,F3/TrAvia_act!F23*1000000)</f>
        <v>5242.7995822817857</v>
      </c>
      <c r="G41" s="54">
        <f>IF(G3=0,0,G3/TrAvia_act!G23*1000000)</f>
        <v>5381.6833821941054</v>
      </c>
      <c r="H41" s="54">
        <f>IF(H3=0,0,H3/TrAvia_act!H23*1000000)</f>
        <v>5651.6123282584495</v>
      </c>
      <c r="I41" s="54">
        <f>IF(I3=0,0,I3/TrAvia_act!I23*1000000)</f>
        <v>6299.6665705939622</v>
      </c>
      <c r="J41" s="54">
        <f>IF(J3=0,0,J3/TrAvia_act!J23*1000000)</f>
        <v>6446.0910392441865</v>
      </c>
      <c r="K41" s="54">
        <f>IF(K3=0,0,K3/TrAvia_act!K23*1000000)</f>
        <v>5613.9879117959617</v>
      </c>
      <c r="L41" s="54">
        <f>IF(L3=0,0,L3/TrAvia_act!L23*1000000)</f>
        <v>6304.0126789976148</v>
      </c>
      <c r="M41" s="54">
        <f>IF(M3=0,0,M3/TrAvia_act!M23*1000000)</f>
        <v>5608.5091509580961</v>
      </c>
      <c r="N41" s="54">
        <f>IF(N3=0,0,N3/TrAvia_act!N23*1000000)</f>
        <v>6373.5540833849709</v>
      </c>
      <c r="O41" s="54">
        <f>IF(O3=0,0,O3/TrAvia_act!O23*1000000)</f>
        <v>7316.3617126297086</v>
      </c>
      <c r="P41" s="54">
        <f>IF(P3=0,0,P3/TrAvia_act!P23*1000000)</f>
        <v>7654.0949867970648</v>
      </c>
      <c r="Q41" s="54">
        <f>IF(Q3=0,0,Q3/TrAvia_act!Q23*1000000)</f>
        <v>7269.4706706297593</v>
      </c>
      <c r="R41" s="54">
        <f>IF(R3=0,0,R3/TrAvia_act!R23*1000000)</f>
        <v>6211.352959183675</v>
      </c>
      <c r="S41" s="54">
        <f>IF(S3=0,0,S3/TrAvia_act!S23*1000000)</f>
        <v>6575.6812527964203</v>
      </c>
      <c r="T41" s="54">
        <f>IF(T3=0,0,T3/TrAvia_act!T23*1000000)</f>
        <v>8558.7993409581723</v>
      </c>
      <c r="U41" s="54">
        <f>IF(U3=0,0,U3/TrAvia_act!U23*1000000)</f>
        <v>7768.7221283783792</v>
      </c>
      <c r="V41" s="54">
        <f>IF(V3=0,0,V3/TrAvia_act!V23*1000000)</f>
        <v>13830.664073903001</v>
      </c>
      <c r="W41" s="54">
        <f>IF(W3=0,0,W3/TrAvia_act!W23*1000000)</f>
        <v>11325.843842364531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5238.8564798049956</v>
      </c>
      <c r="C42" s="11">
        <f>IF(C6=0,0,C6/TrAvia_act!C24*1000000)</f>
        <v>5242.4898265145875</v>
      </c>
      <c r="D42" s="11">
        <f>IF(D6=0,0,D6/TrAvia_act!D24*1000000)</f>
        <v>5242.4956436978646</v>
      </c>
      <c r="E42" s="11">
        <f>IF(E6=0,0,E6/TrAvia_act!E24*1000000)</f>
        <v>5226.7993752072716</v>
      </c>
      <c r="F42" s="11">
        <f>IF(F6=0,0,F6/TrAvia_act!F24*1000000)</f>
        <v>5194.2853531356241</v>
      </c>
      <c r="G42" s="11">
        <f>IF(G6=0,0,G6/TrAvia_act!G24*1000000)</f>
        <v>5343.5943121686269</v>
      </c>
      <c r="H42" s="11">
        <f>IF(H6=0,0,H6/TrAvia_act!H24*1000000)</f>
        <v>5649.8932092690648</v>
      </c>
      <c r="I42" s="11">
        <f>IF(I6=0,0,I6/TrAvia_act!I24*1000000)</f>
        <v>6391.9833610723217</v>
      </c>
      <c r="J42" s="11">
        <f>IF(J6=0,0,J6/TrAvia_act!J24*1000000)</f>
        <v>6466.6588149004874</v>
      </c>
      <c r="K42" s="11">
        <f>IF(K6=0,0,K6/TrAvia_act!K24*1000000)</f>
        <v>5617.6303608124754</v>
      </c>
      <c r="L42" s="11">
        <f>IF(L6=0,0,L6/TrAvia_act!L24*1000000)</f>
        <v>6314.2873383639162</v>
      </c>
      <c r="M42" s="11">
        <f>IF(M6=0,0,M6/TrAvia_act!M24*1000000)</f>
        <v>5624.6177212950388</v>
      </c>
      <c r="N42" s="11">
        <f>IF(N6=0,0,N6/TrAvia_act!N24*1000000)</f>
        <v>6397.4375535115632</v>
      </c>
      <c r="O42" s="11">
        <f>IF(O6=0,0,O6/TrAvia_act!O24*1000000)</f>
        <v>7337.317244973251</v>
      </c>
      <c r="P42" s="11">
        <f>IF(P6=0,0,P6/TrAvia_act!P24*1000000)</f>
        <v>7667.035466156085</v>
      </c>
      <c r="Q42" s="11">
        <f>IF(Q6=0,0,Q6/TrAvia_act!Q24*1000000)</f>
        <v>7278.8177278184658</v>
      </c>
      <c r="R42" s="11">
        <f>IF(R6=0,0,R6/TrAvia_act!R24*1000000)</f>
        <v>6225.6892464787506</v>
      </c>
      <c r="S42" s="11">
        <f>IF(S6=0,0,S6/TrAvia_act!S24*1000000)</f>
        <v>6592.5086181492406</v>
      </c>
      <c r="T42" s="11">
        <f>IF(T6=0,0,T6/TrAvia_act!T24*1000000)</f>
        <v>8582.8870838333514</v>
      </c>
      <c r="U42" s="11">
        <f>IF(U6=0,0,U6/TrAvia_act!U24*1000000)</f>
        <v>7802.0120621018805</v>
      </c>
      <c r="V42" s="11">
        <f>IF(V6=0,0,V6/TrAvia_act!V24*1000000)</f>
        <v>14186.079615087698</v>
      </c>
      <c r="W42" s="11">
        <f>IF(W6=0,0,W6/TrAvia_act!W24*1000000)</f>
        <v>11569.449417782485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4472.2278891234992</v>
      </c>
      <c r="C44" s="84">
        <f>IF(C8=0,0,C8/TrAvia_act!C26*1000000)</f>
        <v>4475.1530811441789</v>
      </c>
      <c r="D44" s="84">
        <f>IF(D8=0,0,D8/TrAvia_act!D26*1000000)</f>
        <v>4475.2894323194805</v>
      </c>
      <c r="E44" s="84">
        <f>IF(E8=0,0,E8/TrAvia_act!E26*1000000)</f>
        <v>4462.0038736550223</v>
      </c>
      <c r="F44" s="84">
        <f>IF(F8=0,0,F8/TrAvia_act!F26*1000000)</f>
        <v>4434.2294704382812</v>
      </c>
      <c r="G44" s="84">
        <f>IF(G8=0,0,G8/TrAvia_act!G26*1000000)</f>
        <v>4462.2691361730613</v>
      </c>
      <c r="H44" s="84">
        <f>IF(H8=0,0,H8/TrAvia_act!H26*1000000)</f>
        <v>4840.5005094492044</v>
      </c>
      <c r="I44" s="84">
        <f>IF(I8=0,0,I8/TrAvia_act!I26*1000000)</f>
        <v>5729.7560588869783</v>
      </c>
      <c r="J44" s="84">
        <f>IF(J8=0,0,J8/TrAvia_act!J26*1000000)</f>
        <v>5770.4920809526566</v>
      </c>
      <c r="K44" s="84">
        <f>IF(K8=0,0,K8/TrAvia_act!K26*1000000)</f>
        <v>5143.5108009889527</v>
      </c>
      <c r="L44" s="84">
        <f>IF(L8=0,0,L8/TrAvia_act!L26*1000000)</f>
        <v>6078.5312207288162</v>
      </c>
      <c r="M44" s="84">
        <f>IF(M8=0,0,M8/TrAvia_act!M26*1000000)</f>
        <v>5282.3332240604059</v>
      </c>
      <c r="N44" s="84">
        <f>IF(N8=0,0,N8/TrAvia_act!N26*1000000)</f>
        <v>6140.3163708776119</v>
      </c>
      <c r="O44" s="84">
        <f>IF(O8=0,0,O8/TrAvia_act!O26*1000000)</f>
        <v>7471.0900156697417</v>
      </c>
      <c r="P44" s="84">
        <f>IF(P8=0,0,P8/TrAvia_act!P26*1000000)</f>
        <v>8106.2569134312271</v>
      </c>
      <c r="Q44" s="84">
        <f>IF(Q8=0,0,Q8/TrAvia_act!Q26*1000000)</f>
        <v>7919.214640767962</v>
      </c>
      <c r="R44" s="84">
        <f>IF(R8=0,0,R8/TrAvia_act!R26*1000000)</f>
        <v>6421.2231409090273</v>
      </c>
      <c r="S44" s="84">
        <f>IF(S8=0,0,S8/TrAvia_act!S26*1000000)</f>
        <v>7225.9421060488175</v>
      </c>
      <c r="T44" s="84">
        <f>IF(T8=0,0,T8/TrAvia_act!T26*1000000)</f>
        <v>8908.8334591939183</v>
      </c>
      <c r="U44" s="84">
        <f>IF(U8=0,0,U8/TrAvia_act!U26*1000000)</f>
        <v>8203.4195693777419</v>
      </c>
      <c r="V44" s="84">
        <f>IF(V8=0,0,V8/TrAvia_act!V26*1000000)</f>
        <v>11734.302786948181</v>
      </c>
      <c r="W44" s="84">
        <f>IF(W8=0,0,W8/TrAvia_act!W26*1000000)</f>
        <v>10224.012523072346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6927.5298730026134</v>
      </c>
      <c r="C45" s="84">
        <f>IF(C9=0,0,C9/TrAvia_act!C27*1000000)</f>
        <v>6932.4651894635126</v>
      </c>
      <c r="D45" s="84">
        <f>IF(D9=0,0,D9/TrAvia_act!D27*1000000)</f>
        <v>6932.4030156058916</v>
      </c>
      <c r="E45" s="84">
        <f>IF(E9=0,0,E9/TrAvia_act!E27*1000000)</f>
        <v>6911.5093632222406</v>
      </c>
      <c r="F45" s="84">
        <f>IF(F9=0,0,F9/TrAvia_act!F27*1000000)</f>
        <v>6868.5029372661893</v>
      </c>
      <c r="G45" s="84">
        <f>IF(G9=0,0,G9/TrAvia_act!G27*1000000)</f>
        <v>7544.7471414320607</v>
      </c>
      <c r="H45" s="84">
        <f>IF(H9=0,0,H9/TrAvia_act!H27*1000000)</f>
        <v>7663.1402776829518</v>
      </c>
      <c r="I45" s="84">
        <f>IF(I9=0,0,I9/TrAvia_act!I27*1000000)</f>
        <v>7844.3073526788839</v>
      </c>
      <c r="J45" s="84">
        <f>IF(J9=0,0,J9/TrAvia_act!J27*1000000)</f>
        <v>7916.5103320397029</v>
      </c>
      <c r="K45" s="84">
        <f>IF(K9=0,0,K9/TrAvia_act!K27*1000000)</f>
        <v>6450.9314053507906</v>
      </c>
      <c r="L45" s="84">
        <f>IF(L9=0,0,L9/TrAvia_act!L27*1000000)</f>
        <v>6664.0461324582966</v>
      </c>
      <c r="M45" s="84">
        <f>IF(M9=0,0,M9/TrAvia_act!M27*1000000)</f>
        <v>6160.1922875562868</v>
      </c>
      <c r="N45" s="84">
        <f>IF(N9=0,0,N9/TrAvia_act!N27*1000000)</f>
        <v>6765.5024957209635</v>
      </c>
      <c r="O45" s="84">
        <f>IF(O9=0,0,O9/TrAvia_act!O27*1000000)</f>
        <v>7167.8428739851624</v>
      </c>
      <c r="P45" s="84">
        <f>IF(P9=0,0,P9/TrAvia_act!P27*1000000)</f>
        <v>7152.1155856685073</v>
      </c>
      <c r="Q45" s="84">
        <f>IF(Q9=0,0,Q9/TrAvia_act!Q27*1000000)</f>
        <v>6550.7182122282429</v>
      </c>
      <c r="R45" s="84">
        <f>IF(R9=0,0,R9/TrAvia_act!R27*1000000)</f>
        <v>5958.4669889372617</v>
      </c>
      <c r="S45" s="84">
        <f>IF(S9=0,0,S9/TrAvia_act!S27*1000000)</f>
        <v>5783.5483077795143</v>
      </c>
      <c r="T45" s="84">
        <f>IF(T9=0,0,T9/TrAvia_act!T27*1000000)</f>
        <v>8115.9211197668628</v>
      </c>
      <c r="U45" s="84">
        <f>IF(U9=0,0,U9/TrAvia_act!U27*1000000)</f>
        <v>7276.7199083051919</v>
      </c>
      <c r="V45" s="84">
        <f>IF(V9=0,0,V9/TrAvia_act!V27*1000000)</f>
        <v>18204.633614150596</v>
      </c>
      <c r="W45" s="84">
        <f>IF(W9=0,0,W9/TrAvia_act!W27*1000000)</f>
        <v>13814.132400283583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7583.7169181928621</v>
      </c>
      <c r="C46" s="13">
        <f>IF(C10=0,0,C10/TrAvia_act!C28*1000000)</f>
        <v>8189.4422968028257</v>
      </c>
      <c r="D46" s="13">
        <f>IF(D10=0,0,D10/TrAvia_act!D28*1000000)</f>
        <v>8901.9997069795772</v>
      </c>
      <c r="E46" s="13">
        <f>IF(E10=0,0,E10/TrAvia_act!E28*1000000)</f>
        <v>10245.633531471272</v>
      </c>
      <c r="F46" s="13">
        <f>IF(F10=0,0,F10/TrAvia_act!F28*1000000)</f>
        <v>10659.746207238943</v>
      </c>
      <c r="G46" s="13">
        <f>IF(G10=0,0,G10/TrAvia_act!G28*1000000)</f>
        <v>9492.4222589775454</v>
      </c>
      <c r="H46" s="13">
        <f>IF(H10=0,0,H10/TrAvia_act!H28*1000000)</f>
        <v>5751.8665008640155</v>
      </c>
      <c r="I46" s="13">
        <f>IF(I10=0,0,I10/TrAvia_act!I28*1000000)</f>
        <v>4620.9495412477372</v>
      </c>
      <c r="J46" s="13">
        <f>IF(J10=0,0,J10/TrAvia_act!J28*1000000)</f>
        <v>5262.349908386881</v>
      </c>
      <c r="K46" s="13">
        <f>IF(K10=0,0,K10/TrAvia_act!K28*1000000)</f>
        <v>5202.170418444096</v>
      </c>
      <c r="L46" s="13">
        <f>IF(L10=0,0,L10/TrAvia_act!L28*1000000)</f>
        <v>5581.5073767503054</v>
      </c>
      <c r="M46" s="13">
        <f>IF(M10=0,0,M10/TrAvia_act!M28*1000000)</f>
        <v>4558.6289275544423</v>
      </c>
      <c r="N46" s="13">
        <f>IF(N10=0,0,N10/TrAvia_act!N28*1000000)</f>
        <v>5094.0000558297897</v>
      </c>
      <c r="O46" s="13">
        <f>IF(O10=0,0,O10/TrAvia_act!O28*1000000)</f>
        <v>6157.5207740317683</v>
      </c>
      <c r="P46" s="13">
        <f>IF(P10=0,0,P10/TrAvia_act!P28*1000000)</f>
        <v>6807.8380541692186</v>
      </c>
      <c r="Q46" s="13">
        <f>IF(Q10=0,0,Q10/TrAvia_act!Q28*1000000)</f>
        <v>6690.3357530020867</v>
      </c>
      <c r="R46" s="13">
        <f>IF(R10=0,0,R10/TrAvia_act!R28*1000000)</f>
        <v>5271.3794054028058</v>
      </c>
      <c r="S46" s="13">
        <f>IF(S10=0,0,S10/TrAvia_act!S28*1000000)</f>
        <v>5760.1747146935586</v>
      </c>
      <c r="T46" s="13">
        <f>IF(T10=0,0,T10/TrAvia_act!T28*1000000)</f>
        <v>7232.3532310604614</v>
      </c>
      <c r="U46" s="13">
        <f>IF(U10=0,0,U10/TrAvia_act!U28*1000000)</f>
        <v>5944.7474874546169</v>
      </c>
      <c r="V46" s="13">
        <f>IF(V10=0,0,V10/TrAvia_act!V28*1000000)</f>
        <v>10157.416543543884</v>
      </c>
      <c r="W46" s="13">
        <f>IF(W10=0,0,W10/TrAvia_act!W28*1000000)</f>
        <v>8519.5505396422814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4703.5330500733535</v>
      </c>
      <c r="C48" s="102">
        <f>IF(C12=0,0,C12/TrAvia_act!C30*1000000)</f>
        <v>4770.7600471426913</v>
      </c>
      <c r="D48" s="102">
        <f>IF(D12=0,0,D12/TrAvia_act!D30*1000000)</f>
        <v>4782.3601917354299</v>
      </c>
      <c r="E48" s="102">
        <f>IF(E12=0,0,E12/TrAvia_act!E30*1000000)</f>
        <v>4806.2524525086465</v>
      </c>
      <c r="F48" s="102">
        <f>IF(F12=0,0,F12/TrAvia_act!F30*1000000)</f>
        <v>4799.4008287297847</v>
      </c>
      <c r="G48" s="102">
        <f>IF(G12=0,0,G12/TrAvia_act!G30*1000000)</f>
        <v>4273.8370950892077</v>
      </c>
      <c r="H48" s="102">
        <f>IF(H12=0,0,H12/TrAvia_act!H30*1000000)</f>
        <v>4108.741357736043</v>
      </c>
      <c r="I48" s="102">
        <f>IF(I12=0,0,I12/TrAvia_act!I30*1000000)</f>
        <v>4338.5767999029031</v>
      </c>
      <c r="J48" s="102">
        <f>IF(J12=0,0,J12/TrAvia_act!J30*1000000)</f>
        <v>4855.7400799622565</v>
      </c>
      <c r="K48" s="102">
        <f>IF(K12=0,0,K12/TrAvia_act!K30*1000000)</f>
        <v>5133.2605650642654</v>
      </c>
      <c r="L48" s="102">
        <f>IF(L12=0,0,L12/TrAvia_act!L30*1000000)</f>
        <v>5753.5949593976829</v>
      </c>
      <c r="M48" s="102">
        <f>IF(M12=0,0,M12/TrAvia_act!M30*1000000)</f>
        <v>4703.2486057497581</v>
      </c>
      <c r="N48" s="102">
        <f>IF(N12=0,0,N12/TrAvia_act!N30*1000000)</f>
        <v>5287.6863374944423</v>
      </c>
      <c r="O48" s="102">
        <f>IF(O12=0,0,O12/TrAvia_act!O30*1000000)</f>
        <v>6446.3368176159547</v>
      </c>
      <c r="P48" s="102">
        <f>IF(P12=0,0,P12/TrAvia_act!P30*1000000)</f>
        <v>7203.0029760649886</v>
      </c>
      <c r="Q48" s="102">
        <f>IF(Q12=0,0,Q12/TrAvia_act!Q30*1000000)</f>
        <v>6880.8978597256946</v>
      </c>
      <c r="R48" s="102">
        <f>IF(R12=0,0,R12/TrAvia_act!R30*1000000)</f>
        <v>5396.3248113112077</v>
      </c>
      <c r="S48" s="102">
        <f>IF(S12=0,0,S12/TrAvia_act!S30*1000000)</f>
        <v>5980.0277070576722</v>
      </c>
      <c r="T48" s="102">
        <f>IF(T12=0,0,T12/TrAvia_act!T30*1000000)</f>
        <v>7454.6350185622277</v>
      </c>
      <c r="U48" s="102">
        <f>IF(U12=0,0,U12/TrAvia_act!U30*1000000)</f>
        <v>6115.8094877865697</v>
      </c>
      <c r="V48" s="102">
        <f>IF(V12=0,0,V12/TrAvia_act!V30*1000000)</f>
        <v>10075.269173013536</v>
      </c>
      <c r="W48" s="102">
        <f>IF(W12=0,0,W12/TrAvia_act!W30*1000000)</f>
        <v>8535.4288936249341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24288.78335328601</v>
      </c>
      <c r="C49" s="86">
        <f>IF(C13=0,0,C13/TrAvia_act!C31*1000000)</f>
        <v>24306.087188057743</v>
      </c>
      <c r="D49" s="86">
        <f>IF(D13=0,0,D13/TrAvia_act!D31*1000000)</f>
        <v>24305.869198762044</v>
      </c>
      <c r="E49" s="86">
        <f>IF(E13=0,0,E13/TrAvia_act!E31*1000000)</f>
        <v>24232.613448803735</v>
      </c>
      <c r="F49" s="86">
        <f>IF(F13=0,0,F13/TrAvia_act!F31*1000000)</f>
        <v>24081.827558017983</v>
      </c>
      <c r="G49" s="86">
        <f>IF(G13=0,0,G13/TrAvia_act!G31*1000000)</f>
        <v>26452.82404161464</v>
      </c>
      <c r="H49" s="86">
        <f>IF(H13=0,0,H13/TrAvia_act!H31*1000000)</f>
        <v>19028.317657338033</v>
      </c>
      <c r="I49" s="86">
        <f>IF(I13=0,0,I13/TrAvia_act!I31*1000000)</f>
        <v>13786.298104065447</v>
      </c>
      <c r="J49" s="86">
        <f>IF(J13=0,0,J13/TrAvia_act!J31*1000000)</f>
        <v>9841.1301502119986</v>
      </c>
      <c r="K49" s="86">
        <f>IF(K13=0,0,K13/TrAvia_act!K31*1000000)</f>
        <v>5668.3253089547179</v>
      </c>
      <c r="L49" s="86">
        <f>IF(L13=0,0,L13/TrAvia_act!L31*1000000)</f>
        <v>4135.9716825123369</v>
      </c>
      <c r="M49" s="86">
        <f>IF(M13=0,0,M13/TrAvia_act!M31*1000000)</f>
        <v>3427.965988936523</v>
      </c>
      <c r="N49" s="86">
        <f>IF(N13=0,0,N13/TrAvia_act!N31*1000000)</f>
        <v>3378.4929896571498</v>
      </c>
      <c r="O49" s="86">
        <f>IF(O13=0,0,O13/TrAvia_act!O31*1000000)</f>
        <v>3702.5844035661798</v>
      </c>
      <c r="P49" s="86">
        <f>IF(P13=0,0,P13/TrAvia_act!P31*1000000)</f>
        <v>3822.1475331789552</v>
      </c>
      <c r="Q49" s="86">
        <f>IF(Q13=0,0,Q13/TrAvia_act!Q31*1000000)</f>
        <v>3622.2858347519987</v>
      </c>
      <c r="R49" s="86">
        <f>IF(R13=0,0,R13/TrAvia_act!R31*1000000)</f>
        <v>3409.6928573676196</v>
      </c>
      <c r="S49" s="86">
        <f>IF(S13=0,0,S13/TrAvia_act!S31*1000000)</f>
        <v>3425.5453195889281</v>
      </c>
      <c r="T49" s="86">
        <f>IF(T13=0,0,T13/TrAvia_act!T31*1000000)</f>
        <v>4976.1930879175343</v>
      </c>
      <c r="U49" s="86">
        <f>IF(U13=0,0,U13/TrAvia_act!U31*1000000)</f>
        <v>4396.1862212916703</v>
      </c>
      <c r="V49" s="86">
        <f>IF(V13=0,0,V13/TrAvia_act!V31*1000000)</f>
        <v>10998.219041913335</v>
      </c>
      <c r="W49" s="86">
        <f>IF(W13=0,0,W13/TrAvia_act!W31*1000000)</f>
        <v>8345.7243486742809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0.98644678585785883</v>
      </c>
      <c r="C52" s="16">
        <f t="shared" si="35"/>
        <v>0.98807949249706106</v>
      </c>
      <c r="D52" s="16">
        <f t="shared" ref="D52:V52" si="36">IF(D6=0,0,D6/D$3)</f>
        <v>0.98907079524502495</v>
      </c>
      <c r="E52" s="16">
        <f t="shared" si="36"/>
        <v>0.98707497685880008</v>
      </c>
      <c r="F52" s="16">
        <f t="shared" si="36"/>
        <v>0.98195212992514436</v>
      </c>
      <c r="G52" s="16">
        <f t="shared" si="36"/>
        <v>0.98380675637734205</v>
      </c>
      <c r="H52" s="16">
        <f t="shared" si="36"/>
        <v>0.98284242392148147</v>
      </c>
      <c r="I52" s="16">
        <f t="shared" si="36"/>
        <v>0.96176443560549052</v>
      </c>
      <c r="J52" s="16">
        <f t="shared" si="36"/>
        <v>0.98605775482022862</v>
      </c>
      <c r="K52" s="16">
        <f t="shared" si="36"/>
        <v>0.99187585946999401</v>
      </c>
      <c r="L52" s="16">
        <f t="shared" si="36"/>
        <v>0.98758552743474537</v>
      </c>
      <c r="M52" s="16">
        <f t="shared" si="36"/>
        <v>0.98771737570143969</v>
      </c>
      <c r="N52" s="16">
        <f t="shared" si="36"/>
        <v>0.98535516487411667</v>
      </c>
      <c r="O52" s="16">
        <f t="shared" si="36"/>
        <v>0.98505133799253464</v>
      </c>
      <c r="P52" s="16">
        <f t="shared" si="36"/>
        <v>0.98660407298187058</v>
      </c>
      <c r="Q52" s="16">
        <f t="shared" si="36"/>
        <v>0.98538203695895243</v>
      </c>
      <c r="R52" s="16">
        <f t="shared" si="36"/>
        <v>0.98725072878417297</v>
      </c>
      <c r="S52" s="16">
        <f t="shared" si="36"/>
        <v>0.98229020874240403</v>
      </c>
      <c r="T52" s="16">
        <f t="shared" si="36"/>
        <v>0.9849284674298544</v>
      </c>
      <c r="U52" s="16">
        <f t="shared" si="36"/>
        <v>0.98628414202158343</v>
      </c>
      <c r="V52" s="16">
        <f t="shared" si="36"/>
        <v>0.93520884884641631</v>
      </c>
      <c r="W52" s="16">
        <f t="shared" ref="W52" si="37">IF(W6=0,0,W6/W$3)</f>
        <v>0.939917513467039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0.57916436502301838</v>
      </c>
      <c r="C54" s="103">
        <f t="shared" si="41"/>
        <v>0.58007244767085098</v>
      </c>
      <c r="D54" s="103">
        <f t="shared" ref="D54:V54" si="42">IF(D8=0,0,D8/D$3)</f>
        <v>0.58069501224255982</v>
      </c>
      <c r="E54" s="103">
        <f t="shared" si="42"/>
        <v>0.57955010433553933</v>
      </c>
      <c r="F54" s="103">
        <f t="shared" si="42"/>
        <v>0.57653437922813944</v>
      </c>
      <c r="G54" s="103">
        <f t="shared" si="42"/>
        <v>0.58665434750908285</v>
      </c>
      <c r="H54" s="103">
        <f t="shared" si="42"/>
        <v>0.60058647069840865</v>
      </c>
      <c r="I54" s="103">
        <f t="shared" si="42"/>
        <v>0.59212649944101192</v>
      </c>
      <c r="J54" s="103">
        <f t="shared" si="42"/>
        <v>0.59446374154171533</v>
      </c>
      <c r="K54" s="103">
        <f t="shared" si="42"/>
        <v>0.57882918242761894</v>
      </c>
      <c r="L54" s="103">
        <f t="shared" si="42"/>
        <v>0.5679102542736274</v>
      </c>
      <c r="M54" s="103">
        <f t="shared" si="42"/>
        <v>0.565927273987749</v>
      </c>
      <c r="N54" s="103">
        <f t="shared" si="42"/>
        <v>0.55679152032636836</v>
      </c>
      <c r="O54" s="103">
        <f t="shared" si="42"/>
        <v>0.56054805733445245</v>
      </c>
      <c r="P54" s="103">
        <f t="shared" si="42"/>
        <v>0.56294082866172601</v>
      </c>
      <c r="Q54" s="103">
        <f t="shared" si="42"/>
        <v>0.57039142092372053</v>
      </c>
      <c r="R54" s="103">
        <f t="shared" si="42"/>
        <v>0.58800120157832603</v>
      </c>
      <c r="S54" s="103">
        <f t="shared" si="42"/>
        <v>0.60384705803040317</v>
      </c>
      <c r="T54" s="103">
        <f t="shared" si="42"/>
        <v>0.60207720113062047</v>
      </c>
      <c r="U54" s="103">
        <f t="shared" si="42"/>
        <v>0.58783070445265828</v>
      </c>
      <c r="V54" s="103">
        <f t="shared" si="42"/>
        <v>0.48044848336213813</v>
      </c>
      <c r="W54" s="103">
        <f t="shared" ref="W54" si="43">IF(W8=0,0,W8/W$3)</f>
        <v>0.51933128630095959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0.4072824208348404</v>
      </c>
      <c r="C55" s="103">
        <f t="shared" si="44"/>
        <v>0.40800704482621003</v>
      </c>
      <c r="D55" s="103">
        <f t="shared" ref="D55:V55" si="45">IF(D9=0,0,D9/D$3)</f>
        <v>0.40837578300246508</v>
      </c>
      <c r="E55" s="103">
        <f t="shared" si="45"/>
        <v>0.40752487252326092</v>
      </c>
      <c r="F55" s="103">
        <f t="shared" si="45"/>
        <v>0.40541775069700497</v>
      </c>
      <c r="G55" s="103">
        <f t="shared" si="45"/>
        <v>0.3971524088682592</v>
      </c>
      <c r="H55" s="103">
        <f t="shared" si="45"/>
        <v>0.38225595322307265</v>
      </c>
      <c r="I55" s="103">
        <f t="shared" si="45"/>
        <v>0.3696379361644786</v>
      </c>
      <c r="J55" s="103">
        <f t="shared" si="45"/>
        <v>0.39159401327851334</v>
      </c>
      <c r="K55" s="103">
        <f t="shared" si="45"/>
        <v>0.41304667704237508</v>
      </c>
      <c r="L55" s="103">
        <f t="shared" si="45"/>
        <v>0.41967527316111786</v>
      </c>
      <c r="M55" s="103">
        <f t="shared" si="45"/>
        <v>0.42179010171369075</v>
      </c>
      <c r="N55" s="103">
        <f t="shared" si="45"/>
        <v>0.42856364454774826</v>
      </c>
      <c r="O55" s="103">
        <f t="shared" si="45"/>
        <v>0.42450328065808218</v>
      </c>
      <c r="P55" s="103">
        <f t="shared" si="45"/>
        <v>0.42366324432014441</v>
      </c>
      <c r="Q55" s="103">
        <f t="shared" si="45"/>
        <v>0.4149906160352318</v>
      </c>
      <c r="R55" s="103">
        <f t="shared" si="45"/>
        <v>0.39924952720584694</v>
      </c>
      <c r="S55" s="103">
        <f t="shared" si="45"/>
        <v>0.37844315071200091</v>
      </c>
      <c r="T55" s="103">
        <f t="shared" si="45"/>
        <v>0.38285126629923394</v>
      </c>
      <c r="U55" s="103">
        <f t="shared" si="45"/>
        <v>0.39845343756892521</v>
      </c>
      <c r="V55" s="103">
        <f t="shared" si="45"/>
        <v>0.45476036548427823</v>
      </c>
      <c r="W55" s="103">
        <f t="shared" ref="W55" si="46">IF(W9=0,0,W9/W$3)</f>
        <v>0.42058622716607935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1.3553214142141088E-2</v>
      </c>
      <c r="C56" s="17">
        <f t="shared" si="47"/>
        <v>1.1920507502938955E-2</v>
      </c>
      <c r="D56" s="17">
        <f t="shared" ref="D56:V56" si="48">IF(D10=0,0,D10/D$3)</f>
        <v>1.0929204754975145E-2</v>
      </c>
      <c r="E56" s="17">
        <f t="shared" si="48"/>
        <v>1.2925023141199856E-2</v>
      </c>
      <c r="F56" s="17">
        <f t="shared" si="48"/>
        <v>1.8047870074855532E-2</v>
      </c>
      <c r="G56" s="17">
        <f t="shared" si="48"/>
        <v>1.6193243622657959E-2</v>
      </c>
      <c r="H56" s="17">
        <f t="shared" si="48"/>
        <v>1.7157576078518432E-2</v>
      </c>
      <c r="I56" s="17">
        <f t="shared" si="48"/>
        <v>3.8235564394509453E-2</v>
      </c>
      <c r="J56" s="17">
        <f t="shared" si="48"/>
        <v>1.394224517977144E-2</v>
      </c>
      <c r="K56" s="17">
        <f t="shared" si="48"/>
        <v>8.1241405300060757E-3</v>
      </c>
      <c r="L56" s="17">
        <f t="shared" si="48"/>
        <v>1.2414472565254828E-2</v>
      </c>
      <c r="M56" s="17">
        <f t="shared" si="48"/>
        <v>1.2282624298560177E-2</v>
      </c>
      <c r="N56" s="17">
        <f t="shared" si="48"/>
        <v>1.4644835125883176E-2</v>
      </c>
      <c r="O56" s="17">
        <f t="shared" si="48"/>
        <v>1.4948662007465268E-2</v>
      </c>
      <c r="P56" s="17">
        <f t="shared" si="48"/>
        <v>1.3395927018129488E-2</v>
      </c>
      <c r="Q56" s="17">
        <f t="shared" si="48"/>
        <v>1.461796304104772E-2</v>
      </c>
      <c r="R56" s="17">
        <f t="shared" si="48"/>
        <v>1.2749271215827116E-2</v>
      </c>
      <c r="S56" s="17">
        <f t="shared" si="48"/>
        <v>1.7709791257596034E-2</v>
      </c>
      <c r="T56" s="17">
        <f t="shared" si="48"/>
        <v>1.5071532570145598E-2</v>
      </c>
      <c r="U56" s="17">
        <f t="shared" si="48"/>
        <v>1.3715857978416686E-2</v>
      </c>
      <c r="V56" s="17">
        <f t="shared" si="48"/>
        <v>6.4791151153583706E-2</v>
      </c>
      <c r="W56" s="17">
        <f t="shared" ref="W56" si="49">IF(W10=0,0,W10/W$3)</f>
        <v>6.0082486532960951E-2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7.1697410031426037E-3</v>
      </c>
      <c r="C58" s="104">
        <f t="shared" si="53"/>
        <v>5.7290411327621873E-3</v>
      </c>
      <c r="D58" s="104">
        <f t="shared" ref="D58:V58" si="54">IF(D12=0,0,D12/D$3)</f>
        <v>4.6324978102488083E-3</v>
      </c>
      <c r="E58" s="104">
        <f t="shared" si="54"/>
        <v>4.365475816192464E-3</v>
      </c>
      <c r="F58" s="104">
        <f t="shared" si="54"/>
        <v>5.6561939128205755E-3</v>
      </c>
      <c r="G58" s="104">
        <f t="shared" si="54"/>
        <v>5.5753122558949014E-3</v>
      </c>
      <c r="H58" s="104">
        <f t="shared" si="54"/>
        <v>1.090640074795609E-2</v>
      </c>
      <c r="I58" s="104">
        <f t="shared" si="54"/>
        <v>3.4826151176987057E-2</v>
      </c>
      <c r="J58" s="104">
        <f t="shared" si="54"/>
        <v>1.1815689802039498E-2</v>
      </c>
      <c r="K58" s="104">
        <f t="shared" si="54"/>
        <v>6.9840939164665583E-3</v>
      </c>
      <c r="L58" s="104">
        <f t="shared" si="54"/>
        <v>1.1435824655035613E-2</v>
      </c>
      <c r="M58" s="104">
        <f t="shared" si="54"/>
        <v>1.1235219929824939E-2</v>
      </c>
      <c r="N58" s="104">
        <f t="shared" si="54"/>
        <v>1.3659469262501741E-2</v>
      </c>
      <c r="O58" s="104">
        <f t="shared" si="54"/>
        <v>1.4002473216396761E-2</v>
      </c>
      <c r="P58" s="104">
        <f t="shared" si="54"/>
        <v>1.2516858377533814E-2</v>
      </c>
      <c r="Q58" s="104">
        <f t="shared" si="54"/>
        <v>1.4155128722998487E-2</v>
      </c>
      <c r="R58" s="104">
        <f t="shared" si="54"/>
        <v>1.2230615438380303E-2</v>
      </c>
      <c r="S58" s="104">
        <f t="shared" si="54"/>
        <v>1.6803355620414757E-2</v>
      </c>
      <c r="T58" s="104">
        <f t="shared" si="54"/>
        <v>1.4141495747933211E-2</v>
      </c>
      <c r="U58" s="104">
        <f t="shared" si="54"/>
        <v>1.2706870255288544E-2</v>
      </c>
      <c r="V58" s="104">
        <f t="shared" si="54"/>
        <v>5.8547043924940215E-2</v>
      </c>
      <c r="W58" s="104">
        <f t="shared" ref="W58" si="55">IF(W12=0,0,W12/W$3)</f>
        <v>5.5156162276219861E-2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6.3834731389984835E-3</v>
      </c>
      <c r="C59" s="105">
        <f t="shared" si="56"/>
        <v>6.1914663701767682E-3</v>
      </c>
      <c r="D59" s="105">
        <f t="shared" ref="D59:V59" si="57">IF(D13=0,0,D13/D$3)</f>
        <v>6.2967069447263371E-3</v>
      </c>
      <c r="E59" s="105">
        <f t="shared" si="57"/>
        <v>8.5595473250073915E-3</v>
      </c>
      <c r="F59" s="105">
        <f t="shared" si="57"/>
        <v>1.2391676162034954E-2</v>
      </c>
      <c r="G59" s="105">
        <f t="shared" si="57"/>
        <v>1.0617931366763056E-2</v>
      </c>
      <c r="H59" s="105">
        <f t="shared" si="57"/>
        <v>6.251175330562346E-3</v>
      </c>
      <c r="I59" s="105">
        <f t="shared" si="57"/>
        <v>3.4094132175223908E-3</v>
      </c>
      <c r="J59" s="105">
        <f t="shared" si="57"/>
        <v>2.1265553777319421E-3</v>
      </c>
      <c r="K59" s="105">
        <f t="shared" si="57"/>
        <v>1.1400466135395185E-3</v>
      </c>
      <c r="L59" s="105">
        <f t="shared" si="57"/>
        <v>9.7864791021921426E-4</v>
      </c>
      <c r="M59" s="105">
        <f t="shared" si="57"/>
        <v>1.0474043687352381E-3</v>
      </c>
      <c r="N59" s="105">
        <f t="shared" si="57"/>
        <v>9.853658633814336E-4</v>
      </c>
      <c r="O59" s="105">
        <f t="shared" si="57"/>
        <v>9.4618879106850707E-4</v>
      </c>
      <c r="P59" s="105">
        <f t="shared" si="57"/>
        <v>8.7906864059567372E-4</v>
      </c>
      <c r="Q59" s="105">
        <f t="shared" si="57"/>
        <v>4.6283431804923492E-4</v>
      </c>
      <c r="R59" s="105">
        <f t="shared" si="57"/>
        <v>5.1865577744681247E-4</v>
      </c>
      <c r="S59" s="105">
        <f t="shared" si="57"/>
        <v>9.0643563718127956E-4</v>
      </c>
      <c r="T59" s="105">
        <f t="shared" si="57"/>
        <v>9.3003682221238712E-4</v>
      </c>
      <c r="U59" s="105">
        <f t="shared" si="57"/>
        <v>1.0089877231281423E-3</v>
      </c>
      <c r="V59" s="105">
        <f t="shared" si="57"/>
        <v>6.2441072286434909E-3</v>
      </c>
      <c r="W59" s="105">
        <f t="shared" ref="W59" si="58">IF(W13=0,0,W13/W$3)</f>
        <v>4.9263242567410895E-3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1159999</v>
      </c>
      <c r="C4" s="11">
        <f t="shared" si="0"/>
        <v>1258238</v>
      </c>
      <c r="D4" s="11">
        <f t="shared" ref="D4" si="1">SUM(D5:D7)</f>
        <v>1357152</v>
      </c>
      <c r="E4" s="11">
        <f t="shared" ref="E4" si="2">SUM(E5:E7)</f>
        <v>1211806</v>
      </c>
      <c r="F4" s="11">
        <f t="shared" ref="F4" si="3">SUM(F5:F7)</f>
        <v>928304</v>
      </c>
      <c r="G4" s="11">
        <f t="shared" ref="G4" si="4">SUM(G5:G7)</f>
        <v>991534</v>
      </c>
      <c r="H4" s="11">
        <f t="shared" ref="H4" si="5">SUM(H5:H7)</f>
        <v>1094967</v>
      </c>
      <c r="I4" s="11">
        <f t="shared" ref="I4" si="6">SUM(I5:I7)</f>
        <v>1214429</v>
      </c>
      <c r="J4" s="11">
        <f t="shared" ref="J4" si="7">SUM(J5:J7)</f>
        <v>1330612</v>
      </c>
      <c r="K4" s="11">
        <f t="shared" ref="K4" si="8">SUM(K5:K7)</f>
        <v>1159728</v>
      </c>
      <c r="L4" s="11">
        <f t="shared" ref="L4" si="9">SUM(L5:L7)</f>
        <v>1057721</v>
      </c>
      <c r="M4" s="11">
        <f t="shared" ref="M4" si="10">SUM(M5:M7)</f>
        <v>1063407</v>
      </c>
      <c r="N4" s="11">
        <f t="shared" ref="N4" si="11">SUM(N5:N7)</f>
        <v>862367</v>
      </c>
      <c r="O4" s="11">
        <f t="shared" ref="O4" si="12">SUM(O5:O7)</f>
        <v>877751</v>
      </c>
      <c r="P4" s="11">
        <f t="shared" ref="P4" si="13">SUM(P5:P7)</f>
        <v>922735</v>
      </c>
      <c r="Q4" s="11">
        <f t="shared" ref="Q4" si="14">SUM(Q5:Q7)</f>
        <v>1044437</v>
      </c>
      <c r="R4" s="11">
        <f t="shared" ref="R4" si="15">SUM(R5:R7)</f>
        <v>1025330</v>
      </c>
      <c r="S4" s="11">
        <f t="shared" ref="S4" si="16">SUM(S5:S7)</f>
        <v>1184454</v>
      </c>
      <c r="T4" s="11">
        <f t="shared" ref="T4" si="17">SUM(T5:T7)</f>
        <v>1312224</v>
      </c>
      <c r="U4" s="11">
        <f t="shared" ref="U4" si="18">SUM(U5:U7)</f>
        <v>1186147</v>
      </c>
      <c r="V4" s="11">
        <f t="shared" ref="V4:W4" si="19">SUM(V5:V7)</f>
        <v>229913</v>
      </c>
      <c r="W4" s="11">
        <f t="shared" si="19"/>
        <v>324764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743316</v>
      </c>
      <c r="C6" s="84">
        <v>807512</v>
      </c>
      <c r="D6" s="84">
        <v>872959</v>
      </c>
      <c r="E6" s="84">
        <v>780742</v>
      </c>
      <c r="F6" s="84">
        <v>599244</v>
      </c>
      <c r="G6" s="84">
        <v>690787</v>
      </c>
      <c r="H6" s="84">
        <v>746263</v>
      </c>
      <c r="I6" s="84">
        <v>783250</v>
      </c>
      <c r="J6" s="84">
        <v>848192</v>
      </c>
      <c r="K6" s="84">
        <v>673401</v>
      </c>
      <c r="L6" s="84">
        <v>590847</v>
      </c>
      <c r="M6" s="84">
        <v>622180</v>
      </c>
      <c r="N6" s="84">
        <v>482822</v>
      </c>
      <c r="O6" s="84">
        <v>487158</v>
      </c>
      <c r="P6" s="84">
        <v>513955</v>
      </c>
      <c r="Q6" s="84">
        <v>573822</v>
      </c>
      <c r="R6" s="84">
        <v>603600</v>
      </c>
      <c r="S6" s="84">
        <v>682520</v>
      </c>
      <c r="T6" s="84">
        <v>784614</v>
      </c>
      <c r="U6" s="84">
        <v>673657</v>
      </c>
      <c r="V6" s="84">
        <v>141322</v>
      </c>
      <c r="W6" s="84">
        <v>199476</v>
      </c>
      <c r="DA6" s="171" t="s">
        <v>363</v>
      </c>
    </row>
    <row r="7" spans="1:105" ht="11.45" customHeight="1" x14ac:dyDescent="0.25">
      <c r="A7" s="85" t="s">
        <v>174</v>
      </c>
      <c r="B7" s="86">
        <v>416683</v>
      </c>
      <c r="C7" s="86">
        <v>450726</v>
      </c>
      <c r="D7" s="86">
        <v>484193</v>
      </c>
      <c r="E7" s="86">
        <v>431064</v>
      </c>
      <c r="F7" s="86">
        <v>329060</v>
      </c>
      <c r="G7" s="86">
        <v>300747</v>
      </c>
      <c r="H7" s="86">
        <v>348704</v>
      </c>
      <c r="I7" s="86">
        <v>431179</v>
      </c>
      <c r="J7" s="86">
        <v>482420</v>
      </c>
      <c r="K7" s="86">
        <v>486327</v>
      </c>
      <c r="L7" s="86">
        <v>466874</v>
      </c>
      <c r="M7" s="86">
        <v>441227</v>
      </c>
      <c r="N7" s="86">
        <v>379545</v>
      </c>
      <c r="O7" s="86">
        <v>390593</v>
      </c>
      <c r="P7" s="86">
        <v>408780</v>
      </c>
      <c r="Q7" s="86">
        <v>470615</v>
      </c>
      <c r="R7" s="86">
        <v>421730</v>
      </c>
      <c r="S7" s="86">
        <v>501934</v>
      </c>
      <c r="T7" s="86">
        <v>527610</v>
      </c>
      <c r="U7" s="86">
        <v>512490</v>
      </c>
      <c r="V7" s="86">
        <v>88591</v>
      </c>
      <c r="W7" s="86">
        <v>125288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80.954637448530946</v>
      </c>
      <c r="C12" s="14">
        <f>IF(C4=0,0,C4/TrAvia_act!C24)</f>
        <v>80.978118161925607</v>
      </c>
      <c r="D12" s="14">
        <f>IF(D4=0,0,D4/TrAvia_act!D24)</f>
        <v>81.024000000000001</v>
      </c>
      <c r="E12" s="14">
        <f>IF(E4=0,0,E4/TrAvia_act!E24)</f>
        <v>80.948964595858385</v>
      </c>
      <c r="F12" s="14">
        <f>IF(F4=0,0,F4/TrAvia_act!F24)</f>
        <v>81.508824304153137</v>
      </c>
      <c r="G12" s="14">
        <f>IF(G4=0,0,G4/TrAvia_act!G24)</f>
        <v>77.20423577045861</v>
      </c>
      <c r="H12" s="14">
        <f>IF(H4=0,0,H4/TrAvia_act!H24)</f>
        <v>82.713929596615799</v>
      </c>
      <c r="I12" s="14">
        <f>IF(I4=0,0,I4/TrAvia_act!I24)</f>
        <v>83.168675523900831</v>
      </c>
      <c r="J12" s="14">
        <f>IF(J4=0,0,J4/TrAvia_act!J24)</f>
        <v>81.984719654959946</v>
      </c>
      <c r="K12" s="14">
        <f>IF(K4=0,0,K4/TrAvia_act!K24)</f>
        <v>77.708925221120339</v>
      </c>
      <c r="L12" s="14">
        <f>IF(L4=0,0,L4/TrAvia_act!L24)</f>
        <v>80.009152798789714</v>
      </c>
      <c r="M12" s="14">
        <f>IF(M4=0,0,M4/TrAvia_act!M24)</f>
        <v>84.103685542549826</v>
      </c>
      <c r="N12" s="14">
        <f>IF(N4=0,0,N4/TrAvia_act!N24)</f>
        <v>77.760775473399462</v>
      </c>
      <c r="O12" s="14">
        <f>IF(O4=0,0,O4/TrAvia_act!O24)</f>
        <v>83.539640239840111</v>
      </c>
      <c r="P12" s="14">
        <f>IF(P4=0,0,P4/TrAvia_act!P24)</f>
        <v>91.622976864263734</v>
      </c>
      <c r="Q12" s="14">
        <f>IF(Q4=0,0,Q4/TrAvia_act!Q24)</f>
        <v>98.578291647003297</v>
      </c>
      <c r="R12" s="14">
        <f>IF(R4=0,0,R4/TrAvia_act!R24)</f>
        <v>98.35299760191846</v>
      </c>
      <c r="S12" s="14">
        <f>IF(S4=0,0,S4/TrAvia_act!S24)</f>
        <v>100.16524312896406</v>
      </c>
      <c r="T12" s="14">
        <f>IF(T4=0,0,T4/TrAvia_act!T24)</f>
        <v>106.8586319218241</v>
      </c>
      <c r="U12" s="14">
        <f>IF(U4=0,0,U4/TrAvia_act!U24)</f>
        <v>113.34419493549929</v>
      </c>
      <c r="V12" s="14">
        <f>IF(V4=0,0,V4/TrAvia_act!V24)</f>
        <v>116.47061803444782</v>
      </c>
      <c r="W12" s="14">
        <f>IF(W4=0,0,W4/TrAvia_act!W24)</f>
        <v>124.19273422562142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75.425266362252657</v>
      </c>
      <c r="C14" s="87">
        <f>IF(C6=0,0,C6/TrAvia_act!C26)</f>
        <v>75.567284297211302</v>
      </c>
      <c r="D14" s="87">
        <f>IF(D6=0,0,D6/TrAvia_act!D26)</f>
        <v>75.777690972222217</v>
      </c>
      <c r="E14" s="87">
        <f>IF(E6=0,0,E6/TrAvia_act!E26)</f>
        <v>75.829642579642581</v>
      </c>
      <c r="F14" s="87">
        <f>IF(F6=0,0,F6/TrAvia_act!F26)</f>
        <v>76.50248946763692</v>
      </c>
      <c r="G14" s="87">
        <f>IF(G6=0,0,G6/TrAvia_act!G26)</f>
        <v>75.322974593828377</v>
      </c>
      <c r="H14" s="87">
        <f>IF(H6=0,0,H6/TrAvia_act!H26)</f>
        <v>79.03653886888371</v>
      </c>
      <c r="I14" s="87">
        <f>IF(I6=0,0,I6/TrAvia_act!I26)</f>
        <v>78.098514308505329</v>
      </c>
      <c r="J14" s="87">
        <f>IF(J6=0,0,J6/TrAvia_act!J26)</f>
        <v>77.354491564067487</v>
      </c>
      <c r="K14" s="87">
        <f>IF(K6=0,0,K6/TrAvia_act!K26)</f>
        <v>70.794890664423889</v>
      </c>
      <c r="L14" s="87">
        <f>IF(L6=0,0,L6/TrAvia_act!L26)</f>
        <v>74.819171837406614</v>
      </c>
      <c r="M14" s="87">
        <f>IF(M6=0,0,M6/TrAvia_act!M26)</f>
        <v>80.655950220378529</v>
      </c>
      <c r="N14" s="87">
        <f>IF(N6=0,0,N6/TrAvia_act!N26)</f>
        <v>73.950375248889571</v>
      </c>
      <c r="O14" s="87">
        <f>IF(O6=0,0,O6/TrAvia_act!O26)</f>
        <v>82.962874659400541</v>
      </c>
      <c r="P14" s="87">
        <f>IF(P6=0,0,P6/TrAvia_act!P26)</f>
        <v>94.563937442502294</v>
      </c>
      <c r="Q14" s="87">
        <f>IF(Q6=0,0,Q6/TrAvia_act!Q26)</f>
        <v>101.79563597658328</v>
      </c>
      <c r="R14" s="87">
        <f>IF(R6=0,0,R6/TrAvia_act!R26)</f>
        <v>100.26578073089701</v>
      </c>
      <c r="S14" s="87">
        <f>IF(S6=0,0,S6/TrAvia_act!S26)</f>
        <v>102.91314837153196</v>
      </c>
      <c r="T14" s="87">
        <f>IF(T6=0,0,T6/TrAvia_act!T26)</f>
        <v>108.49198008849558</v>
      </c>
      <c r="U14" s="87">
        <f>IF(U6=0,0,U6/TrAvia_act!U26)</f>
        <v>113.56321645313554</v>
      </c>
      <c r="V14" s="87">
        <f>IF(V6=0,0,V6/TrAvia_act!V26)</f>
        <v>115.27079934747145</v>
      </c>
      <c r="W14" s="87">
        <f>IF(W6=0,0,W6/TrAvia_act!W26)</f>
        <v>122.00366972477065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93.134331694233353</v>
      </c>
      <c r="C15" s="88">
        <f>IF(C7=0,0,C7/TrAvia_act!C27)</f>
        <v>92.894888705688373</v>
      </c>
      <c r="D15" s="88">
        <f>IF(D7=0,0,D7/TrAvia_act!D27)</f>
        <v>92.579923518164435</v>
      </c>
      <c r="E15" s="88">
        <f>IF(E7=0,0,E7/TrAvia_act!E27)</f>
        <v>92.22593068035944</v>
      </c>
      <c r="F15" s="88">
        <f>IF(F7=0,0,F7/TrAvia_act!F27)</f>
        <v>92.536557930258724</v>
      </c>
      <c r="G15" s="88">
        <f>IF(G7=0,0,G7/TrAvia_act!G27)</f>
        <v>81.902777777777771</v>
      </c>
      <c r="H15" s="88">
        <f>IF(H7=0,0,H7/TrAvia_act!H27)</f>
        <v>91.860906217070607</v>
      </c>
      <c r="I15" s="88">
        <f>IF(I7=0,0,I7/TrAvia_act!I27)</f>
        <v>94.287994751804064</v>
      </c>
      <c r="J15" s="88">
        <f>IF(J7=0,0,J7/TrAvia_act!J27)</f>
        <v>91.627730294396954</v>
      </c>
      <c r="K15" s="88">
        <f>IF(K7=0,0,K7/TrAvia_act!K27)</f>
        <v>89.860864745011085</v>
      </c>
      <c r="L15" s="88">
        <f>IF(L7=0,0,L7/TrAvia_act!L27)</f>
        <v>87.708810820965624</v>
      </c>
      <c r="M15" s="88">
        <f>IF(M7=0,0,M7/TrAvia_act!M27)</f>
        <v>89.498377281947256</v>
      </c>
      <c r="N15" s="88">
        <f>IF(N7=0,0,N7/TrAvia_act!N27)</f>
        <v>83.215303661477748</v>
      </c>
      <c r="O15" s="88">
        <f>IF(O7=0,0,O7/TrAvia_act!O27)</f>
        <v>84.270334412081979</v>
      </c>
      <c r="P15" s="88">
        <f>IF(P7=0,0,P7/TrAvia_act!P27)</f>
        <v>88.175150992234691</v>
      </c>
      <c r="Q15" s="88">
        <f>IF(Q7=0,0,Q7/TrAvia_act!Q27)</f>
        <v>94.920330778539736</v>
      </c>
      <c r="R15" s="88">
        <f>IF(R7=0,0,R7/TrAvia_act!R27)</f>
        <v>95.73893303064699</v>
      </c>
      <c r="S15" s="88">
        <f>IF(S7=0,0,S7/TrAvia_act!S27)</f>
        <v>96.655882919314465</v>
      </c>
      <c r="T15" s="88">
        <f>IF(T7=0,0,T7/TrAvia_act!T27)</f>
        <v>104.51862123613313</v>
      </c>
      <c r="U15" s="88">
        <f>IF(U7=0,0,U7/TrAvia_act!U27)</f>
        <v>113.05757776307081</v>
      </c>
      <c r="V15" s="88">
        <f>IF(V7=0,0,V7/TrAvia_act!V27)</f>
        <v>118.43716577540107</v>
      </c>
      <c r="W15" s="88">
        <f>IF(W7=0,0,W7/TrAvia_act!W27)</f>
        <v>127.84489795918367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0.54870133508735786</v>
      </c>
      <c r="C18" s="25">
        <f>IF(TrAvia_act!C34=0,0,(TrAvia_act!C34/TrAvia_act!C24)/TrAvia_png!C12)</f>
        <v>0.55228661032332516</v>
      </c>
      <c r="D18" s="25">
        <f>IF(TrAvia_act!D34=0,0,(TrAvia_act!D34/TrAvia_act!D24)/TrAvia_png!D12)</f>
        <v>0.55654561906109268</v>
      </c>
      <c r="E18" s="25">
        <f>IF(TrAvia_act!E34=0,0,(TrAvia_act!E34/TrAvia_act!E24)/TrAvia_png!E12)</f>
        <v>0.56070856226161614</v>
      </c>
      <c r="F18" s="25">
        <f>IF(TrAvia_act!F34=0,0,(TrAvia_act!F34/TrAvia_act!F24)/TrAvia_png!F12)</f>
        <v>0.56376036298453958</v>
      </c>
      <c r="G18" s="25">
        <f>IF(TrAvia_act!G34=0,0,(TrAvia_act!G34/TrAvia_act!G24)/TrAvia_png!G12)</f>
        <v>0.61310050890841872</v>
      </c>
      <c r="H18" s="25">
        <f>IF(TrAvia_act!H34=0,0,(TrAvia_act!H34/TrAvia_act!H24)/TrAvia_png!H12)</f>
        <v>0.60714249835839806</v>
      </c>
      <c r="I18" s="25">
        <f>IF(TrAvia_act!I34=0,0,(TrAvia_act!I34/TrAvia_act!I24)/TrAvia_png!I12)</f>
        <v>0.61946149177926424</v>
      </c>
      <c r="J18" s="25">
        <f>IF(TrAvia_act!J34=0,0,(TrAvia_act!J34/TrAvia_act!J24)/TrAvia_png!J12)</f>
        <v>0.61815615671585711</v>
      </c>
      <c r="K18" s="25">
        <f>IF(TrAvia_act!K34=0,0,(TrAvia_act!K34/TrAvia_act!K24)/TrAvia_png!K12)</f>
        <v>0.60866685981540503</v>
      </c>
      <c r="L18" s="25">
        <f>IF(TrAvia_act!L34=0,0,(TrAvia_act!L34/TrAvia_act!L24)/TrAvia_png!L12)</f>
        <v>0.65149694484651433</v>
      </c>
      <c r="M18" s="25">
        <f>IF(TrAvia_act!M34=0,0,(TrAvia_act!M34/TrAvia_act!M24)/TrAvia_png!M12)</f>
        <v>0.63811692042651591</v>
      </c>
      <c r="N18" s="25">
        <f>IF(TrAvia_act!N34=0,0,(TrAvia_act!N34/TrAvia_act!N24)/TrAvia_png!N12)</f>
        <v>0.67562418320738149</v>
      </c>
      <c r="O18" s="25">
        <f>IF(TrAvia_act!O34=0,0,(TrAvia_act!O34/TrAvia_act!O24)/TrAvia_png!O12)</f>
        <v>0.71929282905972192</v>
      </c>
      <c r="P18" s="25">
        <f>IF(TrAvia_act!P34=0,0,(TrAvia_act!P34/TrAvia_act!P24)/TrAvia_png!P12)</f>
        <v>0.70932824700482799</v>
      </c>
      <c r="Q18" s="25">
        <f>IF(TrAvia_act!Q34=0,0,(TrAvia_act!Q34/TrAvia_act!Q24)/TrAvia_png!Q12)</f>
        <v>0.68894533609973607</v>
      </c>
      <c r="R18" s="25">
        <f>IF(TrAvia_act!R34=0,0,(TrAvia_act!R34/TrAvia_act!R24)/TrAvia_png!R12)</f>
        <v>0.68651263495655057</v>
      </c>
      <c r="S18" s="25">
        <f>IF(TrAvia_act!S34=0,0,(TrAvia_act!S34/TrAvia_act!S24)/TrAvia_png!S12)</f>
        <v>0.71092418954218561</v>
      </c>
      <c r="T18" s="25">
        <f>IF(TrAvia_act!T34=0,0,(TrAvia_act!T34/TrAvia_act!T24)/TrAvia_png!T12)</f>
        <v>0.69046214670665984</v>
      </c>
      <c r="U18" s="25">
        <f>IF(TrAvia_act!U34=0,0,(TrAvia_act!U34/TrAvia_act!U24)/TrAvia_png!U12)</f>
        <v>0.72340780695815943</v>
      </c>
      <c r="V18" s="25">
        <f>IF(TrAvia_act!V34=0,0,(TrAvia_act!V34/TrAvia_act!V24)/TrAvia_png!V12)</f>
        <v>0.62772874957048974</v>
      </c>
      <c r="W18" s="25">
        <f>IF(TrAvia_act!W34=0,0,(TrAvia_act!W34/TrAvia_act!W24)/TrAvia_png!W12)</f>
        <v>0.63568314222019684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0.51307788343046568</v>
      </c>
      <c r="C20" s="89">
        <f>IF(TrAvia_act!C36=0,0,(TrAvia_act!C36/TrAvia_act!C26)/TrAvia_png!C14)</f>
        <v>0.51803936040578968</v>
      </c>
      <c r="D20" s="89">
        <f>IF(TrAvia_act!D36=0,0,(TrAvia_act!D36/TrAvia_act!D26)/TrAvia_png!D14)</f>
        <v>0.52409792441569425</v>
      </c>
      <c r="E20" s="89">
        <f>IF(TrAvia_act!E36=0,0,(TrAvia_act!E36/TrAvia_act!E26)/TrAvia_png!E14)</f>
        <v>0.52959236213755623</v>
      </c>
      <c r="F20" s="89">
        <f>IF(TrAvia_act!F36=0,0,(TrAvia_act!F36/TrAvia_act!F26)/TrAvia_png!F14)</f>
        <v>0.53479050270006878</v>
      </c>
      <c r="G20" s="89">
        <f>IF(TrAvia_act!G36=0,0,(TrAvia_act!G36/TrAvia_act!G26)/TrAvia_png!G14)</f>
        <v>0.58819288724310093</v>
      </c>
      <c r="H20" s="89">
        <f>IF(TrAvia_act!H36=0,0,(TrAvia_act!H36/TrAvia_act!H26)/TrAvia_png!H14)</f>
        <v>0.59528075222810195</v>
      </c>
      <c r="I20" s="89">
        <f>IF(TrAvia_act!I36=0,0,(TrAvia_act!I36/TrAvia_act!I26)/TrAvia_png!I14)</f>
        <v>0.61143057772103415</v>
      </c>
      <c r="J20" s="89">
        <f>IF(TrAvia_act!J36=0,0,(TrAvia_act!J36/TrAvia_act!J26)/TrAvia_png!J14)</f>
        <v>0.60308868746698863</v>
      </c>
      <c r="K20" s="89">
        <f>IF(TrAvia_act!K36=0,0,(TrAvia_act!K36/TrAvia_act!K26)/TrAvia_png!K14)</f>
        <v>0.60826015999382244</v>
      </c>
      <c r="L20" s="89">
        <f>IF(TrAvia_act!L36=0,0,(TrAvia_act!L36/TrAvia_act!L26)/TrAvia_png!L14)</f>
        <v>0.65580767948385954</v>
      </c>
      <c r="M20" s="89">
        <f>IF(TrAvia_act!M36=0,0,(TrAvia_act!M36/TrAvia_act!M26)/TrAvia_png!M14)</f>
        <v>0.64939888778167099</v>
      </c>
      <c r="N20" s="89">
        <f>IF(TrAvia_act!N36=0,0,(TrAvia_act!N36/TrAvia_act!N26)/TrAvia_png!N14)</f>
        <v>0.67502723571005463</v>
      </c>
      <c r="O20" s="89">
        <f>IF(TrAvia_act!O36=0,0,(TrAvia_act!O36/TrAvia_act!O26)/TrAvia_png!O14)</f>
        <v>0.72569063835552328</v>
      </c>
      <c r="P20" s="89">
        <f>IF(TrAvia_act!P36=0,0,(TrAvia_act!P36/TrAvia_act!P26)/TrAvia_png!P14)</f>
        <v>0.72144253874366449</v>
      </c>
      <c r="Q20" s="89">
        <f>IF(TrAvia_act!Q36=0,0,(TrAvia_act!Q36/TrAvia_act!Q26)/TrAvia_png!Q14)</f>
        <v>0.71085807096974318</v>
      </c>
      <c r="R20" s="89">
        <f>IF(TrAvia_act!R36=0,0,(TrAvia_act!R36/TrAvia_act!R26)/TrAvia_png!R14)</f>
        <v>0.71141318754141825</v>
      </c>
      <c r="S20" s="89">
        <f>IF(TrAvia_act!S36=0,0,(TrAvia_act!S36/TrAvia_act!S26)/TrAvia_png!S14)</f>
        <v>0.7363330012307332</v>
      </c>
      <c r="T20" s="89">
        <f>IF(TrAvia_act!T36=0,0,(TrAvia_act!T36/TrAvia_act!T26)/TrAvia_png!T14)</f>
        <v>0.71122870608987343</v>
      </c>
      <c r="U20" s="89">
        <f>IF(TrAvia_act!U36=0,0,(TrAvia_act!U36/TrAvia_act!U26)/TrAvia_png!U14)</f>
        <v>0.75404990967213292</v>
      </c>
      <c r="V20" s="89">
        <f>IF(TrAvia_act!V36=0,0,(TrAvia_act!V36/TrAvia_act!V26)/TrAvia_png!V14)</f>
        <v>0.67384412901034518</v>
      </c>
      <c r="W20" s="89">
        <f>IF(TrAvia_act!W36=0,0,(TrAvia_act!W36/TrAvia_act!W26)/TrAvia_png!W14)</f>
        <v>0.67394072469871069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0.61224959981568716</v>
      </c>
      <c r="C21" s="90">
        <f>IF(TrAvia_act!C37=0,0,(TrAvia_act!C37/TrAvia_act!C27)/TrAvia_png!C15)</f>
        <v>0.61364332210700068</v>
      </c>
      <c r="D21" s="90">
        <f>IF(TrAvia_act!D37=0,0,(TrAvia_act!D37/TrAvia_act!D27)/TrAvia_png!D15)</f>
        <v>0.61504606634131431</v>
      </c>
      <c r="E21" s="90">
        <f>IF(TrAvia_act!E37=0,0,(TrAvia_act!E37/TrAvia_act!E27)/TrAvia_png!E15)</f>
        <v>0.61706614331050613</v>
      </c>
      <c r="F21" s="90">
        <f>IF(TrAvia_act!F37=0,0,(TrAvia_act!F37/TrAvia_act!F27)/TrAvia_png!F15)</f>
        <v>0.61651674466662609</v>
      </c>
      <c r="G21" s="90">
        <f>IF(TrAvia_act!G37=0,0,(TrAvia_act!G37/TrAvia_act!G27)/TrAvia_png!G15)</f>
        <v>0.67031092579477114</v>
      </c>
      <c r="H21" s="90">
        <f>IF(TrAvia_act!H37=0,0,(TrAvia_act!H37/TrAvia_act!H27)/TrAvia_png!H15)</f>
        <v>0.63252787464439753</v>
      </c>
      <c r="I21" s="90">
        <f>IF(TrAvia_act!I37=0,0,(TrAvia_act!I37/TrAvia_act!I27)/TrAvia_png!I15)</f>
        <v>0.63404989575095261</v>
      </c>
      <c r="J21" s="90">
        <f>IF(TrAvia_act!J37=0,0,(TrAvia_act!J37/TrAvia_act!J27)/TrAvia_png!J15)</f>
        <v>0.64464781725467446</v>
      </c>
      <c r="K21" s="90">
        <f>IF(TrAvia_act!K37=0,0,(TrAvia_act!K37/TrAvia_act!K27)/TrAvia_png!K15)</f>
        <v>0.60923000368065106</v>
      </c>
      <c r="L21" s="90">
        <f>IF(TrAvia_act!L37=0,0,(TrAvia_act!L37/TrAvia_act!L27)/TrAvia_png!L15)</f>
        <v>0.64604154439955963</v>
      </c>
      <c r="M21" s="90">
        <f>IF(TrAvia_act!M37=0,0,(TrAvia_act!M37/TrAvia_act!M27)/TrAvia_png!M15)</f>
        <v>0.62220806976907583</v>
      </c>
      <c r="N21" s="90">
        <f>IF(TrAvia_act!N37=0,0,(TrAvia_act!N37/TrAvia_act!N27)/TrAvia_png!N15)</f>
        <v>0.67638356453121506</v>
      </c>
      <c r="O21" s="90">
        <f>IF(TrAvia_act!O37=0,0,(TrAvia_act!O37/TrAvia_act!O27)/TrAvia_png!O15)</f>
        <v>0.71131331078641968</v>
      </c>
      <c r="P21" s="90">
        <f>IF(TrAvia_act!P37=0,0,(TrAvia_act!P37/TrAvia_act!P27)/TrAvia_png!P15)</f>
        <v>0.694097069328245</v>
      </c>
      <c r="Q21" s="90">
        <f>IF(TrAvia_act!Q37=0,0,(TrAvia_act!Q37/TrAvia_act!Q27)/TrAvia_png!Q15)</f>
        <v>0.66222708583449308</v>
      </c>
      <c r="R21" s="90">
        <f>IF(TrAvia_act!R37=0,0,(TrAvia_act!R37/TrAvia_act!R27)/TrAvia_png!R15)</f>
        <v>0.65087378180352362</v>
      </c>
      <c r="S21" s="90">
        <f>IF(TrAvia_act!S37=0,0,(TrAvia_act!S37/TrAvia_act!S27)/TrAvia_png!S15)</f>
        <v>0.67637378619499766</v>
      </c>
      <c r="T21" s="90">
        <f>IF(TrAvia_act!T37=0,0,(TrAvia_act!T37/TrAvia_act!T27)/TrAvia_png!T15)</f>
        <v>0.6595799927977104</v>
      </c>
      <c r="U21" s="90">
        <f>IF(TrAvia_act!U37=0,0,(TrAvia_act!U37/TrAvia_act!U27)/TrAvia_png!U15)</f>
        <v>0.68312942691564715</v>
      </c>
      <c r="V21" s="90">
        <f>IF(TrAvia_act!V37=0,0,(TrAvia_act!V37/TrAvia_act!V27)/TrAvia_png!V15)</f>
        <v>0.55416464426409007</v>
      </c>
      <c r="W21" s="90">
        <f>IF(TrAvia_act!W37=0,0,(TrAvia_act!W37/TrAvia_act!W27)/TrAvia_png!W15)</f>
        <v>0.5747717259434264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2.5656921089881917E-2</v>
      </c>
      <c r="C24" s="23">
        <f>IF(TrAvia_ene!C6=0,0,TrAvia_ene!C6/(C12*TrAvia_act!C14))</f>
        <v>2.5667537177398201E-2</v>
      </c>
      <c r="D24" s="23">
        <f>IF(TrAvia_ene!D6=0,0,TrAvia_ene!D6/(D12*TrAvia_act!D14))</f>
        <v>2.5652909340782688E-2</v>
      </c>
      <c r="E24" s="23">
        <f>IF(TrAvia_ene!E6=0,0,TrAvia_ene!E6/(E12*TrAvia_act!E14))</f>
        <v>2.5599489308214055E-2</v>
      </c>
      <c r="F24" s="23">
        <f>IF(TrAvia_ene!F6=0,0,TrAvia_ene!F6/(F12*TrAvia_act!F14))</f>
        <v>2.5265458091189116E-2</v>
      </c>
      <c r="G24" s="23">
        <f>IF(TrAvia_ene!G6=0,0,TrAvia_ene!G6/(G12*TrAvia_act!G14))</f>
        <v>2.6393652251718375E-2</v>
      </c>
      <c r="H24" s="23">
        <f>IF(TrAvia_ene!H6=0,0,TrAvia_ene!H6/(H12*TrAvia_act!H14))</f>
        <v>2.6250692737316204E-2</v>
      </c>
      <c r="I24" s="23">
        <f>IF(TrAvia_ene!I6=0,0,TrAvia_ene!I6/(I12*TrAvia_act!I14))</f>
        <v>2.8078293583566685E-2</v>
      </c>
      <c r="J24" s="23">
        <f>IF(TrAvia_ene!J6=0,0,TrAvia_ene!J6/(J12*TrAvia_act!J14))</f>
        <v>2.9120817400843036E-2</v>
      </c>
      <c r="K24" s="23">
        <f>IF(TrAvia_ene!K6=0,0,TrAvia_ene!K6/(K12*TrAvia_act!K14))</f>
        <v>2.6147846098464538E-2</v>
      </c>
      <c r="L24" s="23">
        <f>IF(TrAvia_ene!L6=0,0,TrAvia_ene!L6/(L12*TrAvia_act!L14))</f>
        <v>2.8378787834659698E-2</v>
      </c>
      <c r="M24" s="23">
        <f>IF(TrAvia_ene!M6=0,0,TrAvia_ene!M6/(M12*TrAvia_act!M14))</f>
        <v>2.4436030688905756E-2</v>
      </c>
      <c r="N24" s="23">
        <f>IF(TrAvia_ene!N6=0,0,TrAvia_ene!N6/(N12*TrAvia_act!N14))</f>
        <v>2.9231084056876324E-2</v>
      </c>
      <c r="O24" s="23">
        <f>IF(TrAvia_ene!O6=0,0,TrAvia_ene!O6/(O12*TrAvia_act!O14))</f>
        <v>2.9779497218932163E-2</v>
      </c>
      <c r="P24" s="23">
        <f>IF(TrAvia_ene!P6=0,0,TrAvia_ene!P6/(P12*TrAvia_act!P14))</f>
        <v>2.9393674358415483E-2</v>
      </c>
      <c r="Q24" s="23">
        <f>IF(TrAvia_ene!Q6=0,0,TrAvia_ene!Q6/(Q12*TrAvia_act!Q14))</f>
        <v>2.6646538811393599E-2</v>
      </c>
      <c r="R24" s="23">
        <f>IF(TrAvia_ene!R6=0,0,TrAvia_ene!R6/(R12*TrAvia_act!R14))</f>
        <v>2.4409465089037439E-2</v>
      </c>
      <c r="S24" s="23">
        <f>IF(TrAvia_ene!S6=0,0,TrAvia_ene!S6/(S12*TrAvia_act!S14))</f>
        <v>2.5009309675690719E-2</v>
      </c>
      <c r="T24" s="23">
        <f>IF(TrAvia_ene!T6=0,0,TrAvia_ene!T6/(T12*TrAvia_act!T14))</f>
        <v>2.9726637666826691E-2</v>
      </c>
      <c r="U24" s="23">
        <f>IF(TrAvia_ene!U6=0,0,TrAvia_ene!U6/(U12*TrAvia_act!U14))</f>
        <v>2.4586407287423537E-2</v>
      </c>
      <c r="V24" s="23">
        <f>IF(TrAvia_ene!V6=0,0,TrAvia_ene!V6/(V12*TrAvia_act!V14))</f>
        <v>4.5581369821473976E-2</v>
      </c>
      <c r="W24" s="23">
        <f>IF(TrAvia_ene!W6=0,0,TrAvia_ene!W6/(W12*TrAvia_act!W14))</f>
        <v>3.157050804402925E-2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2.6871326841213766E-2</v>
      </c>
      <c r="C26" s="93">
        <f>IF(TrAvia_ene!C8=0,0,TrAvia_ene!C8/(C14*TrAvia_act!C16))</f>
        <v>2.6839418590437446E-2</v>
      </c>
      <c r="D26" s="93">
        <f>IF(TrAvia_ene!D8=0,0,TrAvia_ene!D8/(D14*TrAvia_act!D16))</f>
        <v>2.6765002873742168E-2</v>
      </c>
      <c r="E26" s="93">
        <f>IF(TrAvia_ene!E8=0,0,TrAvia_ene!E8/(E14*TrAvia_act!E16))</f>
        <v>2.6666452361003248E-2</v>
      </c>
      <c r="F26" s="93">
        <f>IF(TrAvia_ene!F8=0,0,TrAvia_ene!F8/(F14*TrAvia_act!F16))</f>
        <v>2.6267428130811322E-2</v>
      </c>
      <c r="G26" s="93">
        <f>IF(TrAvia_ene!G8=0,0,TrAvia_ene!G8/(G14*TrAvia_act!G16))</f>
        <v>2.5490289726013731E-2</v>
      </c>
      <c r="H26" s="93">
        <f>IF(TrAvia_ene!H8=0,0,TrAvia_ene!H8/(H14*TrAvia_act!H16))</f>
        <v>2.5923513188392741E-2</v>
      </c>
      <c r="I26" s="93">
        <f>IF(TrAvia_ene!I8=0,0,TrAvia_ene!I8/(I14*TrAvia_act!I16))</f>
        <v>2.895244129407382E-2</v>
      </c>
      <c r="J26" s="93">
        <f>IF(TrAvia_ene!J8=0,0,TrAvia_ene!J8/(J14*TrAvia_act!J16))</f>
        <v>2.9603139521680259E-2</v>
      </c>
      <c r="K26" s="93">
        <f>IF(TrAvia_ene!K8=0,0,TrAvia_ene!K8/(K14*TrAvia_act!K16))</f>
        <v>2.8592909770920535E-2</v>
      </c>
      <c r="L26" s="93">
        <f>IF(TrAvia_ene!L8=0,0,TrAvia_ene!L8/(L14*TrAvia_act!L16))</f>
        <v>3.1843673409665062E-2</v>
      </c>
      <c r="M26" s="93">
        <f>IF(TrAvia_ene!M8=0,0,TrAvia_ene!M8/(M14*TrAvia_act!M16))</f>
        <v>2.6686736276855035E-2</v>
      </c>
      <c r="N26" s="93">
        <f>IF(TrAvia_ene!N8=0,0,TrAvia_ene!N8/(N14*TrAvia_act!N16))</f>
        <v>3.5822474515460154E-2</v>
      </c>
      <c r="O26" s="93">
        <f>IF(TrAvia_ene!O8=0,0,TrAvia_ene!O8/(O14*TrAvia_act!O16))</f>
        <v>3.6637148535038105E-2</v>
      </c>
      <c r="P26" s="93">
        <f>IF(TrAvia_ene!P8=0,0,TrAvia_ene!P8/(P14*TrAvia_act!P16))</f>
        <v>3.4721672712516326E-2</v>
      </c>
      <c r="Q26" s="93">
        <f>IF(TrAvia_ene!Q8=0,0,TrAvia_ene!Q8/(Q14*TrAvia_act!Q16))</f>
        <v>3.0804540064254496E-2</v>
      </c>
      <c r="R26" s="93">
        <f>IF(TrAvia_ene!R8=0,0,TrAvia_ene!R8/(R14*TrAvia_act!R16))</f>
        <v>2.543076569960067E-2</v>
      </c>
      <c r="S26" s="93">
        <f>IF(TrAvia_ene!S8=0,0,TrAvia_ene!S8/(S14*TrAvia_act!S16))</f>
        <v>2.7342492887095553E-2</v>
      </c>
      <c r="T26" s="93">
        <f>IF(TrAvia_ene!T8=0,0,TrAvia_ene!T8/(T14*TrAvia_act!T16))</f>
        <v>3.1845265806218444E-2</v>
      </c>
      <c r="U26" s="93">
        <f>IF(TrAvia_ene!U8=0,0,TrAvia_ene!U8/(U14*TrAvia_act!U16))</f>
        <v>2.7244379681527684E-2</v>
      </c>
      <c r="V26" s="93">
        <f>IF(TrAvia_ene!V8=0,0,TrAvia_ene!V8/(V14*TrAvia_act!V16))</f>
        <v>4.1787291506744761E-2</v>
      </c>
      <c r="W26" s="93">
        <f>IF(TrAvia_ene!W8=0,0,TrAvia_ene!W8/(W14*TrAvia_act!W16))</f>
        <v>3.1603848672125449E-2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2.3116961046405694E-2</v>
      </c>
      <c r="C27" s="94">
        <f>IF(TrAvia_ene!C9=0,0,TrAvia_ene!C9/(C15*TrAvia_act!C17))</f>
        <v>2.3193058063526076E-2</v>
      </c>
      <c r="D27" s="94">
        <f>IF(TrAvia_ene!D9=0,0,TrAvia_ene!D9/(D15*TrAvia_act!D17))</f>
        <v>2.3271754208545093E-2</v>
      </c>
      <c r="E27" s="94">
        <f>IF(TrAvia_ene!E9=0,0,TrAvia_ene!E9/(E15*TrAvia_act!E17))</f>
        <v>2.3290670464953193E-2</v>
      </c>
      <c r="F27" s="94">
        <f>IF(TrAvia_ene!F9=0,0,TrAvia_ene!F9/(F15*TrAvia_act!F17))</f>
        <v>2.3068049981800082E-2</v>
      </c>
      <c r="G27" s="94">
        <f>IF(TrAvia_ene!G9=0,0,TrAvia_ene!G9/(G15*TrAvia_act!G17))</f>
        <v>2.7356671295970292E-2</v>
      </c>
      <c r="H27" s="94">
        <f>IF(TrAvia_ene!H9=0,0,TrAvia_ene!H9/(H15*TrAvia_act!H17))</f>
        <v>2.6085005530617184E-2</v>
      </c>
      <c r="I27" s="94">
        <f>IF(TrAvia_ene!I9=0,0,TrAvia_ene!I9/(I15*TrAvia_act!I17))</f>
        <v>2.6139092420501629E-2</v>
      </c>
      <c r="J27" s="94">
        <f>IF(TrAvia_ene!J9=0,0,TrAvia_ene!J9/(J15*TrAvia_act!J17))</f>
        <v>2.7857151769440206E-2</v>
      </c>
      <c r="K27" s="94">
        <f>IF(TrAvia_ene!K9=0,0,TrAvia_ene!K9/(K15*TrAvia_act!K17))</f>
        <v>2.2732866721222749E-2</v>
      </c>
      <c r="L27" s="94">
        <f>IF(TrAvia_ene!L9=0,0,TrAvia_ene!L9/(L15*TrAvia_act!L17))</f>
        <v>2.4339803119099192E-2</v>
      </c>
      <c r="M27" s="94">
        <f>IF(TrAvia_ene!M9=0,0,TrAvia_ene!M9/(M15*TrAvia_act!M17))</f>
        <v>2.1650191167450043E-2</v>
      </c>
      <c r="N27" s="94">
        <f>IF(TrAvia_ene!N9=0,0,TrAvia_ene!N9/(N15*TrAvia_act!N17))</f>
        <v>2.3061787610058591E-2</v>
      </c>
      <c r="O27" s="94">
        <f>IF(TrAvia_ene!O9=0,0,TrAvia_ene!O9/(O15*TrAvia_act!O17))</f>
        <v>2.3813202512860673E-2</v>
      </c>
      <c r="P27" s="94">
        <f>IF(TrAvia_ene!P9=0,0,TrAvia_ene!P9/(P15*TrAvia_act!P17))</f>
        <v>2.4653788485984429E-2</v>
      </c>
      <c r="Q27" s="94">
        <f>IF(TrAvia_ene!Q9=0,0,TrAvia_ene!Q9/(Q15*TrAvia_act!Q17))</f>
        <v>2.2625575245300237E-2</v>
      </c>
      <c r="R27" s="94">
        <f>IF(TrAvia_ene!R9=0,0,TrAvia_ene!R9/(R15*TrAvia_act!R17))</f>
        <v>2.3087760321735592E-2</v>
      </c>
      <c r="S27" s="94">
        <f>IF(TrAvia_ene!S9=0,0,TrAvia_ene!S9/(S15*TrAvia_act!S17))</f>
        <v>2.2054962077375399E-2</v>
      </c>
      <c r="T27" s="94">
        <f>IF(TrAvia_ene!T9=0,0,TrAvia_ene!T9/(T15*TrAvia_act!T17))</f>
        <v>2.6973909163600918E-2</v>
      </c>
      <c r="U27" s="94">
        <f>IF(TrAvia_ene!U9=0,0,TrAvia_ene!U9/(U15*TrAvia_act!U17))</f>
        <v>2.1499179371182245E-2</v>
      </c>
      <c r="V27" s="94">
        <f>IF(TrAvia_ene!V9=0,0,TrAvia_ene!V9/(V15*TrAvia_act!V17))</f>
        <v>5.0247145667002668E-2</v>
      </c>
      <c r="W27" s="94">
        <f>IF(TrAvia_ene!W9=0,0,TrAvia_ene!W9/(W15*TrAvia_act!W17))</f>
        <v>3.1321019340060888E-2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V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ref="W3" si="2">SUM(W4:W5)</f>
        <v>0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ref="R7:V7" si="4">SUM(R8:R9)</f>
        <v>0</v>
      </c>
      <c r="S7" s="59">
        <f t="shared" si="4"/>
        <v>0</v>
      </c>
      <c r="T7" s="59">
        <f t="shared" si="4"/>
        <v>0</v>
      </c>
      <c r="U7" s="59">
        <f t="shared" si="4"/>
        <v>0</v>
      </c>
      <c r="V7" s="59">
        <f t="shared" si="4"/>
        <v>0</v>
      </c>
      <c r="W7" s="59">
        <f t="shared" ref="W7" si="5">SUM(W8:W9)</f>
        <v>0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0</v>
      </c>
      <c r="J13" s="62">
        <f t="shared" si="7"/>
        <v>0</v>
      </c>
      <c r="K13" s="62">
        <f t="shared" si="7"/>
        <v>0</v>
      </c>
      <c r="L13" s="62">
        <f t="shared" si="7"/>
        <v>0</v>
      </c>
      <c r="M13" s="62">
        <f t="shared" si="7"/>
        <v>0</v>
      </c>
      <c r="N13" s="62">
        <f t="shared" si="7"/>
        <v>0</v>
      </c>
      <c r="O13" s="62">
        <f t="shared" si="7"/>
        <v>0</v>
      </c>
      <c r="P13" s="62">
        <f t="shared" si="7"/>
        <v>0</v>
      </c>
      <c r="Q13" s="62">
        <f t="shared" si="7"/>
        <v>0</v>
      </c>
      <c r="R13" s="62">
        <f t="shared" si="7"/>
        <v>0</v>
      </c>
      <c r="S13" s="62">
        <f t="shared" si="7"/>
        <v>0</v>
      </c>
      <c r="T13" s="62">
        <f t="shared" si="7"/>
        <v>0</v>
      </c>
      <c r="U13" s="62">
        <f t="shared" si="7"/>
        <v>0</v>
      </c>
      <c r="V13" s="62">
        <f t="shared" si="7"/>
        <v>0</v>
      </c>
      <c r="W13" s="62">
        <f t="shared" ref="W13" si="8">IF(W3=0,0,W3/W7)</f>
        <v>0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0</v>
      </c>
      <c r="J17" s="65">
        <f t="shared" si="14"/>
        <v>0</v>
      </c>
      <c r="K17" s="65">
        <f t="shared" si="14"/>
        <v>0</v>
      </c>
      <c r="L17" s="65">
        <f t="shared" si="14"/>
        <v>0</v>
      </c>
      <c r="M17" s="65">
        <f t="shared" si="14"/>
        <v>0</v>
      </c>
      <c r="N17" s="65">
        <f t="shared" si="14"/>
        <v>0</v>
      </c>
      <c r="O17" s="65">
        <f t="shared" si="14"/>
        <v>0</v>
      </c>
      <c r="P17" s="65">
        <f t="shared" si="14"/>
        <v>0</v>
      </c>
      <c r="Q17" s="65">
        <f t="shared" si="14"/>
        <v>0</v>
      </c>
      <c r="R17" s="65">
        <f t="shared" si="14"/>
        <v>0</v>
      </c>
      <c r="S17" s="65">
        <f t="shared" si="14"/>
        <v>0</v>
      </c>
      <c r="T17" s="65">
        <f t="shared" si="14"/>
        <v>0</v>
      </c>
      <c r="U17" s="65">
        <f t="shared" si="14"/>
        <v>0</v>
      </c>
      <c r="V17" s="65">
        <f t="shared" si="14"/>
        <v>0</v>
      </c>
      <c r="W17" s="65">
        <f t="shared" ref="W17" si="15">IF(W3=0,0,W3/W$3)</f>
        <v>0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0</v>
      </c>
      <c r="J21" s="65">
        <f t="shared" si="23"/>
        <v>0</v>
      </c>
      <c r="K21" s="65">
        <f t="shared" si="23"/>
        <v>0</v>
      </c>
      <c r="L21" s="65">
        <f t="shared" si="23"/>
        <v>0</v>
      </c>
      <c r="M21" s="65">
        <f t="shared" si="23"/>
        <v>0</v>
      </c>
      <c r="N21" s="65">
        <f t="shared" si="23"/>
        <v>0</v>
      </c>
      <c r="O21" s="65">
        <f t="shared" si="23"/>
        <v>0</v>
      </c>
      <c r="P21" s="65">
        <f t="shared" si="23"/>
        <v>0</v>
      </c>
      <c r="Q21" s="65">
        <f t="shared" si="23"/>
        <v>0</v>
      </c>
      <c r="R21" s="65">
        <f t="shared" si="23"/>
        <v>0</v>
      </c>
      <c r="S21" s="65">
        <f t="shared" si="23"/>
        <v>0</v>
      </c>
      <c r="T21" s="65">
        <f t="shared" si="23"/>
        <v>0</v>
      </c>
      <c r="U21" s="65">
        <f t="shared" si="23"/>
        <v>0</v>
      </c>
      <c r="V21" s="65">
        <f t="shared" si="23"/>
        <v>0</v>
      </c>
      <c r="W21" s="65">
        <f t="shared" ref="W21" si="24">IF(W7=0,0,W7/W$7)</f>
        <v>0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ref="W3" si="1">SUM(W4,W10)</f>
        <v>0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0</v>
      </c>
      <c r="J19" s="62">
        <f>IF(J3=0,0,J3/TrNavi_act!J7*100)</f>
        <v>0</v>
      </c>
      <c r="K19" s="62">
        <f>IF(K3=0,0,K3/TrNavi_act!K7*100)</f>
        <v>0</v>
      </c>
      <c r="L19" s="62">
        <f>IF(L3=0,0,L3/TrNavi_act!L7*100)</f>
        <v>0</v>
      </c>
      <c r="M19" s="62">
        <f>IF(M3=0,0,M3/TrNavi_act!M7*100)</f>
        <v>0</v>
      </c>
      <c r="N19" s="62">
        <f>IF(N3=0,0,N3/TrNavi_act!N7*100)</f>
        <v>0</v>
      </c>
      <c r="O19" s="62">
        <f>IF(O3=0,0,O3/TrNavi_act!O7*100)</f>
        <v>0</v>
      </c>
      <c r="P19" s="62">
        <f>IF(P3=0,0,P3/TrNavi_act!P7*100)</f>
        <v>0</v>
      </c>
      <c r="Q19" s="62">
        <f>IF(Q3=0,0,Q3/TrNavi_act!Q7*100)</f>
        <v>0</v>
      </c>
      <c r="R19" s="62">
        <f>IF(R3=0,0,R3/TrNavi_act!R7*100)</f>
        <v>0</v>
      </c>
      <c r="S19" s="62">
        <f>IF(S3=0,0,S3/TrNavi_act!S7*100)</f>
        <v>0</v>
      </c>
      <c r="T19" s="62">
        <f>IF(T3=0,0,T3/TrNavi_act!T7*100)</f>
        <v>0</v>
      </c>
      <c r="U19" s="62">
        <f>IF(U3=0,0,U3/TrNavi_act!U7*100)</f>
        <v>0</v>
      </c>
      <c r="V19" s="62">
        <f>IF(V3=0,0,V3/TrNavi_act!V7*100)</f>
        <v>0</v>
      </c>
      <c r="W19" s="62">
        <f>IF(W3=0,0,W3/TrNavi_act!W7*100)</f>
        <v>0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0</v>
      </c>
      <c r="J23" s="62">
        <f>IF(J3=0,0,J3/TrNavi_act!J3*1000)</f>
        <v>0</v>
      </c>
      <c r="K23" s="62">
        <f>IF(K3=0,0,K3/TrNavi_act!K3*1000)</f>
        <v>0</v>
      </c>
      <c r="L23" s="62">
        <f>IF(L3=0,0,L3/TrNavi_act!L3*1000)</f>
        <v>0</v>
      </c>
      <c r="M23" s="62">
        <f>IF(M3=0,0,M3/TrNavi_act!M3*1000)</f>
        <v>0</v>
      </c>
      <c r="N23" s="62">
        <f>IF(N3=0,0,N3/TrNavi_act!N3*1000)</f>
        <v>0</v>
      </c>
      <c r="O23" s="62">
        <f>IF(O3=0,0,O3/TrNavi_act!O3*1000)</f>
        <v>0</v>
      </c>
      <c r="P23" s="62">
        <f>IF(P3=0,0,P3/TrNavi_act!P3*1000)</f>
        <v>0</v>
      </c>
      <c r="Q23" s="62">
        <f>IF(Q3=0,0,Q3/TrNavi_act!Q3*1000)</f>
        <v>0</v>
      </c>
      <c r="R23" s="62">
        <f>IF(R3=0,0,R3/TrNavi_act!R3*1000)</f>
        <v>0</v>
      </c>
      <c r="S23" s="62">
        <f>IF(S3=0,0,S3/TrNavi_act!S3*1000)</f>
        <v>0</v>
      </c>
      <c r="T23" s="62">
        <f>IF(T3=0,0,T3/TrNavi_act!T3*1000)</f>
        <v>0</v>
      </c>
      <c r="U23" s="62">
        <f>IF(U3=0,0,U3/TrNavi_act!U3*1000)</f>
        <v>0</v>
      </c>
      <c r="V23" s="62">
        <f>IF(V3=0,0,V3/TrNavi_act!V3*1000)</f>
        <v>0</v>
      </c>
      <c r="W23" s="62">
        <f>IF(W3=0,0,W3/TrNavi_act!W3*1000)</f>
        <v>0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ref="V27:W27" si="7">IF(V3=0,0,V3/V$3)</f>
        <v>0</v>
      </c>
      <c r="W27" s="76">
        <f t="shared" si="7"/>
        <v>0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0</v>
      </c>
      <c r="J3" s="54">
        <f t="shared" si="1"/>
        <v>0</v>
      </c>
      <c r="K3" s="54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4">
        <f t="shared" si="1"/>
        <v>0</v>
      </c>
      <c r="P3" s="54">
        <f t="shared" si="1"/>
        <v>0</v>
      </c>
      <c r="Q3" s="54">
        <f t="shared" si="1"/>
        <v>0</v>
      </c>
      <c r="R3" s="54">
        <f t="shared" si="1"/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ref="W3" si="2">SUM(W4:W5)</f>
        <v>0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0</v>
      </c>
      <c r="J9" s="79">
        <f>IF(J3=0,0,J3/TrNavi_ene!J3)</f>
        <v>0</v>
      </c>
      <c r="K9" s="79">
        <f>IF(K3=0,0,K3/TrNavi_ene!K3)</f>
        <v>0</v>
      </c>
      <c r="L9" s="79">
        <f>IF(L3=0,0,L3/TrNavi_ene!L3)</f>
        <v>0</v>
      </c>
      <c r="M9" s="79">
        <f>IF(M3=0,0,M3/TrNavi_ene!M3)</f>
        <v>0</v>
      </c>
      <c r="N9" s="79">
        <f>IF(N3=0,0,N3/TrNavi_ene!N3)</f>
        <v>0</v>
      </c>
      <c r="O9" s="79">
        <f>IF(O3=0,0,O3/TrNavi_ene!O3)</f>
        <v>0</v>
      </c>
      <c r="P9" s="79">
        <f>IF(P3=0,0,P3/TrNavi_ene!P3)</f>
        <v>0</v>
      </c>
      <c r="Q9" s="79">
        <f>IF(Q3=0,0,Q3/TrNavi_ene!Q3)</f>
        <v>0</v>
      </c>
      <c r="R9" s="79">
        <f>IF(R3=0,0,R3/TrNavi_ene!R3)</f>
        <v>0</v>
      </c>
      <c r="S9" s="79">
        <f>IF(S3=0,0,S3/TrNavi_ene!S3)</f>
        <v>0</v>
      </c>
      <c r="T9" s="79">
        <f>IF(T3=0,0,T3/TrNavi_ene!T3)</f>
        <v>0</v>
      </c>
      <c r="U9" s="79">
        <f>IF(U3=0,0,U3/TrNavi_ene!U3)</f>
        <v>0</v>
      </c>
      <c r="V9" s="79">
        <f>IF(V3=0,0,V3/TrNavi_ene!V3)</f>
        <v>0</v>
      </c>
      <c r="W9" s="79">
        <f>IF(W3=0,0,W3/TrNavi_ene!W3)</f>
        <v>0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0</v>
      </c>
      <c r="J13" s="54">
        <f>IF(J3=0,0,J3/TrNavi_act!J7*1000)</f>
        <v>0</v>
      </c>
      <c r="K13" s="54">
        <f>IF(K3=0,0,K3/TrNavi_act!K7*1000)</f>
        <v>0</v>
      </c>
      <c r="L13" s="54">
        <f>IF(L3=0,0,L3/TrNavi_act!L7*1000)</f>
        <v>0</v>
      </c>
      <c r="M13" s="54">
        <f>IF(M3=0,0,M3/TrNavi_act!M7*1000)</f>
        <v>0</v>
      </c>
      <c r="N13" s="54">
        <f>IF(N3=0,0,N3/TrNavi_act!N7*1000)</f>
        <v>0</v>
      </c>
      <c r="O13" s="54">
        <f>IF(O3=0,0,O3/TrNavi_act!O7*1000)</f>
        <v>0</v>
      </c>
      <c r="P13" s="54">
        <f>IF(P3=0,0,P3/TrNavi_act!P7*1000)</f>
        <v>0</v>
      </c>
      <c r="Q13" s="54">
        <f>IF(Q3=0,0,Q3/TrNavi_act!Q7*1000)</f>
        <v>0</v>
      </c>
      <c r="R13" s="54">
        <f>IF(R3=0,0,R3/TrNavi_act!R7*1000)</f>
        <v>0</v>
      </c>
      <c r="S13" s="54">
        <f>IF(S3=0,0,S3/TrNavi_act!S7*1000)</f>
        <v>0</v>
      </c>
      <c r="T13" s="54">
        <f>IF(T3=0,0,T3/TrNavi_act!T7*1000)</f>
        <v>0</v>
      </c>
      <c r="U13" s="54">
        <f>IF(U3=0,0,U3/TrNavi_act!U7*1000)</f>
        <v>0</v>
      </c>
      <c r="V13" s="54">
        <f>IF(V3=0,0,V3/TrNavi_act!V7*1000)</f>
        <v>0</v>
      </c>
      <c r="W13" s="54">
        <f>IF(W3=0,0,W3/TrNavi_act!W7*1000)</f>
        <v>0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0</v>
      </c>
      <c r="J17" s="62">
        <f>IF(J3=0,0,J3/TrNavi_act!J3*1000)</f>
        <v>0</v>
      </c>
      <c r="K17" s="62">
        <f>IF(K3=0,0,K3/TrNavi_act!K3*1000)</f>
        <v>0</v>
      </c>
      <c r="L17" s="62">
        <f>IF(L3=0,0,L3/TrNavi_act!L3*1000)</f>
        <v>0</v>
      </c>
      <c r="M17" s="62">
        <f>IF(M3=0,0,M3/TrNavi_act!M3*1000)</f>
        <v>0</v>
      </c>
      <c r="N17" s="62">
        <f>IF(N3=0,0,N3/TrNavi_act!N3*1000)</f>
        <v>0</v>
      </c>
      <c r="O17" s="62">
        <f>IF(O3=0,0,O3/TrNavi_act!O3*1000)</f>
        <v>0</v>
      </c>
      <c r="P17" s="62">
        <f>IF(P3=0,0,P3/TrNavi_act!P3*1000)</f>
        <v>0</v>
      </c>
      <c r="Q17" s="62">
        <f>IF(Q3=0,0,Q3/TrNavi_act!Q3*1000)</f>
        <v>0</v>
      </c>
      <c r="R17" s="62">
        <f>IF(R3=0,0,R3/TrNavi_act!R3*1000)</f>
        <v>0</v>
      </c>
      <c r="S17" s="62">
        <f>IF(S3=0,0,S3/TrNavi_act!S3*1000)</f>
        <v>0</v>
      </c>
      <c r="T17" s="62">
        <f>IF(T3=0,0,T3/TrNavi_act!T3*1000)</f>
        <v>0</v>
      </c>
      <c r="U17" s="62">
        <f>IF(U3=0,0,U3/TrNavi_act!U3*1000)</f>
        <v>0</v>
      </c>
      <c r="V17" s="62">
        <f>IF(V3=0,0,V3/TrNavi_act!V3*1000)</f>
        <v>0</v>
      </c>
      <c r="W17" s="62">
        <f>IF(W3=0,0,W3/TrNavi_act!W3*1000)</f>
        <v>0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ref="V21:W21" si="4">IF(V3=0,0,V3/V$3)</f>
        <v>0</v>
      </c>
      <c r="W21" s="76">
        <f t="shared" si="4"/>
        <v>0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38166.264225999999</v>
      </c>
      <c r="H3" s="54">
        <f t="shared" si="0"/>
        <v>48786.362335999998</v>
      </c>
      <c r="I3" s="54">
        <f t="shared" si="0"/>
        <v>51286.503871000001</v>
      </c>
      <c r="J3" s="54">
        <f t="shared" si="0"/>
        <v>55463.708955000002</v>
      </c>
      <c r="K3" s="54">
        <f t="shared" si="0"/>
        <v>42671.369743000003</v>
      </c>
      <c r="L3" s="54">
        <f t="shared" si="0"/>
        <v>49391.693849000003</v>
      </c>
      <c r="M3" s="54">
        <f t="shared" si="0"/>
        <v>59442.010518000003</v>
      </c>
      <c r="N3" s="54">
        <f t="shared" si="0"/>
        <v>58223.360660000006</v>
      </c>
      <c r="O3" s="54">
        <f t="shared" si="0"/>
        <v>56000.889841999997</v>
      </c>
      <c r="P3" s="54">
        <f t="shared" si="0"/>
        <v>60088.768849999993</v>
      </c>
      <c r="Q3" s="54">
        <f t="shared" si="0"/>
        <v>65845.078519999995</v>
      </c>
      <c r="R3" s="54">
        <f t="shared" ref="R3:W3" si="1">SUM(R4:R5)</f>
        <v>70198.702955000001</v>
      </c>
      <c r="S3" s="54">
        <f t="shared" si="1"/>
        <v>79138.189174999992</v>
      </c>
      <c r="T3" s="54">
        <f t="shared" si="1"/>
        <v>88690.624966999996</v>
      </c>
      <c r="U3" s="54">
        <f t="shared" si="1"/>
        <v>80703.199538000001</v>
      </c>
      <c r="V3" s="54">
        <f t="shared" si="1"/>
        <v>68717.753838000004</v>
      </c>
      <c r="W3" s="54">
        <f t="shared" si="1"/>
        <v>78994.529716999983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6107.9841999999999</v>
      </c>
      <c r="H4" s="56">
        <v>7793.1041509999995</v>
      </c>
      <c r="I4" s="56">
        <v>7507.1204779999998</v>
      </c>
      <c r="J4" s="56">
        <v>8055.4137520000004</v>
      </c>
      <c r="K4" s="56">
        <v>6447.3452349999998</v>
      </c>
      <c r="L4" s="56">
        <v>5331.5673379999998</v>
      </c>
      <c r="M4" s="56">
        <v>4856.571062</v>
      </c>
      <c r="N4" s="56">
        <v>6320.3297009999997</v>
      </c>
      <c r="O4" s="56">
        <v>5002.742569</v>
      </c>
      <c r="P4" s="56">
        <v>5976.4484130000001</v>
      </c>
      <c r="Q4" s="56">
        <v>6269.1972139999998</v>
      </c>
      <c r="R4" s="56">
        <v>7338.9422749999994</v>
      </c>
      <c r="S4" s="56">
        <v>7338.2706370000005</v>
      </c>
      <c r="T4" s="56">
        <v>7518.3779729999997</v>
      </c>
      <c r="U4" s="56">
        <v>6299.8085899999996</v>
      </c>
      <c r="V4" s="56">
        <v>4993.3146369999995</v>
      </c>
      <c r="W4" s="56">
        <v>4214.0093790000001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32058.280026</v>
      </c>
      <c r="H5" s="58">
        <v>40993.258184999999</v>
      </c>
      <c r="I5" s="58">
        <v>43779.383393000004</v>
      </c>
      <c r="J5" s="58">
        <v>47408.295203000001</v>
      </c>
      <c r="K5" s="58">
        <v>36224.024508000002</v>
      </c>
      <c r="L5" s="58">
        <v>44060.126511000002</v>
      </c>
      <c r="M5" s="58">
        <v>54585.439456</v>
      </c>
      <c r="N5" s="58">
        <v>51903.030959000003</v>
      </c>
      <c r="O5" s="58">
        <v>50998.147272999995</v>
      </c>
      <c r="P5" s="58">
        <v>54112.320436999995</v>
      </c>
      <c r="Q5" s="58">
        <v>59575.881305999996</v>
      </c>
      <c r="R5" s="58">
        <v>62859.760680000007</v>
      </c>
      <c r="S5" s="58">
        <v>71799.918537999998</v>
      </c>
      <c r="T5" s="58">
        <v>81172.246994000001</v>
      </c>
      <c r="U5" s="58">
        <v>74403.390948</v>
      </c>
      <c r="V5" s="58">
        <v>63724.439201000001</v>
      </c>
      <c r="W5" s="58">
        <v>74780.520337999988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2.2590520000000001</v>
      </c>
      <c r="H7" s="59">
        <f t="shared" si="2"/>
        <v>2.698474</v>
      </c>
      <c r="I7" s="59">
        <f t="shared" si="2"/>
        <v>2.46862</v>
      </c>
      <c r="J7" s="59">
        <f t="shared" si="2"/>
        <v>2.5393330000000001</v>
      </c>
      <c r="K7" s="59">
        <f t="shared" si="2"/>
        <v>1.909413</v>
      </c>
      <c r="L7" s="59">
        <f t="shared" si="2"/>
        <v>1.9260290000000002</v>
      </c>
      <c r="M7" s="59">
        <f t="shared" si="2"/>
        <v>2.0281699999999998</v>
      </c>
      <c r="N7" s="59">
        <f t="shared" si="2"/>
        <v>2.0552389999999998</v>
      </c>
      <c r="O7" s="59">
        <f t="shared" si="2"/>
        <v>1.8572900000000001</v>
      </c>
      <c r="P7" s="59">
        <f t="shared" si="2"/>
        <v>2.0235539999999999</v>
      </c>
      <c r="Q7" s="59">
        <f t="shared" si="2"/>
        <v>2.0368409999999999</v>
      </c>
      <c r="R7" s="59">
        <f t="shared" si="2"/>
        <v>2.2294359999999998</v>
      </c>
      <c r="S7" s="59">
        <f t="shared" si="2"/>
        <v>2.3436430000000001</v>
      </c>
      <c r="T7" s="59">
        <f t="shared" si="2"/>
        <v>2.4792330000000002</v>
      </c>
      <c r="U7" s="59">
        <f t="shared" si="2"/>
        <v>2.1710510000000003</v>
      </c>
      <c r="V7" s="59">
        <f t="shared" si="2"/>
        <v>1.817199</v>
      </c>
      <c r="W7" s="59">
        <f t="shared" si="2"/>
        <v>1.9406030000000001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0.90425100000000003</v>
      </c>
      <c r="H8" s="60">
        <v>1.049013</v>
      </c>
      <c r="I8" s="60">
        <v>0.904501</v>
      </c>
      <c r="J8" s="60">
        <v>0.93791499999999994</v>
      </c>
      <c r="K8" s="60">
        <v>0.74885500000000005</v>
      </c>
      <c r="L8" s="60">
        <v>0.61280500000000004</v>
      </c>
      <c r="M8" s="60">
        <v>0.52484599999999992</v>
      </c>
      <c r="N8" s="60">
        <v>0.66686900000000005</v>
      </c>
      <c r="O8" s="60">
        <v>0.52507199999999998</v>
      </c>
      <c r="P8" s="60">
        <v>0.61633199999999999</v>
      </c>
      <c r="Q8" s="60">
        <v>0.60287400000000002</v>
      </c>
      <c r="R8" s="60">
        <v>0.68500399999999995</v>
      </c>
      <c r="S8" s="60">
        <v>0.66636899999999999</v>
      </c>
      <c r="T8" s="60">
        <v>0.66911500000000002</v>
      </c>
      <c r="U8" s="60">
        <v>0.55812800000000007</v>
      </c>
      <c r="V8" s="60">
        <v>0.41265600000000002</v>
      </c>
      <c r="W8" s="60">
        <v>0.368562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1.3548010000000001</v>
      </c>
      <c r="H9" s="61">
        <v>1.6494610000000001</v>
      </c>
      <c r="I9" s="61">
        <v>1.564119</v>
      </c>
      <c r="J9" s="61">
        <v>1.601418</v>
      </c>
      <c r="K9" s="61">
        <v>1.160558</v>
      </c>
      <c r="L9" s="61">
        <v>1.3132240000000002</v>
      </c>
      <c r="M9" s="61">
        <v>1.5033239999999999</v>
      </c>
      <c r="N9" s="61">
        <v>1.3883699999999999</v>
      </c>
      <c r="O9" s="61">
        <v>1.3322180000000001</v>
      </c>
      <c r="P9" s="61">
        <v>1.407222</v>
      </c>
      <c r="Q9" s="61">
        <v>1.433967</v>
      </c>
      <c r="R9" s="61">
        <v>1.544432</v>
      </c>
      <c r="S9" s="61">
        <v>1.6772739999999999</v>
      </c>
      <c r="T9" s="61">
        <v>1.8101180000000001</v>
      </c>
      <c r="U9" s="61">
        <v>1.6129230000000001</v>
      </c>
      <c r="V9" s="61">
        <v>1.4045430000000001</v>
      </c>
      <c r="W9" s="61">
        <v>1.572041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16894.814384972102</v>
      </c>
      <c r="H13" s="62">
        <f t="shared" si="3"/>
        <v>18079.241206696821</v>
      </c>
      <c r="I13" s="62">
        <f t="shared" si="3"/>
        <v>20775.374043392665</v>
      </c>
      <c r="J13" s="62">
        <f t="shared" si="3"/>
        <v>21841.841520982085</v>
      </c>
      <c r="K13" s="62">
        <f t="shared" si="3"/>
        <v>22347.899455487106</v>
      </c>
      <c r="L13" s="62">
        <f t="shared" si="3"/>
        <v>25644.31472682914</v>
      </c>
      <c r="M13" s="62">
        <f t="shared" si="3"/>
        <v>29308.199272250356</v>
      </c>
      <c r="N13" s="62">
        <f t="shared" si="3"/>
        <v>28329.240862011673</v>
      </c>
      <c r="O13" s="62">
        <f t="shared" si="3"/>
        <v>30151.936338428568</v>
      </c>
      <c r="P13" s="62">
        <f t="shared" si="3"/>
        <v>29694.67029295981</v>
      </c>
      <c r="Q13" s="62">
        <f t="shared" si="3"/>
        <v>32327.058675664914</v>
      </c>
      <c r="R13" s="62">
        <f t="shared" si="3"/>
        <v>31487.202572758317</v>
      </c>
      <c r="S13" s="62">
        <f t="shared" si="3"/>
        <v>33767.168965153818</v>
      </c>
      <c r="T13" s="62">
        <f t="shared" si="3"/>
        <v>35773.412570339293</v>
      </c>
      <c r="U13" s="62">
        <f t="shared" si="3"/>
        <v>37172.410753132928</v>
      </c>
      <c r="V13" s="62">
        <f t="shared" si="3"/>
        <v>37815.205620298053</v>
      </c>
      <c r="W13" s="62">
        <f t="shared" si="3"/>
        <v>40706.177263974125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6754.744202660544</v>
      </c>
      <c r="H14" s="63">
        <f t="shared" si="3"/>
        <v>7428.9872013025579</v>
      </c>
      <c r="I14" s="63">
        <f t="shared" si="3"/>
        <v>8299.7370682840592</v>
      </c>
      <c r="J14" s="63">
        <f t="shared" si="3"/>
        <v>8588.6394310785108</v>
      </c>
      <c r="K14" s="63">
        <f t="shared" si="3"/>
        <v>8609.6043092454474</v>
      </c>
      <c r="L14" s="63">
        <f t="shared" si="3"/>
        <v>8700.2673574791315</v>
      </c>
      <c r="M14" s="63">
        <f t="shared" si="3"/>
        <v>9253.3258555843058</v>
      </c>
      <c r="N14" s="63">
        <f t="shared" si="3"/>
        <v>9477.6180944083462</v>
      </c>
      <c r="O14" s="63">
        <f t="shared" si="3"/>
        <v>9527.7268050857783</v>
      </c>
      <c r="P14" s="63">
        <f t="shared" si="3"/>
        <v>9696.8004468370946</v>
      </c>
      <c r="Q14" s="63">
        <f t="shared" si="3"/>
        <v>10398.85152453083</v>
      </c>
      <c r="R14" s="63">
        <f t="shared" si="3"/>
        <v>10713.721781186679</v>
      </c>
      <c r="S14" s="63">
        <f t="shared" si="3"/>
        <v>11012.322957700615</v>
      </c>
      <c r="T14" s="63">
        <f t="shared" si="3"/>
        <v>11236.30164172078</v>
      </c>
      <c r="U14" s="63">
        <f t="shared" si="3"/>
        <v>11287.390329816813</v>
      </c>
      <c r="V14" s="63">
        <f t="shared" si="3"/>
        <v>12100.429018359117</v>
      </c>
      <c r="W14" s="63">
        <f t="shared" si="3"/>
        <v>11433.651268985952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23662.722441155562</v>
      </c>
      <c r="H15" s="64">
        <f t="shared" si="3"/>
        <v>24852.517389013741</v>
      </c>
      <c r="I15" s="64">
        <f t="shared" si="3"/>
        <v>27989.803456770234</v>
      </c>
      <c r="J15" s="64">
        <f t="shared" si="3"/>
        <v>29603.948002957379</v>
      </c>
      <c r="K15" s="64">
        <f t="shared" si="3"/>
        <v>31212.593000952991</v>
      </c>
      <c r="L15" s="64">
        <f t="shared" si="3"/>
        <v>33551.112765986611</v>
      </c>
      <c r="M15" s="64">
        <f t="shared" si="3"/>
        <v>36309.83038653012</v>
      </c>
      <c r="N15" s="64">
        <f t="shared" si="3"/>
        <v>37384.149008549597</v>
      </c>
      <c r="O15" s="64">
        <f t="shared" si="3"/>
        <v>38280.632203588291</v>
      </c>
      <c r="P15" s="64">
        <f t="shared" si="3"/>
        <v>38453.293394361368</v>
      </c>
      <c r="Q15" s="64">
        <f t="shared" si="3"/>
        <v>41546.201067388574</v>
      </c>
      <c r="R15" s="64">
        <f t="shared" si="3"/>
        <v>40700.892418701507</v>
      </c>
      <c r="S15" s="64">
        <f t="shared" si="3"/>
        <v>42807.507025089522</v>
      </c>
      <c r="T15" s="64">
        <f t="shared" si="3"/>
        <v>44843.621793717313</v>
      </c>
      <c r="U15" s="64">
        <f t="shared" si="3"/>
        <v>46129.536839638342</v>
      </c>
      <c r="V15" s="64">
        <f t="shared" si="3"/>
        <v>45370.230175224249</v>
      </c>
      <c r="W15" s="64">
        <f t="shared" si="3"/>
        <v>47569.064889528956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0.16003620799331622</v>
      </c>
      <c r="H18" s="66">
        <f t="shared" si="4"/>
        <v>0.15973939801716638</v>
      </c>
      <c r="I18" s="66">
        <f t="shared" si="4"/>
        <v>0.14637614014171296</v>
      </c>
      <c r="J18" s="66">
        <f t="shared" si="4"/>
        <v>0.14523755990670748</v>
      </c>
      <c r="K18" s="66">
        <f t="shared" si="4"/>
        <v>0.15109299921307659</v>
      </c>
      <c r="L18" s="66">
        <f t="shared" si="4"/>
        <v>0.10794461421589703</v>
      </c>
      <c r="M18" s="66">
        <f t="shared" si="4"/>
        <v>8.1702671556328862E-2</v>
      </c>
      <c r="N18" s="66">
        <f t="shared" si="4"/>
        <v>0.10855315854933337</v>
      </c>
      <c r="O18" s="66">
        <f t="shared" si="4"/>
        <v>8.9333269223304423E-2</v>
      </c>
      <c r="P18" s="66">
        <f t="shared" si="4"/>
        <v>9.9460323907102327E-2</v>
      </c>
      <c r="Q18" s="66">
        <f t="shared" si="4"/>
        <v>9.5211325658845922E-2</v>
      </c>
      <c r="R18" s="66">
        <f t="shared" si="4"/>
        <v>0.10454526887347956</v>
      </c>
      <c r="S18" s="66">
        <f t="shared" si="4"/>
        <v>9.2727300352712441E-2</v>
      </c>
      <c r="T18" s="66">
        <f t="shared" si="4"/>
        <v>8.4770830916993056E-2</v>
      </c>
      <c r="U18" s="66">
        <f t="shared" si="4"/>
        <v>7.8061447700517303E-2</v>
      </c>
      <c r="V18" s="66">
        <f t="shared" si="4"/>
        <v>7.2664113102002506E-2</v>
      </c>
      <c r="W18" s="66">
        <f t="shared" si="4"/>
        <v>5.3345584739814281E-2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0.83996379200668381</v>
      </c>
      <c r="H19" s="67">
        <f t="shared" si="4"/>
        <v>0.84026060198283359</v>
      </c>
      <c r="I19" s="67">
        <f t="shared" si="4"/>
        <v>0.85362385985828715</v>
      </c>
      <c r="J19" s="67">
        <f t="shared" si="4"/>
        <v>0.8547624400932925</v>
      </c>
      <c r="K19" s="67">
        <f t="shared" si="4"/>
        <v>0.84890700078692338</v>
      </c>
      <c r="L19" s="67">
        <f t="shared" si="4"/>
        <v>0.89205538578410293</v>
      </c>
      <c r="M19" s="67">
        <f t="shared" si="4"/>
        <v>0.91829732844367107</v>
      </c>
      <c r="N19" s="67">
        <f t="shared" si="4"/>
        <v>0.89144684145066655</v>
      </c>
      <c r="O19" s="67">
        <f t="shared" si="4"/>
        <v>0.91066673077669558</v>
      </c>
      <c r="P19" s="67">
        <f t="shared" si="4"/>
        <v>0.90053967609289765</v>
      </c>
      <c r="Q19" s="67">
        <f t="shared" si="4"/>
        <v>0.90478867434115406</v>
      </c>
      <c r="R19" s="67">
        <f t="shared" si="4"/>
        <v>0.89545473112652052</v>
      </c>
      <c r="S19" s="67">
        <f t="shared" si="4"/>
        <v>0.90727269964728763</v>
      </c>
      <c r="T19" s="67">
        <f t="shared" si="4"/>
        <v>0.915229169083007</v>
      </c>
      <c r="U19" s="67">
        <f t="shared" si="4"/>
        <v>0.92193855229948263</v>
      </c>
      <c r="V19" s="67">
        <f t="shared" si="4"/>
        <v>0.9273358868979974</v>
      </c>
      <c r="W19" s="67">
        <f t="shared" si="4"/>
        <v>0.94665441526018579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0.40027896657535994</v>
      </c>
      <c r="H22" s="66">
        <f t="shared" si="5"/>
        <v>0.38874304514329211</v>
      </c>
      <c r="I22" s="66">
        <f t="shared" si="5"/>
        <v>0.36639944584423684</v>
      </c>
      <c r="J22" s="66">
        <f t="shared" si="5"/>
        <v>0.36935486602190415</v>
      </c>
      <c r="K22" s="66">
        <f t="shared" si="5"/>
        <v>0.39219121269206819</v>
      </c>
      <c r="L22" s="66">
        <f t="shared" si="5"/>
        <v>0.3181701833149968</v>
      </c>
      <c r="M22" s="66">
        <f t="shared" si="5"/>
        <v>0.25877811031619635</v>
      </c>
      <c r="N22" s="66">
        <f t="shared" si="5"/>
        <v>0.32447272555649248</v>
      </c>
      <c r="O22" s="66">
        <f t="shared" si="5"/>
        <v>0.28270867769707475</v>
      </c>
      <c r="P22" s="66">
        <f t="shared" si="5"/>
        <v>0.30457897342991591</v>
      </c>
      <c r="Q22" s="66">
        <f t="shared" si="5"/>
        <v>0.29598481177470409</v>
      </c>
      <c r="R22" s="66">
        <f t="shared" si="5"/>
        <v>0.30725439079659611</v>
      </c>
      <c r="S22" s="66">
        <f t="shared" si="5"/>
        <v>0.28433042063146985</v>
      </c>
      <c r="T22" s="66">
        <f t="shared" si="5"/>
        <v>0.2698879048479913</v>
      </c>
      <c r="U22" s="66">
        <f t="shared" si="5"/>
        <v>0.25707733259144994</v>
      </c>
      <c r="V22" s="66">
        <f t="shared" si="5"/>
        <v>0.22708355001295952</v>
      </c>
      <c r="W22" s="66">
        <f t="shared" si="5"/>
        <v>0.18992138010711104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0.59972103342464012</v>
      </c>
      <c r="H23" s="67">
        <f t="shared" si="5"/>
        <v>0.61125695485670795</v>
      </c>
      <c r="I23" s="67">
        <f t="shared" si="5"/>
        <v>0.63360055415576311</v>
      </c>
      <c r="J23" s="67">
        <f t="shared" si="5"/>
        <v>0.63064513397809585</v>
      </c>
      <c r="K23" s="67">
        <f t="shared" si="5"/>
        <v>0.60780878730793175</v>
      </c>
      <c r="L23" s="67">
        <f t="shared" si="5"/>
        <v>0.6818298166850032</v>
      </c>
      <c r="M23" s="67">
        <f t="shared" si="5"/>
        <v>0.74122188968380365</v>
      </c>
      <c r="N23" s="67">
        <f t="shared" si="5"/>
        <v>0.67552727444350757</v>
      </c>
      <c r="O23" s="67">
        <f t="shared" si="5"/>
        <v>0.71729132230292525</v>
      </c>
      <c r="P23" s="67">
        <f t="shared" si="5"/>
        <v>0.6954210265700842</v>
      </c>
      <c r="Q23" s="67">
        <f t="shared" si="5"/>
        <v>0.70401518822529596</v>
      </c>
      <c r="R23" s="67">
        <f t="shared" si="5"/>
        <v>0.692745609203404</v>
      </c>
      <c r="S23" s="67">
        <f t="shared" si="5"/>
        <v>0.71566957936853004</v>
      </c>
      <c r="T23" s="67">
        <f t="shared" si="5"/>
        <v>0.7301120951520087</v>
      </c>
      <c r="U23" s="67">
        <f t="shared" si="5"/>
        <v>0.74292266740854995</v>
      </c>
      <c r="V23" s="67">
        <f t="shared" si="5"/>
        <v>0.77291644998704057</v>
      </c>
      <c r="W23" s="67">
        <f t="shared" si="5"/>
        <v>0.81007861989288898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21.228632846087699</v>
      </c>
      <c r="H3" s="62">
        <f t="shared" si="0"/>
        <v>28.948151332760101</v>
      </c>
      <c r="I3" s="62">
        <f t="shared" si="0"/>
        <v>48.192433361994844</v>
      </c>
      <c r="J3" s="62">
        <f t="shared" si="0"/>
        <v>65.803009458297495</v>
      </c>
      <c r="K3" s="62">
        <f t="shared" si="0"/>
        <v>32.460103181427343</v>
      </c>
      <c r="L3" s="62">
        <f t="shared" si="0"/>
        <v>18.679621668099738</v>
      </c>
      <c r="M3" s="62">
        <f t="shared" si="0"/>
        <v>32.405674978503868</v>
      </c>
      <c r="N3" s="62">
        <f t="shared" si="0"/>
        <v>50.05477214101461</v>
      </c>
      <c r="O3" s="62">
        <f t="shared" si="0"/>
        <v>60.844969905417017</v>
      </c>
      <c r="P3" s="62">
        <f t="shared" si="0"/>
        <v>56.898710232158209</v>
      </c>
      <c r="Q3" s="62">
        <f t="shared" si="0"/>
        <v>63.720722269991398</v>
      </c>
      <c r="R3" s="62">
        <f t="shared" si="0"/>
        <v>121.55064488392088</v>
      </c>
      <c r="S3" s="62">
        <f t="shared" si="0"/>
        <v>154.19406706792779</v>
      </c>
      <c r="T3" s="62">
        <f t="shared" si="0"/>
        <v>225.41092003439374</v>
      </c>
      <c r="U3" s="62">
        <f t="shared" si="0"/>
        <v>190.44746345657776</v>
      </c>
      <c r="V3" s="62">
        <f t="shared" si="0"/>
        <v>115.44995700773856</v>
      </c>
      <c r="W3" s="62">
        <f t="shared" si="0"/>
        <v>85.820722269991407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7.4330211187058008</v>
      </c>
      <c r="H4" s="71">
        <f t="shared" si="1"/>
        <v>10.062367695515793</v>
      </c>
      <c r="I4" s="71">
        <f t="shared" si="1"/>
        <v>16.051287662811976</v>
      </c>
      <c r="J4" s="71">
        <f t="shared" si="1"/>
        <v>21.92448386567435</v>
      </c>
      <c r="K4" s="71">
        <f t="shared" si="1"/>
        <v>11.121121458960452</v>
      </c>
      <c r="L4" s="71">
        <f t="shared" si="1"/>
        <v>5.2791113240393432</v>
      </c>
      <c r="M4" s="71">
        <f t="shared" si="1"/>
        <v>7.6299780890197901</v>
      </c>
      <c r="N4" s="71">
        <f t="shared" si="1"/>
        <v>14.279321350952715</v>
      </c>
      <c r="O4" s="71">
        <f t="shared" si="1"/>
        <v>15.310279179349461</v>
      </c>
      <c r="P4" s="71">
        <f t="shared" si="1"/>
        <v>15.312486746390267</v>
      </c>
      <c r="Q4" s="71">
        <f t="shared" si="1"/>
        <v>16.684386438916473</v>
      </c>
      <c r="R4" s="71">
        <f t="shared" si="1"/>
        <v>33.535784096767394</v>
      </c>
      <c r="S4" s="71">
        <f t="shared" si="1"/>
        <v>39.456248746939522</v>
      </c>
      <c r="T4" s="71">
        <f t="shared" si="1"/>
        <v>54.434856103774372</v>
      </c>
      <c r="U4" s="71">
        <f t="shared" si="1"/>
        <v>43.754152497625853</v>
      </c>
      <c r="V4" s="71">
        <f t="shared" si="1"/>
        <v>21.793789927968866</v>
      </c>
      <c r="W4" s="71">
        <f t="shared" si="1"/>
        <v>13.493165740818887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12.164946394159955</v>
      </c>
      <c r="U5" s="73">
        <v>17.258084656719163</v>
      </c>
      <c r="V5" s="73">
        <v>4.8628053045019399</v>
      </c>
      <c r="W5" s="73">
        <v>5.9023555335544025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7.4330211187058008</v>
      </c>
      <c r="H6" s="73">
        <v>10.062367695515793</v>
      </c>
      <c r="I6" s="73">
        <v>16.051287662811976</v>
      </c>
      <c r="J6" s="73">
        <v>21.92448386567435</v>
      </c>
      <c r="K6" s="73">
        <v>11.121121458960452</v>
      </c>
      <c r="L6" s="73">
        <v>5.2791113240393432</v>
      </c>
      <c r="M6" s="73">
        <v>7.6299780890197901</v>
      </c>
      <c r="N6" s="73">
        <v>14.279321350952715</v>
      </c>
      <c r="O6" s="73">
        <v>15.310279179349461</v>
      </c>
      <c r="P6" s="73">
        <v>15.312486746390267</v>
      </c>
      <c r="Q6" s="73">
        <v>16.684386438916473</v>
      </c>
      <c r="R6" s="73">
        <v>33.535784096767394</v>
      </c>
      <c r="S6" s="73">
        <v>39.456248746939522</v>
      </c>
      <c r="T6" s="73">
        <v>42.269909709614417</v>
      </c>
      <c r="U6" s="73">
        <v>26.49606784090669</v>
      </c>
      <c r="V6" s="73">
        <v>16.930984623466927</v>
      </c>
      <c r="W6" s="73">
        <v>7.5908102072644841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13.7956117273819</v>
      </c>
      <c r="H10" s="71">
        <f t="shared" si="2"/>
        <v>18.885783637244309</v>
      </c>
      <c r="I10" s="71">
        <f t="shared" si="2"/>
        <v>32.141145699182864</v>
      </c>
      <c r="J10" s="71">
        <f t="shared" si="2"/>
        <v>43.878525592623141</v>
      </c>
      <c r="K10" s="71">
        <f t="shared" si="2"/>
        <v>21.33898172246689</v>
      </c>
      <c r="L10" s="71">
        <f t="shared" si="2"/>
        <v>13.400510344060395</v>
      </c>
      <c r="M10" s="71">
        <f t="shared" si="2"/>
        <v>24.775696889484077</v>
      </c>
      <c r="N10" s="71">
        <f t="shared" si="2"/>
        <v>35.775450790061896</v>
      </c>
      <c r="O10" s="71">
        <f t="shared" si="2"/>
        <v>45.534690726067559</v>
      </c>
      <c r="P10" s="71">
        <f t="shared" si="2"/>
        <v>41.586223485767938</v>
      </c>
      <c r="Q10" s="71">
        <f t="shared" si="2"/>
        <v>47.036335831074922</v>
      </c>
      <c r="R10" s="71">
        <f t="shared" si="2"/>
        <v>88.014860787153495</v>
      </c>
      <c r="S10" s="71">
        <f t="shared" si="2"/>
        <v>114.73781832098825</v>
      </c>
      <c r="T10" s="71">
        <f t="shared" si="2"/>
        <v>170.97606393061938</v>
      </c>
      <c r="U10" s="71">
        <f t="shared" si="2"/>
        <v>146.69331095895191</v>
      </c>
      <c r="V10" s="71">
        <f t="shared" si="2"/>
        <v>93.656167079769688</v>
      </c>
      <c r="W10" s="71">
        <f t="shared" si="2"/>
        <v>72.327556529172526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7.5803674493482163</v>
      </c>
      <c r="U11" s="73">
        <v>11.485853434424429</v>
      </c>
      <c r="V11" s="73">
        <v>4.1612703618781115</v>
      </c>
      <c r="W11" s="73">
        <v>6.2830270975719973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13.7956117273819</v>
      </c>
      <c r="H12" s="73">
        <v>18.885783637244309</v>
      </c>
      <c r="I12" s="73">
        <v>32.141145699182864</v>
      </c>
      <c r="J12" s="73">
        <v>43.878525592623141</v>
      </c>
      <c r="K12" s="73">
        <v>21.33898172246689</v>
      </c>
      <c r="L12" s="73">
        <v>13.400510344060395</v>
      </c>
      <c r="M12" s="73">
        <v>24.775696889484077</v>
      </c>
      <c r="N12" s="73">
        <v>35.775450790061896</v>
      </c>
      <c r="O12" s="73">
        <v>45.534690726067559</v>
      </c>
      <c r="P12" s="73">
        <v>41.586223485767938</v>
      </c>
      <c r="Q12" s="73">
        <v>47.036335831074922</v>
      </c>
      <c r="R12" s="73">
        <v>88.014860787153495</v>
      </c>
      <c r="S12" s="73">
        <v>114.73781832098825</v>
      </c>
      <c r="T12" s="73">
        <v>163.39569648127116</v>
      </c>
      <c r="U12" s="73">
        <v>135.20745752452748</v>
      </c>
      <c r="V12" s="73">
        <v>89.494896717891578</v>
      </c>
      <c r="W12" s="73">
        <v>66.044529431600523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939.7142184459542</v>
      </c>
      <c r="H19" s="62">
        <f>IF(H3=0,0,H3/MBunk_act!H7*100)</f>
        <v>1072.7600611590142</v>
      </c>
      <c r="I19" s="62">
        <f>IF(I3=0,0,I3/MBunk_act!I7*100)</f>
        <v>1952.2013660261539</v>
      </c>
      <c r="J19" s="62">
        <f>IF(J3=0,0,J3/MBunk_act!J7*100)</f>
        <v>2591.3501481805456</v>
      </c>
      <c r="K19" s="62">
        <f>IF(K3=0,0,K3/MBunk_act!K7*100)</f>
        <v>1700.0043040152832</v>
      </c>
      <c r="L19" s="62">
        <f>IF(L3=0,0,L3/MBunk_act!L7*100)</f>
        <v>969.85152705902851</v>
      </c>
      <c r="M19" s="62">
        <f>IF(M3=0,0,M3/MBunk_act!M7*100)</f>
        <v>1597.7790312697589</v>
      </c>
      <c r="N19" s="62">
        <f>IF(N3=0,0,N3/MBunk_act!N7*100)</f>
        <v>2435.4720857775965</v>
      </c>
      <c r="O19" s="62">
        <f>IF(O3=0,0,O3/MBunk_act!O7*100)</f>
        <v>3276.0080496539053</v>
      </c>
      <c r="P19" s="62">
        <f>IF(P3=0,0,P3/MBunk_act!P7*100)</f>
        <v>2811.8206992330433</v>
      </c>
      <c r="Q19" s="62">
        <f>IF(Q3=0,0,Q3/MBunk_act!Q7*100)</f>
        <v>3128.4092508934864</v>
      </c>
      <c r="R19" s="62">
        <f>IF(R3=0,0,R3/MBunk_act!R7*100)</f>
        <v>5452.0804761348118</v>
      </c>
      <c r="S19" s="62">
        <f>IF(S3=0,0,S3/MBunk_act!S7*100)</f>
        <v>6579.2472261316161</v>
      </c>
      <c r="T19" s="62">
        <f>IF(T3=0,0,T3/MBunk_act!T7*100)</f>
        <v>9091.9619105745078</v>
      </c>
      <c r="U19" s="62">
        <f>IF(U3=0,0,U3/MBunk_act!U7*100)</f>
        <v>8772.132181905341</v>
      </c>
      <c r="V19" s="62">
        <f>IF(V3=0,0,V3/MBunk_act!V7*100)</f>
        <v>6353.1818478734895</v>
      </c>
      <c r="W19" s="62">
        <f>IF(W3=0,0,W3/MBunk_act!W7*100)</f>
        <v>4422.3739873632785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822.00861472155418</v>
      </c>
      <c r="H20" s="63">
        <f>IF(H4=0,0,H4/MBunk_act!H8*100)</f>
        <v>959.22240196411224</v>
      </c>
      <c r="I20" s="63">
        <f>IF(I4=0,0,I4/MBunk_act!I8*100)</f>
        <v>1774.6014280594466</v>
      </c>
      <c r="J20" s="63">
        <f>IF(J4=0,0,J4/MBunk_act!J8*100)</f>
        <v>2337.5768449885491</v>
      </c>
      <c r="K20" s="63">
        <f>IF(K4=0,0,K4/MBunk_act!K8*100)</f>
        <v>1485.083421885472</v>
      </c>
      <c r="L20" s="63">
        <f>IF(L4=0,0,L4/MBunk_act!L8*100)</f>
        <v>861.46675109363377</v>
      </c>
      <c r="M20" s="63">
        <f>IF(M4=0,0,M4/MBunk_act!M8*100)</f>
        <v>1453.7555947877645</v>
      </c>
      <c r="N20" s="63">
        <f>IF(N4=0,0,N4/MBunk_act!N8*100)</f>
        <v>2141.2483337736071</v>
      </c>
      <c r="O20" s="63">
        <f>IF(O4=0,0,O4/MBunk_act!O8*100)</f>
        <v>2915.8437660643608</v>
      </c>
      <c r="P20" s="63">
        <f>IF(P4=0,0,P4/MBunk_act!P8*100)</f>
        <v>2484.4542789260117</v>
      </c>
      <c r="Q20" s="63">
        <f>IF(Q4=0,0,Q4/MBunk_act!Q8*100)</f>
        <v>2767.4748685324748</v>
      </c>
      <c r="R20" s="63">
        <f>IF(R4=0,0,R4/MBunk_act!R8*100)</f>
        <v>4895.7063165714944</v>
      </c>
      <c r="S20" s="63">
        <f>IF(S4=0,0,S4/MBunk_act!S8*100)</f>
        <v>5921.0810747408004</v>
      </c>
      <c r="T20" s="63">
        <f>IF(T4=0,0,T4/MBunk_act!T8*100)</f>
        <v>8135.3513377781655</v>
      </c>
      <c r="U20" s="63">
        <f>IF(U4=0,0,U4/MBunk_act!U8*100)</f>
        <v>7839.4476710765002</v>
      </c>
      <c r="V20" s="63">
        <f>IF(V4=0,0,V4/MBunk_act!V8*100)</f>
        <v>5281.3457039201812</v>
      </c>
      <c r="W20" s="63">
        <f>IF(W4=0,0,W4/MBunk_act!W8*100)</f>
        <v>3661.030095565709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1018.2758742709741</v>
      </c>
      <c r="H21" s="64">
        <f>IF(H10=0,0,H10/MBunk_act!H9*100)</f>
        <v>1144.9669702553929</v>
      </c>
      <c r="I21" s="64">
        <f>IF(I10=0,0,I10/MBunk_act!I9*100)</f>
        <v>2054.9041152995942</v>
      </c>
      <c r="J21" s="64">
        <f>IF(J10=0,0,J10/MBunk_act!J9*100)</f>
        <v>2739.9795426692558</v>
      </c>
      <c r="K21" s="64">
        <f>IF(K10=0,0,K10/MBunk_act!K9*100)</f>
        <v>1838.6829199804656</v>
      </c>
      <c r="L21" s="64">
        <f>IF(L10=0,0,L10/MBunk_act!L9*100)</f>
        <v>1020.4283765801108</v>
      </c>
      <c r="M21" s="64">
        <f>IF(M10=0,0,M10/MBunk_act!M9*100)</f>
        <v>1648.0610227392151</v>
      </c>
      <c r="N21" s="64">
        <f>IF(N10=0,0,N10/MBunk_act!N9*100)</f>
        <v>2576.795147551582</v>
      </c>
      <c r="O21" s="64">
        <f>IF(O10=0,0,O10/MBunk_act!O9*100)</f>
        <v>3417.9609287719841</v>
      </c>
      <c r="P21" s="64">
        <f>IF(P10=0,0,P10/MBunk_act!P9*100)</f>
        <v>2955.1999247999206</v>
      </c>
      <c r="Q21" s="64">
        <f>IF(Q10=0,0,Q10/MBunk_act!Q9*100)</f>
        <v>3280.1546919193343</v>
      </c>
      <c r="R21" s="64">
        <f>IF(R10=0,0,R10/MBunk_act!R9*100)</f>
        <v>5698.8498546490546</v>
      </c>
      <c r="S21" s="64">
        <f>IF(S10=0,0,S10/MBunk_act!S9*100)</f>
        <v>6840.7319448693688</v>
      </c>
      <c r="T21" s="64">
        <f>IF(T10=0,0,T10/MBunk_act!T9*100)</f>
        <v>9445.5755884765167</v>
      </c>
      <c r="U21" s="64">
        <f>IF(U10=0,0,U10/MBunk_act!U9*100)</f>
        <v>9094.8737763025201</v>
      </c>
      <c r="V21" s="64">
        <f>IF(V10=0,0,V10/MBunk_act!V9*100)</f>
        <v>6668.0882735359246</v>
      </c>
      <c r="W21" s="64">
        <f>IF(W10=0,0,W10/MBunk_act!W9*100)</f>
        <v>4600.8696038571852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0.55621458574994931</v>
      </c>
      <c r="H23" s="62">
        <f>IF(H3=0,0,H3/MBunk_act!H3*1000)</f>
        <v>0.59336564455019714</v>
      </c>
      <c r="I23" s="62">
        <f>IF(I3=0,0,I3/MBunk_act!I3*1000)</f>
        <v>0.93967086318093318</v>
      </c>
      <c r="J23" s="62">
        <f>IF(J3=0,0,J3/MBunk_act!J3*1000)</f>
        <v>1.1864155985616864</v>
      </c>
      <c r="K23" s="62">
        <f>IF(K3=0,0,K3/MBunk_act!K3*1000)</f>
        <v>0.76069981762777228</v>
      </c>
      <c r="L23" s="62">
        <f>IF(L3=0,0,L3/MBunk_act!L3*1000)</f>
        <v>0.3781935830183708</v>
      </c>
      <c r="M23" s="62">
        <f>IF(M3=0,0,M3/MBunk_act!M3*1000)</f>
        <v>0.54516451741972805</v>
      </c>
      <c r="N23" s="62">
        <f>IF(N3=0,0,N3/MBunk_act!N3*1000)</f>
        <v>0.85970255879445834</v>
      </c>
      <c r="O23" s="62">
        <f>IF(O3=0,0,O3/MBunk_act!O3*1000)</f>
        <v>1.0865000552149087</v>
      </c>
      <c r="P23" s="62">
        <f>IF(P3=0,0,P3/MBunk_act!P3*1000)</f>
        <v>0.94691090067421502</v>
      </c>
      <c r="Q23" s="62">
        <f>IF(Q3=0,0,Q3/MBunk_act!Q3*1000)</f>
        <v>0.96773705343272787</v>
      </c>
      <c r="R23" s="62">
        <f>IF(R3=0,0,R3/MBunk_act!R3*1000)</f>
        <v>1.7315226602098246</v>
      </c>
      <c r="S23" s="62">
        <f>IF(S3=0,0,S3/MBunk_act!S3*1000)</f>
        <v>1.9484154069655943</v>
      </c>
      <c r="T23" s="62">
        <f>IF(T3=0,0,T3/MBunk_act!T3*1000)</f>
        <v>2.5415416806259357</v>
      </c>
      <c r="U23" s="62">
        <f>IF(U3=0,0,U3/MBunk_act!U3*1000)</f>
        <v>2.3598502233719181</v>
      </c>
      <c r="V23" s="62">
        <f>IF(V3=0,0,V3/MBunk_act!V3*1000)</f>
        <v>1.6800601090645118</v>
      </c>
      <c r="W23" s="62">
        <f>IF(W3=0,0,W3/MBunk_act!W3*1000)</f>
        <v>1.0864134842937407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1.2169352236873503</v>
      </c>
      <c r="H24" s="63">
        <f>IF(H4=0,0,H4/MBunk_act!H4*1000)</f>
        <v>1.2911886586585146</v>
      </c>
      <c r="I24" s="63">
        <f>IF(I4=0,0,I4/MBunk_act!I4*1000)</f>
        <v>2.138141742876126</v>
      </c>
      <c r="J24" s="63">
        <f>IF(J4=0,0,J4/MBunk_act!J4*1000)</f>
        <v>2.7217079768535704</v>
      </c>
      <c r="K24" s="63">
        <f>IF(K4=0,0,K4/MBunk_act!K4*1000)</f>
        <v>1.7249148375967884</v>
      </c>
      <c r="L24" s="63">
        <f>IF(L4=0,0,L4/MBunk_act!L4*1000)</f>
        <v>0.99016123953142554</v>
      </c>
      <c r="M24" s="63">
        <f>IF(M4=0,0,M4/MBunk_act!M4*1000)</f>
        <v>1.5710627913426771</v>
      </c>
      <c r="N24" s="63">
        <f>IF(N4=0,0,N4/MBunk_act!N4*1000)</f>
        <v>2.2592684284640163</v>
      </c>
      <c r="O24" s="63">
        <f>IF(O4=0,0,O4/MBunk_act!O4*1000)</f>
        <v>3.0603771767552366</v>
      </c>
      <c r="P24" s="63">
        <f>IF(P4=0,0,P4/MBunk_act!P4*1000)</f>
        <v>2.562138194497332</v>
      </c>
      <c r="Q24" s="63">
        <f>IF(Q4=0,0,Q4/MBunk_act!Q4*1000)</f>
        <v>2.6613274187096696</v>
      </c>
      <c r="R24" s="63">
        <f>IF(R4=0,0,R4/MBunk_act!R4*1000)</f>
        <v>4.5695664089097088</v>
      </c>
      <c r="S24" s="63">
        <f>IF(S4=0,0,S4/MBunk_act!S4*1000)</f>
        <v>5.3767775404737392</v>
      </c>
      <c r="T24" s="63">
        <f>IF(T4=0,0,T4/MBunk_act!T4*1000)</f>
        <v>7.2402393573801209</v>
      </c>
      <c r="U24" s="63">
        <f>IF(U4=0,0,U4/MBunk_act!U4*1000)</f>
        <v>6.9453145873477808</v>
      </c>
      <c r="V24" s="63">
        <f>IF(V4=0,0,V4/MBunk_act!V4*1000)</f>
        <v>4.3645937643261847</v>
      </c>
      <c r="W24" s="63">
        <f>IF(W4=0,0,W4/MBunk_act!W4*1000)</f>
        <v>3.2019780990665154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0.4303291292044783</v>
      </c>
      <c r="H25" s="64">
        <f>IF(H10=0,0,H10/MBunk_act!H5*1000)</f>
        <v>0.46070462494134901</v>
      </c>
      <c r="I25" s="64">
        <f>IF(I10=0,0,I10/MBunk_act!I5*1000)</f>
        <v>0.73416168086830558</v>
      </c>
      <c r="J25" s="64">
        <f>IF(J10=0,0,J10/MBunk_act!J5*1000)</f>
        <v>0.92554531658937411</v>
      </c>
      <c r="K25" s="64">
        <f>IF(K10=0,0,K10/MBunk_act!K5*1000)</f>
        <v>0.58908368168076464</v>
      </c>
      <c r="L25" s="64">
        <f>IF(L10=0,0,L10/MBunk_act!L5*1000)</f>
        <v>0.30414144046351838</v>
      </c>
      <c r="M25" s="64">
        <f>IF(M10=0,0,M10/MBunk_act!M5*1000)</f>
        <v>0.45388838372282719</v>
      </c>
      <c r="N25" s="64">
        <f>IF(N10=0,0,N10/MBunk_act!N5*1000)</f>
        <v>0.68927479049002283</v>
      </c>
      <c r="O25" s="64">
        <f>IF(O10=0,0,O10/MBunk_act!O5*1000)</f>
        <v>0.89286950920617147</v>
      </c>
      <c r="P25" s="64">
        <f>IF(P10=0,0,P10/MBunk_act!P5*1000)</f>
        <v>0.76851672872141008</v>
      </c>
      <c r="Q25" s="64">
        <f>IF(Q10=0,0,Q10/MBunk_act!Q5*1000)</f>
        <v>0.7895197653809245</v>
      </c>
      <c r="R25" s="64">
        <f>IF(R10=0,0,R10/MBunk_act!R5*1000)</f>
        <v>1.4001781081415579</v>
      </c>
      <c r="S25" s="64">
        <f>IF(S10=0,0,S10/MBunk_act!S5*1000)</f>
        <v>1.5980215668387343</v>
      </c>
      <c r="T25" s="64">
        <f>IF(T10=0,0,T10/MBunk_act!T5*1000)</f>
        <v>2.1063364667391475</v>
      </c>
      <c r="U25" s="64">
        <f>IF(U10=0,0,U10/MBunk_act!U5*1000)</f>
        <v>1.971594427214679</v>
      </c>
      <c r="V25" s="64">
        <f>IF(V10=0,0,V10/MBunk_act!V5*1000)</f>
        <v>1.4697056302741065</v>
      </c>
      <c r="W25" s="64">
        <f>IF(W10=0,0,W10/MBunk_act!W5*1000)</f>
        <v>0.96719782374152619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0.35014130078921496</v>
      </c>
      <c r="H28" s="77">
        <f t="shared" si="3"/>
        <v>0.34759966465037762</v>
      </c>
      <c r="I28" s="77">
        <f t="shared" si="3"/>
        <v>0.33306655304669097</v>
      </c>
      <c r="J28" s="77">
        <f t="shared" si="3"/>
        <v>0.3331836043086896</v>
      </c>
      <c r="K28" s="77">
        <f t="shared" si="3"/>
        <v>0.34260893740238052</v>
      </c>
      <c r="L28" s="77">
        <f t="shared" si="3"/>
        <v>0.28261339645089195</v>
      </c>
      <c r="M28" s="77">
        <f t="shared" si="3"/>
        <v>0.2354519106323536</v>
      </c>
      <c r="N28" s="77">
        <f t="shared" si="3"/>
        <v>0.28527392574528004</v>
      </c>
      <c r="O28" s="77">
        <f t="shared" si="3"/>
        <v>0.25162768924282747</v>
      </c>
      <c r="P28" s="77">
        <f t="shared" si="3"/>
        <v>0.26911834528255973</v>
      </c>
      <c r="Q28" s="77">
        <f t="shared" si="3"/>
        <v>0.26183611617305552</v>
      </c>
      <c r="R28" s="77">
        <f t="shared" si="3"/>
        <v>0.27589968057177799</v>
      </c>
      <c r="S28" s="77">
        <f t="shared" si="3"/>
        <v>0.25588694492089431</v>
      </c>
      <c r="T28" s="77">
        <f t="shared" si="3"/>
        <v>0.24149165486511731</v>
      </c>
      <c r="U28" s="77">
        <f t="shared" si="3"/>
        <v>0.22974394987204358</v>
      </c>
      <c r="V28" s="77">
        <f t="shared" si="3"/>
        <v>0.18877261189892031</v>
      </c>
      <c r="W28" s="77">
        <f t="shared" si="3"/>
        <v>0.15722503125025539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0.6498586992107851</v>
      </c>
      <c r="H29" s="78">
        <f t="shared" si="4"/>
        <v>0.65240033534962238</v>
      </c>
      <c r="I29" s="78">
        <f t="shared" si="4"/>
        <v>0.66693344695330892</v>
      </c>
      <c r="J29" s="78">
        <f t="shared" si="4"/>
        <v>0.66681639569131035</v>
      </c>
      <c r="K29" s="78">
        <f t="shared" si="4"/>
        <v>0.65739106259761948</v>
      </c>
      <c r="L29" s="78">
        <f t="shared" si="4"/>
        <v>0.71738660354910799</v>
      </c>
      <c r="M29" s="78">
        <f t="shared" si="4"/>
        <v>0.7645480893676464</v>
      </c>
      <c r="N29" s="78">
        <f t="shared" si="4"/>
        <v>0.71472607425472001</v>
      </c>
      <c r="O29" s="78">
        <f t="shared" si="4"/>
        <v>0.74837231075717259</v>
      </c>
      <c r="P29" s="78">
        <f t="shared" si="4"/>
        <v>0.73088165471744027</v>
      </c>
      <c r="Q29" s="78">
        <f t="shared" si="4"/>
        <v>0.73816388382694442</v>
      </c>
      <c r="R29" s="78">
        <f t="shared" si="4"/>
        <v>0.72410031942822206</v>
      </c>
      <c r="S29" s="78">
        <f t="shared" si="4"/>
        <v>0.74411305507910563</v>
      </c>
      <c r="T29" s="78">
        <f t="shared" si="4"/>
        <v>0.75850834513488274</v>
      </c>
      <c r="U29" s="78">
        <f t="shared" si="4"/>
        <v>0.77025605012795639</v>
      </c>
      <c r="V29" s="78">
        <f t="shared" si="4"/>
        <v>0.81122738810107964</v>
      </c>
      <c r="W29" s="78">
        <f t="shared" si="4"/>
        <v>0.84277496874974467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68.793150960000006</v>
      </c>
      <c r="H3" s="62">
        <f t="shared" si="1"/>
        <v>93.808892880000002</v>
      </c>
      <c r="I3" s="62">
        <f t="shared" si="1"/>
        <v>156.17158992</v>
      </c>
      <c r="J3" s="62">
        <f t="shared" si="1"/>
        <v>213.24012696</v>
      </c>
      <c r="K3" s="62">
        <f t="shared" si="1"/>
        <v>105.18966504000002</v>
      </c>
      <c r="L3" s="62">
        <f t="shared" si="1"/>
        <v>60.532868159999992</v>
      </c>
      <c r="M3" s="62">
        <f t="shared" si="1"/>
        <v>105.01328592000002</v>
      </c>
      <c r="N3" s="62">
        <f t="shared" si="1"/>
        <v>162.20665368000004</v>
      </c>
      <c r="O3" s="62">
        <f t="shared" si="1"/>
        <v>197.17318727999998</v>
      </c>
      <c r="P3" s="62">
        <f t="shared" si="1"/>
        <v>184.38500448000002</v>
      </c>
      <c r="Q3" s="62">
        <f t="shared" si="1"/>
        <v>206.49230208000006</v>
      </c>
      <c r="R3" s="62">
        <f t="shared" si="1"/>
        <v>393.89497776000007</v>
      </c>
      <c r="S3" s="62">
        <f t="shared" si="1"/>
        <v>499.67870328000015</v>
      </c>
      <c r="T3" s="62">
        <f t="shared" si="1"/>
        <v>727.73474111999997</v>
      </c>
      <c r="U3" s="62">
        <f t="shared" si="1"/>
        <v>613.18946159999996</v>
      </c>
      <c r="V3" s="62">
        <f t="shared" si="1"/>
        <v>372.8783851199999</v>
      </c>
      <c r="W3" s="62">
        <f t="shared" si="1"/>
        <v>276.42560472000002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24.087323362523225</v>
      </c>
      <c r="H4" s="63">
        <v>32.6079397063112</v>
      </c>
      <c r="I4" s="63">
        <v>52.015533138475753</v>
      </c>
      <c r="J4" s="63">
        <v>71.048114083775374</v>
      </c>
      <c r="K4" s="63">
        <v>36.038919365066739</v>
      </c>
      <c r="L4" s="63">
        <v>17.107399467611653</v>
      </c>
      <c r="M4" s="63">
        <v>24.725578811645644</v>
      </c>
      <c r="N4" s="63">
        <v>46.273328877298688</v>
      </c>
      <c r="O4" s="63">
        <v>49.614233495909659</v>
      </c>
      <c r="P4" s="63">
        <v>49.621387300574973</v>
      </c>
      <c r="Q4" s="63">
        <v>54.067142396260564</v>
      </c>
      <c r="R4" s="63">
        <v>108.67549854281161</v>
      </c>
      <c r="S4" s="63">
        <v>127.8612568243533</v>
      </c>
      <c r="T4" s="63">
        <v>174.71991766472743</v>
      </c>
      <c r="U4" s="63">
        <v>139.40451860229959</v>
      </c>
      <c r="V4" s="63">
        <v>69.952722927691795</v>
      </c>
      <c r="W4" s="63">
        <v>42.91023080363302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44.705827597476777</v>
      </c>
      <c r="H5" s="64">
        <v>61.200953173688809</v>
      </c>
      <c r="I5" s="64">
        <v>104.15605678152426</v>
      </c>
      <c r="J5" s="64">
        <v>142.19201287622462</v>
      </c>
      <c r="K5" s="64">
        <v>69.150745674933276</v>
      </c>
      <c r="L5" s="64">
        <v>43.425468692388343</v>
      </c>
      <c r="M5" s="64">
        <v>80.287707108354368</v>
      </c>
      <c r="N5" s="64">
        <v>115.93332480270135</v>
      </c>
      <c r="O5" s="64">
        <v>147.55895378409033</v>
      </c>
      <c r="P5" s="64">
        <v>134.76361717942504</v>
      </c>
      <c r="Q5" s="64">
        <v>152.42515968373948</v>
      </c>
      <c r="R5" s="64">
        <v>285.21947921718845</v>
      </c>
      <c r="S5" s="64">
        <v>371.81744645564686</v>
      </c>
      <c r="T5" s="64">
        <v>553.01482345527256</v>
      </c>
      <c r="U5" s="64">
        <v>473.7849429977004</v>
      </c>
      <c r="V5" s="64">
        <v>302.9256621923081</v>
      </c>
      <c r="W5" s="64">
        <v>233.51537391636703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3.240583200000001</v>
      </c>
      <c r="H9" s="79">
        <f>IF(H3=0,0,H3/MBunk_ene!H3)</f>
        <v>3.2405832000000001</v>
      </c>
      <c r="I9" s="79">
        <f>IF(I3=0,0,I3/MBunk_ene!I3)</f>
        <v>3.2405831999999997</v>
      </c>
      <c r="J9" s="79">
        <f>IF(J3=0,0,J3/MBunk_ene!J3)</f>
        <v>3.2405832000000006</v>
      </c>
      <c r="K9" s="79">
        <f>IF(K3=0,0,K3/MBunk_ene!K3)</f>
        <v>3.2405832000000006</v>
      </c>
      <c r="L9" s="79">
        <f>IF(L3=0,0,L3/MBunk_ene!L3)</f>
        <v>3.2405832000000001</v>
      </c>
      <c r="M9" s="79">
        <f>IF(M3=0,0,M3/MBunk_ene!M3)</f>
        <v>3.2405832000000006</v>
      </c>
      <c r="N9" s="79">
        <f>IF(N3=0,0,N3/MBunk_ene!N3)</f>
        <v>3.2405832000000014</v>
      </c>
      <c r="O9" s="79">
        <f>IF(O3=0,0,O3/MBunk_ene!O3)</f>
        <v>3.2405832000000001</v>
      </c>
      <c r="P9" s="79">
        <f>IF(P3=0,0,P3/MBunk_ene!P3)</f>
        <v>3.2405832000000006</v>
      </c>
      <c r="Q9" s="79">
        <f>IF(Q3=0,0,Q3/MBunk_ene!Q3)</f>
        <v>3.240583200000001</v>
      </c>
      <c r="R9" s="79">
        <f>IF(R3=0,0,R3/MBunk_ene!R3)</f>
        <v>3.240583200000001</v>
      </c>
      <c r="S9" s="79">
        <f>IF(S3=0,0,S3/MBunk_ene!S3)</f>
        <v>3.2405832000000006</v>
      </c>
      <c r="T9" s="79">
        <f>IF(T3=0,0,T3/MBunk_ene!T3)</f>
        <v>3.2284804170488299</v>
      </c>
      <c r="U9" s="79">
        <f>IF(U3=0,0,U3/MBunk_ene!U3)</f>
        <v>3.219730262985665</v>
      </c>
      <c r="V9" s="79">
        <f>IF(V3=0,0,V3/MBunk_ene!V3)</f>
        <v>3.2297836637133268</v>
      </c>
      <c r="W9" s="79">
        <f>IF(W3=0,0,W3/MBunk_ene!W3)</f>
        <v>3.2209657225951438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3.2405832000000001</v>
      </c>
      <c r="H10" s="80">
        <f>IF(H4=0,0,H4/MBunk_ene!H4)</f>
        <v>3.2405832000000006</v>
      </c>
      <c r="I10" s="80">
        <f>IF(I4=0,0,I4/MBunk_ene!I4)</f>
        <v>3.2405831999999997</v>
      </c>
      <c r="J10" s="80">
        <f>IF(J4=0,0,J4/MBunk_ene!J4)</f>
        <v>3.240583200000001</v>
      </c>
      <c r="K10" s="80">
        <f>IF(K4=0,0,K4/MBunk_ene!K4)</f>
        <v>3.2405832000000006</v>
      </c>
      <c r="L10" s="80">
        <f>IF(L4=0,0,L4/MBunk_ene!L4)</f>
        <v>3.2405832000000001</v>
      </c>
      <c r="M10" s="80">
        <f>IF(M4=0,0,M4/MBunk_ene!M4)</f>
        <v>3.240583200000001</v>
      </c>
      <c r="N10" s="80">
        <f>IF(N4=0,0,N4/MBunk_ene!N4)</f>
        <v>3.240583200000001</v>
      </c>
      <c r="O10" s="80">
        <f>IF(O4=0,0,O4/MBunk_ene!O4)</f>
        <v>3.2405832000000006</v>
      </c>
      <c r="P10" s="80">
        <f>IF(P4=0,0,P4/MBunk_ene!P4)</f>
        <v>3.240583200000001</v>
      </c>
      <c r="Q10" s="80">
        <f>IF(Q4=0,0,Q4/MBunk_ene!Q4)</f>
        <v>3.240583200000001</v>
      </c>
      <c r="R10" s="80">
        <f>IF(R4=0,0,R4/MBunk_ene!R4)</f>
        <v>3.2405832000000006</v>
      </c>
      <c r="S10" s="80">
        <f>IF(S4=0,0,S4/MBunk_ene!S4)</f>
        <v>3.240583200000001</v>
      </c>
      <c r="T10" s="80">
        <f>IF(T4=0,0,T4/MBunk_ene!T4)</f>
        <v>3.2097066139321124</v>
      </c>
      <c r="U10" s="80">
        <f>IF(U4=0,0,U4/MBunk_ene!U4)</f>
        <v>3.1860865916638157</v>
      </c>
      <c r="V10" s="80">
        <f>IF(V4=0,0,V4/MBunk_ene!V4)</f>
        <v>3.2097548502988271</v>
      </c>
      <c r="W10" s="80">
        <f>IF(W4=0,0,W4/MBunk_ene!W4)</f>
        <v>3.1801455364787392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3.240583200000001</v>
      </c>
      <c r="H11" s="81">
        <f>IF(H5=0,0,H5/MBunk_ene!H10)</f>
        <v>3.2405832000000006</v>
      </c>
      <c r="I11" s="81">
        <f>IF(I5=0,0,I5/MBunk_ene!I10)</f>
        <v>3.2405832000000006</v>
      </c>
      <c r="J11" s="81">
        <f>IF(J5=0,0,J5/MBunk_ene!J10)</f>
        <v>3.2405832000000006</v>
      </c>
      <c r="K11" s="81">
        <f>IF(K5=0,0,K5/MBunk_ene!K10)</f>
        <v>3.2405832000000006</v>
      </c>
      <c r="L11" s="81">
        <f>IF(L5=0,0,L5/MBunk_ene!L10)</f>
        <v>3.2405832000000006</v>
      </c>
      <c r="M11" s="81">
        <f>IF(M5=0,0,M5/MBunk_ene!M10)</f>
        <v>3.2405832000000006</v>
      </c>
      <c r="N11" s="81">
        <f>IF(N5=0,0,N5/MBunk_ene!N10)</f>
        <v>3.240583200000001</v>
      </c>
      <c r="O11" s="81">
        <f>IF(O5=0,0,O5/MBunk_ene!O10)</f>
        <v>3.2405832000000001</v>
      </c>
      <c r="P11" s="81">
        <f>IF(P5=0,0,P5/MBunk_ene!P10)</f>
        <v>3.2405832000000006</v>
      </c>
      <c r="Q11" s="81">
        <f>IF(Q5=0,0,Q5/MBunk_ene!Q10)</f>
        <v>3.240583200000001</v>
      </c>
      <c r="R11" s="81">
        <f>IF(R5=0,0,R5/MBunk_ene!R10)</f>
        <v>3.2405832000000006</v>
      </c>
      <c r="S11" s="81">
        <f>IF(S5=0,0,S5/MBunk_ene!S10)</f>
        <v>3.240583200000001</v>
      </c>
      <c r="T11" s="81">
        <f>IF(T5=0,0,T5/MBunk_ene!T10)</f>
        <v>3.2344575652395489</v>
      </c>
      <c r="U11" s="81">
        <f>IF(U5=0,0,U5/MBunk_ene!U10)</f>
        <v>3.2297651467576194</v>
      </c>
      <c r="V11" s="81">
        <f>IF(V5=0,0,V5/MBunk_ene!V10)</f>
        <v>3.2344443685624831</v>
      </c>
      <c r="W11" s="81">
        <f>IF(W5=0,0,W5/MBunk_ene!W10)</f>
        <v>3.2285809879693801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3045.2221090970907</v>
      </c>
      <c r="H13" s="62">
        <f>IF(H3=0,0,H3/MBunk_act!H7*100)</f>
        <v>3476.3682318228748</v>
      </c>
      <c r="I13" s="62">
        <f>IF(I3=0,0,I3/MBunk_act!I7*100)</f>
        <v>6326.2709497614051</v>
      </c>
      <c r="J13" s="62">
        <f>IF(J3=0,0,J3/MBunk_act!J7*100)</f>
        <v>8397.4857555113886</v>
      </c>
      <c r="K13" s="62">
        <f>IF(K3=0,0,K3/MBunk_act!K7*100)</f>
        <v>5509.0053875196209</v>
      </c>
      <c r="L13" s="62">
        <f>IF(L3=0,0,L3/MBunk_act!L7*100)</f>
        <v>3142.8845650818334</v>
      </c>
      <c r="M13" s="62">
        <f>IF(M3=0,0,M3/MBunk_act!M7*100)</f>
        <v>5177.7358860450568</v>
      </c>
      <c r="N13" s="62">
        <f>IF(N3=0,0,N3/MBunk_act!N7*100)</f>
        <v>7892.3499252398415</v>
      </c>
      <c r="O13" s="62">
        <f>IF(O3=0,0,O3/MBunk_act!O7*100)</f>
        <v>10616.176648773211</v>
      </c>
      <c r="P13" s="62">
        <f>IF(P3=0,0,P3/MBunk_act!P7*100)</f>
        <v>9111.9389193468542</v>
      </c>
      <c r="Q13" s="62">
        <f>IF(Q3=0,0,Q3/MBunk_act!Q7*100)</f>
        <v>10137.870461170021</v>
      </c>
      <c r="R13" s="62">
        <f>IF(R3=0,0,R3/MBunk_act!R7*100)</f>
        <v>17667.920396010475</v>
      </c>
      <c r="S13" s="62">
        <f>IF(S3=0,0,S3/MBunk_act!S7*100)</f>
        <v>21320.598029648718</v>
      </c>
      <c r="T13" s="62">
        <f>IF(T3=0,0,T3/MBunk_act!T7*100)</f>
        <v>29353.220980843667</v>
      </c>
      <c r="U13" s="62">
        <f>IF(U3=0,0,U3/MBunk_act!U7*100)</f>
        <v>28243.899456991101</v>
      </c>
      <c r="V13" s="62">
        <f>IF(V3=0,0,V3/MBunk_act!V7*100)</f>
        <v>20519.402944861842</v>
      </c>
      <c r="W13" s="62">
        <f>IF(W3=0,0,W3/MBunk_act!W7*100)</f>
        <v>14244.315025793529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2663.7873071219415</v>
      </c>
      <c r="H14" s="63">
        <f>IF(H4=0,0,H4/MBunk_act!H8*100)</f>
        <v>3108.4400008685498</v>
      </c>
      <c r="I14" s="63">
        <f>IF(I4=0,0,I4/MBunk_act!I8*100)</f>
        <v>5750.7435744654513</v>
      </c>
      <c r="J14" s="63">
        <f>IF(J4=0,0,J4/MBunk_act!J8*100)</f>
        <v>7575.1122525788987</v>
      </c>
      <c r="K14" s="63">
        <f>IF(K4=0,0,K4/MBunk_act!K8*100)</f>
        <v>4812.5363875605744</v>
      </c>
      <c r="L14" s="63">
        <f>IF(L4=0,0,L4/MBunk_act!L8*100)</f>
        <v>2791.6546809526117</v>
      </c>
      <c r="M14" s="63">
        <f>IF(M4=0,0,M4/MBunk_act!M8*100)</f>
        <v>4711.0159573752389</v>
      </c>
      <c r="N14" s="63">
        <f>IF(N4=0,0,N4/MBunk_act!N8*100)</f>
        <v>6938.893377454745</v>
      </c>
      <c r="O14" s="63">
        <f>IF(O4=0,0,O4/MBunk_act!O8*100)</f>
        <v>9449.0343221329003</v>
      </c>
      <c r="P14" s="63">
        <f>IF(P4=0,0,P4/MBunk_act!P8*100)</f>
        <v>8051.0807974557511</v>
      </c>
      <c r="Q14" s="63">
        <f>IF(Q4=0,0,Q4/MBunk_act!Q8*100)</f>
        <v>8968.2325653885491</v>
      </c>
      <c r="R14" s="63">
        <f>IF(R4=0,0,R4/MBunk_act!R8*100)</f>
        <v>15864.943641615468</v>
      </c>
      <c r="S14" s="63">
        <f>IF(S4=0,0,S4/MBunk_act!S8*100)</f>
        <v>19187.755856642987</v>
      </c>
      <c r="T14" s="63">
        <f>IF(T4=0,0,T4/MBunk_act!T8*100)</f>
        <v>26112.090995528037</v>
      </c>
      <c r="U14" s="63">
        <f>IF(U4=0,0,U4/MBunk_act!U8*100)</f>
        <v>24977.159110866964</v>
      </c>
      <c r="V14" s="63">
        <f>IF(V4=0,0,V4/MBunk_act!V8*100)</f>
        <v>16951.824989262677</v>
      </c>
      <c r="W14" s="63">
        <f>IF(W4=0,0,W4/MBunk_act!W8*100)</f>
        <v>11642.608517327619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3299.8076911278317</v>
      </c>
      <c r="H15" s="64">
        <f>IF(H5=0,0,H5/MBunk_act!H9*100)</f>
        <v>3710.3607283645269</v>
      </c>
      <c r="I15" s="64">
        <f>IF(I5=0,0,I5/MBunk_act!I9*100)</f>
        <v>6659.0877536507296</v>
      </c>
      <c r="J15" s="64">
        <f>IF(J5=0,0,J5/MBunk_act!J9*100)</f>
        <v>8879.1316743176758</v>
      </c>
      <c r="K15" s="64">
        <f>IF(K5=0,0,K5/MBunk_act!K9*100)</f>
        <v>5958.4049806156418</v>
      </c>
      <c r="L15" s="64">
        <f>IF(L5=0,0,L5/MBunk_act!L9*100)</f>
        <v>3306.7830539487809</v>
      </c>
      <c r="M15" s="64">
        <f>IF(M5=0,0,M5/MBunk_act!M9*100)</f>
        <v>5340.6788628635195</v>
      </c>
      <c r="N15" s="64">
        <f>IF(N5=0,0,N5/MBunk_act!N9*100)</f>
        <v>8350.3190649971821</v>
      </c>
      <c r="O15" s="64">
        <f>IF(O5=0,0,O5/MBunk_act!O9*100)</f>
        <v>11076.18676403489</v>
      </c>
      <c r="P15" s="64">
        <f>IF(P5=0,0,P5/MBunk_act!P9*100)</f>
        <v>9576.571228947887</v>
      </c>
      <c r="Q15" s="64">
        <f>IF(Q5=0,0,Q5/MBunk_act!Q9*100)</f>
        <v>10629.614188034973</v>
      </c>
      <c r="R15" s="64">
        <f>IF(R5=0,0,R5/MBunk_act!R9*100)</f>
        <v>18467.597098298174</v>
      </c>
      <c r="S15" s="64">
        <f>IF(S5=0,0,S5/MBunk_act!S9*100)</f>
        <v>22167.961016247013</v>
      </c>
      <c r="T15" s="64">
        <f>IF(T5=0,0,T5/MBunk_act!T9*100)</f>
        <v>30551.313420189872</v>
      </c>
      <c r="U15" s="64">
        <f>IF(U5=0,0,U5/MBunk_act!U9*100)</f>
        <v>29374.30633686173</v>
      </c>
      <c r="V15" s="64">
        <f>IF(V5=0,0,V5/MBunk_act!V9*100)</f>
        <v>21567.560565415803</v>
      </c>
      <c r="W15" s="64">
        <f>IF(W5=0,0,W5/MBunk_act!W9*100)</f>
        <v>14854.280131139521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1.8024596421762458</v>
      </c>
      <c r="H17" s="62">
        <f>IF(H3=0,0,H3/MBunk_act!H3*1000)</f>
        <v>1.9228507391865406</v>
      </c>
      <c r="I17" s="62">
        <f>IF(I3=0,0,I3/MBunk_act!I3*1000)</f>
        <v>3.0450816127536307</v>
      </c>
      <c r="J17" s="62">
        <f>IF(J3=0,0,J3/MBunk_act!J3*1000)</f>
        <v>3.8446784569169461</v>
      </c>
      <c r="K17" s="62">
        <f>IF(K3=0,0,K3/MBunk_act!K3*1000)</f>
        <v>2.4651110492476231</v>
      </c>
      <c r="L17" s="62">
        <f>IF(L3=0,0,L3/MBunk_act!L3*1000)</f>
        <v>1.225567771477138</v>
      </c>
      <c r="M17" s="62">
        <f>IF(M3=0,0,M3/MBunk_act!M3*1000)</f>
        <v>1.7666509763864782</v>
      </c>
      <c r="N17" s="62">
        <f>IF(N3=0,0,N3/MBunk_act!N3*1000)</f>
        <v>2.7859376690263353</v>
      </c>
      <c r="O17" s="62">
        <f>IF(O3=0,0,O3/MBunk_act!O3*1000)</f>
        <v>3.5208938257285056</v>
      </c>
      <c r="P17" s="62">
        <f>IF(P3=0,0,P3/MBunk_act!P3*1000)</f>
        <v>3.0685435566217305</v>
      </c>
      <c r="Q17" s="62">
        <f>IF(Q3=0,0,Q3/MBunk_act!Q3*1000)</f>
        <v>3.1360324373716013</v>
      </c>
      <c r="R17" s="62">
        <f>IF(R3=0,0,R3/MBunk_act!R3*1000)</f>
        <v>5.6111432430952677</v>
      </c>
      <c r="S17" s="62">
        <f>IF(S3=0,0,S3/MBunk_act!S3*1000)</f>
        <v>6.3140022344338691</v>
      </c>
      <c r="T17" s="62">
        <f>IF(T3=0,0,T3/MBunk_act!T3*1000)</f>
        <v>8.2053175450142053</v>
      </c>
      <c r="U17" s="62">
        <f>IF(U3=0,0,U3/MBunk_act!U3*1000)</f>
        <v>7.598081180304046</v>
      </c>
      <c r="V17" s="62">
        <f>IF(V3=0,0,V3/MBunk_act!V3*1000)</f>
        <v>5.4262306943129905</v>
      </c>
      <c r="W17" s="62">
        <f>IF(W3=0,0,W3/MBunk_act!W3*1000)</f>
        <v>3.4993005934752972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3.9435798413694698</v>
      </c>
      <c r="H18" s="63">
        <f>IF(H4=0,0,H4/MBunk_act!H4*1000)</f>
        <v>4.1842042752793178</v>
      </c>
      <c r="I18" s="63">
        <f>IF(I4=0,0,I4/MBunk_act!I4*1000)</f>
        <v>6.9288262111830932</v>
      </c>
      <c r="J18" s="63">
        <f>IF(J4=0,0,J4/MBunk_act!J4*1000)</f>
        <v>8.8199211450976716</v>
      </c>
      <c r="K18" s="63">
        <f>IF(K4=0,0,K4/MBunk_act!K4*1000)</f>
        <v>5.5897300441468829</v>
      </c>
      <c r="L18" s="63">
        <f>IF(L4=0,0,L4/MBunk_act!L4*1000)</f>
        <v>3.2086998781167142</v>
      </c>
      <c r="M18" s="63">
        <f>IF(M4=0,0,M4/MBunk_act!M4*1000)</f>
        <v>5.0911596877701868</v>
      </c>
      <c r="N18" s="63">
        <f>IF(N4=0,0,N4/MBunk_act!N4*1000)</f>
        <v>7.3213473135708957</v>
      </c>
      <c r="O18" s="63">
        <f>IF(O4=0,0,O4/MBunk_act!O4*1000)</f>
        <v>9.9174068646564528</v>
      </c>
      <c r="P18" s="63">
        <f>IF(P4=0,0,P4/MBunk_act!P4*1000)</f>
        <v>8.3028219891663895</v>
      </c>
      <c r="Q18" s="63">
        <f>IF(Q4=0,0,Q4/MBunk_act!Q4*1000)</f>
        <v>8.6242529227699229</v>
      </c>
      <c r="R18" s="63">
        <f>IF(R4=0,0,R4/MBunk_act!R4*1000)</f>
        <v>14.808060135997135</v>
      </c>
      <c r="S18" s="63">
        <f>IF(S4=0,0,S4/MBunk_act!S4*1000)</f>
        <v>17.423894967796524</v>
      </c>
      <c r="T18" s="63">
        <f>IF(T4=0,0,T4/MBunk_act!T4*1000)</f>
        <v>23.239044151834563</v>
      </c>
      <c r="U18" s="63">
        <f>IF(U4=0,0,U4/MBunk_act!U4*1000)</f>
        <v>22.128373681635871</v>
      </c>
      <c r="V18" s="63">
        <f>IF(V4=0,0,V4/MBunk_act!V4*1000)</f>
        <v>14.009276004629989</v>
      </c>
      <c r="W18" s="63">
        <f>IF(W4=0,0,W4/MBunk_act!W4*1000)</f>
        <v>10.182756359649057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1.394517346570662</v>
      </c>
      <c r="H19" s="64">
        <f>IF(H5=0,0,H5/MBunk_act!H5*1000)</f>
        <v>1.4929516677472368</v>
      </c>
      <c r="I19" s="64">
        <f>IF(I5=0,0,I5/MBunk_act!I5*1000)</f>
        <v>2.3791120091055928</v>
      </c>
      <c r="J19" s="64">
        <f>IF(J5=0,0,J5/MBunk_act!J5*1000)</f>
        <v>2.9993066037782077</v>
      </c>
      <c r="K19" s="64">
        <f>IF(K5=0,0,K5/MBunk_act!K5*1000)</f>
        <v>1.908974682248834</v>
      </c>
      <c r="L19" s="64">
        <f>IF(L5=0,0,L5/MBunk_act!L5*1000)</f>
        <v>0.98559564238987796</v>
      </c>
      <c r="M19" s="64">
        <f>IF(M5=0,0,M5/MBunk_act!M5*1000)</f>
        <v>1.4708630709673471</v>
      </c>
      <c r="N19" s="64">
        <f>IF(N5=0,0,N5/MBunk_act!N5*1000)</f>
        <v>2.2336523062454887</v>
      </c>
      <c r="O19" s="64">
        <f>IF(O5=0,0,O5/MBunk_act!O5*1000)</f>
        <v>2.8934179313257649</v>
      </c>
      <c r="P19" s="64">
        <f>IF(P5=0,0,P5/MBunk_act!P5*1000)</f>
        <v>2.4904424000135594</v>
      </c>
      <c r="Q19" s="64">
        <f>IF(Q5=0,0,Q5/MBunk_act!Q5*1000)</f>
        <v>2.5585044877613665</v>
      </c>
      <c r="R19" s="64">
        <f>IF(R5=0,0,R5/MBunk_act!R5*1000)</f>
        <v>4.537393654251316</v>
      </c>
      <c r="S19" s="64">
        <f>IF(S5=0,0,S5/MBunk_act!S5*1000)</f>
        <v>5.1785218427352815</v>
      </c>
      <c r="T19" s="64">
        <f>IF(T5=0,0,T5/MBunk_act!T5*1000)</f>
        <v>6.8128559197843774</v>
      </c>
      <c r="U19" s="64">
        <f>IF(U5=0,0,U5/MBunk_act!U5*1000)</f>
        <v>6.3677869645595226</v>
      </c>
      <c r="V19" s="64">
        <f>IF(V5=0,0,V5/MBunk_act!V5*1000)</f>
        <v>4.753681099284659</v>
      </c>
      <c r="W19" s="64">
        <f>IF(W5=0,0,W5/MBunk_act!W5*1000)</f>
        <v>3.1226765053372509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0.35014130078921485</v>
      </c>
      <c r="H22" s="77">
        <f t="shared" si="2"/>
        <v>0.34759966465037767</v>
      </c>
      <c r="I22" s="77">
        <f t="shared" si="2"/>
        <v>0.33306655304669097</v>
      </c>
      <c r="J22" s="77">
        <f t="shared" si="2"/>
        <v>0.3331836043086896</v>
      </c>
      <c r="K22" s="77">
        <f t="shared" si="2"/>
        <v>0.34260893740238052</v>
      </c>
      <c r="L22" s="77">
        <f t="shared" si="2"/>
        <v>0.28261339645089195</v>
      </c>
      <c r="M22" s="77">
        <f t="shared" si="2"/>
        <v>0.23545191063235363</v>
      </c>
      <c r="N22" s="77">
        <f t="shared" si="2"/>
        <v>0.28527392574528004</v>
      </c>
      <c r="O22" s="77">
        <f t="shared" si="2"/>
        <v>0.25162768924282747</v>
      </c>
      <c r="P22" s="77">
        <f t="shared" si="2"/>
        <v>0.26911834528255973</v>
      </c>
      <c r="Q22" s="77">
        <f t="shared" si="2"/>
        <v>0.26183611617305552</v>
      </c>
      <c r="R22" s="77">
        <f t="shared" si="2"/>
        <v>0.27589968057177799</v>
      </c>
      <c r="S22" s="77">
        <f t="shared" si="2"/>
        <v>0.25588694492089437</v>
      </c>
      <c r="T22" s="77">
        <f t="shared" si="2"/>
        <v>0.24008736671802913</v>
      </c>
      <c r="U22" s="77">
        <f t="shared" si="2"/>
        <v>0.22734330469175107</v>
      </c>
      <c r="V22" s="77">
        <f t="shared" si="2"/>
        <v>0.18760197887356644</v>
      </c>
      <c r="W22" s="77">
        <f t="shared" si="2"/>
        <v>0.15523247510699348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0.6498586992107851</v>
      </c>
      <c r="H23" s="78">
        <f t="shared" si="2"/>
        <v>0.65240033534962238</v>
      </c>
      <c r="I23" s="78">
        <f t="shared" si="2"/>
        <v>0.66693344695330903</v>
      </c>
      <c r="J23" s="78">
        <f t="shared" si="2"/>
        <v>0.66681639569131035</v>
      </c>
      <c r="K23" s="78">
        <f t="shared" si="2"/>
        <v>0.65739106259761948</v>
      </c>
      <c r="L23" s="78">
        <f t="shared" si="2"/>
        <v>0.7173866035491081</v>
      </c>
      <c r="M23" s="78">
        <f t="shared" si="2"/>
        <v>0.76454808936764629</v>
      </c>
      <c r="N23" s="78">
        <f t="shared" si="2"/>
        <v>0.7147260742547199</v>
      </c>
      <c r="O23" s="78">
        <f t="shared" si="2"/>
        <v>0.74837231075717259</v>
      </c>
      <c r="P23" s="78">
        <f t="shared" si="2"/>
        <v>0.73088165471744015</v>
      </c>
      <c r="Q23" s="78">
        <f t="shared" si="2"/>
        <v>0.73816388382694442</v>
      </c>
      <c r="R23" s="78">
        <f t="shared" si="2"/>
        <v>0.72410031942822195</v>
      </c>
      <c r="S23" s="78">
        <f t="shared" si="2"/>
        <v>0.74411305507910563</v>
      </c>
      <c r="T23" s="78">
        <f t="shared" si="2"/>
        <v>0.7599126332819709</v>
      </c>
      <c r="U23" s="78">
        <f t="shared" si="2"/>
        <v>0.77265669530824899</v>
      </c>
      <c r="V23" s="78">
        <f t="shared" si="2"/>
        <v>0.81239802112643356</v>
      </c>
      <c r="W23" s="78">
        <f t="shared" si="2"/>
        <v>0.84476752489300666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A95DE7-8D90-4B60-9ADB-68AD722D40B0}"/>
</file>

<file path=customXml/itemProps2.xml><?xml version="1.0" encoding="utf-8"?>
<ds:datastoreItem xmlns:ds="http://schemas.openxmlformats.org/officeDocument/2006/customXml" ds:itemID="{724A8605-788B-4604-B727-B2DA8D0CEBDF}"/>
</file>

<file path=customXml/itemProps3.xml><?xml version="1.0" encoding="utf-8"?>
<ds:datastoreItem xmlns:ds="http://schemas.openxmlformats.org/officeDocument/2006/customXml" ds:itemID="{D8845FD5-3892-48F4-A772-58FB28084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2024-05-20T16:56:19Z</dcterms:created>
  <dcterms:modified xsi:type="dcterms:W3CDTF">2024-05-20T16:56:19Z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