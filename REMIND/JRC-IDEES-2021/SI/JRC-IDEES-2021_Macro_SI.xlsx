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SI\"/>
    </mc:Choice>
  </mc:AlternateContent>
  <bookViews>
    <workbookView xWindow="480" yWindow="120" windowWidth="27795" windowHeight="12075"/>
  </bookViews>
  <sheets>
    <sheet name="cover" sheetId="60" r:id="rId1"/>
    <sheet name="index" sheetId="4" r:id="rId2"/>
    <sheet name="Macro_CurrPrices" sheetId="57" r:id="rId3"/>
    <sheet name="Macro_euro2015" sheetId="55" r:id="rId4"/>
    <sheet name="Macro_JRC-IDEES" sheetId="59" r:id="rId5"/>
    <sheet name="definitions" sheetId="58" r:id="rId6"/>
  </sheets>
  <definedNames>
    <definedName name="_xlnm.Print_Area" localSheetId="5">definitions!$A$1:$D$112</definedName>
  </definedNames>
  <calcPr calcId="162913"/>
</workbook>
</file>

<file path=xl/calcChain.xml><?xml version="1.0" encoding="utf-8"?>
<calcChain xmlns="http://schemas.openxmlformats.org/spreadsheetml/2006/main">
  <c r="X12" i="59" l="1"/>
  <c r="P12" i="59"/>
  <c r="H12" i="59"/>
  <c r="O12" i="59"/>
  <c r="M12" i="59"/>
  <c r="J12" i="59"/>
  <c r="W12" i="59"/>
  <c r="W13" i="59" s="1"/>
  <c r="G12" i="59"/>
  <c r="Y12" i="59"/>
  <c r="V12" i="59"/>
  <c r="N12" i="59"/>
  <c r="F12" i="59"/>
  <c r="U12" i="59"/>
  <c r="U13" i="59" s="1"/>
  <c r="E12" i="59"/>
  <c r="Q12" i="59"/>
  <c r="T12" i="59"/>
  <c r="T13" i="59" s="1"/>
  <c r="L12" i="59"/>
  <c r="D12" i="59"/>
  <c r="S12" i="59"/>
  <c r="K12" i="59"/>
  <c r="R12" i="59"/>
  <c r="I12" i="59"/>
  <c r="U9" i="59"/>
  <c r="U10" i="59" s="1"/>
  <c r="M9" i="59"/>
  <c r="E9" i="59"/>
  <c r="T9" i="59"/>
  <c r="T10" i="59" s="1"/>
  <c r="D9" i="59"/>
  <c r="V9" i="59"/>
  <c r="V10" i="59" s="1"/>
  <c r="N9" i="59"/>
  <c r="L9" i="59"/>
  <c r="R9" i="59"/>
  <c r="J9" i="59"/>
  <c r="O9" i="59"/>
  <c r="G9" i="59"/>
  <c r="F9" i="59"/>
  <c r="S9" i="59"/>
  <c r="K9" i="59"/>
  <c r="X9" i="59"/>
  <c r="W9" i="59"/>
  <c r="W10" i="59" s="1"/>
  <c r="Q9" i="59"/>
  <c r="I9" i="59"/>
  <c r="Y9" i="59"/>
  <c r="P9" i="59"/>
  <c r="H9" i="59"/>
  <c r="Y21" i="59"/>
  <c r="W21" i="59"/>
  <c r="X20" i="59"/>
  <c r="W20" i="59"/>
  <c r="V20" i="59"/>
  <c r="U93" i="59"/>
  <c r="W90" i="59"/>
  <c r="W122" i="59"/>
  <c r="Y120" i="59"/>
  <c r="T119" i="59"/>
  <c r="Y118" i="59"/>
  <c r="U117" i="59"/>
  <c r="W84" i="59"/>
  <c r="U116" i="59"/>
  <c r="Y115" i="59"/>
  <c r="U115" i="59"/>
  <c r="W113" i="59"/>
  <c r="U113" i="59"/>
  <c r="Y80" i="59"/>
  <c r="X112" i="59"/>
  <c r="W112" i="59"/>
  <c r="Y111" i="59"/>
  <c r="W111" i="59"/>
  <c r="X110" i="59"/>
  <c r="U108" i="59"/>
  <c r="Y107" i="59"/>
  <c r="W75" i="59"/>
  <c r="U107" i="59"/>
  <c r="W74" i="59"/>
  <c r="R106" i="59"/>
  <c r="M106" i="59"/>
  <c r="J106" i="59"/>
  <c r="Y73" i="59"/>
  <c r="Y72" i="59"/>
  <c r="W72" i="59"/>
  <c r="W104" i="59"/>
  <c r="U104" i="59"/>
  <c r="Y103" i="59"/>
  <c r="T71" i="59"/>
  <c r="W101" i="59"/>
  <c r="V101" i="59"/>
  <c r="U101" i="59"/>
  <c r="X100" i="59"/>
  <c r="Y67" i="59"/>
  <c r="V74" i="59"/>
  <c r="U71" i="59"/>
  <c r="T90" i="59"/>
  <c r="X122" i="59"/>
  <c r="V113" i="59"/>
  <c r="T112" i="59"/>
  <c r="V111" i="59"/>
  <c r="Y93" i="59"/>
  <c r="T80" i="59"/>
  <c r="W78" i="59"/>
  <c r="Y122" i="59"/>
  <c r="U121" i="59"/>
  <c r="W87" i="59"/>
  <c r="T118" i="59"/>
  <c r="W85" i="59"/>
  <c r="V115" i="59"/>
  <c r="Y114" i="59"/>
  <c r="W81" i="59"/>
  <c r="W80" i="59"/>
  <c r="W110" i="59"/>
  <c r="Y77" i="59"/>
  <c r="U109" i="59"/>
  <c r="W73" i="59"/>
  <c r="W105" i="59"/>
  <c r="V103" i="59"/>
  <c r="Y102" i="59"/>
  <c r="W69" i="59"/>
  <c r="U100" i="59"/>
  <c r="Y99" i="59"/>
  <c r="W67" i="59"/>
  <c r="W98" i="59"/>
  <c r="W65" i="59"/>
  <c r="Y20" i="59"/>
  <c r="U94" i="59"/>
  <c r="U20" i="59"/>
  <c r="X13" i="59"/>
  <c r="Y13" i="59"/>
  <c r="V13" i="59"/>
  <c r="Y10" i="59"/>
  <c r="X10" i="59"/>
  <c r="W5" i="59"/>
  <c r="T5" i="59"/>
  <c r="Y5" i="59"/>
  <c r="X21" i="59"/>
  <c r="U5" i="59"/>
  <c r="Y82" i="59" l="1"/>
  <c r="Y71" i="59"/>
  <c r="Y89" i="59"/>
  <c r="U103" i="59"/>
  <c r="Y69" i="59"/>
  <c r="V94" i="59"/>
  <c r="Y70" i="59"/>
  <c r="Y75" i="59"/>
  <c r="E106" i="59"/>
  <c r="Y66" i="59"/>
  <c r="T67" i="59"/>
  <c r="Y74" i="59"/>
  <c r="Y65" i="59"/>
  <c r="Y84" i="59"/>
  <c r="Y97" i="59"/>
  <c r="T98" i="59"/>
  <c r="Y68" i="59"/>
  <c r="X102" i="59"/>
  <c r="Y105" i="59"/>
  <c r="L106" i="59"/>
  <c r="T106" i="59"/>
  <c r="U110" i="59"/>
  <c r="W117" i="59"/>
  <c r="T83" i="59"/>
  <c r="G106" i="59"/>
  <c r="O106" i="59"/>
  <c r="W88" i="59"/>
  <c r="X78" i="59"/>
  <c r="W114" i="59"/>
  <c r="T110" i="59"/>
  <c r="X72" i="59"/>
  <c r="W76" i="59"/>
  <c r="X77" i="59"/>
  <c r="W86" i="59"/>
  <c r="W102" i="59"/>
  <c r="Y112" i="59"/>
  <c r="U75" i="59"/>
  <c r="X80" i="59"/>
  <c r="U87" i="59"/>
  <c r="U67" i="59"/>
  <c r="W79" i="59"/>
  <c r="V87" i="59"/>
  <c r="N106" i="59"/>
  <c r="V21" i="59"/>
  <c r="W96" i="59" s="1"/>
  <c r="T78" i="59"/>
  <c r="X69" i="59"/>
  <c r="X73" i="59"/>
  <c r="X76" i="59"/>
  <c r="V80" i="59"/>
  <c r="X114" i="59"/>
  <c r="H106" i="59"/>
  <c r="P106" i="59"/>
  <c r="X106" i="59"/>
  <c r="T75" i="59"/>
  <c r="Y98" i="59"/>
  <c r="V105" i="59"/>
  <c r="I106" i="59"/>
  <c r="Q106" i="59"/>
  <c r="Y106" i="59"/>
  <c r="W118" i="59"/>
  <c r="U120" i="59"/>
  <c r="W94" i="59"/>
  <c r="W68" i="59"/>
  <c r="V75" i="59"/>
  <c r="U99" i="59"/>
  <c r="K106" i="59"/>
  <c r="S106" i="59"/>
  <c r="T20" i="59"/>
  <c r="U95" i="59" s="1"/>
  <c r="U106" i="59"/>
  <c r="W97" i="59"/>
  <c r="V67" i="59"/>
  <c r="V72" i="59"/>
  <c r="F106" i="59"/>
  <c r="V106" i="59"/>
  <c r="W106" i="59"/>
  <c r="Y85" i="59"/>
  <c r="Y90" i="59"/>
  <c r="Y76" i="59"/>
  <c r="Y81" i="59"/>
  <c r="Y83" i="59"/>
  <c r="U90" i="59"/>
  <c r="V68" i="59"/>
  <c r="Y101" i="59"/>
  <c r="T70" i="59"/>
  <c r="W71" i="59"/>
  <c r="V76" i="59"/>
  <c r="W77" i="59"/>
  <c r="Y78" i="59"/>
  <c r="U111" i="59"/>
  <c r="U80" i="59"/>
  <c r="Y113" i="59"/>
  <c r="T82" i="59"/>
  <c r="W83" i="59"/>
  <c r="X84" i="59"/>
  <c r="Y119" i="59"/>
  <c r="W89" i="59"/>
  <c r="Y88" i="59"/>
  <c r="Y86" i="59"/>
  <c r="Y79" i="59"/>
  <c r="Y95" i="59"/>
  <c r="W95" i="59"/>
  <c r="Y94" i="59"/>
  <c r="W93" i="59"/>
  <c r="V95" i="59"/>
  <c r="Y96" i="59"/>
  <c r="U78" i="59"/>
  <c r="Y87" i="59"/>
  <c r="U66" i="59"/>
  <c r="U70" i="59"/>
  <c r="U74" i="59"/>
  <c r="U112" i="59"/>
  <c r="U84" i="59"/>
  <c r="W121" i="59"/>
  <c r="U97" i="59"/>
  <c r="U105" i="59"/>
  <c r="Y110" i="59"/>
  <c r="X81" i="59"/>
  <c r="U86" i="59"/>
  <c r="V97" i="59"/>
  <c r="X98" i="59"/>
  <c r="W109" i="59"/>
  <c r="U83" i="59"/>
  <c r="W108" i="59"/>
  <c r="X74" i="59"/>
  <c r="T79" i="59"/>
  <c r="U88" i="59"/>
  <c r="U68" i="59"/>
  <c r="U72" i="59"/>
  <c r="U76" i="59"/>
  <c r="U79" i="59"/>
  <c r="U82" i="59"/>
  <c r="W100" i="59"/>
  <c r="X96" i="59"/>
  <c r="X95" i="59"/>
  <c r="W70" i="59"/>
  <c r="T66" i="59"/>
  <c r="X68" i="59"/>
  <c r="V71" i="59"/>
  <c r="T74" i="59"/>
  <c r="V83" i="59"/>
  <c r="T86" i="59"/>
  <c r="X88" i="59"/>
  <c r="V93" i="59"/>
  <c r="X94" i="59"/>
  <c r="T100" i="59"/>
  <c r="T104" i="59"/>
  <c r="T116" i="59"/>
  <c r="V117" i="59"/>
  <c r="X118" i="59"/>
  <c r="V121" i="59"/>
  <c r="V5" i="59"/>
  <c r="T65" i="59"/>
  <c r="V66" i="59"/>
  <c r="X67" i="59"/>
  <c r="T69" i="59"/>
  <c r="V70" i="59"/>
  <c r="X71" i="59"/>
  <c r="T73" i="59"/>
  <c r="X75" i="59"/>
  <c r="T77" i="59"/>
  <c r="V78" i="59"/>
  <c r="X79" i="59"/>
  <c r="T81" i="59"/>
  <c r="V82" i="59"/>
  <c r="X83" i="59"/>
  <c r="T85" i="59"/>
  <c r="V86" i="59"/>
  <c r="X87" i="59"/>
  <c r="T89" i="59"/>
  <c r="V90" i="59"/>
  <c r="X93" i="59"/>
  <c r="X97" i="59"/>
  <c r="T99" i="59"/>
  <c r="V100" i="59"/>
  <c r="X101" i="59"/>
  <c r="T103" i="59"/>
  <c r="V104" i="59"/>
  <c r="X105" i="59"/>
  <c r="T107" i="59"/>
  <c r="V108" i="59"/>
  <c r="X109" i="59"/>
  <c r="T111" i="59"/>
  <c r="V112" i="59"/>
  <c r="X113" i="59"/>
  <c r="T115" i="59"/>
  <c r="V116" i="59"/>
  <c r="X117" i="59"/>
  <c r="V120" i="59"/>
  <c r="X121" i="59"/>
  <c r="W66" i="59"/>
  <c r="U89" i="59"/>
  <c r="Y117" i="59"/>
  <c r="Y121" i="59"/>
  <c r="T21" i="59"/>
  <c r="V65" i="59"/>
  <c r="V69" i="59"/>
  <c r="T84" i="59"/>
  <c r="T94" i="59"/>
  <c r="T102" i="59"/>
  <c r="V107" i="59"/>
  <c r="T122" i="59"/>
  <c r="U21" i="59"/>
  <c r="V96" i="59" s="1"/>
  <c r="U98" i="59"/>
  <c r="W99" i="59"/>
  <c r="Y100" i="59"/>
  <c r="U102" i="59"/>
  <c r="W103" i="59"/>
  <c r="Y104" i="59"/>
  <c r="W107" i="59"/>
  <c r="Y108" i="59"/>
  <c r="U114" i="59"/>
  <c r="W115" i="59"/>
  <c r="Y116" i="59"/>
  <c r="U118" i="59"/>
  <c r="W119" i="59"/>
  <c r="U122" i="59"/>
  <c r="U81" i="59"/>
  <c r="Y109" i="59"/>
  <c r="W116" i="59"/>
  <c r="U119" i="59"/>
  <c r="X5" i="59"/>
  <c r="X66" i="59"/>
  <c r="X70" i="59"/>
  <c r="V73" i="59"/>
  <c r="T76" i="59"/>
  <c r="V77" i="59"/>
  <c r="V81" i="59"/>
  <c r="V85" i="59"/>
  <c r="T88" i="59"/>
  <c r="X90" i="59"/>
  <c r="V99" i="59"/>
  <c r="X104" i="59"/>
  <c r="X108" i="59"/>
  <c r="X120" i="59"/>
  <c r="X65" i="59"/>
  <c r="V84" i="59"/>
  <c r="X85" i="59"/>
  <c r="T87" i="59"/>
  <c r="V88" i="59"/>
  <c r="X89" i="59"/>
  <c r="T93" i="59"/>
  <c r="T97" i="59"/>
  <c r="V98" i="59"/>
  <c r="X99" i="59"/>
  <c r="T101" i="59"/>
  <c r="V102" i="59"/>
  <c r="X103" i="59"/>
  <c r="T105" i="59"/>
  <c r="X107" i="59"/>
  <c r="T109" i="59"/>
  <c r="V110" i="59"/>
  <c r="X111" i="59"/>
  <c r="T113" i="59"/>
  <c r="V114" i="59"/>
  <c r="X115" i="59"/>
  <c r="T117" i="59"/>
  <c r="V118" i="59"/>
  <c r="X119" i="59"/>
  <c r="T121" i="59"/>
  <c r="V122" i="59"/>
  <c r="U69" i="59"/>
  <c r="U73" i="59"/>
  <c r="W82" i="59"/>
  <c r="U85" i="59"/>
  <c r="W120" i="59"/>
  <c r="T68" i="59"/>
  <c r="T72" i="59"/>
  <c r="X82" i="59"/>
  <c r="X86" i="59"/>
  <c r="V89" i="59"/>
  <c r="T114" i="59"/>
  <c r="X116" i="59"/>
  <c r="V119" i="59"/>
  <c r="U65" i="59"/>
  <c r="U77" i="59"/>
  <c r="V79" i="59"/>
  <c r="T108" i="59"/>
  <c r="V109" i="59"/>
  <c r="T120" i="59"/>
  <c r="U96" i="59" l="1"/>
  <c r="D13" i="59" l="1"/>
  <c r="D10" i="59"/>
  <c r="O13" i="59"/>
  <c r="E13" i="59"/>
  <c r="S13" i="59"/>
  <c r="R13" i="59"/>
  <c r="Q13" i="59"/>
  <c r="P13" i="59"/>
  <c r="N13" i="59"/>
  <c r="M13" i="59"/>
  <c r="L13" i="59"/>
  <c r="K13" i="59"/>
  <c r="J13" i="59"/>
  <c r="I13" i="59"/>
  <c r="H13" i="59"/>
  <c r="G13" i="59"/>
  <c r="F13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B7" i="4"/>
  <c r="B6" i="4"/>
  <c r="B5" i="4"/>
  <c r="B4" i="4"/>
  <c r="G5" i="59" l="1"/>
  <c r="S5" i="59"/>
  <c r="O5" i="59"/>
  <c r="R5" i="59"/>
  <c r="N5" i="59"/>
  <c r="J5" i="59"/>
  <c r="F5" i="59"/>
  <c r="K5" i="59"/>
  <c r="Q5" i="59"/>
  <c r="M5" i="59"/>
  <c r="I5" i="59"/>
  <c r="E5" i="59"/>
  <c r="P5" i="59"/>
  <c r="L5" i="59"/>
  <c r="H5" i="59"/>
  <c r="D5" i="59"/>
  <c r="S21" i="59" l="1"/>
  <c r="T96" i="59" s="1"/>
  <c r="N21" i="59" l="1"/>
  <c r="F21" i="59"/>
  <c r="I21" i="59"/>
  <c r="P21" i="59"/>
  <c r="K21" i="59"/>
  <c r="I94" i="59"/>
  <c r="H21" i="59"/>
  <c r="I96" i="59" s="1"/>
  <c r="Q94" i="59"/>
  <c r="F94" i="59" l="1"/>
  <c r="E21" i="59"/>
  <c r="F96" i="59" s="1"/>
  <c r="P94" i="59"/>
  <c r="O21" i="59"/>
  <c r="P96" i="59" s="1"/>
  <c r="N94" i="59"/>
  <c r="M21" i="59"/>
  <c r="N96" i="59" s="1"/>
  <c r="Q21" i="59"/>
  <c r="O94" i="59"/>
  <c r="O96" i="59" l="1"/>
  <c r="S94" i="59"/>
  <c r="R21" i="59"/>
  <c r="S96" i="59" s="1"/>
  <c r="E94" i="59"/>
  <c r="D21" i="59"/>
  <c r="E96" i="59" s="1"/>
  <c r="G21" i="59"/>
  <c r="H94" i="59"/>
  <c r="G94" i="59"/>
  <c r="M94" i="59"/>
  <c r="L21" i="59"/>
  <c r="L94" i="59"/>
  <c r="J21" i="59"/>
  <c r="K94" i="59"/>
  <c r="J94" i="59"/>
  <c r="R94" i="59"/>
  <c r="Q96" i="59"/>
  <c r="R96" i="59" l="1"/>
  <c r="H96" i="59"/>
  <c r="G96" i="59"/>
  <c r="K96" i="59"/>
  <c r="J96" i="59"/>
  <c r="M96" i="59"/>
  <c r="L96" i="59"/>
  <c r="S20" i="59" l="1"/>
  <c r="T95" i="59" s="1"/>
  <c r="S71" i="59"/>
  <c r="S70" i="59"/>
  <c r="S66" i="59"/>
  <c r="S72" i="59" l="1"/>
  <c r="G108" i="59"/>
  <c r="S69" i="59"/>
  <c r="S73" i="59"/>
  <c r="F108" i="59"/>
  <c r="I108" i="59"/>
  <c r="S108" i="59"/>
  <c r="M108" i="59"/>
  <c r="R108" i="59"/>
  <c r="L108" i="59"/>
  <c r="P108" i="59"/>
  <c r="S84" i="59"/>
  <c r="O103" i="59"/>
  <c r="N71" i="59"/>
  <c r="I81" i="59"/>
  <c r="J113" i="59"/>
  <c r="H77" i="59"/>
  <c r="I109" i="59"/>
  <c r="N100" i="59"/>
  <c r="M68" i="59"/>
  <c r="E81" i="59"/>
  <c r="F113" i="59"/>
  <c r="K107" i="59"/>
  <c r="J75" i="59"/>
  <c r="P102" i="59"/>
  <c r="O70" i="59"/>
  <c r="O73" i="59"/>
  <c r="P105" i="59"/>
  <c r="K70" i="59"/>
  <c r="L102" i="59"/>
  <c r="N105" i="59"/>
  <c r="M73" i="59"/>
  <c r="M100" i="59"/>
  <c r="L68" i="59"/>
  <c r="O99" i="59"/>
  <c r="N67" i="59"/>
  <c r="R70" i="59"/>
  <c r="S102" i="59"/>
  <c r="R73" i="59"/>
  <c r="S105" i="59"/>
  <c r="O107" i="59"/>
  <c r="N75" i="59"/>
  <c r="E103" i="59"/>
  <c r="D71" i="59"/>
  <c r="H70" i="59"/>
  <c r="I102" i="59"/>
  <c r="R65" i="59"/>
  <c r="R76" i="59"/>
  <c r="S97" i="59"/>
  <c r="Q101" i="59"/>
  <c r="P69" i="59"/>
  <c r="Q69" i="59"/>
  <c r="R101" i="59"/>
  <c r="K115" i="59"/>
  <c r="J83" i="59"/>
  <c r="K75" i="59"/>
  <c r="L107" i="59"/>
  <c r="O100" i="59"/>
  <c r="N68" i="59"/>
  <c r="K20" i="59"/>
  <c r="L93" i="59"/>
  <c r="Q70" i="59"/>
  <c r="R102" i="59"/>
  <c r="F115" i="59"/>
  <c r="E83" i="59"/>
  <c r="Q109" i="59"/>
  <c r="P77" i="59"/>
  <c r="O93" i="59"/>
  <c r="N20" i="59"/>
  <c r="G97" i="59"/>
  <c r="F65" i="59"/>
  <c r="F76" i="59"/>
  <c r="K104" i="59"/>
  <c r="J72" i="59"/>
  <c r="G105" i="59"/>
  <c r="F73" i="59"/>
  <c r="Q81" i="59"/>
  <c r="R113" i="59"/>
  <c r="E104" i="59"/>
  <c r="D72" i="59"/>
  <c r="I83" i="59"/>
  <c r="J115" i="59"/>
  <c r="F74" i="59"/>
  <c r="L99" i="59"/>
  <c r="K67" i="59"/>
  <c r="H68" i="59"/>
  <c r="I100" i="59"/>
  <c r="H82" i="59"/>
  <c r="I114" i="59"/>
  <c r="O77" i="59"/>
  <c r="P109" i="59"/>
  <c r="M77" i="59"/>
  <c r="N109" i="59"/>
  <c r="H73" i="59"/>
  <c r="I105" i="59"/>
  <c r="K74" i="59"/>
  <c r="F100" i="59"/>
  <c r="E68" i="59"/>
  <c r="N74" i="59"/>
  <c r="S82" i="59"/>
  <c r="H113" i="59"/>
  <c r="G81" i="59"/>
  <c r="I93" i="59"/>
  <c r="H20" i="59"/>
  <c r="M107" i="59"/>
  <c r="L75" i="59"/>
  <c r="S65" i="59"/>
  <c r="S76" i="59"/>
  <c r="E71" i="59"/>
  <c r="F103" i="59"/>
  <c r="H71" i="59"/>
  <c r="I103" i="59"/>
  <c r="H83" i="59"/>
  <c r="I115" i="59"/>
  <c r="J103" i="59"/>
  <c r="I71" i="59"/>
  <c r="K103" i="59"/>
  <c r="J71" i="59"/>
  <c r="K71" i="59"/>
  <c r="L103" i="59"/>
  <c r="Q102" i="59"/>
  <c r="P70" i="59"/>
  <c r="J100" i="59"/>
  <c r="I68" i="59"/>
  <c r="M104" i="59"/>
  <c r="L72" i="59"/>
  <c r="H115" i="59"/>
  <c r="G83" i="59"/>
  <c r="L105" i="59"/>
  <c r="K73" i="59"/>
  <c r="R67" i="59"/>
  <c r="S99" i="59"/>
  <c r="K102" i="59"/>
  <c r="J70" i="59"/>
  <c r="L114" i="59"/>
  <c r="K82" i="59"/>
  <c r="H85" i="59"/>
  <c r="S85" i="59"/>
  <c r="K98" i="59"/>
  <c r="J66" i="59"/>
  <c r="R116" i="59"/>
  <c r="Q84" i="59"/>
  <c r="S80" i="59"/>
  <c r="L66" i="59"/>
  <c r="H98" i="59"/>
  <c r="G66" i="59"/>
  <c r="Q98" i="59"/>
  <c r="P66" i="59"/>
  <c r="F84" i="59"/>
  <c r="S86" i="59"/>
  <c r="H80" i="59"/>
  <c r="P116" i="59"/>
  <c r="O84" i="59"/>
  <c r="M119" i="59"/>
  <c r="L87" i="59"/>
  <c r="G93" i="59"/>
  <c r="F20" i="59"/>
  <c r="M102" i="59"/>
  <c r="L70" i="59"/>
  <c r="J74" i="59"/>
  <c r="N102" i="59"/>
  <c r="M70" i="59"/>
  <c r="M82" i="59"/>
  <c r="N114" i="59"/>
  <c r="P101" i="59"/>
  <c r="O69" i="59"/>
  <c r="O74" i="59"/>
  <c r="M20" i="59"/>
  <c r="N93" i="59"/>
  <c r="D69" i="59"/>
  <c r="E101" i="59"/>
  <c r="N99" i="59"/>
  <c r="M67" i="59"/>
  <c r="Q74" i="59"/>
  <c r="Q103" i="59"/>
  <c r="P71" i="59"/>
  <c r="L113" i="59"/>
  <c r="K81" i="59"/>
  <c r="K113" i="59"/>
  <c r="J81" i="59"/>
  <c r="P104" i="59"/>
  <c r="O72" i="59"/>
  <c r="H74" i="59"/>
  <c r="R68" i="59"/>
  <c r="S100" i="59"/>
  <c r="F107" i="59"/>
  <c r="E75" i="59"/>
  <c r="M114" i="59"/>
  <c r="L82" i="59"/>
  <c r="Q71" i="59"/>
  <c r="R103" i="59"/>
  <c r="R75" i="59"/>
  <c r="S107" i="59"/>
  <c r="P74" i="59"/>
  <c r="P76" i="59"/>
  <c r="Q97" i="59"/>
  <c r="P65" i="59"/>
  <c r="Q72" i="59"/>
  <c r="R104" i="59"/>
  <c r="H103" i="59"/>
  <c r="G71" i="59"/>
  <c r="M113" i="59"/>
  <c r="L81" i="59"/>
  <c r="G113" i="59"/>
  <c r="F81" i="59"/>
  <c r="P103" i="59"/>
  <c r="O71" i="59"/>
  <c r="L74" i="59"/>
  <c r="G115" i="59"/>
  <c r="F83" i="59"/>
  <c r="R74" i="59"/>
  <c r="H100" i="59"/>
  <c r="G68" i="59"/>
  <c r="O109" i="59"/>
  <c r="N77" i="59"/>
  <c r="M103" i="59"/>
  <c r="L71" i="59"/>
  <c r="S81" i="59"/>
  <c r="P115" i="59"/>
  <c r="O83" i="59"/>
  <c r="F102" i="59"/>
  <c r="E70" i="59"/>
  <c r="G100" i="59"/>
  <c r="F68" i="59"/>
  <c r="P114" i="59"/>
  <c r="O82" i="59"/>
  <c r="L65" i="59"/>
  <c r="M97" i="59"/>
  <c r="L76" i="59"/>
  <c r="M76" i="59"/>
  <c r="N97" i="59"/>
  <c r="M65" i="59"/>
  <c r="E73" i="59"/>
  <c r="F105" i="59"/>
  <c r="G109" i="59"/>
  <c r="F77" i="59"/>
  <c r="H75" i="59"/>
  <c r="I107" i="59"/>
  <c r="G77" i="59"/>
  <c r="H109" i="59"/>
  <c r="J105" i="59"/>
  <c r="I73" i="59"/>
  <c r="F114" i="59"/>
  <c r="E82" i="59"/>
  <c r="K105" i="59"/>
  <c r="J73" i="59"/>
  <c r="G72" i="59"/>
  <c r="H104" i="59"/>
  <c r="H81" i="59"/>
  <c r="I113" i="59"/>
  <c r="J102" i="59"/>
  <c r="I70" i="59"/>
  <c r="J20" i="59"/>
  <c r="K93" i="59"/>
  <c r="O102" i="59"/>
  <c r="N70" i="59"/>
  <c r="H67" i="59"/>
  <c r="I99" i="59"/>
  <c r="G74" i="59"/>
  <c r="Q100" i="59"/>
  <c r="P68" i="59"/>
  <c r="P20" i="59"/>
  <c r="Q93" i="59"/>
  <c r="H72" i="59"/>
  <c r="I104" i="59"/>
  <c r="H66" i="59"/>
  <c r="F98" i="59"/>
  <c r="E66" i="59"/>
  <c r="R98" i="59"/>
  <c r="Q66" i="59"/>
  <c r="K84" i="59"/>
  <c r="K66" i="59"/>
  <c r="L98" i="59"/>
  <c r="R84" i="59"/>
  <c r="S116" i="59"/>
  <c r="K101" i="59"/>
  <c r="J69" i="59"/>
  <c r="Q105" i="59"/>
  <c r="P73" i="59"/>
  <c r="D81" i="59"/>
  <c r="E113" i="59"/>
  <c r="N104" i="59"/>
  <c r="M72" i="59"/>
  <c r="R115" i="59"/>
  <c r="Q83" i="59"/>
  <c r="P93" i="59"/>
  <c r="O20" i="59"/>
  <c r="O81" i="59"/>
  <c r="P113" i="59"/>
  <c r="N101" i="59"/>
  <c r="M69" i="59"/>
  <c r="Q82" i="59"/>
  <c r="R114" i="59"/>
  <c r="Q76" i="59"/>
  <c r="R97" i="59"/>
  <c r="Q65" i="59"/>
  <c r="R69" i="59"/>
  <c r="S101" i="59"/>
  <c r="S77" i="59"/>
  <c r="O115" i="59"/>
  <c r="N83" i="59"/>
  <c r="E77" i="59"/>
  <c r="F109" i="59"/>
  <c r="O65" i="59"/>
  <c r="P97" i="59"/>
  <c r="O76" i="59"/>
  <c r="Q73" i="59"/>
  <c r="R105" i="59"/>
  <c r="R77" i="59"/>
  <c r="S109" i="59"/>
  <c r="E107" i="59"/>
  <c r="D75" i="59"/>
  <c r="F97" i="59"/>
  <c r="E65" i="59"/>
  <c r="E76" i="59"/>
  <c r="Q99" i="59"/>
  <c r="P67" i="59"/>
  <c r="M81" i="59"/>
  <c r="N113" i="59"/>
  <c r="G114" i="59"/>
  <c r="F82" i="59"/>
  <c r="P107" i="59"/>
  <c r="O75" i="59"/>
  <c r="G107" i="59"/>
  <c r="F75" i="59"/>
  <c r="G102" i="59"/>
  <c r="F70" i="59"/>
  <c r="G65" i="59"/>
  <c r="H97" i="59"/>
  <c r="G76" i="59"/>
  <c r="S75" i="59"/>
  <c r="D77" i="59"/>
  <c r="E109" i="59"/>
  <c r="M99" i="59"/>
  <c r="L67" i="59"/>
  <c r="K99" i="59"/>
  <c r="J67" i="59"/>
  <c r="O101" i="59"/>
  <c r="N69" i="59"/>
  <c r="K114" i="59"/>
  <c r="J82" i="59"/>
  <c r="M93" i="59"/>
  <c r="L20" i="59"/>
  <c r="F104" i="59"/>
  <c r="E72" i="59"/>
  <c r="O105" i="59"/>
  <c r="N73" i="59"/>
  <c r="O114" i="59"/>
  <c r="N82" i="59"/>
  <c r="K69" i="59"/>
  <c r="L101" i="59"/>
  <c r="G101" i="59"/>
  <c r="F69" i="59"/>
  <c r="M101" i="59"/>
  <c r="L69" i="59"/>
  <c r="G20" i="59"/>
  <c r="H93" i="59"/>
  <c r="E67" i="59"/>
  <c r="F99" i="59"/>
  <c r="J114" i="59"/>
  <c r="I82" i="59"/>
  <c r="S68" i="59"/>
  <c r="I67" i="59"/>
  <c r="J99" i="59"/>
  <c r="M74" i="59"/>
  <c r="O113" i="59"/>
  <c r="N81" i="59"/>
  <c r="L109" i="59"/>
  <c r="K77" i="59"/>
  <c r="J104" i="59"/>
  <c r="I72" i="59"/>
  <c r="O104" i="59"/>
  <c r="N72" i="59"/>
  <c r="S67" i="59"/>
  <c r="M109" i="59"/>
  <c r="L77" i="59"/>
  <c r="E105" i="59"/>
  <c r="D73" i="59"/>
  <c r="E99" i="59"/>
  <c r="D67" i="59"/>
  <c r="H84" i="59"/>
  <c r="I116" i="59"/>
  <c r="I84" i="59"/>
  <c r="J116" i="59"/>
  <c r="S88" i="59"/>
  <c r="G98" i="59"/>
  <c r="F66" i="59"/>
  <c r="K116" i="59"/>
  <c r="J84" i="59"/>
  <c r="R93" i="59"/>
  <c r="Q20" i="59"/>
  <c r="Q107" i="59"/>
  <c r="P75" i="59"/>
  <c r="E114" i="59"/>
  <c r="D82" i="59"/>
  <c r="I75" i="59"/>
  <c r="J107" i="59"/>
  <c r="K72" i="59"/>
  <c r="L104" i="59"/>
  <c r="N76" i="59"/>
  <c r="O97" i="59"/>
  <c r="N65" i="59"/>
  <c r="Q113" i="59"/>
  <c r="P81" i="59"/>
  <c r="M105" i="59"/>
  <c r="L73" i="59"/>
  <c r="N103" i="59"/>
  <c r="M71" i="59"/>
  <c r="R72" i="59"/>
  <c r="S104" i="59"/>
  <c r="Q115" i="59"/>
  <c r="P83" i="59"/>
  <c r="R71" i="59"/>
  <c r="S103" i="59"/>
  <c r="G103" i="59"/>
  <c r="F71" i="59"/>
  <c r="K83" i="59"/>
  <c r="L115" i="59"/>
  <c r="K76" i="59"/>
  <c r="L97" i="59"/>
  <c r="K65" i="59"/>
  <c r="E97" i="59"/>
  <c r="D76" i="59"/>
  <c r="D65" i="59"/>
  <c r="S74" i="59"/>
  <c r="G99" i="59"/>
  <c r="F67" i="59"/>
  <c r="Q67" i="59"/>
  <c r="R99" i="59"/>
  <c r="I77" i="59"/>
  <c r="J109" i="59"/>
  <c r="R82" i="59"/>
  <c r="S114" i="59"/>
  <c r="S93" i="59"/>
  <c r="R20" i="59"/>
  <c r="S95" i="59" s="1"/>
  <c r="R100" i="59"/>
  <c r="Q68" i="59"/>
  <c r="D74" i="59"/>
  <c r="H107" i="59"/>
  <c r="G75" i="59"/>
  <c r="G82" i="59"/>
  <c r="H114" i="59"/>
  <c r="J76" i="59"/>
  <c r="K97" i="59"/>
  <c r="J65" i="59"/>
  <c r="N107" i="59"/>
  <c r="M75" i="59"/>
  <c r="Q75" i="59"/>
  <c r="R107" i="59"/>
  <c r="G104" i="59"/>
  <c r="F72" i="59"/>
  <c r="E93" i="59"/>
  <c r="D20" i="59"/>
  <c r="S83" i="59"/>
  <c r="H99" i="59"/>
  <c r="G67" i="59"/>
  <c r="Q114" i="59"/>
  <c r="P82" i="59"/>
  <c r="I20" i="59"/>
  <c r="J93" i="59"/>
  <c r="E102" i="59"/>
  <c r="D70" i="59"/>
  <c r="O67" i="59"/>
  <c r="P99" i="59"/>
  <c r="I76" i="59"/>
  <c r="I65" i="59"/>
  <c r="J97" i="59"/>
  <c r="E74" i="59"/>
  <c r="L100" i="59"/>
  <c r="K68" i="59"/>
  <c r="R83" i="59"/>
  <c r="S115" i="59"/>
  <c r="G70" i="59"/>
  <c r="H102" i="59"/>
  <c r="R81" i="59"/>
  <c r="S113" i="59"/>
  <c r="Q104" i="59"/>
  <c r="P72" i="59"/>
  <c r="F101" i="59"/>
  <c r="E69" i="59"/>
  <c r="M83" i="59"/>
  <c r="N115" i="59"/>
  <c r="E100" i="59"/>
  <c r="D68" i="59"/>
  <c r="J101" i="59"/>
  <c r="I69" i="59"/>
  <c r="Q77" i="59"/>
  <c r="R109" i="59"/>
  <c r="H76" i="59"/>
  <c r="H65" i="59"/>
  <c r="I97" i="59"/>
  <c r="K100" i="59"/>
  <c r="J68" i="59"/>
  <c r="H105" i="59"/>
  <c r="G73" i="59"/>
  <c r="I74" i="59"/>
  <c r="H69" i="59"/>
  <c r="I101" i="59"/>
  <c r="F93" i="59"/>
  <c r="E20" i="59"/>
  <c r="K109" i="59"/>
  <c r="J77" i="59"/>
  <c r="O68" i="59"/>
  <c r="P100" i="59"/>
  <c r="H101" i="59"/>
  <c r="G69" i="59"/>
  <c r="E115" i="59"/>
  <c r="D83" i="59"/>
  <c r="M115" i="59"/>
  <c r="L83" i="59"/>
  <c r="O98" i="59"/>
  <c r="N66" i="59"/>
  <c r="S90" i="59"/>
  <c r="Q116" i="59"/>
  <c r="P84" i="59"/>
  <c r="M84" i="59"/>
  <c r="N116" i="59"/>
  <c r="S87" i="59"/>
  <c r="S89" i="59"/>
  <c r="N95" i="59" l="1"/>
  <c r="F95" i="59"/>
  <c r="P95" i="59"/>
  <c r="H95" i="59"/>
  <c r="J95" i="59"/>
  <c r="M95" i="59"/>
  <c r="K95" i="59"/>
  <c r="E108" i="59"/>
  <c r="K108" i="59"/>
  <c r="H108" i="59"/>
  <c r="J108" i="59"/>
  <c r="Q108" i="59"/>
  <c r="O108" i="59"/>
  <c r="N108" i="59"/>
  <c r="R118" i="59"/>
  <c r="Q86" i="59"/>
  <c r="H87" i="59"/>
  <c r="I119" i="59"/>
  <c r="F117" i="59"/>
  <c r="E85" i="59"/>
  <c r="O80" i="59"/>
  <c r="P112" i="59"/>
  <c r="R89" i="59"/>
  <c r="S121" i="59"/>
  <c r="O118" i="59"/>
  <c r="N86" i="59"/>
  <c r="E119" i="59"/>
  <c r="D87" i="59"/>
  <c r="E116" i="59"/>
  <c r="D84" i="59"/>
  <c r="K110" i="59"/>
  <c r="J78" i="59"/>
  <c r="O110" i="59"/>
  <c r="N78" i="59"/>
  <c r="N121" i="59"/>
  <c r="M89" i="59"/>
  <c r="E122" i="59"/>
  <c r="D90" i="59"/>
  <c r="J98" i="59"/>
  <c r="I66" i="59"/>
  <c r="E120" i="59"/>
  <c r="D88" i="59"/>
  <c r="S78" i="59"/>
  <c r="E121" i="59"/>
  <c r="D89" i="59"/>
  <c r="P117" i="59"/>
  <c r="O85" i="59"/>
  <c r="M118" i="59"/>
  <c r="L86" i="59"/>
  <c r="L122" i="59"/>
  <c r="K90" i="59"/>
  <c r="F116" i="59"/>
  <c r="E84" i="59"/>
  <c r="M87" i="59"/>
  <c r="N119" i="59"/>
  <c r="K112" i="59"/>
  <c r="J80" i="59"/>
  <c r="R122" i="59"/>
  <c r="Q90" i="59"/>
  <c r="F120" i="59"/>
  <c r="E88" i="59"/>
  <c r="P121" i="59"/>
  <c r="O89" i="59"/>
  <c r="R88" i="59"/>
  <c r="S120" i="59"/>
  <c r="H120" i="59"/>
  <c r="G88" i="59"/>
  <c r="M88" i="59"/>
  <c r="N120" i="59"/>
  <c r="Q79" i="59"/>
  <c r="R111" i="59"/>
  <c r="H112" i="59"/>
  <c r="G80" i="59"/>
  <c r="H117" i="59"/>
  <c r="G85" i="59"/>
  <c r="H121" i="59"/>
  <c r="G89" i="59"/>
  <c r="R86" i="59"/>
  <c r="S118" i="59"/>
  <c r="I88" i="59"/>
  <c r="J120" i="59"/>
  <c r="O121" i="59"/>
  <c r="N89" i="59"/>
  <c r="M122" i="59"/>
  <c r="L90" i="59"/>
  <c r="M111" i="59"/>
  <c r="L79" i="59"/>
  <c r="M78" i="59"/>
  <c r="N110" i="59"/>
  <c r="G121" i="59"/>
  <c r="F89" i="59"/>
  <c r="R79" i="59"/>
  <c r="S111" i="59"/>
  <c r="G110" i="59"/>
  <c r="F78" i="59"/>
  <c r="H86" i="59"/>
  <c r="I118" i="59"/>
  <c r="Q89" i="59"/>
  <c r="R121" i="59"/>
  <c r="I86" i="59"/>
  <c r="J118" i="59"/>
  <c r="L120" i="59"/>
  <c r="K88" i="59"/>
  <c r="Q111" i="59"/>
  <c r="P79" i="59"/>
  <c r="I90" i="59"/>
  <c r="J122" i="59"/>
  <c r="G90" i="59"/>
  <c r="H122" i="59"/>
  <c r="Q95" i="59"/>
  <c r="G95" i="59"/>
  <c r="M85" i="59"/>
  <c r="N117" i="59"/>
  <c r="Q80" i="59"/>
  <c r="R112" i="59"/>
  <c r="L111" i="59"/>
  <c r="K79" i="59"/>
  <c r="J117" i="59"/>
  <c r="I85" i="59"/>
  <c r="J121" i="59"/>
  <c r="I89" i="59"/>
  <c r="H110" i="59"/>
  <c r="G78" i="59"/>
  <c r="I95" i="59"/>
  <c r="J111" i="59"/>
  <c r="I79" i="59"/>
  <c r="K89" i="59"/>
  <c r="L121" i="59"/>
  <c r="E118" i="59"/>
  <c r="D86" i="59"/>
  <c r="G117" i="59"/>
  <c r="F85" i="59"/>
  <c r="O112" i="59"/>
  <c r="N80" i="59"/>
  <c r="F112" i="59"/>
  <c r="E80" i="59"/>
  <c r="H111" i="59"/>
  <c r="G79" i="59"/>
  <c r="J112" i="59"/>
  <c r="I80" i="59"/>
  <c r="E95" i="59"/>
  <c r="I98" i="59"/>
  <c r="R87" i="59"/>
  <c r="S119" i="59"/>
  <c r="F118" i="59"/>
  <c r="E86" i="59"/>
  <c r="K122" i="59"/>
  <c r="J90" i="59"/>
  <c r="O119" i="59"/>
  <c r="N87" i="59"/>
  <c r="O117" i="59"/>
  <c r="N85" i="59"/>
  <c r="Q112" i="59"/>
  <c r="P80" i="59"/>
  <c r="H118" i="59"/>
  <c r="G86" i="59"/>
  <c r="E110" i="59"/>
  <c r="D78" i="59"/>
  <c r="I117" i="59"/>
  <c r="R95" i="59"/>
  <c r="M117" i="59"/>
  <c r="L85" i="59"/>
  <c r="P120" i="59"/>
  <c r="O88" i="59"/>
  <c r="K120" i="59"/>
  <c r="J88" i="59"/>
  <c r="M90" i="59"/>
  <c r="N122" i="59"/>
  <c r="G112" i="59"/>
  <c r="F80" i="59"/>
  <c r="F119" i="59"/>
  <c r="E87" i="59"/>
  <c r="M121" i="59"/>
  <c r="L89" i="59"/>
  <c r="M116" i="59"/>
  <c r="L84" i="59"/>
  <c r="P98" i="59"/>
  <c r="O66" i="59"/>
  <c r="H90" i="59"/>
  <c r="I122" i="59"/>
  <c r="F111" i="59"/>
  <c r="E79" i="59"/>
  <c r="H79" i="59"/>
  <c r="I111" i="59"/>
  <c r="N98" i="59"/>
  <c r="M66" i="59"/>
  <c r="M86" i="59"/>
  <c r="N118" i="59"/>
  <c r="G118" i="59"/>
  <c r="F86" i="59"/>
  <c r="G119" i="59"/>
  <c r="F87" i="59"/>
  <c r="P111" i="59"/>
  <c r="O79" i="59"/>
  <c r="L117" i="59"/>
  <c r="K85" i="59"/>
  <c r="E98" i="59"/>
  <c r="D66" i="59"/>
  <c r="M120" i="59"/>
  <c r="L88" i="59"/>
  <c r="K80" i="59"/>
  <c r="L112" i="59"/>
  <c r="O95" i="59"/>
  <c r="E112" i="59"/>
  <c r="D80" i="59"/>
  <c r="K121" i="59"/>
  <c r="J89" i="59"/>
  <c r="P110" i="59"/>
  <c r="O78" i="59"/>
  <c r="Q78" i="59"/>
  <c r="R110" i="59"/>
  <c r="R120" i="59"/>
  <c r="Q88" i="59"/>
  <c r="P88" i="59"/>
  <c r="Q120" i="59"/>
  <c r="K111" i="59"/>
  <c r="J79" i="59"/>
  <c r="R78" i="59"/>
  <c r="S110" i="59"/>
  <c r="O90" i="59"/>
  <c r="P122" i="59"/>
  <c r="E111" i="59"/>
  <c r="D79" i="59"/>
  <c r="L116" i="59"/>
  <c r="M80" i="59"/>
  <c r="N112" i="59"/>
  <c r="H89" i="59"/>
  <c r="I121" i="59"/>
  <c r="G87" i="59"/>
  <c r="H119" i="59"/>
  <c r="L110" i="59"/>
  <c r="K78" i="59"/>
  <c r="R90" i="59"/>
  <c r="S122" i="59"/>
  <c r="O116" i="59"/>
  <c r="N84" i="59"/>
  <c r="M112" i="59"/>
  <c r="L80" i="59"/>
  <c r="R119" i="59"/>
  <c r="Q87" i="59"/>
  <c r="I87" i="59"/>
  <c r="J119" i="59"/>
  <c r="F122" i="59"/>
  <c r="E90" i="59"/>
  <c r="Q119" i="59"/>
  <c r="P87" i="59"/>
  <c r="O120" i="59"/>
  <c r="N88" i="59"/>
  <c r="P118" i="59"/>
  <c r="O86" i="59"/>
  <c r="H78" i="59"/>
  <c r="I110" i="59"/>
  <c r="G120" i="59"/>
  <c r="F88" i="59"/>
  <c r="K87" i="59"/>
  <c r="L119" i="59"/>
  <c r="R85" i="59"/>
  <c r="S117" i="59"/>
  <c r="L118" i="59"/>
  <c r="K86" i="59"/>
  <c r="E89" i="59"/>
  <c r="F121" i="59"/>
  <c r="S79" i="59"/>
  <c r="Q118" i="59"/>
  <c r="P86" i="59"/>
  <c r="P89" i="59"/>
  <c r="Q121" i="59"/>
  <c r="R80" i="59"/>
  <c r="S112" i="59"/>
  <c r="K117" i="59"/>
  <c r="J85" i="59"/>
  <c r="G111" i="59"/>
  <c r="F79" i="59"/>
  <c r="K118" i="59"/>
  <c r="J86" i="59"/>
  <c r="I112" i="59"/>
  <c r="M98" i="59"/>
  <c r="J110" i="59"/>
  <c r="I78" i="59"/>
  <c r="P90" i="59"/>
  <c r="Q122" i="59"/>
  <c r="P119" i="59"/>
  <c r="O87" i="59"/>
  <c r="R66" i="59"/>
  <c r="S98" i="59"/>
  <c r="Q110" i="59"/>
  <c r="P78" i="59"/>
  <c r="D85" i="59"/>
  <c r="E117" i="59"/>
  <c r="M79" i="59"/>
  <c r="N111" i="59"/>
  <c r="O111" i="59"/>
  <c r="N79" i="59"/>
  <c r="F110" i="59"/>
  <c r="E78" i="59"/>
  <c r="H116" i="59"/>
  <c r="G84" i="59"/>
  <c r="Q85" i="59"/>
  <c r="R117" i="59"/>
  <c r="O122" i="59"/>
  <c r="N90" i="59"/>
  <c r="K119" i="59"/>
  <c r="J87" i="59"/>
  <c r="G116" i="59"/>
  <c r="H88" i="59"/>
  <c r="I120" i="59"/>
  <c r="M110" i="59"/>
  <c r="L78" i="59"/>
  <c r="Q117" i="59"/>
  <c r="P85" i="59"/>
  <c r="G122" i="59"/>
  <c r="F90" i="59"/>
  <c r="L95" i="59"/>
  <c r="S54" i="57" l="1"/>
  <c r="S54" i="55"/>
  <c r="N16" i="57"/>
  <c r="N16" i="55"/>
  <c r="Q54" i="57"/>
  <c r="Q54" i="55"/>
  <c r="G54" i="57"/>
  <c r="G54" i="55"/>
  <c r="R16" i="57"/>
  <c r="R16" i="55"/>
  <c r="U54" i="57"/>
  <c r="U54" i="55"/>
  <c r="X54" i="57"/>
  <c r="X54" i="55"/>
  <c r="L16" i="57"/>
  <c r="L16" i="55"/>
  <c r="O16" i="57"/>
  <c r="O16" i="55"/>
  <c r="N54" i="57"/>
  <c r="N54" i="55"/>
  <c r="L54" i="57"/>
  <c r="L54" i="55"/>
  <c r="E54" i="57"/>
  <c r="E54" i="55"/>
  <c r="H54" i="57"/>
  <c r="H54" i="55"/>
  <c r="W54" i="57"/>
  <c r="W54" i="55"/>
  <c r="I54" i="57"/>
  <c r="I54" i="55"/>
  <c r="E16" i="57"/>
  <c r="E16" i="55"/>
  <c r="Y16" i="57"/>
  <c r="Y16" i="55"/>
  <c r="Y54" i="57"/>
  <c r="Y54" i="55"/>
  <c r="O54" i="57"/>
  <c r="O54" i="55"/>
  <c r="K16" i="57"/>
  <c r="K16" i="55"/>
  <c r="P16" i="57"/>
  <c r="P16" i="55"/>
  <c r="M16" i="57"/>
  <c r="M16" i="55"/>
  <c r="M54" i="57"/>
  <c r="M54" i="55"/>
  <c r="P54" i="57"/>
  <c r="P54" i="55"/>
  <c r="Q16" i="57"/>
  <c r="Q16" i="55"/>
  <c r="R54" i="57"/>
  <c r="R54" i="55"/>
  <c r="W16" i="57"/>
  <c r="W16" i="55"/>
  <c r="K54" i="57"/>
  <c r="K54" i="55"/>
  <c r="J54" i="57"/>
  <c r="J54" i="55"/>
  <c r="V16" i="57"/>
  <c r="V16" i="55"/>
  <c r="U16" i="57"/>
  <c r="U16" i="55"/>
  <c r="T16" i="57"/>
  <c r="T16" i="55"/>
  <c r="D16" i="57"/>
  <c r="D16" i="55"/>
  <c r="V54" i="57"/>
  <c r="V54" i="55"/>
  <c r="J16" i="57"/>
  <c r="J16" i="55"/>
  <c r="G16" i="57"/>
  <c r="G16" i="55"/>
  <c r="F16" i="57"/>
  <c r="F16" i="55"/>
  <c r="I16" i="57"/>
  <c r="I16" i="55"/>
  <c r="S16" i="57"/>
  <c r="S16" i="55"/>
  <c r="F54" i="57"/>
  <c r="F54" i="55"/>
  <c r="T54" i="57"/>
  <c r="T54" i="55"/>
  <c r="D54" i="57"/>
  <c r="D54" i="55"/>
  <c r="X16" i="57"/>
  <c r="X16" i="55"/>
  <c r="H16" i="57"/>
  <c r="H16" i="55"/>
  <c r="V75" i="57" l="1"/>
  <c r="V75" i="55"/>
  <c r="T39" i="57"/>
  <c r="T39" i="55"/>
  <c r="G75" i="57"/>
  <c r="G75" i="55"/>
  <c r="S39" i="57"/>
  <c r="S39" i="55"/>
  <c r="R75" i="57"/>
  <c r="R75" i="55"/>
  <c r="P75" i="57"/>
  <c r="P75" i="55"/>
  <c r="Y75" i="57"/>
  <c r="Y75" i="55"/>
  <c r="D39" i="57"/>
  <c r="D39" i="55"/>
  <c r="L75" i="57"/>
  <c r="L75" i="55"/>
  <c r="H75" i="57"/>
  <c r="H75" i="55"/>
  <c r="M75" i="57"/>
  <c r="M75" i="55"/>
  <c r="O39" i="57"/>
  <c r="O39" i="55"/>
  <c r="X39" i="57"/>
  <c r="X39" i="55"/>
  <c r="J39" i="57"/>
  <c r="J39" i="55"/>
  <c r="H39" i="57"/>
  <c r="H39" i="55"/>
  <c r="K75" i="57"/>
  <c r="K75" i="55"/>
  <c r="K39" i="57"/>
  <c r="K39" i="55"/>
  <c r="Q39" i="57"/>
  <c r="Q39" i="55"/>
  <c r="N75" i="57"/>
  <c r="N75" i="55"/>
  <c r="E75" i="57"/>
  <c r="E75" i="55"/>
  <c r="G39" i="57"/>
  <c r="G39" i="55"/>
  <c r="W75" i="57"/>
  <c r="W75" i="55"/>
  <c r="D75" i="57"/>
  <c r="D75" i="55"/>
  <c r="U75" i="57"/>
  <c r="U75" i="55"/>
  <c r="X75" i="57"/>
  <c r="X75" i="55"/>
  <c r="R39" i="57"/>
  <c r="R39" i="55"/>
  <c r="I75" i="57"/>
  <c r="I75" i="55"/>
  <c r="M39" i="57"/>
  <c r="M39" i="55"/>
  <c r="U39" i="57"/>
  <c r="U39" i="55"/>
  <c r="V39" i="57"/>
  <c r="V39" i="55"/>
  <c r="F75" i="57"/>
  <c r="F75" i="55"/>
  <c r="Q75" i="57"/>
  <c r="Q75" i="55"/>
  <c r="J75" i="57"/>
  <c r="J75" i="55"/>
  <c r="L39" i="57"/>
  <c r="L39" i="55"/>
  <c r="S75" i="57"/>
  <c r="S75" i="55"/>
  <c r="W39" i="57"/>
  <c r="W39" i="55"/>
  <c r="P39" i="57"/>
  <c r="P39" i="55"/>
  <c r="N39" i="57"/>
  <c r="N39" i="55"/>
  <c r="T75" i="57"/>
  <c r="T75" i="55"/>
  <c r="O75" i="57"/>
  <c r="O75" i="55"/>
  <c r="F39" i="57"/>
  <c r="F39" i="55"/>
  <c r="I39" i="57"/>
  <c r="I39" i="55"/>
  <c r="Y39" i="57"/>
  <c r="Y39" i="55"/>
  <c r="E39" i="57"/>
  <c r="E39" i="55"/>
</calcChain>
</file>

<file path=xl/sharedStrings.xml><?xml version="1.0" encoding="utf-8"?>
<sst xmlns="http://schemas.openxmlformats.org/spreadsheetml/2006/main" count="722" uniqueCount="281">
  <si>
    <t>Wood and wood products</t>
  </si>
  <si>
    <t>Textiles and leather</t>
  </si>
  <si>
    <t>Food, beverages and tobacco</t>
  </si>
  <si>
    <t>Pulp, paper and printing</t>
  </si>
  <si>
    <t>Non-metallic mineral products</t>
  </si>
  <si>
    <t>Iron and steel</t>
  </si>
  <si>
    <t>Click on the link to jump to the sheet</t>
  </si>
  <si>
    <t>Printing and reproduction of recorded media</t>
  </si>
  <si>
    <t>Pulp production</t>
  </si>
  <si>
    <t>Ceramics &amp; other NMM</t>
  </si>
  <si>
    <t>Cement</t>
  </si>
  <si>
    <t>Pharmaceutical products etc.</t>
  </si>
  <si>
    <t>Other chemicals</t>
  </si>
  <si>
    <t>Other non-ferrous metals</t>
  </si>
  <si>
    <t>Alumina production</t>
  </si>
  <si>
    <t>Electric arc</t>
  </si>
  <si>
    <t>Printing and media reproduction</t>
  </si>
  <si>
    <t xml:space="preserve">Paper production </t>
  </si>
  <si>
    <t xml:space="preserve">Glass production </t>
  </si>
  <si>
    <t>Aluminium production</t>
  </si>
  <si>
    <t xml:space="preserve">Basic chemicals </t>
  </si>
  <si>
    <t>Paper and paper products</t>
  </si>
  <si>
    <t>Legal Notice</t>
  </si>
  <si>
    <t>Neither the European Commission nor any person acting on behalf of the Commission is responsible for the use which might be made of this information.</t>
  </si>
  <si>
    <t>B1GM</t>
  </si>
  <si>
    <t>Gross domestic product at market prices</t>
  </si>
  <si>
    <t>P31_S14_S15</t>
  </si>
  <si>
    <t>Household and NPISH final consumption expenditure</t>
  </si>
  <si>
    <t>B1G</t>
  </si>
  <si>
    <t>Value added, gross</t>
  </si>
  <si>
    <t/>
  </si>
  <si>
    <t>nace 10</t>
  </si>
  <si>
    <t>A</t>
  </si>
  <si>
    <t>Agriculture, forestry and fishing</t>
  </si>
  <si>
    <t>B_E</t>
  </si>
  <si>
    <t>Industry (except construction)</t>
  </si>
  <si>
    <t>F</t>
  </si>
  <si>
    <t>Construction</t>
  </si>
  <si>
    <t>G_I</t>
  </si>
  <si>
    <t>Wholesale and retail trade, transport, accomodation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</si>
  <si>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</si>
  <si>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</si>
  <si>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</si>
  <si>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</si>
  <si>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</si>
  <si>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</si>
  <si>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M_N</t>
  </si>
  <si>
    <t>Professional, scientific and technical activities; administrative and support service activities</t>
  </si>
  <si>
    <t>O_Q</t>
  </si>
  <si>
    <t>Public administration, defence, education, human health and social work activities</t>
  </si>
  <si>
    <t>R_U</t>
  </si>
  <si>
    <t>Arts, entertainment and recreation; other service activities; activities of household and extra-territorial organizations and bodies</t>
  </si>
  <si>
    <t>TOTAL</t>
  </si>
  <si>
    <t>Total - All NACE activities</t>
  </si>
  <si>
    <t>nace 21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</si>
  <si>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</si>
  <si>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</si>
  <si>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</si>
  <si>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</si>
  <si>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</si>
  <si>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</si>
  <si>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</si>
  <si>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</si>
  <si>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</si>
  <si>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</si>
  <si>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</si>
  <si>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</si>
  <si>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</si>
  <si>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</si>
  <si>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</si>
  <si>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</si>
  <si>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</si>
  <si>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</si>
  <si>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</si>
  <si>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</si>
  <si>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</si>
  <si>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</si>
  <si>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</si>
  <si>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</si>
  <si>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</si>
  <si>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</si>
  <si>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</si>
  <si>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</si>
  <si>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</si>
  <si>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</si>
  <si>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</si>
  <si>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organisations and bodies</t>
  </si>
  <si>
    <t>nace 38 - industry</t>
  </si>
  <si>
    <t>C10_C12</t>
  </si>
  <si>
    <t>Manufacture of food products; beverages and tobacco products</t>
  </si>
  <si>
    <t>C13_C15</t>
  </si>
  <si>
    <t>Manufacture of textiles, wearing apparel, leather and related products</t>
  </si>
  <si>
    <t>C16_C18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</si>
  <si>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</si>
  <si>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</si>
  <si>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</si>
  <si>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</si>
  <si>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</si>
  <si>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</si>
  <si>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preparations</t>
  </si>
  <si>
    <t>C22_C23</t>
  </si>
  <si>
    <t>Manufacture of rubber and plastic products and other non-metallic mineral products</t>
  </si>
  <si>
    <t>C24_C25</t>
  </si>
  <si>
    <t>Manufacture of basic metals and fabricated metal products,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</si>
  <si>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</si>
  <si>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</si>
  <si>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</si>
  <si>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</si>
  <si>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</si>
  <si>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 n.e.c.</t>
  </si>
  <si>
    <t>C29_C30</t>
  </si>
  <si>
    <t>Manufacture of motor vehicles, trailers, semi-trailers and of other transport equipment</t>
  </si>
  <si>
    <t>C31_C33</t>
  </si>
  <si>
    <t>Manufacture of furniture; jewellery, musical instruments, toys; repair and installation of machinery and equipment</t>
  </si>
  <si>
    <t>nace 64 - industry</t>
  </si>
  <si>
    <t>C16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</si>
  <si>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</si>
  <si>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</si>
  <si>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</si>
  <si>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</si>
  <si>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C22</t>
  </si>
  <si>
    <t>Manufacture of rubber and plastic products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</si>
  <si>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</si>
  <si>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</si>
  <si>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</si>
  <si>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</si>
  <si>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</si>
  <si>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products, except machinery and equipment</t>
  </si>
  <si>
    <t>C29</t>
  </si>
  <si>
    <t>Manufacture of motor vehicles, trailers and semi-trailers</t>
  </si>
  <si>
    <t>C30</t>
  </si>
  <si>
    <t>Manufacture of other transport equipment</t>
  </si>
  <si>
    <t>C31_C32</t>
  </si>
  <si>
    <t>Manufacture of furniture; other manufacturing</t>
  </si>
  <si>
    <t>C33</t>
  </si>
  <si>
    <t>Repair and installation of machinery and equipment</t>
  </si>
  <si>
    <t>NACE code</t>
  </si>
  <si>
    <t>NACE Description</t>
  </si>
  <si>
    <t>Source</t>
  </si>
  <si>
    <t>Gross domestic product</t>
  </si>
  <si>
    <t>EUROSTAT Statistics: nama_gdp</t>
  </si>
  <si>
    <t>Household consumption expenditure</t>
  </si>
  <si>
    <t>Gross value added</t>
  </si>
  <si>
    <t>Gross value added (at basic prices)</t>
  </si>
  <si>
    <t>EUROSTAT Statistics: nama_nace10</t>
  </si>
  <si>
    <t>EUROSTAT Statistics: nama_nace21</t>
  </si>
  <si>
    <t>Services</t>
  </si>
  <si>
    <t>C33, E, G to U</t>
  </si>
  <si>
    <t>Heat-use intensive services</t>
  </si>
  <si>
    <t>H,I,O,P,Q,R</t>
  </si>
  <si>
    <t>Offices</t>
  </si>
  <si>
    <t>J,K,L,M,N,S,T,U</t>
  </si>
  <si>
    <t>Trade</t>
  </si>
  <si>
    <t>C33,E,G</t>
  </si>
  <si>
    <t>Energy sector</t>
  </si>
  <si>
    <t>C19, D</t>
  </si>
  <si>
    <t>EUROSTAT Statistics: nama_nace64</t>
  </si>
  <si>
    <t>C excluding C33</t>
  </si>
  <si>
    <t>Basic metals</t>
  </si>
  <si>
    <t>C241</t>
  </si>
  <si>
    <t>Manufacture of basic iron and steel and of ferro-alloys</t>
  </si>
  <si>
    <t>EUROSTAT Structural business statistics: sbs_ind_co</t>
  </si>
  <si>
    <t>C242</t>
  </si>
  <si>
    <t>Manufacture of tubes, pipes, hollow profiles and related fittings, of steel</t>
  </si>
  <si>
    <t>C243</t>
  </si>
  <si>
    <t>Manufacture of other products of first processing of steel</t>
  </si>
  <si>
    <t>C2451</t>
  </si>
  <si>
    <t>Casting of iron</t>
  </si>
  <si>
    <t>C2452</t>
  </si>
  <si>
    <t>Casting of steel</t>
  </si>
  <si>
    <t>Non ferrous metals</t>
  </si>
  <si>
    <t>C2442</t>
  </si>
  <si>
    <t>C2453</t>
  </si>
  <si>
    <t>Casting of light metals</t>
  </si>
  <si>
    <t>C2441</t>
  </si>
  <si>
    <t>Precious metals production</t>
  </si>
  <si>
    <t>C2443</t>
  </si>
  <si>
    <t>Lead, zinc and tin production</t>
  </si>
  <si>
    <t>C2444</t>
  </si>
  <si>
    <t>Copper production</t>
  </si>
  <si>
    <t>C2445</t>
  </si>
  <si>
    <t>Other non-ferrous metal production</t>
  </si>
  <si>
    <t>C2446</t>
  </si>
  <si>
    <t>Processing of nuclear fuel</t>
  </si>
  <si>
    <t>C2454</t>
  </si>
  <si>
    <t>Casting of other non-ferrous metals</t>
  </si>
  <si>
    <t>C20, C21</t>
  </si>
  <si>
    <t>C2013</t>
  </si>
  <si>
    <t>Manufacture of other inorganic basic chemicals</t>
  </si>
  <si>
    <t>C2014</t>
  </si>
  <si>
    <t>Manufacture of other organic basic chemicals</t>
  </si>
  <si>
    <t>C2015</t>
  </si>
  <si>
    <t>Manufacture of fertilisers and nitrogen compounds</t>
  </si>
  <si>
    <t>C2016</t>
  </si>
  <si>
    <t>Manufacture of plastics in primary forms</t>
  </si>
  <si>
    <t>C2011</t>
  </si>
  <si>
    <t>Manufacture of industrial gases</t>
  </si>
  <si>
    <t>C2012</t>
  </si>
  <si>
    <t>Manufacture of dyes and pigments</t>
  </si>
  <si>
    <t>C202</t>
  </si>
  <si>
    <t>Manufacture of pesticides and other agrochemical products</t>
  </si>
  <si>
    <t>C203</t>
  </si>
  <si>
    <t>Manufacture of paints, varnishes and similar coatings, printing ink and mastics</t>
  </si>
  <si>
    <t>C204</t>
  </si>
  <si>
    <t>Manufacture of soap and detergents, cleaning and polishing preparations, perfumes and toilet preparations</t>
  </si>
  <si>
    <t>C205</t>
  </si>
  <si>
    <t>Manufacture of other chemical products</t>
  </si>
  <si>
    <t>C206</t>
  </si>
  <si>
    <t>Manufacture of man-made fibres</t>
  </si>
  <si>
    <t>Cement (incl. lime)</t>
  </si>
  <si>
    <t>C235</t>
  </si>
  <si>
    <t>Manufacture of cement, lime and plaster</t>
  </si>
  <si>
    <t>C236</t>
  </si>
  <si>
    <t>Manufacture of articles of concrete, cement and plaster</t>
  </si>
  <si>
    <t>C231</t>
  </si>
  <si>
    <t>Manufacture of glass and glass products</t>
  </si>
  <si>
    <t>C232</t>
  </si>
  <si>
    <t>Manufacture of refractory products</t>
  </si>
  <si>
    <t>C233</t>
  </si>
  <si>
    <t>Manufacture of clay building materials</t>
  </si>
  <si>
    <t>C234</t>
  </si>
  <si>
    <t>Manufacture of other porcelain and ceramic products</t>
  </si>
  <si>
    <t>C237</t>
  </si>
  <si>
    <t>Cutting, shaping and finishing of stone</t>
  </si>
  <si>
    <t>C239</t>
  </si>
  <si>
    <t>Manufacture of abrasive products and non-metallic mineral products n.e.c.</t>
  </si>
  <si>
    <t>C17, C18</t>
  </si>
  <si>
    <t>C1711</t>
  </si>
  <si>
    <t>Manufacture of pulp</t>
  </si>
  <si>
    <t>C1712</t>
  </si>
  <si>
    <t>Manufacture of paper and paperboard</t>
  </si>
  <si>
    <t>C172</t>
  </si>
  <si>
    <t>Manufacture of articles of paper and paperboard</t>
  </si>
  <si>
    <t>EUROSTAT Statistics: nama_nace38</t>
  </si>
  <si>
    <t>C25, C26, C27, C28</t>
  </si>
  <si>
    <t>C22, C31_C32</t>
  </si>
  <si>
    <t>Annual growth rates (%)</t>
  </si>
  <si>
    <t>Demographics</t>
  </si>
  <si>
    <t>Population</t>
  </si>
  <si>
    <t>Number of households</t>
  </si>
  <si>
    <t>Inhabitants per household</t>
  </si>
  <si>
    <t>Market shares (%)</t>
  </si>
  <si>
    <t>Gross domestic product per capita</t>
  </si>
  <si>
    <t>Household consumption expenditure per capita</t>
  </si>
  <si>
    <t>JRC-IDEES Description</t>
  </si>
  <si>
    <t>JRC-IDEES structure</t>
  </si>
  <si>
    <t>Macro-economic data at current prices  - NACE structure</t>
  </si>
  <si>
    <t>JRC-IDEES and NACE structure correspondence</t>
  </si>
  <si>
    <t>Climate</t>
  </si>
  <si>
    <t>Actual heating degree-days</t>
  </si>
  <si>
    <t>Relative heating degree-days</t>
  </si>
  <si>
    <t>Actual cooling degree-days</t>
  </si>
  <si>
    <t>Relative cooling degree-days</t>
  </si>
  <si>
    <t>Prepared by JRC C.6</t>
  </si>
  <si>
    <t>The information made available is property of the Joint Research Centre of the European Commission.</t>
  </si>
  <si>
    <t>JRC-IDEES-2021 - Integrated Database of the European Energy System</t>
  </si>
  <si>
    <t>v2021-1.00</t>
  </si>
  <si>
    <t>Use conditions</t>
  </si>
  <si>
    <t>This work is licensed under</t>
  </si>
  <si>
    <t>CC BY 4.0</t>
  </si>
  <si>
    <t>Macro-economic and demographic data</t>
  </si>
  <si>
    <t>Mean heating degree-days over period 2000-2020</t>
  </si>
  <si>
    <t>Mean cooling degree-days over period 2000-2020</t>
  </si>
  <si>
    <t>Macro-economic data at 2015 prices - NACE structure</t>
  </si>
  <si>
    <t>Demographic and macro-economic data at 2015 prices - JRC-IDEES structure</t>
  </si>
  <si>
    <t>ESA2010 [million euro, 2015 prices]</t>
  </si>
  <si>
    <t>ESA2010 [euro, 2015 prices per capita]</t>
  </si>
  <si>
    <t>Gross value added [million euro, 2015 prices]</t>
  </si>
  <si>
    <t>ESA2010 [million euro, current prices]</t>
  </si>
  <si>
    <t>Non-ferrous metals</t>
  </si>
  <si>
    <t>Integrated steelworks</t>
  </si>
  <si>
    <t>Chemical industry</t>
  </si>
  <si>
    <t>Basic and other chemicals</t>
  </si>
  <si>
    <t>Primary production</t>
  </si>
  <si>
    <t>Secondary production</t>
  </si>
  <si>
    <t>Transport equipment</t>
  </si>
  <si>
    <t>Machinery equipment</t>
  </si>
  <si>
    <t>Non-specifed industries</t>
  </si>
  <si>
    <t>Non-specified industries</t>
  </si>
  <si>
    <t>SI</t>
  </si>
  <si>
    <t>Slovenia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</si>
</sst>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#,##0.000;\-#,##0.000;&quot;-&quot;"/>
    <numFmt numFmtId="166" formatCode="0.00%;\-0.00%;&quot;-&quot;"/>
    <numFmt numFmtId="167" formatCode="#,##0;\-#,##0;&quot;-&quot;"/>
    <numFmt numFmtId="168" formatCode="0.000"/>
    <numFmt numFmtId="169" formatCode="0.0"/>
    <numFmt numFmtId="170" formatCode="mmmm\ yyyy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9"/>
      <color rgb="FF0564C3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D7C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</cellStyleXfs>
  <cellXfs count="153">
    <xf numFmtId="0" fontId="0" fillId="0" borderId="0" xfId="0"/>
    <xf numFmtId="0" fontId="10" fillId="2" borderId="0" xfId="4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12" fillId="2" borderId="0" xfId="2" applyFont="1" applyFill="1"/>
    <xf numFmtId="0" fontId="4" fillId="2" borderId="0" xfId="2" applyFont="1" applyFill="1"/>
    <xf numFmtId="0" fontId="10" fillId="2" borderId="0" xfId="5" applyFont="1" applyFill="1"/>
    <xf numFmtId="3" fontId="10" fillId="2" borderId="0" xfId="5" applyNumberFormat="1" applyFont="1" applyFill="1"/>
    <xf numFmtId="0" fontId="10" fillId="2" borderId="0" xfId="5" applyFont="1" applyFill="1" applyAlignment="1">
      <alignment wrapText="1"/>
    </xf>
    <xf numFmtId="0" fontId="13" fillId="2" borderId="0" xfId="5" applyFont="1" applyFill="1"/>
    <xf numFmtId="3" fontId="14" fillId="2" borderId="0" xfId="5" applyNumberFormat="1" applyFont="1" applyFill="1"/>
    <xf numFmtId="0" fontId="14" fillId="2" borderId="0" xfId="5" applyFont="1" applyFill="1" applyBorder="1"/>
    <xf numFmtId="0" fontId="13" fillId="2" borderId="8" xfId="5" applyFont="1" applyFill="1" applyBorder="1" applyAlignment="1">
      <alignment horizontal="center" vertical="center" textRotation="90"/>
    </xf>
    <xf numFmtId="0" fontId="13" fillId="2" borderId="8" xfId="5" applyFont="1" applyFill="1" applyBorder="1"/>
    <xf numFmtId="0" fontId="13" fillId="2" borderId="8" xfId="5" applyFont="1" applyFill="1" applyBorder="1" applyAlignment="1"/>
    <xf numFmtId="3" fontId="13" fillId="2" borderId="8" xfId="5" applyNumberFormat="1" applyFont="1" applyFill="1" applyBorder="1"/>
    <xf numFmtId="0" fontId="13" fillId="2" borderId="0" xfId="5" applyFont="1" applyFill="1" applyBorder="1" applyAlignment="1">
      <alignment horizontal="center" vertical="center" textRotation="90"/>
    </xf>
    <xf numFmtId="0" fontId="13" fillId="2" borderId="0" xfId="5" applyFont="1" applyFill="1" applyBorder="1"/>
    <xf numFmtId="0" fontId="13" fillId="2" borderId="0" xfId="5" applyFont="1" applyFill="1" applyBorder="1" applyAlignment="1"/>
    <xf numFmtId="3" fontId="13" fillId="2" borderId="0" xfId="5" applyNumberFormat="1" applyFont="1" applyFill="1" applyBorder="1"/>
    <xf numFmtId="0" fontId="13" fillId="2" borderId="1" xfId="5" applyFont="1" applyFill="1" applyBorder="1" applyAlignment="1">
      <alignment horizontal="center" vertical="center" textRotation="90"/>
    </xf>
    <xf numFmtId="0" fontId="13" fillId="2" borderId="1" xfId="5" applyFont="1" applyFill="1" applyBorder="1"/>
    <xf numFmtId="0" fontId="13" fillId="2" borderId="1" xfId="5" applyFont="1" applyFill="1" applyBorder="1" applyAlignment="1"/>
    <xf numFmtId="3" fontId="13" fillId="2" borderId="1" xfId="5" applyNumberFormat="1" applyFont="1" applyFill="1" applyBorder="1"/>
    <xf numFmtId="0" fontId="14" fillId="2" borderId="1" xfId="5" applyFont="1" applyFill="1" applyBorder="1"/>
    <xf numFmtId="0" fontId="14" fillId="2" borderId="1" xfId="5" applyFont="1" applyFill="1" applyBorder="1" applyAlignment="1"/>
    <xf numFmtId="3" fontId="14" fillId="2" borderId="1" xfId="5" applyNumberFormat="1" applyFont="1" applyFill="1" applyBorder="1"/>
    <xf numFmtId="0" fontId="14" fillId="2" borderId="1" xfId="5" applyFont="1" applyFill="1" applyBorder="1" applyAlignment="1">
      <alignment wrapText="1"/>
    </xf>
    <xf numFmtId="0" fontId="14" fillId="2" borderId="0" xfId="5" applyFont="1" applyFill="1"/>
    <xf numFmtId="0" fontId="15" fillId="2" borderId="0" xfId="5" applyFont="1" applyFill="1"/>
    <xf numFmtId="1" fontId="10" fillId="2" borderId="0" xfId="4" applyNumberFormat="1" applyFont="1" applyFill="1" applyBorder="1" applyAlignment="1">
      <alignment vertical="center"/>
    </xf>
    <xf numFmtId="0" fontId="10" fillId="2" borderId="0" xfId="4" applyFont="1" applyFill="1" applyBorder="1" applyAlignment="1">
      <alignment horizontal="left" vertical="center"/>
    </xf>
    <xf numFmtId="164" fontId="10" fillId="2" borderId="0" xfId="8" applyFont="1" applyFill="1" applyBorder="1" applyAlignment="1">
      <alignment vertical="center"/>
    </xf>
    <xf numFmtId="1" fontId="10" fillId="2" borderId="0" xfId="4" applyNumberFormat="1" applyFont="1" applyFill="1" applyAlignment="1">
      <alignment vertical="center"/>
    </xf>
    <xf numFmtId="0" fontId="10" fillId="2" borderId="0" xfId="4" applyFont="1" applyFill="1" applyBorder="1" applyAlignment="1">
      <alignment horizontal="left" vertical="center" indent="2"/>
    </xf>
    <xf numFmtId="0" fontId="13" fillId="2" borderId="0" xfId="4" applyFont="1" applyFill="1" applyBorder="1" applyAlignment="1">
      <alignment vertical="center"/>
    </xf>
    <xf numFmtId="169" fontId="13" fillId="2" borderId="8" xfId="4" applyNumberFormat="1" applyFont="1" applyFill="1" applyBorder="1" applyAlignment="1">
      <alignment vertical="center"/>
    </xf>
    <xf numFmtId="1" fontId="13" fillId="2" borderId="8" xfId="4" applyNumberFormat="1" applyFont="1" applyFill="1" applyBorder="1" applyAlignment="1">
      <alignment vertical="center"/>
    </xf>
    <xf numFmtId="167" fontId="13" fillId="2" borderId="8" xfId="4" applyNumberFormat="1" applyFont="1" applyFill="1" applyBorder="1" applyAlignment="1">
      <alignment vertical="center"/>
    </xf>
    <xf numFmtId="169" fontId="13" fillId="2" borderId="0" xfId="4" applyNumberFormat="1" applyFont="1" applyFill="1" applyBorder="1" applyAlignment="1">
      <alignment vertical="center"/>
    </xf>
    <xf numFmtId="1" fontId="13" fillId="2" borderId="0" xfId="4" applyNumberFormat="1" applyFont="1" applyFill="1" applyBorder="1" applyAlignment="1">
      <alignment vertical="center"/>
    </xf>
    <xf numFmtId="167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/>
    </xf>
    <xf numFmtId="1" fontId="13" fillId="2" borderId="1" xfId="4" applyNumberFormat="1" applyFont="1" applyFill="1" applyBorder="1" applyAlignment="1">
      <alignment vertical="center"/>
    </xf>
    <xf numFmtId="168" fontId="13" fillId="2" borderId="1" xfId="4" applyNumberFormat="1" applyFont="1" applyFill="1" applyBorder="1" applyAlignment="1">
      <alignment vertical="center"/>
    </xf>
    <xf numFmtId="0" fontId="14" fillId="3" borderId="2" xfId="5" applyFont="1" applyFill="1" applyBorder="1"/>
    <xf numFmtId="0" fontId="14" fillId="3" borderId="2" xfId="4" applyFont="1" applyFill="1" applyBorder="1" applyAlignment="1">
      <alignment horizontal="right" vertical="center"/>
    </xf>
    <xf numFmtId="169" fontId="16" fillId="2" borderId="13" xfId="4" applyNumberFormat="1" applyFont="1" applyFill="1" applyBorder="1" applyAlignment="1">
      <alignment vertical="center"/>
    </xf>
    <xf numFmtId="1" fontId="13" fillId="2" borderId="13" xfId="4" applyNumberFormat="1" applyFont="1" applyFill="1" applyBorder="1" applyAlignment="1">
      <alignment vertical="center"/>
    </xf>
    <xf numFmtId="165" fontId="16" fillId="2" borderId="13" xfId="4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horizontal="left" vertical="center"/>
    </xf>
    <xf numFmtId="165" fontId="16" fillId="2" borderId="1" xfId="4" applyNumberFormat="1" applyFont="1" applyFill="1" applyBorder="1" applyAlignment="1">
      <alignment vertical="center"/>
    </xf>
    <xf numFmtId="1" fontId="14" fillId="3" borderId="2" xfId="4" applyNumberFormat="1" applyFont="1" applyFill="1" applyBorder="1" applyAlignment="1">
      <alignment horizontal="right" vertical="center"/>
    </xf>
    <xf numFmtId="167" fontId="13" fillId="2" borderId="1" xfId="4" applyNumberFormat="1" applyFont="1" applyFill="1" applyBorder="1" applyAlignment="1">
      <alignment vertical="center"/>
    </xf>
    <xf numFmtId="0" fontId="14" fillId="3" borderId="2" xfId="4" applyFont="1" applyFill="1" applyBorder="1" applyAlignment="1">
      <alignment horizontal="left" vertical="center"/>
    </xf>
    <xf numFmtId="1" fontId="13" fillId="3" borderId="2" xfId="4" applyNumberFormat="1" applyFont="1" applyFill="1" applyBorder="1" applyAlignment="1">
      <alignment vertical="center"/>
    </xf>
    <xf numFmtId="167" fontId="13" fillId="3" borderId="2" xfId="4" applyNumberFormat="1" applyFont="1" applyFill="1" applyBorder="1" applyAlignment="1">
      <alignment vertical="center"/>
    </xf>
    <xf numFmtId="0" fontId="13" fillId="2" borderId="6" xfId="4" applyFont="1" applyFill="1" applyBorder="1" applyAlignment="1">
      <alignment horizontal="left" vertical="center" wrapText="1" indent="1"/>
    </xf>
    <xf numFmtId="1" fontId="13" fillId="2" borderId="6" xfId="4" applyNumberFormat="1" applyFont="1" applyFill="1" applyBorder="1" applyAlignment="1">
      <alignment vertical="center"/>
    </xf>
    <xf numFmtId="167" fontId="13" fillId="2" borderId="6" xfId="4" applyNumberFormat="1" applyFont="1" applyFill="1" applyBorder="1" applyAlignment="1">
      <alignment vertical="center"/>
    </xf>
    <xf numFmtId="0" fontId="13" fillId="2" borderId="4" xfId="4" applyFont="1" applyFill="1" applyBorder="1" applyAlignment="1">
      <alignment horizontal="left" vertical="center" wrapText="1" indent="1"/>
    </xf>
    <xf numFmtId="1" fontId="13" fillId="2" borderId="4" xfId="4" applyNumberFormat="1" applyFont="1" applyFill="1" applyBorder="1" applyAlignment="1">
      <alignment vertical="center"/>
    </xf>
    <xf numFmtId="167" fontId="13" fillId="2" borderId="4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1"/>
    </xf>
    <xf numFmtId="0" fontId="13" fillId="2" borderId="0" xfId="4" applyFont="1" applyFill="1" applyBorder="1" applyAlignment="1">
      <alignment horizontal="left" vertical="center" wrapText="1" indent="2"/>
    </xf>
    <xf numFmtId="1" fontId="13" fillId="2" borderId="0" xfId="4" applyNumberFormat="1" applyFont="1" applyFill="1" applyBorder="1" applyAlignment="1">
      <alignment horizontal="left" vertical="center" wrapText="1" indent="1"/>
    </xf>
    <xf numFmtId="167" fontId="13" fillId="2" borderId="0" xfId="4" applyNumberFormat="1" applyFont="1" applyFill="1" applyAlignment="1">
      <alignment vertical="center"/>
    </xf>
    <xf numFmtId="1" fontId="13" fillId="2" borderId="0" xfId="4" applyNumberFormat="1" applyFont="1" applyFill="1" applyAlignment="1">
      <alignment vertical="center"/>
    </xf>
    <xf numFmtId="0" fontId="13" fillId="2" borderId="4" xfId="4" applyFont="1" applyFill="1" applyBorder="1" applyAlignment="1">
      <alignment horizontal="left" vertical="center" wrapText="1" indent="2"/>
    </xf>
    <xf numFmtId="0" fontId="13" fillId="2" borderId="4" xfId="4" applyFont="1" applyFill="1" applyBorder="1" applyAlignment="1">
      <alignment horizontal="left" vertical="center" wrapText="1" indent="3"/>
    </xf>
    <xf numFmtId="0" fontId="16" fillId="2" borderId="0" xfId="4" applyFont="1" applyFill="1" applyBorder="1" applyAlignment="1">
      <alignment horizontal="left" vertical="center" wrapText="1" indent="4"/>
    </xf>
    <xf numFmtId="0" fontId="16" fillId="2" borderId="0" xfId="4" applyFont="1" applyFill="1" applyBorder="1" applyAlignment="1">
      <alignment horizontal="left" vertical="center" wrapText="1" indent="5"/>
    </xf>
    <xf numFmtId="1" fontId="16" fillId="2" borderId="0" xfId="4" applyNumberFormat="1" applyFont="1" applyFill="1" applyBorder="1" applyAlignment="1">
      <alignment vertical="center"/>
    </xf>
    <xf numFmtId="0" fontId="16" fillId="2" borderId="0" xfId="4" applyFont="1" applyFill="1" applyBorder="1" applyAlignment="1">
      <alignment horizontal="left" vertical="center" wrapText="1" indent="3"/>
    </xf>
    <xf numFmtId="0" fontId="13" fillId="2" borderId="7" xfId="4" applyFont="1" applyFill="1" applyBorder="1" applyAlignment="1">
      <alignment horizontal="left" vertical="center" wrapText="1" indent="2"/>
    </xf>
    <xf numFmtId="1" fontId="13" fillId="2" borderId="7" xfId="4" applyNumberFormat="1" applyFont="1" applyFill="1" applyBorder="1" applyAlignment="1">
      <alignment vertical="center"/>
    </xf>
    <xf numFmtId="167" fontId="13" fillId="2" borderId="7" xfId="4" applyNumberFormat="1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/>
    </xf>
    <xf numFmtId="166" fontId="13" fillId="2" borderId="8" xfId="4" applyNumberFormat="1" applyFont="1" applyFill="1" applyBorder="1" applyAlignment="1">
      <alignment vertical="center"/>
    </xf>
    <xf numFmtId="166" fontId="13" fillId="2" borderId="4" xfId="4" applyNumberFormat="1" applyFont="1" applyFill="1" applyBorder="1" applyAlignment="1">
      <alignment vertical="center"/>
    </xf>
    <xf numFmtId="166" fontId="13" fillId="2" borderId="0" xfId="4" applyNumberFormat="1" applyFont="1" applyFill="1" applyAlignment="1">
      <alignment vertical="center"/>
    </xf>
    <xf numFmtId="0" fontId="13" fillId="2" borderId="3" xfId="4" applyFont="1" applyFill="1" applyBorder="1" applyAlignment="1">
      <alignment horizontal="left" vertical="center" wrapText="1" indent="2"/>
    </xf>
    <xf numFmtId="1" fontId="13" fillId="2" borderId="3" xfId="4" applyNumberFormat="1" applyFont="1" applyFill="1" applyBorder="1" applyAlignment="1">
      <alignment vertical="center"/>
    </xf>
    <xf numFmtId="166" fontId="13" fillId="2" borderId="3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3"/>
    </xf>
    <xf numFmtId="166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wrapText="1" indent="2"/>
    </xf>
    <xf numFmtId="166" fontId="13" fillId="2" borderId="1" xfId="4" applyNumberFormat="1" applyFont="1" applyFill="1" applyBorder="1" applyAlignment="1">
      <alignment vertical="center"/>
    </xf>
    <xf numFmtId="10" fontId="13" fillId="2" borderId="8" xfId="1" applyNumberFormat="1" applyFont="1" applyFill="1" applyBorder="1" applyAlignment="1">
      <alignment vertical="center"/>
    </xf>
    <xf numFmtId="10" fontId="13" fillId="2" borderId="1" xfId="1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right" vertical="center"/>
    </xf>
    <xf numFmtId="169" fontId="13" fillId="2" borderId="8" xfId="4" applyNumberFormat="1" applyFont="1" applyFill="1" applyBorder="1" applyAlignment="1">
      <alignment horizontal="right" vertical="center"/>
    </xf>
    <xf numFmtId="0" fontId="13" fillId="2" borderId="8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/>
    </xf>
    <xf numFmtId="0" fontId="13" fillId="2" borderId="8" xfId="4" applyFont="1" applyFill="1" applyBorder="1" applyAlignment="1">
      <alignment horizontal="left" vertical="center" indent="1"/>
    </xf>
    <xf numFmtId="0" fontId="13" fillId="2" borderId="1" xfId="4" applyFont="1" applyFill="1" applyBorder="1" applyAlignment="1">
      <alignment horizontal="right" vertical="center" indent="1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4" applyFont="1" applyFill="1" applyBorder="1" applyAlignment="1">
      <alignment horizontal="left" vertical="center" indent="1"/>
    </xf>
    <xf numFmtId="0" fontId="13" fillId="2" borderId="0" xfId="4" applyFont="1" applyFill="1" applyAlignment="1">
      <alignment vertical="center"/>
    </xf>
    <xf numFmtId="0" fontId="13" fillId="2" borderId="5" xfId="4" applyFont="1" applyFill="1" applyBorder="1" applyAlignment="1">
      <alignment horizontal="left" vertical="center" wrapText="1" indent="1"/>
    </xf>
    <xf numFmtId="0" fontId="13" fillId="2" borderId="5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horizontal="right" vertical="center" indent="1"/>
    </xf>
    <xf numFmtId="0" fontId="13" fillId="2" borderId="9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left" vertical="center" indent="1"/>
    </xf>
    <xf numFmtId="0" fontId="13" fillId="2" borderId="10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indent="1"/>
    </xf>
    <xf numFmtId="0" fontId="13" fillId="2" borderId="8" xfId="4" applyFont="1" applyFill="1" applyBorder="1" applyAlignment="1">
      <alignment horizontal="left" vertical="center" wrapText="1" indent="1"/>
    </xf>
    <xf numFmtId="0" fontId="13" fillId="2" borderId="11" xfId="4" applyFont="1" applyFill="1" applyBorder="1" applyAlignment="1">
      <alignment horizontal="left" vertical="center" wrapText="1" indent="2"/>
    </xf>
    <xf numFmtId="0" fontId="13" fillId="2" borderId="11" xfId="4" applyFont="1" applyFill="1" applyBorder="1" applyAlignment="1">
      <alignment horizontal="left" vertical="center" indent="2"/>
    </xf>
    <xf numFmtId="0" fontId="13" fillId="2" borderId="11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2"/>
    </xf>
    <xf numFmtId="0" fontId="13" fillId="2" borderId="12" xfId="4" applyFont="1" applyFill="1" applyBorder="1" applyAlignment="1">
      <alignment horizontal="right" vertical="center" indent="1"/>
    </xf>
    <xf numFmtId="0" fontId="13" fillId="2" borderId="12" xfId="4" applyFont="1" applyFill="1" applyBorder="1" applyAlignment="1">
      <alignment horizontal="left" vertical="center" indent="1"/>
    </xf>
    <xf numFmtId="0" fontId="13" fillId="2" borderId="12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 indent="2"/>
    </xf>
    <xf numFmtId="0" fontId="13" fillId="2" borderId="8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2"/>
    </xf>
    <xf numFmtId="0" fontId="13" fillId="2" borderId="1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3"/>
    </xf>
    <xf numFmtId="0" fontId="17" fillId="2" borderId="0" xfId="5" applyFont="1" applyFill="1"/>
    <xf numFmtId="0" fontId="13" fillId="2" borderId="0" xfId="5" applyFont="1" applyFill="1" applyAlignment="1">
      <alignment vertical="center"/>
    </xf>
    <xf numFmtId="0" fontId="13" fillId="2" borderId="0" xfId="5" applyFont="1" applyFill="1" applyAlignment="1">
      <alignment horizontal="center" vertical="center"/>
    </xf>
    <xf numFmtId="0" fontId="18" fillId="2" borderId="2" xfId="5" applyFont="1" applyFill="1" applyBorder="1" applyAlignment="1">
      <alignment vertical="center"/>
    </xf>
    <xf numFmtId="0" fontId="19" fillId="2" borderId="2" xfId="5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23" fillId="2" borderId="0" xfId="5" applyFont="1" applyFill="1" applyAlignment="1">
      <alignment vertical="center"/>
    </xf>
    <xf numFmtId="0" fontId="24" fillId="2" borderId="0" xfId="5" applyFont="1" applyFill="1" applyAlignment="1">
      <alignment vertical="center"/>
    </xf>
    <xf numFmtId="0" fontId="25" fillId="2" borderId="0" xfId="11" applyFont="1" applyFill="1" applyAlignment="1">
      <alignment vertical="center"/>
    </xf>
    <xf numFmtId="0" fontId="26" fillId="2" borderId="0" xfId="2" applyFont="1" applyFill="1" applyAlignment="1">
      <alignment horizontal="left" vertical="center" indent="1"/>
    </xf>
    <xf numFmtId="0" fontId="27" fillId="2" borderId="0" xfId="0" applyFont="1" applyFill="1"/>
    <xf numFmtId="0" fontId="27" fillId="2" borderId="0" xfId="0" applyFont="1" applyFill="1" applyAlignment="1">
      <alignment horizontal="left"/>
    </xf>
    <xf numFmtId="0" fontId="28" fillId="2" borderId="1" xfId="0" applyFont="1" applyFill="1" applyBorder="1"/>
    <xf numFmtId="0" fontId="29" fillId="2" borderId="0" xfId="0" applyFont="1" applyFill="1"/>
    <xf numFmtId="0" fontId="21" fillId="2" borderId="0" xfId="5" applyFont="1" applyFill="1" applyAlignment="1">
      <alignment horizontal="left" vertical="center"/>
    </xf>
    <xf numFmtId="170" fontId="22" fillId="2" borderId="0" xfId="5" quotePrefix="1" applyNumberFormat="1" applyFont="1" applyFill="1" applyAlignment="1">
      <alignment horizontal="left" vertical="center"/>
    </xf>
    <xf numFmtId="0" fontId="13" fillId="2" borderId="8" xfId="5" applyFont="1" applyFill="1" applyBorder="1" applyAlignment="1">
      <alignment horizontal="center" vertical="center" textRotation="90"/>
    </xf>
    <xf numFmtId="0" fontId="13" fillId="2" borderId="0" xfId="5" applyFont="1" applyFill="1" applyBorder="1" applyAlignment="1">
      <alignment horizontal="center" vertical="center" textRotation="90"/>
    </xf>
    <xf numFmtId="0" fontId="13" fillId="2" borderId="1" xfId="5" applyFont="1" applyFill="1" applyBorder="1" applyAlignment="1">
      <alignment horizontal="center" vertical="center" textRotation="90"/>
    </xf>
  </cellXfs>
  <cellStyles count="12">
    <cellStyle name="Comma" xfId="8" builtinId="3"/>
    <cellStyle name="Comma 2" xfId="3"/>
    <cellStyle name="Comma 3" xfId="9"/>
    <cellStyle name="Hyperlink" xfId="2" builtinId="8"/>
    <cellStyle name="Normal" xfId="0" builtinId="0"/>
    <cellStyle name="Normal 2" xfId="4"/>
    <cellStyle name="Normal 2 2" xfId="11"/>
    <cellStyle name="Normal 3" xfId="5"/>
    <cellStyle name="Percent" xfId="1" builtinId="5"/>
    <cellStyle name="Percent 2" xfId="6"/>
    <cellStyle name="Percent 3" xfId="7"/>
    <cellStyle name="Percent 4" xfId="10"/>
  </cellStyles>
  <dxfs count="0"/>
  <tableStyles count="0" defaultTableStyle="TableStyleMedium2" defaultPivotStyle="PivotStyleLight16"/>
  <colors>
    <mruColors>
      <color rgb="FF050505"/>
      <color rgb="FF006EBE"/>
      <color rgb="FFDCD7C3"/>
      <color rgb="FF0564C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9940" y="3505200"/>
          <a:ext cx="295757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134"/>
    <col min="5" max="21" width="9.7109375" style="134" customWidth="1"/>
    <col min="22" max="22" width="9.7109375" style="135" customWidth="1"/>
    <col min="23" max="23" width="107.42578125" style="134" customWidth="1"/>
    <col min="24" max="24" width="44.7109375" style="134" customWidth="1"/>
    <col min="25" max="26" width="9.7109375" style="134" customWidth="1"/>
    <col min="27" max="16384" width="9.140625" style="134"/>
  </cols>
  <sheetData>
    <row r="2" spans="1:23" ht="21" x14ac:dyDescent="0.35">
      <c r="A2" s="133"/>
    </row>
    <row r="6" spans="1:23" ht="31.5" x14ac:dyDescent="0.25">
      <c r="A6" s="136"/>
      <c r="B6" s="137" t="s">
        <v>255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V6" s="134"/>
    </row>
    <row r="7" spans="1:23" ht="15" customHeight="1" x14ac:dyDescent="0.25">
      <c r="V7" s="134"/>
    </row>
    <row r="8" spans="1:23" ht="15" customHeight="1" x14ac:dyDescent="0.25">
      <c r="V8" s="134"/>
    </row>
    <row r="9" spans="1:23" ht="15" customHeight="1" x14ac:dyDescent="0.25">
      <c r="V9" s="134"/>
    </row>
    <row r="10" spans="1:23" ht="28.5" x14ac:dyDescent="0.25">
      <c r="C10" s="138" t="s">
        <v>280</v>
      </c>
      <c r="V10" s="134"/>
    </row>
    <row r="11" spans="1:23" ht="15" customHeight="1" x14ac:dyDescent="0.25">
      <c r="V11" s="134"/>
    </row>
    <row r="15" spans="1:23" ht="30" customHeight="1" x14ac:dyDescent="0.25">
      <c r="C15" s="138" t="s">
        <v>260</v>
      </c>
    </row>
    <row r="16" spans="1:23" ht="15" customHeight="1" x14ac:dyDescent="0.25">
      <c r="W16" s="139"/>
    </row>
    <row r="17" spans="12:32" ht="15" customHeight="1" x14ac:dyDescent="0.25">
      <c r="W17" s="139"/>
    </row>
    <row r="28" spans="12:32" ht="21" x14ac:dyDescent="0.25">
      <c r="L28" s="148" t="s">
        <v>253</v>
      </c>
      <c r="M28" s="148"/>
      <c r="N28" s="148"/>
      <c r="O28" s="148"/>
    </row>
    <row r="29" spans="12:32" ht="15" customHeight="1" x14ac:dyDescent="0.25">
      <c r="V29" s="134"/>
    </row>
    <row r="30" spans="12:32" ht="18.75" x14ac:dyDescent="0.25">
      <c r="L30" s="149">
        <v>45432.788935185185</v>
      </c>
      <c r="M30" s="149"/>
      <c r="N30" s="149"/>
      <c r="O30" s="149"/>
      <c r="V30" s="134"/>
    </row>
    <row r="31" spans="12:32" ht="15" customHeight="1" x14ac:dyDescent="0.25">
      <c r="L31" s="140" t="s">
        <v>256</v>
      </c>
      <c r="V31" s="134"/>
      <c r="AA31" s="141"/>
      <c r="AB31" s="141"/>
      <c r="AC31" s="141"/>
      <c r="AD31" s="141"/>
      <c r="AE31" s="141"/>
      <c r="AF31" s="141"/>
    </row>
    <row r="32" spans="12:32" ht="15" customHeight="1" x14ac:dyDescent="0.25">
      <c r="V32" s="134"/>
    </row>
    <row r="33" spans="2:32" ht="15" customHeight="1" x14ac:dyDescent="0.25">
      <c r="B33" s="142" t="s">
        <v>22</v>
      </c>
      <c r="V33" s="134"/>
    </row>
    <row r="34" spans="2:32" ht="15" customHeight="1" x14ac:dyDescent="0.25">
      <c r="B34" s="142"/>
      <c r="V34" s="142"/>
    </row>
    <row r="35" spans="2:32" ht="15" customHeight="1" x14ac:dyDescent="0.25">
      <c r="B35" s="142" t="s">
        <v>254</v>
      </c>
      <c r="V35" s="142"/>
    </row>
    <row r="36" spans="2:32" ht="15" customHeight="1" x14ac:dyDescent="0.25">
      <c r="B36" s="142" t="s">
        <v>23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W36" s="141"/>
      <c r="X36" s="141"/>
      <c r="Y36" s="141"/>
      <c r="Z36" s="141"/>
    </row>
    <row r="38" spans="2:32" ht="15" customHeight="1" x14ac:dyDescent="0.25">
      <c r="B38" s="142" t="s">
        <v>257</v>
      </c>
    </row>
    <row r="39" spans="2:32" ht="15" customHeight="1" x14ac:dyDescent="0.25">
      <c r="B39" s="142" t="s">
        <v>258</v>
      </c>
    </row>
    <row r="40" spans="2:32" ht="15" customHeight="1" x14ac:dyDescent="0.25">
      <c r="B40" s="143" t="s">
        <v>259</v>
      </c>
      <c r="AA40" s="141"/>
      <c r="AB40" s="141"/>
      <c r="AC40" s="141"/>
      <c r="AD40" s="141"/>
      <c r="AE40" s="141"/>
      <c r="AF40" s="141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7"/>
  <sheetViews>
    <sheetView showGridLines="0" zoomScaleNormal="100" workbookViewId="0"/>
  </sheetViews>
  <sheetFormatPr defaultColWidth="9.140625" defaultRowHeight="15" x14ac:dyDescent="0.25"/>
  <cols>
    <col min="1" max="1" width="7.7109375" style="5" customWidth="1"/>
    <col min="2" max="2" width="15.85546875" style="5" customWidth="1"/>
    <col min="3" max="3" width="2.85546875" style="5" customWidth="1"/>
    <col min="4" max="4" width="54.7109375" style="5" customWidth="1"/>
    <col min="5" max="16384" width="9.140625" style="5"/>
  </cols>
  <sheetData>
    <row r="1" spans="1:4" ht="18.75" x14ac:dyDescent="0.3">
      <c r="A1" s="144" t="s">
        <v>279</v>
      </c>
      <c r="B1" s="145" t="s">
        <v>280</v>
      </c>
      <c r="C1" s="3"/>
      <c r="D1" s="4"/>
    </row>
    <row r="2" spans="1:4" ht="18.75" x14ac:dyDescent="0.3">
      <c r="A2" s="2"/>
      <c r="B2" s="3"/>
      <c r="C2" s="3"/>
      <c r="D2" s="4"/>
    </row>
    <row r="3" spans="1:4" ht="18.75" x14ac:dyDescent="0.3">
      <c r="A3" s="2"/>
      <c r="B3" s="146" t="s">
        <v>6</v>
      </c>
      <c r="C3" s="6"/>
      <c r="D3" s="6"/>
    </row>
    <row r="4" spans="1:4" ht="15" customHeight="1" x14ac:dyDescent="0.3">
      <c r="A4" s="7"/>
      <c r="B4" s="8" t="str">
        <f ca="1">HYPERLINK("#"&amp;CELL("address",Macro_CurrPrices!D$2),MID(CELL("filename",Macro_CurrPrices!D$2),FIND("]",CELL("filename",Macro_CurrPrices!D$2))+1,256))</f>
        <v>Macro_CurrPrices</v>
      </c>
      <c r="C4" s="9"/>
      <c r="D4" s="147" t="s">
        <v>246</v>
      </c>
    </row>
    <row r="5" spans="1:4" ht="15" customHeight="1" x14ac:dyDescent="0.3">
      <c r="A5" s="7"/>
      <c r="B5" s="8" t="str">
        <f ca="1">HYPERLINK("#"&amp;CELL("address",Macro_euro2015!D$2),MID(CELL("filename",Macro_euro2015!D$2),FIND("]",CELL("filename",Macro_euro2015!D$2))+1,256))</f>
        <v>Macro_euro2015</v>
      </c>
      <c r="C5" s="9"/>
      <c r="D5" s="147" t="s">
        <v>263</v>
      </c>
    </row>
    <row r="6" spans="1:4" ht="15" customHeight="1" x14ac:dyDescent="0.3">
      <c r="A6" s="7"/>
      <c r="B6" s="8" t="str">
        <f ca="1">HYPERLINK("#"&amp;CELL("address",'Macro_JRC-IDEES'!$D$2),MID(CELL("filename",'Macro_JRC-IDEES'!$D$2),FIND("]",CELL("filename",'Macro_JRC-IDEES'!$D$2))+1,256))</f>
        <v>Macro_JRC-IDEES</v>
      </c>
      <c r="C6" s="9"/>
      <c r="D6" s="147" t="s">
        <v>264</v>
      </c>
    </row>
    <row r="7" spans="1:4" ht="15" customHeight="1" x14ac:dyDescent="0.3">
      <c r="A7" s="7"/>
      <c r="B7" s="8" t="str">
        <f ca="1">HYPERLINK("#"&amp;CELL("address",definitions!$D$2),MID(CELL("filename",definitions!$D$2),FIND("]",CELL("filename",definitions!$D$2))+1,256))</f>
        <v>definitions</v>
      </c>
      <c r="C7" s="9"/>
      <c r="D7" s="147" t="s">
        <v>247</v>
      </c>
    </row>
  </sheetData>
  <pageMargins left="0.39370078740157483" right="0.39370078740157483" top="0.39370078740157483" bottom="0.3937007874015748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25" width="8.7109375" style="10" customWidth="1"/>
    <col min="26" max="16384" width="9.140625" style="10"/>
  </cols>
  <sheetData>
    <row r="1" spans="1:25" ht="12.75" customHeight="1" x14ac:dyDescent="0.2">
      <c r="A1" s="13"/>
      <c r="B1" s="14" t="s">
        <v>279</v>
      </c>
      <c r="C1" s="15" t="s">
        <v>268</v>
      </c>
      <c r="D1" s="33">
        <v>2000</v>
      </c>
      <c r="E1" s="33">
        <v>2001</v>
      </c>
      <c r="F1" s="33">
        <v>2002</v>
      </c>
      <c r="G1" s="33">
        <v>2003</v>
      </c>
      <c r="H1" s="33">
        <v>2004</v>
      </c>
      <c r="I1" s="33">
        <v>2005</v>
      </c>
      <c r="J1" s="33">
        <v>2006</v>
      </c>
      <c r="K1" s="33">
        <v>2007</v>
      </c>
      <c r="L1" s="33">
        <v>2008</v>
      </c>
      <c r="M1" s="33">
        <v>2009</v>
      </c>
      <c r="N1" s="33">
        <v>2010</v>
      </c>
      <c r="O1" s="33">
        <v>2011</v>
      </c>
      <c r="P1" s="33">
        <v>2012</v>
      </c>
      <c r="Q1" s="33">
        <v>2013</v>
      </c>
      <c r="R1" s="33">
        <v>2014</v>
      </c>
      <c r="S1" s="33">
        <v>2015</v>
      </c>
      <c r="T1" s="33">
        <v>2016</v>
      </c>
      <c r="U1" s="33">
        <v>2017</v>
      </c>
      <c r="V1" s="33">
        <v>2018</v>
      </c>
      <c r="W1" s="33">
        <v>2019</v>
      </c>
      <c r="X1" s="33">
        <v>2020</v>
      </c>
      <c r="Y1" s="33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22885.756197576891</v>
      </c>
      <c r="E2" s="19">
        <v>24332.689740076774</v>
      </c>
      <c r="F2" s="19">
        <v>26136.279495323146</v>
      </c>
      <c r="G2" s="19">
        <v>27470.801367690303</v>
      </c>
      <c r="H2" s="19">
        <v>28982.67358588479</v>
      </c>
      <c r="I2" s="19">
        <v>30479.68945945302</v>
      </c>
      <c r="J2" s="19">
        <v>32943.030715442794</v>
      </c>
      <c r="K2" s="19">
        <v>36708.366584615382</v>
      </c>
      <c r="L2" s="19">
        <v>39693.502480560368</v>
      </c>
      <c r="M2" s="19">
        <v>37944.44946706581</v>
      </c>
      <c r="N2" s="19">
        <v>38058.651763006688</v>
      </c>
      <c r="O2" s="19">
        <v>38785.603463813306</v>
      </c>
      <c r="P2" s="19">
        <v>37942.950519056118</v>
      </c>
      <c r="Q2" s="19">
        <v>38153.177794350428</v>
      </c>
      <c r="R2" s="19">
        <v>39388.197885965361</v>
      </c>
      <c r="S2" s="19">
        <v>40663.519686</v>
      </c>
      <c r="T2" s="19">
        <v>42327.962012014985</v>
      </c>
      <c r="U2" s="19">
        <v>45015.812911451765</v>
      </c>
      <c r="V2" s="19">
        <v>48014.440301206552</v>
      </c>
      <c r="W2" s="19">
        <v>50846.190102140077</v>
      </c>
      <c r="X2" s="19">
        <v>49237.598853051903</v>
      </c>
      <c r="Y2" s="19">
        <v>54715.49778662606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12886.047100283255</v>
      </c>
      <c r="E3" s="23">
        <v>13511.931985390032</v>
      </c>
      <c r="F3" s="23">
        <v>14348.837308664642</v>
      </c>
      <c r="G3" s="23">
        <v>15101.515351598739</v>
      </c>
      <c r="H3" s="23">
        <v>15597.242730130663</v>
      </c>
      <c r="I3" s="23">
        <v>16234.255151610028</v>
      </c>
      <c r="J3" s="23">
        <v>16832.370929945297</v>
      </c>
      <c r="K3" s="23">
        <v>18655.323612414493</v>
      </c>
      <c r="L3" s="23">
        <v>20263.968915967107</v>
      </c>
      <c r="M3" s="23">
        <v>20860.450625345056</v>
      </c>
      <c r="N3" s="23">
        <v>21370.628492497013</v>
      </c>
      <c r="O3" s="23">
        <v>21922.373048726571</v>
      </c>
      <c r="P3" s="23">
        <v>21808.689234626312</v>
      </c>
      <c r="Q3" s="23">
        <v>21399.22169459318</v>
      </c>
      <c r="R3" s="23">
        <v>21653.820283473651</v>
      </c>
      <c r="S3" s="23">
        <v>21959.543400000002</v>
      </c>
      <c r="T3" s="23">
        <v>22853.286515049633</v>
      </c>
      <c r="U3" s="23">
        <v>23647.945663540137</v>
      </c>
      <c r="V3" s="23">
        <v>24964.419082141991</v>
      </c>
      <c r="W3" s="23">
        <v>26674.595655958823</v>
      </c>
      <c r="X3" s="23">
        <v>24809.092219496946</v>
      </c>
      <c r="Y3" s="23">
        <v>28271.547466098309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19096</v>
      </c>
      <c r="E4" s="27">
        <v>20399.699999999997</v>
      </c>
      <c r="F4" s="27">
        <v>21809.5</v>
      </c>
      <c r="G4" s="27">
        <v>22974.2</v>
      </c>
      <c r="H4" s="27">
        <v>24295.200000000001</v>
      </c>
      <c r="I4" s="27">
        <v>25576.400000000001</v>
      </c>
      <c r="J4" s="27">
        <v>27654.7</v>
      </c>
      <c r="K4" s="27">
        <v>30729.599999999999</v>
      </c>
      <c r="L4" s="27">
        <v>33204.300000000003</v>
      </c>
      <c r="M4" s="27">
        <v>31725.200000000001</v>
      </c>
      <c r="N4" s="27">
        <v>31693.5</v>
      </c>
      <c r="O4" s="27">
        <v>32265.7</v>
      </c>
      <c r="P4" s="27">
        <v>31475.200000000001</v>
      </c>
      <c r="Q4" s="27">
        <v>31508.799999999999</v>
      </c>
      <c r="R4" s="27">
        <v>32531.999999999996</v>
      </c>
      <c r="S4" s="27">
        <v>33591.699999999997</v>
      </c>
      <c r="T4" s="27">
        <v>35029.599999999999</v>
      </c>
      <c r="U4" s="27">
        <v>37370</v>
      </c>
      <c r="V4" s="27">
        <v>39961.4</v>
      </c>
      <c r="W4" s="27">
        <v>42377.1</v>
      </c>
      <c r="X4" s="27">
        <v>41561.599999999999</v>
      </c>
      <c r="Y4" s="27">
        <v>45897.5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674.7</v>
      </c>
      <c r="E6" s="19">
        <v>648.20000000000005</v>
      </c>
      <c r="F6" s="19">
        <v>744</v>
      </c>
      <c r="G6" s="19">
        <v>591.1</v>
      </c>
      <c r="H6" s="19">
        <v>672.8</v>
      </c>
      <c r="I6" s="19">
        <v>706.3</v>
      </c>
      <c r="J6" s="19">
        <v>667</v>
      </c>
      <c r="K6" s="19">
        <v>718.3</v>
      </c>
      <c r="L6" s="19">
        <v>693.2</v>
      </c>
      <c r="M6" s="19">
        <v>658.4</v>
      </c>
      <c r="N6" s="19">
        <v>688.7</v>
      </c>
      <c r="O6" s="19">
        <v>794</v>
      </c>
      <c r="P6" s="19">
        <v>711.8</v>
      </c>
      <c r="Q6" s="19">
        <v>718.6</v>
      </c>
      <c r="R6" s="19">
        <v>759.1</v>
      </c>
      <c r="S6" s="19">
        <v>814.6</v>
      </c>
      <c r="T6" s="19">
        <v>800.8</v>
      </c>
      <c r="U6" s="19">
        <v>791.3</v>
      </c>
      <c r="V6" s="19">
        <v>1030.0999999999999</v>
      </c>
      <c r="W6" s="19">
        <v>981.8</v>
      </c>
      <c r="X6" s="19">
        <v>982</v>
      </c>
      <c r="Y6" s="19">
        <v>880.4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5417.6999999999989</v>
      </c>
      <c r="E7" s="23">
        <v>5849.5999999999976</v>
      </c>
      <c r="F7" s="23">
        <v>6202.2999999999975</v>
      </c>
      <c r="G7" s="23">
        <v>6539.0000000000036</v>
      </c>
      <c r="H7" s="23">
        <v>6903.4000000000015</v>
      </c>
      <c r="I7" s="23">
        <v>7019.4999999999991</v>
      </c>
      <c r="J7" s="23">
        <v>7539.8999999999933</v>
      </c>
      <c r="K7" s="23">
        <v>8315.5000000000018</v>
      </c>
      <c r="L7" s="23">
        <v>8550.5000000000018</v>
      </c>
      <c r="M7" s="23">
        <v>7466.5999999999976</v>
      </c>
      <c r="N7" s="23">
        <v>7628.2000000000025</v>
      </c>
      <c r="O7" s="23">
        <v>8043.4000000000024</v>
      </c>
      <c r="P7" s="23">
        <v>8111.6000000000022</v>
      </c>
      <c r="Q7" s="23">
        <v>8363.0000000000018</v>
      </c>
      <c r="R7" s="23">
        <v>8736.7999999999956</v>
      </c>
      <c r="S7" s="23">
        <v>9080.6999999999971</v>
      </c>
      <c r="T7" s="23">
        <v>9492.4999999999982</v>
      </c>
      <c r="U7" s="23">
        <v>10188.100000000002</v>
      </c>
      <c r="V7" s="23">
        <v>10696.700000000006</v>
      </c>
      <c r="W7" s="23">
        <v>11492.70000000001</v>
      </c>
      <c r="X7" s="23">
        <v>11239.799999999997</v>
      </c>
      <c r="Y7" s="23">
        <v>12035.599999999993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1244.8</v>
      </c>
      <c r="E8" s="23">
        <v>1253.2</v>
      </c>
      <c r="F8" s="23">
        <v>1281.2</v>
      </c>
      <c r="G8" s="23">
        <v>1400</v>
      </c>
      <c r="H8" s="23">
        <v>1474.8</v>
      </c>
      <c r="I8" s="23">
        <v>1656.2</v>
      </c>
      <c r="J8" s="23">
        <v>1941.5</v>
      </c>
      <c r="K8" s="23">
        <v>2435.9</v>
      </c>
      <c r="L8" s="23">
        <v>2746.9</v>
      </c>
      <c r="M8" s="23">
        <v>2457.8000000000002</v>
      </c>
      <c r="N8" s="23">
        <v>2010.3000000000002</v>
      </c>
      <c r="O8" s="23">
        <v>1891.5</v>
      </c>
      <c r="P8" s="23">
        <v>1819.8</v>
      </c>
      <c r="Q8" s="23">
        <v>1657.9</v>
      </c>
      <c r="R8" s="23">
        <v>1852.3</v>
      </c>
      <c r="S8" s="23">
        <v>1808.3</v>
      </c>
      <c r="T8" s="23">
        <v>1817.8</v>
      </c>
      <c r="U8" s="23">
        <v>2002.5</v>
      </c>
      <c r="V8" s="23">
        <v>2287.6999999999998</v>
      </c>
      <c r="W8" s="23">
        <v>2530.4999999999995</v>
      </c>
      <c r="X8" s="23">
        <v>2504.1999999999994</v>
      </c>
      <c r="Y8" s="23">
        <v>2825.2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3494.6</v>
      </c>
      <c r="E9" s="23">
        <v>3783.9</v>
      </c>
      <c r="F9" s="23">
        <v>4070.8</v>
      </c>
      <c r="G9" s="23">
        <v>4343.8999999999996</v>
      </c>
      <c r="H9" s="23">
        <v>4570.7</v>
      </c>
      <c r="I9" s="23">
        <v>4918.3</v>
      </c>
      <c r="J9" s="23">
        <v>5415.6</v>
      </c>
      <c r="K9" s="23">
        <v>6205.4</v>
      </c>
      <c r="L9" s="23">
        <v>6825</v>
      </c>
      <c r="M9" s="23">
        <v>6386.2</v>
      </c>
      <c r="N9" s="23">
        <v>6312.2</v>
      </c>
      <c r="O9" s="23">
        <v>6462.8</v>
      </c>
      <c r="P9" s="23">
        <v>6239.9</v>
      </c>
      <c r="Q9" s="23">
        <v>6303.8</v>
      </c>
      <c r="R9" s="23">
        <v>6497.1</v>
      </c>
      <c r="S9" s="23">
        <v>6852.5</v>
      </c>
      <c r="T9" s="23">
        <v>7251.1</v>
      </c>
      <c r="U9" s="23">
        <v>7815.4</v>
      </c>
      <c r="V9" s="23">
        <v>8417.2999999999993</v>
      </c>
      <c r="W9" s="23">
        <v>8842</v>
      </c>
      <c r="X9" s="23">
        <v>8014.7</v>
      </c>
      <c r="Y9" s="23">
        <v>9141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722.9</v>
      </c>
      <c r="E10" s="23">
        <v>799.6</v>
      </c>
      <c r="F10" s="23">
        <v>789</v>
      </c>
      <c r="G10" s="23">
        <v>851</v>
      </c>
      <c r="H10" s="23">
        <v>916.9</v>
      </c>
      <c r="I10" s="23">
        <v>1016.6</v>
      </c>
      <c r="J10" s="23">
        <v>1110.5</v>
      </c>
      <c r="K10" s="23">
        <v>1231.9000000000003</v>
      </c>
      <c r="L10" s="23">
        <v>1333</v>
      </c>
      <c r="M10" s="23">
        <v>1237.4000000000001</v>
      </c>
      <c r="N10" s="23">
        <v>1294.7</v>
      </c>
      <c r="O10" s="23">
        <v>1320.7</v>
      </c>
      <c r="P10" s="23">
        <v>1349.6</v>
      </c>
      <c r="Q10" s="23">
        <v>1321.2</v>
      </c>
      <c r="R10" s="23">
        <v>1391.5</v>
      </c>
      <c r="S10" s="23">
        <v>1357.4</v>
      </c>
      <c r="T10" s="23">
        <v>1388.2</v>
      </c>
      <c r="U10" s="23">
        <v>1488.1</v>
      </c>
      <c r="V10" s="23">
        <v>1545.4</v>
      </c>
      <c r="W10" s="23">
        <v>1701.6</v>
      </c>
      <c r="X10" s="23">
        <v>1769.2</v>
      </c>
      <c r="Y10" s="23">
        <v>1998.1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906.8</v>
      </c>
      <c r="E11" s="23">
        <v>878</v>
      </c>
      <c r="F11" s="23">
        <v>937</v>
      </c>
      <c r="G11" s="23">
        <v>1049.2</v>
      </c>
      <c r="H11" s="23">
        <v>1094.9000000000001</v>
      </c>
      <c r="I11" s="23">
        <v>1160.3000000000002</v>
      </c>
      <c r="J11" s="23">
        <v>1343.6</v>
      </c>
      <c r="K11" s="23">
        <v>1425.8</v>
      </c>
      <c r="L11" s="23">
        <v>1603.3</v>
      </c>
      <c r="M11" s="23">
        <v>1671.8</v>
      </c>
      <c r="N11" s="23">
        <v>1700.6</v>
      </c>
      <c r="O11" s="23">
        <v>1651</v>
      </c>
      <c r="P11" s="23">
        <v>1362.6</v>
      </c>
      <c r="Q11" s="23">
        <v>1257.5999999999997</v>
      </c>
      <c r="R11" s="23">
        <v>1304.0999999999999</v>
      </c>
      <c r="S11" s="23">
        <v>1362.2</v>
      </c>
      <c r="T11" s="23">
        <v>1337.5</v>
      </c>
      <c r="U11" s="23">
        <v>1407.7</v>
      </c>
      <c r="V11" s="23">
        <v>1514.9</v>
      </c>
      <c r="W11" s="23">
        <v>1605.6</v>
      </c>
      <c r="X11" s="23">
        <v>1631.7</v>
      </c>
      <c r="Y11" s="23">
        <v>1924.9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1494.2</v>
      </c>
      <c r="E12" s="23">
        <v>1592.4</v>
      </c>
      <c r="F12" s="23">
        <v>1696</v>
      </c>
      <c r="G12" s="23">
        <v>1720</v>
      </c>
      <c r="H12" s="23">
        <v>1801</v>
      </c>
      <c r="I12" s="23">
        <v>1936.1000000000004</v>
      </c>
      <c r="J12" s="23">
        <v>2025.9999999999998</v>
      </c>
      <c r="K12" s="23">
        <v>2167.9</v>
      </c>
      <c r="L12" s="23">
        <v>2400.6</v>
      </c>
      <c r="M12" s="23">
        <v>2637.7</v>
      </c>
      <c r="N12" s="23">
        <v>2539.6</v>
      </c>
      <c r="O12" s="23">
        <v>2470.6</v>
      </c>
      <c r="P12" s="23">
        <v>2399.3999999999996</v>
      </c>
      <c r="Q12" s="23">
        <v>2572.5</v>
      </c>
      <c r="R12" s="23">
        <v>2529.9</v>
      </c>
      <c r="S12" s="23">
        <v>2652.9</v>
      </c>
      <c r="T12" s="23">
        <v>2771.4</v>
      </c>
      <c r="U12" s="23">
        <v>2853.3</v>
      </c>
      <c r="V12" s="23">
        <v>2975</v>
      </c>
      <c r="W12" s="23">
        <v>3044.6</v>
      </c>
      <c r="X12" s="23">
        <v>3057.4</v>
      </c>
      <c r="Y12" s="23">
        <v>3250.6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1390.5</v>
      </c>
      <c r="E13" s="23">
        <v>1517.6</v>
      </c>
      <c r="F13" s="23">
        <v>1819.2</v>
      </c>
      <c r="G13" s="23">
        <v>1966</v>
      </c>
      <c r="H13" s="23">
        <v>2106</v>
      </c>
      <c r="I13" s="23">
        <v>2125.4999999999995</v>
      </c>
      <c r="J13" s="23">
        <v>2346.9</v>
      </c>
      <c r="K13" s="23">
        <v>2703.2</v>
      </c>
      <c r="L13" s="23">
        <v>3012.2</v>
      </c>
      <c r="M13" s="23">
        <v>2874.1</v>
      </c>
      <c r="N13" s="23">
        <v>3005.6</v>
      </c>
      <c r="O13" s="23">
        <v>3042.8</v>
      </c>
      <c r="P13" s="23">
        <v>2985.9</v>
      </c>
      <c r="Q13" s="23">
        <v>3011</v>
      </c>
      <c r="R13" s="23">
        <v>3222.7</v>
      </c>
      <c r="S13" s="23">
        <v>3346.6</v>
      </c>
      <c r="T13" s="23">
        <v>3459.3</v>
      </c>
      <c r="U13" s="23">
        <v>3794.9</v>
      </c>
      <c r="V13" s="23">
        <v>4091</v>
      </c>
      <c r="W13" s="23">
        <v>4213.1000000000004</v>
      </c>
      <c r="X13" s="23">
        <v>3918.2</v>
      </c>
      <c r="Y13" s="23">
        <v>4461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3122.4</v>
      </c>
      <c r="E14" s="23">
        <v>3433.2</v>
      </c>
      <c r="F14" s="23">
        <v>3635.5000000000005</v>
      </c>
      <c r="G14" s="23">
        <v>3865.4</v>
      </c>
      <c r="H14" s="23">
        <v>4055.3999999999996</v>
      </c>
      <c r="I14" s="23">
        <v>4282</v>
      </c>
      <c r="J14" s="23">
        <v>4488.1000000000004</v>
      </c>
      <c r="K14" s="23">
        <v>4713.3999999999996</v>
      </c>
      <c r="L14" s="23">
        <v>5173.1000000000004</v>
      </c>
      <c r="M14" s="23">
        <v>5464.1</v>
      </c>
      <c r="N14" s="23">
        <v>5638.2</v>
      </c>
      <c r="O14" s="23">
        <v>5698</v>
      </c>
      <c r="P14" s="23">
        <v>5630.9</v>
      </c>
      <c r="Q14" s="23">
        <v>5446.6</v>
      </c>
      <c r="R14" s="23">
        <v>5389.6</v>
      </c>
      <c r="S14" s="23">
        <v>5469.2</v>
      </c>
      <c r="T14" s="23">
        <v>5806</v>
      </c>
      <c r="U14" s="23">
        <v>6087.1</v>
      </c>
      <c r="V14" s="23">
        <v>6420.2</v>
      </c>
      <c r="W14" s="23">
        <v>6906.7</v>
      </c>
      <c r="X14" s="23">
        <v>7557.8</v>
      </c>
      <c r="Y14" s="23">
        <v>8403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627.4</v>
      </c>
      <c r="E15" s="23">
        <v>644</v>
      </c>
      <c r="F15" s="23">
        <v>634.5</v>
      </c>
      <c r="G15" s="23">
        <v>648.59999999999991</v>
      </c>
      <c r="H15" s="23">
        <v>699.3</v>
      </c>
      <c r="I15" s="23">
        <v>755.6</v>
      </c>
      <c r="J15" s="23">
        <v>775.6</v>
      </c>
      <c r="K15" s="23">
        <v>812.3</v>
      </c>
      <c r="L15" s="23">
        <v>866.5</v>
      </c>
      <c r="M15" s="23">
        <v>871.1</v>
      </c>
      <c r="N15" s="23">
        <v>875.4</v>
      </c>
      <c r="O15" s="23">
        <v>890.9</v>
      </c>
      <c r="P15" s="23">
        <v>863.7</v>
      </c>
      <c r="Q15" s="23">
        <v>856.6</v>
      </c>
      <c r="R15" s="23">
        <v>848.9</v>
      </c>
      <c r="S15" s="23">
        <v>847.3</v>
      </c>
      <c r="T15" s="23">
        <v>905</v>
      </c>
      <c r="U15" s="23">
        <v>941.6</v>
      </c>
      <c r="V15" s="23">
        <v>983.1</v>
      </c>
      <c r="W15" s="23">
        <v>1058.5</v>
      </c>
      <c r="X15" s="23">
        <v>886.6</v>
      </c>
      <c r="Y15" s="23">
        <v>977.7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19096</v>
      </c>
      <c r="E16" s="30">
        <f t="shared" ref="E16:S16" si="0">SUM(E6:E15)</f>
        <v>20399.699999999997</v>
      </c>
      <c r="F16" s="30">
        <f t="shared" si="0"/>
        <v>21809.5</v>
      </c>
      <c r="G16" s="30">
        <f t="shared" si="0"/>
        <v>22974.200000000004</v>
      </c>
      <c r="H16" s="30">
        <f t="shared" si="0"/>
        <v>24295.200000000001</v>
      </c>
      <c r="I16" s="30">
        <f t="shared" si="0"/>
        <v>25576.400000000001</v>
      </c>
      <c r="J16" s="30">
        <f t="shared" si="0"/>
        <v>27654.69999999999</v>
      </c>
      <c r="K16" s="30">
        <f t="shared" si="0"/>
        <v>30729.600000000002</v>
      </c>
      <c r="L16" s="30">
        <f t="shared" si="0"/>
        <v>33204.300000000003</v>
      </c>
      <c r="M16" s="30">
        <f t="shared" si="0"/>
        <v>31725.199999999997</v>
      </c>
      <c r="N16" s="30">
        <f t="shared" si="0"/>
        <v>31693.500000000004</v>
      </c>
      <c r="O16" s="30">
        <f t="shared" si="0"/>
        <v>32265.7</v>
      </c>
      <c r="P16" s="30">
        <f t="shared" si="0"/>
        <v>31475.200000000001</v>
      </c>
      <c r="Q16" s="30">
        <f t="shared" si="0"/>
        <v>31508.800000000003</v>
      </c>
      <c r="R16" s="30">
        <f t="shared" si="0"/>
        <v>32532</v>
      </c>
      <c r="S16" s="30">
        <f t="shared" si="0"/>
        <v>33591.700000000004</v>
      </c>
      <c r="T16" s="30">
        <f t="shared" ref="T16:Y16" si="1">SUM(T6:T15)</f>
        <v>35029.599999999999</v>
      </c>
      <c r="U16" s="30">
        <f t="shared" si="1"/>
        <v>37370</v>
      </c>
      <c r="V16" s="30">
        <f t="shared" si="1"/>
        <v>39961.400000000009</v>
      </c>
      <c r="W16" s="30">
        <f t="shared" si="1"/>
        <v>42377.1</v>
      </c>
      <c r="X16" s="30">
        <f t="shared" si="1"/>
        <v>41561.599999999999</v>
      </c>
      <c r="Y16" s="30">
        <f t="shared" si="1"/>
        <v>45897.499999999985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674.7</v>
      </c>
      <c r="E18" s="19">
        <v>648.20000000000005</v>
      </c>
      <c r="F18" s="19">
        <v>744</v>
      </c>
      <c r="G18" s="19">
        <v>591.1</v>
      </c>
      <c r="H18" s="19">
        <v>672.8</v>
      </c>
      <c r="I18" s="19">
        <v>706.3</v>
      </c>
      <c r="J18" s="19">
        <v>667</v>
      </c>
      <c r="K18" s="19">
        <v>718.3</v>
      </c>
      <c r="L18" s="19">
        <v>693.2</v>
      </c>
      <c r="M18" s="19">
        <v>658.4</v>
      </c>
      <c r="N18" s="19">
        <v>688.7</v>
      </c>
      <c r="O18" s="19">
        <v>794</v>
      </c>
      <c r="P18" s="19">
        <v>711.8</v>
      </c>
      <c r="Q18" s="19">
        <v>718.6</v>
      </c>
      <c r="R18" s="19">
        <v>759.1</v>
      </c>
      <c r="S18" s="19">
        <v>814.6</v>
      </c>
      <c r="T18" s="19">
        <v>800.8</v>
      </c>
      <c r="U18" s="19">
        <v>791.3</v>
      </c>
      <c r="V18" s="19">
        <v>1030.0999999999999</v>
      </c>
      <c r="W18" s="19">
        <v>981.8</v>
      </c>
      <c r="X18" s="19">
        <v>982</v>
      </c>
      <c r="Y18" s="19">
        <v>880.4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119.6</v>
      </c>
      <c r="E19" s="23">
        <v>112.1</v>
      </c>
      <c r="F19" s="23">
        <v>104</v>
      </c>
      <c r="G19" s="23">
        <v>114.3</v>
      </c>
      <c r="H19" s="23">
        <v>129.4</v>
      </c>
      <c r="I19" s="23">
        <v>133.1</v>
      </c>
      <c r="J19" s="23">
        <v>138.49999999999997</v>
      </c>
      <c r="K19" s="23">
        <v>145.19999999999999</v>
      </c>
      <c r="L19" s="23">
        <v>146.19999999999999</v>
      </c>
      <c r="M19" s="23">
        <v>144</v>
      </c>
      <c r="N19" s="23">
        <v>139.30000000000004</v>
      </c>
      <c r="O19" s="23">
        <v>146.1</v>
      </c>
      <c r="P19" s="23">
        <v>143.1</v>
      </c>
      <c r="Q19" s="23">
        <v>126.5</v>
      </c>
      <c r="R19" s="23">
        <v>128</v>
      </c>
      <c r="S19" s="23">
        <v>124.6</v>
      </c>
      <c r="T19" s="23">
        <v>130.4</v>
      </c>
      <c r="U19" s="23">
        <v>138.5</v>
      </c>
      <c r="V19" s="23">
        <v>143.30000000000001</v>
      </c>
      <c r="W19" s="23">
        <v>137.69999999999996</v>
      </c>
      <c r="X19" s="23">
        <v>129.69999999999999</v>
      </c>
      <c r="Y19" s="23">
        <v>120.3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4736.3999999999987</v>
      </c>
      <c r="E20" s="23">
        <v>5098.4999999999973</v>
      </c>
      <c r="F20" s="23">
        <v>5379.2999999999975</v>
      </c>
      <c r="G20" s="23">
        <v>5694.2000000000035</v>
      </c>
      <c r="H20" s="23">
        <v>5937.2000000000025</v>
      </c>
      <c r="I20" s="23">
        <v>6001.7999999999993</v>
      </c>
      <c r="J20" s="23">
        <v>6443.599999999994</v>
      </c>
      <c r="K20" s="23">
        <v>7146.4000000000024</v>
      </c>
      <c r="L20" s="23">
        <v>7282.2000000000025</v>
      </c>
      <c r="M20" s="23">
        <v>6209.3999999999987</v>
      </c>
      <c r="N20" s="23">
        <v>6355.9000000000015</v>
      </c>
      <c r="O20" s="23">
        <v>6748.8000000000038</v>
      </c>
      <c r="P20" s="23">
        <v>6790.4000000000024</v>
      </c>
      <c r="Q20" s="23">
        <v>6984.6000000000022</v>
      </c>
      <c r="R20" s="23">
        <v>7385.0999999999967</v>
      </c>
      <c r="S20" s="23">
        <v>7746.7999999999965</v>
      </c>
      <c r="T20" s="23">
        <v>8156.3999999999969</v>
      </c>
      <c r="U20" s="23">
        <v>8849.0000000000018</v>
      </c>
      <c r="V20" s="23">
        <v>9316.7000000000062</v>
      </c>
      <c r="W20" s="23">
        <v>10007.20000000001</v>
      </c>
      <c r="X20" s="23">
        <v>9657.2999999999993</v>
      </c>
      <c r="Y20" s="23">
        <v>10438.899999999994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373.8</v>
      </c>
      <c r="E21" s="23">
        <v>432.7</v>
      </c>
      <c r="F21" s="23">
        <v>519.79999999999995</v>
      </c>
      <c r="G21" s="23">
        <v>505.70000000000005</v>
      </c>
      <c r="H21" s="23">
        <v>580.20000000000005</v>
      </c>
      <c r="I21" s="23">
        <v>619.29999999999995</v>
      </c>
      <c r="J21" s="23">
        <v>676.4</v>
      </c>
      <c r="K21" s="23">
        <v>700.4</v>
      </c>
      <c r="L21" s="23">
        <v>780.2</v>
      </c>
      <c r="M21" s="23">
        <v>788.8</v>
      </c>
      <c r="N21" s="23">
        <v>825.4</v>
      </c>
      <c r="O21" s="23">
        <v>834.7</v>
      </c>
      <c r="P21" s="23">
        <v>872.9</v>
      </c>
      <c r="Q21" s="23">
        <v>933.2</v>
      </c>
      <c r="R21" s="23">
        <v>894.2</v>
      </c>
      <c r="S21" s="23">
        <v>878.8</v>
      </c>
      <c r="T21" s="23">
        <v>881.2</v>
      </c>
      <c r="U21" s="23">
        <v>870.4</v>
      </c>
      <c r="V21" s="23">
        <v>892.9</v>
      </c>
      <c r="W21" s="23">
        <v>993.2</v>
      </c>
      <c r="X21" s="23">
        <v>1069.0999999999999</v>
      </c>
      <c r="Y21" s="23">
        <v>1024.0999999999999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187.9</v>
      </c>
      <c r="E22" s="23">
        <v>206.29999999999995</v>
      </c>
      <c r="F22" s="23">
        <v>199.2</v>
      </c>
      <c r="G22" s="23">
        <v>224.79999999999995</v>
      </c>
      <c r="H22" s="23">
        <v>256.60000000000002</v>
      </c>
      <c r="I22" s="23">
        <v>265.3</v>
      </c>
      <c r="J22" s="23">
        <v>281.39999999999998</v>
      </c>
      <c r="K22" s="23">
        <v>323.50000000000006</v>
      </c>
      <c r="L22" s="23">
        <v>341.9</v>
      </c>
      <c r="M22" s="23">
        <v>324.39999999999998</v>
      </c>
      <c r="N22" s="23">
        <v>307.60000000000002</v>
      </c>
      <c r="O22" s="23">
        <v>313.8</v>
      </c>
      <c r="P22" s="23">
        <v>305.2</v>
      </c>
      <c r="Q22" s="23">
        <v>318.7</v>
      </c>
      <c r="R22" s="23">
        <v>329.5</v>
      </c>
      <c r="S22" s="23">
        <v>330.5</v>
      </c>
      <c r="T22" s="23">
        <v>324.5</v>
      </c>
      <c r="U22" s="23">
        <v>330.2</v>
      </c>
      <c r="V22" s="23">
        <v>343.8</v>
      </c>
      <c r="W22" s="23">
        <v>354.6</v>
      </c>
      <c r="X22" s="23">
        <v>383.7</v>
      </c>
      <c r="Y22" s="23">
        <v>452.3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1244.8</v>
      </c>
      <c r="E23" s="23">
        <v>1253.2</v>
      </c>
      <c r="F23" s="23">
        <v>1281.2</v>
      </c>
      <c r="G23" s="23">
        <v>1400</v>
      </c>
      <c r="H23" s="23">
        <v>1474.8</v>
      </c>
      <c r="I23" s="23">
        <v>1656.2</v>
      </c>
      <c r="J23" s="23">
        <v>1941.5</v>
      </c>
      <c r="K23" s="23">
        <v>2435.9</v>
      </c>
      <c r="L23" s="23">
        <v>2746.9</v>
      </c>
      <c r="M23" s="23">
        <v>2457.8000000000002</v>
      </c>
      <c r="N23" s="23">
        <v>2010.3000000000002</v>
      </c>
      <c r="O23" s="23">
        <v>1891.5</v>
      </c>
      <c r="P23" s="23">
        <v>1819.8</v>
      </c>
      <c r="Q23" s="23">
        <v>1657.9</v>
      </c>
      <c r="R23" s="23">
        <v>1852.3</v>
      </c>
      <c r="S23" s="23">
        <v>1808.3</v>
      </c>
      <c r="T23" s="23">
        <v>1817.8</v>
      </c>
      <c r="U23" s="23">
        <v>2002.5</v>
      </c>
      <c r="V23" s="23">
        <v>2287.6999999999998</v>
      </c>
      <c r="W23" s="23">
        <v>2530.4999999999995</v>
      </c>
      <c r="X23" s="23">
        <v>2504.1999999999994</v>
      </c>
      <c r="Y23" s="23">
        <v>2825.2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2056.2000000000003</v>
      </c>
      <c r="E24" s="23">
        <v>2261.6999999999998</v>
      </c>
      <c r="F24" s="23">
        <v>2485.1000000000004</v>
      </c>
      <c r="G24" s="23">
        <v>2681.7</v>
      </c>
      <c r="H24" s="23">
        <v>2786.4000000000005</v>
      </c>
      <c r="I24" s="23">
        <v>3030.4</v>
      </c>
      <c r="J24" s="23">
        <v>3281.1999999999994</v>
      </c>
      <c r="K24" s="23">
        <v>3769.7</v>
      </c>
      <c r="L24" s="23">
        <v>4210.0999999999995</v>
      </c>
      <c r="M24" s="23">
        <v>3977.8000000000006</v>
      </c>
      <c r="N24" s="23">
        <v>3867.8000000000006</v>
      </c>
      <c r="O24" s="23">
        <v>3906.3000000000006</v>
      </c>
      <c r="P24" s="23">
        <v>3711.4</v>
      </c>
      <c r="Q24" s="23">
        <v>3771.5999999999995</v>
      </c>
      <c r="R24" s="23">
        <v>3824.2000000000007</v>
      </c>
      <c r="S24" s="23">
        <v>3998.1000000000004</v>
      </c>
      <c r="T24" s="23">
        <v>4183.4000000000015</v>
      </c>
      <c r="U24" s="23">
        <v>4486.7</v>
      </c>
      <c r="V24" s="23">
        <v>4856.0999999999985</v>
      </c>
      <c r="W24" s="23">
        <v>5084.2</v>
      </c>
      <c r="X24" s="23">
        <v>4944.4000000000005</v>
      </c>
      <c r="Y24" s="23">
        <v>5591.3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997.5</v>
      </c>
      <c r="E25" s="23">
        <v>1050</v>
      </c>
      <c r="F25" s="23">
        <v>1104.6999999999998</v>
      </c>
      <c r="G25" s="23">
        <v>1160.7</v>
      </c>
      <c r="H25" s="23">
        <v>1270.2</v>
      </c>
      <c r="I25" s="23">
        <v>1333.6</v>
      </c>
      <c r="J25" s="23">
        <v>1510</v>
      </c>
      <c r="K25" s="23">
        <v>1736.2</v>
      </c>
      <c r="L25" s="23">
        <v>1876.3</v>
      </c>
      <c r="M25" s="23">
        <v>1706.4</v>
      </c>
      <c r="N25" s="23">
        <v>1752.4</v>
      </c>
      <c r="O25" s="23">
        <v>1836.4</v>
      </c>
      <c r="P25" s="23">
        <v>1833.6</v>
      </c>
      <c r="Q25" s="23">
        <v>1830.5</v>
      </c>
      <c r="R25" s="23">
        <v>1952.3</v>
      </c>
      <c r="S25" s="23">
        <v>2110.4</v>
      </c>
      <c r="T25" s="23">
        <v>2243.9</v>
      </c>
      <c r="U25" s="23">
        <v>2434.5</v>
      </c>
      <c r="V25" s="23">
        <v>2576.3000000000002</v>
      </c>
      <c r="W25" s="23">
        <v>2687.2</v>
      </c>
      <c r="X25" s="23">
        <v>2439.6000000000004</v>
      </c>
      <c r="Y25" s="23">
        <v>2715.3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440.9</v>
      </c>
      <c r="E26" s="23">
        <v>472.2</v>
      </c>
      <c r="F26" s="23">
        <v>481</v>
      </c>
      <c r="G26" s="23">
        <v>501.5</v>
      </c>
      <c r="H26" s="23">
        <v>514.1</v>
      </c>
      <c r="I26" s="23">
        <v>554.29999999999995</v>
      </c>
      <c r="J26" s="23">
        <v>624.4</v>
      </c>
      <c r="K26" s="23">
        <v>699.5</v>
      </c>
      <c r="L26" s="23">
        <v>738.6</v>
      </c>
      <c r="M26" s="23">
        <v>702</v>
      </c>
      <c r="N26" s="23">
        <v>692</v>
      </c>
      <c r="O26" s="23">
        <v>720.1</v>
      </c>
      <c r="P26" s="23">
        <v>694.9</v>
      </c>
      <c r="Q26" s="23">
        <v>701.7</v>
      </c>
      <c r="R26" s="23">
        <v>720.6</v>
      </c>
      <c r="S26" s="23">
        <v>744</v>
      </c>
      <c r="T26" s="23">
        <v>823.8</v>
      </c>
      <c r="U26" s="23">
        <v>894.2</v>
      </c>
      <c r="V26" s="23">
        <v>984.9</v>
      </c>
      <c r="W26" s="23">
        <v>1070.5999999999999</v>
      </c>
      <c r="X26" s="23">
        <v>630.70000000000005</v>
      </c>
      <c r="Y26" s="23">
        <v>834.4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722.9</v>
      </c>
      <c r="E27" s="23">
        <v>799.6</v>
      </c>
      <c r="F27" s="23">
        <v>789</v>
      </c>
      <c r="G27" s="23">
        <v>851</v>
      </c>
      <c r="H27" s="23">
        <v>916.9</v>
      </c>
      <c r="I27" s="23">
        <v>1016.6</v>
      </c>
      <c r="J27" s="23">
        <v>1110.5</v>
      </c>
      <c r="K27" s="23">
        <v>1231.9000000000003</v>
      </c>
      <c r="L27" s="23">
        <v>1333</v>
      </c>
      <c r="M27" s="23">
        <v>1237.4000000000001</v>
      </c>
      <c r="N27" s="23">
        <v>1294.7</v>
      </c>
      <c r="O27" s="23">
        <v>1320.7</v>
      </c>
      <c r="P27" s="23">
        <v>1349.6</v>
      </c>
      <c r="Q27" s="23">
        <v>1321.2</v>
      </c>
      <c r="R27" s="23">
        <v>1391.5</v>
      </c>
      <c r="S27" s="23">
        <v>1357.4</v>
      </c>
      <c r="T27" s="23">
        <v>1388.2</v>
      </c>
      <c r="U27" s="23">
        <v>1488.1</v>
      </c>
      <c r="V27" s="23">
        <v>1545.4</v>
      </c>
      <c r="W27" s="23">
        <v>1701.6</v>
      </c>
      <c r="X27" s="23">
        <v>1769.2</v>
      </c>
      <c r="Y27" s="23">
        <v>1998.1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906.8</v>
      </c>
      <c r="E28" s="23">
        <v>878</v>
      </c>
      <c r="F28" s="23">
        <v>937</v>
      </c>
      <c r="G28" s="23">
        <v>1049.2</v>
      </c>
      <c r="H28" s="23">
        <v>1094.9000000000001</v>
      </c>
      <c r="I28" s="23">
        <v>1160.3000000000002</v>
      </c>
      <c r="J28" s="23">
        <v>1343.6</v>
      </c>
      <c r="K28" s="23">
        <v>1425.8</v>
      </c>
      <c r="L28" s="23">
        <v>1603.3</v>
      </c>
      <c r="M28" s="23">
        <v>1671.8</v>
      </c>
      <c r="N28" s="23">
        <v>1700.6</v>
      </c>
      <c r="O28" s="23">
        <v>1651</v>
      </c>
      <c r="P28" s="23">
        <v>1362.6</v>
      </c>
      <c r="Q28" s="23">
        <v>1257.5999999999997</v>
      </c>
      <c r="R28" s="23">
        <v>1304.0999999999999</v>
      </c>
      <c r="S28" s="23">
        <v>1362.2</v>
      </c>
      <c r="T28" s="23">
        <v>1337.5</v>
      </c>
      <c r="U28" s="23">
        <v>1407.7</v>
      </c>
      <c r="V28" s="23">
        <v>1514.9</v>
      </c>
      <c r="W28" s="23">
        <v>1605.6</v>
      </c>
      <c r="X28" s="23">
        <v>1631.7</v>
      </c>
      <c r="Y28" s="23">
        <v>1924.9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1494.2</v>
      </c>
      <c r="E29" s="23">
        <v>1592.4</v>
      </c>
      <c r="F29" s="23">
        <v>1696</v>
      </c>
      <c r="G29" s="23">
        <v>1720</v>
      </c>
      <c r="H29" s="23">
        <v>1801</v>
      </c>
      <c r="I29" s="23">
        <v>1936.1000000000004</v>
      </c>
      <c r="J29" s="23">
        <v>2025.9999999999998</v>
      </c>
      <c r="K29" s="23">
        <v>2167.9</v>
      </c>
      <c r="L29" s="23">
        <v>2400.6</v>
      </c>
      <c r="M29" s="23">
        <v>2637.7</v>
      </c>
      <c r="N29" s="23">
        <v>2539.6</v>
      </c>
      <c r="O29" s="23">
        <v>2470.6</v>
      </c>
      <c r="P29" s="23">
        <v>2399.3999999999996</v>
      </c>
      <c r="Q29" s="23">
        <v>2572.5</v>
      </c>
      <c r="R29" s="23">
        <v>2529.9</v>
      </c>
      <c r="S29" s="23">
        <v>2652.9</v>
      </c>
      <c r="T29" s="23">
        <v>2771.4</v>
      </c>
      <c r="U29" s="23">
        <v>2853.3</v>
      </c>
      <c r="V29" s="23">
        <v>2975</v>
      </c>
      <c r="W29" s="23">
        <v>3044.6</v>
      </c>
      <c r="X29" s="23">
        <v>3057.4</v>
      </c>
      <c r="Y29" s="23">
        <v>3250.6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927</v>
      </c>
      <c r="E30" s="23">
        <v>1017.3</v>
      </c>
      <c r="F30" s="23">
        <v>1286.6999999999998</v>
      </c>
      <c r="G30" s="23">
        <v>1383.2</v>
      </c>
      <c r="H30" s="23">
        <v>1450.1</v>
      </c>
      <c r="I30" s="23">
        <v>1514.9</v>
      </c>
      <c r="J30" s="23">
        <v>1681.3</v>
      </c>
      <c r="K30" s="23">
        <v>1894.8000000000002</v>
      </c>
      <c r="L30" s="23">
        <v>2181.9</v>
      </c>
      <c r="M30" s="23">
        <v>2103.8000000000002</v>
      </c>
      <c r="N30" s="23">
        <v>2166.0000000000005</v>
      </c>
      <c r="O30" s="23">
        <v>2198.3000000000002</v>
      </c>
      <c r="P30" s="23">
        <v>2152.5</v>
      </c>
      <c r="Q30" s="23">
        <v>2197.6999999999998</v>
      </c>
      <c r="R30" s="23">
        <v>2296.4999999999995</v>
      </c>
      <c r="S30" s="23">
        <v>2352.8999999999996</v>
      </c>
      <c r="T30" s="23">
        <v>2389.3999999999996</v>
      </c>
      <c r="U30" s="23">
        <v>2586.8000000000002</v>
      </c>
      <c r="V30" s="23">
        <v>2786.2</v>
      </c>
      <c r="W30" s="23">
        <v>2915.1000000000004</v>
      </c>
      <c r="X30" s="23">
        <v>2842.9</v>
      </c>
      <c r="Y30" s="23">
        <v>3226.1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463.5</v>
      </c>
      <c r="E31" s="23">
        <v>500.3</v>
      </c>
      <c r="F31" s="23">
        <v>532.5</v>
      </c>
      <c r="G31" s="23">
        <v>582.79999999999995</v>
      </c>
      <c r="H31" s="23">
        <v>655.9</v>
      </c>
      <c r="I31" s="23">
        <v>610.6</v>
      </c>
      <c r="J31" s="23">
        <v>665.6</v>
      </c>
      <c r="K31" s="23">
        <v>808.4</v>
      </c>
      <c r="L31" s="23">
        <v>830.3</v>
      </c>
      <c r="M31" s="23">
        <v>770.3</v>
      </c>
      <c r="N31" s="23">
        <v>839.6</v>
      </c>
      <c r="O31" s="23">
        <v>844.5</v>
      </c>
      <c r="P31" s="23">
        <v>833.4</v>
      </c>
      <c r="Q31" s="23">
        <v>813.3</v>
      </c>
      <c r="R31" s="23">
        <v>926.2</v>
      </c>
      <c r="S31" s="23">
        <v>993.7</v>
      </c>
      <c r="T31" s="23">
        <v>1069.9000000000001</v>
      </c>
      <c r="U31" s="23">
        <v>1208.0999999999999</v>
      </c>
      <c r="V31" s="23">
        <v>1304.8</v>
      </c>
      <c r="W31" s="23">
        <v>1298</v>
      </c>
      <c r="X31" s="23">
        <v>1075.3</v>
      </c>
      <c r="Y31" s="23">
        <v>1234.9000000000001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1085.3000000000002</v>
      </c>
      <c r="E32" s="23">
        <v>1207.4000000000001</v>
      </c>
      <c r="F32" s="23">
        <v>1301.4000000000003</v>
      </c>
      <c r="G32" s="23">
        <v>1427.3999999999996</v>
      </c>
      <c r="H32" s="23">
        <v>1495.1</v>
      </c>
      <c r="I32" s="23">
        <v>1569.1000000000004</v>
      </c>
      <c r="J32" s="23">
        <v>1660.0000000000007</v>
      </c>
      <c r="K32" s="23">
        <v>1743.6999999999998</v>
      </c>
      <c r="L32" s="23">
        <v>1923.0000000000007</v>
      </c>
      <c r="M32" s="23">
        <v>2020.3000000000002</v>
      </c>
      <c r="N32" s="23">
        <v>2082.6999999999998</v>
      </c>
      <c r="O32" s="23">
        <v>2079.5000000000005</v>
      </c>
      <c r="P32" s="23">
        <v>2041.9999999999998</v>
      </c>
      <c r="Q32" s="23">
        <v>1955.8</v>
      </c>
      <c r="R32" s="23">
        <v>1927.5</v>
      </c>
      <c r="S32" s="23">
        <v>1948</v>
      </c>
      <c r="T32" s="23">
        <v>2076.9</v>
      </c>
      <c r="U32" s="23">
        <v>2170.4</v>
      </c>
      <c r="V32" s="23">
        <v>2270.6</v>
      </c>
      <c r="W32" s="23">
        <v>2438.8000000000002</v>
      </c>
      <c r="X32" s="23">
        <v>2614.1000000000004</v>
      </c>
      <c r="Y32" s="23">
        <v>2852.5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1069.0999999999999</v>
      </c>
      <c r="E33" s="23">
        <v>1178.8</v>
      </c>
      <c r="F33" s="23">
        <v>1248.5</v>
      </c>
      <c r="G33" s="23">
        <v>1311.8</v>
      </c>
      <c r="H33" s="23">
        <v>1401.2</v>
      </c>
      <c r="I33" s="23">
        <v>1488.7</v>
      </c>
      <c r="J33" s="23">
        <v>1569.7</v>
      </c>
      <c r="K33" s="23">
        <v>1634.2</v>
      </c>
      <c r="L33" s="23">
        <v>1747.8</v>
      </c>
      <c r="M33" s="23">
        <v>1821.3</v>
      </c>
      <c r="N33" s="23">
        <v>1893.7</v>
      </c>
      <c r="O33" s="23">
        <v>1928.9</v>
      </c>
      <c r="P33" s="23">
        <v>1881.1</v>
      </c>
      <c r="Q33" s="23">
        <v>1816.5</v>
      </c>
      <c r="R33" s="23">
        <v>1800.9</v>
      </c>
      <c r="S33" s="23">
        <v>1817.1</v>
      </c>
      <c r="T33" s="23">
        <v>1902.7</v>
      </c>
      <c r="U33" s="23">
        <v>1994.6</v>
      </c>
      <c r="V33" s="23">
        <v>2087.4</v>
      </c>
      <c r="W33" s="23">
        <v>2239.8999999999996</v>
      </c>
      <c r="X33" s="23">
        <v>2346.1</v>
      </c>
      <c r="Y33" s="23">
        <v>2659.8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968</v>
      </c>
      <c r="E34" s="23">
        <v>1047.0000000000002</v>
      </c>
      <c r="F34" s="23">
        <v>1085.5999999999999</v>
      </c>
      <c r="G34" s="23">
        <v>1126.2</v>
      </c>
      <c r="H34" s="23">
        <v>1159.0999999999999</v>
      </c>
      <c r="I34" s="23">
        <v>1224.2</v>
      </c>
      <c r="J34" s="23">
        <v>1258.4000000000003</v>
      </c>
      <c r="K34" s="23">
        <v>1335.5</v>
      </c>
      <c r="L34" s="23">
        <v>1502.3</v>
      </c>
      <c r="M34" s="23">
        <v>1622.5</v>
      </c>
      <c r="N34" s="23">
        <v>1661.8</v>
      </c>
      <c r="O34" s="23">
        <v>1689.6</v>
      </c>
      <c r="P34" s="23">
        <v>1707.8</v>
      </c>
      <c r="Q34" s="23">
        <v>1674.3</v>
      </c>
      <c r="R34" s="23">
        <v>1661.2</v>
      </c>
      <c r="S34" s="23">
        <v>1704.1</v>
      </c>
      <c r="T34" s="23">
        <v>1826.4</v>
      </c>
      <c r="U34" s="23">
        <v>1922.1</v>
      </c>
      <c r="V34" s="23">
        <v>2062.1999999999998</v>
      </c>
      <c r="W34" s="23">
        <v>2228</v>
      </c>
      <c r="X34" s="23">
        <v>2597.6</v>
      </c>
      <c r="Y34" s="23">
        <v>2890.7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294.49999999999994</v>
      </c>
      <c r="E35" s="23">
        <v>313.39999999999998</v>
      </c>
      <c r="F35" s="23">
        <v>320.3</v>
      </c>
      <c r="G35" s="23">
        <v>333.19999999999993</v>
      </c>
      <c r="H35" s="23">
        <v>386.4</v>
      </c>
      <c r="I35" s="23">
        <v>429.2</v>
      </c>
      <c r="J35" s="23">
        <v>443.1</v>
      </c>
      <c r="K35" s="23">
        <v>456.1</v>
      </c>
      <c r="L35" s="23">
        <v>486.20000000000005</v>
      </c>
      <c r="M35" s="23">
        <v>486.59999999999991</v>
      </c>
      <c r="N35" s="23">
        <v>506.29999999999995</v>
      </c>
      <c r="O35" s="23">
        <v>497.4</v>
      </c>
      <c r="P35" s="23">
        <v>482.69999999999993</v>
      </c>
      <c r="Q35" s="23">
        <v>475.50000000000006</v>
      </c>
      <c r="R35" s="23">
        <v>468.1</v>
      </c>
      <c r="S35" s="23">
        <v>461.9</v>
      </c>
      <c r="T35" s="23">
        <v>497.99999999999994</v>
      </c>
      <c r="U35" s="23">
        <v>513.70000000000005</v>
      </c>
      <c r="V35" s="23">
        <v>531.6</v>
      </c>
      <c r="W35" s="23">
        <v>566.4</v>
      </c>
      <c r="X35" s="23">
        <v>444.9</v>
      </c>
      <c r="Y35" s="23">
        <v>491.60000000000008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317.10000000000002</v>
      </c>
      <c r="E36" s="23">
        <v>313.2</v>
      </c>
      <c r="F36" s="23">
        <v>296.60000000000008</v>
      </c>
      <c r="G36" s="23">
        <v>298.5</v>
      </c>
      <c r="H36" s="23">
        <v>294.2</v>
      </c>
      <c r="I36" s="23">
        <v>307.70000000000005</v>
      </c>
      <c r="J36" s="23">
        <v>313.10000000000002</v>
      </c>
      <c r="K36" s="23">
        <v>335.3</v>
      </c>
      <c r="L36" s="23">
        <v>357.3</v>
      </c>
      <c r="M36" s="23">
        <v>360.2</v>
      </c>
      <c r="N36" s="23">
        <v>343.1</v>
      </c>
      <c r="O36" s="23">
        <v>366.8</v>
      </c>
      <c r="P36" s="23">
        <v>353.7</v>
      </c>
      <c r="Q36" s="23">
        <v>353.7</v>
      </c>
      <c r="R36" s="23">
        <v>352.6</v>
      </c>
      <c r="S36" s="23">
        <v>357</v>
      </c>
      <c r="T36" s="23">
        <v>378.3</v>
      </c>
      <c r="U36" s="23">
        <v>398.8</v>
      </c>
      <c r="V36" s="23">
        <v>420.9</v>
      </c>
      <c r="W36" s="23">
        <v>460.7</v>
      </c>
      <c r="X36" s="23">
        <v>408.8</v>
      </c>
      <c r="Y36" s="23">
        <v>451.1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15.8</v>
      </c>
      <c r="E37" s="23">
        <v>17.399999999999999</v>
      </c>
      <c r="F37" s="23">
        <v>17.600000000000001</v>
      </c>
      <c r="G37" s="23">
        <v>16.899999999999999</v>
      </c>
      <c r="H37" s="23">
        <v>18.7</v>
      </c>
      <c r="I37" s="23">
        <v>18.7</v>
      </c>
      <c r="J37" s="23">
        <v>19.399999999999999</v>
      </c>
      <c r="K37" s="23">
        <v>20.9</v>
      </c>
      <c r="L37" s="23">
        <v>23</v>
      </c>
      <c r="M37" s="23">
        <v>24.3</v>
      </c>
      <c r="N37" s="23">
        <v>26</v>
      </c>
      <c r="O37" s="23">
        <v>26.7</v>
      </c>
      <c r="P37" s="23">
        <v>27.3</v>
      </c>
      <c r="Q37" s="23">
        <v>27.4</v>
      </c>
      <c r="R37" s="23">
        <v>28.2</v>
      </c>
      <c r="S37" s="23">
        <v>28.4</v>
      </c>
      <c r="T37" s="23">
        <v>28.7</v>
      </c>
      <c r="U37" s="23">
        <v>29.1</v>
      </c>
      <c r="V37" s="23">
        <v>30.6</v>
      </c>
      <c r="W37" s="23">
        <v>31.4</v>
      </c>
      <c r="X37" s="23">
        <v>32.9</v>
      </c>
      <c r="Y37" s="23">
        <v>35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19095.999999999996</v>
      </c>
      <c r="E39" s="30">
        <f t="shared" ref="E39:S39" si="2">SUM(E18:E38)</f>
        <v>20399.7</v>
      </c>
      <c r="F39" s="30">
        <f t="shared" si="2"/>
        <v>21809.499999999996</v>
      </c>
      <c r="G39" s="30">
        <f t="shared" si="2"/>
        <v>22974.200000000008</v>
      </c>
      <c r="H39" s="30">
        <f t="shared" si="2"/>
        <v>24295.200000000001</v>
      </c>
      <c r="I39" s="30">
        <f t="shared" si="2"/>
        <v>25576.400000000005</v>
      </c>
      <c r="J39" s="30">
        <f t="shared" si="2"/>
        <v>27654.69999999999</v>
      </c>
      <c r="K39" s="30">
        <f t="shared" si="2"/>
        <v>30729.600000000006</v>
      </c>
      <c r="L39" s="30">
        <f t="shared" si="2"/>
        <v>33204.299999999996</v>
      </c>
      <c r="M39" s="30">
        <f t="shared" si="2"/>
        <v>31725.199999999997</v>
      </c>
      <c r="N39" s="30">
        <f t="shared" si="2"/>
        <v>31693.499999999996</v>
      </c>
      <c r="O39" s="30">
        <f t="shared" si="2"/>
        <v>32265.700000000004</v>
      </c>
      <c r="P39" s="30">
        <f t="shared" si="2"/>
        <v>31475.199999999997</v>
      </c>
      <c r="Q39" s="30">
        <f t="shared" si="2"/>
        <v>31508.800000000003</v>
      </c>
      <c r="R39" s="30">
        <f t="shared" si="2"/>
        <v>32531.999999999996</v>
      </c>
      <c r="S39" s="30">
        <f t="shared" si="2"/>
        <v>33591.699999999997</v>
      </c>
      <c r="T39" s="30">
        <f t="shared" ref="T39:Y39" si="3">SUM(T18:T38)</f>
        <v>35029.599999999999</v>
      </c>
      <c r="U39" s="30">
        <f t="shared" si="3"/>
        <v>37370</v>
      </c>
      <c r="V39" s="30">
        <f t="shared" si="3"/>
        <v>39961.4</v>
      </c>
      <c r="W39" s="30">
        <f t="shared" si="3"/>
        <v>42377.100000000013</v>
      </c>
      <c r="X39" s="30">
        <f t="shared" si="3"/>
        <v>41561.600000000006</v>
      </c>
      <c r="Y39" s="30">
        <f t="shared" si="3"/>
        <v>45897.499999999993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504.29999999999995</v>
      </c>
      <c r="E41" s="19">
        <v>529.9</v>
      </c>
      <c r="F41" s="19">
        <v>542.1</v>
      </c>
      <c r="G41" s="19">
        <v>547</v>
      </c>
      <c r="H41" s="19">
        <v>503</v>
      </c>
      <c r="I41" s="19">
        <v>474.1</v>
      </c>
      <c r="J41" s="19">
        <v>479.39999999999992</v>
      </c>
      <c r="K41" s="19">
        <v>502.3</v>
      </c>
      <c r="L41" s="19">
        <v>470</v>
      </c>
      <c r="M41" s="19">
        <v>512.29999999999984</v>
      </c>
      <c r="N41" s="19">
        <v>462.8</v>
      </c>
      <c r="O41" s="19">
        <v>460.1</v>
      </c>
      <c r="P41" s="19">
        <v>454.4</v>
      </c>
      <c r="Q41" s="19">
        <v>467.9</v>
      </c>
      <c r="R41" s="19">
        <v>497.3</v>
      </c>
      <c r="S41" s="19">
        <v>521</v>
      </c>
      <c r="T41" s="19">
        <v>547.29999999999984</v>
      </c>
      <c r="U41" s="19">
        <v>567.6</v>
      </c>
      <c r="V41" s="19">
        <v>631.70000000000005</v>
      </c>
      <c r="W41" s="19">
        <v>686.6</v>
      </c>
      <c r="X41" s="19">
        <v>673.1</v>
      </c>
      <c r="Y41" s="19">
        <v>703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453.2</v>
      </c>
      <c r="E42" s="23">
        <v>482.59999999999991</v>
      </c>
      <c r="F42" s="23">
        <v>449</v>
      </c>
      <c r="G42" s="23">
        <v>409</v>
      </c>
      <c r="H42" s="23">
        <v>397</v>
      </c>
      <c r="I42" s="23">
        <v>391.2</v>
      </c>
      <c r="J42" s="23">
        <v>379.3</v>
      </c>
      <c r="K42" s="23">
        <v>393.5</v>
      </c>
      <c r="L42" s="23">
        <v>367.9</v>
      </c>
      <c r="M42" s="23">
        <v>292.5</v>
      </c>
      <c r="N42" s="23">
        <v>247.4</v>
      </c>
      <c r="O42" s="23">
        <v>267.2</v>
      </c>
      <c r="P42" s="23">
        <v>253</v>
      </c>
      <c r="Q42" s="23">
        <v>234</v>
      </c>
      <c r="R42" s="23">
        <v>253.6</v>
      </c>
      <c r="S42" s="23">
        <v>237.3</v>
      </c>
      <c r="T42" s="23">
        <v>252.7</v>
      </c>
      <c r="U42" s="23">
        <v>270.7</v>
      </c>
      <c r="V42" s="23">
        <v>276.10000000000002</v>
      </c>
      <c r="W42" s="23">
        <v>273.89999999999998</v>
      </c>
      <c r="X42" s="23">
        <v>237.5</v>
      </c>
      <c r="Y42" s="23">
        <v>251.3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474.9</v>
      </c>
      <c r="E43" s="23">
        <v>511.4</v>
      </c>
      <c r="F43" s="23">
        <v>545.9</v>
      </c>
      <c r="G43" s="23">
        <v>515.70000000000005</v>
      </c>
      <c r="H43" s="23">
        <v>538.4</v>
      </c>
      <c r="I43" s="23">
        <v>534.20000000000005</v>
      </c>
      <c r="J43" s="23">
        <v>552.6</v>
      </c>
      <c r="K43" s="23">
        <v>623.1</v>
      </c>
      <c r="L43" s="23">
        <v>578.90000000000009</v>
      </c>
      <c r="M43" s="23">
        <v>549.6</v>
      </c>
      <c r="N43" s="23">
        <v>488.9</v>
      </c>
      <c r="O43" s="23">
        <v>520.29999999999995</v>
      </c>
      <c r="P43" s="23">
        <v>519.99999999999989</v>
      </c>
      <c r="Q43" s="23">
        <v>520.9</v>
      </c>
      <c r="R43" s="23">
        <v>581.29999999999995</v>
      </c>
      <c r="S43" s="23">
        <v>574.20000000000005</v>
      </c>
      <c r="T43" s="23">
        <v>595.50000000000011</v>
      </c>
      <c r="U43" s="23">
        <v>618</v>
      </c>
      <c r="V43" s="23">
        <v>631.79999999999995</v>
      </c>
      <c r="W43" s="23">
        <v>695.2</v>
      </c>
      <c r="X43" s="23">
        <v>689</v>
      </c>
      <c r="Y43" s="23">
        <v>701.7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1.9</v>
      </c>
      <c r="E44" s="23">
        <v>3.4</v>
      </c>
      <c r="F44" s="23">
        <v>8.3000000000000007</v>
      </c>
      <c r="G44" s="23">
        <v>3.4000000000000004</v>
      </c>
      <c r="H44" s="23">
        <v>0.7</v>
      </c>
      <c r="I44" s="23">
        <v>1.1000000000000001</v>
      </c>
      <c r="J44" s="23">
        <v>2.2999999999999998</v>
      </c>
      <c r="K44" s="23">
        <v>1.9999999999999998</v>
      </c>
      <c r="L44" s="23">
        <v>2</v>
      </c>
      <c r="M44" s="23">
        <v>1.8</v>
      </c>
      <c r="N44" s="23">
        <v>0.8</v>
      </c>
      <c r="O44" s="23">
        <v>0.6</v>
      </c>
      <c r="P44" s="23">
        <v>0.60000000000000009</v>
      </c>
      <c r="Q44" s="23">
        <v>0.6</v>
      </c>
      <c r="R44" s="23">
        <v>0.8</v>
      </c>
      <c r="S44" s="23">
        <v>1.3</v>
      </c>
      <c r="T44" s="23">
        <v>0.1</v>
      </c>
      <c r="U44" s="23">
        <v>0.30000000000000004</v>
      </c>
      <c r="V44" s="23">
        <v>1</v>
      </c>
      <c r="W44" s="23">
        <v>0.2</v>
      </c>
      <c r="X44" s="23">
        <v>0.5</v>
      </c>
      <c r="Y44" s="23">
        <v>0.2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231.89999999999998</v>
      </c>
      <c r="E45" s="23">
        <v>248.80000000000004</v>
      </c>
      <c r="F45" s="23">
        <v>265.7</v>
      </c>
      <c r="G45" s="23">
        <v>284.7</v>
      </c>
      <c r="H45" s="23">
        <v>301.89999999999998</v>
      </c>
      <c r="I45" s="23">
        <v>294.89999999999992</v>
      </c>
      <c r="J45" s="23">
        <v>312.10000000000002</v>
      </c>
      <c r="K45" s="23">
        <v>331</v>
      </c>
      <c r="L45" s="23">
        <v>310.60000000000002</v>
      </c>
      <c r="M45" s="23">
        <v>300.7</v>
      </c>
      <c r="N45" s="23">
        <v>327.3</v>
      </c>
      <c r="O45" s="23">
        <v>366</v>
      </c>
      <c r="P45" s="23">
        <v>363.1</v>
      </c>
      <c r="Q45" s="23">
        <v>375.8</v>
      </c>
      <c r="R45" s="23">
        <v>407.2</v>
      </c>
      <c r="S45" s="23">
        <v>372.7</v>
      </c>
      <c r="T45" s="23">
        <v>362.3</v>
      </c>
      <c r="U45" s="23">
        <v>390</v>
      </c>
      <c r="V45" s="23">
        <v>387.3</v>
      </c>
      <c r="W45" s="23">
        <v>410.5</v>
      </c>
      <c r="X45" s="23">
        <v>445.2</v>
      </c>
      <c r="Y45" s="23">
        <v>482.1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373.4</v>
      </c>
      <c r="E46" s="23">
        <v>407.5</v>
      </c>
      <c r="F46" s="23">
        <v>440.6</v>
      </c>
      <c r="G46" s="23">
        <v>602.40000000000009</v>
      </c>
      <c r="H46" s="23">
        <v>638.40000000000009</v>
      </c>
      <c r="I46" s="23">
        <v>610.5</v>
      </c>
      <c r="J46" s="23">
        <v>786.4</v>
      </c>
      <c r="K46" s="23">
        <v>800.9</v>
      </c>
      <c r="L46" s="23">
        <v>788.8</v>
      </c>
      <c r="M46" s="23">
        <v>745.8</v>
      </c>
      <c r="N46" s="23">
        <v>785.2</v>
      </c>
      <c r="O46" s="23">
        <v>817</v>
      </c>
      <c r="P46" s="23">
        <v>826.7</v>
      </c>
      <c r="Q46" s="23">
        <v>897</v>
      </c>
      <c r="R46" s="23">
        <v>882.4</v>
      </c>
      <c r="S46" s="23">
        <v>862.6</v>
      </c>
      <c r="T46" s="23">
        <v>788.2</v>
      </c>
      <c r="U46" s="23">
        <v>962.4</v>
      </c>
      <c r="V46" s="23">
        <v>1053.5999999999999</v>
      </c>
      <c r="W46" s="23">
        <v>1240.3</v>
      </c>
      <c r="X46" s="23">
        <v>1383</v>
      </c>
      <c r="Y46" s="23">
        <v>1322.1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465.8</v>
      </c>
      <c r="E47" s="23">
        <v>513.1</v>
      </c>
      <c r="F47" s="23">
        <v>561.09999999999991</v>
      </c>
      <c r="G47" s="23">
        <v>598.9</v>
      </c>
      <c r="H47" s="23">
        <v>655.9</v>
      </c>
      <c r="I47" s="23">
        <v>657.6</v>
      </c>
      <c r="J47" s="23">
        <v>719.1</v>
      </c>
      <c r="K47" s="23">
        <v>778.6</v>
      </c>
      <c r="L47" s="23">
        <v>767</v>
      </c>
      <c r="M47" s="23">
        <v>667.2</v>
      </c>
      <c r="N47" s="23">
        <v>684.2</v>
      </c>
      <c r="O47" s="23">
        <v>702.4</v>
      </c>
      <c r="P47" s="23">
        <v>679</v>
      </c>
      <c r="Q47" s="23">
        <v>731.8</v>
      </c>
      <c r="R47" s="23">
        <v>787.3</v>
      </c>
      <c r="S47" s="23">
        <v>845.2</v>
      </c>
      <c r="T47" s="23">
        <v>917.6</v>
      </c>
      <c r="U47" s="23">
        <v>973.6</v>
      </c>
      <c r="V47" s="23">
        <v>1039.8</v>
      </c>
      <c r="W47" s="23">
        <v>1099.9000000000003</v>
      </c>
      <c r="X47" s="23">
        <v>1057.3</v>
      </c>
      <c r="Y47" s="23">
        <v>1164.2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770.2</v>
      </c>
      <c r="E48" s="23">
        <v>823.1</v>
      </c>
      <c r="F48" s="23">
        <v>862.2</v>
      </c>
      <c r="G48" s="23">
        <v>907.4</v>
      </c>
      <c r="H48" s="23">
        <v>937.99999999999989</v>
      </c>
      <c r="I48" s="23">
        <v>1034.2</v>
      </c>
      <c r="J48" s="23">
        <v>1087.9000000000001</v>
      </c>
      <c r="K48" s="23">
        <v>1303.7</v>
      </c>
      <c r="L48" s="23">
        <v>1419.7</v>
      </c>
      <c r="M48" s="23">
        <v>1002.6</v>
      </c>
      <c r="N48" s="23">
        <v>1079.0999999999997</v>
      </c>
      <c r="O48" s="23">
        <v>1213.2</v>
      </c>
      <c r="P48" s="23">
        <v>1208.9000000000001</v>
      </c>
      <c r="Q48" s="23">
        <v>1265.9000000000001</v>
      </c>
      <c r="R48" s="23">
        <v>1362.3</v>
      </c>
      <c r="S48" s="23">
        <v>1508.1</v>
      </c>
      <c r="T48" s="23">
        <v>1626.9</v>
      </c>
      <c r="U48" s="23">
        <v>1702.5</v>
      </c>
      <c r="V48" s="23">
        <v>1820.4</v>
      </c>
      <c r="W48" s="23">
        <v>1912.9</v>
      </c>
      <c r="X48" s="23">
        <v>1712.6</v>
      </c>
      <c r="Y48" s="23">
        <v>1923.6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262.60000000000008</v>
      </c>
      <c r="E49" s="23">
        <v>280.7</v>
      </c>
      <c r="F49" s="23">
        <v>273.8</v>
      </c>
      <c r="G49" s="23">
        <v>305.2</v>
      </c>
      <c r="H49" s="23">
        <v>320.60000000000008</v>
      </c>
      <c r="I49" s="23">
        <v>265.7</v>
      </c>
      <c r="J49" s="23">
        <v>276.60000000000002</v>
      </c>
      <c r="K49" s="23">
        <v>293.5</v>
      </c>
      <c r="L49" s="23">
        <v>295.3</v>
      </c>
      <c r="M49" s="23">
        <v>229.3</v>
      </c>
      <c r="N49" s="23">
        <v>245</v>
      </c>
      <c r="O49" s="23">
        <v>231.3</v>
      </c>
      <c r="P49" s="23">
        <v>242</v>
      </c>
      <c r="Q49" s="23">
        <v>240.6</v>
      </c>
      <c r="R49" s="23">
        <v>243.9</v>
      </c>
      <c r="S49" s="23">
        <v>231.7</v>
      </c>
      <c r="T49" s="23">
        <v>244.9</v>
      </c>
      <c r="U49" s="23">
        <v>288.10000000000002</v>
      </c>
      <c r="V49" s="23">
        <v>295.7</v>
      </c>
      <c r="W49" s="23">
        <v>334.4</v>
      </c>
      <c r="X49" s="23">
        <v>333.1</v>
      </c>
      <c r="Y49" s="23">
        <v>399.4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386.9</v>
      </c>
      <c r="E50" s="23">
        <v>415.8</v>
      </c>
      <c r="F50" s="23">
        <v>460.6</v>
      </c>
      <c r="G50" s="23">
        <v>493.80000000000007</v>
      </c>
      <c r="H50" s="23">
        <v>521.99999999999989</v>
      </c>
      <c r="I50" s="23">
        <v>552.70000000000005</v>
      </c>
      <c r="J50" s="23">
        <v>585.70000000000005</v>
      </c>
      <c r="K50" s="23">
        <v>638.6</v>
      </c>
      <c r="L50" s="23">
        <v>653.5</v>
      </c>
      <c r="M50" s="23">
        <v>536.9</v>
      </c>
      <c r="N50" s="23">
        <v>618.79999999999995</v>
      </c>
      <c r="O50" s="23">
        <v>629.1</v>
      </c>
      <c r="P50" s="23">
        <v>665.9</v>
      </c>
      <c r="Q50" s="23">
        <v>665.9</v>
      </c>
      <c r="R50" s="23">
        <v>681.9</v>
      </c>
      <c r="S50" s="23">
        <v>814.6</v>
      </c>
      <c r="T50" s="23">
        <v>885.2</v>
      </c>
      <c r="U50" s="23">
        <v>940</v>
      </c>
      <c r="V50" s="23">
        <v>921.1</v>
      </c>
      <c r="W50" s="23">
        <v>973.7</v>
      </c>
      <c r="X50" s="23">
        <v>915.5</v>
      </c>
      <c r="Y50" s="23">
        <v>1044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206.9</v>
      </c>
      <c r="E51" s="23">
        <v>225.5</v>
      </c>
      <c r="F51" s="23">
        <v>282.8</v>
      </c>
      <c r="G51" s="23">
        <v>307.39999999999998</v>
      </c>
      <c r="H51" s="23">
        <v>328</v>
      </c>
      <c r="I51" s="23">
        <v>349</v>
      </c>
      <c r="J51" s="23">
        <v>389.3</v>
      </c>
      <c r="K51" s="23">
        <v>459.4</v>
      </c>
      <c r="L51" s="23">
        <v>526.20000000000005</v>
      </c>
      <c r="M51" s="23">
        <v>437.8</v>
      </c>
      <c r="N51" s="23">
        <v>422.7</v>
      </c>
      <c r="O51" s="23">
        <v>464.7</v>
      </c>
      <c r="P51" s="23">
        <v>451</v>
      </c>
      <c r="Q51" s="23">
        <v>459.9</v>
      </c>
      <c r="R51" s="23">
        <v>488.4</v>
      </c>
      <c r="S51" s="23">
        <v>543.1</v>
      </c>
      <c r="T51" s="23">
        <v>594.70000000000005</v>
      </c>
      <c r="U51" s="23">
        <v>640.9</v>
      </c>
      <c r="V51" s="23">
        <v>677.1</v>
      </c>
      <c r="W51" s="23">
        <v>742.4</v>
      </c>
      <c r="X51" s="23">
        <v>777.3</v>
      </c>
      <c r="Y51" s="23">
        <v>847.4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218.6</v>
      </c>
      <c r="E52" s="23">
        <v>250.59999999999997</v>
      </c>
      <c r="F52" s="23">
        <v>266.60000000000002</v>
      </c>
      <c r="G52" s="23">
        <v>287.89999999999992</v>
      </c>
      <c r="H52" s="23">
        <v>334.3</v>
      </c>
      <c r="I52" s="23">
        <v>382.4</v>
      </c>
      <c r="J52" s="23">
        <v>433.2</v>
      </c>
      <c r="K52" s="23">
        <v>522.5</v>
      </c>
      <c r="L52" s="23">
        <v>580</v>
      </c>
      <c r="M52" s="23">
        <v>501.9</v>
      </c>
      <c r="N52" s="23">
        <v>558.70000000000016</v>
      </c>
      <c r="O52" s="23">
        <v>592.29999999999995</v>
      </c>
      <c r="P52" s="23">
        <v>615.5</v>
      </c>
      <c r="Q52" s="23">
        <v>580.20000000000005</v>
      </c>
      <c r="R52" s="23">
        <v>615.70000000000005</v>
      </c>
      <c r="S52" s="23">
        <v>615.9</v>
      </c>
      <c r="T52" s="23">
        <v>630.79999999999995</v>
      </c>
      <c r="U52" s="23">
        <v>735.3</v>
      </c>
      <c r="V52" s="23">
        <v>787.1</v>
      </c>
      <c r="W52" s="23">
        <v>792.4</v>
      </c>
      <c r="X52" s="23">
        <v>727.5</v>
      </c>
      <c r="Y52" s="23">
        <v>785.4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385.79999999999819</v>
      </c>
      <c r="E53" s="23">
        <v>406.09999999999724</v>
      </c>
      <c r="F53" s="23">
        <v>420.59999999999758</v>
      </c>
      <c r="G53" s="23">
        <v>431.40000000000225</v>
      </c>
      <c r="H53" s="23">
        <v>459.00000000000261</v>
      </c>
      <c r="I53" s="23">
        <v>454.19999999999868</v>
      </c>
      <c r="J53" s="23">
        <v>439.69999999999345</v>
      </c>
      <c r="K53" s="23">
        <v>497.30000000000189</v>
      </c>
      <c r="L53" s="23">
        <v>522.30000000000211</v>
      </c>
      <c r="M53" s="23">
        <v>430.99999999999812</v>
      </c>
      <c r="N53" s="23">
        <v>435.00000000000182</v>
      </c>
      <c r="O53" s="23">
        <v>484.60000000000343</v>
      </c>
      <c r="P53" s="23">
        <v>510.30000000000183</v>
      </c>
      <c r="Q53" s="23">
        <v>544.10000000000105</v>
      </c>
      <c r="R53" s="23">
        <v>582.99999999999648</v>
      </c>
      <c r="S53" s="23">
        <v>619.09999999999673</v>
      </c>
      <c r="T53" s="23">
        <v>710.19999999999777</v>
      </c>
      <c r="U53" s="23">
        <v>759.60000000000116</v>
      </c>
      <c r="V53" s="23">
        <v>794.00000000000671</v>
      </c>
      <c r="W53" s="23">
        <v>844.80000000000746</v>
      </c>
      <c r="X53" s="23">
        <v>705.69999999999959</v>
      </c>
      <c r="Y53" s="23">
        <v>814.49999999999409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4736.3999999999987</v>
      </c>
      <c r="E54" s="30">
        <f t="shared" ref="E54:S54" si="4">SUM(E41:E53)</f>
        <v>5098.4999999999973</v>
      </c>
      <c r="F54" s="30">
        <f t="shared" si="4"/>
        <v>5379.2999999999984</v>
      </c>
      <c r="G54" s="30">
        <f t="shared" si="4"/>
        <v>5694.2000000000025</v>
      </c>
      <c r="H54" s="30">
        <f t="shared" si="4"/>
        <v>5937.2000000000035</v>
      </c>
      <c r="I54" s="30">
        <f t="shared" si="4"/>
        <v>6001.7999999999984</v>
      </c>
      <c r="J54" s="30">
        <f t="shared" si="4"/>
        <v>6443.599999999994</v>
      </c>
      <c r="K54" s="30">
        <f t="shared" si="4"/>
        <v>7146.4000000000024</v>
      </c>
      <c r="L54" s="30">
        <f t="shared" si="4"/>
        <v>7282.2000000000016</v>
      </c>
      <c r="M54" s="30">
        <f t="shared" si="4"/>
        <v>6209.3999999999969</v>
      </c>
      <c r="N54" s="30">
        <f t="shared" si="4"/>
        <v>6355.9000000000005</v>
      </c>
      <c r="O54" s="30">
        <f t="shared" si="4"/>
        <v>6748.8000000000038</v>
      </c>
      <c r="P54" s="30">
        <f t="shared" si="4"/>
        <v>6790.4000000000024</v>
      </c>
      <c r="Q54" s="30">
        <f t="shared" si="4"/>
        <v>6984.6</v>
      </c>
      <c r="R54" s="30">
        <f t="shared" si="4"/>
        <v>7385.0999999999949</v>
      </c>
      <c r="S54" s="30">
        <f t="shared" si="4"/>
        <v>7746.7999999999965</v>
      </c>
      <c r="T54" s="30">
        <f t="shared" ref="T54:Y54" si="5">SUM(T41:T53)</f>
        <v>8156.3999999999978</v>
      </c>
      <c r="U54" s="30">
        <f t="shared" si="5"/>
        <v>8849.0000000000018</v>
      </c>
      <c r="V54" s="30">
        <f t="shared" si="5"/>
        <v>9316.700000000008</v>
      </c>
      <c r="W54" s="30">
        <f t="shared" si="5"/>
        <v>10007.200000000008</v>
      </c>
      <c r="X54" s="30">
        <f t="shared" si="5"/>
        <v>9657.2999999999993</v>
      </c>
      <c r="Y54" s="30">
        <f t="shared" si="5"/>
        <v>10438.899999999994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504.29999999999995</v>
      </c>
      <c r="E56" s="19">
        <v>529.9</v>
      </c>
      <c r="F56" s="19">
        <v>542.1</v>
      </c>
      <c r="G56" s="19">
        <v>547</v>
      </c>
      <c r="H56" s="19">
        <v>503</v>
      </c>
      <c r="I56" s="19">
        <v>474.1</v>
      </c>
      <c r="J56" s="19">
        <v>479.39999999999992</v>
      </c>
      <c r="K56" s="19">
        <v>502.3</v>
      </c>
      <c r="L56" s="19">
        <v>470</v>
      </c>
      <c r="M56" s="19">
        <v>512.29999999999984</v>
      </c>
      <c r="N56" s="19">
        <v>462.8</v>
      </c>
      <c r="O56" s="19">
        <v>460.1</v>
      </c>
      <c r="P56" s="19">
        <v>454.4</v>
      </c>
      <c r="Q56" s="19">
        <v>467.9</v>
      </c>
      <c r="R56" s="19">
        <v>497.3</v>
      </c>
      <c r="S56" s="19">
        <v>521</v>
      </c>
      <c r="T56" s="19">
        <v>547.29999999999984</v>
      </c>
      <c r="U56" s="19">
        <v>567.6</v>
      </c>
      <c r="V56" s="19">
        <v>631.70000000000005</v>
      </c>
      <c r="W56" s="19">
        <v>686.6</v>
      </c>
      <c r="X56" s="19">
        <v>673.1</v>
      </c>
      <c r="Y56" s="19">
        <v>703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453.2</v>
      </c>
      <c r="E57" s="23">
        <v>482.59999999999991</v>
      </c>
      <c r="F57" s="23">
        <v>449</v>
      </c>
      <c r="G57" s="23">
        <v>409</v>
      </c>
      <c r="H57" s="23">
        <v>397</v>
      </c>
      <c r="I57" s="23">
        <v>391.2</v>
      </c>
      <c r="J57" s="23">
        <v>379.3</v>
      </c>
      <c r="K57" s="23">
        <v>393.5</v>
      </c>
      <c r="L57" s="23">
        <v>367.9</v>
      </c>
      <c r="M57" s="23">
        <v>292.5</v>
      </c>
      <c r="N57" s="23">
        <v>247.4</v>
      </c>
      <c r="O57" s="23">
        <v>267.2</v>
      </c>
      <c r="P57" s="23">
        <v>253</v>
      </c>
      <c r="Q57" s="23">
        <v>234</v>
      </c>
      <c r="R57" s="23">
        <v>253.6</v>
      </c>
      <c r="S57" s="23">
        <v>237.3</v>
      </c>
      <c r="T57" s="23">
        <v>252.7</v>
      </c>
      <c r="U57" s="23">
        <v>270.7</v>
      </c>
      <c r="V57" s="23">
        <v>276.10000000000002</v>
      </c>
      <c r="W57" s="23">
        <v>273.89999999999998</v>
      </c>
      <c r="X57" s="23">
        <v>237.5</v>
      </c>
      <c r="Y57" s="23">
        <v>251.3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186.4</v>
      </c>
      <c r="E58" s="23">
        <v>186.2</v>
      </c>
      <c r="F58" s="23">
        <v>191</v>
      </c>
      <c r="G58" s="23">
        <v>201.4</v>
      </c>
      <c r="H58" s="23">
        <v>204.9</v>
      </c>
      <c r="I58" s="23">
        <v>211.1</v>
      </c>
      <c r="J58" s="23">
        <v>231.7</v>
      </c>
      <c r="K58" s="23">
        <v>271.8</v>
      </c>
      <c r="L58" s="23">
        <v>243.3</v>
      </c>
      <c r="M58" s="23">
        <v>203</v>
      </c>
      <c r="N58" s="23">
        <v>202.8</v>
      </c>
      <c r="O58" s="23">
        <v>220.4</v>
      </c>
      <c r="P58" s="23">
        <v>221.4</v>
      </c>
      <c r="Q58" s="23">
        <v>219.5</v>
      </c>
      <c r="R58" s="23">
        <v>249.1</v>
      </c>
      <c r="S58" s="23">
        <v>241.8</v>
      </c>
      <c r="T58" s="23">
        <v>254.9</v>
      </c>
      <c r="U58" s="23">
        <v>272.2</v>
      </c>
      <c r="V58" s="23">
        <v>291.60000000000002</v>
      </c>
      <c r="W58" s="23">
        <v>311.49999999999994</v>
      </c>
      <c r="X58" s="23">
        <v>313.3</v>
      </c>
      <c r="Y58" s="23">
        <v>354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153.6</v>
      </c>
      <c r="E59" s="23">
        <v>178.3</v>
      </c>
      <c r="F59" s="23">
        <v>189.1</v>
      </c>
      <c r="G59" s="23">
        <v>164.2</v>
      </c>
      <c r="H59" s="23">
        <v>175.9</v>
      </c>
      <c r="I59" s="23">
        <v>170.7</v>
      </c>
      <c r="J59" s="23">
        <v>158.19999999999999</v>
      </c>
      <c r="K59" s="23">
        <v>178.9</v>
      </c>
      <c r="L59" s="23">
        <v>157.5</v>
      </c>
      <c r="M59" s="23">
        <v>192.7</v>
      </c>
      <c r="N59" s="23">
        <v>145.9</v>
      </c>
      <c r="O59" s="23">
        <v>154.9</v>
      </c>
      <c r="P59" s="23">
        <v>158.5</v>
      </c>
      <c r="Q59" s="23">
        <v>164.9</v>
      </c>
      <c r="R59" s="23">
        <v>188.4</v>
      </c>
      <c r="S59" s="23">
        <v>182.8</v>
      </c>
      <c r="T59" s="23">
        <v>188.5</v>
      </c>
      <c r="U59" s="23">
        <v>190.4</v>
      </c>
      <c r="V59" s="23">
        <v>184.9</v>
      </c>
      <c r="W59" s="23">
        <v>220.7</v>
      </c>
      <c r="X59" s="23">
        <v>229.4</v>
      </c>
      <c r="Y59" s="23">
        <v>186.2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134.90000000000003</v>
      </c>
      <c r="E60" s="23">
        <v>146.90000000000006</v>
      </c>
      <c r="F60" s="23">
        <v>165.80000000000004</v>
      </c>
      <c r="G60" s="23">
        <v>150.10000000000008</v>
      </c>
      <c r="H60" s="23">
        <v>157.60000000000002</v>
      </c>
      <c r="I60" s="23">
        <v>152.4</v>
      </c>
      <c r="J60" s="23">
        <v>162.70000000000005</v>
      </c>
      <c r="K60" s="23">
        <v>172.4</v>
      </c>
      <c r="L60" s="23">
        <v>178.10000000000008</v>
      </c>
      <c r="M60" s="23">
        <v>153.9</v>
      </c>
      <c r="N60" s="23">
        <v>140.19999999999996</v>
      </c>
      <c r="O60" s="23">
        <v>144.99999999999991</v>
      </c>
      <c r="P60" s="23">
        <v>140.09999999999997</v>
      </c>
      <c r="Q60" s="23">
        <v>136.50000000000003</v>
      </c>
      <c r="R60" s="23">
        <v>143.79999999999993</v>
      </c>
      <c r="S60" s="23">
        <v>149.60000000000002</v>
      </c>
      <c r="T60" s="23">
        <v>152.10000000000002</v>
      </c>
      <c r="U60" s="23">
        <v>155.39999999999998</v>
      </c>
      <c r="V60" s="23">
        <v>155.29999999999995</v>
      </c>
      <c r="W60" s="23">
        <v>163.00000000000006</v>
      </c>
      <c r="X60" s="23">
        <v>146.29999999999995</v>
      </c>
      <c r="Y60" s="23">
        <v>161.50000000000003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1.9</v>
      </c>
      <c r="E61" s="23">
        <v>3.4</v>
      </c>
      <c r="F61" s="23">
        <v>8.3000000000000007</v>
      </c>
      <c r="G61" s="23">
        <v>3.4000000000000004</v>
      </c>
      <c r="H61" s="23">
        <v>0.7</v>
      </c>
      <c r="I61" s="23">
        <v>1.1000000000000001</v>
      </c>
      <c r="J61" s="23">
        <v>2.2999999999999998</v>
      </c>
      <c r="K61" s="23">
        <v>1.9999999999999998</v>
      </c>
      <c r="L61" s="23">
        <v>2</v>
      </c>
      <c r="M61" s="23">
        <v>1.8</v>
      </c>
      <c r="N61" s="23">
        <v>0.8</v>
      </c>
      <c r="O61" s="23">
        <v>0.6</v>
      </c>
      <c r="P61" s="23">
        <v>0.60000000000000009</v>
      </c>
      <c r="Q61" s="23">
        <v>0.6</v>
      </c>
      <c r="R61" s="23">
        <v>0.8</v>
      </c>
      <c r="S61" s="23">
        <v>1.3</v>
      </c>
      <c r="T61" s="23">
        <v>0.1</v>
      </c>
      <c r="U61" s="23">
        <v>0.30000000000000004</v>
      </c>
      <c r="V61" s="23">
        <v>1</v>
      </c>
      <c r="W61" s="23">
        <v>0.2</v>
      </c>
      <c r="X61" s="23">
        <v>0.5</v>
      </c>
      <c r="Y61" s="23">
        <v>0.2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231.89999999999998</v>
      </c>
      <c r="E62" s="23">
        <v>248.80000000000004</v>
      </c>
      <c r="F62" s="23">
        <v>265.7</v>
      </c>
      <c r="G62" s="23">
        <v>284.7</v>
      </c>
      <c r="H62" s="23">
        <v>301.89999999999998</v>
      </c>
      <c r="I62" s="23">
        <v>294.89999999999992</v>
      </c>
      <c r="J62" s="23">
        <v>312.10000000000002</v>
      </c>
      <c r="K62" s="23">
        <v>331</v>
      </c>
      <c r="L62" s="23">
        <v>310.60000000000002</v>
      </c>
      <c r="M62" s="23">
        <v>300.7</v>
      </c>
      <c r="N62" s="23">
        <v>327.3</v>
      </c>
      <c r="O62" s="23">
        <v>366</v>
      </c>
      <c r="P62" s="23">
        <v>363.1</v>
      </c>
      <c r="Q62" s="23">
        <v>375.8</v>
      </c>
      <c r="R62" s="23">
        <v>407.2</v>
      </c>
      <c r="S62" s="23">
        <v>372.7</v>
      </c>
      <c r="T62" s="23">
        <v>362.3</v>
      </c>
      <c r="U62" s="23">
        <v>390</v>
      </c>
      <c r="V62" s="23">
        <v>387.3</v>
      </c>
      <c r="W62" s="23">
        <v>410.5</v>
      </c>
      <c r="X62" s="23">
        <v>445.2</v>
      </c>
      <c r="Y62" s="23">
        <v>482.1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373.4</v>
      </c>
      <c r="E63" s="23">
        <v>407.5</v>
      </c>
      <c r="F63" s="23">
        <v>440.6</v>
      </c>
      <c r="G63" s="23">
        <v>602.40000000000009</v>
      </c>
      <c r="H63" s="23">
        <v>638.40000000000009</v>
      </c>
      <c r="I63" s="23">
        <v>610.5</v>
      </c>
      <c r="J63" s="23">
        <v>786.4</v>
      </c>
      <c r="K63" s="23">
        <v>800.9</v>
      </c>
      <c r="L63" s="23">
        <v>788.8</v>
      </c>
      <c r="M63" s="23">
        <v>745.8</v>
      </c>
      <c r="N63" s="23">
        <v>785.2</v>
      </c>
      <c r="O63" s="23">
        <v>817</v>
      </c>
      <c r="P63" s="23">
        <v>826.7</v>
      </c>
      <c r="Q63" s="23">
        <v>897</v>
      </c>
      <c r="R63" s="23">
        <v>882.4</v>
      </c>
      <c r="S63" s="23">
        <v>862.6</v>
      </c>
      <c r="T63" s="23">
        <v>788.2</v>
      </c>
      <c r="U63" s="23">
        <v>962.4</v>
      </c>
      <c r="V63" s="23">
        <v>1053.5999999999999</v>
      </c>
      <c r="W63" s="23">
        <v>1240.3</v>
      </c>
      <c r="X63" s="23">
        <v>1383</v>
      </c>
      <c r="Y63" s="23">
        <v>1322.1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249.5</v>
      </c>
      <c r="E64" s="23">
        <v>284.10000000000002</v>
      </c>
      <c r="F64" s="23">
        <v>332.3</v>
      </c>
      <c r="G64" s="23">
        <v>343.1</v>
      </c>
      <c r="H64" s="23">
        <v>389.6</v>
      </c>
      <c r="I64" s="23">
        <v>383.5</v>
      </c>
      <c r="J64" s="23">
        <v>406</v>
      </c>
      <c r="K64" s="23">
        <v>439.8</v>
      </c>
      <c r="L64" s="23">
        <v>434.8</v>
      </c>
      <c r="M64" s="23">
        <v>415.9</v>
      </c>
      <c r="N64" s="23">
        <v>427.9</v>
      </c>
      <c r="O64" s="23">
        <v>464.8</v>
      </c>
      <c r="P64" s="23">
        <v>434.7</v>
      </c>
      <c r="Q64" s="23">
        <v>474.1</v>
      </c>
      <c r="R64" s="23">
        <v>510.9</v>
      </c>
      <c r="S64" s="23">
        <v>545.20000000000005</v>
      </c>
      <c r="T64" s="23">
        <v>607.1</v>
      </c>
      <c r="U64" s="23">
        <v>658</v>
      </c>
      <c r="V64" s="23">
        <v>695.1</v>
      </c>
      <c r="W64" s="23">
        <v>731.2</v>
      </c>
      <c r="X64" s="23">
        <v>710.2</v>
      </c>
      <c r="Y64" s="23">
        <v>781.4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216.3</v>
      </c>
      <c r="E65" s="23">
        <v>228.99999999999997</v>
      </c>
      <c r="F65" s="23">
        <v>228.79999999999993</v>
      </c>
      <c r="G65" s="23">
        <v>255.8</v>
      </c>
      <c r="H65" s="23">
        <v>266.29999999999995</v>
      </c>
      <c r="I65" s="23">
        <v>274.10000000000002</v>
      </c>
      <c r="J65" s="23">
        <v>313.10000000000002</v>
      </c>
      <c r="K65" s="23">
        <v>338.8</v>
      </c>
      <c r="L65" s="23">
        <v>332.2</v>
      </c>
      <c r="M65" s="23">
        <v>251.30000000000004</v>
      </c>
      <c r="N65" s="23">
        <v>256.3</v>
      </c>
      <c r="O65" s="23">
        <v>237.60000000000002</v>
      </c>
      <c r="P65" s="23">
        <v>244.30000000000004</v>
      </c>
      <c r="Q65" s="23">
        <v>257.7</v>
      </c>
      <c r="R65" s="23">
        <v>276.40000000000003</v>
      </c>
      <c r="S65" s="23">
        <v>300</v>
      </c>
      <c r="T65" s="23">
        <v>310.49999999999994</v>
      </c>
      <c r="U65" s="23">
        <v>315.60000000000002</v>
      </c>
      <c r="V65" s="23">
        <v>344.7</v>
      </c>
      <c r="W65" s="23">
        <v>368.70000000000022</v>
      </c>
      <c r="X65" s="23">
        <v>347.1</v>
      </c>
      <c r="Y65" s="23">
        <v>382.80000000000013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201.2</v>
      </c>
      <c r="E66" s="23">
        <v>207.49999999999997</v>
      </c>
      <c r="F66" s="23">
        <v>216.1</v>
      </c>
      <c r="G66" s="23">
        <v>226.3</v>
      </c>
      <c r="H66" s="23">
        <v>235.2</v>
      </c>
      <c r="I66" s="23">
        <v>297</v>
      </c>
      <c r="J66" s="23">
        <v>296.39999999999998</v>
      </c>
      <c r="K66" s="23">
        <v>376.2</v>
      </c>
      <c r="L66" s="23">
        <v>383.8</v>
      </c>
      <c r="M66" s="23">
        <v>190.5</v>
      </c>
      <c r="N66" s="23">
        <v>234.9</v>
      </c>
      <c r="O66" s="23">
        <v>298.10000000000002</v>
      </c>
      <c r="P66" s="23">
        <v>279.5</v>
      </c>
      <c r="Q66" s="23">
        <v>288.2</v>
      </c>
      <c r="R66" s="23">
        <v>344.5</v>
      </c>
      <c r="S66" s="23">
        <v>426.6</v>
      </c>
      <c r="T66" s="23">
        <v>439.5</v>
      </c>
      <c r="U66" s="23">
        <v>477.7</v>
      </c>
      <c r="V66" s="23">
        <v>480.8</v>
      </c>
      <c r="W66" s="23">
        <v>526.4</v>
      </c>
      <c r="X66" s="23">
        <v>421.6</v>
      </c>
      <c r="Y66" s="23">
        <v>434.8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568.99999999999989</v>
      </c>
      <c r="E67" s="23">
        <v>615.59999999999991</v>
      </c>
      <c r="F67" s="23">
        <v>646.1</v>
      </c>
      <c r="G67" s="23">
        <v>681.1</v>
      </c>
      <c r="H67" s="23">
        <v>702.79999999999984</v>
      </c>
      <c r="I67" s="23">
        <v>737.2</v>
      </c>
      <c r="J67" s="23">
        <v>791.5</v>
      </c>
      <c r="K67" s="23">
        <v>927.5</v>
      </c>
      <c r="L67" s="23">
        <v>1035.9000000000001</v>
      </c>
      <c r="M67" s="23">
        <v>812.1</v>
      </c>
      <c r="N67" s="23">
        <v>844.19999999999982</v>
      </c>
      <c r="O67" s="23">
        <v>915.1</v>
      </c>
      <c r="P67" s="23">
        <v>929.40000000000009</v>
      </c>
      <c r="Q67" s="23">
        <v>977.70000000000016</v>
      </c>
      <c r="R67" s="23">
        <v>1017.8</v>
      </c>
      <c r="S67" s="23">
        <v>1081.5</v>
      </c>
      <c r="T67" s="23">
        <v>1187.4000000000001</v>
      </c>
      <c r="U67" s="23">
        <v>1224.8</v>
      </c>
      <c r="V67" s="23">
        <v>1339.6</v>
      </c>
      <c r="W67" s="23">
        <v>1386.5</v>
      </c>
      <c r="X67" s="23">
        <v>1290.9999999999998</v>
      </c>
      <c r="Y67" s="23">
        <v>1488.8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262.60000000000008</v>
      </c>
      <c r="E68" s="23">
        <v>280.7</v>
      </c>
      <c r="F68" s="23">
        <v>273.8</v>
      </c>
      <c r="G68" s="23">
        <v>305.2</v>
      </c>
      <c r="H68" s="23">
        <v>320.60000000000008</v>
      </c>
      <c r="I68" s="23">
        <v>265.7</v>
      </c>
      <c r="J68" s="23">
        <v>276.60000000000002</v>
      </c>
      <c r="K68" s="23">
        <v>293.5</v>
      </c>
      <c r="L68" s="23">
        <v>295.3</v>
      </c>
      <c r="M68" s="23">
        <v>229.3</v>
      </c>
      <c r="N68" s="23">
        <v>245</v>
      </c>
      <c r="O68" s="23">
        <v>231.3</v>
      </c>
      <c r="P68" s="23">
        <v>242</v>
      </c>
      <c r="Q68" s="23">
        <v>240.6</v>
      </c>
      <c r="R68" s="23">
        <v>243.9</v>
      </c>
      <c r="S68" s="23">
        <v>231.7</v>
      </c>
      <c r="T68" s="23">
        <v>244.9</v>
      </c>
      <c r="U68" s="23">
        <v>288.10000000000002</v>
      </c>
      <c r="V68" s="23">
        <v>295.7</v>
      </c>
      <c r="W68" s="23">
        <v>334.4</v>
      </c>
      <c r="X68" s="23">
        <v>333.1</v>
      </c>
      <c r="Y68" s="23">
        <v>399.4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386.9</v>
      </c>
      <c r="E69" s="23">
        <v>415.8</v>
      </c>
      <c r="F69" s="23">
        <v>460.6</v>
      </c>
      <c r="G69" s="23">
        <v>493.80000000000007</v>
      </c>
      <c r="H69" s="23">
        <v>521.99999999999989</v>
      </c>
      <c r="I69" s="23">
        <v>552.70000000000005</v>
      </c>
      <c r="J69" s="23">
        <v>585.70000000000005</v>
      </c>
      <c r="K69" s="23">
        <v>638.6</v>
      </c>
      <c r="L69" s="23">
        <v>653.5</v>
      </c>
      <c r="M69" s="23">
        <v>536.9</v>
      </c>
      <c r="N69" s="23">
        <v>618.79999999999995</v>
      </c>
      <c r="O69" s="23">
        <v>629.1</v>
      </c>
      <c r="P69" s="23">
        <v>665.9</v>
      </c>
      <c r="Q69" s="23">
        <v>665.9</v>
      </c>
      <c r="R69" s="23">
        <v>681.9</v>
      </c>
      <c r="S69" s="23">
        <v>814.6</v>
      </c>
      <c r="T69" s="23">
        <v>885.2</v>
      </c>
      <c r="U69" s="23">
        <v>940</v>
      </c>
      <c r="V69" s="23">
        <v>921.1</v>
      </c>
      <c r="W69" s="23">
        <v>973.7</v>
      </c>
      <c r="X69" s="23">
        <v>915.5</v>
      </c>
      <c r="Y69" s="23">
        <v>1044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206.9</v>
      </c>
      <c r="E70" s="23">
        <v>225.5</v>
      </c>
      <c r="F70" s="23">
        <v>282.8</v>
      </c>
      <c r="G70" s="23">
        <v>307.39999999999998</v>
      </c>
      <c r="H70" s="23">
        <v>328</v>
      </c>
      <c r="I70" s="23">
        <v>349</v>
      </c>
      <c r="J70" s="23">
        <v>389.3</v>
      </c>
      <c r="K70" s="23">
        <v>459.4</v>
      </c>
      <c r="L70" s="23">
        <v>526.20000000000005</v>
      </c>
      <c r="M70" s="23">
        <v>437.8</v>
      </c>
      <c r="N70" s="23">
        <v>422.7</v>
      </c>
      <c r="O70" s="23">
        <v>464.7</v>
      </c>
      <c r="P70" s="23">
        <v>451</v>
      </c>
      <c r="Q70" s="23">
        <v>459.9</v>
      </c>
      <c r="R70" s="23">
        <v>488.4</v>
      </c>
      <c r="S70" s="23">
        <v>543.1</v>
      </c>
      <c r="T70" s="23">
        <v>594.70000000000005</v>
      </c>
      <c r="U70" s="23">
        <v>640.9</v>
      </c>
      <c r="V70" s="23">
        <v>677.1</v>
      </c>
      <c r="W70" s="23">
        <v>742.4</v>
      </c>
      <c r="X70" s="23">
        <v>777.3</v>
      </c>
      <c r="Y70" s="23">
        <v>847.4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196.9</v>
      </c>
      <c r="E71" s="23">
        <v>227.3</v>
      </c>
      <c r="F71" s="23">
        <v>238.20000000000005</v>
      </c>
      <c r="G71" s="23">
        <v>259.5</v>
      </c>
      <c r="H71" s="23">
        <v>305.60000000000002</v>
      </c>
      <c r="I71" s="23">
        <v>349.1</v>
      </c>
      <c r="J71" s="23">
        <v>396</v>
      </c>
      <c r="K71" s="23">
        <v>487</v>
      </c>
      <c r="L71" s="23">
        <v>536.09999999999991</v>
      </c>
      <c r="M71" s="23">
        <v>481</v>
      </c>
      <c r="N71" s="23">
        <v>535.6</v>
      </c>
      <c r="O71" s="23">
        <v>572.20000000000016</v>
      </c>
      <c r="P71" s="23">
        <v>592.00000000000011</v>
      </c>
      <c r="Q71" s="23">
        <v>552.70000000000016</v>
      </c>
      <c r="R71" s="23">
        <v>589.6</v>
      </c>
      <c r="S71" s="23">
        <v>589.9</v>
      </c>
      <c r="T71" s="23">
        <v>603.70000000000005</v>
      </c>
      <c r="U71" s="23">
        <v>701.2</v>
      </c>
      <c r="V71" s="23">
        <v>755.7</v>
      </c>
      <c r="W71" s="23">
        <v>757.4</v>
      </c>
      <c r="X71" s="23">
        <v>683.8</v>
      </c>
      <c r="Y71" s="23">
        <v>734.2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21.700000000000003</v>
      </c>
      <c r="E72" s="23">
        <v>23.299999999999997</v>
      </c>
      <c r="F72" s="23">
        <v>28.400000000000013</v>
      </c>
      <c r="G72" s="23">
        <v>28.399999999999956</v>
      </c>
      <c r="H72" s="23">
        <v>28.699999999999964</v>
      </c>
      <c r="I72" s="23">
        <v>33.299999999999997</v>
      </c>
      <c r="J72" s="23">
        <v>37.199999999999989</v>
      </c>
      <c r="K72" s="23">
        <v>35.499999999999979</v>
      </c>
      <c r="L72" s="23">
        <v>43.900000000000063</v>
      </c>
      <c r="M72" s="23">
        <v>20.90000000000002</v>
      </c>
      <c r="N72" s="23">
        <v>23.100000000000104</v>
      </c>
      <c r="O72" s="23">
        <v>20.099999999999792</v>
      </c>
      <c r="P72" s="23">
        <v>23.499999999999936</v>
      </c>
      <c r="Q72" s="23">
        <v>27.499999999999918</v>
      </c>
      <c r="R72" s="23">
        <v>26.100000000000072</v>
      </c>
      <c r="S72" s="23">
        <v>26</v>
      </c>
      <c r="T72" s="23">
        <v>27.099999999999842</v>
      </c>
      <c r="U72" s="23">
        <v>34.100000000000023</v>
      </c>
      <c r="V72" s="23">
        <v>31.399999999999974</v>
      </c>
      <c r="W72" s="23">
        <v>35.000000000000007</v>
      </c>
      <c r="X72" s="23">
        <v>43.700000000000017</v>
      </c>
      <c r="Y72" s="23">
        <v>51.199999999999974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223.7</v>
      </c>
      <c r="E73" s="23">
        <v>240.49999999999997</v>
      </c>
      <c r="F73" s="23">
        <v>290.2</v>
      </c>
      <c r="G73" s="23">
        <v>298.5</v>
      </c>
      <c r="H73" s="23">
        <v>298.29999999999995</v>
      </c>
      <c r="I73" s="23">
        <v>296.89999999999998</v>
      </c>
      <c r="J73" s="23">
        <v>294.39999999999998</v>
      </c>
      <c r="K73" s="23">
        <v>328.8</v>
      </c>
      <c r="L73" s="23">
        <v>341</v>
      </c>
      <c r="M73" s="23">
        <v>274.89999999999998</v>
      </c>
      <c r="N73" s="23">
        <v>268.10000000000002</v>
      </c>
      <c r="O73" s="23">
        <v>262.8</v>
      </c>
      <c r="P73" s="23">
        <v>242.6</v>
      </c>
      <c r="Q73" s="23">
        <v>249.6</v>
      </c>
      <c r="R73" s="23">
        <v>262.89999999999998</v>
      </c>
      <c r="S73" s="23">
        <v>289.8</v>
      </c>
      <c r="T73" s="23">
        <v>347.9</v>
      </c>
      <c r="U73" s="23">
        <v>379.6</v>
      </c>
      <c r="V73" s="23">
        <v>385.1</v>
      </c>
      <c r="W73" s="23">
        <v>409.7</v>
      </c>
      <c r="X73" s="23">
        <v>345.4</v>
      </c>
      <c r="Y73" s="23">
        <v>400.1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162.09999999999823</v>
      </c>
      <c r="E74" s="23">
        <v>165.59999999999724</v>
      </c>
      <c r="F74" s="23">
        <v>130.39999999999759</v>
      </c>
      <c r="G74" s="23">
        <v>132.90000000000225</v>
      </c>
      <c r="H74" s="23">
        <v>160.70000000000263</v>
      </c>
      <c r="I74" s="23">
        <v>157.29999999999873</v>
      </c>
      <c r="J74" s="23">
        <v>145.29999999999345</v>
      </c>
      <c r="K74" s="23">
        <v>168.5000000000019</v>
      </c>
      <c r="L74" s="23">
        <v>181.30000000000211</v>
      </c>
      <c r="M74" s="23">
        <v>156.09999999999809</v>
      </c>
      <c r="N74" s="23">
        <v>166.90000000000174</v>
      </c>
      <c r="O74" s="23">
        <v>221.80000000000342</v>
      </c>
      <c r="P74" s="23">
        <v>267.70000000000181</v>
      </c>
      <c r="Q74" s="23">
        <v>294.50000000000108</v>
      </c>
      <c r="R74" s="23">
        <v>320.09999999999656</v>
      </c>
      <c r="S74" s="23">
        <v>329.29999999999671</v>
      </c>
      <c r="T74" s="23">
        <v>362.29999999999791</v>
      </c>
      <c r="U74" s="23">
        <v>380.00000000000108</v>
      </c>
      <c r="V74" s="23">
        <v>408.90000000000674</v>
      </c>
      <c r="W74" s="23">
        <v>435.10000000000741</v>
      </c>
      <c r="X74" s="23">
        <v>360.2999999999995</v>
      </c>
      <c r="Y74" s="23">
        <v>414.39999999999401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4736.3999999999978</v>
      </c>
      <c r="E75" s="30">
        <f t="shared" ref="E75:S75" si="6">SUM(E56:E74)</f>
        <v>5098.4999999999973</v>
      </c>
      <c r="F75" s="30">
        <f t="shared" si="6"/>
        <v>5379.2999999999975</v>
      </c>
      <c r="G75" s="30">
        <f t="shared" si="6"/>
        <v>5694.2000000000025</v>
      </c>
      <c r="H75" s="30">
        <f t="shared" si="6"/>
        <v>5937.2000000000025</v>
      </c>
      <c r="I75" s="30">
        <f t="shared" si="6"/>
        <v>6001.7999999999984</v>
      </c>
      <c r="J75" s="30">
        <f t="shared" si="6"/>
        <v>6443.599999999994</v>
      </c>
      <c r="K75" s="30">
        <f t="shared" si="6"/>
        <v>7146.4000000000024</v>
      </c>
      <c r="L75" s="30">
        <f t="shared" si="6"/>
        <v>7282.2000000000016</v>
      </c>
      <c r="M75" s="30">
        <f t="shared" si="6"/>
        <v>6209.3999999999978</v>
      </c>
      <c r="N75" s="30">
        <f t="shared" si="6"/>
        <v>6355.9000000000033</v>
      </c>
      <c r="O75" s="30">
        <f t="shared" si="6"/>
        <v>6748.8000000000038</v>
      </c>
      <c r="P75" s="30">
        <f t="shared" si="6"/>
        <v>6790.4000000000024</v>
      </c>
      <c r="Q75" s="30">
        <f t="shared" si="6"/>
        <v>6984.6</v>
      </c>
      <c r="R75" s="30">
        <f t="shared" si="6"/>
        <v>7385.0999999999958</v>
      </c>
      <c r="S75" s="30">
        <f t="shared" si="6"/>
        <v>7746.7999999999965</v>
      </c>
      <c r="T75" s="30">
        <f t="shared" ref="T75:Y75" si="7">SUM(T56:T74)</f>
        <v>8156.399999999996</v>
      </c>
      <c r="U75" s="30">
        <f t="shared" si="7"/>
        <v>8849.0000000000018</v>
      </c>
      <c r="V75" s="30">
        <f t="shared" si="7"/>
        <v>9316.7000000000062</v>
      </c>
      <c r="W75" s="30">
        <f t="shared" si="7"/>
        <v>10007.200000000006</v>
      </c>
      <c r="X75" s="30">
        <f t="shared" si="7"/>
        <v>9657.2999999999993</v>
      </c>
      <c r="Y75" s="30">
        <f t="shared" si="7"/>
        <v>10438.899999999996</v>
      </c>
    </row>
  </sheetData>
  <mergeCells count="4">
    <mergeCell ref="A6:A16"/>
    <mergeCell ref="A18:A39"/>
    <mergeCell ref="A41:A54"/>
    <mergeCell ref="A56:A75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19" width="8.7109375" style="10" customWidth="1"/>
    <col min="20" max="16384" width="9.140625" style="10"/>
  </cols>
  <sheetData>
    <row r="1" spans="1:25" ht="12.75" customHeight="1" x14ac:dyDescent="0.2">
      <c r="A1" s="13"/>
      <c r="B1" s="14" t="s">
        <v>279</v>
      </c>
      <c r="C1" s="15" t="s">
        <v>265</v>
      </c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29113.034216482494</v>
      </c>
      <c r="E2" s="19">
        <v>30049.632281663198</v>
      </c>
      <c r="F2" s="19">
        <v>31103.139907085653</v>
      </c>
      <c r="G2" s="19">
        <v>32023.596012835063</v>
      </c>
      <c r="H2" s="19">
        <v>33419.823559937722</v>
      </c>
      <c r="I2" s="19">
        <v>34689.227177434725</v>
      </c>
      <c r="J2" s="19">
        <v>36682.438495693823</v>
      </c>
      <c r="K2" s="19">
        <v>39243.076923076922</v>
      </c>
      <c r="L2" s="19">
        <v>40620.461409935087</v>
      </c>
      <c r="M2" s="19">
        <v>37553.88902124486</v>
      </c>
      <c r="N2" s="19">
        <v>38058.651763006688</v>
      </c>
      <c r="O2" s="19">
        <v>38386.385059197644</v>
      </c>
      <c r="P2" s="19">
        <v>37373.380204735942</v>
      </c>
      <c r="Q2" s="19">
        <v>36988.41267908601</v>
      </c>
      <c r="R2" s="19">
        <v>38012.524619968695</v>
      </c>
      <c r="S2" s="19">
        <v>38852.6</v>
      </c>
      <c r="T2" s="19">
        <v>40092.78902393084</v>
      </c>
      <c r="U2" s="19">
        <v>42023.331476976287</v>
      </c>
      <c r="V2" s="19">
        <v>43895.304890300729</v>
      </c>
      <c r="W2" s="19">
        <v>45441.391050583654</v>
      </c>
      <c r="X2" s="19">
        <v>43514.563466003165</v>
      </c>
      <c r="Y2" s="19">
        <v>47095.048060032248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16375.919252097823</v>
      </c>
      <c r="E3" s="23">
        <v>16843.595095225672</v>
      </c>
      <c r="F3" s="23">
        <v>17246.405976832226</v>
      </c>
      <c r="G3" s="23">
        <v>17850.701960541777</v>
      </c>
      <c r="H3" s="23">
        <v>18303.615286373908</v>
      </c>
      <c r="I3" s="23">
        <v>18681.751402904552</v>
      </c>
      <c r="J3" s="23">
        <v>18922.769248867713</v>
      </c>
      <c r="K3" s="23">
        <v>20156.368364520324</v>
      </c>
      <c r="L3" s="23">
        <v>20734.645365770088</v>
      </c>
      <c r="M3" s="23">
        <v>21164.585722172676</v>
      </c>
      <c r="N3" s="23">
        <v>21370.628492497017</v>
      </c>
      <c r="O3" s="23">
        <v>21540.249030918083</v>
      </c>
      <c r="P3" s="23">
        <v>21068.551036706802</v>
      </c>
      <c r="Q3" s="23">
        <v>20239.115589029981</v>
      </c>
      <c r="R3" s="23">
        <v>20567.643053802349</v>
      </c>
      <c r="S3" s="23">
        <v>20985</v>
      </c>
      <c r="T3" s="23">
        <v>21918.464024408604</v>
      </c>
      <c r="U3" s="23">
        <v>22335.511035116677</v>
      </c>
      <c r="V3" s="23">
        <v>23122.267991276956</v>
      </c>
      <c r="W3" s="23">
        <v>24385.080452293034</v>
      </c>
      <c r="X3" s="23">
        <v>22803.732025200788</v>
      </c>
      <c r="Y3" s="23">
        <v>25145.239801569205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24515.996507985416</v>
      </c>
      <c r="E4" s="27">
        <v>25464.293293055882</v>
      </c>
      <c r="F4" s="27">
        <v>26448.901878509318</v>
      </c>
      <c r="G4" s="27">
        <v>27273.612232299729</v>
      </c>
      <c r="H4" s="27">
        <v>28458.375795059215</v>
      </c>
      <c r="I4" s="27">
        <v>29491.040749025666</v>
      </c>
      <c r="J4" s="27">
        <v>31250.720395963523</v>
      </c>
      <c r="K4" s="27">
        <v>33488.737045149901</v>
      </c>
      <c r="L4" s="27">
        <v>34545.709916039828</v>
      </c>
      <c r="M4" s="27">
        <v>32105.651975914589</v>
      </c>
      <c r="N4" s="27">
        <v>32570.292267850535</v>
      </c>
      <c r="O4" s="27">
        <v>32758.718716686126</v>
      </c>
      <c r="P4" s="27">
        <v>32011.065231983404</v>
      </c>
      <c r="Q4" s="27">
        <v>31787.897742176308</v>
      </c>
      <c r="R4" s="27">
        <v>32883.192495855736</v>
      </c>
      <c r="S4" s="27">
        <v>33591.699999999997</v>
      </c>
      <c r="T4" s="27">
        <v>34679.682008533891</v>
      </c>
      <c r="U4" s="27">
        <v>36461.026606695094</v>
      </c>
      <c r="V4" s="27">
        <v>38084.954301562037</v>
      </c>
      <c r="W4" s="27">
        <v>39474.169569834383</v>
      </c>
      <c r="X4" s="27">
        <v>38188.417116132056</v>
      </c>
      <c r="Y4" s="27">
        <v>41041.472923671223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866.19935295023879</v>
      </c>
      <c r="E6" s="19">
        <v>809.1273358215476</v>
      </c>
      <c r="F6" s="19">
        <v>902.26658096751112</v>
      </c>
      <c r="G6" s="19">
        <v>701.71898000854742</v>
      </c>
      <c r="H6" s="19">
        <v>788.0896323107379</v>
      </c>
      <c r="I6" s="19">
        <v>814.40398496413991</v>
      </c>
      <c r="J6" s="19">
        <v>753.73193359926779</v>
      </c>
      <c r="K6" s="19">
        <v>782.79443336493716</v>
      </c>
      <c r="L6" s="19">
        <v>721.20436551286446</v>
      </c>
      <c r="M6" s="19">
        <v>666.29560289429742</v>
      </c>
      <c r="N6" s="19">
        <v>707.7527027582521</v>
      </c>
      <c r="O6" s="19">
        <v>806.1322909792375</v>
      </c>
      <c r="P6" s="19">
        <v>723.91839391412248</v>
      </c>
      <c r="Q6" s="19">
        <v>724.96519440689246</v>
      </c>
      <c r="R6" s="19">
        <v>767.29470747584196</v>
      </c>
      <c r="S6" s="19">
        <v>814.6</v>
      </c>
      <c r="T6" s="19">
        <v>792.80064152699265</v>
      </c>
      <c r="U6" s="19">
        <v>772.05272555198894</v>
      </c>
      <c r="V6" s="19">
        <v>981.73015525079325</v>
      </c>
      <c r="W6" s="19">
        <v>914.54440449354468</v>
      </c>
      <c r="X6" s="19">
        <v>902.29985390460615</v>
      </c>
      <c r="Y6" s="19">
        <v>787.25230703197656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6955.3997843167454</v>
      </c>
      <c r="E7" s="23">
        <v>7301.8686572380793</v>
      </c>
      <c r="F7" s="23">
        <v>7521.6774396973015</v>
      </c>
      <c r="G7" s="23">
        <v>7762.7142789306272</v>
      </c>
      <c r="H7" s="23">
        <v>8086.3525084630637</v>
      </c>
      <c r="I7" s="23">
        <v>8093.8818808661745</v>
      </c>
      <c r="J7" s="23">
        <v>8520.334941746798</v>
      </c>
      <c r="K7" s="23">
        <v>9062.1287910986175</v>
      </c>
      <c r="L7" s="23">
        <v>8895.9289199621307</v>
      </c>
      <c r="M7" s="23">
        <v>7556.1402621059533</v>
      </c>
      <c r="N7" s="23">
        <v>7839.2321289102656</v>
      </c>
      <c r="O7" s="23">
        <v>8166.3028580130995</v>
      </c>
      <c r="P7" s="23">
        <v>8249.6999776254524</v>
      </c>
      <c r="Q7" s="23">
        <v>8437.0775408082991</v>
      </c>
      <c r="R7" s="23">
        <v>8831.1163223223994</v>
      </c>
      <c r="S7" s="23">
        <v>9080.6999999999971</v>
      </c>
      <c r="T7" s="23">
        <v>9397.6774346840357</v>
      </c>
      <c r="U7" s="23">
        <v>9940.2886050754714</v>
      </c>
      <c r="V7" s="23">
        <v>10194.420883090155</v>
      </c>
      <c r="W7" s="23">
        <v>10705.423179387828</v>
      </c>
      <c r="X7" s="23">
        <v>10327.566087491843</v>
      </c>
      <c r="Y7" s="23">
        <v>10762.214750697469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1598.110203872028</v>
      </c>
      <c r="E8" s="23">
        <v>1564.3294928287</v>
      </c>
      <c r="F8" s="23">
        <v>1553.7418595908268</v>
      </c>
      <c r="G8" s="23">
        <v>1661.9972458331354</v>
      </c>
      <c r="H8" s="23">
        <v>1727.5187124433357</v>
      </c>
      <c r="I8" s="23">
        <v>1909.6925950695293</v>
      </c>
      <c r="J8" s="23">
        <v>2193.9588442023664</v>
      </c>
      <c r="K8" s="23">
        <v>2654.6136158062795</v>
      </c>
      <c r="L8" s="23">
        <v>2857.871136219399</v>
      </c>
      <c r="M8" s="23">
        <v>2487.2741992612459</v>
      </c>
      <c r="N8" s="23">
        <v>2065.9144160808978</v>
      </c>
      <c r="O8" s="23">
        <v>1920.402050865526</v>
      </c>
      <c r="P8" s="23">
        <v>1850.782092223827</v>
      </c>
      <c r="Q8" s="23">
        <v>1672.5852989245577</v>
      </c>
      <c r="R8" s="23">
        <v>1872.2961225892532</v>
      </c>
      <c r="S8" s="23">
        <v>1808.3</v>
      </c>
      <c r="T8" s="23">
        <v>1799.6416160936153</v>
      </c>
      <c r="U8" s="23">
        <v>1953.7919662806241</v>
      </c>
      <c r="V8" s="23">
        <v>2180.2777168888842</v>
      </c>
      <c r="W8" s="23">
        <v>2357.1548335413677</v>
      </c>
      <c r="X8" s="23">
        <v>2300.9565113522549</v>
      </c>
      <c r="Y8" s="23">
        <v>2526.2894341512269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4486.4684434858527</v>
      </c>
      <c r="E9" s="23">
        <v>4723.3213915691977</v>
      </c>
      <c r="F9" s="23">
        <v>4936.7564486593337</v>
      </c>
      <c r="G9" s="23">
        <v>5156.8213115532544</v>
      </c>
      <c r="H9" s="23">
        <v>5353.9258061871133</v>
      </c>
      <c r="I9" s="23">
        <v>5671.0790305098817</v>
      </c>
      <c r="J9" s="23">
        <v>6119.8060863571136</v>
      </c>
      <c r="K9" s="23">
        <v>6762.5679755015753</v>
      </c>
      <c r="L9" s="23">
        <v>7100.720996285776</v>
      </c>
      <c r="M9" s="23">
        <v>6462.7839902848764</v>
      </c>
      <c r="N9" s="23">
        <v>6486.8253381016975</v>
      </c>
      <c r="O9" s="23">
        <v>6561.5513477841514</v>
      </c>
      <c r="P9" s="23">
        <v>6346.1342879807989</v>
      </c>
      <c r="Q9" s="23">
        <v>6359.6376182885733</v>
      </c>
      <c r="R9" s="23">
        <v>6567.2381029393928</v>
      </c>
      <c r="S9" s="23">
        <v>6852.5</v>
      </c>
      <c r="T9" s="23">
        <v>7178.6672474729976</v>
      </c>
      <c r="U9" s="23">
        <v>7625.3012400846892</v>
      </c>
      <c r="V9" s="23">
        <v>8022.0534276211065</v>
      </c>
      <c r="W9" s="23">
        <v>8236.3023268811594</v>
      </c>
      <c r="X9" s="23">
        <v>7364.2185734106388</v>
      </c>
      <c r="Y9" s="23">
        <v>8173.8679447743052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928.07990551019361</v>
      </c>
      <c r="E10" s="23">
        <v>998.11511527755238</v>
      </c>
      <c r="F10" s="23">
        <v>956.8391564292557</v>
      </c>
      <c r="G10" s="23">
        <v>1010.2568972885701</v>
      </c>
      <c r="H10" s="23">
        <v>1074.0181091939887</v>
      </c>
      <c r="I10" s="23">
        <v>1172.1974955607316</v>
      </c>
      <c r="J10" s="23">
        <v>1254.9015176341632</v>
      </c>
      <c r="K10" s="23">
        <v>1342.5093449286737</v>
      </c>
      <c r="L10" s="23">
        <v>1386.8514414723722</v>
      </c>
      <c r="M10" s="23">
        <v>1252.2390325355464</v>
      </c>
      <c r="N10" s="23">
        <v>1330.5175319603732</v>
      </c>
      <c r="O10" s="23">
        <v>1340.8802477283111</v>
      </c>
      <c r="P10" s="23">
        <v>1372.5769379411347</v>
      </c>
      <c r="Q10" s="23">
        <v>1332.9028873509412</v>
      </c>
      <c r="R10" s="23">
        <v>1406.5216512351917</v>
      </c>
      <c r="S10" s="23">
        <v>1357.4</v>
      </c>
      <c r="T10" s="23">
        <v>1374.3329802294845</v>
      </c>
      <c r="U10" s="23">
        <v>1451.9040324705102</v>
      </c>
      <c r="V10" s="23">
        <v>1472.8334937623299</v>
      </c>
      <c r="W10" s="23">
        <v>1585.0364215585819</v>
      </c>
      <c r="X10" s="23">
        <v>1625.6098793564452</v>
      </c>
      <c r="Y10" s="23">
        <v>1786.6979039988555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1164.1760386175731</v>
      </c>
      <c r="E11" s="23">
        <v>1095.9793286814545</v>
      </c>
      <c r="F11" s="23">
        <v>1136.322293503438</v>
      </c>
      <c r="G11" s="23">
        <v>1245.5482216629468</v>
      </c>
      <c r="H11" s="23">
        <v>1282.5198252333932</v>
      </c>
      <c r="I11" s="23">
        <v>1337.8917510319859</v>
      </c>
      <c r="J11" s="23">
        <v>1518.3121828845219</v>
      </c>
      <c r="K11" s="23">
        <v>1553.8191606455903</v>
      </c>
      <c r="L11" s="23">
        <v>1668.0712048857122</v>
      </c>
      <c r="M11" s="23">
        <v>1691.8484035824522</v>
      </c>
      <c r="N11" s="23">
        <v>1747.6466477576355</v>
      </c>
      <c r="O11" s="23">
        <v>1676.2272196558199</v>
      </c>
      <c r="P11" s="23">
        <v>1385.7982629213027</v>
      </c>
      <c r="Q11" s="23">
        <v>1268.7395331006232</v>
      </c>
      <c r="R11" s="23">
        <v>1318.1781425625682</v>
      </c>
      <c r="S11" s="23">
        <v>1362.2</v>
      </c>
      <c r="T11" s="23">
        <v>1324.139433119821</v>
      </c>
      <c r="U11" s="23">
        <v>1373.4596509029886</v>
      </c>
      <c r="V11" s="23">
        <v>1443.7656656532636</v>
      </c>
      <c r="W11" s="23">
        <v>1495.6126460122584</v>
      </c>
      <c r="X11" s="23">
        <v>1499.2695230306983</v>
      </c>
      <c r="Y11" s="23">
        <v>1721.2425781529439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1918.2971293585992</v>
      </c>
      <c r="E12" s="23">
        <v>1987.7420079639498</v>
      </c>
      <c r="F12" s="23">
        <v>2056.7797329581972</v>
      </c>
      <c r="G12" s="23">
        <v>2041.882330594995</v>
      </c>
      <c r="H12" s="23">
        <v>2109.6156774548735</v>
      </c>
      <c r="I12" s="23">
        <v>2232.4331803611376</v>
      </c>
      <c r="J12" s="23">
        <v>2289.4466228967262</v>
      </c>
      <c r="K12" s="23">
        <v>2362.5505388999686</v>
      </c>
      <c r="L12" s="23">
        <v>2497.5810730671992</v>
      </c>
      <c r="M12" s="23">
        <v>2669.3315792136823</v>
      </c>
      <c r="N12" s="23">
        <v>2609.8573601348294</v>
      </c>
      <c r="O12" s="23">
        <v>2508.3506776993754</v>
      </c>
      <c r="P12" s="23">
        <v>2440.2497813396253</v>
      </c>
      <c r="Q12" s="23">
        <v>2595.2866164928068</v>
      </c>
      <c r="R12" s="23">
        <v>2557.2110136255205</v>
      </c>
      <c r="S12" s="23">
        <v>2652.9</v>
      </c>
      <c r="T12" s="23">
        <v>2743.7159065033807</v>
      </c>
      <c r="U12" s="23">
        <v>2783.8974368981299</v>
      </c>
      <c r="V12" s="23">
        <v>2835.3045450646637</v>
      </c>
      <c r="W12" s="23">
        <v>2836.0377815451684</v>
      </c>
      <c r="X12" s="23">
        <v>2809.2582213115506</v>
      </c>
      <c r="Y12" s="23">
        <v>2906.6814507475501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1785.1640733323063</v>
      </c>
      <c r="E13" s="23">
        <v>1894.3715594612474</v>
      </c>
      <c r="F13" s="23">
        <v>2206.1873173334625</v>
      </c>
      <c r="G13" s="23">
        <v>2333.9189895056743</v>
      </c>
      <c r="H13" s="23">
        <v>2466.8798538145275</v>
      </c>
      <c r="I13" s="23">
        <v>2450.8221294652121</v>
      </c>
      <c r="J13" s="23">
        <v>2652.074175358503</v>
      </c>
      <c r="K13" s="23">
        <v>2945.9138413923129</v>
      </c>
      <c r="L13" s="23">
        <v>3133.8889062288667</v>
      </c>
      <c r="M13" s="23">
        <v>2908.5665131811975</v>
      </c>
      <c r="N13" s="23">
        <v>3088.7491264849755</v>
      </c>
      <c r="O13" s="23">
        <v>3089.2938727854203</v>
      </c>
      <c r="P13" s="23">
        <v>3036.7349429448977</v>
      </c>
      <c r="Q13" s="23">
        <v>3037.6707491777811</v>
      </c>
      <c r="R13" s="23">
        <v>3257.4899931265918</v>
      </c>
      <c r="S13" s="23">
        <v>3346.6</v>
      </c>
      <c r="T13" s="23">
        <v>3424.744329713194</v>
      </c>
      <c r="U13" s="23">
        <v>3702.594323514777</v>
      </c>
      <c r="V13" s="23">
        <v>3898.9011407931225</v>
      </c>
      <c r="W13" s="23">
        <v>3924.4927995230737</v>
      </c>
      <c r="X13" s="23">
        <v>3600.1947938584804</v>
      </c>
      <c r="Y13" s="23">
        <v>3989.0192431504402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4008.627330149438</v>
      </c>
      <c r="E14" s="23">
        <v>4285.5537941106713</v>
      </c>
      <c r="F14" s="23">
        <v>4408.857735359391</v>
      </c>
      <c r="G14" s="23">
        <v>4588.7743957452867</v>
      </c>
      <c r="H14" s="23">
        <v>4750.3250518325895</v>
      </c>
      <c r="I14" s="23">
        <v>4937.3890182874802</v>
      </c>
      <c r="J14" s="23">
        <v>5071.700586487068</v>
      </c>
      <c r="K14" s="23">
        <v>5136.6048757097242</v>
      </c>
      <c r="L14" s="23">
        <v>5382.0864155144254</v>
      </c>
      <c r="M14" s="23">
        <v>5529.6260689166629</v>
      </c>
      <c r="N14" s="23">
        <v>5794.1793069429023</v>
      </c>
      <c r="O14" s="23">
        <v>5785.0652317376516</v>
      </c>
      <c r="P14" s="23">
        <v>5726.7660639098513</v>
      </c>
      <c r="Q14" s="23">
        <v>5494.8447367890076</v>
      </c>
      <c r="R14" s="23">
        <v>5447.7823151255407</v>
      </c>
      <c r="S14" s="23">
        <v>5469.2</v>
      </c>
      <c r="T14" s="23">
        <v>5748.0026532289203</v>
      </c>
      <c r="U14" s="23">
        <v>5939.0397392992691</v>
      </c>
      <c r="V14" s="23">
        <v>6118.7301647812283</v>
      </c>
      <c r="W14" s="23">
        <v>6433.5749017269964</v>
      </c>
      <c r="X14" s="23">
        <v>6944.4010548271208</v>
      </c>
      <c r="Y14" s="23">
        <v>7513.94949567208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805.47424639244082</v>
      </c>
      <c r="E15" s="23">
        <v>803.88461010348135</v>
      </c>
      <c r="F15" s="23">
        <v>769.47331401059921</v>
      </c>
      <c r="G15" s="23">
        <v>769.97958117669396</v>
      </c>
      <c r="H15" s="23">
        <v>819.13061812559306</v>
      </c>
      <c r="I15" s="23">
        <v>871.24968290939285</v>
      </c>
      <c r="J15" s="23">
        <v>876.45350479698959</v>
      </c>
      <c r="K15" s="23">
        <v>885.23446780222537</v>
      </c>
      <c r="L15" s="23">
        <v>901.5054568910806</v>
      </c>
      <c r="M15" s="23">
        <v>881.54632393867325</v>
      </c>
      <c r="N15" s="23">
        <v>899.61770871870749</v>
      </c>
      <c r="O15" s="23">
        <v>904.51291943753483</v>
      </c>
      <c r="P15" s="23">
        <v>878.40449118239337</v>
      </c>
      <c r="Q15" s="23">
        <v>864.18756683682739</v>
      </c>
      <c r="R15" s="23">
        <v>858.06412485343469</v>
      </c>
      <c r="S15" s="23">
        <v>847.3</v>
      </c>
      <c r="T15" s="23">
        <v>895.95976596144897</v>
      </c>
      <c r="U15" s="23">
        <v>918.69688661664702</v>
      </c>
      <c r="V15" s="23">
        <v>936.9371086564945</v>
      </c>
      <c r="W15" s="23">
        <v>985.99027516440935</v>
      </c>
      <c r="X15" s="23">
        <v>814.64261758841531</v>
      </c>
      <c r="Y15" s="23">
        <v>874.25781529437018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24515.996507985419</v>
      </c>
      <c r="E16" s="30">
        <f t="shared" ref="E16:S16" si="0">SUM(E6:E15)</f>
        <v>25464.293293055878</v>
      </c>
      <c r="F16" s="30">
        <f t="shared" si="0"/>
        <v>26448.901878509314</v>
      </c>
      <c r="G16" s="30">
        <f t="shared" si="0"/>
        <v>27273.612232299729</v>
      </c>
      <c r="H16" s="30">
        <f t="shared" si="0"/>
        <v>28458.375795059219</v>
      </c>
      <c r="I16" s="30">
        <f t="shared" si="0"/>
        <v>29491.040749025669</v>
      </c>
      <c r="J16" s="30">
        <f t="shared" si="0"/>
        <v>31250.720395963515</v>
      </c>
      <c r="K16" s="30">
        <f t="shared" si="0"/>
        <v>33488.737045149908</v>
      </c>
      <c r="L16" s="30">
        <f t="shared" si="0"/>
        <v>34545.709916039821</v>
      </c>
      <c r="M16" s="30">
        <f t="shared" si="0"/>
        <v>32105.651975914589</v>
      </c>
      <c r="N16" s="30">
        <f t="shared" si="0"/>
        <v>32570.292267850531</v>
      </c>
      <c r="O16" s="30">
        <f t="shared" si="0"/>
        <v>32758.718716686122</v>
      </c>
      <c r="P16" s="30">
        <f t="shared" si="0"/>
        <v>32011.065231983412</v>
      </c>
      <c r="Q16" s="30">
        <f t="shared" si="0"/>
        <v>31787.897742176308</v>
      </c>
      <c r="R16" s="30">
        <f t="shared" si="0"/>
        <v>32883.192495855728</v>
      </c>
      <c r="S16" s="30">
        <f t="shared" si="0"/>
        <v>33591.700000000004</v>
      </c>
      <c r="T16" s="30">
        <f t="shared" ref="T16:Y16" si="1">SUM(T6:T15)</f>
        <v>34679.682008533891</v>
      </c>
      <c r="U16" s="30">
        <f t="shared" si="1"/>
        <v>36461.026606695094</v>
      </c>
      <c r="V16" s="30">
        <f t="shared" si="1"/>
        <v>38084.954301562037</v>
      </c>
      <c r="W16" s="30">
        <f t="shared" si="1"/>
        <v>39474.16956983439</v>
      </c>
      <c r="X16" s="30">
        <f t="shared" si="1"/>
        <v>38188.417116132056</v>
      </c>
      <c r="Y16" s="30">
        <f t="shared" si="1"/>
        <v>41041.472923671216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866.19935295023879</v>
      </c>
      <c r="E18" s="19">
        <v>809.1273358215476</v>
      </c>
      <c r="F18" s="19">
        <v>902.26658096751112</v>
      </c>
      <c r="G18" s="19">
        <v>701.71898000854742</v>
      </c>
      <c r="H18" s="19">
        <v>788.0896323107379</v>
      </c>
      <c r="I18" s="19">
        <v>814.40398496413991</v>
      </c>
      <c r="J18" s="19">
        <v>753.73193359926779</v>
      </c>
      <c r="K18" s="19">
        <v>782.79443336493716</v>
      </c>
      <c r="L18" s="19">
        <v>721.20436551286446</v>
      </c>
      <c r="M18" s="19">
        <v>666.29560289429742</v>
      </c>
      <c r="N18" s="19">
        <v>707.7527027582521</v>
      </c>
      <c r="O18" s="19">
        <v>806.1322909792375</v>
      </c>
      <c r="P18" s="19">
        <v>723.91839391412248</v>
      </c>
      <c r="Q18" s="19">
        <v>724.96519440689246</v>
      </c>
      <c r="R18" s="19">
        <v>767.29470747584196</v>
      </c>
      <c r="S18" s="19">
        <v>814.6</v>
      </c>
      <c r="T18" s="19">
        <v>792.80064152699265</v>
      </c>
      <c r="U18" s="19">
        <v>772.05272555198894</v>
      </c>
      <c r="V18" s="19">
        <v>981.73015525079325</v>
      </c>
      <c r="W18" s="19">
        <v>914.54440449354468</v>
      </c>
      <c r="X18" s="19">
        <v>902.29985390460615</v>
      </c>
      <c r="Y18" s="19">
        <v>787.25230703197656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153.5459353977302</v>
      </c>
      <c r="E19" s="23">
        <v>139.93084595124265</v>
      </c>
      <c r="F19" s="23">
        <v>126.12328551158757</v>
      </c>
      <c r="G19" s="23">
        <v>135.69020371337669</v>
      </c>
      <c r="H19" s="23">
        <v>151.57371941291541</v>
      </c>
      <c r="I19" s="23">
        <v>153.4718538846482</v>
      </c>
      <c r="J19" s="23">
        <v>156.50955442803385</v>
      </c>
      <c r="K19" s="23">
        <v>158.23715957759831</v>
      </c>
      <c r="L19" s="23">
        <v>152.10628712922789</v>
      </c>
      <c r="M19" s="23">
        <v>145.72686333046602</v>
      </c>
      <c r="N19" s="23">
        <v>143.15369753771532</v>
      </c>
      <c r="O19" s="23">
        <v>148.33240266003349</v>
      </c>
      <c r="P19" s="23">
        <v>145.53627728169559</v>
      </c>
      <c r="Q19" s="23">
        <v>127.62050806077359</v>
      </c>
      <c r="R19" s="23">
        <v>129.38179759835037</v>
      </c>
      <c r="S19" s="23">
        <v>124.6</v>
      </c>
      <c r="T19" s="23">
        <v>129.09740716173806</v>
      </c>
      <c r="U19" s="23">
        <v>135.13117969032032</v>
      </c>
      <c r="V19" s="23">
        <v>136.57113993538366</v>
      </c>
      <c r="W19" s="23">
        <v>128.26722804925757</v>
      </c>
      <c r="X19" s="23">
        <v>119.17341247599532</v>
      </c>
      <c r="Y19" s="23">
        <v>107.57207239430575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6080.7271606840231</v>
      </c>
      <c r="E20" s="23">
        <v>6364.2945413239095</v>
      </c>
      <c r="F20" s="23">
        <v>6523.6056706969493</v>
      </c>
      <c r="G20" s="23">
        <v>6759.8176551593178</v>
      </c>
      <c r="H20" s="23">
        <v>6954.5864520738924</v>
      </c>
      <c r="I20" s="23">
        <v>6920.4160228766441</v>
      </c>
      <c r="J20" s="23">
        <v>7281.4798910648233</v>
      </c>
      <c r="K20" s="23">
        <v>7788.0581074748561</v>
      </c>
      <c r="L20" s="23">
        <v>7576.3912731358678</v>
      </c>
      <c r="M20" s="23">
        <v>6283.8637858624688</v>
      </c>
      <c r="N20" s="23">
        <v>6531.7342870062075</v>
      </c>
      <c r="O20" s="23">
        <v>6851.9214173308319</v>
      </c>
      <c r="P20" s="23">
        <v>6906.0065496409934</v>
      </c>
      <c r="Q20" s="23">
        <v>7046.4679889429208</v>
      </c>
      <c r="R20" s="23">
        <v>7464.8243237779443</v>
      </c>
      <c r="S20" s="23">
        <v>7746.7999999999965</v>
      </c>
      <c r="T20" s="23">
        <v>8074.9240166717782</v>
      </c>
      <c r="U20" s="23">
        <v>8633.760354365666</v>
      </c>
      <c r="V20" s="23">
        <v>8879.2207915979743</v>
      </c>
      <c r="W20" s="23">
        <v>9321.6834025746684</v>
      </c>
      <c r="X20" s="23">
        <v>8873.5034410518856</v>
      </c>
      <c r="Y20" s="23">
        <v>9334.4481007225077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479.89523956247115</v>
      </c>
      <c r="E21" s="23">
        <v>540.12557576362792</v>
      </c>
      <c r="F21" s="23">
        <v>630.37388277810783</v>
      </c>
      <c r="G21" s="23">
        <v>600.33714801272617</v>
      </c>
      <c r="H21" s="23">
        <v>679.62188565203655</v>
      </c>
      <c r="I21" s="23">
        <v>714.08804741369363</v>
      </c>
      <c r="J21" s="23">
        <v>764.35424270846283</v>
      </c>
      <c r="K21" s="23">
        <v>763.28723531783658</v>
      </c>
      <c r="L21" s="23">
        <v>811.71905074024357</v>
      </c>
      <c r="M21" s="23">
        <v>798.25937357688611</v>
      </c>
      <c r="N21" s="23">
        <v>848.23447198585927</v>
      </c>
      <c r="O21" s="23">
        <v>847.45418549164924</v>
      </c>
      <c r="P21" s="23">
        <v>887.76112116835839</v>
      </c>
      <c r="Q21" s="23">
        <v>941.46607211315347</v>
      </c>
      <c r="R21" s="23">
        <v>903.85315165972588</v>
      </c>
      <c r="S21" s="23">
        <v>878.8</v>
      </c>
      <c r="T21" s="23">
        <v>872.39750913284956</v>
      </c>
      <c r="U21" s="23">
        <v>849.22872781555816</v>
      </c>
      <c r="V21" s="23">
        <v>850.97258093722292</v>
      </c>
      <c r="W21" s="23">
        <v>925.16347783967058</v>
      </c>
      <c r="X21" s="23">
        <v>982.33072689349729</v>
      </c>
      <c r="Y21" s="23">
        <v>915.74862293440151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241.23144867252094</v>
      </c>
      <c r="E22" s="23">
        <v>257.51769419929843</v>
      </c>
      <c r="F22" s="23">
        <v>241.5746007106562</v>
      </c>
      <c r="G22" s="23">
        <v>266.86927204520629</v>
      </c>
      <c r="H22" s="23">
        <v>300.57045132422024</v>
      </c>
      <c r="I22" s="23">
        <v>305.90595669118835</v>
      </c>
      <c r="J22" s="23">
        <v>317.99125354547817</v>
      </c>
      <c r="K22" s="23">
        <v>352.54628872832689</v>
      </c>
      <c r="L22" s="23">
        <v>355.71230895679224</v>
      </c>
      <c r="M22" s="23">
        <v>328.29023933613314</v>
      </c>
      <c r="N22" s="23">
        <v>316.10967238048261</v>
      </c>
      <c r="O22" s="23">
        <v>318.59485253058529</v>
      </c>
      <c r="P22" s="23">
        <v>310.39602953440595</v>
      </c>
      <c r="Q22" s="23">
        <v>321.52297169145095</v>
      </c>
      <c r="R22" s="23">
        <v>333.05704928637851</v>
      </c>
      <c r="S22" s="23">
        <v>330.5</v>
      </c>
      <c r="T22" s="23">
        <v>321.25850171766871</v>
      </c>
      <c r="U22" s="23">
        <v>322.16834320392616</v>
      </c>
      <c r="V22" s="23">
        <v>327.65637061957358</v>
      </c>
      <c r="W22" s="23">
        <v>330.309070924232</v>
      </c>
      <c r="X22" s="23">
        <v>352.55850707046574</v>
      </c>
      <c r="Y22" s="23">
        <v>404.44595464625513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1598.110203872028</v>
      </c>
      <c r="E23" s="23">
        <v>1564.3294928287</v>
      </c>
      <c r="F23" s="23">
        <v>1553.7418595908268</v>
      </c>
      <c r="G23" s="23">
        <v>1661.9972458331354</v>
      </c>
      <c r="H23" s="23">
        <v>1727.5187124433357</v>
      </c>
      <c r="I23" s="23">
        <v>1909.6925950695293</v>
      </c>
      <c r="J23" s="23">
        <v>2193.9588442023664</v>
      </c>
      <c r="K23" s="23">
        <v>2654.6136158062795</v>
      </c>
      <c r="L23" s="23">
        <v>2857.871136219399</v>
      </c>
      <c r="M23" s="23">
        <v>2487.2741992612459</v>
      </c>
      <c r="N23" s="23">
        <v>2065.9144160808978</v>
      </c>
      <c r="O23" s="23">
        <v>1920.402050865526</v>
      </c>
      <c r="P23" s="23">
        <v>1850.782092223827</v>
      </c>
      <c r="Q23" s="23">
        <v>1672.5852989245577</v>
      </c>
      <c r="R23" s="23">
        <v>1872.2961225892532</v>
      </c>
      <c r="S23" s="23">
        <v>1808.3</v>
      </c>
      <c r="T23" s="23">
        <v>1799.6416160936153</v>
      </c>
      <c r="U23" s="23">
        <v>1953.7919662806241</v>
      </c>
      <c r="V23" s="23">
        <v>2180.2777168888842</v>
      </c>
      <c r="W23" s="23">
        <v>2357.1548335413677</v>
      </c>
      <c r="X23" s="23">
        <v>2300.9565113522549</v>
      </c>
      <c r="Y23" s="23">
        <v>2526.2894341512269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2639.8089662609773</v>
      </c>
      <c r="E24" s="23">
        <v>2823.2077991786396</v>
      </c>
      <c r="F24" s="23">
        <v>3013.7401617773685</v>
      </c>
      <c r="G24" s="23">
        <v>3183.5557243933708</v>
      </c>
      <c r="H24" s="23">
        <v>3263.871806585375</v>
      </c>
      <c r="I24" s="23">
        <v>3494.2231856651983</v>
      </c>
      <c r="J24" s="23">
        <v>3707.8638988394559</v>
      </c>
      <c r="K24" s="23">
        <v>4108.1723172153752</v>
      </c>
      <c r="L24" s="23">
        <v>4380.1824859286071</v>
      </c>
      <c r="M24" s="23">
        <v>4025.502201082832</v>
      </c>
      <c r="N24" s="23">
        <v>3974.8016607062114</v>
      </c>
      <c r="O24" s="23">
        <v>3965.9881212244281</v>
      </c>
      <c r="P24" s="23">
        <v>3774.5865793381204</v>
      </c>
      <c r="Q24" s="23">
        <v>3805.0079699763919</v>
      </c>
      <c r="R24" s="23">
        <v>3865.4833623094655</v>
      </c>
      <c r="S24" s="23">
        <v>3998.1000000000004</v>
      </c>
      <c r="T24" s="23">
        <v>4141.6111435614657</v>
      </c>
      <c r="U24" s="23">
        <v>4377.5672484950192</v>
      </c>
      <c r="V24" s="23">
        <v>4628.0747567356339</v>
      </c>
      <c r="W24" s="23">
        <v>4735.9204128397632</v>
      </c>
      <c r="X24" s="23">
        <v>4543.1073295783453</v>
      </c>
      <c r="Y24" s="23">
        <v>4999.7317404678452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1280.6193190571562</v>
      </c>
      <c r="E25" s="23">
        <v>1310.6814295165457</v>
      </c>
      <c r="F25" s="23">
        <v>1339.6960913908729</v>
      </c>
      <c r="G25" s="23">
        <v>1377.9144308846573</v>
      </c>
      <c r="H25" s="23">
        <v>1487.8588747935482</v>
      </c>
      <c r="I25" s="23">
        <v>1537.716486405461</v>
      </c>
      <c r="J25" s="23">
        <v>1706.3496547749542</v>
      </c>
      <c r="K25" s="23">
        <v>1892.0892318087206</v>
      </c>
      <c r="L25" s="23">
        <v>1952.1000447371432</v>
      </c>
      <c r="M25" s="23">
        <v>1726.8633304660225</v>
      </c>
      <c r="N25" s="23">
        <v>1800.8796810128663</v>
      </c>
      <c r="O25" s="23">
        <v>1864.4601248794354</v>
      </c>
      <c r="P25" s="23">
        <v>1864.8170372027746</v>
      </c>
      <c r="Q25" s="23">
        <v>1846.7141502390994</v>
      </c>
      <c r="R25" s="23">
        <v>1973.3756519629644</v>
      </c>
      <c r="S25" s="23">
        <v>2110.4</v>
      </c>
      <c r="T25" s="23">
        <v>2221.4852141888346</v>
      </c>
      <c r="U25" s="23">
        <v>2375.2841657479048</v>
      </c>
      <c r="V25" s="23">
        <v>2455.3260838487713</v>
      </c>
      <c r="W25" s="23">
        <v>2503.1205171675019</v>
      </c>
      <c r="X25" s="23">
        <v>2241.5995148530319</v>
      </c>
      <c r="Y25" s="23">
        <v>2428.0170255383077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566.04015816771948</v>
      </c>
      <c r="E26" s="23">
        <v>589.43216287401231</v>
      </c>
      <c r="F26" s="23">
        <v>583.32019549109248</v>
      </c>
      <c r="G26" s="23">
        <v>595.35115627522669</v>
      </c>
      <c r="H26" s="23">
        <v>602.19512480819014</v>
      </c>
      <c r="I26" s="23">
        <v>639.13935843922229</v>
      </c>
      <c r="J26" s="23">
        <v>705.59253274270282</v>
      </c>
      <c r="K26" s="23">
        <v>762.30642647747959</v>
      </c>
      <c r="L26" s="23">
        <v>768.43846562002557</v>
      </c>
      <c r="M26" s="23">
        <v>710.41845873602188</v>
      </c>
      <c r="N26" s="23">
        <v>711.14399638262012</v>
      </c>
      <c r="O26" s="23">
        <v>731.10310168028832</v>
      </c>
      <c r="P26" s="23">
        <v>706.73067143990409</v>
      </c>
      <c r="Q26" s="23">
        <v>707.91549807308161</v>
      </c>
      <c r="R26" s="23">
        <v>728.37908866696318</v>
      </c>
      <c r="S26" s="23">
        <v>744</v>
      </c>
      <c r="T26" s="23">
        <v>815.57088972269798</v>
      </c>
      <c r="U26" s="23">
        <v>872.44982584176489</v>
      </c>
      <c r="V26" s="23">
        <v>938.65258703670168</v>
      </c>
      <c r="W26" s="23">
        <v>997.26139687389377</v>
      </c>
      <c r="X26" s="23">
        <v>579.51172897926187</v>
      </c>
      <c r="Y26" s="23">
        <v>746.11917876815232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928.07990551019361</v>
      </c>
      <c r="E27" s="23">
        <v>998.11511527755238</v>
      </c>
      <c r="F27" s="23">
        <v>956.8391564292557</v>
      </c>
      <c r="G27" s="23">
        <v>1010.2568972885701</v>
      </c>
      <c r="H27" s="23">
        <v>1074.0181091939887</v>
      </c>
      <c r="I27" s="23">
        <v>1172.1974955607316</v>
      </c>
      <c r="J27" s="23">
        <v>1254.9015176341632</v>
      </c>
      <c r="K27" s="23">
        <v>1342.5093449286737</v>
      </c>
      <c r="L27" s="23">
        <v>1386.8514414723722</v>
      </c>
      <c r="M27" s="23">
        <v>1252.2390325355464</v>
      </c>
      <c r="N27" s="23">
        <v>1330.5175319603732</v>
      </c>
      <c r="O27" s="23">
        <v>1340.8802477283111</v>
      </c>
      <c r="P27" s="23">
        <v>1372.5769379411347</v>
      </c>
      <c r="Q27" s="23">
        <v>1332.9028873509412</v>
      </c>
      <c r="R27" s="23">
        <v>1406.5216512351917</v>
      </c>
      <c r="S27" s="23">
        <v>1357.4</v>
      </c>
      <c r="T27" s="23">
        <v>1374.3329802294845</v>
      </c>
      <c r="U27" s="23">
        <v>1451.9040324705102</v>
      </c>
      <c r="V27" s="23">
        <v>1472.8334937623299</v>
      </c>
      <c r="W27" s="23">
        <v>1585.0364215585819</v>
      </c>
      <c r="X27" s="23">
        <v>1625.6098793564452</v>
      </c>
      <c r="Y27" s="23">
        <v>1786.6979039988555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1164.1760386175731</v>
      </c>
      <c r="E28" s="23">
        <v>1095.9793286814545</v>
      </c>
      <c r="F28" s="23">
        <v>1136.322293503438</v>
      </c>
      <c r="G28" s="23">
        <v>1245.5482216629468</v>
      </c>
      <c r="H28" s="23">
        <v>1282.5198252333932</v>
      </c>
      <c r="I28" s="23">
        <v>1337.8917510319859</v>
      </c>
      <c r="J28" s="23">
        <v>1518.3121828845219</v>
      </c>
      <c r="K28" s="23">
        <v>1553.8191606455903</v>
      </c>
      <c r="L28" s="23">
        <v>1668.0712048857122</v>
      </c>
      <c r="M28" s="23">
        <v>1691.8484035824522</v>
      </c>
      <c r="N28" s="23">
        <v>1747.6466477576355</v>
      </c>
      <c r="O28" s="23">
        <v>1676.2272196558199</v>
      </c>
      <c r="P28" s="23">
        <v>1385.7982629213027</v>
      </c>
      <c r="Q28" s="23">
        <v>1268.7395331006232</v>
      </c>
      <c r="R28" s="23">
        <v>1318.1781425625682</v>
      </c>
      <c r="S28" s="23">
        <v>1362.2</v>
      </c>
      <c r="T28" s="23">
        <v>1324.139433119821</v>
      </c>
      <c r="U28" s="23">
        <v>1373.4596509029886</v>
      </c>
      <c r="V28" s="23">
        <v>1443.7656656532636</v>
      </c>
      <c r="W28" s="23">
        <v>1495.6126460122584</v>
      </c>
      <c r="X28" s="23">
        <v>1499.2695230306983</v>
      </c>
      <c r="Y28" s="23">
        <v>1721.2425781529439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1918.2971293585992</v>
      </c>
      <c r="E29" s="23">
        <v>1987.7420079639498</v>
      </c>
      <c r="F29" s="23">
        <v>2056.7797329581972</v>
      </c>
      <c r="G29" s="23">
        <v>2041.882330594995</v>
      </c>
      <c r="H29" s="23">
        <v>2109.6156774548735</v>
      </c>
      <c r="I29" s="23">
        <v>2232.4331803611376</v>
      </c>
      <c r="J29" s="23">
        <v>2289.4466228967262</v>
      </c>
      <c r="K29" s="23">
        <v>2362.5505388999686</v>
      </c>
      <c r="L29" s="23">
        <v>2497.5810730671992</v>
      </c>
      <c r="M29" s="23">
        <v>2669.3315792136823</v>
      </c>
      <c r="N29" s="23">
        <v>2609.8573601348294</v>
      </c>
      <c r="O29" s="23">
        <v>2508.3506776993754</v>
      </c>
      <c r="P29" s="23">
        <v>2440.2497813396253</v>
      </c>
      <c r="Q29" s="23">
        <v>2595.2866164928068</v>
      </c>
      <c r="R29" s="23">
        <v>2557.2110136255205</v>
      </c>
      <c r="S29" s="23">
        <v>2652.9</v>
      </c>
      <c r="T29" s="23">
        <v>2743.7159065033807</v>
      </c>
      <c r="U29" s="23">
        <v>2783.8974368981299</v>
      </c>
      <c r="V29" s="23">
        <v>2835.3045450646637</v>
      </c>
      <c r="W29" s="23">
        <v>2836.0377815451684</v>
      </c>
      <c r="X29" s="23">
        <v>2809.2582213115506</v>
      </c>
      <c r="Y29" s="23">
        <v>2906.6814507475501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1190.1093822215375</v>
      </c>
      <c r="E30" s="23">
        <v>1269.8630649973161</v>
      </c>
      <c r="F30" s="23">
        <v>1560.4118410361511</v>
      </c>
      <c r="G30" s="23">
        <v>1642.0532788831379</v>
      </c>
      <c r="H30" s="23">
        <v>1698.5861709479802</v>
      </c>
      <c r="I30" s="23">
        <v>1746.7656758065632</v>
      </c>
      <c r="J30" s="23">
        <v>1899.9242877967749</v>
      </c>
      <c r="K30" s="23">
        <v>2064.9295452316346</v>
      </c>
      <c r="L30" s="23">
        <v>2270.045881581822</v>
      </c>
      <c r="M30" s="23">
        <v>2129.0289935738501</v>
      </c>
      <c r="N30" s="23">
        <v>2225.9218152669873</v>
      </c>
      <c r="O30" s="23">
        <v>2231.8899436519619</v>
      </c>
      <c r="P30" s="23">
        <v>2189.1463092162808</v>
      </c>
      <c r="Q30" s="23">
        <v>2217.1667238352738</v>
      </c>
      <c r="R30" s="23">
        <v>2321.2913920672781</v>
      </c>
      <c r="S30" s="23">
        <v>2352.8999999999996</v>
      </c>
      <c r="T30" s="23">
        <v>2365.5317842964487</v>
      </c>
      <c r="U30" s="23">
        <v>2523.8796795878748</v>
      </c>
      <c r="V30" s="23">
        <v>2655.3699238518207</v>
      </c>
      <c r="W30" s="23">
        <v>2715.4088343238263</v>
      </c>
      <c r="X30" s="23">
        <v>2612.1672654433855</v>
      </c>
      <c r="Y30" s="23">
        <v>2884.7735889548612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595.05469111076877</v>
      </c>
      <c r="E31" s="23">
        <v>624.50849446393124</v>
      </c>
      <c r="F31" s="23">
        <v>645.77547629731134</v>
      </c>
      <c r="G31" s="23">
        <v>691.86571062253654</v>
      </c>
      <c r="H31" s="23">
        <v>768.29368286654721</v>
      </c>
      <c r="I31" s="23">
        <v>704.05645365864905</v>
      </c>
      <c r="J31" s="23">
        <v>752.14988756172806</v>
      </c>
      <c r="K31" s="23">
        <v>880.98429616067835</v>
      </c>
      <c r="L31" s="23">
        <v>863.84302464704467</v>
      </c>
      <c r="M31" s="23">
        <v>779.53751960734712</v>
      </c>
      <c r="N31" s="23">
        <v>862.82731121798815</v>
      </c>
      <c r="O31" s="23">
        <v>857.40392913345852</v>
      </c>
      <c r="P31" s="23">
        <v>847.58863372861708</v>
      </c>
      <c r="Q31" s="23">
        <v>820.50402534250725</v>
      </c>
      <c r="R31" s="23">
        <v>936.19860105931343</v>
      </c>
      <c r="S31" s="23">
        <v>993.7</v>
      </c>
      <c r="T31" s="23">
        <v>1059.2125454167451</v>
      </c>
      <c r="U31" s="23">
        <v>1178.7146439269022</v>
      </c>
      <c r="V31" s="23">
        <v>1243.5312169413019</v>
      </c>
      <c r="W31" s="23">
        <v>1209.0839651992474</v>
      </c>
      <c r="X31" s="23">
        <v>988.02752841509471</v>
      </c>
      <c r="Y31" s="23">
        <v>1104.2456541955792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1393.3394957120117</v>
      </c>
      <c r="E32" s="23">
        <v>1507.1588171412166</v>
      </c>
      <c r="F32" s="23">
        <v>1578.2388823536548</v>
      </c>
      <c r="G32" s="23">
        <v>1694.5249062158691</v>
      </c>
      <c r="H32" s="23">
        <v>1751.2972789354701</v>
      </c>
      <c r="I32" s="23">
        <v>1809.2613518437381</v>
      </c>
      <c r="J32" s="23">
        <v>1875.8545873684932</v>
      </c>
      <c r="K32" s="23">
        <v>1900.2626388116955</v>
      </c>
      <c r="L32" s="23">
        <v>2000.6866631293117</v>
      </c>
      <c r="M32" s="23">
        <v>2044.5276526843093</v>
      </c>
      <c r="N32" s="23">
        <v>2140.3173428700616</v>
      </c>
      <c r="O32" s="23">
        <v>2111.2746839941115</v>
      </c>
      <c r="P32" s="23">
        <v>2076.7650468848524</v>
      </c>
      <c r="Q32" s="23">
        <v>1973.1240289743953</v>
      </c>
      <c r="R32" s="23">
        <v>1948.307928678284</v>
      </c>
      <c r="S32" s="23">
        <v>1948</v>
      </c>
      <c r="T32" s="23">
        <v>2056.1534120721917</v>
      </c>
      <c r="U32" s="23">
        <v>2117.6080317680235</v>
      </c>
      <c r="V32" s="23">
        <v>2163.9806722769163</v>
      </c>
      <c r="W32" s="23">
        <v>2271.7364979413901</v>
      </c>
      <c r="X32" s="23">
        <v>2401.9369125173434</v>
      </c>
      <c r="Y32" s="23">
        <v>2550.7010515773663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1372.5414676731884</v>
      </c>
      <c r="E33" s="23">
        <v>1471.4583515372419</v>
      </c>
      <c r="F33" s="23">
        <v>1514.0857880886258</v>
      </c>
      <c r="G33" s="23">
        <v>1557.2914193456479</v>
      </c>
      <c r="H33" s="23">
        <v>1641.3067669349077</v>
      </c>
      <c r="I33" s="23">
        <v>1716.555588866084</v>
      </c>
      <c r="J33" s="23">
        <v>1773.8126179471824</v>
      </c>
      <c r="K33" s="23">
        <v>1780.930896568259</v>
      </c>
      <c r="L33" s="23">
        <v>1818.4088142576234</v>
      </c>
      <c r="M33" s="23">
        <v>1843.1412234984568</v>
      </c>
      <c r="N33" s="23">
        <v>1946.0887080198954</v>
      </c>
      <c r="O33" s="23">
        <v>1958.3735214985531</v>
      </c>
      <c r="P33" s="23">
        <v>1913.1257246303117</v>
      </c>
      <c r="Q33" s="23">
        <v>1832.5901414418595</v>
      </c>
      <c r="R33" s="23">
        <v>1820.3412444911655</v>
      </c>
      <c r="S33" s="23">
        <v>1817.1</v>
      </c>
      <c r="T33" s="23">
        <v>1883.6935322595016</v>
      </c>
      <c r="U33" s="23">
        <v>1946.0841228181437</v>
      </c>
      <c r="V33" s="23">
        <v>1989.3830949136066</v>
      </c>
      <c r="W33" s="23">
        <v>2086.4616129813512</v>
      </c>
      <c r="X33" s="23">
        <v>2155.6880725515239</v>
      </c>
      <c r="Y33" s="23">
        <v>2378.389012089563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1242.7463667642378</v>
      </c>
      <c r="E34" s="23">
        <v>1306.9366254322128</v>
      </c>
      <c r="F34" s="23">
        <v>1316.5330649171101</v>
      </c>
      <c r="G34" s="23">
        <v>1336.9580701837695</v>
      </c>
      <c r="H34" s="23">
        <v>1357.7210059622118</v>
      </c>
      <c r="I34" s="23">
        <v>1411.5720775776583</v>
      </c>
      <c r="J34" s="23">
        <v>1422.0333811713924</v>
      </c>
      <c r="K34" s="23">
        <v>1455.4113403297697</v>
      </c>
      <c r="L34" s="23">
        <v>1562.9909381274904</v>
      </c>
      <c r="M34" s="23">
        <v>1641.9571927338968</v>
      </c>
      <c r="N34" s="23">
        <v>1707.7732560529453</v>
      </c>
      <c r="O34" s="23">
        <v>1715.417026244987</v>
      </c>
      <c r="P34" s="23">
        <v>1736.8752923946872</v>
      </c>
      <c r="Q34" s="23">
        <v>1689.1305663727528</v>
      </c>
      <c r="R34" s="23">
        <v>1679.1331419560911</v>
      </c>
      <c r="S34" s="23">
        <v>1704.1</v>
      </c>
      <c r="T34" s="23">
        <v>1808.155708897227</v>
      </c>
      <c r="U34" s="23">
        <v>1875.3475847131024</v>
      </c>
      <c r="V34" s="23">
        <v>1965.3663975907054</v>
      </c>
      <c r="W34" s="23">
        <v>2075.3767908042551</v>
      </c>
      <c r="X34" s="23">
        <v>2386.7760697582535</v>
      </c>
      <c r="Y34" s="23">
        <v>2584.8594320051507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378.08760848354126</v>
      </c>
      <c r="E35" s="23">
        <v>391.20720000998608</v>
      </c>
      <c r="F35" s="23">
        <v>388.43546489770671</v>
      </c>
      <c r="G35" s="23">
        <v>395.55534450828617</v>
      </c>
      <c r="H35" s="23">
        <v>452.61271391924663</v>
      </c>
      <c r="I35" s="23">
        <v>494.89195858220143</v>
      </c>
      <c r="J35" s="23">
        <v>500.71757088131267</v>
      </c>
      <c r="K35" s="23">
        <v>497.05212454092697</v>
      </c>
      <c r="L35" s="23">
        <v>505.8418385925487</v>
      </c>
      <c r="M35" s="23">
        <v>492.43535900419971</v>
      </c>
      <c r="N35" s="23">
        <v>520.30665515682153</v>
      </c>
      <c r="O35" s="23">
        <v>505.0002538199908</v>
      </c>
      <c r="P35" s="23">
        <v>490.91796676362304</v>
      </c>
      <c r="Q35" s="23">
        <v>479.71187022053635</v>
      </c>
      <c r="R35" s="23">
        <v>473.15327699834228</v>
      </c>
      <c r="S35" s="23">
        <v>461.9</v>
      </c>
      <c r="T35" s="23">
        <v>493.02537397657625</v>
      </c>
      <c r="U35" s="23">
        <v>501.20496033875486</v>
      </c>
      <c r="V35" s="23">
        <v>506.63794828785723</v>
      </c>
      <c r="W35" s="23">
        <v>527.60027572330796</v>
      </c>
      <c r="X35" s="23">
        <v>408.79145112236182</v>
      </c>
      <c r="Y35" s="23">
        <v>439.58795335860941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407.10214142659072</v>
      </c>
      <c r="E36" s="23">
        <v>390.95754640436394</v>
      </c>
      <c r="F36" s="23">
        <v>359.69390848785463</v>
      </c>
      <c r="G36" s="23">
        <v>354.36155562942207</v>
      </c>
      <c r="H36" s="23">
        <v>344.61351044265621</v>
      </c>
      <c r="I36" s="23">
        <v>354.79556303761274</v>
      </c>
      <c r="J36" s="23">
        <v>353.81329596691268</v>
      </c>
      <c r="K36" s="23">
        <v>365.40578241300773</v>
      </c>
      <c r="L36" s="23">
        <v>371.73444864071911</v>
      </c>
      <c r="M36" s="23">
        <v>364.51955674745739</v>
      </c>
      <c r="N36" s="23">
        <v>352.59177046080487</v>
      </c>
      <c r="O36" s="23">
        <v>372.4046905934311</v>
      </c>
      <c r="P36" s="23">
        <v>359.72174196041743</v>
      </c>
      <c r="Q36" s="23">
        <v>356.83299368455033</v>
      </c>
      <c r="R36" s="23">
        <v>356.40642057170584</v>
      </c>
      <c r="S36" s="23">
        <v>357</v>
      </c>
      <c r="T36" s="23">
        <v>374.52108227979687</v>
      </c>
      <c r="U36" s="23">
        <v>389.09974339711005</v>
      </c>
      <c r="V36" s="23">
        <v>401.13602790511499</v>
      </c>
      <c r="W36" s="23">
        <v>429.14097285615816</v>
      </c>
      <c r="X36" s="23">
        <v>375.6213648433839</v>
      </c>
      <c r="Y36" s="23">
        <v>403.3729165176336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20.284496482308839</v>
      </c>
      <c r="E37" s="23">
        <v>21.719863689131326</v>
      </c>
      <c r="F37" s="23">
        <v>21.343940625037899</v>
      </c>
      <c r="G37" s="23">
        <v>20.062681038985705</v>
      </c>
      <c r="H37" s="23">
        <v>21.904393763690248</v>
      </c>
      <c r="I37" s="23">
        <v>21.562161289578672</v>
      </c>
      <c r="J37" s="23">
        <v>21.922637948764308</v>
      </c>
      <c r="K37" s="23">
        <v>22.776560848290668</v>
      </c>
      <c r="L37" s="23">
        <v>23.929169657812874</v>
      </c>
      <c r="M37" s="23">
        <v>24.591408187016143</v>
      </c>
      <c r="N37" s="23">
        <v>26.7192831010811</v>
      </c>
      <c r="O37" s="23">
        <v>27.107975024112896</v>
      </c>
      <c r="P37" s="23">
        <v>27.76478245835283</v>
      </c>
      <c r="Q37" s="23">
        <v>27.642702931740683</v>
      </c>
      <c r="R37" s="23">
        <v>28.504427283386569</v>
      </c>
      <c r="S37" s="23">
        <v>28.4</v>
      </c>
      <c r="T37" s="23">
        <v>28.413309705075786</v>
      </c>
      <c r="U37" s="23">
        <v>28.392182880782105</v>
      </c>
      <c r="V37" s="23">
        <v>29.163132463522256</v>
      </c>
      <c r="W37" s="23">
        <v>29.249026584943273</v>
      </c>
      <c r="X37" s="23">
        <v>30.229801622669594</v>
      </c>
      <c r="Y37" s="23">
        <v>31.296945418127194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24515.996507985419</v>
      </c>
      <c r="E39" s="30">
        <f t="shared" ref="E39:S39" si="2">SUM(E18:E38)</f>
        <v>25464.293293055878</v>
      </c>
      <c r="F39" s="30">
        <f t="shared" si="2"/>
        <v>26448.901878509314</v>
      </c>
      <c r="G39" s="30">
        <f t="shared" si="2"/>
        <v>27273.612232299729</v>
      </c>
      <c r="H39" s="30">
        <f t="shared" si="2"/>
        <v>28458.375795059219</v>
      </c>
      <c r="I39" s="30">
        <f t="shared" si="2"/>
        <v>29491.040749025669</v>
      </c>
      <c r="J39" s="30">
        <f t="shared" si="2"/>
        <v>31250.720395963515</v>
      </c>
      <c r="K39" s="30">
        <f t="shared" si="2"/>
        <v>33488.737045149901</v>
      </c>
      <c r="L39" s="30">
        <f t="shared" si="2"/>
        <v>34545.709916039821</v>
      </c>
      <c r="M39" s="30">
        <f t="shared" si="2"/>
        <v>32105.651975914592</v>
      </c>
      <c r="N39" s="30">
        <f t="shared" si="2"/>
        <v>32570.292267850535</v>
      </c>
      <c r="O39" s="30">
        <f t="shared" si="2"/>
        <v>32758.718716686122</v>
      </c>
      <c r="P39" s="30">
        <f t="shared" si="2"/>
        <v>32011.065231983412</v>
      </c>
      <c r="Q39" s="30">
        <f t="shared" si="2"/>
        <v>31787.897742176312</v>
      </c>
      <c r="R39" s="30">
        <f t="shared" si="2"/>
        <v>32883.192495855736</v>
      </c>
      <c r="S39" s="30">
        <f t="shared" si="2"/>
        <v>33591.699999999997</v>
      </c>
      <c r="T39" s="30">
        <f t="shared" ref="T39:Y39" si="3">SUM(T18:T38)</f>
        <v>34679.682008533884</v>
      </c>
      <c r="U39" s="30">
        <f t="shared" si="3"/>
        <v>36461.026606695094</v>
      </c>
      <c r="V39" s="30">
        <f t="shared" si="3"/>
        <v>38084.954301562037</v>
      </c>
      <c r="W39" s="30">
        <f t="shared" si="3"/>
        <v>39474.169569834383</v>
      </c>
      <c r="X39" s="30">
        <f t="shared" si="3"/>
        <v>38188.417116132063</v>
      </c>
      <c r="Y39" s="30">
        <f t="shared" si="3"/>
        <v>41041.47292367123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647.43490987521182</v>
      </c>
      <c r="E41" s="19">
        <v>661.45722809601671</v>
      </c>
      <c r="F41" s="19">
        <v>657.41762572915025</v>
      </c>
      <c r="G41" s="19">
        <v>649.36606676480358</v>
      </c>
      <c r="H41" s="19">
        <v>589.19305150460934</v>
      </c>
      <c r="I41" s="19">
        <v>546.66420681225929</v>
      </c>
      <c r="J41" s="19">
        <v>541.73776456894893</v>
      </c>
      <c r="K41" s="19">
        <v>547.40031167925372</v>
      </c>
      <c r="L41" s="19">
        <v>488.98737996400217</v>
      </c>
      <c r="M41" s="19">
        <v>518.44355614026199</v>
      </c>
      <c r="N41" s="19">
        <v>475.6032391992436</v>
      </c>
      <c r="O41" s="19">
        <v>467.13031118330878</v>
      </c>
      <c r="P41" s="19">
        <v>462.13615930679578</v>
      </c>
      <c r="Q41" s="19">
        <v>472.04455115917756</v>
      </c>
      <c r="R41" s="19">
        <v>502.66849957546594</v>
      </c>
      <c r="S41" s="19">
        <v>521</v>
      </c>
      <c r="T41" s="19">
        <v>541.83290597867506</v>
      </c>
      <c r="U41" s="19">
        <v>553.79391763339936</v>
      </c>
      <c r="V41" s="19">
        <v>602.03760709826838</v>
      </c>
      <c r="W41" s="19">
        <v>639.56629468860035</v>
      </c>
      <c r="X41" s="19">
        <v>618.47050067534667</v>
      </c>
      <c r="Y41" s="19">
        <v>628.62150368409766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581.83125353052947</v>
      </c>
      <c r="E42" s="23">
        <v>602.41415036636658</v>
      </c>
      <c r="F42" s="23">
        <v>544.51303071829636</v>
      </c>
      <c r="G42" s="23">
        <v>485.5406239612517</v>
      </c>
      <c r="H42" s="23">
        <v>465.0291082451887</v>
      </c>
      <c r="I42" s="23">
        <v>451.07580195097205</v>
      </c>
      <c r="J42" s="23">
        <v>428.62147288486096</v>
      </c>
      <c r="K42" s="23">
        <v>428.83142075609464</v>
      </c>
      <c r="L42" s="23">
        <v>382.76267465692854</v>
      </c>
      <c r="M42" s="23">
        <v>296.00769114000911</v>
      </c>
      <c r="N42" s="23">
        <v>254.24425535413326</v>
      </c>
      <c r="O42" s="23">
        <v>271.28280623381897</v>
      </c>
      <c r="P42" s="23">
        <v>257.30732461403903</v>
      </c>
      <c r="Q42" s="23">
        <v>236.07271846815036</v>
      </c>
      <c r="R42" s="23">
        <v>256.33768649173169</v>
      </c>
      <c r="S42" s="23">
        <v>237.3</v>
      </c>
      <c r="T42" s="23">
        <v>250.17572691542338</v>
      </c>
      <c r="U42" s="23">
        <v>264.11559813840944</v>
      </c>
      <c r="V42" s="23">
        <v>263.135322652892</v>
      </c>
      <c r="W42" s="23">
        <v>255.13720960560386</v>
      </c>
      <c r="X42" s="23">
        <v>218.22425183538081</v>
      </c>
      <c r="Y42" s="23">
        <v>224.71206810215324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609.69034047142202</v>
      </c>
      <c r="E43" s="23">
        <v>638.36426957596336</v>
      </c>
      <c r="F43" s="23">
        <v>662.02597654591978</v>
      </c>
      <c r="G43" s="23">
        <v>612.20855691153429</v>
      </c>
      <c r="H43" s="23">
        <v>630.65912312143473</v>
      </c>
      <c r="I43" s="23">
        <v>615.96291769480899</v>
      </c>
      <c r="J43" s="23">
        <v>624.45617167459579</v>
      </c>
      <c r="K43" s="23">
        <v>679.04665380717302</v>
      </c>
      <c r="L43" s="23">
        <v>602.2867963003423</v>
      </c>
      <c r="M43" s="23">
        <v>556.19086171127867</v>
      </c>
      <c r="N43" s="23">
        <v>502.42528877379038</v>
      </c>
      <c r="O43" s="23">
        <v>528.25016498299397</v>
      </c>
      <c r="P43" s="23">
        <v>528.85299920672048</v>
      </c>
      <c r="Q43" s="23">
        <v>525.51401303444243</v>
      </c>
      <c r="R43" s="23">
        <v>587.57530424938329</v>
      </c>
      <c r="S43" s="23">
        <v>574.20000000000005</v>
      </c>
      <c r="T43" s="23">
        <v>589.55142611054464</v>
      </c>
      <c r="U43" s="23">
        <v>602.96800757124879</v>
      </c>
      <c r="V43" s="23">
        <v>602.13291145272422</v>
      </c>
      <c r="W43" s="23">
        <v>647.57717458129184</v>
      </c>
      <c r="X43" s="23">
        <v>633.08004006137844</v>
      </c>
      <c r="Y43" s="23">
        <v>627.45904571142432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2.4392748934422022</v>
      </c>
      <c r="E44" s="23">
        <v>4.2441112955773859</v>
      </c>
      <c r="F44" s="23">
        <v>10.06560836294401</v>
      </c>
      <c r="G44" s="23">
        <v>4.0362790255947578</v>
      </c>
      <c r="H44" s="23">
        <v>0.81995056869428729</v>
      </c>
      <c r="I44" s="23">
        <v>1.2683624287987456</v>
      </c>
      <c r="J44" s="23">
        <v>2.5990756331009233</v>
      </c>
      <c r="K44" s="23">
        <v>2.1795752007933653</v>
      </c>
      <c r="L44" s="23">
        <v>2.0807973615489455</v>
      </c>
      <c r="M44" s="23">
        <v>1.8215857916308253</v>
      </c>
      <c r="N44" s="23">
        <v>0.82213178772557238</v>
      </c>
      <c r="O44" s="23">
        <v>0.60916797806995271</v>
      </c>
      <c r="P44" s="23">
        <v>0.61021499908467758</v>
      </c>
      <c r="Q44" s="23">
        <v>0.60531466273884704</v>
      </c>
      <c r="R44" s="23">
        <v>0.80863623498968984</v>
      </c>
      <c r="S44" s="23">
        <v>1.3</v>
      </c>
      <c r="T44" s="23">
        <v>9.9001079111762313E-2</v>
      </c>
      <c r="U44" s="23">
        <v>0.29270291629672274</v>
      </c>
      <c r="V44" s="23">
        <v>0.95304354455955087</v>
      </c>
      <c r="W44" s="23">
        <v>0.18629953238817371</v>
      </c>
      <c r="X44" s="23">
        <v>0.45941947754817014</v>
      </c>
      <c r="Y44" s="23">
        <v>0.17883968810358397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297.71991988907718</v>
      </c>
      <c r="E45" s="23">
        <v>310.56908539401581</v>
      </c>
      <c r="F45" s="23">
        <v>322.22074000412323</v>
      </c>
      <c r="G45" s="23">
        <v>337.97901134906687</v>
      </c>
      <c r="H45" s="23">
        <v>353.63296669829333</v>
      </c>
      <c r="I45" s="23">
        <v>340.03643659340906</v>
      </c>
      <c r="J45" s="23">
        <v>352.68326308295576</v>
      </c>
      <c r="K45" s="23">
        <v>360.71969573130201</v>
      </c>
      <c r="L45" s="23">
        <v>323.14783024855126</v>
      </c>
      <c r="M45" s="23">
        <v>304.30602641299396</v>
      </c>
      <c r="N45" s="23">
        <v>336.35466765322479</v>
      </c>
      <c r="O45" s="23">
        <v>371.59246662267117</v>
      </c>
      <c r="P45" s="23">
        <v>369.28177694607734</v>
      </c>
      <c r="Q45" s="23">
        <v>379.12875042876453</v>
      </c>
      <c r="R45" s="23">
        <v>411.59584360975214</v>
      </c>
      <c r="S45" s="23">
        <v>372.7</v>
      </c>
      <c r="T45" s="23">
        <v>358.68090962191485</v>
      </c>
      <c r="U45" s="23">
        <v>380.51379118573954</v>
      </c>
      <c r="V45" s="23">
        <v>369.11376480791404</v>
      </c>
      <c r="W45" s="23">
        <v>382.37979022672653</v>
      </c>
      <c r="X45" s="23">
        <v>409.0671028088907</v>
      </c>
      <c r="Y45" s="23">
        <v>431.09306817368912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479.38170800595697</v>
      </c>
      <c r="E46" s="23">
        <v>508.66922145523085</v>
      </c>
      <c r="F46" s="23">
        <v>534.32614996543737</v>
      </c>
      <c r="G46" s="23">
        <v>715.1336720642006</v>
      </c>
      <c r="H46" s="23">
        <v>747.79491864919009</v>
      </c>
      <c r="I46" s="23">
        <v>703.94114798330372</v>
      </c>
      <c r="J46" s="23">
        <v>888.65785994372436</v>
      </c>
      <c r="K46" s="23">
        <v>872.81088915770317</v>
      </c>
      <c r="L46" s="23">
        <v>820.66647939490406</v>
      </c>
      <c r="M46" s="23">
        <v>754.74371299903862</v>
      </c>
      <c r="N46" s="23">
        <v>806.92234965264925</v>
      </c>
      <c r="O46" s="23">
        <v>829.48373013858566</v>
      </c>
      <c r="P46" s="23">
        <v>840.77456623883825</v>
      </c>
      <c r="Q46" s="23">
        <v>904.94542079457642</v>
      </c>
      <c r="R46" s="23">
        <v>891.92576719362796</v>
      </c>
      <c r="S46" s="23">
        <v>862.6</v>
      </c>
      <c r="T46" s="23">
        <v>780.32650555891064</v>
      </c>
      <c r="U46" s="23">
        <v>938.99095547988645</v>
      </c>
      <c r="V46" s="23">
        <v>1004.1266785479427</v>
      </c>
      <c r="W46" s="23">
        <v>1155.3365501052592</v>
      </c>
      <c r="X46" s="23">
        <v>1270.7542748982387</v>
      </c>
      <c r="Y46" s="23">
        <v>1182.2197582087417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598.00749756072514</v>
      </c>
      <c r="E47" s="23">
        <v>640.48632522375203</v>
      </c>
      <c r="F47" s="23">
        <v>680.45937981299789</v>
      </c>
      <c r="G47" s="23">
        <v>710.97867894961769</v>
      </c>
      <c r="H47" s="23">
        <v>768.29368286654721</v>
      </c>
      <c r="I47" s="23">
        <v>758.25012107095915</v>
      </c>
      <c r="J47" s="23">
        <v>812.60664685342351</v>
      </c>
      <c r="K47" s="23">
        <v>848.50862566885723</v>
      </c>
      <c r="L47" s="23">
        <v>797.98578815402061</v>
      </c>
      <c r="M47" s="23">
        <v>675.20113343115929</v>
      </c>
      <c r="N47" s="23">
        <v>703.12821145229577</v>
      </c>
      <c r="O47" s="23">
        <v>713.13264632722473</v>
      </c>
      <c r="P47" s="23">
        <v>690.55997396416012</v>
      </c>
      <c r="Q47" s="23">
        <v>738.28211698714711</v>
      </c>
      <c r="R47" s="23">
        <v>795.79913475922854</v>
      </c>
      <c r="S47" s="23">
        <v>845.2</v>
      </c>
      <c r="T47" s="23">
        <v>908.43390192953098</v>
      </c>
      <c r="U47" s="23">
        <v>949.91853102163077</v>
      </c>
      <c r="V47" s="23">
        <v>990.97467763302097</v>
      </c>
      <c r="W47" s="23">
        <v>1024.5542783687615</v>
      </c>
      <c r="X47" s="23">
        <v>971.48842722336053</v>
      </c>
      <c r="Y47" s="23">
        <v>1041.0258244509623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988.80501206799158</v>
      </c>
      <c r="E48" s="23">
        <v>1027.4494139381607</v>
      </c>
      <c r="F48" s="23">
        <v>1045.610545847027</v>
      </c>
      <c r="G48" s="23">
        <v>1077.2116434778479</v>
      </c>
      <c r="H48" s="23">
        <v>1098.7337620503449</v>
      </c>
      <c r="I48" s="23">
        <v>1192.4912944215114</v>
      </c>
      <c r="J48" s="23">
        <v>1229.3627744567368</v>
      </c>
      <c r="K48" s="23">
        <v>1420.7560946371552</v>
      </c>
      <c r="L48" s="23">
        <v>1477.054007095519</v>
      </c>
      <c r="M48" s="23">
        <v>1014.6232859383697</v>
      </c>
      <c r="N48" s="23">
        <v>1108.9530151683311</v>
      </c>
      <c r="O48" s="23">
        <v>1231.7376516574445</v>
      </c>
      <c r="P48" s="23">
        <v>1229.481520655778</v>
      </c>
      <c r="Q48" s="23">
        <v>1277.1130526018444</v>
      </c>
      <c r="R48" s="23">
        <v>1377.0064286580682</v>
      </c>
      <c r="S48" s="23">
        <v>1508.1</v>
      </c>
      <c r="T48" s="23">
        <v>1610.6485560692611</v>
      </c>
      <c r="U48" s="23">
        <v>1661.0890499839015</v>
      </c>
      <c r="V48" s="23">
        <v>1734.9204685162065</v>
      </c>
      <c r="W48" s="23">
        <v>1781.8618775266875</v>
      </c>
      <c r="X48" s="23">
        <v>1573.6035944979924</v>
      </c>
      <c r="Y48" s="23">
        <v>1720.0801201802706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337.13346685153812</v>
      </c>
      <c r="E49" s="23">
        <v>350.38883549075655</v>
      </c>
      <c r="F49" s="23">
        <v>332.04380358723728</v>
      </c>
      <c r="G49" s="23">
        <v>362.31539959162353</v>
      </c>
      <c r="H49" s="23">
        <v>375.53736046198367</v>
      </c>
      <c r="I49" s="23">
        <v>306.36717939256971</v>
      </c>
      <c r="J49" s="23">
        <v>312.56709570248501</v>
      </c>
      <c r="K49" s="23">
        <v>319.85266071642639</v>
      </c>
      <c r="L49" s="23">
        <v>307.22973043270179</v>
      </c>
      <c r="M49" s="23">
        <v>232.04979001163792</v>
      </c>
      <c r="N49" s="23">
        <v>251.77785999095653</v>
      </c>
      <c r="O49" s="23">
        <v>234.83425554596678</v>
      </c>
      <c r="P49" s="23">
        <v>246.12004963081995</v>
      </c>
      <c r="Q49" s="23">
        <v>242.73117975827768</v>
      </c>
      <c r="R49" s="23">
        <v>246.5329721424817</v>
      </c>
      <c r="S49" s="23">
        <v>231.7</v>
      </c>
      <c r="T49" s="23">
        <v>242.45364274470592</v>
      </c>
      <c r="U49" s="23">
        <v>281.09236728361941</v>
      </c>
      <c r="V49" s="23">
        <v>281.81497612625918</v>
      </c>
      <c r="W49" s="23">
        <v>311.49281815302646</v>
      </c>
      <c r="X49" s="23">
        <v>306.06525594259097</v>
      </c>
      <c r="Y49" s="23">
        <v>357.14285714285717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496.71339803830949</v>
      </c>
      <c r="E50" s="23">
        <v>519.02984608855206</v>
      </c>
      <c r="F50" s="23">
        <v>558.58062794843499</v>
      </c>
      <c r="G50" s="23">
        <v>586.21017142314452</v>
      </c>
      <c r="H50" s="23">
        <v>611.44885265488278</v>
      </c>
      <c r="I50" s="23">
        <v>637.29446763369697</v>
      </c>
      <c r="J50" s="23">
        <v>661.86026013357002</v>
      </c>
      <c r="K50" s="23">
        <v>695.9383616133216</v>
      </c>
      <c r="L50" s="23">
        <v>679.90053788611795</v>
      </c>
      <c r="M50" s="23">
        <v>543.33856195921669</v>
      </c>
      <c r="N50" s="23">
        <v>635.91893780573014</v>
      </c>
      <c r="O50" s="23">
        <v>638.71262500634543</v>
      </c>
      <c r="P50" s="23">
        <v>677.2369464841446</v>
      </c>
      <c r="Q50" s="23">
        <v>671.79838986299717</v>
      </c>
      <c r="R50" s="23">
        <v>689.26131079933691</v>
      </c>
      <c r="S50" s="23">
        <v>814.6</v>
      </c>
      <c r="T50" s="23">
        <v>876.35755229732001</v>
      </c>
      <c r="U50" s="23">
        <v>917.13580439639782</v>
      </c>
      <c r="V50" s="23">
        <v>877.84840889380234</v>
      </c>
      <c r="W50" s="23">
        <v>906.99927343182367</v>
      </c>
      <c r="X50" s="23">
        <v>841.19706339069955</v>
      </c>
      <c r="Y50" s="23">
        <v>933.54317190070822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265.62419760694297</v>
      </c>
      <c r="E51" s="23">
        <v>281.48444033902956</v>
      </c>
      <c r="F51" s="23">
        <v>342.95831867958623</v>
      </c>
      <c r="G51" s="23">
        <v>364.92710954936126</v>
      </c>
      <c r="H51" s="23">
        <v>384.20540933103752</v>
      </c>
      <c r="I51" s="23">
        <v>402.41680695523831</v>
      </c>
      <c r="J51" s="23">
        <v>439.92180172443022</v>
      </c>
      <c r="K51" s="23">
        <v>500.64842362223607</v>
      </c>
      <c r="L51" s="23">
        <v>547.45778582352762</v>
      </c>
      <c r="M51" s="23">
        <v>443.05014420887517</v>
      </c>
      <c r="N51" s="23">
        <v>434.39388333949927</v>
      </c>
      <c r="O51" s="23">
        <v>471.80059901517842</v>
      </c>
      <c r="P51" s="23">
        <v>458.67827431198259</v>
      </c>
      <c r="Q51" s="23">
        <v>463.97368898932626</v>
      </c>
      <c r="R51" s="23">
        <v>493.67242146120566</v>
      </c>
      <c r="S51" s="23">
        <v>543.1</v>
      </c>
      <c r="T51" s="23">
        <v>588.75941747765057</v>
      </c>
      <c r="U51" s="23">
        <v>625.31099684856531</v>
      </c>
      <c r="V51" s="23">
        <v>645.30578402127185</v>
      </c>
      <c r="W51" s="23">
        <v>691.54386422490074</v>
      </c>
      <c r="X51" s="23">
        <v>714.2135197963853</v>
      </c>
      <c r="Y51" s="23">
        <v>757.74375849488524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280.6449956349818</v>
      </c>
      <c r="E52" s="23">
        <v>312.81596784461556</v>
      </c>
      <c r="F52" s="23">
        <v>323.31219151335819</v>
      </c>
      <c r="G52" s="23">
        <v>341.77786219668542</v>
      </c>
      <c r="H52" s="23">
        <v>391.58496444928608</v>
      </c>
      <c r="I52" s="23">
        <v>440.92890252058208</v>
      </c>
      <c r="J52" s="23">
        <v>489.53024533013911</v>
      </c>
      <c r="K52" s="23">
        <v>569.41402120726673</v>
      </c>
      <c r="L52" s="23">
        <v>603.4312348491942</v>
      </c>
      <c r="M52" s="23">
        <v>507.91883823306182</v>
      </c>
      <c r="N52" s="23">
        <v>574.15628725284671</v>
      </c>
      <c r="O52" s="23">
        <v>601.35032235138829</v>
      </c>
      <c r="P52" s="23">
        <v>625.97888656103169</v>
      </c>
      <c r="Q52" s="23">
        <v>585.33927886846516</v>
      </c>
      <c r="R52" s="23">
        <v>622.34666235394013</v>
      </c>
      <c r="S52" s="23">
        <v>615.9</v>
      </c>
      <c r="T52" s="23">
        <v>624.4988070369966</v>
      </c>
      <c r="U52" s="23">
        <v>717.41484784326735</v>
      </c>
      <c r="V52" s="23">
        <v>750.14057392282245</v>
      </c>
      <c r="W52" s="23">
        <v>738.11874732194428</v>
      </c>
      <c r="X52" s="23">
        <v>668.45533983258758</v>
      </c>
      <c r="Y52" s="23">
        <v>702.3034551827742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495.30118625789328</v>
      </c>
      <c r="E53" s="23">
        <v>506.92164621587199</v>
      </c>
      <c r="F53" s="23">
        <v>510.07167198243678</v>
      </c>
      <c r="G53" s="23">
        <v>512.13257989458452</v>
      </c>
      <c r="H53" s="23">
        <v>537.65330147240002</v>
      </c>
      <c r="I53" s="23">
        <v>523.71837741853506</v>
      </c>
      <c r="J53" s="23">
        <v>496.87545907585172</v>
      </c>
      <c r="K53" s="23">
        <v>541.95137367727239</v>
      </c>
      <c r="L53" s="23">
        <v>543.40023096850928</v>
      </c>
      <c r="M53" s="23">
        <v>436.16859788493457</v>
      </c>
      <c r="N53" s="23">
        <v>447.03415957578181</v>
      </c>
      <c r="O53" s="23">
        <v>492.00467028783532</v>
      </c>
      <c r="P53" s="23">
        <v>518.98785672152007</v>
      </c>
      <c r="Q53" s="23">
        <v>548.91951332701228</v>
      </c>
      <c r="R53" s="23">
        <v>589.29365624873299</v>
      </c>
      <c r="S53" s="23">
        <v>619.09999999999673</v>
      </c>
      <c r="T53" s="23">
        <v>703.10566385173388</v>
      </c>
      <c r="U53" s="23">
        <v>741.12378406330299</v>
      </c>
      <c r="V53" s="23">
        <v>756.71657438028979</v>
      </c>
      <c r="W53" s="23">
        <v>786.92922480765264</v>
      </c>
      <c r="X53" s="23">
        <v>648.42465061148687</v>
      </c>
      <c r="Y53" s="23">
        <v>728.32462980184027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6080.7271606840231</v>
      </c>
      <c r="E54" s="30">
        <f t="shared" ref="E54:S54" si="4">SUM(E41:E53)</f>
        <v>6364.2945413239095</v>
      </c>
      <c r="F54" s="30">
        <f t="shared" si="4"/>
        <v>6523.6056706969493</v>
      </c>
      <c r="G54" s="30">
        <f t="shared" si="4"/>
        <v>6759.8176551593178</v>
      </c>
      <c r="H54" s="30">
        <f t="shared" si="4"/>
        <v>6954.5864520738924</v>
      </c>
      <c r="I54" s="30">
        <f t="shared" si="4"/>
        <v>6920.4160228766441</v>
      </c>
      <c r="J54" s="30">
        <f t="shared" si="4"/>
        <v>7281.4798910648233</v>
      </c>
      <c r="K54" s="30">
        <f t="shared" si="4"/>
        <v>7788.0581074748561</v>
      </c>
      <c r="L54" s="30">
        <f t="shared" si="4"/>
        <v>7576.3912731358678</v>
      </c>
      <c r="M54" s="30">
        <f t="shared" si="4"/>
        <v>6283.8637858624688</v>
      </c>
      <c r="N54" s="30">
        <f t="shared" si="4"/>
        <v>6531.7342870062075</v>
      </c>
      <c r="O54" s="30">
        <f t="shared" si="4"/>
        <v>6851.9214173308319</v>
      </c>
      <c r="P54" s="30">
        <f t="shared" si="4"/>
        <v>6906.0065496409934</v>
      </c>
      <c r="Q54" s="30">
        <f t="shared" si="4"/>
        <v>7046.4679889429208</v>
      </c>
      <c r="R54" s="30">
        <f t="shared" si="4"/>
        <v>7464.8243237779443</v>
      </c>
      <c r="S54" s="30">
        <f t="shared" si="4"/>
        <v>7746.7999999999965</v>
      </c>
      <c r="T54" s="30">
        <f t="shared" ref="T54:Y54" si="5">SUM(T41:T53)</f>
        <v>8074.9240166717782</v>
      </c>
      <c r="U54" s="30">
        <f t="shared" si="5"/>
        <v>8633.760354365666</v>
      </c>
      <c r="V54" s="30">
        <f t="shared" si="5"/>
        <v>8879.2207915979743</v>
      </c>
      <c r="W54" s="30">
        <f t="shared" si="5"/>
        <v>9321.6834025746684</v>
      </c>
      <c r="X54" s="30">
        <f t="shared" si="5"/>
        <v>8873.5034410518856</v>
      </c>
      <c r="Y54" s="30">
        <f t="shared" si="5"/>
        <v>9334.4481007225077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647.43490987521182</v>
      </c>
      <c r="E56" s="19">
        <v>661.45722809601671</v>
      </c>
      <c r="F56" s="19">
        <v>657.41762572915025</v>
      </c>
      <c r="G56" s="19">
        <v>649.36606676480358</v>
      </c>
      <c r="H56" s="19">
        <v>589.19305150460934</v>
      </c>
      <c r="I56" s="19">
        <v>546.66420681225929</v>
      </c>
      <c r="J56" s="19">
        <v>541.73776456894893</v>
      </c>
      <c r="K56" s="19">
        <v>547.40031167925372</v>
      </c>
      <c r="L56" s="19">
        <v>488.98737996400217</v>
      </c>
      <c r="M56" s="19">
        <v>518.44355614026199</v>
      </c>
      <c r="N56" s="19">
        <v>475.6032391992436</v>
      </c>
      <c r="O56" s="19">
        <v>467.13031118330878</v>
      </c>
      <c r="P56" s="19">
        <v>462.13615930679578</v>
      </c>
      <c r="Q56" s="19">
        <v>472.04455115917756</v>
      </c>
      <c r="R56" s="19">
        <v>502.66849957546594</v>
      </c>
      <c r="S56" s="19">
        <v>521</v>
      </c>
      <c r="T56" s="19">
        <v>541.83290597867506</v>
      </c>
      <c r="U56" s="19">
        <v>553.79391763339936</v>
      </c>
      <c r="V56" s="19">
        <v>602.03760709826838</v>
      </c>
      <c r="W56" s="19">
        <v>639.56629468860035</v>
      </c>
      <c r="X56" s="19">
        <v>618.47050067534667</v>
      </c>
      <c r="Y56" s="19">
        <v>628.62150368409766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581.83125353052947</v>
      </c>
      <c r="E57" s="23">
        <v>602.41415036636658</v>
      </c>
      <c r="F57" s="23">
        <v>544.51303071829636</v>
      </c>
      <c r="G57" s="23">
        <v>485.5406239612517</v>
      </c>
      <c r="H57" s="23">
        <v>465.0291082451887</v>
      </c>
      <c r="I57" s="23">
        <v>451.07580195097205</v>
      </c>
      <c r="J57" s="23">
        <v>428.62147288486096</v>
      </c>
      <c r="K57" s="23">
        <v>428.83142075609464</v>
      </c>
      <c r="L57" s="23">
        <v>382.76267465692854</v>
      </c>
      <c r="M57" s="23">
        <v>296.00769114000911</v>
      </c>
      <c r="N57" s="23">
        <v>254.24425535413326</v>
      </c>
      <c r="O57" s="23">
        <v>271.28280623381897</v>
      </c>
      <c r="P57" s="23">
        <v>257.30732461403903</v>
      </c>
      <c r="Q57" s="23">
        <v>236.07271846815036</v>
      </c>
      <c r="R57" s="23">
        <v>256.33768649173169</v>
      </c>
      <c r="S57" s="23">
        <v>237.3</v>
      </c>
      <c r="T57" s="23">
        <v>250.17572691542338</v>
      </c>
      <c r="U57" s="23">
        <v>264.11559813840944</v>
      </c>
      <c r="V57" s="23">
        <v>263.135322652892</v>
      </c>
      <c r="W57" s="23">
        <v>255.13720960560386</v>
      </c>
      <c r="X57" s="23">
        <v>218.22425183538081</v>
      </c>
      <c r="Y57" s="23">
        <v>224.71206810215324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239.30570533559288</v>
      </c>
      <c r="E58" s="23">
        <v>232.42750683426743</v>
      </c>
      <c r="F58" s="23">
        <v>231.63026473762719</v>
      </c>
      <c r="G58" s="23">
        <v>239.09017522199534</v>
      </c>
      <c r="H58" s="23">
        <v>240.01124503637067</v>
      </c>
      <c r="I58" s="23">
        <v>243.4102806540138</v>
      </c>
      <c r="J58" s="23">
        <v>261.82861921281909</v>
      </c>
      <c r="K58" s="23">
        <v>296.20426978781836</v>
      </c>
      <c r="L58" s="23">
        <v>253.12899903242922</v>
      </c>
      <c r="M58" s="23">
        <v>205.43439761169864</v>
      </c>
      <c r="N58" s="23">
        <v>208.4104081884326</v>
      </c>
      <c r="O58" s="23">
        <v>223.76770394436264</v>
      </c>
      <c r="P58" s="23">
        <v>225.169334662246</v>
      </c>
      <c r="Q58" s="23">
        <v>221.44428078529489</v>
      </c>
      <c r="R58" s="23">
        <v>251.78910766991467</v>
      </c>
      <c r="S58" s="23">
        <v>241.8</v>
      </c>
      <c r="T58" s="23">
        <v>252.35375065588215</v>
      </c>
      <c r="U58" s="23">
        <v>265.57911271989309</v>
      </c>
      <c r="V58" s="23">
        <v>277.90749759356504</v>
      </c>
      <c r="W58" s="23">
        <v>290.16152169458053</v>
      </c>
      <c r="X58" s="23">
        <v>287.87224463168343</v>
      </c>
      <c r="Y58" s="23">
        <v>316.54624794334359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197.19611770143277</v>
      </c>
      <c r="E59" s="23">
        <v>222.56618941219057</v>
      </c>
      <c r="F59" s="23">
        <v>229.32608932924239</v>
      </c>
      <c r="G59" s="23">
        <v>194.92853411842916</v>
      </c>
      <c r="H59" s="23">
        <v>206.04186433332163</v>
      </c>
      <c r="I59" s="23">
        <v>196.82678781449624</v>
      </c>
      <c r="J59" s="23">
        <v>178.77120224198524</v>
      </c>
      <c r="K59" s="23">
        <v>194.96300171096655</v>
      </c>
      <c r="L59" s="23">
        <v>163.86279222197945</v>
      </c>
      <c r="M59" s="23">
        <v>195.01087891514447</v>
      </c>
      <c r="N59" s="23">
        <v>149.93628478645127</v>
      </c>
      <c r="O59" s="23">
        <v>157.26686633839282</v>
      </c>
      <c r="P59" s="23">
        <v>161.19846225820231</v>
      </c>
      <c r="Q59" s="23">
        <v>166.3606464760598</v>
      </c>
      <c r="R59" s="23">
        <v>190.43383334007197</v>
      </c>
      <c r="S59" s="23">
        <v>182.8</v>
      </c>
      <c r="T59" s="23">
        <v>186.61703412567198</v>
      </c>
      <c r="U59" s="23">
        <v>185.76878420965335</v>
      </c>
      <c r="V59" s="23">
        <v>176.21775138906096</v>
      </c>
      <c r="W59" s="23">
        <v>205.5815339903497</v>
      </c>
      <c r="X59" s="23">
        <v>210.78165629910046</v>
      </c>
      <c r="Y59" s="23">
        <v>166.49974962443667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173.1885174343964</v>
      </c>
      <c r="E60" s="23">
        <v>183.37057332950536</v>
      </c>
      <c r="F60" s="23">
        <v>201.06962247905022</v>
      </c>
      <c r="G60" s="23">
        <v>178.18984757110982</v>
      </c>
      <c r="H60" s="23">
        <v>184.60601375174244</v>
      </c>
      <c r="I60" s="23">
        <v>175.72584922629892</v>
      </c>
      <c r="J60" s="23">
        <v>183.85635021979147</v>
      </c>
      <c r="K60" s="23">
        <v>187.8793823083881</v>
      </c>
      <c r="L60" s="23">
        <v>185.29500504593366</v>
      </c>
      <c r="M60" s="23">
        <v>155.74558518443558</v>
      </c>
      <c r="N60" s="23">
        <v>144.07859579890652</v>
      </c>
      <c r="O60" s="23">
        <v>147.21559470023848</v>
      </c>
      <c r="P60" s="23">
        <v>142.48520228627217</v>
      </c>
      <c r="Q60" s="23">
        <v>137.70908577308774</v>
      </c>
      <c r="R60" s="23">
        <v>145.35236323939668</v>
      </c>
      <c r="S60" s="23">
        <v>149.60000000000002</v>
      </c>
      <c r="T60" s="23">
        <v>150.58064132899051</v>
      </c>
      <c r="U60" s="23">
        <v>151.62011064170235</v>
      </c>
      <c r="V60" s="23">
        <v>148.00766247009821</v>
      </c>
      <c r="W60" s="23">
        <v>151.83411889636162</v>
      </c>
      <c r="X60" s="23">
        <v>134.42613913059455</v>
      </c>
      <c r="Y60" s="23">
        <v>144.41304814364406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2.4392748934422022</v>
      </c>
      <c r="E61" s="23">
        <v>4.2441112955773859</v>
      </c>
      <c r="F61" s="23">
        <v>10.06560836294401</v>
      </c>
      <c r="G61" s="23">
        <v>4.0362790255947578</v>
      </c>
      <c r="H61" s="23">
        <v>0.81995056869428729</v>
      </c>
      <c r="I61" s="23">
        <v>1.2683624287987456</v>
      </c>
      <c r="J61" s="23">
        <v>2.5990756331009233</v>
      </c>
      <c r="K61" s="23">
        <v>2.1795752007933653</v>
      </c>
      <c r="L61" s="23">
        <v>2.0807973615489455</v>
      </c>
      <c r="M61" s="23">
        <v>1.8215857916308253</v>
      </c>
      <c r="N61" s="23">
        <v>0.82213178772557238</v>
      </c>
      <c r="O61" s="23">
        <v>0.60916797806995271</v>
      </c>
      <c r="P61" s="23">
        <v>0.61021499908467758</v>
      </c>
      <c r="Q61" s="23">
        <v>0.60531466273884704</v>
      </c>
      <c r="R61" s="23">
        <v>0.80863623498968984</v>
      </c>
      <c r="S61" s="23">
        <v>1.3</v>
      </c>
      <c r="T61" s="23">
        <v>9.9001079111762313E-2</v>
      </c>
      <c r="U61" s="23">
        <v>0.29270291629672274</v>
      </c>
      <c r="V61" s="23">
        <v>0.95304354455955087</v>
      </c>
      <c r="W61" s="23">
        <v>0.18629953238817371</v>
      </c>
      <c r="X61" s="23">
        <v>0.45941947754817014</v>
      </c>
      <c r="Y61" s="23">
        <v>0.17883968810358397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297.71991988907718</v>
      </c>
      <c r="E62" s="23">
        <v>310.56908539401581</v>
      </c>
      <c r="F62" s="23">
        <v>322.22074000412323</v>
      </c>
      <c r="G62" s="23">
        <v>337.97901134906687</v>
      </c>
      <c r="H62" s="23">
        <v>353.63296669829333</v>
      </c>
      <c r="I62" s="23">
        <v>340.03643659340906</v>
      </c>
      <c r="J62" s="23">
        <v>352.68326308295576</v>
      </c>
      <c r="K62" s="23">
        <v>360.71969573130201</v>
      </c>
      <c r="L62" s="23">
        <v>323.14783024855126</v>
      </c>
      <c r="M62" s="23">
        <v>304.30602641299396</v>
      </c>
      <c r="N62" s="23">
        <v>336.35466765322479</v>
      </c>
      <c r="O62" s="23">
        <v>371.59246662267117</v>
      </c>
      <c r="P62" s="23">
        <v>369.28177694607734</v>
      </c>
      <c r="Q62" s="23">
        <v>379.12875042876453</v>
      </c>
      <c r="R62" s="23">
        <v>411.59584360975214</v>
      </c>
      <c r="S62" s="23">
        <v>372.7</v>
      </c>
      <c r="T62" s="23">
        <v>358.68090962191485</v>
      </c>
      <c r="U62" s="23">
        <v>380.51379118573954</v>
      </c>
      <c r="V62" s="23">
        <v>369.11376480791404</v>
      </c>
      <c r="W62" s="23">
        <v>382.37979022672653</v>
      </c>
      <c r="X62" s="23">
        <v>409.0671028088907</v>
      </c>
      <c r="Y62" s="23">
        <v>431.09306817368912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479.38170800595697</v>
      </c>
      <c r="E63" s="23">
        <v>508.66922145523085</v>
      </c>
      <c r="F63" s="23">
        <v>534.32614996543737</v>
      </c>
      <c r="G63" s="23">
        <v>715.1336720642006</v>
      </c>
      <c r="H63" s="23">
        <v>747.79491864919009</v>
      </c>
      <c r="I63" s="23">
        <v>703.94114798330372</v>
      </c>
      <c r="J63" s="23">
        <v>888.65785994372436</v>
      </c>
      <c r="K63" s="23">
        <v>872.81088915770317</v>
      </c>
      <c r="L63" s="23">
        <v>820.66647939490406</v>
      </c>
      <c r="M63" s="23">
        <v>754.74371299903862</v>
      </c>
      <c r="N63" s="23">
        <v>806.92234965264925</v>
      </c>
      <c r="O63" s="23">
        <v>829.48373013858566</v>
      </c>
      <c r="P63" s="23">
        <v>840.77456623883825</v>
      </c>
      <c r="Q63" s="23">
        <v>904.94542079457642</v>
      </c>
      <c r="R63" s="23">
        <v>891.92576719362796</v>
      </c>
      <c r="S63" s="23">
        <v>862.6</v>
      </c>
      <c r="T63" s="23">
        <v>780.32650555891064</v>
      </c>
      <c r="U63" s="23">
        <v>938.99095547988645</v>
      </c>
      <c r="V63" s="23">
        <v>1004.1266785479427</v>
      </c>
      <c r="W63" s="23">
        <v>1155.3365501052592</v>
      </c>
      <c r="X63" s="23">
        <v>1270.7542748982387</v>
      </c>
      <c r="Y63" s="23">
        <v>1182.2197582087417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320.31530837569971</v>
      </c>
      <c r="E64" s="23">
        <v>354.632946786334</v>
      </c>
      <c r="F64" s="23">
        <v>402.98815168750531</v>
      </c>
      <c r="G64" s="23">
        <v>407.30803931810624</v>
      </c>
      <c r="H64" s="23">
        <v>456.36105937613479</v>
      </c>
      <c r="I64" s="23">
        <v>442.19726494938084</v>
      </c>
      <c r="J64" s="23">
        <v>458.79335088651084</v>
      </c>
      <c r="K64" s="23">
        <v>479.28858665446108</v>
      </c>
      <c r="L64" s="23">
        <v>452.36534640074075</v>
      </c>
      <c r="M64" s="23">
        <v>420.88751707736679</v>
      </c>
      <c r="N64" s="23">
        <v>439.7377399597155</v>
      </c>
      <c r="O64" s="23">
        <v>471.90212701152342</v>
      </c>
      <c r="P64" s="23">
        <v>442.10076683684889</v>
      </c>
      <c r="Q64" s="23">
        <v>478.29946934081232</v>
      </c>
      <c r="R64" s="23">
        <v>516.41531557029066</v>
      </c>
      <c r="S64" s="23">
        <v>545.20000000000005</v>
      </c>
      <c r="T64" s="23">
        <v>601.03555128750907</v>
      </c>
      <c r="U64" s="23">
        <v>641.99506307747845</v>
      </c>
      <c r="V64" s="23">
        <v>662.46056782334381</v>
      </c>
      <c r="W64" s="23">
        <v>681.1110904111631</v>
      </c>
      <c r="X64" s="23">
        <v>652.55942590942084</v>
      </c>
      <c r="Y64" s="23">
        <v>698.7266614207025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277.69218918502543</v>
      </c>
      <c r="E65" s="23">
        <v>285.85337843741803</v>
      </c>
      <c r="F65" s="23">
        <v>277.47122812549259</v>
      </c>
      <c r="G65" s="23">
        <v>303.67063963151145</v>
      </c>
      <c r="H65" s="23">
        <v>311.93262349041242</v>
      </c>
      <c r="I65" s="23">
        <v>316.05285612157832</v>
      </c>
      <c r="J65" s="23">
        <v>353.81329596691268</v>
      </c>
      <c r="K65" s="23">
        <v>369.22003901439615</v>
      </c>
      <c r="L65" s="23">
        <v>345.62044175327986</v>
      </c>
      <c r="M65" s="23">
        <v>254.3136163537925</v>
      </c>
      <c r="N65" s="23">
        <v>263.39047149258028</v>
      </c>
      <c r="O65" s="23">
        <v>241.23051931570132</v>
      </c>
      <c r="P65" s="23">
        <v>248.45920712731123</v>
      </c>
      <c r="Q65" s="23">
        <v>259.98264764633478</v>
      </c>
      <c r="R65" s="23">
        <v>279.38381918893788</v>
      </c>
      <c r="S65" s="23">
        <v>300</v>
      </c>
      <c r="T65" s="23">
        <v>307.39835064202191</v>
      </c>
      <c r="U65" s="23">
        <v>307.92346794415232</v>
      </c>
      <c r="V65" s="23">
        <v>328.51410980967717</v>
      </c>
      <c r="W65" s="23">
        <v>343.44318795759841</v>
      </c>
      <c r="X65" s="23">
        <v>318.92900131393969</v>
      </c>
      <c r="Y65" s="23">
        <v>342.29916303025982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258.30637292661635</v>
      </c>
      <c r="E66" s="23">
        <v>259.01561583303163</v>
      </c>
      <c r="F66" s="23">
        <v>262.06963460628918</v>
      </c>
      <c r="G66" s="23">
        <v>268.64998338002755</v>
      </c>
      <c r="H66" s="23">
        <v>275.50339108128054</v>
      </c>
      <c r="I66" s="23">
        <v>342.4578557756613</v>
      </c>
      <c r="J66" s="23">
        <v>334.94174680483201</v>
      </c>
      <c r="K66" s="23">
        <v>409.97809526923203</v>
      </c>
      <c r="L66" s="23">
        <v>399.30501368124266</v>
      </c>
      <c r="M66" s="23">
        <v>192.78449628092901</v>
      </c>
      <c r="N66" s="23">
        <v>241.39844617092118</v>
      </c>
      <c r="O66" s="23">
        <v>302.65495710442156</v>
      </c>
      <c r="P66" s="23">
        <v>284.25848707361229</v>
      </c>
      <c r="Q66" s="23">
        <v>290.75280966889289</v>
      </c>
      <c r="R66" s="23">
        <v>348.2189786924352</v>
      </c>
      <c r="S66" s="23">
        <v>426.6</v>
      </c>
      <c r="T66" s="23">
        <v>435.10974269619538</v>
      </c>
      <c r="U66" s="23">
        <v>466.08061038314816</v>
      </c>
      <c r="V66" s="23">
        <v>458.22333622423207</v>
      </c>
      <c r="W66" s="23">
        <v>490.34036924567317</v>
      </c>
      <c r="X66" s="23">
        <v>387.38250346861707</v>
      </c>
      <c r="Y66" s="23">
        <v>388.79748193719155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730.49863914137518</v>
      </c>
      <c r="E67" s="23">
        <v>768.43379810512897</v>
      </c>
      <c r="F67" s="23">
        <v>783.54091124073784</v>
      </c>
      <c r="G67" s="23">
        <v>808.56166009782032</v>
      </c>
      <c r="H67" s="23">
        <v>823.23037096906432</v>
      </c>
      <c r="I67" s="23">
        <v>850.03343864585008</v>
      </c>
      <c r="J67" s="23">
        <v>894.42102765190475</v>
      </c>
      <c r="K67" s="23">
        <v>1010.7779993679233</v>
      </c>
      <c r="L67" s="23">
        <v>1077.7489934142764</v>
      </c>
      <c r="M67" s="23">
        <v>821.83878965744066</v>
      </c>
      <c r="N67" s="23">
        <v>867.55456899741</v>
      </c>
      <c r="O67" s="23">
        <v>929.08269455302298</v>
      </c>
      <c r="P67" s="23">
        <v>945.22303358216573</v>
      </c>
      <c r="Q67" s="23">
        <v>986.36024293295145</v>
      </c>
      <c r="R67" s="23">
        <v>1028.787449965633</v>
      </c>
      <c r="S67" s="23">
        <v>1081.5</v>
      </c>
      <c r="T67" s="23">
        <v>1175.5388133730658</v>
      </c>
      <c r="U67" s="23">
        <v>1195.0084396007533</v>
      </c>
      <c r="V67" s="23">
        <v>1276.6971322919744</v>
      </c>
      <c r="W67" s="23">
        <v>1291.5215082810143</v>
      </c>
      <c r="X67" s="23">
        <v>1186.2210910293752</v>
      </c>
      <c r="Y67" s="23">
        <v>1331.282638243079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337.13346685153812</v>
      </c>
      <c r="E68" s="23">
        <v>350.38883549075655</v>
      </c>
      <c r="F68" s="23">
        <v>332.04380358723728</v>
      </c>
      <c r="G68" s="23">
        <v>362.31539959162353</v>
      </c>
      <c r="H68" s="23">
        <v>375.53736046198367</v>
      </c>
      <c r="I68" s="23">
        <v>306.36717939256971</v>
      </c>
      <c r="J68" s="23">
        <v>312.56709570248501</v>
      </c>
      <c r="K68" s="23">
        <v>319.85266071642639</v>
      </c>
      <c r="L68" s="23">
        <v>307.22973043270179</v>
      </c>
      <c r="M68" s="23">
        <v>232.04979001163792</v>
      </c>
      <c r="N68" s="23">
        <v>251.77785999095653</v>
      </c>
      <c r="O68" s="23">
        <v>234.83425554596678</v>
      </c>
      <c r="P68" s="23">
        <v>246.12004963081995</v>
      </c>
      <c r="Q68" s="23">
        <v>242.73117975827768</v>
      </c>
      <c r="R68" s="23">
        <v>246.5329721424817</v>
      </c>
      <c r="S68" s="23">
        <v>231.7</v>
      </c>
      <c r="T68" s="23">
        <v>242.45364274470592</v>
      </c>
      <c r="U68" s="23">
        <v>281.09236728361941</v>
      </c>
      <c r="V68" s="23">
        <v>281.81497612625918</v>
      </c>
      <c r="W68" s="23">
        <v>311.49281815302646</v>
      </c>
      <c r="X68" s="23">
        <v>306.06525594259097</v>
      </c>
      <c r="Y68" s="23">
        <v>357.14285714285717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496.71339803830949</v>
      </c>
      <c r="E69" s="23">
        <v>519.02984608855206</v>
      </c>
      <c r="F69" s="23">
        <v>558.58062794843499</v>
      </c>
      <c r="G69" s="23">
        <v>586.21017142314452</v>
      </c>
      <c r="H69" s="23">
        <v>611.44885265488278</v>
      </c>
      <c r="I69" s="23">
        <v>637.29446763369697</v>
      </c>
      <c r="J69" s="23">
        <v>661.86026013357002</v>
      </c>
      <c r="K69" s="23">
        <v>695.9383616133216</v>
      </c>
      <c r="L69" s="23">
        <v>679.90053788611795</v>
      </c>
      <c r="M69" s="23">
        <v>543.33856195921669</v>
      </c>
      <c r="N69" s="23">
        <v>635.91893780573014</v>
      </c>
      <c r="O69" s="23">
        <v>638.71262500634543</v>
      </c>
      <c r="P69" s="23">
        <v>677.2369464841446</v>
      </c>
      <c r="Q69" s="23">
        <v>671.79838986299717</v>
      </c>
      <c r="R69" s="23">
        <v>689.26131079933691</v>
      </c>
      <c r="S69" s="23">
        <v>814.6</v>
      </c>
      <c r="T69" s="23">
        <v>876.35755229732001</v>
      </c>
      <c r="U69" s="23">
        <v>917.13580439639782</v>
      </c>
      <c r="V69" s="23">
        <v>877.84840889380234</v>
      </c>
      <c r="W69" s="23">
        <v>906.99927343182367</v>
      </c>
      <c r="X69" s="23">
        <v>841.19706339069955</v>
      </c>
      <c r="Y69" s="23">
        <v>933.54317190070822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265.62419760694297</v>
      </c>
      <c r="E70" s="23">
        <v>281.48444033902956</v>
      </c>
      <c r="F70" s="23">
        <v>342.95831867958623</v>
      </c>
      <c r="G70" s="23">
        <v>364.92710954936126</v>
      </c>
      <c r="H70" s="23">
        <v>384.20540933103752</v>
      </c>
      <c r="I70" s="23">
        <v>402.41680695523831</v>
      </c>
      <c r="J70" s="23">
        <v>439.92180172443022</v>
      </c>
      <c r="K70" s="23">
        <v>500.64842362223607</v>
      </c>
      <c r="L70" s="23">
        <v>547.45778582352762</v>
      </c>
      <c r="M70" s="23">
        <v>443.05014420887517</v>
      </c>
      <c r="N70" s="23">
        <v>434.39388333949927</v>
      </c>
      <c r="O70" s="23">
        <v>471.80059901517842</v>
      </c>
      <c r="P70" s="23">
        <v>458.67827431198259</v>
      </c>
      <c r="Q70" s="23">
        <v>463.97368898932626</v>
      </c>
      <c r="R70" s="23">
        <v>493.67242146120566</v>
      </c>
      <c r="S70" s="23">
        <v>543.1</v>
      </c>
      <c r="T70" s="23">
        <v>588.75941747765057</v>
      </c>
      <c r="U70" s="23">
        <v>625.31099684856531</v>
      </c>
      <c r="V70" s="23">
        <v>645.30578402127185</v>
      </c>
      <c r="W70" s="23">
        <v>691.54386422490074</v>
      </c>
      <c r="X70" s="23">
        <v>714.2135197963853</v>
      </c>
      <c r="Y70" s="23">
        <v>757.74375849488524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252.78590869408927</v>
      </c>
      <c r="E71" s="23">
        <v>283.73132278962936</v>
      </c>
      <c r="F71" s="23">
        <v>288.87083277750156</v>
      </c>
      <c r="G71" s="23">
        <v>308.06306092407044</v>
      </c>
      <c r="H71" s="23">
        <v>357.96699113282034</v>
      </c>
      <c r="I71" s="23">
        <v>402.5321126305837</v>
      </c>
      <c r="J71" s="23">
        <v>447.49302204694158</v>
      </c>
      <c r="K71" s="23">
        <v>530.72656139318451</v>
      </c>
      <c r="L71" s="23">
        <v>557.75773276319478</v>
      </c>
      <c r="M71" s="23">
        <v>486.768203208015</v>
      </c>
      <c r="N71" s="23">
        <v>550.4172318822707</v>
      </c>
      <c r="O71" s="23">
        <v>580.94319508604508</v>
      </c>
      <c r="P71" s="23">
        <v>602.07879909688188</v>
      </c>
      <c r="Q71" s="23">
        <v>557.59569015960142</v>
      </c>
      <c r="R71" s="23">
        <v>595.96490518740143</v>
      </c>
      <c r="S71" s="23">
        <v>589.9</v>
      </c>
      <c r="T71" s="23">
        <v>597.66951459770917</v>
      </c>
      <c r="U71" s="23">
        <v>684.14428302420652</v>
      </c>
      <c r="V71" s="23">
        <v>720.21500662365258</v>
      </c>
      <c r="W71" s="23">
        <v>705.51632915401387</v>
      </c>
      <c r="X71" s="23">
        <v>628.30207749487749</v>
      </c>
      <c r="Y71" s="23">
        <v>656.52049502825673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27.859086940892524</v>
      </c>
      <c r="E72" s="23">
        <v>29.084645054986197</v>
      </c>
      <c r="F72" s="23">
        <v>34.441358735856625</v>
      </c>
      <c r="G72" s="23">
        <v>33.714801272614977</v>
      </c>
      <c r="H72" s="23">
        <v>33.617973316465736</v>
      </c>
      <c r="I72" s="23">
        <v>38.396789889998388</v>
      </c>
      <c r="J72" s="23">
        <v>42.037223283197534</v>
      </c>
      <c r="K72" s="23">
        <v>38.687459814082217</v>
      </c>
      <c r="L72" s="23">
        <v>45.673502085999417</v>
      </c>
      <c r="M72" s="23">
        <v>21.150635025046824</v>
      </c>
      <c r="N72" s="23">
        <v>23.739055370576011</v>
      </c>
      <c r="O72" s="23">
        <v>20.407127265343206</v>
      </c>
      <c r="P72" s="23">
        <v>23.900087464149806</v>
      </c>
      <c r="Q72" s="23">
        <v>27.74358870886374</v>
      </c>
      <c r="R72" s="23">
        <v>26.381757166538705</v>
      </c>
      <c r="S72" s="23">
        <v>26</v>
      </c>
      <c r="T72" s="23">
        <v>26.829292439287428</v>
      </c>
      <c r="U72" s="23">
        <v>33.270564819060837</v>
      </c>
      <c r="V72" s="23">
        <v>29.92556729916987</v>
      </c>
      <c r="W72" s="23">
        <v>32.602418167930409</v>
      </c>
      <c r="X72" s="23">
        <v>40.153262337710089</v>
      </c>
      <c r="Y72" s="23">
        <v>45.782960154517468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287.19252298053715</v>
      </c>
      <c r="E73" s="23">
        <v>300.20846076069449</v>
      </c>
      <c r="F73" s="23">
        <v>351.9324755332953</v>
      </c>
      <c r="G73" s="23">
        <v>354.36155562942207</v>
      </c>
      <c r="H73" s="23">
        <v>349.41607805929414</v>
      </c>
      <c r="I73" s="23">
        <v>342.34255010031592</v>
      </c>
      <c r="J73" s="23">
        <v>332.68168103691818</v>
      </c>
      <c r="K73" s="23">
        <v>358.32216301042928</v>
      </c>
      <c r="L73" s="23">
        <v>354.77595014409519</v>
      </c>
      <c r="M73" s="23">
        <v>278.19663006628548</v>
      </c>
      <c r="N73" s="23">
        <v>275.51691536153248</v>
      </c>
      <c r="O73" s="23">
        <v>266.81557439463933</v>
      </c>
      <c r="P73" s="23">
        <v>246.73026462990461</v>
      </c>
      <c r="Q73" s="23">
        <v>251.81089969936039</v>
      </c>
      <c r="R73" s="23">
        <v>265.7380827234868</v>
      </c>
      <c r="S73" s="23">
        <v>289.8</v>
      </c>
      <c r="T73" s="23">
        <v>344.42475422982108</v>
      </c>
      <c r="U73" s="23">
        <v>370.36675675411982</v>
      </c>
      <c r="V73" s="23">
        <v>367.01706900988302</v>
      </c>
      <c r="W73" s="23">
        <v>381.63459209717382</v>
      </c>
      <c r="X73" s="23">
        <v>317.36697509027596</v>
      </c>
      <c r="Y73" s="23">
        <v>357.76879605121968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208.10866327735613</v>
      </c>
      <c r="E74" s="23">
        <v>206.71318545517749</v>
      </c>
      <c r="F74" s="23">
        <v>158.13919644914148</v>
      </c>
      <c r="G74" s="23">
        <v>157.77102426516245</v>
      </c>
      <c r="H74" s="23">
        <v>188.23722341310588</v>
      </c>
      <c r="I74" s="23">
        <v>181.37582731821914</v>
      </c>
      <c r="J74" s="23">
        <v>164.19377803893354</v>
      </c>
      <c r="K74" s="23">
        <v>183.62921066684311</v>
      </c>
      <c r="L74" s="23">
        <v>188.62428082441409</v>
      </c>
      <c r="M74" s="23">
        <v>157.97196781864909</v>
      </c>
      <c r="N74" s="23">
        <v>171.51724421424933</v>
      </c>
      <c r="O74" s="23">
        <v>225.189095893196</v>
      </c>
      <c r="P74" s="23">
        <v>272.25759209161549</v>
      </c>
      <c r="Q74" s="23">
        <v>297.10861362765189</v>
      </c>
      <c r="R74" s="23">
        <v>323.55557352524619</v>
      </c>
      <c r="S74" s="23">
        <v>329.29999999999671</v>
      </c>
      <c r="T74" s="23">
        <v>358.6809096219128</v>
      </c>
      <c r="U74" s="23">
        <v>370.75702730918317</v>
      </c>
      <c r="V74" s="23">
        <v>389.69950537040677</v>
      </c>
      <c r="W74" s="23">
        <v>405.29463271047882</v>
      </c>
      <c r="X74" s="23">
        <v>331.05767552121091</v>
      </c>
      <c r="Y74" s="23">
        <v>370.55583375062059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6080.7271606840222</v>
      </c>
      <c r="E75" s="30">
        <f t="shared" ref="E75:S75" si="6">SUM(E56:E74)</f>
        <v>6364.2945413239095</v>
      </c>
      <c r="F75" s="30">
        <f t="shared" si="6"/>
        <v>6523.6056706969493</v>
      </c>
      <c r="G75" s="30">
        <f t="shared" si="6"/>
        <v>6759.8176551593178</v>
      </c>
      <c r="H75" s="30">
        <f t="shared" si="6"/>
        <v>6954.5864520738915</v>
      </c>
      <c r="I75" s="30">
        <f t="shared" si="6"/>
        <v>6920.4160228766441</v>
      </c>
      <c r="J75" s="30">
        <f t="shared" si="6"/>
        <v>7281.4798910648224</v>
      </c>
      <c r="K75" s="30">
        <f t="shared" si="6"/>
        <v>7788.0581074748561</v>
      </c>
      <c r="L75" s="30">
        <f t="shared" si="6"/>
        <v>7576.3912731358687</v>
      </c>
      <c r="M75" s="30">
        <f t="shared" si="6"/>
        <v>6283.8637858624679</v>
      </c>
      <c r="N75" s="30">
        <f t="shared" si="6"/>
        <v>6531.7342870062084</v>
      </c>
      <c r="O75" s="30">
        <f t="shared" si="6"/>
        <v>6851.9214173308319</v>
      </c>
      <c r="P75" s="30">
        <f t="shared" si="6"/>
        <v>6906.0065496409934</v>
      </c>
      <c r="Q75" s="30">
        <f t="shared" si="6"/>
        <v>7046.4679889429208</v>
      </c>
      <c r="R75" s="30">
        <f t="shared" si="6"/>
        <v>7464.8243237779443</v>
      </c>
      <c r="S75" s="30">
        <f t="shared" si="6"/>
        <v>7746.7999999999965</v>
      </c>
      <c r="T75" s="30">
        <f t="shared" ref="T75:Y75" si="7">SUM(T56:T74)</f>
        <v>8074.9240166717782</v>
      </c>
      <c r="U75" s="30">
        <f t="shared" si="7"/>
        <v>8633.760354365666</v>
      </c>
      <c r="V75" s="30">
        <f t="shared" si="7"/>
        <v>8879.2207915979761</v>
      </c>
      <c r="W75" s="30">
        <f t="shared" si="7"/>
        <v>9321.6834025746684</v>
      </c>
      <c r="X75" s="30">
        <f t="shared" si="7"/>
        <v>8873.5034410518856</v>
      </c>
      <c r="Y75" s="30">
        <f t="shared" si="7"/>
        <v>9334.4481007225077</v>
      </c>
    </row>
  </sheetData>
  <mergeCells count="4">
    <mergeCell ref="A56:A75"/>
    <mergeCell ref="A6:A16"/>
    <mergeCell ref="A18:A39"/>
    <mergeCell ref="A41:A54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Y122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ColWidth="9.140625" defaultRowHeight="11.25" x14ac:dyDescent="0.25"/>
  <cols>
    <col min="1" max="1" width="35.28515625" style="1" customWidth="1"/>
    <col min="2" max="2" width="14.5703125" style="1" hidden="1" customWidth="1"/>
    <col min="3" max="3" width="7.7109375" style="1" hidden="1" customWidth="1"/>
    <col min="4" max="25" width="9.28515625" style="1" customWidth="1"/>
    <col min="26" max="16384" width="9.140625" style="1"/>
  </cols>
  <sheetData>
    <row r="1" spans="1:25" x14ac:dyDescent="0.2">
      <c r="A1" s="14" t="s">
        <v>279</v>
      </c>
      <c r="B1" s="15" t="s">
        <v>245</v>
      </c>
      <c r="C1" s="39"/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x14ac:dyDescent="0.2">
      <c r="A2" s="49" t="s">
        <v>237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</row>
    <row r="3" spans="1:25" x14ac:dyDescent="0.25">
      <c r="A3" s="40" t="s">
        <v>238</v>
      </c>
      <c r="B3" s="41"/>
      <c r="C3" s="41"/>
      <c r="D3" s="42">
        <v>1987755</v>
      </c>
      <c r="E3" s="42">
        <v>1990094</v>
      </c>
      <c r="F3" s="42">
        <v>1994026</v>
      </c>
      <c r="G3" s="42">
        <v>1995033</v>
      </c>
      <c r="H3" s="42">
        <v>1996433</v>
      </c>
      <c r="I3" s="42">
        <v>1997590</v>
      </c>
      <c r="J3" s="42">
        <v>2003358</v>
      </c>
      <c r="K3" s="42">
        <v>2010377</v>
      </c>
      <c r="L3" s="42">
        <v>2010269</v>
      </c>
      <c r="M3" s="42">
        <v>2032362</v>
      </c>
      <c r="N3" s="42">
        <v>2046976</v>
      </c>
      <c r="O3" s="42">
        <v>2050189</v>
      </c>
      <c r="P3" s="42">
        <v>2055496</v>
      </c>
      <c r="Q3" s="42">
        <v>2058821</v>
      </c>
      <c r="R3" s="42">
        <v>2061085</v>
      </c>
      <c r="S3" s="42">
        <v>2062874</v>
      </c>
      <c r="T3" s="42">
        <v>2064188</v>
      </c>
      <c r="U3" s="42">
        <v>2065895</v>
      </c>
      <c r="V3" s="42">
        <v>2066880</v>
      </c>
      <c r="W3" s="42">
        <v>2080908</v>
      </c>
      <c r="X3" s="42">
        <v>2095861</v>
      </c>
      <c r="Y3" s="42">
        <v>2108977</v>
      </c>
    </row>
    <row r="4" spans="1:25" x14ac:dyDescent="0.25">
      <c r="A4" s="43" t="s">
        <v>239</v>
      </c>
      <c r="B4" s="44"/>
      <c r="C4" s="44"/>
      <c r="D4" s="45">
        <v>692915</v>
      </c>
      <c r="E4" s="45">
        <v>697606</v>
      </c>
      <c r="F4" s="45">
        <v>702911</v>
      </c>
      <c r="G4" s="45">
        <v>707239</v>
      </c>
      <c r="H4" s="45">
        <v>711757</v>
      </c>
      <c r="I4" s="45">
        <v>716239</v>
      </c>
      <c r="J4" s="45">
        <v>732496</v>
      </c>
      <c r="K4" s="45">
        <v>741338</v>
      </c>
      <c r="L4" s="45">
        <v>750451</v>
      </c>
      <c r="M4" s="45">
        <v>772321</v>
      </c>
      <c r="N4" s="45">
        <v>798353</v>
      </c>
      <c r="O4" s="45">
        <v>805259</v>
      </c>
      <c r="P4" s="45">
        <v>819903</v>
      </c>
      <c r="Q4" s="45">
        <v>825179</v>
      </c>
      <c r="R4" s="45">
        <v>825425</v>
      </c>
      <c r="S4" s="45">
        <v>832811</v>
      </c>
      <c r="T4" s="45">
        <v>839101</v>
      </c>
      <c r="U4" s="45">
        <v>837073</v>
      </c>
      <c r="V4" s="45">
        <v>839513</v>
      </c>
      <c r="W4" s="45">
        <v>851087</v>
      </c>
      <c r="X4" s="45">
        <v>853016</v>
      </c>
      <c r="Y4" s="45">
        <v>854183</v>
      </c>
    </row>
    <row r="5" spans="1:25" x14ac:dyDescent="0.25">
      <c r="A5" s="46" t="s">
        <v>240</v>
      </c>
      <c r="B5" s="47"/>
      <c r="C5" s="47"/>
      <c r="D5" s="48">
        <f>D3/D4</f>
        <v>2.8686851922674497</v>
      </c>
      <c r="E5" s="48">
        <f t="shared" ref="E5:S5" si="0">E3/E4</f>
        <v>2.8527478261368167</v>
      </c>
      <c r="F5" s="48">
        <f t="shared" si="0"/>
        <v>2.8368114882253943</v>
      </c>
      <c r="G5" s="48">
        <f t="shared" si="0"/>
        <v>2.8208752628178027</v>
      </c>
      <c r="H5" s="48">
        <f t="shared" si="0"/>
        <v>2.8049362352600675</v>
      </c>
      <c r="I5" s="48">
        <f t="shared" si="0"/>
        <v>2.7889992027800776</v>
      </c>
      <c r="J5" s="48">
        <f t="shared" si="0"/>
        <v>2.7349746619776765</v>
      </c>
      <c r="K5" s="48">
        <f t="shared" si="0"/>
        <v>2.7118224075927579</v>
      </c>
      <c r="L5" s="48">
        <f t="shared" si="0"/>
        <v>2.6787478462950944</v>
      </c>
      <c r="M5" s="48">
        <f t="shared" si="0"/>
        <v>2.631499078750934</v>
      </c>
      <c r="N5" s="48">
        <f t="shared" si="0"/>
        <v>2.5639986321840089</v>
      </c>
      <c r="O5" s="48">
        <f t="shared" si="0"/>
        <v>2.5459994858796984</v>
      </c>
      <c r="P5" s="48">
        <f t="shared" si="0"/>
        <v>2.5069989986620369</v>
      </c>
      <c r="Q5" s="48">
        <f t="shared" si="0"/>
        <v>2.4949992668257432</v>
      </c>
      <c r="R5" s="48">
        <f t="shared" si="0"/>
        <v>2.4969985159160433</v>
      </c>
      <c r="S5" s="48">
        <f t="shared" si="0"/>
        <v>2.4770013844677843</v>
      </c>
      <c r="T5" s="48">
        <f t="shared" ref="T5:Y5" si="1">T3/T4</f>
        <v>2.4599994517942418</v>
      </c>
      <c r="U5" s="48">
        <f t="shared" si="1"/>
        <v>2.4679986094402757</v>
      </c>
      <c r="V5" s="48">
        <f t="shared" si="1"/>
        <v>2.4619988016862155</v>
      </c>
      <c r="W5" s="48">
        <f t="shared" si="1"/>
        <v>2.4450003348658833</v>
      </c>
      <c r="X5" s="48">
        <f t="shared" si="1"/>
        <v>2.4570008065499356</v>
      </c>
      <c r="Y5" s="48">
        <f t="shared" si="1"/>
        <v>2.4689990318233916</v>
      </c>
    </row>
    <row r="6" spans="1:25" x14ac:dyDescent="0.25">
      <c r="A6" s="35"/>
      <c r="B6" s="34"/>
      <c r="C6" s="34"/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</row>
    <row r="7" spans="1:25" x14ac:dyDescent="0.2">
      <c r="A7" s="49" t="s">
        <v>248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</row>
    <row r="8" spans="1:25" x14ac:dyDescent="0.25">
      <c r="A8" s="40" t="s">
        <v>249</v>
      </c>
      <c r="B8" s="41"/>
      <c r="C8" s="41"/>
      <c r="D8" s="42">
        <v>2594.38</v>
      </c>
      <c r="E8" s="42">
        <v>2877.1</v>
      </c>
      <c r="F8" s="42">
        <v>2674.53</v>
      </c>
      <c r="G8" s="42">
        <v>3063.34</v>
      </c>
      <c r="H8" s="42">
        <v>3072.24</v>
      </c>
      <c r="I8" s="42">
        <v>3192.52</v>
      </c>
      <c r="J8" s="42">
        <v>2978.51</v>
      </c>
      <c r="K8" s="42">
        <v>2685.84</v>
      </c>
      <c r="L8" s="42">
        <v>2793.77</v>
      </c>
      <c r="M8" s="42">
        <v>2795.7</v>
      </c>
      <c r="N8" s="42">
        <v>3136.59</v>
      </c>
      <c r="O8" s="42">
        <v>2826.88</v>
      </c>
      <c r="P8" s="42">
        <v>2836.51</v>
      </c>
      <c r="Q8" s="42">
        <v>2870.67</v>
      </c>
      <c r="R8" s="42">
        <v>2345.7199999999998</v>
      </c>
      <c r="S8" s="42">
        <v>2703.06</v>
      </c>
      <c r="T8" s="42">
        <v>2759.75</v>
      </c>
      <c r="U8" s="42">
        <v>2834.88</v>
      </c>
      <c r="V8" s="42">
        <v>2579.61</v>
      </c>
      <c r="W8" s="42">
        <v>2600.7199999999998</v>
      </c>
      <c r="X8" s="42">
        <v>2690.84</v>
      </c>
      <c r="Y8" s="42">
        <v>2985.84</v>
      </c>
    </row>
    <row r="9" spans="1:25" x14ac:dyDescent="0.25">
      <c r="A9" s="43" t="s">
        <v>261</v>
      </c>
      <c r="B9" s="44"/>
      <c r="C9" s="44"/>
      <c r="D9" s="45">
        <f t="shared" ref="D9:W9" si="2">AVERAGE($D8:$X8)</f>
        <v>2805.3885714285716</v>
      </c>
      <c r="E9" s="45">
        <f t="shared" si="2"/>
        <v>2805.3885714285716</v>
      </c>
      <c r="F9" s="45">
        <f t="shared" si="2"/>
        <v>2805.3885714285716</v>
      </c>
      <c r="G9" s="45">
        <f t="shared" si="2"/>
        <v>2805.3885714285716</v>
      </c>
      <c r="H9" s="45">
        <f t="shared" si="2"/>
        <v>2805.3885714285716</v>
      </c>
      <c r="I9" s="45">
        <f t="shared" si="2"/>
        <v>2805.3885714285716</v>
      </c>
      <c r="J9" s="45">
        <f t="shared" si="2"/>
        <v>2805.3885714285716</v>
      </c>
      <c r="K9" s="45">
        <f t="shared" si="2"/>
        <v>2805.3885714285716</v>
      </c>
      <c r="L9" s="45">
        <f t="shared" si="2"/>
        <v>2805.3885714285716</v>
      </c>
      <c r="M9" s="45">
        <f t="shared" si="2"/>
        <v>2805.3885714285716</v>
      </c>
      <c r="N9" s="45">
        <f t="shared" si="2"/>
        <v>2805.3885714285716</v>
      </c>
      <c r="O9" s="45">
        <f t="shared" si="2"/>
        <v>2805.3885714285716</v>
      </c>
      <c r="P9" s="45">
        <f t="shared" si="2"/>
        <v>2805.3885714285716</v>
      </c>
      <c r="Q9" s="45">
        <f t="shared" si="2"/>
        <v>2805.3885714285716</v>
      </c>
      <c r="R9" s="45">
        <f t="shared" si="2"/>
        <v>2805.3885714285716</v>
      </c>
      <c r="S9" s="45">
        <f t="shared" si="2"/>
        <v>2805.3885714285716</v>
      </c>
      <c r="T9" s="45">
        <f t="shared" si="2"/>
        <v>2805.3885714285716</v>
      </c>
      <c r="U9" s="45">
        <f t="shared" si="2"/>
        <v>2805.3885714285716</v>
      </c>
      <c r="V9" s="45">
        <f t="shared" si="2"/>
        <v>2805.3885714285716</v>
      </c>
      <c r="W9" s="45">
        <f t="shared" si="2"/>
        <v>2805.3885714285716</v>
      </c>
      <c r="X9" s="45">
        <f>AVERAGE($D8:$X8)</f>
        <v>2805.3885714285716</v>
      </c>
      <c r="Y9" s="45">
        <f t="shared" ref="Y9" si="3">AVERAGE($D8:$X8)</f>
        <v>2805.3885714285716</v>
      </c>
    </row>
    <row r="10" spans="1:25" x14ac:dyDescent="0.25">
      <c r="A10" s="51" t="s">
        <v>250</v>
      </c>
      <c r="B10" s="52"/>
      <c r="C10" s="52"/>
      <c r="D10" s="53">
        <f t="shared" ref="D10:S10" si="4">IF(D8=0,0,D8/D9)</f>
        <v>0.92478454728960391</v>
      </c>
      <c r="E10" s="53">
        <f t="shared" si="4"/>
        <v>1.0255620306226996</v>
      </c>
      <c r="F10" s="53">
        <f t="shared" si="4"/>
        <v>0.95335456458285384</v>
      </c>
      <c r="G10" s="53">
        <f t="shared" si="4"/>
        <v>1.0919485561460291</v>
      </c>
      <c r="H10" s="53">
        <f t="shared" si="4"/>
        <v>1.0951210221960592</v>
      </c>
      <c r="I10" s="53">
        <f t="shared" si="4"/>
        <v>1.1379956532632096</v>
      </c>
      <c r="J10" s="53">
        <f t="shared" si="4"/>
        <v>1.0617103207500667</v>
      </c>
      <c r="K10" s="53">
        <f t="shared" si="4"/>
        <v>0.95738609166440913</v>
      </c>
      <c r="L10" s="53">
        <f t="shared" si="4"/>
        <v>0.99585848051606796</v>
      </c>
      <c r="M10" s="53">
        <f t="shared" si="4"/>
        <v>0.9965464422550071</v>
      </c>
      <c r="N10" s="53">
        <f t="shared" si="4"/>
        <v>1.1180590211083568</v>
      </c>
      <c r="O10" s="53">
        <f t="shared" si="4"/>
        <v>1.0076607671358997</v>
      </c>
      <c r="P10" s="53">
        <f t="shared" si="4"/>
        <v>1.0110934466934043</v>
      </c>
      <c r="Q10" s="53">
        <f t="shared" si="4"/>
        <v>1.0232700130157675</v>
      </c>
      <c r="R10" s="53">
        <f t="shared" si="4"/>
        <v>0.83614798459291595</v>
      </c>
      <c r="S10" s="53">
        <f t="shared" si="4"/>
        <v>0.96352427878592828</v>
      </c>
      <c r="T10" s="53">
        <f t="shared" ref="T10:Y10" si="5">IF(T8=0,0,T8/T9)</f>
        <v>0.98373181815404231</v>
      </c>
      <c r="U10" s="53">
        <f t="shared" si="5"/>
        <v>1.0105124220123314</v>
      </c>
      <c r="V10" s="53">
        <f t="shared" si="5"/>
        <v>0.91951967947399182</v>
      </c>
      <c r="W10" s="53">
        <f t="shared" si="5"/>
        <v>0.92704448377917592</v>
      </c>
      <c r="X10" s="53">
        <f t="shared" si="5"/>
        <v>0.95916837596217885</v>
      </c>
      <c r="Y10" s="53">
        <f t="shared" si="5"/>
        <v>1.0643231495305971</v>
      </c>
    </row>
    <row r="11" spans="1:25" x14ac:dyDescent="0.25">
      <c r="A11" s="43" t="s">
        <v>251</v>
      </c>
      <c r="B11" s="44"/>
      <c r="C11" s="44"/>
      <c r="D11" s="45">
        <v>35.369999999999997</v>
      </c>
      <c r="E11" s="45">
        <v>27.91</v>
      </c>
      <c r="F11" s="45">
        <v>22.78</v>
      </c>
      <c r="G11" s="45">
        <v>116.16</v>
      </c>
      <c r="H11" s="45">
        <v>15.71</v>
      </c>
      <c r="I11" s="45">
        <v>22.82</v>
      </c>
      <c r="J11" s="45">
        <v>52.38</v>
      </c>
      <c r="K11" s="45">
        <v>37.69</v>
      </c>
      <c r="L11" s="45">
        <v>25.73</v>
      </c>
      <c r="M11" s="45">
        <v>23.4</v>
      </c>
      <c r="N11" s="45">
        <v>45.28</v>
      </c>
      <c r="O11" s="45">
        <v>43.98</v>
      </c>
      <c r="P11" s="45">
        <v>79.05</v>
      </c>
      <c r="Q11" s="45">
        <v>87.05</v>
      </c>
      <c r="R11" s="45">
        <v>11.78</v>
      </c>
      <c r="S11" s="45">
        <v>106.05</v>
      </c>
      <c r="T11" s="45">
        <v>32.159999999999997</v>
      </c>
      <c r="U11" s="45">
        <v>88.28</v>
      </c>
      <c r="V11" s="45">
        <v>53.03</v>
      </c>
      <c r="W11" s="45">
        <v>72.66</v>
      </c>
      <c r="X11" s="45">
        <v>29.79</v>
      </c>
      <c r="Y11" s="45">
        <v>63.82</v>
      </c>
    </row>
    <row r="12" spans="1:25" x14ac:dyDescent="0.25">
      <c r="A12" s="43" t="s">
        <v>262</v>
      </c>
      <c r="B12" s="44"/>
      <c r="C12" s="44"/>
      <c r="D12" s="45">
        <f t="shared" ref="D12" si="6">AVERAGE($D11:$X11)</f>
        <v>49.002857142857131</v>
      </c>
      <c r="E12" s="45">
        <f t="shared" ref="E12" si="7">AVERAGE($D11:$X11)</f>
        <v>49.002857142857131</v>
      </c>
      <c r="F12" s="45">
        <f t="shared" ref="F12" si="8">AVERAGE($D11:$X11)</f>
        <v>49.002857142857131</v>
      </c>
      <c r="G12" s="45">
        <f t="shared" ref="G12" si="9">AVERAGE($D11:$X11)</f>
        <v>49.002857142857131</v>
      </c>
      <c r="H12" s="45">
        <f t="shared" ref="H12" si="10">AVERAGE($D11:$X11)</f>
        <v>49.002857142857131</v>
      </c>
      <c r="I12" s="45">
        <f t="shared" ref="I12" si="11">AVERAGE($D11:$X11)</f>
        <v>49.002857142857131</v>
      </c>
      <c r="J12" s="45">
        <f t="shared" ref="J12" si="12">AVERAGE($D11:$X11)</f>
        <v>49.002857142857131</v>
      </c>
      <c r="K12" s="45">
        <f t="shared" ref="K12" si="13">AVERAGE($D11:$X11)</f>
        <v>49.002857142857131</v>
      </c>
      <c r="L12" s="45">
        <f t="shared" ref="L12" si="14">AVERAGE($D11:$X11)</f>
        <v>49.002857142857131</v>
      </c>
      <c r="M12" s="45">
        <f t="shared" ref="M12" si="15">AVERAGE($D11:$X11)</f>
        <v>49.002857142857131</v>
      </c>
      <c r="N12" s="45">
        <f t="shared" ref="N12" si="16">AVERAGE($D11:$X11)</f>
        <v>49.002857142857131</v>
      </c>
      <c r="O12" s="45">
        <f t="shared" ref="O12" si="17">AVERAGE($D11:$X11)</f>
        <v>49.002857142857131</v>
      </c>
      <c r="P12" s="45">
        <f t="shared" ref="P12" si="18">AVERAGE($D11:$X11)</f>
        <v>49.002857142857131</v>
      </c>
      <c r="Q12" s="45">
        <f t="shared" ref="Q12" si="19">AVERAGE($D11:$X11)</f>
        <v>49.002857142857131</v>
      </c>
      <c r="R12" s="45">
        <f t="shared" ref="R12" si="20">AVERAGE($D11:$X11)</f>
        <v>49.002857142857131</v>
      </c>
      <c r="S12" s="45">
        <f t="shared" ref="S12" si="21">AVERAGE($D11:$X11)</f>
        <v>49.002857142857131</v>
      </c>
      <c r="T12" s="45">
        <f t="shared" ref="T12" si="22">AVERAGE($D11:$X11)</f>
        <v>49.002857142857131</v>
      </c>
      <c r="U12" s="45">
        <f t="shared" ref="U12" si="23">AVERAGE($D11:$X11)</f>
        <v>49.002857142857131</v>
      </c>
      <c r="V12" s="45">
        <f t="shared" ref="V12" si="24">AVERAGE($D11:$X11)</f>
        <v>49.002857142857131</v>
      </c>
      <c r="W12" s="45">
        <f t="shared" ref="W12" si="25">AVERAGE($D11:$X11)</f>
        <v>49.002857142857131</v>
      </c>
      <c r="X12" s="45">
        <f>AVERAGE($D11:$X11)</f>
        <v>49.002857142857131</v>
      </c>
      <c r="Y12" s="45">
        <f t="shared" ref="Y12" si="26">AVERAGE($D11:$X11)</f>
        <v>49.002857142857131</v>
      </c>
    </row>
    <row r="13" spans="1:25" x14ac:dyDescent="0.25">
      <c r="A13" s="54" t="s">
        <v>252</v>
      </c>
      <c r="B13" s="47"/>
      <c r="C13" s="47"/>
      <c r="D13" s="55">
        <f t="shared" ref="D13:E13" si="27">IF(D11=0,0,D11/D12)</f>
        <v>0.72179464754241751</v>
      </c>
      <c r="E13" s="55">
        <f t="shared" si="27"/>
        <v>0.56955862631916521</v>
      </c>
      <c r="F13" s="55">
        <f t="shared" ref="F13" si="28">IF(F11=0,0,F11/F12)</f>
        <v>0.46487085301148634</v>
      </c>
      <c r="G13" s="55">
        <f t="shared" ref="G13" si="29">IF(G11=0,0,G11/G12)</f>
        <v>2.3704740248382024</v>
      </c>
      <c r="H13" s="55">
        <f t="shared" ref="H13" si="30">IF(H11=0,0,H11/H12)</f>
        <v>0.32059355139642015</v>
      </c>
      <c r="I13" s="55">
        <f t="shared" ref="I13" si="31">IF(I11=0,0,I11/I12)</f>
        <v>0.46568713194565925</v>
      </c>
      <c r="J13" s="55">
        <f t="shared" ref="J13" si="32">IF(J11=0,0,J11/J12)</f>
        <v>1.068917264299458</v>
      </c>
      <c r="K13" s="55">
        <f t="shared" ref="K13" si="33">IF(K11=0,0,K11/K12)</f>
        <v>0.76913882572444769</v>
      </c>
      <c r="L13" s="55">
        <f t="shared" ref="L13" si="34">IF(L11=0,0,L11/L12)</f>
        <v>0.52507142440674026</v>
      </c>
      <c r="M13" s="55">
        <f t="shared" ref="M13" si="35">IF(M11=0,0,M11/M12)</f>
        <v>0.47752317649116677</v>
      </c>
      <c r="N13" s="55">
        <f t="shared" ref="N13" si="36">IF(N11=0,0,N11/N12)</f>
        <v>0.92402775348376209</v>
      </c>
      <c r="O13" s="55">
        <f t="shared" ref="O13" si="37">IF(O11=0,0,O11/O12)</f>
        <v>0.89749868812314171</v>
      </c>
      <c r="P13" s="55">
        <f t="shared" ref="P13" si="38">IF(P11=0,0,P11/P12)</f>
        <v>1.6131712436592622</v>
      </c>
      <c r="Q13" s="55">
        <f t="shared" ref="Q13" si="39">IF(Q11=0,0,Q11/Q12)</f>
        <v>1.7764270304938492</v>
      </c>
      <c r="R13" s="55">
        <f t="shared" ref="R13" si="40">IF(R11=0,0,R11/R12)</f>
        <v>0.24039414611392926</v>
      </c>
      <c r="S13" s="55">
        <f t="shared" ref="S13:Y13" si="41">IF(S11=0,0,S11/S12)</f>
        <v>2.164159524225993</v>
      </c>
      <c r="T13" s="55">
        <f t="shared" si="41"/>
        <v>0.6562882630750394</v>
      </c>
      <c r="U13" s="55">
        <f t="shared" si="41"/>
        <v>1.8015276077196669</v>
      </c>
      <c r="V13" s="55">
        <f t="shared" si="41"/>
        <v>1.0821817969797682</v>
      </c>
      <c r="W13" s="55">
        <f t="shared" si="41"/>
        <v>1.4827706839251358</v>
      </c>
      <c r="X13" s="55">
        <f t="shared" si="41"/>
        <v>0.60792373622529317</v>
      </c>
      <c r="Y13" s="55">
        <f t="shared" si="41"/>
        <v>1.3023730394729174</v>
      </c>
    </row>
    <row r="14" spans="1:25" x14ac:dyDescent="0.25">
      <c r="A14" s="35"/>
      <c r="B14" s="34"/>
      <c r="C14" s="34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</row>
    <row r="15" spans="1:25" x14ac:dyDescent="0.2">
      <c r="A15" s="49" t="s">
        <v>265</v>
      </c>
      <c r="B15" s="50"/>
      <c r="C15" s="50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</row>
    <row r="16" spans="1:25" x14ac:dyDescent="0.25">
      <c r="A16" s="40" t="s">
        <v>139</v>
      </c>
      <c r="B16" s="41"/>
      <c r="C16" s="41"/>
      <c r="D16" s="42">
        <v>29113.034216482494</v>
      </c>
      <c r="E16" s="42">
        <v>30049.632281663198</v>
      </c>
      <c r="F16" s="42">
        <v>31103.139907085653</v>
      </c>
      <c r="G16" s="42">
        <v>32023.596012835063</v>
      </c>
      <c r="H16" s="42">
        <v>33419.823559937722</v>
      </c>
      <c r="I16" s="42">
        <v>34689.227177434725</v>
      </c>
      <c r="J16" s="42">
        <v>36682.438495693823</v>
      </c>
      <c r="K16" s="42">
        <v>39243.076923076922</v>
      </c>
      <c r="L16" s="42">
        <v>40620.461409935087</v>
      </c>
      <c r="M16" s="42">
        <v>37553.88902124486</v>
      </c>
      <c r="N16" s="42">
        <v>38058.651763006688</v>
      </c>
      <c r="O16" s="42">
        <v>38386.385059197644</v>
      </c>
      <c r="P16" s="42">
        <v>37373.380204735942</v>
      </c>
      <c r="Q16" s="42">
        <v>36988.41267908601</v>
      </c>
      <c r="R16" s="42">
        <v>38012.524619968695</v>
      </c>
      <c r="S16" s="42">
        <v>38852.6</v>
      </c>
      <c r="T16" s="42">
        <v>40092.78902393084</v>
      </c>
      <c r="U16" s="42">
        <v>42023.331476976287</v>
      </c>
      <c r="V16" s="42">
        <v>43895.304890300729</v>
      </c>
      <c r="W16" s="42">
        <v>45441.391050583654</v>
      </c>
      <c r="X16" s="42">
        <v>43514.563466003165</v>
      </c>
      <c r="Y16" s="42">
        <v>47095.048060032248</v>
      </c>
    </row>
    <row r="17" spans="1:25" x14ac:dyDescent="0.25">
      <c r="A17" s="46" t="s">
        <v>141</v>
      </c>
      <c r="B17" s="47"/>
      <c r="C17" s="47"/>
      <c r="D17" s="57">
        <v>16375.919252097823</v>
      </c>
      <c r="E17" s="57">
        <v>16843.595095225672</v>
      </c>
      <c r="F17" s="57">
        <v>17246.405976832226</v>
      </c>
      <c r="G17" s="57">
        <v>17850.701960541777</v>
      </c>
      <c r="H17" s="57">
        <v>18303.615286373908</v>
      </c>
      <c r="I17" s="57">
        <v>18681.751402904552</v>
      </c>
      <c r="J17" s="57">
        <v>18922.769248867713</v>
      </c>
      <c r="K17" s="57">
        <v>20156.368364520324</v>
      </c>
      <c r="L17" s="57">
        <v>20734.645365770088</v>
      </c>
      <c r="M17" s="57">
        <v>21164.585722172676</v>
      </c>
      <c r="N17" s="57">
        <v>21370.628492497017</v>
      </c>
      <c r="O17" s="57">
        <v>21540.249030918083</v>
      </c>
      <c r="P17" s="57">
        <v>21068.551036706802</v>
      </c>
      <c r="Q17" s="57">
        <v>20239.115589029981</v>
      </c>
      <c r="R17" s="57">
        <v>20567.643053802349</v>
      </c>
      <c r="S17" s="57">
        <v>20985</v>
      </c>
      <c r="T17" s="57">
        <v>21918.464024408604</v>
      </c>
      <c r="U17" s="57">
        <v>22335.511035116677</v>
      </c>
      <c r="V17" s="57">
        <v>23122.267991276956</v>
      </c>
      <c r="W17" s="57">
        <v>24385.080452293034</v>
      </c>
      <c r="X17" s="57">
        <v>22803.732025200788</v>
      </c>
      <c r="Y17" s="57">
        <v>25145.239801569205</v>
      </c>
    </row>
    <row r="18" spans="1:25" x14ac:dyDescent="0.25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 spans="1:25" x14ac:dyDescent="0.2">
      <c r="A19" s="49" t="s">
        <v>266</v>
      </c>
      <c r="B19" s="50"/>
      <c r="C19" s="50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</row>
    <row r="20" spans="1:25" x14ac:dyDescent="0.25">
      <c r="A20" s="40" t="s">
        <v>139</v>
      </c>
      <c r="B20" s="41"/>
      <c r="C20" s="41"/>
      <c r="D20" s="42">
        <f>1000000*D16/D$3</f>
        <v>14646.188396700043</v>
      </c>
      <c r="E20" s="42">
        <f t="shared" ref="E20:S20" si="42">1000000*E16/E$3</f>
        <v>15099.604481830103</v>
      </c>
      <c r="F20" s="42">
        <f t="shared" si="42"/>
        <v>15598.1616624285</v>
      </c>
      <c r="G20" s="42">
        <f t="shared" si="42"/>
        <v>16051.662309763831</v>
      </c>
      <c r="H20" s="42">
        <f t="shared" si="42"/>
        <v>16739.767154689249</v>
      </c>
      <c r="I20" s="42">
        <f t="shared" si="42"/>
        <v>17365.539063288623</v>
      </c>
      <c r="J20" s="42">
        <f t="shared" si="42"/>
        <v>18310.475958712235</v>
      </c>
      <c r="K20" s="42">
        <f t="shared" si="42"/>
        <v>19520.25760495515</v>
      </c>
      <c r="L20" s="42">
        <f t="shared" si="42"/>
        <v>20206.480530682755</v>
      </c>
      <c r="M20" s="42">
        <f t="shared" si="42"/>
        <v>18477.952757060433</v>
      </c>
      <c r="N20" s="42">
        <f t="shared" si="42"/>
        <v>18592.622367339281</v>
      </c>
      <c r="O20" s="42">
        <f t="shared" si="42"/>
        <v>18723.339681950125</v>
      </c>
      <c r="P20" s="42">
        <f t="shared" si="42"/>
        <v>18182.171215480808</v>
      </c>
      <c r="Q20" s="42">
        <f t="shared" si="42"/>
        <v>17965.822516423726</v>
      </c>
      <c r="R20" s="42">
        <f t="shared" si="42"/>
        <v>18442.967961034454</v>
      </c>
      <c r="S20" s="42">
        <f t="shared" si="42"/>
        <v>18834.208972530556</v>
      </c>
      <c r="T20" s="42">
        <f t="shared" ref="T20:Y20" si="43">1000000*T16/T$3</f>
        <v>19423.031731572337</v>
      </c>
      <c r="U20" s="42">
        <f t="shared" si="43"/>
        <v>20341.465310180956</v>
      </c>
      <c r="V20" s="42">
        <f t="shared" si="43"/>
        <v>21237.471401484716</v>
      </c>
      <c r="W20" s="42">
        <f t="shared" si="43"/>
        <v>21837.289803577889</v>
      </c>
      <c r="X20" s="42">
        <f t="shared" si="43"/>
        <v>20762.141891090661</v>
      </c>
      <c r="Y20" s="42">
        <f t="shared" si="43"/>
        <v>22330.754702413658</v>
      </c>
    </row>
    <row r="21" spans="1:25" x14ac:dyDescent="0.25">
      <c r="A21" s="46" t="s">
        <v>141</v>
      </c>
      <c r="B21" s="47"/>
      <c r="C21" s="47"/>
      <c r="D21" s="57">
        <f>1000000*D17/D$3</f>
        <v>8238.3992253058459</v>
      </c>
      <c r="E21" s="57">
        <f t="shared" ref="E21:S21" si="44">1000000*E17/E$3</f>
        <v>8463.7183445735081</v>
      </c>
      <c r="F21" s="57">
        <f t="shared" si="44"/>
        <v>8649.0376639182359</v>
      </c>
      <c r="G21" s="57">
        <f t="shared" si="44"/>
        <v>8947.5722760183817</v>
      </c>
      <c r="H21" s="57">
        <f t="shared" si="44"/>
        <v>9168.1590548613003</v>
      </c>
      <c r="I21" s="57">
        <f t="shared" si="44"/>
        <v>9352.1450362209216</v>
      </c>
      <c r="J21" s="57">
        <f t="shared" si="44"/>
        <v>9445.5255869733282</v>
      </c>
      <c r="K21" s="57">
        <f t="shared" si="44"/>
        <v>10026.163433286554</v>
      </c>
      <c r="L21" s="57">
        <f t="shared" si="44"/>
        <v>10314.363583067783</v>
      </c>
      <c r="M21" s="57">
        <f t="shared" si="44"/>
        <v>10413.787367689751</v>
      </c>
      <c r="N21" s="57">
        <f t="shared" si="44"/>
        <v>10440.09724222317</v>
      </c>
      <c r="O21" s="57">
        <f t="shared" si="44"/>
        <v>10506.46990639306</v>
      </c>
      <c r="P21" s="57">
        <f t="shared" si="44"/>
        <v>10249.862338193216</v>
      </c>
      <c r="Q21" s="57">
        <f t="shared" si="44"/>
        <v>9830.4396492118449</v>
      </c>
      <c r="R21" s="57">
        <f t="shared" si="44"/>
        <v>9979.036795572405</v>
      </c>
      <c r="S21" s="57">
        <f t="shared" si="44"/>
        <v>10172.700804799517</v>
      </c>
      <c r="T21" s="57">
        <f t="shared" ref="T21:Y21" si="45">1000000*T17/T$3</f>
        <v>10618.443680715422</v>
      </c>
      <c r="U21" s="57">
        <f t="shared" si="45"/>
        <v>10811.542229937473</v>
      </c>
      <c r="V21" s="57">
        <f t="shared" si="45"/>
        <v>11187.039398163877</v>
      </c>
      <c r="W21" s="57">
        <f t="shared" si="45"/>
        <v>11718.480803713106</v>
      </c>
      <c r="X21" s="57">
        <f t="shared" si="45"/>
        <v>10880.364692697076</v>
      </c>
      <c r="Y21" s="57">
        <f t="shared" si="45"/>
        <v>11922.955917285588</v>
      </c>
    </row>
    <row r="22" spans="1:25" x14ac:dyDescent="0.25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 spans="1:25" x14ac:dyDescent="0.25">
      <c r="A23" s="58" t="s">
        <v>267</v>
      </c>
      <c r="B23" s="59"/>
      <c r="C23" s="59"/>
      <c r="D23" s="60">
        <v>24515.996507985416</v>
      </c>
      <c r="E23" s="60">
        <v>25464.293293055882</v>
      </c>
      <c r="F23" s="60">
        <v>26448.901878509318</v>
      </c>
      <c r="G23" s="60">
        <v>27273.612232299729</v>
      </c>
      <c r="H23" s="60">
        <v>28458.375795059215</v>
      </c>
      <c r="I23" s="60">
        <v>29491.040749025666</v>
      </c>
      <c r="J23" s="60">
        <v>31250.720395963523</v>
      </c>
      <c r="K23" s="60">
        <v>33488.737045149901</v>
      </c>
      <c r="L23" s="60">
        <v>34545.709916039828</v>
      </c>
      <c r="M23" s="60">
        <v>32105.651975914589</v>
      </c>
      <c r="N23" s="60">
        <v>32570.292267850535</v>
      </c>
      <c r="O23" s="60">
        <v>32758.718716686126</v>
      </c>
      <c r="P23" s="60">
        <v>32011.065231983404</v>
      </c>
      <c r="Q23" s="60">
        <v>31787.897742176308</v>
      </c>
      <c r="R23" s="60">
        <v>32883.192495855736</v>
      </c>
      <c r="S23" s="60">
        <v>33591.699999999997</v>
      </c>
      <c r="T23" s="60">
        <v>34679.682008533891</v>
      </c>
      <c r="U23" s="60">
        <v>36461.026606695094</v>
      </c>
      <c r="V23" s="60">
        <v>38084.954301562037</v>
      </c>
      <c r="W23" s="60">
        <v>39474.169569834383</v>
      </c>
      <c r="X23" s="60">
        <v>38188.417116132056</v>
      </c>
      <c r="Y23" s="60">
        <v>41041.472923671223</v>
      </c>
    </row>
    <row r="24" spans="1:25" x14ac:dyDescent="0.25">
      <c r="A24" s="61" t="s">
        <v>33</v>
      </c>
      <c r="B24" s="62"/>
      <c r="C24" s="62"/>
      <c r="D24" s="63">
        <v>866.19935295023879</v>
      </c>
      <c r="E24" s="63">
        <v>809.1273358215476</v>
      </c>
      <c r="F24" s="63">
        <v>902.26658096751112</v>
      </c>
      <c r="G24" s="63">
        <v>701.71898000854742</v>
      </c>
      <c r="H24" s="63">
        <v>788.0896323107379</v>
      </c>
      <c r="I24" s="63">
        <v>814.40398496413991</v>
      </c>
      <c r="J24" s="63">
        <v>753.73193359926779</v>
      </c>
      <c r="K24" s="63">
        <v>782.79443336493716</v>
      </c>
      <c r="L24" s="63">
        <v>721.20436551286446</v>
      </c>
      <c r="M24" s="63">
        <v>666.29560289429742</v>
      </c>
      <c r="N24" s="63">
        <v>707.7527027582521</v>
      </c>
      <c r="O24" s="63">
        <v>806.1322909792375</v>
      </c>
      <c r="P24" s="63">
        <v>723.91839391412248</v>
      </c>
      <c r="Q24" s="63">
        <v>724.96519440689246</v>
      </c>
      <c r="R24" s="63">
        <v>767.29470747584196</v>
      </c>
      <c r="S24" s="63">
        <v>814.6</v>
      </c>
      <c r="T24" s="63">
        <v>792.80064152699265</v>
      </c>
      <c r="U24" s="63">
        <v>772.05272555198894</v>
      </c>
      <c r="V24" s="63">
        <v>981.73015525079325</v>
      </c>
      <c r="W24" s="63">
        <v>914.54440449354468</v>
      </c>
      <c r="X24" s="63">
        <v>902.29985390460615</v>
      </c>
      <c r="Y24" s="63">
        <v>787.25230703197656</v>
      </c>
    </row>
    <row r="25" spans="1:25" x14ac:dyDescent="0.25">
      <c r="A25" s="64" t="s">
        <v>56</v>
      </c>
      <c r="B25" s="65"/>
      <c r="C25" s="65"/>
      <c r="D25" s="66">
        <v>153.5459353977302</v>
      </c>
      <c r="E25" s="66">
        <v>139.93084595124265</v>
      </c>
      <c r="F25" s="66">
        <v>126.12328551158757</v>
      </c>
      <c r="G25" s="66">
        <v>135.69020371337669</v>
      </c>
      <c r="H25" s="66">
        <v>151.57371941291541</v>
      </c>
      <c r="I25" s="66">
        <v>153.4718538846482</v>
      </c>
      <c r="J25" s="66">
        <v>156.50955442803385</v>
      </c>
      <c r="K25" s="66">
        <v>158.23715957759831</v>
      </c>
      <c r="L25" s="66">
        <v>152.10628712922789</v>
      </c>
      <c r="M25" s="66">
        <v>145.72686333046602</v>
      </c>
      <c r="N25" s="66">
        <v>143.15369753771532</v>
      </c>
      <c r="O25" s="66">
        <v>148.33240266003349</v>
      </c>
      <c r="P25" s="66">
        <v>145.53627728169559</v>
      </c>
      <c r="Q25" s="66">
        <v>127.62050806077359</v>
      </c>
      <c r="R25" s="66">
        <v>129.38179759835037</v>
      </c>
      <c r="S25" s="66">
        <v>124.6</v>
      </c>
      <c r="T25" s="66">
        <v>129.09740716173806</v>
      </c>
      <c r="U25" s="66">
        <v>135.13117969032032</v>
      </c>
      <c r="V25" s="66">
        <v>136.57113993538366</v>
      </c>
      <c r="W25" s="66">
        <v>128.26722804925757</v>
      </c>
      <c r="X25" s="66">
        <v>119.17341247599532</v>
      </c>
      <c r="Y25" s="66">
        <v>107.57207239430575</v>
      </c>
    </row>
    <row r="26" spans="1:25" x14ac:dyDescent="0.25">
      <c r="A26" s="67" t="s">
        <v>146</v>
      </c>
      <c r="B26" s="44"/>
      <c r="C26" s="44"/>
      <c r="D26" s="45">
        <v>15545.627278796281</v>
      </c>
      <c r="E26" s="45">
        <v>16253.198686822032</v>
      </c>
      <c r="F26" s="45">
        <v>16870.929795413478</v>
      </c>
      <c r="G26" s="45">
        <v>17571.822023837791</v>
      </c>
      <c r="H26" s="45">
        <v>18345.222616579405</v>
      </c>
      <c r="I26" s="45">
        <v>19160.344072135231</v>
      </c>
      <c r="J26" s="45">
        <v>20264.879707999498</v>
      </c>
      <c r="K26" s="45">
        <v>21525.37570427524</v>
      </c>
      <c r="L26" s="45">
        <v>22615.042084126639</v>
      </c>
      <c r="M26" s="45">
        <v>21882.204118807873</v>
      </c>
      <c r="N26" s="45">
        <v>22445.019936695855</v>
      </c>
      <c r="O26" s="45">
        <v>22409.665465252045</v>
      </c>
      <c r="P26" s="45">
        <v>21769.31838984603</v>
      </c>
      <c r="Q26" s="45">
        <v>21571.901293355666</v>
      </c>
      <c r="R26" s="45">
        <v>22069.097966279864</v>
      </c>
      <c r="S26" s="45">
        <v>22547.899999999994</v>
      </c>
      <c r="T26" s="45">
        <v>23369.501727568826</v>
      </c>
      <c r="U26" s="45">
        <v>24487.818680300115</v>
      </c>
      <c r="V26" s="45">
        <v>25445.881422322185</v>
      </c>
      <c r="W26" s="45">
        <v>26232.650856046355</v>
      </c>
      <c r="X26" s="45">
        <v>25341.210845975027</v>
      </c>
      <c r="Y26" s="45">
        <v>27740.71822018742</v>
      </c>
    </row>
    <row r="27" spans="1:25" x14ac:dyDescent="0.25">
      <c r="A27" s="68" t="s">
        <v>148</v>
      </c>
      <c r="B27" s="69"/>
      <c r="C27" s="69"/>
      <c r="D27" s="70">
        <v>6233.3744158578538</v>
      </c>
      <c r="E27" s="70">
        <v>6576.874586511216</v>
      </c>
      <c r="F27" s="70">
        <v>6720.3094871390631</v>
      </c>
      <c r="G27" s="70">
        <v>6957.5953274134563</v>
      </c>
      <c r="H27" s="70">
        <v>7292.9917653535749</v>
      </c>
      <c r="I27" s="70">
        <v>7609.1368217143645</v>
      </c>
      <c r="J27" s="70">
        <v>7984.3603448860376</v>
      </c>
      <c r="K27" s="70">
        <v>8288.0526585368516</v>
      </c>
      <c r="L27" s="70">
        <v>8608.4667644641431</v>
      </c>
      <c r="M27" s="70">
        <v>8459.3432171229069</v>
      </c>
      <c r="N27" s="70">
        <v>8826.5096394952106</v>
      </c>
      <c r="O27" s="70">
        <v>8885.6287121173664</v>
      </c>
      <c r="P27" s="70">
        <v>8789.2317393161538</v>
      </c>
      <c r="Q27" s="70">
        <v>8529.1862553217252</v>
      </c>
      <c r="R27" s="70">
        <v>8622.6903327538112</v>
      </c>
      <c r="S27" s="70">
        <v>8785.5</v>
      </c>
      <c r="T27" s="70">
        <v>9278.0841311170298</v>
      </c>
      <c r="U27" s="70">
        <v>9687.9786912276941</v>
      </c>
      <c r="V27" s="70">
        <v>10019.346783954557</v>
      </c>
      <c r="W27" s="70">
        <v>10461.557091491699</v>
      </c>
      <c r="X27" s="70">
        <v>10174.303749781777</v>
      </c>
      <c r="Y27" s="70">
        <v>11127.673653337148</v>
      </c>
    </row>
    <row r="28" spans="1:25" x14ac:dyDescent="0.25">
      <c r="A28" s="68" t="s">
        <v>150</v>
      </c>
      <c r="B28" s="71"/>
      <c r="C28" s="71"/>
      <c r="D28" s="70">
        <v>6223.1037847275711</v>
      </c>
      <c r="E28" s="70">
        <v>6388.8854214776993</v>
      </c>
      <c r="F28" s="70">
        <v>6737.1663493372462</v>
      </c>
      <c r="G28" s="70">
        <v>7006.0306757205944</v>
      </c>
      <c r="H28" s="70">
        <v>7299.5513699031289</v>
      </c>
      <c r="I28" s="70">
        <v>7569.7022807462581</v>
      </c>
      <c r="J28" s="70">
        <v>8090.4704326895926</v>
      </c>
      <c r="K28" s="70">
        <v>8592.9752291278455</v>
      </c>
      <c r="L28" s="70">
        <v>9082.0562439526821</v>
      </c>
      <c r="M28" s="70">
        <v>8911.0964934473504</v>
      </c>
      <c r="N28" s="70">
        <v>9156.0817198997011</v>
      </c>
      <c r="O28" s="70">
        <v>9014.2646834864736</v>
      </c>
      <c r="P28" s="70">
        <v>8622.8464495657299</v>
      </c>
      <c r="Q28" s="70">
        <v>8619.0754827384444</v>
      </c>
      <c r="R28" s="70">
        <v>8924.3116484049642</v>
      </c>
      <c r="S28" s="70">
        <v>9104.5</v>
      </c>
      <c r="T28" s="70">
        <v>9269.8670415507531</v>
      </c>
      <c r="U28" s="70">
        <v>9729.3473700642971</v>
      </c>
      <c r="V28" s="70">
        <v>10081.104005642015</v>
      </c>
      <c r="W28" s="70">
        <v>10299.569648080182</v>
      </c>
      <c r="X28" s="70">
        <v>9940.1835840232288</v>
      </c>
      <c r="Y28" s="70">
        <v>10838.311037985552</v>
      </c>
    </row>
    <row r="29" spans="1:25" x14ac:dyDescent="0.25">
      <c r="A29" s="68" t="s">
        <v>152</v>
      </c>
      <c r="B29" s="71"/>
      <c r="C29" s="71"/>
      <c r="D29" s="70">
        <v>3089.1490782108544</v>
      </c>
      <c r="E29" s="70">
        <v>3287.4386788331158</v>
      </c>
      <c r="F29" s="70">
        <v>3413.4539589371661</v>
      </c>
      <c r="G29" s="70">
        <v>3608.1960207037396</v>
      </c>
      <c r="H29" s="70">
        <v>3752.6794813227011</v>
      </c>
      <c r="I29" s="70">
        <v>3981.5049696746059</v>
      </c>
      <c r="J29" s="70">
        <v>4190.0489304238681</v>
      </c>
      <c r="K29" s="70">
        <v>4644.3478166105451</v>
      </c>
      <c r="L29" s="70">
        <v>4924.5190757098135</v>
      </c>
      <c r="M29" s="70">
        <v>4511.7644082376146</v>
      </c>
      <c r="N29" s="70">
        <v>4462.4285773009433</v>
      </c>
      <c r="O29" s="70">
        <v>4509.7720696482102</v>
      </c>
      <c r="P29" s="70">
        <v>4357.2402009641419</v>
      </c>
      <c r="Q29" s="70">
        <v>4423.6395552954946</v>
      </c>
      <c r="R29" s="70">
        <v>4522.095985121091</v>
      </c>
      <c r="S29" s="70">
        <v>4657.8999999999969</v>
      </c>
      <c r="T29" s="70">
        <v>4821.5505549010477</v>
      </c>
      <c r="U29" s="70">
        <v>5070.4926190081287</v>
      </c>
      <c r="V29" s="70">
        <v>5345.4306327256145</v>
      </c>
      <c r="W29" s="70">
        <v>5471.5241164744748</v>
      </c>
      <c r="X29" s="70">
        <v>5226.7235121700214</v>
      </c>
      <c r="Y29" s="70">
        <v>5774.7335288647209</v>
      </c>
    </row>
    <row r="30" spans="1:25" x14ac:dyDescent="0.25">
      <c r="A30" s="64" t="s">
        <v>154</v>
      </c>
      <c r="B30" s="65"/>
      <c r="C30" s="65"/>
      <c r="D30" s="66">
        <v>482.33451445591334</v>
      </c>
      <c r="E30" s="66">
        <v>544.36968705920526</v>
      </c>
      <c r="F30" s="66">
        <v>640.4394911410518</v>
      </c>
      <c r="G30" s="66">
        <v>604.37342703832098</v>
      </c>
      <c r="H30" s="66">
        <v>680.44183622073081</v>
      </c>
      <c r="I30" s="66">
        <v>715.35640984249233</v>
      </c>
      <c r="J30" s="66">
        <v>766.95331834156377</v>
      </c>
      <c r="K30" s="66">
        <v>765.46681051862993</v>
      </c>
      <c r="L30" s="66">
        <v>813.79984810179246</v>
      </c>
      <c r="M30" s="66">
        <v>800.08095936851691</v>
      </c>
      <c r="N30" s="66">
        <v>849.05660377358481</v>
      </c>
      <c r="O30" s="66">
        <v>848.06335346971923</v>
      </c>
      <c r="P30" s="66">
        <v>888.37133616744302</v>
      </c>
      <c r="Q30" s="66">
        <v>942.07138677589228</v>
      </c>
      <c r="R30" s="66">
        <v>904.66178789471553</v>
      </c>
      <c r="S30" s="66">
        <v>880.09999999999991</v>
      </c>
      <c r="T30" s="66">
        <v>872.49651021196132</v>
      </c>
      <c r="U30" s="66">
        <v>849.52143073185493</v>
      </c>
      <c r="V30" s="66">
        <v>851.92562448178251</v>
      </c>
      <c r="W30" s="66">
        <v>925.34977737205872</v>
      </c>
      <c r="X30" s="66">
        <v>982.79014637104547</v>
      </c>
      <c r="Y30" s="66">
        <v>915.92746262250512</v>
      </c>
    </row>
    <row r="31" spans="1:25" x14ac:dyDescent="0.25">
      <c r="A31" s="64" t="s">
        <v>37</v>
      </c>
      <c r="B31" s="65"/>
      <c r="C31" s="65"/>
      <c r="D31" s="66">
        <v>1598.110203872028</v>
      </c>
      <c r="E31" s="66">
        <v>1564.3294928287</v>
      </c>
      <c r="F31" s="66">
        <v>1553.7418595908268</v>
      </c>
      <c r="G31" s="66">
        <v>1661.9972458331354</v>
      </c>
      <c r="H31" s="66">
        <v>1727.5187124433357</v>
      </c>
      <c r="I31" s="66">
        <v>1909.6925950695293</v>
      </c>
      <c r="J31" s="66">
        <v>2193.9588442023664</v>
      </c>
      <c r="K31" s="66">
        <v>2654.6136158062795</v>
      </c>
      <c r="L31" s="66">
        <v>2857.871136219399</v>
      </c>
      <c r="M31" s="66">
        <v>2487.2741992612459</v>
      </c>
      <c r="N31" s="66">
        <v>2065.9144160808978</v>
      </c>
      <c r="O31" s="66">
        <v>1920.402050865526</v>
      </c>
      <c r="P31" s="66">
        <v>1850.782092223827</v>
      </c>
      <c r="Q31" s="66">
        <v>1672.5852989245577</v>
      </c>
      <c r="R31" s="66">
        <v>1872.2961225892532</v>
      </c>
      <c r="S31" s="66">
        <v>1808.3</v>
      </c>
      <c r="T31" s="66">
        <v>1799.6416160936153</v>
      </c>
      <c r="U31" s="66">
        <v>1953.7919662806241</v>
      </c>
      <c r="V31" s="66">
        <v>2180.2777168888842</v>
      </c>
      <c r="W31" s="66">
        <v>2357.1548335413677</v>
      </c>
      <c r="X31" s="66">
        <v>2300.9565113522549</v>
      </c>
      <c r="Y31" s="66">
        <v>2526.2894341512269</v>
      </c>
    </row>
    <row r="32" spans="1:25" x14ac:dyDescent="0.25">
      <c r="A32" s="64" t="s">
        <v>58</v>
      </c>
      <c r="B32" s="65"/>
      <c r="C32" s="65"/>
      <c r="D32" s="66">
        <v>5870.1792225132249</v>
      </c>
      <c r="E32" s="66">
        <v>6153.3372445731547</v>
      </c>
      <c r="F32" s="66">
        <v>6355.4008658848643</v>
      </c>
      <c r="G32" s="66">
        <v>6598.0103518685601</v>
      </c>
      <c r="H32" s="66">
        <v>6765.5292780920918</v>
      </c>
      <c r="I32" s="66">
        <v>6737.7718331296264</v>
      </c>
      <c r="J32" s="66">
        <v>7114.6870373927886</v>
      </c>
      <c r="K32" s="66">
        <v>7602.2493216072189</v>
      </c>
      <c r="L32" s="66">
        <v>7385.6861949499043</v>
      </c>
      <c r="M32" s="66">
        <v>6124.0702322521884</v>
      </c>
      <c r="N32" s="66">
        <v>6359.3949110042322</v>
      </c>
      <c r="O32" s="66">
        <v>6626.1231534595654</v>
      </c>
      <c r="P32" s="66">
        <v>6633.1387425502935</v>
      </c>
      <c r="Q32" s="66">
        <v>6748.7540606525299</v>
      </c>
      <c r="R32" s="66">
        <v>7140.4601140177083</v>
      </c>
      <c r="S32" s="66">
        <v>7416.2</v>
      </c>
      <c r="T32" s="66">
        <v>7716.1441059707531</v>
      </c>
      <c r="U32" s="66">
        <v>8262.7106241401871</v>
      </c>
      <c r="V32" s="66">
        <v>8488.5682426830081</v>
      </c>
      <c r="W32" s="66">
        <v>8916.202470331802</v>
      </c>
      <c r="X32" s="66">
        <v>8541.9863460531269</v>
      </c>
      <c r="Y32" s="66">
        <v>8963.7134272837829</v>
      </c>
    </row>
    <row r="33" spans="1:25" x14ac:dyDescent="0.25">
      <c r="A33" s="72" t="s">
        <v>158</v>
      </c>
      <c r="B33" s="65"/>
      <c r="C33" s="65"/>
      <c r="D33" s="66">
        <v>258.30637292661635</v>
      </c>
      <c r="E33" s="66">
        <v>259.01561583303163</v>
      </c>
      <c r="F33" s="66">
        <v>262.06963460628918</v>
      </c>
      <c r="G33" s="66">
        <v>268.64998338002755</v>
      </c>
      <c r="H33" s="66">
        <v>275.50339108128054</v>
      </c>
      <c r="I33" s="66">
        <v>342.4578557756613</v>
      </c>
      <c r="J33" s="66">
        <v>334.94174680483201</v>
      </c>
      <c r="K33" s="66">
        <v>409.97809526923203</v>
      </c>
      <c r="L33" s="66">
        <v>399.30501368124266</v>
      </c>
      <c r="M33" s="66">
        <v>192.78449628092901</v>
      </c>
      <c r="N33" s="66">
        <v>241.39844617092118</v>
      </c>
      <c r="O33" s="66">
        <v>302.65495710442156</v>
      </c>
      <c r="P33" s="66">
        <v>284.25848707361229</v>
      </c>
      <c r="Q33" s="66">
        <v>290.75280966889289</v>
      </c>
      <c r="R33" s="66">
        <v>348.2189786924352</v>
      </c>
      <c r="S33" s="66">
        <v>426.6</v>
      </c>
      <c r="T33" s="66">
        <v>435.10974269619538</v>
      </c>
      <c r="U33" s="66">
        <v>466.08061038314816</v>
      </c>
      <c r="V33" s="66">
        <v>458.22333622423207</v>
      </c>
      <c r="W33" s="66">
        <v>490.34036924567317</v>
      </c>
      <c r="X33" s="66">
        <v>387.38250346861707</v>
      </c>
      <c r="Y33" s="66">
        <v>388.79748193719155</v>
      </c>
    </row>
    <row r="34" spans="1:25" x14ac:dyDescent="0.25">
      <c r="A34" s="73" t="s">
        <v>5</v>
      </c>
      <c r="B34" s="65"/>
      <c r="C34" s="65"/>
      <c r="D34" s="66">
        <v>167.3947194501186</v>
      </c>
      <c r="E34" s="66">
        <v>167.85434232351591</v>
      </c>
      <c r="F34" s="66">
        <v>169.83349061146805</v>
      </c>
      <c r="G34" s="66">
        <v>174.09786715155752</v>
      </c>
      <c r="H34" s="66">
        <v>178.53919876266121</v>
      </c>
      <c r="I34" s="66">
        <v>221.92885154770039</v>
      </c>
      <c r="J34" s="66">
        <v>217.05805824022781</v>
      </c>
      <c r="K34" s="66">
        <v>265.68515310221949</v>
      </c>
      <c r="L34" s="66">
        <v>258.76849255742809</v>
      </c>
      <c r="M34" s="66">
        <v>90.213596986707785</v>
      </c>
      <c r="N34" s="66">
        <v>153.77436610679061</v>
      </c>
      <c r="O34" s="66">
        <v>199.32831705646797</v>
      </c>
      <c r="P34" s="66">
        <v>178.13275260657196</v>
      </c>
      <c r="Q34" s="66">
        <v>173.95183579037919</v>
      </c>
      <c r="R34" s="66">
        <v>202.54035243583277</v>
      </c>
      <c r="S34" s="66">
        <v>228.37210609358692</v>
      </c>
      <c r="T34" s="66">
        <v>195.35771540819155</v>
      </c>
      <c r="U34" s="66">
        <v>222.44718600486124</v>
      </c>
      <c r="V34" s="66">
        <v>220.70906741355128</v>
      </c>
      <c r="W34" s="66">
        <v>248.85896631601543</v>
      </c>
      <c r="X34" s="66">
        <v>161.49170580453807</v>
      </c>
      <c r="Y34" s="66">
        <v>242.41181618055779</v>
      </c>
    </row>
    <row r="35" spans="1:25" x14ac:dyDescent="0.25">
      <c r="A35" s="74" t="s">
        <v>270</v>
      </c>
      <c r="B35" s="44"/>
      <c r="C35" s="44"/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0</v>
      </c>
      <c r="P35" s="45">
        <v>0</v>
      </c>
      <c r="Q35" s="45">
        <v>0</v>
      </c>
      <c r="R35" s="45">
        <v>0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</row>
    <row r="36" spans="1:25" x14ac:dyDescent="0.25">
      <c r="A36" s="74" t="s">
        <v>15</v>
      </c>
      <c r="B36" s="44"/>
      <c r="C36" s="44"/>
      <c r="D36" s="45">
        <v>167.3947194501186</v>
      </c>
      <c r="E36" s="45">
        <v>167.85434232351591</v>
      </c>
      <c r="F36" s="45">
        <v>169.83349061146805</v>
      </c>
      <c r="G36" s="45">
        <v>174.09786715155752</v>
      </c>
      <c r="H36" s="45">
        <v>178.53919876266121</v>
      </c>
      <c r="I36" s="45">
        <v>221.92885154770039</v>
      </c>
      <c r="J36" s="45">
        <v>217.05805824022781</v>
      </c>
      <c r="K36" s="45">
        <v>265.68515310221949</v>
      </c>
      <c r="L36" s="45">
        <v>258.76849255742809</v>
      </c>
      <c r="M36" s="45">
        <v>90.213596986707785</v>
      </c>
      <c r="N36" s="45">
        <v>153.77436610679061</v>
      </c>
      <c r="O36" s="45">
        <v>199.32831705646797</v>
      </c>
      <c r="P36" s="45">
        <v>178.13275260657196</v>
      </c>
      <c r="Q36" s="45">
        <v>173.95183579037919</v>
      </c>
      <c r="R36" s="45">
        <v>202.54035243583277</v>
      </c>
      <c r="S36" s="45">
        <v>228.37210609358692</v>
      </c>
      <c r="T36" s="45">
        <v>195.35771540819155</v>
      </c>
      <c r="U36" s="45">
        <v>222.44718600486124</v>
      </c>
      <c r="V36" s="45">
        <v>220.70906741355128</v>
      </c>
      <c r="W36" s="45">
        <v>248.85896631601543</v>
      </c>
      <c r="X36" s="45">
        <v>161.49170580453807</v>
      </c>
      <c r="Y36" s="45">
        <v>242.41181618055779</v>
      </c>
    </row>
    <row r="37" spans="1:25" x14ac:dyDescent="0.25">
      <c r="A37" s="73" t="s">
        <v>269</v>
      </c>
      <c r="B37" s="65"/>
      <c r="C37" s="65"/>
      <c r="D37" s="66">
        <v>90.911653476497747</v>
      </c>
      <c r="E37" s="66">
        <v>91.161273509515723</v>
      </c>
      <c r="F37" s="66">
        <v>92.236143994821134</v>
      </c>
      <c r="G37" s="66">
        <v>94.552116228470027</v>
      </c>
      <c r="H37" s="66">
        <v>96.964192318619325</v>
      </c>
      <c r="I37" s="66">
        <v>120.5290042279609</v>
      </c>
      <c r="J37" s="66">
        <v>117.8836885646042</v>
      </c>
      <c r="K37" s="66">
        <v>144.29294216701251</v>
      </c>
      <c r="L37" s="66">
        <v>140.53652112381457</v>
      </c>
      <c r="M37" s="66">
        <v>102.57089929422122</v>
      </c>
      <c r="N37" s="66">
        <v>87.624080064130567</v>
      </c>
      <c r="O37" s="66">
        <v>103.32664004795359</v>
      </c>
      <c r="P37" s="66">
        <v>106.12573446704033</v>
      </c>
      <c r="Q37" s="66">
        <v>116.8009738785137</v>
      </c>
      <c r="R37" s="66">
        <v>145.6786262566024</v>
      </c>
      <c r="S37" s="66">
        <v>198.2278939064131</v>
      </c>
      <c r="T37" s="66">
        <v>239.7520272880038</v>
      </c>
      <c r="U37" s="66">
        <v>243.63342437828692</v>
      </c>
      <c r="V37" s="66">
        <v>237.51426881068079</v>
      </c>
      <c r="W37" s="66">
        <v>241.48140292965775</v>
      </c>
      <c r="X37" s="66">
        <v>225.890797664079</v>
      </c>
      <c r="Y37" s="66">
        <v>146.38566575663378</v>
      </c>
    </row>
    <row r="38" spans="1:25" x14ac:dyDescent="0.25">
      <c r="A38" s="74" t="s">
        <v>14</v>
      </c>
      <c r="B38" s="44"/>
      <c r="C38" s="44"/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v>0</v>
      </c>
      <c r="O38" s="45">
        <v>0</v>
      </c>
      <c r="P38" s="45">
        <v>0</v>
      </c>
      <c r="Q38" s="45">
        <v>0</v>
      </c>
      <c r="R38" s="45">
        <v>0</v>
      </c>
      <c r="S38" s="45">
        <v>0</v>
      </c>
      <c r="T38" s="45">
        <v>0</v>
      </c>
      <c r="U38" s="45">
        <v>0</v>
      </c>
      <c r="V38" s="45">
        <v>0</v>
      </c>
      <c r="W38" s="45">
        <v>0</v>
      </c>
      <c r="X38" s="45">
        <v>0</v>
      </c>
      <c r="Y38" s="45">
        <v>0</v>
      </c>
    </row>
    <row r="39" spans="1:25" x14ac:dyDescent="0.25">
      <c r="A39" s="74" t="s">
        <v>19</v>
      </c>
      <c r="B39" s="44"/>
      <c r="C39" s="44"/>
      <c r="D39" s="45">
        <v>38.282609741669184</v>
      </c>
      <c r="E39" s="45">
        <v>38.387723948069578</v>
      </c>
      <c r="F39" s="45">
        <v>38.840348509808777</v>
      </c>
      <c r="G39" s="45">
        <v>39.815597092392778</v>
      </c>
      <c r="H39" s="45">
        <v>40.831314704989808</v>
      </c>
      <c r="I39" s="45">
        <v>50.754382468732288</v>
      </c>
      <c r="J39" s="45">
        <v>49.640448409552626</v>
      </c>
      <c r="K39" s="45">
        <v>60.76130157378568</v>
      </c>
      <c r="L39" s="45">
        <v>59.179484553382274</v>
      </c>
      <c r="M39" s="45">
        <v>59.910986859544188</v>
      </c>
      <c r="N39" s="45">
        <v>47.032926568867921</v>
      </c>
      <c r="O39" s="45">
        <v>63.500666455505794</v>
      </c>
      <c r="P39" s="45">
        <v>66.307178741499101</v>
      </c>
      <c r="Q39" s="45">
        <v>75.764419257454904</v>
      </c>
      <c r="R39" s="45">
        <v>99.249529278421093</v>
      </c>
      <c r="S39" s="45">
        <v>141.45330743663669</v>
      </c>
      <c r="T39" s="45">
        <v>175.04149412487371</v>
      </c>
      <c r="U39" s="45">
        <v>155.50991668115995</v>
      </c>
      <c r="V39" s="45">
        <v>153.51260345589301</v>
      </c>
      <c r="W39" s="45">
        <v>122.28969635725525</v>
      </c>
      <c r="X39" s="45">
        <v>126.96036458890316</v>
      </c>
      <c r="Y39" s="45">
        <v>91.889198489373271</v>
      </c>
    </row>
    <row r="40" spans="1:25" x14ac:dyDescent="0.25">
      <c r="A40" s="75" t="s">
        <v>273</v>
      </c>
      <c r="B40" s="76"/>
      <c r="C40" s="76"/>
      <c r="D40" s="45">
        <v>38.282609741669184</v>
      </c>
      <c r="E40" s="45">
        <v>38.387723948069578</v>
      </c>
      <c r="F40" s="45">
        <v>38.840348509808777</v>
      </c>
      <c r="G40" s="45">
        <v>39.815597092392778</v>
      </c>
      <c r="H40" s="45">
        <v>40.831314704989808</v>
      </c>
      <c r="I40" s="45">
        <v>50.754382468732288</v>
      </c>
      <c r="J40" s="45">
        <v>44.779718653595587</v>
      </c>
      <c r="K40" s="45">
        <v>54.104590541485116</v>
      </c>
      <c r="L40" s="45">
        <v>50.285726677560817</v>
      </c>
      <c r="M40" s="45">
        <v>48.727724080285988</v>
      </c>
      <c r="N40" s="45">
        <v>35.29361405702366</v>
      </c>
      <c r="O40" s="45">
        <v>54.446588794984443</v>
      </c>
      <c r="P40" s="45">
        <v>56.967195711511287</v>
      </c>
      <c r="Q40" s="45">
        <v>65.213289267343228</v>
      </c>
      <c r="R40" s="45">
        <v>93.286506899100289</v>
      </c>
      <c r="S40" s="45">
        <v>131.65737201858704</v>
      </c>
      <c r="T40" s="45">
        <v>158.91993991262859</v>
      </c>
      <c r="U40" s="45">
        <v>131.29219580090324</v>
      </c>
      <c r="V40" s="45">
        <v>132.75012940417483</v>
      </c>
      <c r="W40" s="45">
        <v>114.66015912544036</v>
      </c>
      <c r="X40" s="45">
        <v>112.60442267099404</v>
      </c>
      <c r="Y40" s="45">
        <v>81.597951527662772</v>
      </c>
    </row>
    <row r="41" spans="1:25" x14ac:dyDescent="0.25">
      <c r="A41" s="75" t="s">
        <v>274</v>
      </c>
      <c r="B41" s="76"/>
      <c r="C41" s="76"/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4.8607297559570384</v>
      </c>
      <c r="K41" s="45">
        <v>6.6567110323005636</v>
      </c>
      <c r="L41" s="45">
        <v>8.893757875821457</v>
      </c>
      <c r="M41" s="45">
        <v>11.1832627792582</v>
      </c>
      <c r="N41" s="45">
        <v>11.739312511844261</v>
      </c>
      <c r="O41" s="45">
        <v>9.0540776605213509</v>
      </c>
      <c r="P41" s="45">
        <v>9.3399830299878133</v>
      </c>
      <c r="Q41" s="45">
        <v>10.551129990111676</v>
      </c>
      <c r="R41" s="45">
        <v>5.9630223793208046</v>
      </c>
      <c r="S41" s="45">
        <v>9.7959354180496518</v>
      </c>
      <c r="T41" s="45">
        <v>16.121554212245115</v>
      </c>
      <c r="U41" s="45">
        <v>24.217720880256707</v>
      </c>
      <c r="V41" s="45">
        <v>20.762474051718186</v>
      </c>
      <c r="W41" s="45">
        <v>7.6295372318148935</v>
      </c>
      <c r="X41" s="45">
        <v>14.355941917909121</v>
      </c>
      <c r="Y41" s="45">
        <v>10.291246961710499</v>
      </c>
    </row>
    <row r="42" spans="1:25" x14ac:dyDescent="0.25">
      <c r="A42" s="74" t="s">
        <v>13</v>
      </c>
      <c r="B42" s="44"/>
      <c r="C42" s="44"/>
      <c r="D42" s="45">
        <v>52.629043734828564</v>
      </c>
      <c r="E42" s="45">
        <v>52.773549561446146</v>
      </c>
      <c r="F42" s="45">
        <v>53.395795485012357</v>
      </c>
      <c r="G42" s="45">
        <v>54.736519136077249</v>
      </c>
      <c r="H42" s="45">
        <v>56.132877613629518</v>
      </c>
      <c r="I42" s="45">
        <v>69.774621759228609</v>
      </c>
      <c r="J42" s="45">
        <v>68.243240155051581</v>
      </c>
      <c r="K42" s="45">
        <v>83.53164059322684</v>
      </c>
      <c r="L42" s="45">
        <v>81.3570365704323</v>
      </c>
      <c r="M42" s="45">
        <v>42.659912434677032</v>
      </c>
      <c r="N42" s="45">
        <v>40.591153495262645</v>
      </c>
      <c r="O42" s="45">
        <v>39.825973592447795</v>
      </c>
      <c r="P42" s="45">
        <v>39.818555725541231</v>
      </c>
      <c r="Q42" s="45">
        <v>41.036554621058798</v>
      </c>
      <c r="R42" s="45">
        <v>46.429096978181306</v>
      </c>
      <c r="S42" s="45">
        <v>56.774586469776409</v>
      </c>
      <c r="T42" s="45">
        <v>64.710533163130094</v>
      </c>
      <c r="U42" s="45">
        <v>88.123507697126968</v>
      </c>
      <c r="V42" s="45">
        <v>84.001665354787775</v>
      </c>
      <c r="W42" s="45">
        <v>119.1917065724025</v>
      </c>
      <c r="X42" s="45">
        <v>98.930433075175841</v>
      </c>
      <c r="Y42" s="45">
        <v>54.496467267260499</v>
      </c>
    </row>
    <row r="43" spans="1:25" x14ac:dyDescent="0.25">
      <c r="A43" s="72" t="s">
        <v>271</v>
      </c>
      <c r="B43" s="65"/>
      <c r="C43" s="65"/>
      <c r="D43" s="66">
        <v>777.1016278950342</v>
      </c>
      <c r="E43" s="66">
        <v>819.23830684924667</v>
      </c>
      <c r="F43" s="66">
        <v>856.54688996956065</v>
      </c>
      <c r="G43" s="66">
        <v>1053.1126834132674</v>
      </c>
      <c r="H43" s="66">
        <v>1101.4278853474834</v>
      </c>
      <c r="I43" s="66">
        <v>1043.9775845767128</v>
      </c>
      <c r="J43" s="66">
        <v>1241.3411230266802</v>
      </c>
      <c r="K43" s="66">
        <v>1233.5305848890052</v>
      </c>
      <c r="L43" s="66">
        <v>1143.8143096434553</v>
      </c>
      <c r="M43" s="66">
        <v>1059.0497394120325</v>
      </c>
      <c r="N43" s="66">
        <v>1143.2770173058741</v>
      </c>
      <c r="O43" s="66">
        <v>1201.0761967612568</v>
      </c>
      <c r="P43" s="66">
        <v>1210.0563431849155</v>
      </c>
      <c r="Q43" s="66">
        <v>1284.074171223341</v>
      </c>
      <c r="R43" s="66">
        <v>1303.5216108033801</v>
      </c>
      <c r="S43" s="66">
        <v>1235.3</v>
      </c>
      <c r="T43" s="66">
        <v>1139.0074151808255</v>
      </c>
      <c r="U43" s="66">
        <v>1319.504746665626</v>
      </c>
      <c r="V43" s="66">
        <v>1373.2404433558568</v>
      </c>
      <c r="W43" s="66">
        <v>1537.7163403319857</v>
      </c>
      <c r="X43" s="66">
        <v>1679.8213777071294</v>
      </c>
      <c r="Y43" s="66">
        <v>1613.3128263824308</v>
      </c>
    </row>
    <row r="44" spans="1:25" x14ac:dyDescent="0.25">
      <c r="A44" s="73" t="s">
        <v>272</v>
      </c>
      <c r="B44" s="65"/>
      <c r="C44" s="65"/>
      <c r="D44" s="66">
        <v>297.71991988907718</v>
      </c>
      <c r="E44" s="66">
        <v>310.56908539401581</v>
      </c>
      <c r="F44" s="66">
        <v>322.22074000412323</v>
      </c>
      <c r="G44" s="66">
        <v>337.97901134906687</v>
      </c>
      <c r="H44" s="66">
        <v>353.63296669829333</v>
      </c>
      <c r="I44" s="66">
        <v>340.03643659340906</v>
      </c>
      <c r="J44" s="66">
        <v>352.68326308295576</v>
      </c>
      <c r="K44" s="66">
        <v>360.71969573130201</v>
      </c>
      <c r="L44" s="66">
        <v>323.14783024855126</v>
      </c>
      <c r="M44" s="66">
        <v>304.30602641299396</v>
      </c>
      <c r="N44" s="66">
        <v>336.35466765322479</v>
      </c>
      <c r="O44" s="66">
        <v>371.59246662267117</v>
      </c>
      <c r="P44" s="66">
        <v>369.28177694607734</v>
      </c>
      <c r="Q44" s="66">
        <v>379.12875042876453</v>
      </c>
      <c r="R44" s="66">
        <v>411.59584360975214</v>
      </c>
      <c r="S44" s="66">
        <v>372.7</v>
      </c>
      <c r="T44" s="66">
        <v>358.68090962191485</v>
      </c>
      <c r="U44" s="66">
        <v>380.51379118573954</v>
      </c>
      <c r="V44" s="66">
        <v>369.11376480791404</v>
      </c>
      <c r="W44" s="66">
        <v>382.37979022672653</v>
      </c>
      <c r="X44" s="66">
        <v>409.0671028088907</v>
      </c>
      <c r="Y44" s="66">
        <v>431.09306817368912</v>
      </c>
    </row>
    <row r="45" spans="1:25" x14ac:dyDescent="0.25">
      <c r="A45" s="74" t="s">
        <v>20</v>
      </c>
      <c r="B45" s="44"/>
      <c r="C45" s="44"/>
      <c r="D45" s="45">
        <v>43.221143290496258</v>
      </c>
      <c r="E45" s="45">
        <v>44.143972798205397</v>
      </c>
      <c r="F45" s="45">
        <v>44.964425543809249</v>
      </c>
      <c r="G45" s="45">
        <v>46.050798979534406</v>
      </c>
      <c r="H45" s="45">
        <v>47.105180923562422</v>
      </c>
      <c r="I45" s="45">
        <v>46.190751935536596</v>
      </c>
      <c r="J45" s="45">
        <v>47.041886433867113</v>
      </c>
      <c r="K45" s="45">
        <v>52.860920624165971</v>
      </c>
      <c r="L45" s="45">
        <v>50.032294085511872</v>
      </c>
      <c r="M45" s="45">
        <v>32.690030503624946</v>
      </c>
      <c r="N45" s="45">
        <v>25.092661655872917</v>
      </c>
      <c r="O45" s="45">
        <v>24.10304505099576</v>
      </c>
      <c r="P45" s="45">
        <v>25.895729128072091</v>
      </c>
      <c r="Q45" s="45">
        <v>27.817824514287196</v>
      </c>
      <c r="R45" s="45">
        <v>39.770439359671002</v>
      </c>
      <c r="S45" s="45">
        <v>76.568427177686829</v>
      </c>
      <c r="T45" s="45">
        <v>66.242953582517785</v>
      </c>
      <c r="U45" s="45">
        <v>82.374953182413975</v>
      </c>
      <c r="V45" s="45">
        <v>81.256384882831981</v>
      </c>
      <c r="W45" s="45">
        <v>68.405812561428647</v>
      </c>
      <c r="X45" s="45">
        <v>59.505779923721285</v>
      </c>
      <c r="Y45" s="45">
        <v>62.317752523784883</v>
      </c>
    </row>
    <row r="46" spans="1:25" x14ac:dyDescent="0.25">
      <c r="A46" s="74" t="s">
        <v>12</v>
      </c>
      <c r="B46" s="44"/>
      <c r="C46" s="44"/>
      <c r="D46" s="45">
        <v>254.49877659858092</v>
      </c>
      <c r="E46" s="45">
        <v>266.42511259581045</v>
      </c>
      <c r="F46" s="45">
        <v>277.256314460314</v>
      </c>
      <c r="G46" s="45">
        <v>291.92821236953245</v>
      </c>
      <c r="H46" s="45">
        <v>306.52778577473089</v>
      </c>
      <c r="I46" s="45">
        <v>293.84568465787248</v>
      </c>
      <c r="J46" s="45">
        <v>305.64137664908867</v>
      </c>
      <c r="K46" s="45">
        <v>307.85877510713601</v>
      </c>
      <c r="L46" s="45">
        <v>273.11553616303939</v>
      </c>
      <c r="M46" s="45">
        <v>271.61599590936902</v>
      </c>
      <c r="N46" s="45">
        <v>311.26200599735188</v>
      </c>
      <c r="O46" s="45">
        <v>347.48942157167539</v>
      </c>
      <c r="P46" s="45">
        <v>343.38604781800524</v>
      </c>
      <c r="Q46" s="45">
        <v>351.31092591447737</v>
      </c>
      <c r="R46" s="45">
        <v>371.82540425008114</v>
      </c>
      <c r="S46" s="45">
        <v>296.13157282231316</v>
      </c>
      <c r="T46" s="45">
        <v>292.43795603939708</v>
      </c>
      <c r="U46" s="45">
        <v>298.13883800332553</v>
      </c>
      <c r="V46" s="45">
        <v>287.85737992508206</v>
      </c>
      <c r="W46" s="45">
        <v>313.97397766529787</v>
      </c>
      <c r="X46" s="45">
        <v>349.56132288516943</v>
      </c>
      <c r="Y46" s="45">
        <v>368.77531564990426</v>
      </c>
    </row>
    <row r="47" spans="1:25" x14ac:dyDescent="0.25">
      <c r="A47" s="73" t="s">
        <v>11</v>
      </c>
      <c r="B47" s="65"/>
      <c r="C47" s="65"/>
      <c r="D47" s="66">
        <v>479.38170800595697</v>
      </c>
      <c r="E47" s="66">
        <v>508.66922145523085</v>
      </c>
      <c r="F47" s="66">
        <v>534.32614996543737</v>
      </c>
      <c r="G47" s="66">
        <v>715.1336720642006</v>
      </c>
      <c r="H47" s="66">
        <v>747.79491864919009</v>
      </c>
      <c r="I47" s="66">
        <v>703.94114798330372</v>
      </c>
      <c r="J47" s="66">
        <v>888.65785994372436</v>
      </c>
      <c r="K47" s="66">
        <v>872.81088915770317</v>
      </c>
      <c r="L47" s="66">
        <v>820.66647939490406</v>
      </c>
      <c r="M47" s="66">
        <v>754.74371299903862</v>
      </c>
      <c r="N47" s="66">
        <v>806.92234965264925</v>
      </c>
      <c r="O47" s="66">
        <v>829.48373013858566</v>
      </c>
      <c r="P47" s="66">
        <v>840.77456623883825</v>
      </c>
      <c r="Q47" s="66">
        <v>904.94542079457642</v>
      </c>
      <c r="R47" s="66">
        <v>891.92576719362796</v>
      </c>
      <c r="S47" s="66">
        <v>862.6</v>
      </c>
      <c r="T47" s="66">
        <v>780.32650555891064</v>
      </c>
      <c r="U47" s="66">
        <v>938.99095547988645</v>
      </c>
      <c r="V47" s="66">
        <v>1004.1266785479427</v>
      </c>
      <c r="W47" s="66">
        <v>1155.3365501052592</v>
      </c>
      <c r="X47" s="66">
        <v>1270.7542748982387</v>
      </c>
      <c r="Y47" s="66">
        <v>1182.2197582087417</v>
      </c>
    </row>
    <row r="48" spans="1:25" x14ac:dyDescent="0.25">
      <c r="A48" s="72" t="s">
        <v>4</v>
      </c>
      <c r="B48" s="65"/>
      <c r="C48" s="65"/>
      <c r="D48" s="66">
        <v>277.69218918502543</v>
      </c>
      <c r="E48" s="66">
        <v>285.85337843741803</v>
      </c>
      <c r="F48" s="66">
        <v>277.47122812549259</v>
      </c>
      <c r="G48" s="66">
        <v>303.67063963151145</v>
      </c>
      <c r="H48" s="66">
        <v>311.93262349041242</v>
      </c>
      <c r="I48" s="66">
        <v>316.05285612157832</v>
      </c>
      <c r="J48" s="66">
        <v>353.81329596691268</v>
      </c>
      <c r="K48" s="66">
        <v>369.22003901439615</v>
      </c>
      <c r="L48" s="66">
        <v>345.62044175327986</v>
      </c>
      <c r="M48" s="66">
        <v>254.3136163537925</v>
      </c>
      <c r="N48" s="66">
        <v>263.39047149258028</v>
      </c>
      <c r="O48" s="66">
        <v>241.23051931570132</v>
      </c>
      <c r="P48" s="66">
        <v>248.45920712731123</v>
      </c>
      <c r="Q48" s="66">
        <v>259.98264764633478</v>
      </c>
      <c r="R48" s="66">
        <v>279.38381918893788</v>
      </c>
      <c r="S48" s="66">
        <v>300</v>
      </c>
      <c r="T48" s="66">
        <v>307.39835064202191</v>
      </c>
      <c r="U48" s="66">
        <v>307.92346794415232</v>
      </c>
      <c r="V48" s="66">
        <v>328.51410980967717</v>
      </c>
      <c r="W48" s="66">
        <v>343.44318795759841</v>
      </c>
      <c r="X48" s="66">
        <v>318.92900131393969</v>
      </c>
      <c r="Y48" s="66">
        <v>342.29916303025982</v>
      </c>
    </row>
    <row r="49" spans="1:25" x14ac:dyDescent="0.25">
      <c r="A49" s="77" t="s">
        <v>10</v>
      </c>
      <c r="B49" s="44"/>
      <c r="C49" s="44"/>
      <c r="D49" s="45">
        <v>144.87281816878092</v>
      </c>
      <c r="E49" s="45">
        <v>129.98272420068801</v>
      </c>
      <c r="F49" s="45">
        <v>150.72528702198051</v>
      </c>
      <c r="G49" s="45">
        <v>162.45404716168994</v>
      </c>
      <c r="H49" s="45">
        <v>133.16686319982054</v>
      </c>
      <c r="I49" s="45">
        <v>113.83835046540889</v>
      </c>
      <c r="J49" s="45">
        <v>147.74201785170439</v>
      </c>
      <c r="K49" s="45">
        <v>140.51173701461587</v>
      </c>
      <c r="L49" s="45">
        <v>149.05823858354887</v>
      </c>
      <c r="M49" s="45">
        <v>102.89731313123099</v>
      </c>
      <c r="N49" s="45">
        <v>87.749096973813394</v>
      </c>
      <c r="O49" s="45">
        <v>67.720503253783406</v>
      </c>
      <c r="P49" s="45">
        <v>102.91813096992783</v>
      </c>
      <c r="Q49" s="45">
        <v>121.63832633991925</v>
      </c>
      <c r="R49" s="45">
        <v>114.55596480706842</v>
      </c>
      <c r="S49" s="45">
        <v>115.5617210221582</v>
      </c>
      <c r="T49" s="45">
        <v>76.611796912858367</v>
      </c>
      <c r="U49" s="45">
        <v>77.913308847030152</v>
      </c>
      <c r="V49" s="45">
        <v>116.32959080301336</v>
      </c>
      <c r="W49" s="45">
        <v>109.94675513400574</v>
      </c>
      <c r="X49" s="45">
        <v>98.18747037865414</v>
      </c>
      <c r="Y49" s="45">
        <v>107.20040598526529</v>
      </c>
    </row>
    <row r="50" spans="1:25" x14ac:dyDescent="0.25">
      <c r="A50" s="77" t="s">
        <v>18</v>
      </c>
      <c r="B50" s="44"/>
      <c r="C50" s="44"/>
      <c r="D50" s="45">
        <v>57.302284470236565</v>
      </c>
      <c r="E50" s="45">
        <v>55.183201589477754</v>
      </c>
      <c r="F50" s="45">
        <v>66.719629739751312</v>
      </c>
      <c r="G50" s="45">
        <v>56.680470302926921</v>
      </c>
      <c r="H50" s="45">
        <v>57.920952845239817</v>
      </c>
      <c r="I50" s="45">
        <v>54.319060592807865</v>
      </c>
      <c r="J50" s="45">
        <v>69.702432597612798</v>
      </c>
      <c r="K50" s="45">
        <v>70.289566066090629</v>
      </c>
      <c r="L50" s="45">
        <v>63.492708383884164</v>
      </c>
      <c r="M50" s="45">
        <v>48.162733910934719</v>
      </c>
      <c r="N50" s="45">
        <v>46.112789138338158</v>
      </c>
      <c r="O50" s="45">
        <v>50.969221354969946</v>
      </c>
      <c r="P50" s="45">
        <v>54.624721368126949</v>
      </c>
      <c r="Q50" s="45">
        <v>46.93809050797006</v>
      </c>
      <c r="R50" s="45">
        <v>50.386005320178434</v>
      </c>
      <c r="S50" s="45">
        <v>63.998703823720021</v>
      </c>
      <c r="T50" s="45">
        <v>72.491556643488479</v>
      </c>
      <c r="U50" s="45">
        <v>66.382396933385934</v>
      </c>
      <c r="V50" s="45">
        <v>74.072639552938867</v>
      </c>
      <c r="W50" s="45">
        <v>85.632813906404692</v>
      </c>
      <c r="X50" s="45">
        <v>79.914768720502664</v>
      </c>
      <c r="Y50" s="45">
        <v>80.502369097232773</v>
      </c>
    </row>
    <row r="51" spans="1:25" x14ac:dyDescent="0.25">
      <c r="A51" s="77" t="s">
        <v>9</v>
      </c>
      <c r="B51" s="44"/>
      <c r="C51" s="44"/>
      <c r="D51" s="45">
        <v>75.517086546007931</v>
      </c>
      <c r="E51" s="45">
        <v>100.68745264725226</v>
      </c>
      <c r="F51" s="45">
        <v>60.026311363760769</v>
      </c>
      <c r="G51" s="45">
        <v>84.536122166894586</v>
      </c>
      <c r="H51" s="45">
        <v>120.84480744535207</v>
      </c>
      <c r="I51" s="45">
        <v>147.89544506336156</v>
      </c>
      <c r="J51" s="45">
        <v>136.3688455175955</v>
      </c>
      <c r="K51" s="45">
        <v>158.41873593368965</v>
      </c>
      <c r="L51" s="45">
        <v>133.06949478584681</v>
      </c>
      <c r="M51" s="45">
        <v>103.25356931162679</v>
      </c>
      <c r="N51" s="45">
        <v>129.52858538042875</v>
      </c>
      <c r="O51" s="45">
        <v>122.54079470694795</v>
      </c>
      <c r="P51" s="45">
        <v>90.916354789256445</v>
      </c>
      <c r="Q51" s="45">
        <v>91.406230798445478</v>
      </c>
      <c r="R51" s="45">
        <v>114.44184906169102</v>
      </c>
      <c r="S51" s="45">
        <v>120.43957515412178</v>
      </c>
      <c r="T51" s="45">
        <v>158.29499708567505</v>
      </c>
      <c r="U51" s="45">
        <v>163.62776216373624</v>
      </c>
      <c r="V51" s="45">
        <v>138.11187945372495</v>
      </c>
      <c r="W51" s="45">
        <v>147.86361891718798</v>
      </c>
      <c r="X51" s="45">
        <v>140.82676221478289</v>
      </c>
      <c r="Y51" s="45">
        <v>154.59638794776174</v>
      </c>
    </row>
    <row r="52" spans="1:25" x14ac:dyDescent="0.25">
      <c r="A52" s="72" t="s">
        <v>3</v>
      </c>
      <c r="B52" s="65"/>
      <c r="C52" s="65"/>
      <c r="D52" s="66">
        <v>370.38463513582917</v>
      </c>
      <c r="E52" s="66">
        <v>405.93676274169593</v>
      </c>
      <c r="F52" s="66">
        <v>430.39571180829262</v>
      </c>
      <c r="G52" s="66">
        <v>373.11838168953898</v>
      </c>
      <c r="H52" s="66">
        <v>390.64787808506406</v>
      </c>
      <c r="I52" s="66">
        <v>372.55263704079516</v>
      </c>
      <c r="J52" s="66">
        <v>362.6275524617767</v>
      </c>
      <c r="K52" s="66">
        <v>382.84238401935465</v>
      </c>
      <c r="L52" s="66">
        <v>349.15779726791311</v>
      </c>
      <c r="M52" s="66">
        <v>350.75646409958006</v>
      </c>
      <c r="N52" s="66">
        <v>294.01488058535779</v>
      </c>
      <c r="O52" s="66">
        <v>304.4824610386313</v>
      </c>
      <c r="P52" s="66">
        <v>303.68366454447448</v>
      </c>
      <c r="Q52" s="66">
        <v>304.06973224914753</v>
      </c>
      <c r="R52" s="66">
        <v>335.78619657946865</v>
      </c>
      <c r="S52" s="66">
        <v>332.40000000000003</v>
      </c>
      <c r="T52" s="66">
        <v>337.19767545466249</v>
      </c>
      <c r="U52" s="66">
        <v>337.3888948513557</v>
      </c>
      <c r="V52" s="66">
        <v>324.22541385915918</v>
      </c>
      <c r="W52" s="66">
        <v>357.41565288671131</v>
      </c>
      <c r="X52" s="66">
        <v>345.20779542969501</v>
      </c>
      <c r="Y52" s="66">
        <v>310.91279776808074</v>
      </c>
    </row>
    <row r="53" spans="1:25" x14ac:dyDescent="0.25">
      <c r="A53" s="73" t="s">
        <v>21</v>
      </c>
      <c r="B53" s="65"/>
      <c r="C53" s="65"/>
      <c r="D53" s="66">
        <v>197.19611770143277</v>
      </c>
      <c r="E53" s="66">
        <v>222.56618941219057</v>
      </c>
      <c r="F53" s="66">
        <v>229.32608932924239</v>
      </c>
      <c r="G53" s="66">
        <v>194.92853411842916</v>
      </c>
      <c r="H53" s="66">
        <v>206.04186433332163</v>
      </c>
      <c r="I53" s="66">
        <v>196.82678781449624</v>
      </c>
      <c r="J53" s="66">
        <v>178.77120224198524</v>
      </c>
      <c r="K53" s="66">
        <v>194.96300171096655</v>
      </c>
      <c r="L53" s="66">
        <v>163.86279222197945</v>
      </c>
      <c r="M53" s="66">
        <v>195.01087891514447</v>
      </c>
      <c r="N53" s="66">
        <v>149.93628478645127</v>
      </c>
      <c r="O53" s="66">
        <v>157.26686633839282</v>
      </c>
      <c r="P53" s="66">
        <v>161.19846225820231</v>
      </c>
      <c r="Q53" s="66">
        <v>166.3606464760598</v>
      </c>
      <c r="R53" s="66">
        <v>190.43383334007197</v>
      </c>
      <c r="S53" s="66">
        <v>182.8</v>
      </c>
      <c r="T53" s="66">
        <v>186.61703412567198</v>
      </c>
      <c r="U53" s="66">
        <v>185.76878420965335</v>
      </c>
      <c r="V53" s="66">
        <v>176.21775138906096</v>
      </c>
      <c r="W53" s="66">
        <v>205.5815339903497</v>
      </c>
      <c r="X53" s="66">
        <v>210.78165629910046</v>
      </c>
      <c r="Y53" s="66">
        <v>166.49974962443667</v>
      </c>
    </row>
    <row r="54" spans="1:25" x14ac:dyDescent="0.25">
      <c r="A54" s="74" t="s">
        <v>8</v>
      </c>
      <c r="B54" s="44"/>
      <c r="C54" s="44"/>
      <c r="D54" s="45">
        <v>11.013993775513404</v>
      </c>
      <c r="E54" s="45">
        <v>8.0713051760618733</v>
      </c>
      <c r="F54" s="45">
        <v>7.4777181905771677</v>
      </c>
      <c r="G54" s="45">
        <v>12.64352269335501</v>
      </c>
      <c r="H54" s="45">
        <v>11.951626249774199</v>
      </c>
      <c r="I54" s="45">
        <v>6.2383203898078445</v>
      </c>
      <c r="J54" s="45">
        <v>5.9997029291234973</v>
      </c>
      <c r="K54" s="45">
        <v>2.6871513533371765</v>
      </c>
      <c r="L54" s="45">
        <v>6.3651364733227718</v>
      </c>
      <c r="M54" s="45">
        <v>6.9981097893466204</v>
      </c>
      <c r="N54" s="45">
        <v>1.2613245125339732</v>
      </c>
      <c r="O54" s="45">
        <v>1.43111022870355</v>
      </c>
      <c r="P54" s="45">
        <v>1.911253231291558</v>
      </c>
      <c r="Q54" s="45">
        <v>2.5205195834247571</v>
      </c>
      <c r="R54" s="45">
        <v>2.9899909753339653</v>
      </c>
      <c r="S54" s="45">
        <v>3.3830968537939539</v>
      </c>
      <c r="T54" s="45">
        <v>2.8346046999074548</v>
      </c>
      <c r="U54" s="45">
        <v>3.091663491431647</v>
      </c>
      <c r="V54" s="45">
        <v>3.0836011655337341</v>
      </c>
      <c r="W54" s="45">
        <v>3.4093953052632457</v>
      </c>
      <c r="X54" s="45">
        <v>3.6086570159065303</v>
      </c>
      <c r="Y54" s="45">
        <v>3.1124830926424427</v>
      </c>
    </row>
    <row r="55" spans="1:25" x14ac:dyDescent="0.25">
      <c r="A55" s="74" t="s">
        <v>17</v>
      </c>
      <c r="B55" s="44"/>
      <c r="C55" s="44"/>
      <c r="D55" s="45">
        <v>186.18212392591937</v>
      </c>
      <c r="E55" s="45">
        <v>214.49488423612868</v>
      </c>
      <c r="F55" s="45">
        <v>221.84837113866521</v>
      </c>
      <c r="G55" s="45">
        <v>182.28501142507415</v>
      </c>
      <c r="H55" s="45">
        <v>194.09023808354743</v>
      </c>
      <c r="I55" s="45">
        <v>190.58846742468839</v>
      </c>
      <c r="J55" s="45">
        <v>172.77149931286175</v>
      </c>
      <c r="K55" s="45">
        <v>192.27585035762937</v>
      </c>
      <c r="L55" s="45">
        <v>157.49765574865668</v>
      </c>
      <c r="M55" s="45">
        <v>188.01276912579786</v>
      </c>
      <c r="N55" s="45">
        <v>148.67496027391729</v>
      </c>
      <c r="O55" s="45">
        <v>155.83575610968927</v>
      </c>
      <c r="P55" s="45">
        <v>159.28720902691074</v>
      </c>
      <c r="Q55" s="45">
        <v>163.84012689263506</v>
      </c>
      <c r="R55" s="45">
        <v>187.443842364738</v>
      </c>
      <c r="S55" s="45">
        <v>179.41690314620607</v>
      </c>
      <c r="T55" s="45">
        <v>183.78242942576452</v>
      </c>
      <c r="U55" s="45">
        <v>182.67712071822169</v>
      </c>
      <c r="V55" s="45">
        <v>173.13415022352723</v>
      </c>
      <c r="W55" s="45">
        <v>202.17213868508645</v>
      </c>
      <c r="X55" s="45">
        <v>207.17299928319392</v>
      </c>
      <c r="Y55" s="45">
        <v>163.38726653179424</v>
      </c>
    </row>
    <row r="56" spans="1:25" x14ac:dyDescent="0.25">
      <c r="A56" s="73" t="s">
        <v>16</v>
      </c>
      <c r="B56" s="65"/>
      <c r="C56" s="65"/>
      <c r="D56" s="66">
        <v>173.1885174343964</v>
      </c>
      <c r="E56" s="66">
        <v>183.37057332950536</v>
      </c>
      <c r="F56" s="66">
        <v>201.06962247905022</v>
      </c>
      <c r="G56" s="66">
        <v>178.18984757110982</v>
      </c>
      <c r="H56" s="66">
        <v>184.60601375174244</v>
      </c>
      <c r="I56" s="66">
        <v>175.72584922629892</v>
      </c>
      <c r="J56" s="66">
        <v>183.85635021979147</v>
      </c>
      <c r="K56" s="66">
        <v>187.8793823083881</v>
      </c>
      <c r="L56" s="66">
        <v>185.29500504593366</v>
      </c>
      <c r="M56" s="66">
        <v>155.74558518443558</v>
      </c>
      <c r="N56" s="66">
        <v>144.07859579890652</v>
      </c>
      <c r="O56" s="66">
        <v>147.21559470023848</v>
      </c>
      <c r="P56" s="66">
        <v>142.48520228627217</v>
      </c>
      <c r="Q56" s="66">
        <v>137.70908577308774</v>
      </c>
      <c r="R56" s="66">
        <v>145.35236323939668</v>
      </c>
      <c r="S56" s="66">
        <v>149.60000000000002</v>
      </c>
      <c r="T56" s="66">
        <v>150.58064132899051</v>
      </c>
      <c r="U56" s="66">
        <v>151.62011064170235</v>
      </c>
      <c r="V56" s="66">
        <v>148.00766247009821</v>
      </c>
      <c r="W56" s="66">
        <v>151.83411889636162</v>
      </c>
      <c r="X56" s="66">
        <v>134.42613913059455</v>
      </c>
      <c r="Y56" s="66">
        <v>144.41304814364406</v>
      </c>
    </row>
    <row r="57" spans="1:25" x14ac:dyDescent="0.25">
      <c r="A57" s="72" t="s">
        <v>2</v>
      </c>
      <c r="B57" s="65"/>
      <c r="C57" s="65"/>
      <c r="D57" s="66">
        <v>647.43490987521182</v>
      </c>
      <c r="E57" s="66">
        <v>661.45722809601671</v>
      </c>
      <c r="F57" s="66">
        <v>657.41762572915025</v>
      </c>
      <c r="G57" s="66">
        <v>649.36606676480358</v>
      </c>
      <c r="H57" s="66">
        <v>589.19305150460934</v>
      </c>
      <c r="I57" s="66">
        <v>546.66420681225929</v>
      </c>
      <c r="J57" s="66">
        <v>541.73776456894893</v>
      </c>
      <c r="K57" s="66">
        <v>547.40031167925372</v>
      </c>
      <c r="L57" s="66">
        <v>488.98737996400217</v>
      </c>
      <c r="M57" s="66">
        <v>518.44355614026199</v>
      </c>
      <c r="N57" s="66">
        <v>475.6032391992436</v>
      </c>
      <c r="O57" s="66">
        <v>467.13031118330878</v>
      </c>
      <c r="P57" s="66">
        <v>462.13615930679578</v>
      </c>
      <c r="Q57" s="66">
        <v>472.04455115917756</v>
      </c>
      <c r="R57" s="66">
        <v>502.66849957546594</v>
      </c>
      <c r="S57" s="66">
        <v>521</v>
      </c>
      <c r="T57" s="66">
        <v>541.83290597867506</v>
      </c>
      <c r="U57" s="66">
        <v>553.79391763339936</v>
      </c>
      <c r="V57" s="66">
        <v>602.03760709826838</v>
      </c>
      <c r="W57" s="66">
        <v>639.56629468860035</v>
      </c>
      <c r="X57" s="66">
        <v>618.47050067534667</v>
      </c>
      <c r="Y57" s="66">
        <v>628.62150368409766</v>
      </c>
    </row>
    <row r="58" spans="1:25" x14ac:dyDescent="0.25">
      <c r="A58" s="72" t="s">
        <v>275</v>
      </c>
      <c r="B58" s="65"/>
      <c r="C58" s="65"/>
      <c r="D58" s="66">
        <v>280.6449956349818</v>
      </c>
      <c r="E58" s="66">
        <v>312.81596784461556</v>
      </c>
      <c r="F58" s="66">
        <v>323.31219151335819</v>
      </c>
      <c r="G58" s="66">
        <v>341.77786219668542</v>
      </c>
      <c r="H58" s="66">
        <v>391.58496444928608</v>
      </c>
      <c r="I58" s="66">
        <v>440.92890252058208</v>
      </c>
      <c r="J58" s="66">
        <v>489.53024533013911</v>
      </c>
      <c r="K58" s="66">
        <v>569.41402120726673</v>
      </c>
      <c r="L58" s="66">
        <v>603.4312348491942</v>
      </c>
      <c r="M58" s="66">
        <v>507.91883823306182</v>
      </c>
      <c r="N58" s="66">
        <v>574.15628725284671</v>
      </c>
      <c r="O58" s="66">
        <v>601.35032235138829</v>
      </c>
      <c r="P58" s="66">
        <v>625.97888656103169</v>
      </c>
      <c r="Q58" s="66">
        <v>585.33927886846516</v>
      </c>
      <c r="R58" s="66">
        <v>622.34666235394013</v>
      </c>
      <c r="S58" s="66">
        <v>615.9</v>
      </c>
      <c r="T58" s="66">
        <v>624.4988070369966</v>
      </c>
      <c r="U58" s="66">
        <v>717.41484784326735</v>
      </c>
      <c r="V58" s="66">
        <v>750.14057392282245</v>
      </c>
      <c r="W58" s="66">
        <v>738.11874732194428</v>
      </c>
      <c r="X58" s="66">
        <v>668.45533983258758</v>
      </c>
      <c r="Y58" s="66">
        <v>702.3034551827742</v>
      </c>
    </row>
    <row r="59" spans="1:25" x14ac:dyDescent="0.25">
      <c r="A59" s="72" t="s">
        <v>276</v>
      </c>
      <c r="B59" s="65"/>
      <c r="C59" s="65"/>
      <c r="D59" s="66">
        <v>1829.9697016381658</v>
      </c>
      <c r="E59" s="66">
        <v>1919.3369200234672</v>
      </c>
      <c r="F59" s="66">
        <v>2017.1236614559964</v>
      </c>
      <c r="G59" s="66">
        <v>2122.01434066195</v>
      </c>
      <c r="H59" s="66">
        <v>2194.4219934169682</v>
      </c>
      <c r="I59" s="66">
        <v>2196.1118926273548</v>
      </c>
      <c r="J59" s="66">
        <v>2308.7701852123901</v>
      </c>
      <c r="K59" s="66">
        <v>2527.2174453199073</v>
      </c>
      <c r="L59" s="66">
        <v>2612.3370475566235</v>
      </c>
      <c r="M59" s="66">
        <v>2040.2772858371704</v>
      </c>
      <c r="N59" s="66">
        <v>2189.6452501335962</v>
      </c>
      <c r="O59" s="66">
        <v>2274.4301741205136</v>
      </c>
      <c r="P59" s="66">
        <v>2327.2583040091131</v>
      </c>
      <c r="Q59" s="66">
        <v>2364.8635015435525</v>
      </c>
      <c r="R59" s="66">
        <v>2458.2541543686575</v>
      </c>
      <c r="S59" s="66">
        <v>2670.9</v>
      </c>
      <c r="T59" s="66">
        <v>2883.1094258927424</v>
      </c>
      <c r="U59" s="66">
        <v>3018.5476081293355</v>
      </c>
      <c r="V59" s="66">
        <v>3081.6663013333077</v>
      </c>
      <c r="W59" s="66">
        <v>3201.5574640907653</v>
      </c>
      <c r="X59" s="66">
        <v>3047.6969301590511</v>
      </c>
      <c r="Y59" s="66">
        <v>3379.7124257815299</v>
      </c>
    </row>
    <row r="60" spans="1:25" x14ac:dyDescent="0.25">
      <c r="A60" s="72" t="s">
        <v>1</v>
      </c>
      <c r="B60" s="65"/>
      <c r="C60" s="65"/>
      <c r="D60" s="66">
        <v>581.83125353052947</v>
      </c>
      <c r="E60" s="66">
        <v>602.41415036636658</v>
      </c>
      <c r="F60" s="66">
        <v>544.51303071829636</v>
      </c>
      <c r="G60" s="66">
        <v>485.5406239612517</v>
      </c>
      <c r="H60" s="66">
        <v>465.0291082451887</v>
      </c>
      <c r="I60" s="66">
        <v>451.07580195097205</v>
      </c>
      <c r="J60" s="66">
        <v>428.62147288486096</v>
      </c>
      <c r="K60" s="66">
        <v>428.83142075609464</v>
      </c>
      <c r="L60" s="66">
        <v>382.76267465692854</v>
      </c>
      <c r="M60" s="66">
        <v>296.00769114000911</v>
      </c>
      <c r="N60" s="66">
        <v>254.24425535413326</v>
      </c>
      <c r="O60" s="66">
        <v>271.28280623381897</v>
      </c>
      <c r="P60" s="66">
        <v>257.30732461403903</v>
      </c>
      <c r="Q60" s="66">
        <v>236.07271846815036</v>
      </c>
      <c r="R60" s="66">
        <v>256.33768649173169</v>
      </c>
      <c r="S60" s="66">
        <v>237.3</v>
      </c>
      <c r="T60" s="66">
        <v>250.17572691542338</v>
      </c>
      <c r="U60" s="66">
        <v>264.11559813840944</v>
      </c>
      <c r="V60" s="66">
        <v>263.135322652892</v>
      </c>
      <c r="W60" s="66">
        <v>255.13720960560386</v>
      </c>
      <c r="X60" s="66">
        <v>218.22425183538081</v>
      </c>
      <c r="Y60" s="66">
        <v>224.71206810215324</v>
      </c>
    </row>
    <row r="61" spans="1:25" x14ac:dyDescent="0.25">
      <c r="A61" s="72" t="s">
        <v>0</v>
      </c>
      <c r="B61" s="65"/>
      <c r="C61" s="65"/>
      <c r="D61" s="66">
        <v>239.30570533559288</v>
      </c>
      <c r="E61" s="66">
        <v>232.42750683426743</v>
      </c>
      <c r="F61" s="66">
        <v>231.63026473762719</v>
      </c>
      <c r="G61" s="66">
        <v>239.09017522199534</v>
      </c>
      <c r="H61" s="66">
        <v>240.01124503637067</v>
      </c>
      <c r="I61" s="66">
        <v>243.4102806540138</v>
      </c>
      <c r="J61" s="66">
        <v>261.82861921281909</v>
      </c>
      <c r="K61" s="66">
        <v>296.20426978781836</v>
      </c>
      <c r="L61" s="66">
        <v>253.12899903242922</v>
      </c>
      <c r="M61" s="66">
        <v>205.43439761169864</v>
      </c>
      <c r="N61" s="66">
        <v>208.4104081884326</v>
      </c>
      <c r="O61" s="66">
        <v>223.76770394436264</v>
      </c>
      <c r="P61" s="66">
        <v>225.169334662246</v>
      </c>
      <c r="Q61" s="66">
        <v>221.44428078529489</v>
      </c>
      <c r="R61" s="66">
        <v>251.78910766991467</v>
      </c>
      <c r="S61" s="66">
        <v>241.8</v>
      </c>
      <c r="T61" s="66">
        <v>252.35375065588215</v>
      </c>
      <c r="U61" s="66">
        <v>265.57911271989309</v>
      </c>
      <c r="V61" s="66">
        <v>277.90749759356504</v>
      </c>
      <c r="W61" s="66">
        <v>290.16152169458053</v>
      </c>
      <c r="X61" s="66">
        <v>287.87224463168343</v>
      </c>
      <c r="Y61" s="66">
        <v>316.54624794334359</v>
      </c>
    </row>
    <row r="62" spans="1:25" x14ac:dyDescent="0.25">
      <c r="A62" s="78" t="s">
        <v>277</v>
      </c>
      <c r="B62" s="79"/>
      <c r="C62" s="79"/>
      <c r="D62" s="80">
        <v>607.50783135623692</v>
      </c>
      <c r="E62" s="80">
        <v>654.84140754702844</v>
      </c>
      <c r="F62" s="80">
        <v>754.92062722080061</v>
      </c>
      <c r="G62" s="80">
        <v>761.66959494752837</v>
      </c>
      <c r="H62" s="80">
        <v>805.77713743542893</v>
      </c>
      <c r="I62" s="80">
        <v>784.5398150496967</v>
      </c>
      <c r="J62" s="80">
        <v>791.47503192342901</v>
      </c>
      <c r="K62" s="80">
        <v>837.61074966489036</v>
      </c>
      <c r="L62" s="80">
        <v>807.141296544836</v>
      </c>
      <c r="M62" s="80">
        <v>699.08414714365222</v>
      </c>
      <c r="N62" s="80">
        <v>715.25465532124804</v>
      </c>
      <c r="O62" s="80">
        <v>738.71770140616275</v>
      </c>
      <c r="P62" s="80">
        <v>688.83103146675353</v>
      </c>
      <c r="Q62" s="80">
        <v>730.11036904017271</v>
      </c>
      <c r="R62" s="80">
        <v>782.1533982937774</v>
      </c>
      <c r="S62" s="80">
        <v>835</v>
      </c>
      <c r="T62" s="80">
        <v>945.4603055173302</v>
      </c>
      <c r="U62" s="80">
        <v>1012.3618198315983</v>
      </c>
      <c r="V62" s="80">
        <v>1029.4776368332268</v>
      </c>
      <c r="W62" s="80">
        <v>1062.7456825083368</v>
      </c>
      <c r="X62" s="80">
        <v>969.92640099969685</v>
      </c>
      <c r="Y62" s="80">
        <v>1056.4954574719222</v>
      </c>
    </row>
    <row r="63" spans="1:25" x14ac:dyDescent="0.25">
      <c r="A63" s="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</row>
    <row r="64" spans="1:25" x14ac:dyDescent="0.25">
      <c r="A64" s="58" t="s">
        <v>241</v>
      </c>
      <c r="B64" s="50"/>
      <c r="C64" s="50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</row>
    <row r="65" spans="1:25" x14ac:dyDescent="0.25">
      <c r="A65" s="81" t="s">
        <v>142</v>
      </c>
      <c r="B65" s="41"/>
      <c r="C65" s="41"/>
      <c r="D65" s="82">
        <f t="shared" ref="D65:D76" si="46">D23/D$23</f>
        <v>1</v>
      </c>
      <c r="E65" s="82">
        <f t="shared" ref="E65:S65" si="47">E23/E$23</f>
        <v>1</v>
      </c>
      <c r="F65" s="82">
        <f t="shared" si="47"/>
        <v>1</v>
      </c>
      <c r="G65" s="82">
        <f t="shared" si="47"/>
        <v>1</v>
      </c>
      <c r="H65" s="82">
        <f t="shared" si="47"/>
        <v>1</v>
      </c>
      <c r="I65" s="82">
        <f t="shared" si="47"/>
        <v>1</v>
      </c>
      <c r="J65" s="82">
        <f t="shared" si="47"/>
        <v>1</v>
      </c>
      <c r="K65" s="82">
        <f t="shared" si="47"/>
        <v>1</v>
      </c>
      <c r="L65" s="82">
        <f t="shared" si="47"/>
        <v>1</v>
      </c>
      <c r="M65" s="82">
        <f t="shared" si="47"/>
        <v>1</v>
      </c>
      <c r="N65" s="82">
        <f t="shared" si="47"/>
        <v>1</v>
      </c>
      <c r="O65" s="82">
        <f t="shared" si="47"/>
        <v>1</v>
      </c>
      <c r="P65" s="82">
        <f t="shared" si="47"/>
        <v>1</v>
      </c>
      <c r="Q65" s="82">
        <f t="shared" si="47"/>
        <v>1</v>
      </c>
      <c r="R65" s="82">
        <f t="shared" si="47"/>
        <v>1</v>
      </c>
      <c r="S65" s="82">
        <f t="shared" si="47"/>
        <v>1</v>
      </c>
      <c r="T65" s="82">
        <f t="shared" ref="T65:Y65" si="48">T23/T$23</f>
        <v>1</v>
      </c>
      <c r="U65" s="82">
        <f t="shared" si="48"/>
        <v>1</v>
      </c>
      <c r="V65" s="82">
        <f t="shared" si="48"/>
        <v>1</v>
      </c>
      <c r="W65" s="82">
        <f t="shared" si="48"/>
        <v>1</v>
      </c>
      <c r="X65" s="82">
        <f t="shared" si="48"/>
        <v>1</v>
      </c>
      <c r="Y65" s="82">
        <f t="shared" si="48"/>
        <v>1</v>
      </c>
    </row>
    <row r="66" spans="1:25" x14ac:dyDescent="0.25">
      <c r="A66" s="64" t="s">
        <v>33</v>
      </c>
      <c r="B66" s="65"/>
      <c r="C66" s="65"/>
      <c r="D66" s="83">
        <f t="shared" si="46"/>
        <v>3.5332006702974442E-2</v>
      </c>
      <c r="E66" s="83">
        <f t="shared" ref="E66:S66" si="49">E24/E$23</f>
        <v>3.1774977082996321E-2</v>
      </c>
      <c r="F66" s="83">
        <f t="shared" si="49"/>
        <v>3.4113574359797338E-2</v>
      </c>
      <c r="G66" s="83">
        <f t="shared" si="49"/>
        <v>2.5728861070244014E-2</v>
      </c>
      <c r="H66" s="83">
        <f t="shared" si="49"/>
        <v>2.7692712963877639E-2</v>
      </c>
      <c r="I66" s="83">
        <f t="shared" si="49"/>
        <v>2.7615301606168187E-2</v>
      </c>
      <c r="J66" s="83">
        <f t="shared" si="49"/>
        <v>2.4118865870900789E-2</v>
      </c>
      <c r="K66" s="83">
        <f t="shared" si="49"/>
        <v>2.3374856815578465E-2</v>
      </c>
      <c r="L66" s="83">
        <f t="shared" si="49"/>
        <v>2.0876814147565221E-2</v>
      </c>
      <c r="M66" s="83">
        <f t="shared" si="49"/>
        <v>2.0753218261823407E-2</v>
      </c>
      <c r="N66" s="83">
        <f t="shared" si="49"/>
        <v>2.1730007730291701E-2</v>
      </c>
      <c r="O66" s="83">
        <f t="shared" si="49"/>
        <v>2.4608175244919529E-2</v>
      </c>
      <c r="P66" s="83">
        <f t="shared" si="49"/>
        <v>2.2614629930866208E-2</v>
      </c>
      <c r="Q66" s="83">
        <f t="shared" si="49"/>
        <v>2.2806327121312139E-2</v>
      </c>
      <c r="R66" s="83">
        <f t="shared" si="49"/>
        <v>2.3333948112627567E-2</v>
      </c>
      <c r="S66" s="83">
        <f t="shared" si="49"/>
        <v>2.4250037955804563E-2</v>
      </c>
      <c r="T66" s="83">
        <f t="shared" ref="T66:Y66" si="50">T24/T$23</f>
        <v>2.2860666407837946E-2</v>
      </c>
      <c r="U66" s="83">
        <f t="shared" si="50"/>
        <v>2.1174739095531175E-2</v>
      </c>
      <c r="V66" s="83">
        <f t="shared" si="50"/>
        <v>2.5777375167036185E-2</v>
      </c>
      <c r="W66" s="83">
        <f t="shared" si="50"/>
        <v>2.3168173376658618E-2</v>
      </c>
      <c r="X66" s="83">
        <f t="shared" si="50"/>
        <v>2.3627579303972898E-2</v>
      </c>
      <c r="Y66" s="83">
        <f t="shared" si="50"/>
        <v>1.9181872651015851E-2</v>
      </c>
    </row>
    <row r="67" spans="1:25" x14ac:dyDescent="0.25">
      <c r="A67" s="64" t="s">
        <v>56</v>
      </c>
      <c r="B67" s="65"/>
      <c r="C67" s="65"/>
      <c r="D67" s="83">
        <f t="shared" si="46"/>
        <v>6.2630917469627149E-3</v>
      </c>
      <c r="E67" s="83">
        <f t="shared" ref="E67:S67" si="51">E25/E$23</f>
        <v>5.4951788506693734E-3</v>
      </c>
      <c r="F67" s="83">
        <f t="shared" si="51"/>
        <v>4.7685641578211332E-3</v>
      </c>
      <c r="G67" s="83">
        <f t="shared" si="51"/>
        <v>4.9751460333765695E-3</v>
      </c>
      <c r="H67" s="83">
        <f t="shared" si="51"/>
        <v>5.3261549606506637E-3</v>
      </c>
      <c r="I67" s="83">
        <f t="shared" si="51"/>
        <v>5.204016202436621E-3</v>
      </c>
      <c r="J67" s="83">
        <f t="shared" si="51"/>
        <v>5.0081902895348709E-3</v>
      </c>
      <c r="K67" s="83">
        <f t="shared" si="51"/>
        <v>4.7250859106529207E-3</v>
      </c>
      <c r="L67" s="83">
        <f t="shared" si="51"/>
        <v>4.4030441840364042E-3</v>
      </c>
      <c r="M67" s="83">
        <f t="shared" si="51"/>
        <v>4.5389784776770515E-3</v>
      </c>
      <c r="N67" s="83">
        <f t="shared" si="51"/>
        <v>4.3952229952513933E-3</v>
      </c>
      <c r="O67" s="83">
        <f t="shared" si="51"/>
        <v>4.5280282157213383E-3</v>
      </c>
      <c r="P67" s="83">
        <f t="shared" si="51"/>
        <v>4.5464365595770636E-3</v>
      </c>
      <c r="Q67" s="83">
        <f t="shared" si="51"/>
        <v>4.0147514345198797E-3</v>
      </c>
      <c r="R67" s="83">
        <f t="shared" si="51"/>
        <v>3.9345874830935693E-3</v>
      </c>
      <c r="S67" s="83">
        <f t="shared" si="51"/>
        <v>3.7092496063015567E-3</v>
      </c>
      <c r="T67" s="83">
        <f t="shared" ref="T67:Y67" si="52">T25/T$23</f>
        <v>3.7225660584191658E-3</v>
      </c>
      <c r="U67" s="83">
        <f t="shared" si="52"/>
        <v>3.7061814289537061E-3</v>
      </c>
      <c r="V67" s="83">
        <f t="shared" si="52"/>
        <v>3.5859604518360222E-3</v>
      </c>
      <c r="W67" s="83">
        <f t="shared" si="52"/>
        <v>3.2493964900854461E-3</v>
      </c>
      <c r="X67" s="83">
        <f t="shared" si="52"/>
        <v>3.1206690791499843E-3</v>
      </c>
      <c r="Y67" s="83">
        <f t="shared" si="52"/>
        <v>2.6210577918187265E-3</v>
      </c>
    </row>
    <row r="68" spans="1:25" x14ac:dyDescent="0.25">
      <c r="A68" s="64" t="s">
        <v>146</v>
      </c>
      <c r="B68" s="65"/>
      <c r="C68" s="65"/>
      <c r="D68" s="83">
        <f t="shared" si="46"/>
        <v>0.63410138248847925</v>
      </c>
      <c r="E68" s="83">
        <f t="shared" ref="E68:S68" si="53">E26/E$23</f>
        <v>0.63827409226606269</v>
      </c>
      <c r="F68" s="83">
        <f t="shared" si="53"/>
        <v>0.63786881863408151</v>
      </c>
      <c r="G68" s="83">
        <f t="shared" si="53"/>
        <v>0.64427923496792061</v>
      </c>
      <c r="H68" s="83">
        <f t="shared" si="53"/>
        <v>0.64463350785340323</v>
      </c>
      <c r="I68" s="83">
        <f t="shared" si="53"/>
        <v>0.64970050515318811</v>
      </c>
      <c r="J68" s="83">
        <f t="shared" si="53"/>
        <v>0.64846120189334888</v>
      </c>
      <c r="K68" s="83">
        <f t="shared" si="53"/>
        <v>0.64276463084452784</v>
      </c>
      <c r="L68" s="83">
        <f t="shared" si="53"/>
        <v>0.65464111575910344</v>
      </c>
      <c r="M68" s="83">
        <f t="shared" si="53"/>
        <v>0.6815685953122439</v>
      </c>
      <c r="N68" s="83">
        <f t="shared" si="53"/>
        <v>0.6891255304715479</v>
      </c>
      <c r="O68" s="83">
        <f t="shared" si="53"/>
        <v>0.68408247767753383</v>
      </c>
      <c r="P68" s="83">
        <f t="shared" si="53"/>
        <v>0.68005604412362763</v>
      </c>
      <c r="Q68" s="83">
        <f t="shared" si="53"/>
        <v>0.67861994109582091</v>
      </c>
      <c r="R68" s="83">
        <f t="shared" si="53"/>
        <v>0.6711361121357432</v>
      </c>
      <c r="S68" s="83">
        <f t="shared" si="53"/>
        <v>0.6712342632257372</v>
      </c>
      <c r="T68" s="83">
        <f t="shared" ref="T68:Y68" si="54">T26/T$23</f>
        <v>0.67386724370246864</v>
      </c>
      <c r="U68" s="83">
        <f t="shared" si="54"/>
        <v>0.67161626973508148</v>
      </c>
      <c r="V68" s="83">
        <f t="shared" si="54"/>
        <v>0.66813475003378264</v>
      </c>
      <c r="W68" s="83">
        <f t="shared" si="54"/>
        <v>0.66455231717130248</v>
      </c>
      <c r="X68" s="83">
        <f t="shared" si="54"/>
        <v>0.66358369263935946</v>
      </c>
      <c r="Y68" s="83">
        <f t="shared" si="54"/>
        <v>0.67591916771065952</v>
      </c>
    </row>
    <row r="69" spans="1:25" x14ac:dyDescent="0.25">
      <c r="A69" s="68" t="s">
        <v>148</v>
      </c>
      <c r="B69" s="69"/>
      <c r="C69" s="69"/>
      <c r="D69" s="84">
        <f t="shared" si="46"/>
        <v>0.2542574361122748</v>
      </c>
      <c r="E69" s="84">
        <f t="shared" ref="E69:S69" si="55">E27/E$23</f>
        <v>0.2582783080143336</v>
      </c>
      <c r="F69" s="84">
        <f t="shared" si="55"/>
        <v>0.25408652192851744</v>
      </c>
      <c r="G69" s="84">
        <f t="shared" si="55"/>
        <v>0.25510355093974979</v>
      </c>
      <c r="H69" s="84">
        <f t="shared" si="55"/>
        <v>0.25626872797918931</v>
      </c>
      <c r="I69" s="84">
        <f t="shared" si="55"/>
        <v>0.25801520151389562</v>
      </c>
      <c r="J69" s="84">
        <f t="shared" si="55"/>
        <v>0.25549364122554219</v>
      </c>
      <c r="K69" s="84">
        <f t="shared" si="55"/>
        <v>0.24748776424034158</v>
      </c>
      <c r="L69" s="84">
        <f t="shared" si="55"/>
        <v>0.24919061687793448</v>
      </c>
      <c r="M69" s="84">
        <f t="shared" si="55"/>
        <v>0.26348454856076559</v>
      </c>
      <c r="N69" s="84">
        <f t="shared" si="55"/>
        <v>0.27099878523987569</v>
      </c>
      <c r="O69" s="84">
        <f t="shared" si="55"/>
        <v>0.27124469638036675</v>
      </c>
      <c r="P69" s="84">
        <f t="shared" si="55"/>
        <v>0.27456854920699475</v>
      </c>
      <c r="Q69" s="84">
        <f t="shared" si="55"/>
        <v>0.26831551820443811</v>
      </c>
      <c r="R69" s="84">
        <f t="shared" si="55"/>
        <v>0.26222181236935943</v>
      </c>
      <c r="S69" s="84">
        <f t="shared" si="55"/>
        <v>0.26153782035443279</v>
      </c>
      <c r="T69" s="84">
        <f t="shared" ref="T69:Y69" si="56">T27/T$23</f>
        <v>0.2675365976202983</v>
      </c>
      <c r="U69" s="84">
        <f t="shared" si="56"/>
        <v>0.26570778699491571</v>
      </c>
      <c r="V69" s="84">
        <f t="shared" si="56"/>
        <v>0.26307887111062173</v>
      </c>
      <c r="W69" s="84">
        <f t="shared" si="56"/>
        <v>0.26502285432462336</v>
      </c>
      <c r="X69" s="84">
        <f t="shared" si="56"/>
        <v>0.26642381429011397</v>
      </c>
      <c r="Y69" s="84">
        <f t="shared" si="56"/>
        <v>0.27113241461953264</v>
      </c>
    </row>
    <row r="70" spans="1:25" x14ac:dyDescent="0.25">
      <c r="A70" s="68" t="s">
        <v>150</v>
      </c>
      <c r="B70" s="71"/>
      <c r="C70" s="71"/>
      <c r="D70" s="84">
        <f t="shared" si="46"/>
        <v>0.25383850020946791</v>
      </c>
      <c r="E70" s="84">
        <f t="shared" ref="E70:S70" si="57">E28/E$23</f>
        <v>0.2508958465075467</v>
      </c>
      <c r="F70" s="84">
        <f t="shared" si="57"/>
        <v>0.25472385886884158</v>
      </c>
      <c r="G70" s="84">
        <f t="shared" si="57"/>
        <v>0.25687945608552204</v>
      </c>
      <c r="H70" s="84">
        <f t="shared" si="57"/>
        <v>0.25649922618459614</v>
      </c>
      <c r="I70" s="84">
        <f t="shared" si="57"/>
        <v>0.25667803131011402</v>
      </c>
      <c r="J70" s="84">
        <f t="shared" si="57"/>
        <v>0.25888908576119074</v>
      </c>
      <c r="K70" s="84">
        <f t="shared" si="57"/>
        <v>0.25659299177340422</v>
      </c>
      <c r="L70" s="84">
        <f t="shared" si="57"/>
        <v>0.2628996846793939</v>
      </c>
      <c r="M70" s="84">
        <f t="shared" si="57"/>
        <v>0.27755538184156442</v>
      </c>
      <c r="N70" s="84">
        <f t="shared" si="57"/>
        <v>0.28111757931437048</v>
      </c>
      <c r="O70" s="84">
        <f t="shared" si="57"/>
        <v>0.27517146691378158</v>
      </c>
      <c r="P70" s="84">
        <f t="shared" si="57"/>
        <v>0.26937080622204146</v>
      </c>
      <c r="Q70" s="84">
        <f t="shared" si="57"/>
        <v>0.27114329964962169</v>
      </c>
      <c r="R70" s="84">
        <f t="shared" si="57"/>
        <v>0.2713943194393213</v>
      </c>
      <c r="S70" s="84">
        <f t="shared" si="57"/>
        <v>0.27103421380876824</v>
      </c>
      <c r="T70" s="84">
        <f t="shared" ref="T70:Y70" si="58">T28/T$23</f>
        <v>0.26729965514878845</v>
      </c>
      <c r="U70" s="84">
        <f t="shared" si="58"/>
        <v>0.26684238694139684</v>
      </c>
      <c r="V70" s="84">
        <f t="shared" si="58"/>
        <v>0.26470043592066339</v>
      </c>
      <c r="W70" s="84">
        <f t="shared" si="58"/>
        <v>0.26091922288216979</v>
      </c>
      <c r="X70" s="84">
        <f t="shared" si="58"/>
        <v>0.2602931552202033</v>
      </c>
      <c r="Y70" s="84">
        <f t="shared" si="58"/>
        <v>0.26408192167329381</v>
      </c>
    </row>
    <row r="71" spans="1:25" x14ac:dyDescent="0.25">
      <c r="A71" s="68" t="s">
        <v>152</v>
      </c>
      <c r="B71" s="71"/>
      <c r="C71" s="71"/>
      <c r="D71" s="84">
        <f t="shared" si="46"/>
        <v>0.12600544616673642</v>
      </c>
      <c r="E71" s="84">
        <f t="shared" ref="E71:S71" si="59">E29/E$23</f>
        <v>0.12909993774418241</v>
      </c>
      <c r="F71" s="84">
        <f t="shared" si="59"/>
        <v>0.12905843783672244</v>
      </c>
      <c r="G71" s="84">
        <f t="shared" si="59"/>
        <v>0.13229622794264881</v>
      </c>
      <c r="H71" s="84">
        <f t="shared" si="59"/>
        <v>0.13186555368961783</v>
      </c>
      <c r="I71" s="84">
        <f t="shared" si="59"/>
        <v>0.13500727232917842</v>
      </c>
      <c r="J71" s="84">
        <f t="shared" si="59"/>
        <v>0.13407847490661601</v>
      </c>
      <c r="K71" s="84">
        <f t="shared" si="59"/>
        <v>0.13868387483078212</v>
      </c>
      <c r="L71" s="84">
        <f t="shared" si="59"/>
        <v>0.14255081420177509</v>
      </c>
      <c r="M71" s="84">
        <f t="shared" si="59"/>
        <v>0.14052866490991384</v>
      </c>
      <c r="N71" s="84">
        <f t="shared" si="59"/>
        <v>0.13700916591730172</v>
      </c>
      <c r="O71" s="84">
        <f t="shared" si="59"/>
        <v>0.13766631438338559</v>
      </c>
      <c r="P71" s="84">
        <f t="shared" si="59"/>
        <v>0.13611668869459134</v>
      </c>
      <c r="Q71" s="84">
        <f t="shared" si="59"/>
        <v>0.13916112324176103</v>
      </c>
      <c r="R71" s="84">
        <f t="shared" si="59"/>
        <v>0.13751998032706253</v>
      </c>
      <c r="S71" s="84">
        <f t="shared" si="59"/>
        <v>0.1386622290625362</v>
      </c>
      <c r="T71" s="84">
        <f t="shared" ref="T71:Y71" si="60">T29/T$23</f>
        <v>0.13903099093338203</v>
      </c>
      <c r="U71" s="84">
        <f t="shared" si="60"/>
        <v>0.13906609579876911</v>
      </c>
      <c r="V71" s="84">
        <f t="shared" si="60"/>
        <v>0.14035544300249755</v>
      </c>
      <c r="W71" s="84">
        <f t="shared" si="60"/>
        <v>0.1386102399645093</v>
      </c>
      <c r="X71" s="84">
        <f t="shared" si="60"/>
        <v>0.13686672312904219</v>
      </c>
      <c r="Y71" s="84">
        <f t="shared" si="60"/>
        <v>0.1407048314178331</v>
      </c>
    </row>
    <row r="72" spans="1:25" x14ac:dyDescent="0.25">
      <c r="A72" s="64" t="s">
        <v>154</v>
      </c>
      <c r="B72" s="65"/>
      <c r="C72" s="65"/>
      <c r="D72" s="83">
        <f t="shared" si="46"/>
        <v>1.9674277335567657E-2</v>
      </c>
      <c r="E72" s="83">
        <f t="shared" ref="E72:S72" si="61">E30/E$23</f>
        <v>2.1377765359294497E-2</v>
      </c>
      <c r="F72" s="83">
        <f t="shared" si="61"/>
        <v>2.4214218574474426E-2</v>
      </c>
      <c r="G72" s="83">
        <f t="shared" si="61"/>
        <v>2.2159639943937114E-2</v>
      </c>
      <c r="H72" s="83">
        <f t="shared" si="61"/>
        <v>2.391007277157628E-2</v>
      </c>
      <c r="I72" s="83">
        <f t="shared" si="61"/>
        <v>2.4256736679126065E-2</v>
      </c>
      <c r="J72" s="83">
        <f t="shared" si="61"/>
        <v>2.4541940429655719E-2</v>
      </c>
      <c r="K72" s="83">
        <f t="shared" si="61"/>
        <v>2.2857440383213579E-2</v>
      </c>
      <c r="L72" s="83">
        <f t="shared" si="61"/>
        <v>2.3557189882033345E-2</v>
      </c>
      <c r="M72" s="83">
        <f t="shared" si="61"/>
        <v>2.4920252669801923E-2</v>
      </c>
      <c r="N72" s="83">
        <f t="shared" si="61"/>
        <v>2.6068436745704953E-2</v>
      </c>
      <c r="O72" s="83">
        <f t="shared" si="61"/>
        <v>2.5888172269623779E-2</v>
      </c>
      <c r="P72" s="83">
        <f t="shared" si="61"/>
        <v>2.7752007930052867E-2</v>
      </c>
      <c r="Q72" s="83">
        <f t="shared" si="61"/>
        <v>2.9636165134819478E-2</v>
      </c>
      <c r="R72" s="83">
        <f t="shared" si="61"/>
        <v>2.7511373416943319E-2</v>
      </c>
      <c r="S72" s="83">
        <f t="shared" si="61"/>
        <v>2.6199924386083467E-2</v>
      </c>
      <c r="T72" s="83">
        <f t="shared" ref="T72:Y72" si="62">T30/T$23</f>
        <v>2.515872290862585E-2</v>
      </c>
      <c r="U72" s="83">
        <f t="shared" si="62"/>
        <v>2.3299438051913299E-2</v>
      </c>
      <c r="V72" s="83">
        <f t="shared" si="62"/>
        <v>2.2369086168152266E-2</v>
      </c>
      <c r="W72" s="83">
        <f t="shared" si="62"/>
        <v>2.3441906123826309E-2</v>
      </c>
      <c r="X72" s="83">
        <f t="shared" si="62"/>
        <v>2.5735294117647058E-2</v>
      </c>
      <c r="Y72" s="83">
        <f t="shared" si="62"/>
        <v>2.2317119668827275E-2</v>
      </c>
    </row>
    <row r="73" spans="1:25" x14ac:dyDescent="0.25">
      <c r="A73" s="64" t="s">
        <v>37</v>
      </c>
      <c r="B73" s="65"/>
      <c r="C73" s="65"/>
      <c r="D73" s="83">
        <f t="shared" si="46"/>
        <v>6.5186426476749063E-2</v>
      </c>
      <c r="E73" s="83">
        <f t="shared" ref="E73:S73" si="63">E31/E$23</f>
        <v>6.1432275964842624E-2</v>
      </c>
      <c r="F73" s="83">
        <f t="shared" si="63"/>
        <v>5.8745042298081113E-2</v>
      </c>
      <c r="G73" s="83">
        <f t="shared" si="63"/>
        <v>6.0937921668654402E-2</v>
      </c>
      <c r="H73" s="83">
        <f t="shared" si="63"/>
        <v>6.0703348809641414E-2</v>
      </c>
      <c r="I73" s="83">
        <f t="shared" si="63"/>
        <v>6.475500852348258E-2</v>
      </c>
      <c r="J73" s="83">
        <f t="shared" si="63"/>
        <v>7.020506460023071E-2</v>
      </c>
      <c r="K73" s="83">
        <f t="shared" si="63"/>
        <v>7.9268848276580234E-2</v>
      </c>
      <c r="L73" s="83">
        <f t="shared" si="63"/>
        <v>8.272723713494938E-2</v>
      </c>
      <c r="M73" s="83">
        <f t="shared" si="63"/>
        <v>7.7471536822462911E-2</v>
      </c>
      <c r="N73" s="83">
        <f t="shared" si="63"/>
        <v>6.3429409815892859E-2</v>
      </c>
      <c r="O73" s="83">
        <f t="shared" si="63"/>
        <v>5.8622624024893301E-2</v>
      </c>
      <c r="P73" s="83">
        <f t="shared" si="63"/>
        <v>5.7816947946319641E-2</v>
      </c>
      <c r="Q73" s="83">
        <f t="shared" si="63"/>
        <v>5.2617046666328139E-2</v>
      </c>
      <c r="R73" s="83">
        <f t="shared" si="63"/>
        <v>5.693778433542359E-2</v>
      </c>
      <c r="S73" s="83">
        <f t="shared" si="63"/>
        <v>5.383175010493664E-2</v>
      </c>
      <c r="T73" s="83">
        <f t="shared" ref="T73:Y73" si="64">T31/T$23</f>
        <v>5.1893255989220545E-2</v>
      </c>
      <c r="U73" s="83">
        <f t="shared" si="64"/>
        <v>5.3585763981803584E-2</v>
      </c>
      <c r="V73" s="83">
        <f t="shared" si="64"/>
        <v>5.7247744073030467E-2</v>
      </c>
      <c r="W73" s="83">
        <f t="shared" si="64"/>
        <v>5.9713854888607282E-2</v>
      </c>
      <c r="X73" s="83">
        <f t="shared" si="64"/>
        <v>6.0252733292269774E-2</v>
      </c>
      <c r="Y73" s="83">
        <f t="shared" si="64"/>
        <v>6.1554550901465221E-2</v>
      </c>
    </row>
    <row r="74" spans="1:25" x14ac:dyDescent="0.25">
      <c r="A74" s="64" t="s">
        <v>58</v>
      </c>
      <c r="B74" s="65"/>
      <c r="C74" s="65"/>
      <c r="D74" s="83">
        <f t="shared" si="46"/>
        <v>0.23944281524926692</v>
      </c>
      <c r="E74" s="83">
        <f t="shared" ref="E74:S74" si="65">E32/E$23</f>
        <v>0.24164571047613448</v>
      </c>
      <c r="F74" s="83">
        <f t="shared" si="65"/>
        <v>0.24028978197574455</v>
      </c>
      <c r="G74" s="83">
        <f t="shared" si="65"/>
        <v>0.24191919631586739</v>
      </c>
      <c r="H74" s="83">
        <f t="shared" si="65"/>
        <v>0.23773420264085082</v>
      </c>
      <c r="I74" s="83">
        <f t="shared" si="65"/>
        <v>0.22846843183559845</v>
      </c>
      <c r="J74" s="83">
        <f t="shared" si="65"/>
        <v>0.22766473691632888</v>
      </c>
      <c r="K74" s="83">
        <f t="shared" si="65"/>
        <v>0.22700913776944706</v>
      </c>
      <c r="L74" s="83">
        <f t="shared" si="65"/>
        <v>0.21379459889231212</v>
      </c>
      <c r="M74" s="83">
        <f t="shared" si="65"/>
        <v>0.1907474184559908</v>
      </c>
      <c r="N74" s="83">
        <f t="shared" si="65"/>
        <v>0.19525139224131127</v>
      </c>
      <c r="O74" s="83">
        <f t="shared" si="65"/>
        <v>0.20227052256730829</v>
      </c>
      <c r="P74" s="83">
        <f t="shared" si="65"/>
        <v>0.20721393350955677</v>
      </c>
      <c r="Q74" s="83">
        <f t="shared" si="65"/>
        <v>0.21230576854719954</v>
      </c>
      <c r="R74" s="83">
        <f t="shared" si="65"/>
        <v>0.21714619451616871</v>
      </c>
      <c r="S74" s="83">
        <f t="shared" si="65"/>
        <v>0.22077477472113649</v>
      </c>
      <c r="T74" s="83">
        <f t="shared" ref="T74:Y74" si="66">T32/T$23</f>
        <v>0.22249754493342769</v>
      </c>
      <c r="U74" s="83">
        <f t="shared" si="66"/>
        <v>0.22661760770671666</v>
      </c>
      <c r="V74" s="83">
        <f t="shared" si="66"/>
        <v>0.22288508410616245</v>
      </c>
      <c r="W74" s="83">
        <f t="shared" si="66"/>
        <v>0.22587435194951996</v>
      </c>
      <c r="X74" s="83">
        <f t="shared" si="66"/>
        <v>0.22368003156760086</v>
      </c>
      <c r="Y74" s="83">
        <f t="shared" si="66"/>
        <v>0.21840623127621331</v>
      </c>
    </row>
    <row r="75" spans="1:25" x14ac:dyDescent="0.25">
      <c r="A75" s="85" t="s">
        <v>158</v>
      </c>
      <c r="B75" s="86"/>
      <c r="C75" s="86"/>
      <c r="D75" s="87">
        <f t="shared" si="46"/>
        <v>1.0536237955592795E-2</v>
      </c>
      <c r="E75" s="87">
        <f t="shared" ref="E75:S75" si="67">E33/E$23</f>
        <v>1.0171718211542327E-2</v>
      </c>
      <c r="F75" s="87">
        <f t="shared" si="67"/>
        <v>9.9085261010110285E-3</v>
      </c>
      <c r="G75" s="87">
        <f t="shared" si="67"/>
        <v>9.8501797668689231E-3</v>
      </c>
      <c r="H75" s="87">
        <f t="shared" si="67"/>
        <v>9.6809246270868309E-3</v>
      </c>
      <c r="I75" s="87">
        <f t="shared" si="67"/>
        <v>1.1612267559156099E-2</v>
      </c>
      <c r="J75" s="87">
        <f t="shared" si="67"/>
        <v>1.0717888821791593E-2</v>
      </c>
      <c r="K75" s="87">
        <f t="shared" si="67"/>
        <v>1.2242268041237113E-2</v>
      </c>
      <c r="L75" s="87">
        <f t="shared" si="67"/>
        <v>1.1558743897627717E-2</v>
      </c>
      <c r="M75" s="87">
        <f t="shared" si="67"/>
        <v>6.0046902777602662E-3</v>
      </c>
      <c r="N75" s="87">
        <f t="shared" si="67"/>
        <v>7.411614368876899E-3</v>
      </c>
      <c r="O75" s="87">
        <f t="shared" si="67"/>
        <v>9.2389131492575712E-3</v>
      </c>
      <c r="P75" s="87">
        <f t="shared" si="67"/>
        <v>8.8800071167141111E-3</v>
      </c>
      <c r="Q75" s="87">
        <f t="shared" si="67"/>
        <v>9.1466510942974661E-3</v>
      </c>
      <c r="R75" s="87">
        <f t="shared" si="67"/>
        <v>1.0589573343169803E-2</v>
      </c>
      <c r="S75" s="87">
        <f t="shared" si="67"/>
        <v>1.2699565666518815E-2</v>
      </c>
      <c r="T75" s="87">
        <f t="shared" ref="T75:Y75" si="68">T33/T$23</f>
        <v>1.2546532075730241E-2</v>
      </c>
      <c r="U75" s="87">
        <f t="shared" si="68"/>
        <v>1.2782981000802784E-2</v>
      </c>
      <c r="V75" s="87">
        <f t="shared" si="68"/>
        <v>1.2031610504136491E-2</v>
      </c>
      <c r="W75" s="87">
        <f t="shared" si="68"/>
        <v>1.2421803285264918E-2</v>
      </c>
      <c r="X75" s="87">
        <f t="shared" si="68"/>
        <v>1.0143979057591623E-2</v>
      </c>
      <c r="Y75" s="87">
        <f t="shared" si="68"/>
        <v>9.4732828585434945E-3</v>
      </c>
    </row>
    <row r="76" spans="1:25" x14ac:dyDescent="0.25">
      <c r="A76" s="88" t="s">
        <v>5</v>
      </c>
      <c r="B76" s="44"/>
      <c r="C76" s="44"/>
      <c r="D76" s="89">
        <f t="shared" si="46"/>
        <v>6.8279794131800575E-3</v>
      </c>
      <c r="E76" s="89">
        <f t="shared" ref="E76:S76" si="69">E34/E$23</f>
        <v>6.5917534169027897E-3</v>
      </c>
      <c r="F76" s="89">
        <f t="shared" si="69"/>
        <v>6.4211925089209037E-3</v>
      </c>
      <c r="G76" s="89">
        <f t="shared" si="69"/>
        <v>6.3833813309619484E-3</v>
      </c>
      <c r="H76" s="89">
        <f t="shared" si="69"/>
        <v>6.2736960130260911E-3</v>
      </c>
      <c r="I76" s="89">
        <f t="shared" si="69"/>
        <v>7.5252973754421516E-3</v>
      </c>
      <c r="J76" s="89">
        <f t="shared" si="69"/>
        <v>6.9456977468034288E-3</v>
      </c>
      <c r="K76" s="89">
        <f t="shared" si="69"/>
        <v>7.9335674183239491E-3</v>
      </c>
      <c r="L76" s="89">
        <f t="shared" si="69"/>
        <v>7.49061151692471E-3</v>
      </c>
      <c r="M76" s="89">
        <f t="shared" si="69"/>
        <v>2.809897679523385E-3</v>
      </c>
      <c r="N76" s="89">
        <f t="shared" si="69"/>
        <v>4.7213075290263246E-3</v>
      </c>
      <c r="O76" s="89">
        <f t="shared" si="69"/>
        <v>6.0847409442463087E-3</v>
      </c>
      <c r="P76" s="89">
        <f t="shared" si="69"/>
        <v>5.5647243012892028E-3</v>
      </c>
      <c r="Q76" s="89">
        <f t="shared" si="69"/>
        <v>5.4722661184221444E-3</v>
      </c>
      <c r="R76" s="89">
        <f t="shared" si="69"/>
        <v>6.1593883398444026E-3</v>
      </c>
      <c r="S76" s="89">
        <f t="shared" si="69"/>
        <v>6.7984682553603104E-3</v>
      </c>
      <c r="T76" s="89">
        <f t="shared" ref="T76:Y76" si="70">T34/T$23</f>
        <v>5.6332037692882649E-3</v>
      </c>
      <c r="U76" s="89">
        <f t="shared" si="70"/>
        <v>6.1009578365523792E-3</v>
      </c>
      <c r="V76" s="89">
        <f t="shared" si="70"/>
        <v>5.7951774253408783E-3</v>
      </c>
      <c r="W76" s="89">
        <f t="shared" si="70"/>
        <v>6.3043496298447787E-3</v>
      </c>
      <c r="X76" s="89">
        <f t="shared" si="70"/>
        <v>4.2288138131894087E-3</v>
      </c>
      <c r="Y76" s="89">
        <f t="shared" si="70"/>
        <v>5.9065086828485516E-3</v>
      </c>
    </row>
    <row r="77" spans="1:25" x14ac:dyDescent="0.25">
      <c r="A77" s="88" t="s">
        <v>269</v>
      </c>
      <c r="B77" s="44"/>
      <c r="C77" s="44"/>
      <c r="D77" s="89">
        <f>D37/D$23</f>
        <v>3.708258542412737E-3</v>
      </c>
      <c r="E77" s="89">
        <f t="shared" ref="E77:S77" si="71">E37/E$23</f>
        <v>3.5799647946395362E-3</v>
      </c>
      <c r="F77" s="89">
        <f t="shared" si="71"/>
        <v>3.4873335920901243E-3</v>
      </c>
      <c r="G77" s="89">
        <f t="shared" si="71"/>
        <v>3.4667984359069747E-3</v>
      </c>
      <c r="H77" s="89">
        <f t="shared" si="71"/>
        <v>3.4072286140607402E-3</v>
      </c>
      <c r="I77" s="89">
        <f t="shared" si="71"/>
        <v>4.0869701837139465E-3</v>
      </c>
      <c r="J77" s="89">
        <f t="shared" si="71"/>
        <v>3.7721910749881644E-3</v>
      </c>
      <c r="K77" s="89">
        <f t="shared" si="71"/>
        <v>4.3087006229131633E-3</v>
      </c>
      <c r="L77" s="89">
        <f t="shared" si="71"/>
        <v>4.0681323807030068E-3</v>
      </c>
      <c r="M77" s="89">
        <f t="shared" si="71"/>
        <v>3.1947925982368812E-3</v>
      </c>
      <c r="N77" s="89">
        <f t="shared" si="71"/>
        <v>2.6903068398505744E-3</v>
      </c>
      <c r="O77" s="89">
        <f t="shared" si="71"/>
        <v>3.1541722050112625E-3</v>
      </c>
      <c r="P77" s="89">
        <f t="shared" si="71"/>
        <v>3.3152828154249083E-3</v>
      </c>
      <c r="Q77" s="89">
        <f t="shared" si="71"/>
        <v>3.6743849758753221E-3</v>
      </c>
      <c r="R77" s="89">
        <f t="shared" si="71"/>
        <v>4.4301850033253995E-3</v>
      </c>
      <c r="S77" s="89">
        <f t="shared" si="71"/>
        <v>5.9010974111585041E-3</v>
      </c>
      <c r="T77" s="89">
        <f t="shared" ref="T77:Y77" si="72">T37/T$23</f>
        <v>6.9133283064419741E-3</v>
      </c>
      <c r="U77" s="89">
        <f t="shared" si="72"/>
        <v>6.6820231642504037E-3</v>
      </c>
      <c r="V77" s="89">
        <f t="shared" si="72"/>
        <v>6.2364330787956137E-3</v>
      </c>
      <c r="W77" s="89">
        <f t="shared" si="72"/>
        <v>6.1174536554201384E-3</v>
      </c>
      <c r="X77" s="89">
        <f t="shared" si="72"/>
        <v>5.9151652444022146E-3</v>
      </c>
      <c r="Y77" s="89">
        <f t="shared" si="72"/>
        <v>3.5667741756949438E-3</v>
      </c>
    </row>
    <row r="78" spans="1:25" x14ac:dyDescent="0.25">
      <c r="A78" s="68" t="s">
        <v>271</v>
      </c>
      <c r="B78" s="44"/>
      <c r="C78" s="44"/>
      <c r="D78" s="89">
        <f>D43/D$23</f>
        <v>3.1697737746124846E-2</v>
      </c>
      <c r="E78" s="89">
        <f t="shared" ref="E78:S78" si="73">E43/E$23</f>
        <v>3.2172041745711949E-2</v>
      </c>
      <c r="F78" s="89">
        <f t="shared" si="73"/>
        <v>3.2384969852587181E-2</v>
      </c>
      <c r="G78" s="89">
        <f t="shared" si="73"/>
        <v>3.8612878794473796E-2</v>
      </c>
      <c r="H78" s="89">
        <f t="shared" si="73"/>
        <v>3.8703118311436004E-2</v>
      </c>
      <c r="I78" s="89">
        <f t="shared" si="73"/>
        <v>3.5399821710639497E-2</v>
      </c>
      <c r="J78" s="89">
        <f t="shared" si="73"/>
        <v>3.9722000238657448E-2</v>
      </c>
      <c r="K78" s="89">
        <f t="shared" si="73"/>
        <v>3.6834192439862544E-2</v>
      </c>
      <c r="L78" s="89">
        <f t="shared" si="73"/>
        <v>3.3110169466002891E-2</v>
      </c>
      <c r="M78" s="89">
        <f t="shared" si="73"/>
        <v>3.2986395672840514E-2</v>
      </c>
      <c r="N78" s="89">
        <f t="shared" si="73"/>
        <v>3.5101834761070885E-2</v>
      </c>
      <c r="O78" s="89">
        <f t="shared" si="73"/>
        <v>3.6664321555087906E-2</v>
      </c>
      <c r="P78" s="89">
        <f t="shared" si="73"/>
        <v>3.7801189507930051E-2</v>
      </c>
      <c r="Q78" s="89">
        <f t="shared" si="73"/>
        <v>4.0395064236022953E-2</v>
      </c>
      <c r="R78" s="89">
        <f t="shared" si="73"/>
        <v>3.9640968892167713E-2</v>
      </c>
      <c r="S78" s="89">
        <f t="shared" si="73"/>
        <v>3.6773964997305883E-2</v>
      </c>
      <c r="T78" s="89">
        <f t="shared" ref="T78:Y78" si="74">T43/T$23</f>
        <v>3.2843652225546402E-2</v>
      </c>
      <c r="U78" s="89">
        <f t="shared" si="74"/>
        <v>3.6189456783516191E-2</v>
      </c>
      <c r="V78" s="89">
        <f t="shared" si="74"/>
        <v>3.6057295289954806E-2</v>
      </c>
      <c r="W78" s="89">
        <f t="shared" si="74"/>
        <v>3.8955001640036714E-2</v>
      </c>
      <c r="X78" s="89">
        <f t="shared" si="74"/>
        <v>4.3987719433323073E-2</v>
      </c>
      <c r="Y78" s="89">
        <f t="shared" si="74"/>
        <v>3.9309330573560647E-2</v>
      </c>
    </row>
    <row r="79" spans="1:25" x14ac:dyDescent="0.25">
      <c r="A79" s="88" t="s">
        <v>272</v>
      </c>
      <c r="B79" s="44"/>
      <c r="C79" s="44"/>
      <c r="D79" s="89">
        <f>D44/D$23</f>
        <v>1.2143904482614159E-2</v>
      </c>
      <c r="E79" s="89">
        <f t="shared" ref="E79:S79" si="75">E44/E$23</f>
        <v>1.2196257788104729E-2</v>
      </c>
      <c r="F79" s="89">
        <f t="shared" si="75"/>
        <v>1.2182764391664182E-2</v>
      </c>
      <c r="G79" s="89">
        <f t="shared" si="75"/>
        <v>1.2392161642189934E-2</v>
      </c>
      <c r="H79" s="89">
        <f t="shared" si="75"/>
        <v>1.2426322895057459E-2</v>
      </c>
      <c r="I79" s="89">
        <f t="shared" si="75"/>
        <v>1.1530160616818629E-2</v>
      </c>
      <c r="J79" s="89">
        <f t="shared" si="75"/>
        <v>1.1285604255334538E-2</v>
      </c>
      <c r="K79" s="89">
        <f t="shared" si="75"/>
        <v>1.0771373529105489E-2</v>
      </c>
      <c r="L79" s="89">
        <f t="shared" si="75"/>
        <v>9.354210147480899E-3</v>
      </c>
      <c r="M79" s="89">
        <f t="shared" si="75"/>
        <v>9.47826964053812E-3</v>
      </c>
      <c r="N79" s="89">
        <f t="shared" si="75"/>
        <v>1.0327038667234606E-2</v>
      </c>
      <c r="O79" s="89">
        <f t="shared" si="75"/>
        <v>1.1343315037330663E-2</v>
      </c>
      <c r="P79" s="89">
        <f t="shared" si="75"/>
        <v>1.1536066490443269E-2</v>
      </c>
      <c r="Q79" s="89">
        <f t="shared" si="75"/>
        <v>1.1926826791245619E-2</v>
      </c>
      <c r="R79" s="89">
        <f t="shared" si="75"/>
        <v>1.2516906430591418E-2</v>
      </c>
      <c r="S79" s="89">
        <f t="shared" si="75"/>
        <v>1.1095002634579377E-2</v>
      </c>
      <c r="T79" s="89">
        <f t="shared" ref="T79:Y79" si="76">T44/T$23</f>
        <v>1.0342681617831776E-2</v>
      </c>
      <c r="U79" s="89">
        <f t="shared" si="76"/>
        <v>1.0436178753010436E-2</v>
      </c>
      <c r="V79" s="89">
        <f t="shared" si="76"/>
        <v>9.6918526377954718E-3</v>
      </c>
      <c r="W79" s="89">
        <f t="shared" si="76"/>
        <v>9.6868355786497891E-3</v>
      </c>
      <c r="X79" s="89">
        <f t="shared" si="76"/>
        <v>1.0711810902371419E-2</v>
      </c>
      <c r="Y79" s="89">
        <f t="shared" si="76"/>
        <v>1.0503840078435644E-2</v>
      </c>
    </row>
    <row r="80" spans="1:25" x14ac:dyDescent="0.25">
      <c r="A80" s="88" t="s">
        <v>11</v>
      </c>
      <c r="B80" s="44"/>
      <c r="C80" s="44"/>
      <c r="D80" s="89">
        <f>D47/D$23</f>
        <v>1.9553833263510682E-2</v>
      </c>
      <c r="E80" s="89">
        <f t="shared" ref="E80:S80" si="77">E47/E$23</f>
        <v>1.9975783957607223E-2</v>
      </c>
      <c r="F80" s="89">
        <f t="shared" si="77"/>
        <v>2.0202205460922995E-2</v>
      </c>
      <c r="G80" s="89">
        <f t="shared" si="77"/>
        <v>2.6220717152283867E-2</v>
      </c>
      <c r="H80" s="89">
        <f t="shared" si="77"/>
        <v>2.6276795416378545E-2</v>
      </c>
      <c r="I80" s="89">
        <f t="shared" si="77"/>
        <v>2.3869661093820868E-2</v>
      </c>
      <c r="J80" s="89">
        <f t="shared" si="77"/>
        <v>2.8436395983322905E-2</v>
      </c>
      <c r="K80" s="89">
        <f t="shared" si="77"/>
        <v>2.6062818910757055E-2</v>
      </c>
      <c r="L80" s="89">
        <f t="shared" si="77"/>
        <v>2.3755959318521997E-2</v>
      </c>
      <c r="M80" s="89">
        <f t="shared" si="77"/>
        <v>2.3508126032302398E-2</v>
      </c>
      <c r="N80" s="89">
        <f t="shared" si="77"/>
        <v>2.4774796093836274E-2</v>
      </c>
      <c r="O80" s="89">
        <f t="shared" si="77"/>
        <v>2.5321006517757247E-2</v>
      </c>
      <c r="P80" s="89">
        <f t="shared" si="77"/>
        <v>2.6265123017486784E-2</v>
      </c>
      <c r="Q80" s="89">
        <f t="shared" si="77"/>
        <v>2.8468237444777333E-2</v>
      </c>
      <c r="R80" s="89">
        <f t="shared" si="77"/>
        <v>2.7124062461576299E-2</v>
      </c>
      <c r="S80" s="89">
        <f t="shared" si="77"/>
        <v>2.5678962362726508E-2</v>
      </c>
      <c r="T80" s="89">
        <f t="shared" ref="T80:Y80" si="78">T47/T$23</f>
        <v>2.250097060771462E-2</v>
      </c>
      <c r="U80" s="89">
        <f t="shared" si="78"/>
        <v>2.5753278030505752E-2</v>
      </c>
      <c r="V80" s="89">
        <f t="shared" si="78"/>
        <v>2.6365442652159329E-2</v>
      </c>
      <c r="W80" s="89">
        <f t="shared" si="78"/>
        <v>2.9268166061386925E-2</v>
      </c>
      <c r="X80" s="89">
        <f t="shared" si="78"/>
        <v>3.3275908530951651E-2</v>
      </c>
      <c r="Y80" s="89">
        <f t="shared" si="78"/>
        <v>2.8805490495125007E-2</v>
      </c>
    </row>
    <row r="81" spans="1:25" x14ac:dyDescent="0.25">
      <c r="A81" s="68" t="s">
        <v>4</v>
      </c>
      <c r="B81" s="44"/>
      <c r="C81" s="44"/>
      <c r="D81" s="89">
        <f>D48/D$23</f>
        <v>1.1326979472140763E-2</v>
      </c>
      <c r="E81" s="89">
        <f t="shared" ref="E81:S81" si="79">E48/E$23</f>
        <v>1.1225655279244302E-2</v>
      </c>
      <c r="F81" s="89">
        <f t="shared" si="79"/>
        <v>1.0490841147206491E-2</v>
      </c>
      <c r="G81" s="89">
        <f t="shared" si="79"/>
        <v>1.1134228830601283E-2</v>
      </c>
      <c r="H81" s="89">
        <f t="shared" si="79"/>
        <v>1.0961012874971187E-2</v>
      </c>
      <c r="I81" s="89">
        <f t="shared" si="79"/>
        <v>1.0716910902238001E-2</v>
      </c>
      <c r="J81" s="89">
        <f t="shared" si="79"/>
        <v>1.132176447403154E-2</v>
      </c>
      <c r="K81" s="89">
        <f t="shared" si="79"/>
        <v>1.102520045819015E-2</v>
      </c>
      <c r="L81" s="89">
        <f t="shared" si="79"/>
        <v>1.0004728303261927E-2</v>
      </c>
      <c r="M81" s="89">
        <f t="shared" si="79"/>
        <v>7.9211478572239116E-3</v>
      </c>
      <c r="N81" s="89">
        <f t="shared" si="79"/>
        <v>8.0868316847303081E-3</v>
      </c>
      <c r="O81" s="89">
        <f t="shared" si="79"/>
        <v>7.3638569750540048E-3</v>
      </c>
      <c r="P81" s="89">
        <f t="shared" si="79"/>
        <v>7.7616663277755189E-3</v>
      </c>
      <c r="Q81" s="89">
        <f t="shared" si="79"/>
        <v>8.178667546844055E-3</v>
      </c>
      <c r="R81" s="89">
        <f t="shared" si="79"/>
        <v>8.4962498463051778E-3</v>
      </c>
      <c r="S81" s="89">
        <f t="shared" si="79"/>
        <v>8.9307775432621757E-3</v>
      </c>
      <c r="T81" s="89">
        <f t="shared" ref="T81:Y81" si="80">T48/T$23</f>
        <v>8.8639322173247742E-3</v>
      </c>
      <c r="U81" s="89">
        <f t="shared" si="80"/>
        <v>8.4452769601284453E-3</v>
      </c>
      <c r="V81" s="89">
        <f t="shared" si="80"/>
        <v>8.6258239200828792E-3</v>
      </c>
      <c r="W81" s="89">
        <f t="shared" si="80"/>
        <v>8.7004537828213862E-3</v>
      </c>
      <c r="X81" s="89">
        <f t="shared" si="80"/>
        <v>8.3514590391130274E-3</v>
      </c>
      <c r="Y81" s="89">
        <f t="shared" si="80"/>
        <v>8.340323547034156E-3</v>
      </c>
    </row>
    <row r="82" spans="1:25" x14ac:dyDescent="0.25">
      <c r="A82" s="68" t="s">
        <v>3</v>
      </c>
      <c r="B82" s="44"/>
      <c r="C82" s="44"/>
      <c r="D82" s="89">
        <f>D52/D$23</f>
        <v>1.5107875994972772E-2</v>
      </c>
      <c r="E82" s="89">
        <f t="shared" ref="E82:S82" si="81">E52/E$23</f>
        <v>1.594141090310152E-2</v>
      </c>
      <c r="F82" s="89">
        <f t="shared" si="81"/>
        <v>1.6272725188564617E-2</v>
      </c>
      <c r="G82" s="89">
        <f t="shared" si="81"/>
        <v>1.3680563414612917E-2</v>
      </c>
      <c r="H82" s="89">
        <f t="shared" si="81"/>
        <v>1.372699133985314E-2</v>
      </c>
      <c r="I82" s="89">
        <f t="shared" si="81"/>
        <v>1.2632739556778906E-2</v>
      </c>
      <c r="J82" s="89">
        <f t="shared" si="81"/>
        <v>1.1603814179868163E-2</v>
      </c>
      <c r="K82" s="89">
        <f t="shared" si="81"/>
        <v>1.1431974383005311E-2</v>
      </c>
      <c r="L82" s="89">
        <f t="shared" si="81"/>
        <v>1.0107124679634868E-2</v>
      </c>
      <c r="M82" s="89">
        <f t="shared" si="81"/>
        <v>1.0925069030297682E-2</v>
      </c>
      <c r="N82" s="89">
        <f t="shared" si="81"/>
        <v>9.0270875731616879E-3</v>
      </c>
      <c r="O82" s="89">
        <f t="shared" si="81"/>
        <v>9.2946999445231281E-3</v>
      </c>
      <c r="P82" s="89">
        <f t="shared" si="81"/>
        <v>9.486834078893858E-3</v>
      </c>
      <c r="Q82" s="89">
        <f t="shared" si="81"/>
        <v>9.565581678769107E-3</v>
      </c>
      <c r="R82" s="89">
        <f t="shared" si="81"/>
        <v>1.0211484077216278E-2</v>
      </c>
      <c r="S82" s="89">
        <f t="shared" si="81"/>
        <v>9.8953015179344909E-3</v>
      </c>
      <c r="T82" s="89">
        <f t="shared" ref="T82:Y82" si="82">T52/T$23</f>
        <v>9.723205517619387E-3</v>
      </c>
      <c r="U82" s="89">
        <f t="shared" si="82"/>
        <v>9.2534118276692522E-3</v>
      </c>
      <c r="V82" s="89">
        <f t="shared" si="82"/>
        <v>8.5132152527188729E-3</v>
      </c>
      <c r="W82" s="89">
        <f t="shared" si="82"/>
        <v>9.0544185420899509E-3</v>
      </c>
      <c r="X82" s="89">
        <f t="shared" si="82"/>
        <v>9.039594240837695E-3</v>
      </c>
      <c r="Y82" s="89">
        <f t="shared" si="82"/>
        <v>7.575576011765347E-3</v>
      </c>
    </row>
    <row r="83" spans="1:25" x14ac:dyDescent="0.25">
      <c r="A83" s="88" t="s">
        <v>21</v>
      </c>
      <c r="B83" s="44"/>
      <c r="C83" s="44"/>
      <c r="D83" s="89">
        <f>D53/D$23</f>
        <v>8.0435693338919145E-3</v>
      </c>
      <c r="E83" s="89">
        <f t="shared" ref="E83:S83" si="83">E53/E$23</f>
        <v>8.740324612616852E-3</v>
      </c>
      <c r="F83" s="89">
        <f t="shared" si="83"/>
        <v>8.6705334831151566E-3</v>
      </c>
      <c r="G83" s="89">
        <f t="shared" si="83"/>
        <v>7.1471476699950373E-3</v>
      </c>
      <c r="H83" s="89">
        <f t="shared" si="83"/>
        <v>7.240113273403799E-3</v>
      </c>
      <c r="I83" s="89">
        <f t="shared" si="83"/>
        <v>6.6741214557169901E-3</v>
      </c>
      <c r="J83" s="89">
        <f t="shared" si="83"/>
        <v>5.7205465978658237E-3</v>
      </c>
      <c r="K83" s="89">
        <f t="shared" si="83"/>
        <v>5.8217484119545979E-3</v>
      </c>
      <c r="L83" s="89">
        <f t="shared" si="83"/>
        <v>4.7433615525699973E-3</v>
      </c>
      <c r="M83" s="89">
        <f t="shared" si="83"/>
        <v>6.0740357822803327E-3</v>
      </c>
      <c r="N83" s="89">
        <f t="shared" si="83"/>
        <v>4.6034675879912286E-3</v>
      </c>
      <c r="O83" s="89">
        <f t="shared" si="83"/>
        <v>4.8007636592418577E-3</v>
      </c>
      <c r="P83" s="89">
        <f t="shared" si="83"/>
        <v>5.0357106547376978E-3</v>
      </c>
      <c r="Q83" s="89">
        <f t="shared" si="83"/>
        <v>5.2334585893464682E-3</v>
      </c>
      <c r="R83" s="89">
        <f t="shared" si="83"/>
        <v>5.7912209516783478E-3</v>
      </c>
      <c r="S83" s="89">
        <f t="shared" si="83"/>
        <v>5.4418204496944197E-3</v>
      </c>
      <c r="T83" s="89">
        <f t="shared" ref="T83:Y83" si="84">T53/T$23</f>
        <v>5.3811633589878278E-3</v>
      </c>
      <c r="U83" s="89">
        <f t="shared" si="84"/>
        <v>5.0949959860850953E-3</v>
      </c>
      <c r="V83" s="89">
        <f t="shared" si="84"/>
        <v>4.6269650212455021E-3</v>
      </c>
      <c r="W83" s="89">
        <f t="shared" si="84"/>
        <v>5.2080014913715193E-3</v>
      </c>
      <c r="X83" s="89">
        <f t="shared" si="84"/>
        <v>5.519518016630736E-3</v>
      </c>
      <c r="Y83" s="89">
        <f t="shared" si="84"/>
        <v>4.0568658423661419E-3</v>
      </c>
    </row>
    <row r="84" spans="1:25" x14ac:dyDescent="0.25">
      <c r="A84" s="88" t="s">
        <v>16</v>
      </c>
      <c r="B84" s="44"/>
      <c r="C84" s="44"/>
      <c r="D84" s="89">
        <f t="shared" ref="D84:D90" si="85">D56/D$23</f>
        <v>7.064306661080857E-3</v>
      </c>
      <c r="E84" s="89">
        <f t="shared" ref="E84:S84" si="86">E56/E$23</f>
        <v>7.2010862904846665E-3</v>
      </c>
      <c r="F84" s="89">
        <f t="shared" si="86"/>
        <v>7.6021917054494622E-3</v>
      </c>
      <c r="G84" s="89">
        <f t="shared" si="86"/>
        <v>6.5334157446178785E-3</v>
      </c>
      <c r="H84" s="89">
        <f t="shared" si="86"/>
        <v>6.4868780664493406E-3</v>
      </c>
      <c r="I84" s="89">
        <f t="shared" si="86"/>
        <v>5.9586181010619164E-3</v>
      </c>
      <c r="J84" s="89">
        <f t="shared" si="86"/>
        <v>5.883267582002338E-3</v>
      </c>
      <c r="K84" s="89">
        <f t="shared" si="86"/>
        <v>5.6102259710507137E-3</v>
      </c>
      <c r="L84" s="89">
        <f t="shared" si="86"/>
        <v>5.3637631270648696E-3</v>
      </c>
      <c r="M84" s="89">
        <f t="shared" si="86"/>
        <v>4.85103324801735E-3</v>
      </c>
      <c r="N84" s="89">
        <f t="shared" si="86"/>
        <v>4.4236199851704593E-3</v>
      </c>
      <c r="O84" s="89">
        <f t="shared" si="86"/>
        <v>4.4939362852812704E-3</v>
      </c>
      <c r="P84" s="89">
        <f t="shared" si="86"/>
        <v>4.4511234241561603E-3</v>
      </c>
      <c r="Q84" s="89">
        <f t="shared" si="86"/>
        <v>4.3321230894226379E-3</v>
      </c>
      <c r="R84" s="89">
        <f t="shared" si="86"/>
        <v>4.4202631255379297E-3</v>
      </c>
      <c r="S84" s="89">
        <f t="shared" si="86"/>
        <v>4.453481068240072E-3</v>
      </c>
      <c r="T84" s="89">
        <f t="shared" ref="T84:Y84" si="87">T56/T$23</f>
        <v>4.3420421586315584E-3</v>
      </c>
      <c r="U84" s="89">
        <f t="shared" si="87"/>
        <v>4.1584158415841578E-3</v>
      </c>
      <c r="V84" s="89">
        <f t="shared" si="87"/>
        <v>3.8862502314733708E-3</v>
      </c>
      <c r="W84" s="89">
        <f t="shared" si="87"/>
        <v>3.8464170507184312E-3</v>
      </c>
      <c r="X84" s="89">
        <f t="shared" si="87"/>
        <v>3.5200762242069594E-3</v>
      </c>
      <c r="Y84" s="89">
        <f t="shared" si="87"/>
        <v>3.5187101693992051E-3</v>
      </c>
    </row>
    <row r="85" spans="1:25" x14ac:dyDescent="0.25">
      <c r="A85" s="68" t="s">
        <v>2</v>
      </c>
      <c r="B85" s="44"/>
      <c r="C85" s="44"/>
      <c r="D85" s="89">
        <f t="shared" si="85"/>
        <v>2.6408671973188101E-2</v>
      </c>
      <c r="E85" s="89">
        <f t="shared" ref="E85:S85" si="88">E57/E$23</f>
        <v>2.5975872194198935E-2</v>
      </c>
      <c r="F85" s="89">
        <f t="shared" si="88"/>
        <v>2.4856140672642659E-2</v>
      </c>
      <c r="G85" s="89">
        <f t="shared" si="88"/>
        <v>2.3809316537681396E-2</v>
      </c>
      <c r="H85" s="89">
        <f t="shared" si="88"/>
        <v>2.0703678092791993E-2</v>
      </c>
      <c r="I85" s="89">
        <f t="shared" si="88"/>
        <v>1.8536619696282512E-2</v>
      </c>
      <c r="J85" s="89">
        <f t="shared" si="88"/>
        <v>1.7335208843343084E-2</v>
      </c>
      <c r="K85" s="89">
        <f t="shared" si="88"/>
        <v>1.6345803394772467E-2</v>
      </c>
      <c r="L85" s="89">
        <f t="shared" si="88"/>
        <v>1.4154793204494597E-2</v>
      </c>
      <c r="M85" s="89">
        <f t="shared" si="88"/>
        <v>1.6148046348013562E-2</v>
      </c>
      <c r="N85" s="89">
        <f t="shared" si="88"/>
        <v>1.4602363260605487E-2</v>
      </c>
      <c r="O85" s="89">
        <f t="shared" si="88"/>
        <v>1.4259724723158028E-2</v>
      </c>
      <c r="P85" s="89">
        <f t="shared" si="88"/>
        <v>1.4436762911752745E-2</v>
      </c>
      <c r="Q85" s="89">
        <f t="shared" si="88"/>
        <v>1.4849819732900015E-2</v>
      </c>
      <c r="R85" s="89">
        <f t="shared" si="88"/>
        <v>1.528648715111275E-2</v>
      </c>
      <c r="S85" s="89">
        <f t="shared" si="88"/>
        <v>1.5509783666798645E-2</v>
      </c>
      <c r="T85" s="89">
        <f t="shared" ref="T85:Y85" si="89">T57/T$23</f>
        <v>1.5623929476785346E-2</v>
      </c>
      <c r="U85" s="89">
        <f t="shared" si="89"/>
        <v>1.5188654000535188E-2</v>
      </c>
      <c r="V85" s="89">
        <f t="shared" si="89"/>
        <v>1.580775448307617E-2</v>
      </c>
      <c r="W85" s="89">
        <f t="shared" si="89"/>
        <v>1.6202146914253215E-2</v>
      </c>
      <c r="X85" s="89">
        <f t="shared" si="89"/>
        <v>1.6195237911918695E-2</v>
      </c>
      <c r="Y85" s="89">
        <f t="shared" si="89"/>
        <v>1.5316738384443598E-2</v>
      </c>
    </row>
    <row r="86" spans="1:25" x14ac:dyDescent="0.25">
      <c r="A86" s="68" t="s">
        <v>275</v>
      </c>
      <c r="B86" s="44"/>
      <c r="C86" s="44"/>
      <c r="D86" s="89">
        <f t="shared" si="85"/>
        <v>1.1447423544197739E-2</v>
      </c>
      <c r="E86" s="89">
        <f t="shared" ref="E86:S86" si="90">E58/E$23</f>
        <v>1.2284494379819311E-2</v>
      </c>
      <c r="F86" s="89">
        <f t="shared" si="90"/>
        <v>1.2224030812260714E-2</v>
      </c>
      <c r="G86" s="89">
        <f t="shared" si="90"/>
        <v>1.2531448320289714E-2</v>
      </c>
      <c r="H86" s="89">
        <f t="shared" si="90"/>
        <v>1.3759919654911258E-2</v>
      </c>
      <c r="I86" s="89">
        <f t="shared" si="90"/>
        <v>1.4951283214213105E-2</v>
      </c>
      <c r="J86" s="89">
        <f t="shared" si="90"/>
        <v>1.5664606739541561E-2</v>
      </c>
      <c r="K86" s="89">
        <f t="shared" si="90"/>
        <v>1.7003150057273771E-2</v>
      </c>
      <c r="L86" s="89">
        <f t="shared" si="90"/>
        <v>1.7467617145972055E-2</v>
      </c>
      <c r="M86" s="89">
        <f t="shared" si="90"/>
        <v>1.5820231235736892E-2</v>
      </c>
      <c r="N86" s="89">
        <f t="shared" si="90"/>
        <v>1.7628220297537352E-2</v>
      </c>
      <c r="O86" s="89">
        <f t="shared" si="90"/>
        <v>1.835695490877309E-2</v>
      </c>
      <c r="P86" s="89">
        <f t="shared" si="90"/>
        <v>1.9555078283855224E-2</v>
      </c>
      <c r="Q86" s="89">
        <f t="shared" si="90"/>
        <v>1.841390341745798E-2</v>
      </c>
      <c r="R86" s="89">
        <f t="shared" si="90"/>
        <v>1.8925980572974305E-2</v>
      </c>
      <c r="S86" s="89">
        <f t="shared" si="90"/>
        <v>1.8334886296317247E-2</v>
      </c>
      <c r="T86" s="89">
        <f t="shared" ref="T86:Y86" si="91">T58/T$23</f>
        <v>1.8007627834745469E-2</v>
      </c>
      <c r="U86" s="89">
        <f t="shared" si="91"/>
        <v>1.9676210864329677E-2</v>
      </c>
      <c r="V86" s="89">
        <f t="shared" si="91"/>
        <v>1.9696507129379849E-2</v>
      </c>
      <c r="W86" s="89">
        <f t="shared" si="91"/>
        <v>1.869877834962751E-2</v>
      </c>
      <c r="X86" s="89">
        <f t="shared" si="91"/>
        <v>1.7504138435478905E-2</v>
      </c>
      <c r="Y86" s="89">
        <f t="shared" si="91"/>
        <v>1.7112043139604554E-2</v>
      </c>
    </row>
    <row r="87" spans="1:25" x14ac:dyDescent="0.25">
      <c r="A87" s="68" t="s">
        <v>276</v>
      </c>
      <c r="B87" s="44"/>
      <c r="C87" s="44"/>
      <c r="D87" s="89">
        <f t="shared" si="85"/>
        <v>7.4643904482614168E-2</v>
      </c>
      <c r="E87" s="89">
        <f t="shared" ref="E87:S87" si="92">E59/E$23</f>
        <v>7.5373657455746895E-2</v>
      </c>
      <c r="F87" s="89">
        <f t="shared" si="92"/>
        <v>7.6264930420229721E-2</v>
      </c>
      <c r="G87" s="89">
        <f t="shared" si="92"/>
        <v>7.7804667844799821E-2</v>
      </c>
      <c r="H87" s="89">
        <f t="shared" si="92"/>
        <v>7.7109881787348927E-2</v>
      </c>
      <c r="I87" s="89">
        <f t="shared" si="92"/>
        <v>7.4467086845685856E-2</v>
      </c>
      <c r="J87" s="89">
        <f t="shared" si="92"/>
        <v>7.387894281984618E-2</v>
      </c>
      <c r="K87" s="89">
        <f t="shared" si="92"/>
        <v>7.546469853170884E-2</v>
      </c>
      <c r="L87" s="89">
        <f t="shared" si="92"/>
        <v>7.5619723951415918E-2</v>
      </c>
      <c r="M87" s="89">
        <f t="shared" si="92"/>
        <v>6.3548850755865999E-2</v>
      </c>
      <c r="N87" s="89">
        <f t="shared" si="92"/>
        <v>6.7228296022843803E-2</v>
      </c>
      <c r="O87" s="89">
        <f t="shared" si="92"/>
        <v>6.9429765974393862E-2</v>
      </c>
      <c r="P87" s="89">
        <f t="shared" si="92"/>
        <v>7.2701682594550648E-2</v>
      </c>
      <c r="Q87" s="89">
        <f t="shared" si="92"/>
        <v>7.4395089625755348E-2</v>
      </c>
      <c r="R87" s="89">
        <f t="shared" si="92"/>
        <v>7.4757162178777828E-2</v>
      </c>
      <c r="S87" s="89">
        <f t="shared" si="92"/>
        <v>7.9510712467663155E-2</v>
      </c>
      <c r="T87" s="89">
        <f t="shared" ref="T87:Y87" si="93">T59/T$23</f>
        <v>8.3135405485646435E-2</v>
      </c>
      <c r="U87" s="89">
        <f t="shared" si="93"/>
        <v>8.2788332887342775E-2</v>
      </c>
      <c r="V87" s="89">
        <f t="shared" si="93"/>
        <v>8.0915583538114275E-2</v>
      </c>
      <c r="W87" s="89">
        <f t="shared" si="93"/>
        <v>8.1105125173737705E-2</v>
      </c>
      <c r="X87" s="89">
        <f t="shared" si="93"/>
        <v>7.9806840930089315E-2</v>
      </c>
      <c r="Y87" s="89">
        <f t="shared" si="93"/>
        <v>8.2348711803475139E-2</v>
      </c>
    </row>
    <row r="88" spans="1:25" x14ac:dyDescent="0.25">
      <c r="A88" s="68" t="s">
        <v>1</v>
      </c>
      <c r="B88" s="44"/>
      <c r="C88" s="44"/>
      <c r="D88" s="89">
        <f t="shared" si="85"/>
        <v>2.3732718894009217E-2</v>
      </c>
      <c r="E88" s="89">
        <f t="shared" ref="E88:S88" si="94">E60/E$23</f>
        <v>2.3657210645254587E-2</v>
      </c>
      <c r="F88" s="89">
        <f t="shared" si="94"/>
        <v>2.0587358719823933E-2</v>
      </c>
      <c r="G88" s="89">
        <f t="shared" si="94"/>
        <v>1.7802578544628321E-2</v>
      </c>
      <c r="H88" s="89">
        <f t="shared" si="94"/>
        <v>1.6340676347591294E-2</v>
      </c>
      <c r="I88" s="89">
        <f t="shared" si="94"/>
        <v>1.5295350401151063E-2</v>
      </c>
      <c r="J88" s="89">
        <f t="shared" si="94"/>
        <v>1.3715570951773117E-2</v>
      </c>
      <c r="K88" s="89">
        <f t="shared" si="94"/>
        <v>1.2805243153181297E-2</v>
      </c>
      <c r="L88" s="89">
        <f t="shared" si="94"/>
        <v>1.1079890255177792E-2</v>
      </c>
      <c r="M88" s="89">
        <f t="shared" si="94"/>
        <v>9.2198000327815121E-3</v>
      </c>
      <c r="N88" s="89">
        <f t="shared" si="94"/>
        <v>7.8060170066417403E-3</v>
      </c>
      <c r="O88" s="89">
        <f t="shared" si="94"/>
        <v>8.2812398305321128E-3</v>
      </c>
      <c r="P88" s="89">
        <f t="shared" si="94"/>
        <v>8.0380744204961371E-3</v>
      </c>
      <c r="Q88" s="89">
        <f t="shared" si="94"/>
        <v>7.4264967247245212E-3</v>
      </c>
      <c r="R88" s="89">
        <f t="shared" si="94"/>
        <v>7.7954014508791348E-3</v>
      </c>
      <c r="S88" s="89">
        <f t="shared" si="94"/>
        <v>7.0642450367203813E-3</v>
      </c>
      <c r="T88" s="89">
        <f t="shared" ref="T88:Y88" si="95">T60/T$23</f>
        <v>7.2138991024733373E-3</v>
      </c>
      <c r="U88" s="89">
        <f t="shared" si="95"/>
        <v>7.243778431897243E-3</v>
      </c>
      <c r="V88" s="89">
        <f t="shared" si="95"/>
        <v>6.9091673464893623E-3</v>
      </c>
      <c r="W88" s="89">
        <f t="shared" si="95"/>
        <v>6.463396504244036E-3</v>
      </c>
      <c r="X88" s="89">
        <f t="shared" si="95"/>
        <v>5.7144094548814287E-3</v>
      </c>
      <c r="Y88" s="89">
        <f t="shared" si="95"/>
        <v>5.4752437496595674E-3</v>
      </c>
    </row>
    <row r="89" spans="1:25" x14ac:dyDescent="0.25">
      <c r="A89" s="68" t="s">
        <v>0</v>
      </c>
      <c r="B89" s="44"/>
      <c r="C89" s="44"/>
      <c r="D89" s="89">
        <f t="shared" si="85"/>
        <v>9.7612065354000833E-3</v>
      </c>
      <c r="E89" s="89">
        <f t="shared" ref="E89:S89" si="96">E61/E$23</f>
        <v>9.1275852095864165E-3</v>
      </c>
      <c r="F89" s="89">
        <f t="shared" si="96"/>
        <v>8.7576514821522747E-3</v>
      </c>
      <c r="G89" s="89">
        <f t="shared" si="96"/>
        <v>8.7663553029049979E-3</v>
      </c>
      <c r="H89" s="89">
        <f t="shared" si="96"/>
        <v>8.4337646942605933E-3</v>
      </c>
      <c r="I89" s="89">
        <f t="shared" si="96"/>
        <v>8.2537026321139809E-3</v>
      </c>
      <c r="J89" s="89">
        <f t="shared" si="96"/>
        <v>8.3783226720955204E-3</v>
      </c>
      <c r="K89" s="89">
        <f t="shared" si="96"/>
        <v>8.8448922211808809E-3</v>
      </c>
      <c r="L89" s="89">
        <f t="shared" si="96"/>
        <v>7.327364226922416E-3</v>
      </c>
      <c r="M89" s="89">
        <f t="shared" si="96"/>
        <v>6.3986988261697329E-3</v>
      </c>
      <c r="N89" s="89">
        <f t="shared" si="96"/>
        <v>6.3987883950967868E-3</v>
      </c>
      <c r="O89" s="89">
        <f t="shared" si="96"/>
        <v>6.830783153627536E-3</v>
      </c>
      <c r="P89" s="89">
        <f t="shared" si="96"/>
        <v>7.0341093940626265E-3</v>
      </c>
      <c r="Q89" s="89">
        <f t="shared" si="96"/>
        <v>6.9663078251155234E-3</v>
      </c>
      <c r="R89" s="89">
        <f t="shared" si="96"/>
        <v>7.6570761096766268E-3</v>
      </c>
      <c r="S89" s="89">
        <f t="shared" si="96"/>
        <v>7.1982066998693139E-3</v>
      </c>
      <c r="T89" s="89">
        <f t="shared" ref="T89:Y89" si="97">T61/T$23</f>
        <v>7.2767031310662983E-3</v>
      </c>
      <c r="U89" s="89">
        <f t="shared" si="97"/>
        <v>7.2839175809472842E-3</v>
      </c>
      <c r="V89" s="89">
        <f t="shared" si="97"/>
        <v>7.2970416451876062E-3</v>
      </c>
      <c r="W89" s="89">
        <f t="shared" si="97"/>
        <v>7.3506681674772451E-3</v>
      </c>
      <c r="X89" s="89">
        <f t="shared" si="97"/>
        <v>7.5382083461656918E-3</v>
      </c>
      <c r="Y89" s="89">
        <f t="shared" si="97"/>
        <v>7.7128383898905162E-3</v>
      </c>
    </row>
    <row r="90" spans="1:25" x14ac:dyDescent="0.25">
      <c r="A90" s="90" t="s">
        <v>278</v>
      </c>
      <c r="B90" s="47"/>
      <c r="C90" s="47"/>
      <c r="D90" s="91">
        <f t="shared" si="85"/>
        <v>2.4780058651026397E-2</v>
      </c>
      <c r="E90" s="91">
        <f t="shared" ref="E90:S90" si="98">E62/E$23</f>
        <v>2.5716064451928214E-2</v>
      </c>
      <c r="F90" s="91">
        <f t="shared" si="98"/>
        <v>2.8542607579265918E-2</v>
      </c>
      <c r="G90" s="91">
        <f t="shared" si="98"/>
        <v>2.7926978959006189E-2</v>
      </c>
      <c r="H90" s="91">
        <f t="shared" si="98"/>
        <v>2.8314234910599624E-2</v>
      </c>
      <c r="I90" s="91">
        <f t="shared" si="98"/>
        <v>2.6602649317339421E-2</v>
      </c>
      <c r="J90" s="91">
        <f t="shared" si="98"/>
        <v>2.5326617175380678E-2</v>
      </c>
      <c r="K90" s="91">
        <f t="shared" si="98"/>
        <v>2.5011715089034679E-2</v>
      </c>
      <c r="L90" s="91">
        <f t="shared" si="98"/>
        <v>2.3364443761801936E-2</v>
      </c>
      <c r="M90" s="91">
        <f t="shared" si="98"/>
        <v>2.1774488419300742E-2</v>
      </c>
      <c r="N90" s="91">
        <f t="shared" si="98"/>
        <v>2.196033887074637E-2</v>
      </c>
      <c r="O90" s="91">
        <f t="shared" si="98"/>
        <v>2.2550262352901067E-2</v>
      </c>
      <c r="P90" s="91">
        <f t="shared" si="98"/>
        <v>2.1518528873525823E-2</v>
      </c>
      <c r="Q90" s="91">
        <f t="shared" si="98"/>
        <v>2.2968186665312546E-2</v>
      </c>
      <c r="R90" s="91">
        <f t="shared" si="98"/>
        <v>2.3785810893889092E-2</v>
      </c>
      <c r="S90" s="91">
        <f t="shared" si="98"/>
        <v>2.4857330828746388E-2</v>
      </c>
      <c r="T90" s="91">
        <f t="shared" ref="T90:Y90" si="99">T62/T$23</f>
        <v>2.7262657866490056E-2</v>
      </c>
      <c r="U90" s="91">
        <f t="shared" si="99"/>
        <v>2.7765587369547765E-2</v>
      </c>
      <c r="V90" s="91">
        <f t="shared" si="99"/>
        <v>2.7031084997022125E-2</v>
      </c>
      <c r="W90" s="91">
        <f t="shared" si="99"/>
        <v>2.692255958996722E-2</v>
      </c>
      <c r="X90" s="91">
        <f t="shared" si="99"/>
        <v>2.5398444718201418E-2</v>
      </c>
      <c r="Y90" s="91">
        <f t="shared" si="99"/>
        <v>2.5742142818236287E-2</v>
      </c>
    </row>
    <row r="91" spans="1:25" x14ac:dyDescent="0.25">
      <c r="A91" s="38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</row>
    <row r="92" spans="1:25" x14ac:dyDescent="0.25">
      <c r="A92" s="58" t="s">
        <v>236</v>
      </c>
      <c r="B92" s="50"/>
      <c r="C92" s="50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</row>
    <row r="93" spans="1:25" x14ac:dyDescent="0.25">
      <c r="A93" s="40" t="s">
        <v>139</v>
      </c>
      <c r="B93" s="41"/>
      <c r="C93" s="41"/>
      <c r="D93" s="41"/>
      <c r="E93" s="92">
        <f t="shared" ref="E93:E94" si="100">IF(D16=0,"",E16/D16-1)</f>
        <v>3.2171090729198104E-2</v>
      </c>
      <c r="F93" s="92">
        <f t="shared" ref="F93:F94" si="101">IF(E16=0,"",F16/E16-1)</f>
        <v>3.5058919042590952E-2</v>
      </c>
      <c r="G93" s="92">
        <f t="shared" ref="G93:G94" si="102">IF(F16=0,"",G16/F16-1)</f>
        <v>2.9593671523167275E-2</v>
      </c>
      <c r="H93" s="92">
        <f t="shared" ref="H93:H94" si="103">IF(G16=0,"",H16/G16-1)</f>
        <v>4.3599961308000923E-2</v>
      </c>
      <c r="I93" s="92">
        <f t="shared" ref="I93:I94" si="104">IF(H16=0,"",I16/H16-1)</f>
        <v>3.7983552343427318E-2</v>
      </c>
      <c r="J93" s="92">
        <f t="shared" ref="J93:J94" si="105">IF(I16=0,"",J16/I16-1)</f>
        <v>5.7459086882041488E-2</v>
      </c>
      <c r="K93" s="92">
        <f t="shared" ref="K93:K94" si="106">IF(J16=0,"",K16/J16-1)</f>
        <v>6.9805567252125167E-2</v>
      </c>
      <c r="L93" s="92">
        <f t="shared" ref="L93:L94" si="107">IF(K16=0,"",L16/K16-1)</f>
        <v>3.509878926053811E-2</v>
      </c>
      <c r="M93" s="92">
        <f t="shared" ref="M93:M94" si="108">IF(L16=0,"",M16/L16-1)</f>
        <v>-7.549329284428552E-2</v>
      </c>
      <c r="N93" s="92">
        <f t="shared" ref="N93:N94" si="109">IF(M16=0,"",N16/M16-1)</f>
        <v>1.3441024482877761E-2</v>
      </c>
      <c r="O93" s="92">
        <f t="shared" ref="O93:O94" si="110">IF(N16=0,"",O16/N16-1)</f>
        <v>8.6112692123665457E-3</v>
      </c>
      <c r="P93" s="92">
        <f t="shared" ref="P93:P94" si="111">IF(O16=0,"",P16/O16-1)</f>
        <v>-2.638969136842384E-2</v>
      </c>
      <c r="Q93" s="92">
        <f t="shared" ref="Q93:Q94" si="112">IF(P16=0,"",Q16/P16-1)</f>
        <v>-1.0300580882463217E-2</v>
      </c>
      <c r="R93" s="92">
        <f t="shared" ref="R93:R94" si="113">IF(Q16=0,"",R16/Q16-1)</f>
        <v>2.768737198235427E-2</v>
      </c>
      <c r="S93" s="92">
        <f t="shared" ref="S93:S94" si="114">IF(R16=0,"",S16/R16-1)</f>
        <v>2.2099962799892348E-2</v>
      </c>
      <c r="T93" s="92">
        <f t="shared" ref="T93:T94" si="115">IF(S16=0,"",T16/S16-1)</f>
        <v>3.1920361158090937E-2</v>
      </c>
      <c r="U93" s="92">
        <f t="shared" ref="U93:U94" si="116">IF(T16=0,"",U16/T16-1)</f>
        <v>4.8151862218742902E-2</v>
      </c>
      <c r="V93" s="92">
        <f t="shared" ref="V93:V94" si="117">IF(U16=0,"",V16/U16-1)</f>
        <v>4.4546049718834357E-2</v>
      </c>
      <c r="W93" s="92">
        <f t="shared" ref="W93:W94" si="118">IF(V16=0,"",W16/V16-1)</f>
        <v>3.522213057061041E-2</v>
      </c>
      <c r="X93" s="92">
        <f t="shared" ref="X93:X94" si="119">IF(W16=0,"",X16/W16-1)</f>
        <v>-4.2402478005913569E-2</v>
      </c>
      <c r="Y93" s="92">
        <f t="shared" ref="Y93:Y94" si="120">IF(X16=0,"",Y16/X16-1)</f>
        <v>8.2282443137144723E-2</v>
      </c>
    </row>
    <row r="94" spans="1:25" x14ac:dyDescent="0.25">
      <c r="A94" s="46" t="s">
        <v>141</v>
      </c>
      <c r="B94" s="47"/>
      <c r="C94" s="47"/>
      <c r="D94" s="47"/>
      <c r="E94" s="93">
        <f t="shared" si="100"/>
        <v>2.8558753614270405E-2</v>
      </c>
      <c r="F94" s="93">
        <f t="shared" si="101"/>
        <v>2.39147806230946E-2</v>
      </c>
      <c r="G94" s="93">
        <f t="shared" si="102"/>
        <v>3.5038951565985688E-2</v>
      </c>
      <c r="H94" s="93">
        <f t="shared" si="103"/>
        <v>2.5372297786007358E-2</v>
      </c>
      <c r="I94" s="93">
        <f t="shared" si="104"/>
        <v>2.0659094425577562E-2</v>
      </c>
      <c r="J94" s="93">
        <f t="shared" si="105"/>
        <v>1.2901244683391377E-2</v>
      </c>
      <c r="K94" s="93">
        <f t="shared" si="106"/>
        <v>6.5191257126724578E-2</v>
      </c>
      <c r="L94" s="93">
        <f t="shared" si="107"/>
        <v>2.8689543214920565E-2</v>
      </c>
      <c r="M94" s="93">
        <f t="shared" si="108"/>
        <v>2.0735360977639727E-2</v>
      </c>
      <c r="N94" s="93">
        <f t="shared" si="109"/>
        <v>9.7352612061045729E-3</v>
      </c>
      <c r="O94" s="93">
        <f t="shared" si="110"/>
        <v>7.9370870389057213E-3</v>
      </c>
      <c r="P94" s="93">
        <f t="shared" si="111"/>
        <v>-2.1898446649071812E-2</v>
      </c>
      <c r="Q94" s="93">
        <f t="shared" si="112"/>
        <v>-3.936841438368166E-2</v>
      </c>
      <c r="R94" s="93">
        <f t="shared" si="113"/>
        <v>1.6232303399187797E-2</v>
      </c>
      <c r="S94" s="93">
        <f t="shared" si="114"/>
        <v>2.0291918967375144E-2</v>
      </c>
      <c r="T94" s="93">
        <f t="shared" si="115"/>
        <v>4.4482441001124862E-2</v>
      </c>
      <c r="U94" s="93">
        <f t="shared" si="116"/>
        <v>1.9027200548525913E-2</v>
      </c>
      <c r="V94" s="93">
        <f t="shared" si="117"/>
        <v>3.5224488704257206E-2</v>
      </c>
      <c r="W94" s="93">
        <f t="shared" si="118"/>
        <v>5.4614558636396859E-2</v>
      </c>
      <c r="X94" s="93">
        <f t="shared" si="119"/>
        <v>-6.4849014141495021E-2</v>
      </c>
      <c r="Y94" s="93">
        <f t="shared" si="120"/>
        <v>0.10268090213394787</v>
      </c>
    </row>
    <row r="95" spans="1:25" x14ac:dyDescent="0.25">
      <c r="A95" s="40" t="s">
        <v>242</v>
      </c>
      <c r="B95" s="41"/>
      <c r="C95" s="41"/>
      <c r="D95" s="41"/>
      <c r="E95" s="92">
        <f t="shared" ref="E95:E96" si="121">IF(D20=0,"",E20/D20-1)</f>
        <v>3.0957957992143514E-2</v>
      </c>
      <c r="F95" s="92">
        <f t="shared" ref="F95:F96" si="122">IF(E20=0,"",F20/E20-1)</f>
        <v>3.3017896673937841E-2</v>
      </c>
      <c r="G95" s="92">
        <f t="shared" ref="G95:G96" si="123">IF(F20=0,"",G20/F20-1)</f>
        <v>2.9073980456792103E-2</v>
      </c>
      <c r="H95" s="92">
        <f t="shared" ref="H95:H96" si="124">IF(G20=0,"",H20/G20-1)</f>
        <v>4.2868136124871059E-2</v>
      </c>
      <c r="I95" s="92">
        <f t="shared" ref="I95:I96" si="125">IF(H20=0,"",I20/H20-1)</f>
        <v>3.7382354414892793E-2</v>
      </c>
      <c r="J95" s="92">
        <f t="shared" ref="J95:J96" si="126">IF(I20=0,"",J20/I20-1)</f>
        <v>5.4414486759080338E-2</v>
      </c>
      <c r="K95" s="92">
        <f t="shared" ref="K95:K96" si="127">IF(J20=0,"",K20/J20-1)</f>
        <v>6.6070464196060108E-2</v>
      </c>
      <c r="L95" s="92">
        <f t="shared" ref="L95:L96" si="128">IF(K20=0,"",L20/K20-1)</f>
        <v>3.5154399066609221E-2</v>
      </c>
      <c r="M95" s="92">
        <f t="shared" ref="M95:M96" si="129">IF(L20=0,"",M20/L20-1)</f>
        <v>-8.5543238021961288E-2</v>
      </c>
      <c r="N95" s="92">
        <f t="shared" ref="N95:N96" si="130">IF(M20=0,"",N20/M20-1)</f>
        <v>6.2057529741779138E-3</v>
      </c>
      <c r="O95" s="92">
        <f t="shared" ref="O95:O96" si="131">IF(N20=0,"",O20/N20-1)</f>
        <v>7.0306012798102557E-3</v>
      </c>
      <c r="P95" s="92">
        <f t="shared" ref="P95:P96" si="132">IF(O20=0,"",P20/O20-1)</f>
        <v>-2.8903415505035168E-2</v>
      </c>
      <c r="Q95" s="92">
        <f t="shared" ref="Q95:Q96" si="133">IF(P20=0,"",Q20/P20-1)</f>
        <v>-1.1898947408045313E-2</v>
      </c>
      <c r="R95" s="92">
        <f t="shared" ref="R95:R96" si="134">IF(Q20=0,"",R20/Q20-1)</f>
        <v>2.655850819936223E-2</v>
      </c>
      <c r="S95" s="92">
        <f t="shared" ref="S95:S96" si="135">IF(R20=0,"",S20/R20-1)</f>
        <v>2.1213560221039263E-2</v>
      </c>
      <c r="T95" s="92">
        <f t="shared" ref="T95:T96" si="136">IF(S20=0,"",T20/S20-1)</f>
        <v>3.1263471691355349E-2</v>
      </c>
      <c r="U95" s="92">
        <f t="shared" ref="U95:U96" si="137">IF(T20=0,"",U20/T20-1)</f>
        <v>4.7285799215150082E-2</v>
      </c>
      <c r="V95" s="92">
        <f t="shared" ref="V95:V96" si="138">IF(U20=0,"",V20/U20-1)</f>
        <v>4.4048256978581835E-2</v>
      </c>
      <c r="W95" s="92">
        <f t="shared" ref="W95:W96" si="139">IF(V20=0,"",W20/V20-1)</f>
        <v>2.8243400108886707E-2</v>
      </c>
      <c r="X95" s="92">
        <f t="shared" ref="X95:X96" si="140">IF(W20=0,"",X20/W20-1)</f>
        <v>-4.9234493939402268E-2</v>
      </c>
      <c r="Y95" s="92">
        <f t="shared" ref="Y95:Y96" si="141">IF(X20=0,"",Y20/X20-1)</f>
        <v>7.5551589019633436E-2</v>
      </c>
    </row>
    <row r="96" spans="1:25" x14ac:dyDescent="0.25">
      <c r="A96" s="46" t="s">
        <v>243</v>
      </c>
      <c r="B96" s="47"/>
      <c r="C96" s="47"/>
      <c r="D96" s="47"/>
      <c r="E96" s="93">
        <f t="shared" si="121"/>
        <v>2.7349866534210898E-2</v>
      </c>
      <c r="F96" s="93">
        <f t="shared" si="122"/>
        <v>2.189573326994565E-2</v>
      </c>
      <c r="G96" s="93">
        <f t="shared" si="123"/>
        <v>3.4516511975148711E-2</v>
      </c>
      <c r="H96" s="93">
        <f t="shared" si="124"/>
        <v>2.4653254764327892E-2</v>
      </c>
      <c r="I96" s="93">
        <f t="shared" si="125"/>
        <v>2.0067930787267985E-2</v>
      </c>
      <c r="J96" s="93">
        <f t="shared" si="126"/>
        <v>9.984933979396482E-3</v>
      </c>
      <c r="K96" s="93">
        <f t="shared" si="127"/>
        <v>6.1472264403582333E-2</v>
      </c>
      <c r="L96" s="93">
        <f t="shared" si="128"/>
        <v>2.8744808689674217E-2</v>
      </c>
      <c r="M96" s="93">
        <f t="shared" si="129"/>
        <v>9.6393523285511762E-3</v>
      </c>
      <c r="N96" s="93">
        <f t="shared" si="130"/>
        <v>2.5264462970551183E-3</v>
      </c>
      <c r="O96" s="93">
        <f t="shared" si="131"/>
        <v>6.357475666170842E-3</v>
      </c>
      <c r="P96" s="93">
        <f t="shared" si="132"/>
        <v>-2.4423766544432013E-2</v>
      </c>
      <c r="Q96" s="93">
        <f t="shared" si="133"/>
        <v>-4.0919836300484791E-2</v>
      </c>
      <c r="R96" s="93">
        <f t="shared" si="134"/>
        <v>1.5116022442849042E-2</v>
      </c>
      <c r="S96" s="93">
        <f t="shared" si="135"/>
        <v>1.9407084390453244E-2</v>
      </c>
      <c r="T96" s="93">
        <f t="shared" si="136"/>
        <v>4.3817554892167987E-2</v>
      </c>
      <c r="U96" s="93">
        <f t="shared" si="137"/>
        <v>1.8185202561534108E-2</v>
      </c>
      <c r="V96" s="93">
        <f t="shared" si="138"/>
        <v>3.4731138281700602E-2</v>
      </c>
      <c r="W96" s="93">
        <f t="shared" si="139"/>
        <v>4.7505098233269205E-2</v>
      </c>
      <c r="X96" s="93">
        <f t="shared" si="140"/>
        <v>-7.152088440939075E-2</v>
      </c>
      <c r="Y96" s="93">
        <f t="shared" si="141"/>
        <v>9.582318736873785E-2</v>
      </c>
    </row>
    <row r="97" spans="1:25" x14ac:dyDescent="0.25">
      <c r="A97" s="94" t="s">
        <v>142</v>
      </c>
      <c r="B97" s="44"/>
      <c r="C97" s="44"/>
      <c r="D97" s="89"/>
      <c r="E97" s="89">
        <f t="shared" ref="E97:E106" si="142">IF(D23=0,"",E23/D23-1)</f>
        <v>3.8680735851858383E-2</v>
      </c>
      <c r="F97" s="89">
        <f t="shared" ref="F97:F106" si="143">IF(E23=0,"",F23/E23-1)</f>
        <v>3.866624430224963E-2</v>
      </c>
      <c r="G97" s="89">
        <f t="shared" ref="G97:G106" si="144">IF(F23=0,"",G23/F23-1)</f>
        <v>3.1181270117702553E-2</v>
      </c>
      <c r="H97" s="89">
        <f t="shared" ref="H97:H106" si="145">IF(G23=0,"",H23/G23-1)</f>
        <v>4.3439921073468613E-2</v>
      </c>
      <c r="I97" s="89">
        <f t="shared" ref="I97:I106" si="146">IF(H23=0,"",I23/H23-1)</f>
        <v>3.6286854928162748E-2</v>
      </c>
      <c r="J97" s="89">
        <f t="shared" ref="J97:J106" si="147">IF(I23=0,"",J23/I23-1)</f>
        <v>5.9668278983880718E-2</v>
      </c>
      <c r="K97" s="89">
        <f t="shared" ref="K97:K106" si="148">IF(J23=0,"",K23/J23-1)</f>
        <v>7.1614881859665802E-2</v>
      </c>
      <c r="L97" s="89">
        <f t="shared" ref="L97:L106" si="149">IF(K23=0,"",L23/K23-1)</f>
        <v>3.1562040379871759E-2</v>
      </c>
      <c r="M97" s="89">
        <f t="shared" ref="M97:M106" si="150">IF(L23=0,"",M23/L23-1)</f>
        <v>-7.06327340227072E-2</v>
      </c>
      <c r="N97" s="89">
        <f t="shared" ref="N97:N106" si="151">IF(M23=0,"",N23/M23-1)</f>
        <v>1.4472227266542292E-2</v>
      </c>
      <c r="O97" s="89">
        <f t="shared" ref="O97:O106" si="152">IF(N23=0,"",O23/N23-1)</f>
        <v>5.7852243782774426E-3</v>
      </c>
      <c r="P97" s="89">
        <f t="shared" ref="P97:P106" si="153">IF(O23=0,"",P23/O23-1)</f>
        <v>-2.2823038079382907E-2</v>
      </c>
      <c r="Q97" s="89">
        <f t="shared" ref="Q97:Q106" si="154">IF(P23=0,"",Q23/P23-1)</f>
        <v>-6.9715733665782764E-3</v>
      </c>
      <c r="R97" s="89">
        <f t="shared" ref="R97:R106" si="155">IF(Q23=0,"",R23/Q23-1)</f>
        <v>3.4456344441620157E-2</v>
      </c>
      <c r="S97" s="89">
        <f t="shared" ref="S97:S106" si="156">IF(R23=0,"",S23/R23-1)</f>
        <v>2.1546189720890174E-2</v>
      </c>
      <c r="T97" s="89">
        <f t="shared" ref="T97:T106" si="157">IF(S23=0,"",T23/S23-1)</f>
        <v>3.2388417630959232E-2</v>
      </c>
      <c r="U97" s="89">
        <f t="shared" ref="U97:U106" si="158">IF(T23=0,"",U23/T23-1)</f>
        <v>5.1365655478699423E-2</v>
      </c>
      <c r="V97" s="89">
        <f t="shared" ref="V97:V106" si="159">IF(U23=0,"",V23/U23-1)</f>
        <v>4.4538726580143795E-2</v>
      </c>
      <c r="W97" s="89">
        <f t="shared" ref="W97:W106" si="160">IF(V23=0,"",W23/V23-1)</f>
        <v>3.6476747675009413E-2</v>
      </c>
      <c r="X97" s="89">
        <f t="shared" ref="X97:X106" si="161">IF(W23=0,"",X23/W23-1)</f>
        <v>-3.2571994996061449E-2</v>
      </c>
      <c r="Y97" s="89">
        <f t="shared" ref="Y97:Y106" si="162">IF(X23=0,"",Y23/X23-1)</f>
        <v>7.470997812930924E-2</v>
      </c>
    </row>
    <row r="98" spans="1:25" x14ac:dyDescent="0.25">
      <c r="A98" s="64" t="s">
        <v>33</v>
      </c>
      <c r="B98" s="65"/>
      <c r="C98" s="65"/>
      <c r="D98" s="83"/>
      <c r="E98" s="83">
        <f t="shared" si="142"/>
        <v>-6.5887854723403194E-2</v>
      </c>
      <c r="F98" s="83">
        <f t="shared" si="143"/>
        <v>0.11511073847405551</v>
      </c>
      <c r="G98" s="83">
        <f t="shared" si="144"/>
        <v>-0.22227089553058044</v>
      </c>
      <c r="H98" s="83">
        <f t="shared" si="145"/>
        <v>0.12308438956737122</v>
      </c>
      <c r="I98" s="83">
        <f t="shared" si="146"/>
        <v>3.3390050540629934E-2</v>
      </c>
      <c r="J98" s="83">
        <f t="shared" si="147"/>
        <v>-7.4498716220726346E-2</v>
      </c>
      <c r="K98" s="83">
        <f t="shared" si="148"/>
        <v>3.8558137807547022E-2</v>
      </c>
      <c r="L98" s="83">
        <f t="shared" si="149"/>
        <v>-7.8679746849144472E-2</v>
      </c>
      <c r="M98" s="83">
        <f t="shared" si="150"/>
        <v>-7.6134817319803982E-2</v>
      </c>
      <c r="N98" s="83">
        <f t="shared" si="151"/>
        <v>6.2220281334396832E-2</v>
      </c>
      <c r="O98" s="83">
        <f t="shared" si="152"/>
        <v>0.1390027729142973</v>
      </c>
      <c r="P98" s="83">
        <f t="shared" si="153"/>
        <v>-0.10198561450161847</v>
      </c>
      <c r="Q98" s="83">
        <f t="shared" si="154"/>
        <v>1.4460200232102594E-3</v>
      </c>
      <c r="R98" s="83">
        <f t="shared" si="155"/>
        <v>5.838833835820223E-2</v>
      </c>
      <c r="S98" s="83">
        <f t="shared" si="156"/>
        <v>6.1652051113160411E-2</v>
      </c>
      <c r="T98" s="83">
        <f t="shared" si="157"/>
        <v>-2.6760813249456672E-2</v>
      </c>
      <c r="U98" s="83">
        <f t="shared" si="158"/>
        <v>-2.6170407651338046E-2</v>
      </c>
      <c r="V98" s="83">
        <f t="shared" si="159"/>
        <v>0.27158433972095986</v>
      </c>
      <c r="W98" s="83">
        <f t="shared" si="160"/>
        <v>-6.8436067078010088E-2</v>
      </c>
      <c r="X98" s="83">
        <f t="shared" si="161"/>
        <v>-1.3388688978660634E-2</v>
      </c>
      <c r="Y98" s="83">
        <f t="shared" si="162"/>
        <v>-0.12750478277789101</v>
      </c>
    </row>
    <row r="99" spans="1:25" x14ac:dyDescent="0.25">
      <c r="A99" s="64" t="s">
        <v>56</v>
      </c>
      <c r="B99" s="65"/>
      <c r="C99" s="65"/>
      <c r="D99" s="83"/>
      <c r="E99" s="83">
        <f t="shared" si="142"/>
        <v>-8.8671115983763316E-2</v>
      </c>
      <c r="F99" s="83">
        <f t="shared" si="143"/>
        <v>-9.8674172558537721E-2</v>
      </c>
      <c r="G99" s="83">
        <f t="shared" si="144"/>
        <v>7.5853702692435521E-2</v>
      </c>
      <c r="H99" s="83">
        <f t="shared" si="145"/>
        <v>0.11705720284044996</v>
      </c>
      <c r="I99" s="83">
        <f t="shared" si="146"/>
        <v>1.2522846830471446E-2</v>
      </c>
      <c r="J99" s="83">
        <f t="shared" si="147"/>
        <v>1.9793209415902568E-2</v>
      </c>
      <c r="K99" s="83">
        <f t="shared" si="148"/>
        <v>1.1038336642628765E-2</v>
      </c>
      <c r="L99" s="83">
        <f t="shared" si="149"/>
        <v>-3.8744833797170641E-2</v>
      </c>
      <c r="M99" s="83">
        <f t="shared" si="150"/>
        <v>-4.1940566160437398E-2</v>
      </c>
      <c r="N99" s="83">
        <f t="shared" si="151"/>
        <v>-1.7657456792406934E-2</v>
      </c>
      <c r="O99" s="83">
        <f t="shared" si="152"/>
        <v>3.6175839055458514E-2</v>
      </c>
      <c r="P99" s="83">
        <f t="shared" si="153"/>
        <v>-1.8850401720697629E-2</v>
      </c>
      <c r="Q99" s="83">
        <f t="shared" si="154"/>
        <v>-0.12310174174817445</v>
      </c>
      <c r="R99" s="83">
        <f t="shared" si="155"/>
        <v>1.3800991426378362E-2</v>
      </c>
      <c r="S99" s="83">
        <f t="shared" si="156"/>
        <v>-3.6958812499999993E-2</v>
      </c>
      <c r="T99" s="83">
        <f t="shared" si="157"/>
        <v>3.6094760527592751E-2</v>
      </c>
      <c r="U99" s="83">
        <f t="shared" si="158"/>
        <v>4.673813875303412E-2</v>
      </c>
      <c r="V99" s="83">
        <f t="shared" si="159"/>
        <v>1.0656017718214894E-2</v>
      </c>
      <c r="W99" s="83">
        <f t="shared" si="160"/>
        <v>-6.0802830598433499E-2</v>
      </c>
      <c r="X99" s="83">
        <f t="shared" si="161"/>
        <v>-7.0897420265213951E-2</v>
      </c>
      <c r="Y99" s="83">
        <f t="shared" si="162"/>
        <v>-9.7348392067118095E-2</v>
      </c>
    </row>
    <row r="100" spans="1:25" x14ac:dyDescent="0.25">
      <c r="A100" s="64" t="s">
        <v>146</v>
      </c>
      <c r="B100" s="65"/>
      <c r="C100" s="65"/>
      <c r="D100" s="83"/>
      <c r="E100" s="83">
        <f t="shared" si="142"/>
        <v>4.5515783656466136E-2</v>
      </c>
      <c r="F100" s="83">
        <f t="shared" si="143"/>
        <v>3.8006740734197519E-2</v>
      </c>
      <c r="G100" s="83">
        <f t="shared" si="144"/>
        <v>4.1544374668363471E-2</v>
      </c>
      <c r="H100" s="83">
        <f t="shared" si="145"/>
        <v>4.4013682342811444E-2</v>
      </c>
      <c r="I100" s="83">
        <f t="shared" si="146"/>
        <v>4.4432355637874066E-2</v>
      </c>
      <c r="J100" s="83">
        <f t="shared" si="147"/>
        <v>5.7646962481774366E-2</v>
      </c>
      <c r="K100" s="83">
        <f t="shared" si="148"/>
        <v>6.2201010538353474E-2</v>
      </c>
      <c r="L100" s="83">
        <f t="shared" si="149"/>
        <v>5.0622409328491935E-2</v>
      </c>
      <c r="M100" s="83">
        <f t="shared" si="150"/>
        <v>-3.2404890629548766E-2</v>
      </c>
      <c r="N100" s="83">
        <f t="shared" si="151"/>
        <v>2.5720252623191664E-2</v>
      </c>
      <c r="O100" s="83">
        <f t="shared" si="152"/>
        <v>-1.575158834499768E-3</v>
      </c>
      <c r="P100" s="83">
        <f t="shared" si="153"/>
        <v>-2.8574593244103719E-2</v>
      </c>
      <c r="Q100" s="83">
        <f t="shared" si="154"/>
        <v>-9.068593373251721E-3</v>
      </c>
      <c r="R100" s="83">
        <f t="shared" si="155"/>
        <v>2.3048347299704064E-2</v>
      </c>
      <c r="S100" s="83">
        <f t="shared" si="156"/>
        <v>2.1695586944772582E-2</v>
      </c>
      <c r="T100" s="83">
        <f t="shared" si="157"/>
        <v>3.6438059755845575E-2</v>
      </c>
      <c r="U100" s="83">
        <f t="shared" si="158"/>
        <v>4.7853692636160128E-2</v>
      </c>
      <c r="V100" s="83">
        <f t="shared" si="159"/>
        <v>3.9124054066637104E-2</v>
      </c>
      <c r="W100" s="83">
        <f t="shared" si="160"/>
        <v>3.0919323275395927E-2</v>
      </c>
      <c r="X100" s="83">
        <f t="shared" si="161"/>
        <v>-3.3982078859020826E-2</v>
      </c>
      <c r="Y100" s="83">
        <f t="shared" si="162"/>
        <v>9.4687952710575063E-2</v>
      </c>
    </row>
    <row r="101" spans="1:25" x14ac:dyDescent="0.25">
      <c r="A101" s="68" t="s">
        <v>148</v>
      </c>
      <c r="B101" s="69"/>
      <c r="C101" s="69"/>
      <c r="D101" s="84"/>
      <c r="E101" s="84">
        <f t="shared" si="142"/>
        <v>5.5106616053656188E-2</v>
      </c>
      <c r="F101" s="84">
        <f t="shared" si="143"/>
        <v>2.1808976093602883E-2</v>
      </c>
      <c r="G101" s="84">
        <f t="shared" si="144"/>
        <v>3.53087667656522E-2</v>
      </c>
      <c r="H101" s="84">
        <f t="shared" si="145"/>
        <v>4.8205798434213465E-2</v>
      </c>
      <c r="I101" s="84">
        <f t="shared" si="146"/>
        <v>4.334915855282917E-2</v>
      </c>
      <c r="J101" s="84">
        <f t="shared" si="147"/>
        <v>4.9312232381061749E-2</v>
      </c>
      <c r="K101" s="84">
        <f t="shared" si="148"/>
        <v>3.8035897746690361E-2</v>
      </c>
      <c r="L101" s="84">
        <f t="shared" si="149"/>
        <v>3.8659757500123959E-2</v>
      </c>
      <c r="M101" s="84">
        <f t="shared" si="150"/>
        <v>-1.7322892847402294E-2</v>
      </c>
      <c r="N101" s="84">
        <f t="shared" si="151"/>
        <v>4.3403655927933826E-2</v>
      </c>
      <c r="O101" s="84">
        <f t="shared" si="152"/>
        <v>6.6978992871224996E-3</v>
      </c>
      <c r="P101" s="84">
        <f t="shared" si="153"/>
        <v>-1.0848638394012067E-2</v>
      </c>
      <c r="Q101" s="84">
        <f t="shared" si="154"/>
        <v>-2.9586827575746821E-2</v>
      </c>
      <c r="R101" s="84">
        <f t="shared" si="155"/>
        <v>1.096283685606525E-2</v>
      </c>
      <c r="S101" s="84">
        <f t="shared" si="156"/>
        <v>1.8881539399338898E-2</v>
      </c>
      <c r="T101" s="84">
        <f t="shared" si="157"/>
        <v>5.6067853977238569E-2</v>
      </c>
      <c r="U101" s="84">
        <f t="shared" si="158"/>
        <v>4.4178793198905275E-2</v>
      </c>
      <c r="V101" s="84">
        <f t="shared" si="159"/>
        <v>3.4204048469564929E-2</v>
      </c>
      <c r="W101" s="84">
        <f t="shared" si="160"/>
        <v>4.4135642479739001E-2</v>
      </c>
      <c r="X101" s="84">
        <f t="shared" si="161"/>
        <v>-2.7457991119079539E-2</v>
      </c>
      <c r="Y101" s="84">
        <f t="shared" si="162"/>
        <v>9.370369973235948E-2</v>
      </c>
    </row>
    <row r="102" spans="1:25" x14ac:dyDescent="0.25">
      <c r="A102" s="68" t="s">
        <v>150</v>
      </c>
      <c r="B102" s="71"/>
      <c r="C102" s="71"/>
      <c r="D102" s="84"/>
      <c r="E102" s="84">
        <f t="shared" si="142"/>
        <v>2.6639703030018724E-2</v>
      </c>
      <c r="F102" s="84">
        <f t="shared" si="143"/>
        <v>5.4513566120425461E-2</v>
      </c>
      <c r="G102" s="84">
        <f t="shared" si="144"/>
        <v>3.990762769421563E-2</v>
      </c>
      <c r="H102" s="84">
        <f t="shared" si="145"/>
        <v>4.1895433772468404E-2</v>
      </c>
      <c r="I102" s="84">
        <f t="shared" si="146"/>
        <v>3.7009248535052608E-2</v>
      </c>
      <c r="J102" s="84">
        <f t="shared" si="147"/>
        <v>6.8796384934176613E-2</v>
      </c>
      <c r="K102" s="84">
        <f t="shared" si="148"/>
        <v>6.2110701796508572E-2</v>
      </c>
      <c r="L102" s="84">
        <f t="shared" si="149"/>
        <v>5.6916376666254598E-2</v>
      </c>
      <c r="M102" s="84">
        <f t="shared" si="150"/>
        <v>-1.8823903520655438E-2</v>
      </c>
      <c r="N102" s="84">
        <f t="shared" si="151"/>
        <v>2.7492152804371228E-2</v>
      </c>
      <c r="O102" s="84">
        <f t="shared" si="152"/>
        <v>-1.5488834716820388E-2</v>
      </c>
      <c r="P102" s="84">
        <f t="shared" si="153"/>
        <v>-4.3422092390718814E-2</v>
      </c>
      <c r="Q102" s="84">
        <f t="shared" si="154"/>
        <v>-4.3732273899821372E-4</v>
      </c>
      <c r="R102" s="84">
        <f t="shared" si="155"/>
        <v>3.5414026281336275E-2</v>
      </c>
      <c r="S102" s="84">
        <f t="shared" si="156"/>
        <v>2.0190728281798798E-2</v>
      </c>
      <c r="T102" s="84">
        <f t="shared" si="157"/>
        <v>1.8163220555851955E-2</v>
      </c>
      <c r="U102" s="84">
        <f t="shared" si="158"/>
        <v>4.9567089414982446E-2</v>
      </c>
      <c r="V102" s="84">
        <f t="shared" si="159"/>
        <v>3.6154186113245279E-2</v>
      </c>
      <c r="W102" s="84">
        <f t="shared" si="160"/>
        <v>2.1670805332025145E-2</v>
      </c>
      <c r="X102" s="84">
        <f t="shared" si="161"/>
        <v>-3.4893308782463661E-2</v>
      </c>
      <c r="Y102" s="84">
        <f t="shared" si="162"/>
        <v>9.0353205891073873E-2</v>
      </c>
    </row>
    <row r="103" spans="1:25" x14ac:dyDescent="0.25">
      <c r="A103" s="68" t="s">
        <v>152</v>
      </c>
      <c r="B103" s="71"/>
      <c r="C103" s="71"/>
      <c r="D103" s="84"/>
      <c r="E103" s="84">
        <f t="shared" si="142"/>
        <v>6.4189068122638027E-2</v>
      </c>
      <c r="F103" s="84">
        <f t="shared" si="143"/>
        <v>3.8332359144955808E-2</v>
      </c>
      <c r="G103" s="84">
        <f t="shared" si="144"/>
        <v>5.7051322241126634E-2</v>
      </c>
      <c r="H103" s="84">
        <f t="shared" si="145"/>
        <v>4.0043129527863597E-2</v>
      </c>
      <c r="I103" s="84">
        <f t="shared" si="146"/>
        <v>6.0976560745670483E-2</v>
      </c>
      <c r="J103" s="84">
        <f t="shared" si="147"/>
        <v>5.2378174167218461E-2</v>
      </c>
      <c r="K103" s="84">
        <f t="shared" si="148"/>
        <v>0.10842328901889942</v>
      </c>
      <c r="L103" s="84">
        <f t="shared" si="149"/>
        <v>6.0325210376628968E-2</v>
      </c>
      <c r="M103" s="84">
        <f t="shared" si="150"/>
        <v>-8.3816238931454401E-2</v>
      </c>
      <c r="N103" s="84">
        <f t="shared" si="151"/>
        <v>-1.0934930655198571E-2</v>
      </c>
      <c r="O103" s="84">
        <f t="shared" si="152"/>
        <v>1.060935576382982E-2</v>
      </c>
      <c r="P103" s="84">
        <f t="shared" si="153"/>
        <v>-3.3822522807891442E-2</v>
      </c>
      <c r="Q103" s="84">
        <f t="shared" si="154"/>
        <v>1.5238855621652503E-2</v>
      </c>
      <c r="R103" s="84">
        <f t="shared" si="155"/>
        <v>2.2256883408987349E-2</v>
      </c>
      <c r="S103" s="84">
        <f t="shared" si="156"/>
        <v>3.0031210156913346E-2</v>
      </c>
      <c r="T103" s="84">
        <f t="shared" si="157"/>
        <v>3.5133977736973909E-2</v>
      </c>
      <c r="U103" s="84">
        <f t="shared" si="158"/>
        <v>5.16311218294776E-2</v>
      </c>
      <c r="V103" s="84">
        <f t="shared" si="159"/>
        <v>5.4223136562078E-2</v>
      </c>
      <c r="W103" s="84">
        <f t="shared" si="160"/>
        <v>2.3589022552625627E-2</v>
      </c>
      <c r="X103" s="84">
        <f t="shared" si="161"/>
        <v>-4.4740843518786932E-2</v>
      </c>
      <c r="Y103" s="84">
        <f t="shared" si="162"/>
        <v>0.10484771490565747</v>
      </c>
    </row>
    <row r="104" spans="1:25" x14ac:dyDescent="0.25">
      <c r="A104" s="64" t="s">
        <v>154</v>
      </c>
      <c r="B104" s="65"/>
      <c r="C104" s="65"/>
      <c r="D104" s="83"/>
      <c r="E104" s="83">
        <f t="shared" si="142"/>
        <v>0.12861441747180224</v>
      </c>
      <c r="F104" s="83">
        <f t="shared" si="143"/>
        <v>0.17647897442790206</v>
      </c>
      <c r="G104" s="83">
        <f t="shared" si="144"/>
        <v>-5.6314553680118951E-2</v>
      </c>
      <c r="H104" s="83">
        <f t="shared" si="145"/>
        <v>0.12586325900391815</v>
      </c>
      <c r="I104" s="83">
        <f t="shared" si="146"/>
        <v>5.1311621013313768E-2</v>
      </c>
      <c r="J104" s="83">
        <f t="shared" si="147"/>
        <v>7.2127554585597498E-2</v>
      </c>
      <c r="K104" s="83">
        <f t="shared" si="148"/>
        <v>-1.9381985674802316E-3</v>
      </c>
      <c r="L104" s="83">
        <f t="shared" si="149"/>
        <v>6.3141911470224521E-2</v>
      </c>
      <c r="M104" s="83">
        <f t="shared" si="150"/>
        <v>-1.6857816778013901E-2</v>
      </c>
      <c r="N104" s="83">
        <f t="shared" si="151"/>
        <v>6.1213360762544688E-2</v>
      </c>
      <c r="O104" s="83">
        <f t="shared" si="152"/>
        <v>-1.1698281356639084E-3</v>
      </c>
      <c r="P104" s="83">
        <f t="shared" si="153"/>
        <v>4.7529447573474215E-2</v>
      </c>
      <c r="Q104" s="83">
        <f t="shared" si="154"/>
        <v>6.0447752445636826E-2</v>
      </c>
      <c r="R104" s="83">
        <f t="shared" si="155"/>
        <v>-3.9709940675733635E-2</v>
      </c>
      <c r="S104" s="83">
        <f t="shared" si="156"/>
        <v>-2.7150243575419064E-2</v>
      </c>
      <c r="T104" s="83">
        <f t="shared" si="157"/>
        <v>-8.6393475605482939E-3</v>
      </c>
      <c r="U104" s="83">
        <f t="shared" si="158"/>
        <v>-2.6332574642074946E-2</v>
      </c>
      <c r="V104" s="83">
        <f t="shared" si="159"/>
        <v>2.830056621239585E-3</v>
      </c>
      <c r="W104" s="83">
        <f t="shared" si="160"/>
        <v>8.6186106838774146E-2</v>
      </c>
      <c r="X104" s="83">
        <f t="shared" si="161"/>
        <v>6.2074223611004786E-2</v>
      </c>
      <c r="Y104" s="83">
        <f t="shared" si="162"/>
        <v>-6.8033530856440705E-2</v>
      </c>
    </row>
    <row r="105" spans="1:25" x14ac:dyDescent="0.25">
      <c r="A105" s="64" t="s">
        <v>37</v>
      </c>
      <c r="B105" s="65"/>
      <c r="C105" s="65"/>
      <c r="D105" s="83"/>
      <c r="E105" s="83">
        <f t="shared" si="142"/>
        <v>-2.1137910865897336E-2</v>
      </c>
      <c r="F105" s="83">
        <f t="shared" si="143"/>
        <v>-6.7681605994195371E-3</v>
      </c>
      <c r="G105" s="83">
        <f t="shared" si="144"/>
        <v>6.9673984500113306E-2</v>
      </c>
      <c r="H105" s="83">
        <f t="shared" si="145"/>
        <v>3.9423330438405957E-2</v>
      </c>
      <c r="I105" s="83">
        <f t="shared" si="146"/>
        <v>0.10545407196691592</v>
      </c>
      <c r="J105" s="83">
        <f t="shared" si="147"/>
        <v>0.14885445430681332</v>
      </c>
      <c r="K105" s="83">
        <f t="shared" si="148"/>
        <v>0.20996509247254735</v>
      </c>
      <c r="L105" s="83">
        <f t="shared" si="149"/>
        <v>7.6567647812423534E-2</v>
      </c>
      <c r="M105" s="83">
        <f t="shared" si="150"/>
        <v>-0.12967587385637191</v>
      </c>
      <c r="N105" s="83">
        <f t="shared" si="151"/>
        <v>-0.16940624532088089</v>
      </c>
      <c r="O105" s="83">
        <f t="shared" si="152"/>
        <v>-7.0434846711323718E-2</v>
      </c>
      <c r="P105" s="83">
        <f t="shared" si="153"/>
        <v>-3.6252803734676986E-2</v>
      </c>
      <c r="Q105" s="83">
        <f t="shared" si="154"/>
        <v>-9.6281887558764434E-2</v>
      </c>
      <c r="R105" s="83">
        <f t="shared" si="155"/>
        <v>0.11940247459612729</v>
      </c>
      <c r="S105" s="83">
        <f t="shared" si="156"/>
        <v>-3.4180556065432133E-2</v>
      </c>
      <c r="T105" s="83">
        <f t="shared" si="157"/>
        <v>-4.7881346603907415E-3</v>
      </c>
      <c r="U105" s="83">
        <f t="shared" si="158"/>
        <v>8.5656137760147244E-2</v>
      </c>
      <c r="V105" s="83">
        <f t="shared" si="159"/>
        <v>0.11592111878697819</v>
      </c>
      <c r="W105" s="83">
        <f t="shared" si="160"/>
        <v>8.1125957157822892E-2</v>
      </c>
      <c r="X105" s="83">
        <f t="shared" si="161"/>
        <v>-2.3841591307212084E-2</v>
      </c>
      <c r="Y105" s="83">
        <f t="shared" si="162"/>
        <v>9.7930109364190221E-2</v>
      </c>
    </row>
    <row r="106" spans="1:25" x14ac:dyDescent="0.25">
      <c r="A106" s="64" t="s">
        <v>58</v>
      </c>
      <c r="B106" s="65"/>
      <c r="C106" s="65"/>
      <c r="D106" s="83"/>
      <c r="E106" s="83">
        <f t="shared" si="142"/>
        <v>4.823669113439788E-2</v>
      </c>
      <c r="F106" s="83">
        <f t="shared" si="143"/>
        <v>3.283805409656626E-2</v>
      </c>
      <c r="G106" s="83">
        <f t="shared" si="144"/>
        <v>3.8173750342956003E-2</v>
      </c>
      <c r="H106" s="83">
        <f t="shared" si="145"/>
        <v>2.538930939629247E-2</v>
      </c>
      <c r="I106" s="83">
        <f t="shared" si="146"/>
        <v>-4.102775085513044E-3</v>
      </c>
      <c r="J106" s="83">
        <f t="shared" si="147"/>
        <v>5.5940630463303886E-2</v>
      </c>
      <c r="K106" s="83">
        <f t="shared" si="148"/>
        <v>6.8528985414529231E-2</v>
      </c>
      <c r="L106" s="83">
        <f t="shared" si="149"/>
        <v>-2.8486717219572855E-2</v>
      </c>
      <c r="M106" s="83">
        <f t="shared" si="150"/>
        <v>-0.17081905856768853</v>
      </c>
      <c r="N106" s="83">
        <f t="shared" si="151"/>
        <v>3.8426188764576041E-2</v>
      </c>
      <c r="O106" s="83">
        <f t="shared" si="152"/>
        <v>4.1942393291819258E-2</v>
      </c>
      <c r="P106" s="83">
        <f t="shared" si="153"/>
        <v>1.0587773466095296E-3</v>
      </c>
      <c r="Q106" s="83">
        <f t="shared" si="154"/>
        <v>1.7429956252925427E-2</v>
      </c>
      <c r="R106" s="83">
        <f t="shared" si="155"/>
        <v>5.8041239885885609E-2</v>
      </c>
      <c r="S106" s="83">
        <f t="shared" si="156"/>
        <v>3.8616543132980574E-2</v>
      </c>
      <c r="T106" s="83">
        <f t="shared" si="157"/>
        <v>4.0444446747762042E-2</v>
      </c>
      <c r="U106" s="83">
        <f t="shared" si="158"/>
        <v>7.083415118524039E-2</v>
      </c>
      <c r="V106" s="83">
        <f t="shared" si="159"/>
        <v>2.733456716769922E-2</v>
      </c>
      <c r="W106" s="83">
        <f t="shared" si="160"/>
        <v>5.0377662689748304E-2</v>
      </c>
      <c r="X106" s="83">
        <f t="shared" si="161"/>
        <v>-4.1970348421747961E-2</v>
      </c>
      <c r="Y106" s="83">
        <f t="shared" si="162"/>
        <v>4.93710788270596E-2</v>
      </c>
    </row>
    <row r="107" spans="1:25" x14ac:dyDescent="0.25">
      <c r="A107" s="85" t="s">
        <v>158</v>
      </c>
      <c r="B107" s="86"/>
      <c r="C107" s="86"/>
      <c r="D107" s="87"/>
      <c r="E107" s="87">
        <f t="shared" ref="E107:E108" si="163">IF(D33=0,"",E33/D33-1)</f>
        <v>2.7457429655317611E-3</v>
      </c>
      <c r="F107" s="87">
        <f t="shared" ref="F107:F108" si="164">IF(E33=0,"",F33/E33-1)</f>
        <v>1.1790867370816249E-2</v>
      </c>
      <c r="G107" s="87">
        <f t="shared" ref="G107:G108" si="165">IF(F33=0,"",G33/F33-1)</f>
        <v>2.510916147772746E-2</v>
      </c>
      <c r="H107" s="87">
        <f t="shared" ref="H107:H108" si="166">IF(G33=0,"",H33/G33-1)</f>
        <v>2.551054578536216E-2</v>
      </c>
      <c r="I107" s="87">
        <f t="shared" ref="I107:I108" si="167">IF(H33=0,"",I33/H33-1)</f>
        <v>0.24302591859795841</v>
      </c>
      <c r="J107" s="87">
        <f t="shared" ref="J107:J108" si="168">IF(I33=0,"",J33/I33-1)</f>
        <v>-2.1947544330105817E-2</v>
      </c>
      <c r="K107" s="87">
        <f t="shared" ref="K107:K108" si="169">IF(J33=0,"",K33/J33-1)</f>
        <v>0.22402805616262311</v>
      </c>
      <c r="L107" s="87">
        <f t="shared" ref="L107:L108" si="170">IF(K33=0,"",L33/K33-1)</f>
        <v>-2.6033297171597414E-2</v>
      </c>
      <c r="M107" s="87">
        <f t="shared" ref="M107:M108" si="171">IF(L33=0,"",M33/L33-1)</f>
        <v>-0.5171999106557047</v>
      </c>
      <c r="N107" s="87">
        <f t="shared" ref="N107:N108" si="172">IF(M33=0,"",N33/M33-1)</f>
        <v>0.25216732064984648</v>
      </c>
      <c r="O107" s="87">
        <f t="shared" ref="O107:O108" si="173">IF(N33=0,"",O33/N33-1)</f>
        <v>0.25375685678659243</v>
      </c>
      <c r="P107" s="87">
        <f t="shared" ref="P107:P108" si="174">IF(O33=0,"",P33/O33-1)</f>
        <v>-6.0783640244366333E-2</v>
      </c>
      <c r="Q107" s="87">
        <f t="shared" ref="Q107:Q108" si="175">IF(P33=0,"",Q33/P33-1)</f>
        <v>2.2846538944671257E-2</v>
      </c>
      <c r="R107" s="87">
        <f t="shared" ref="R107:R108" si="176">IF(Q33=0,"",R33/Q33-1)</f>
        <v>0.19764613483523807</v>
      </c>
      <c r="S107" s="87">
        <f t="shared" ref="S107:S108" si="177">IF(R33=0,"",S33/R33-1)</f>
        <v>0.22509118142235129</v>
      </c>
      <c r="T107" s="87">
        <f t="shared" ref="T107:T108" si="178">IF(S33=0,"",T33/S33-1)</f>
        <v>1.994782629206604E-2</v>
      </c>
      <c r="U107" s="87">
        <f t="shared" ref="U107:U108" si="179">IF(T33=0,"",U33/T33-1)</f>
        <v>7.1179439685811419E-2</v>
      </c>
      <c r="V107" s="87">
        <f t="shared" ref="V107:V108" si="180">IF(U33=0,"",V33/U33-1)</f>
        <v>-1.6858187154485837E-2</v>
      </c>
      <c r="W107" s="87">
        <f t="shared" ref="W107:W108" si="181">IF(V33=0,"",W33/V33-1)</f>
        <v>7.0090347833626332E-2</v>
      </c>
      <c r="X107" s="87">
        <f t="shared" ref="X107:X108" si="182">IF(W33=0,"",X33/W33-1)</f>
        <v>-0.20997224017154414</v>
      </c>
      <c r="Y107" s="87">
        <f t="shared" ref="Y107:Y108" si="183">IF(X33=0,"",Y33/X33-1)</f>
        <v>3.6526648878170143E-3</v>
      </c>
    </row>
    <row r="108" spans="1:25" x14ac:dyDescent="0.25">
      <c r="A108" s="88" t="s">
        <v>5</v>
      </c>
      <c r="B108" s="44"/>
      <c r="C108" s="44"/>
      <c r="D108" s="89"/>
      <c r="E108" s="89">
        <f t="shared" si="163"/>
        <v>2.7457429655317611E-3</v>
      </c>
      <c r="F108" s="89">
        <f t="shared" si="164"/>
        <v>1.1790867370816027E-2</v>
      </c>
      <c r="G108" s="89">
        <f t="shared" si="165"/>
        <v>2.510916147772746E-2</v>
      </c>
      <c r="H108" s="89">
        <f t="shared" si="166"/>
        <v>2.551054578536216E-2</v>
      </c>
      <c r="I108" s="89">
        <f t="shared" si="167"/>
        <v>0.24302591859795819</v>
      </c>
      <c r="J108" s="89">
        <f t="shared" si="168"/>
        <v>-2.1947544330105595E-2</v>
      </c>
      <c r="K108" s="89">
        <f t="shared" si="169"/>
        <v>0.22402805616262311</v>
      </c>
      <c r="L108" s="89">
        <f t="shared" si="170"/>
        <v>-2.6033297171597303E-2</v>
      </c>
      <c r="M108" s="89">
        <f t="shared" si="171"/>
        <v>-0.65137333337950021</v>
      </c>
      <c r="N108" s="89">
        <f t="shared" si="172"/>
        <v>0.70455863908683258</v>
      </c>
      <c r="O108" s="89">
        <f t="shared" si="173"/>
        <v>0.29623891226475174</v>
      </c>
      <c r="P108" s="89">
        <f t="shared" si="174"/>
        <v>-0.10633493907386726</v>
      </c>
      <c r="Q108" s="89">
        <f t="shared" si="175"/>
        <v>-2.3470792176140898E-2</v>
      </c>
      <c r="R108" s="89">
        <f t="shared" si="176"/>
        <v>0.16434731209105613</v>
      </c>
      <c r="S108" s="89">
        <f t="shared" si="177"/>
        <v>0.1275388007727396</v>
      </c>
      <c r="T108" s="89">
        <f t="shared" si="178"/>
        <v>-0.14456402425901382</v>
      </c>
      <c r="U108" s="89">
        <f t="shared" si="179"/>
        <v>0.13866598787801854</v>
      </c>
      <c r="V108" s="89">
        <f t="shared" si="180"/>
        <v>-7.8136236404086068E-3</v>
      </c>
      <c r="W108" s="89">
        <f t="shared" si="181"/>
        <v>0.12754301049951233</v>
      </c>
      <c r="X108" s="89">
        <f t="shared" si="182"/>
        <v>-0.35107137912215458</v>
      </c>
      <c r="Y108" s="89">
        <f t="shared" si="183"/>
        <v>0.50107904906250478</v>
      </c>
    </row>
    <row r="109" spans="1:25" x14ac:dyDescent="0.25">
      <c r="A109" s="88" t="s">
        <v>269</v>
      </c>
      <c r="B109" s="44"/>
      <c r="C109" s="44"/>
      <c r="D109" s="89"/>
      <c r="E109" s="89">
        <f t="shared" ref="E109" si="184">IF(D37=0,"",E37/D37-1)</f>
        <v>2.7457429655319832E-3</v>
      </c>
      <c r="F109" s="89">
        <f t="shared" ref="F109" si="185">IF(E37=0,"",F37/E37-1)</f>
        <v>1.1790867370816249E-2</v>
      </c>
      <c r="G109" s="89">
        <f t="shared" ref="G109" si="186">IF(F37=0,"",G37/F37-1)</f>
        <v>2.510916147772746E-2</v>
      </c>
      <c r="H109" s="89">
        <f t="shared" ref="H109" si="187">IF(G37=0,"",H37/G37-1)</f>
        <v>2.5510545785362382E-2</v>
      </c>
      <c r="I109" s="89">
        <f t="shared" ref="I109" si="188">IF(H37=0,"",I37/H37-1)</f>
        <v>0.24302591859795841</v>
      </c>
      <c r="J109" s="89">
        <f t="shared" ref="J109" si="189">IF(I37=0,"",J37/I37-1)</f>
        <v>-2.1947544330105928E-2</v>
      </c>
      <c r="K109" s="89">
        <f t="shared" ref="K109" si="190">IF(J37=0,"",K37/J37-1)</f>
        <v>0.22402805616262311</v>
      </c>
      <c r="L109" s="89">
        <f t="shared" ref="L109" si="191">IF(K37=0,"",L37/K37-1)</f>
        <v>-2.6033297171597303E-2</v>
      </c>
      <c r="M109" s="89">
        <f t="shared" ref="M109" si="192">IF(L37=0,"",M37/L37-1)</f>
        <v>-0.27014772762266626</v>
      </c>
      <c r="N109" s="89">
        <f t="shared" ref="N109" si="193">IF(M37=0,"",N37/M37-1)</f>
        <v>-0.14572183078181078</v>
      </c>
      <c r="O109" s="89">
        <f t="shared" ref="O109" si="194">IF(N37=0,"",O37/N37-1)</f>
        <v>0.17920370715824441</v>
      </c>
      <c r="P109" s="89">
        <f t="shared" ref="P109" si="195">IF(O37=0,"",P37/O37-1)</f>
        <v>2.7089765212414685E-2</v>
      </c>
      <c r="Q109" s="89">
        <f t="shared" ref="Q109" si="196">IF(P37=0,"",Q37/P37-1)</f>
        <v>0.10059048792532788</v>
      </c>
      <c r="R109" s="89">
        <f t="shared" ref="R109" si="197">IF(Q37=0,"",R37/Q37-1)</f>
        <v>0.24723811299831056</v>
      </c>
      <c r="S109" s="89">
        <f t="shared" ref="S109" si="198">IF(R37=0,"",S37/R37-1)</f>
        <v>0.36072050512920795</v>
      </c>
      <c r="T109" s="89">
        <f t="shared" ref="T109" si="199">IF(S37=0,"",T37/S37-1)</f>
        <v>0.20947674196243526</v>
      </c>
      <c r="U109" s="89">
        <f t="shared" ref="U109" si="200">IF(T37=0,"",U37/T37-1)</f>
        <v>1.6189214890852899E-2</v>
      </c>
      <c r="V109" s="89">
        <f t="shared" ref="V109" si="201">IF(U37=0,"",V37/U37-1)</f>
        <v>-2.5116240036527127E-2</v>
      </c>
      <c r="W109" s="89">
        <f t="shared" ref="W109" si="202">IF(V37=0,"",W37/V37-1)</f>
        <v>1.6702719120168297E-2</v>
      </c>
      <c r="X109" s="89">
        <f t="shared" ref="X109" si="203">IF(W37=0,"",X37/W37-1)</f>
        <v>-6.4562343420375923E-2</v>
      </c>
      <c r="Y109" s="89">
        <f t="shared" ref="Y109" si="204">IF(X37=0,"",Y37/X37-1)</f>
        <v>-0.35196268608372827</v>
      </c>
    </row>
    <row r="110" spans="1:25" x14ac:dyDescent="0.25">
      <c r="A110" s="68" t="s">
        <v>271</v>
      </c>
      <c r="B110" s="44"/>
      <c r="C110" s="44"/>
      <c r="D110" s="89"/>
      <c r="E110" s="89">
        <f t="shared" ref="E110:E111" si="205">IF(D43=0,"",E43/D43-1)</f>
        <v>5.4222867951454035E-2</v>
      </c>
      <c r="F110" s="89">
        <f t="shared" ref="F110:F111" si="206">IF(E43=0,"",F43/E43-1)</f>
        <v>4.5540574468253547E-2</v>
      </c>
      <c r="G110" s="89">
        <f t="shared" ref="G110:G111" si="207">IF(F43=0,"",G43/F43-1)</f>
        <v>0.22948631971647471</v>
      </c>
      <c r="H110" s="89">
        <f t="shared" ref="H110:H111" si="208">IF(G43=0,"",H43/G43-1)</f>
        <v>4.5878473116115703E-2</v>
      </c>
      <c r="I110" s="89">
        <f t="shared" ref="I110:I111" si="209">IF(H43=0,"",I43/H43-1)</f>
        <v>-5.2159838637684253E-2</v>
      </c>
      <c r="J110" s="89">
        <f t="shared" ref="J110:J111" si="210">IF(I43=0,"",J43/I43-1)</f>
        <v>0.18904959394313958</v>
      </c>
      <c r="K110" s="89">
        <f t="shared" ref="K110:K111" si="211">IF(J43=0,"",K43/J43-1)</f>
        <v>-6.2920159437166445E-3</v>
      </c>
      <c r="L110" s="89">
        <f t="shared" ref="L110:L111" si="212">IF(K43=0,"",L43/K43-1)</f>
        <v>-7.2731293690316279E-2</v>
      </c>
      <c r="M110" s="89">
        <f t="shared" ref="M110:M111" si="213">IF(L43=0,"",M43/L43-1)</f>
        <v>-7.4106932844584916E-2</v>
      </c>
      <c r="N110" s="89">
        <f t="shared" ref="N110:N111" si="214">IF(M43=0,"",N43/M43-1)</f>
        <v>7.9530993455135812E-2</v>
      </c>
      <c r="O110" s="89">
        <f t="shared" ref="O110:O111" si="215">IF(N43=0,"",O43/N43-1)</f>
        <v>5.055570835455625E-2</v>
      </c>
      <c r="P110" s="89">
        <f t="shared" ref="P110:P111" si="216">IF(O43=0,"",P43/O43-1)</f>
        <v>7.4767499746259958E-3</v>
      </c>
      <c r="Q110" s="89">
        <f t="shared" ref="Q110:Q111" si="217">IF(P43=0,"",Q43/P43-1)</f>
        <v>6.1168910402640941E-2</v>
      </c>
      <c r="R110" s="89">
        <f t="shared" ref="R110:R111" si="218">IF(Q43=0,"",R43/Q43-1)</f>
        <v>1.5145106112921525E-2</v>
      </c>
      <c r="S110" s="89">
        <f t="shared" ref="S110:S111" si="219">IF(R43=0,"",S43/R43-1)</f>
        <v>-5.2336386476426799E-2</v>
      </c>
      <c r="T110" s="89">
        <f t="shared" ref="T110:T111" si="220">IF(S43=0,"",T43/S43-1)</f>
        <v>-7.7950768897575018E-2</v>
      </c>
      <c r="U110" s="89">
        <f t="shared" ref="U110:U111" si="221">IF(T43=0,"",U43/T43-1)</f>
        <v>0.15846896963014534</v>
      </c>
      <c r="V110" s="89">
        <f t="shared" ref="V110:V111" si="222">IF(U43=0,"",V43/U43-1)</f>
        <v>4.0724140497425454E-2</v>
      </c>
      <c r="W110" s="89">
        <f t="shared" ref="W110:W111" si="223">IF(V43=0,"",W43/V43-1)</f>
        <v>0.11977210383797821</v>
      </c>
      <c r="X110" s="89">
        <f t="shared" ref="X110:X111" si="224">IF(W43=0,"",X43/W43-1)</f>
        <v>9.2413037208451509E-2</v>
      </c>
      <c r="Y110" s="89">
        <f t="shared" ref="Y110:Y111" si="225">IF(X43=0,"",Y43/X43-1)</f>
        <v>-3.9592633006897082E-2</v>
      </c>
    </row>
    <row r="111" spans="1:25" x14ac:dyDescent="0.25">
      <c r="A111" s="88" t="s">
        <v>272</v>
      </c>
      <c r="B111" s="44"/>
      <c r="C111" s="44"/>
      <c r="D111" s="89"/>
      <c r="E111" s="89">
        <f t="shared" si="205"/>
        <v>4.3158568327325675E-2</v>
      </c>
      <c r="F111" s="89">
        <f t="shared" si="206"/>
        <v>3.7517110227906603E-2</v>
      </c>
      <c r="G111" s="89">
        <f t="shared" si="207"/>
        <v>4.890520499934925E-2</v>
      </c>
      <c r="H111" s="89">
        <f t="shared" si="208"/>
        <v>4.631635345266738E-2</v>
      </c>
      <c r="I111" s="89">
        <f t="shared" si="209"/>
        <v>-3.8448140827561317E-2</v>
      </c>
      <c r="J111" s="89">
        <f t="shared" si="210"/>
        <v>3.719256270371063E-2</v>
      </c>
      <c r="K111" s="89">
        <f t="shared" si="211"/>
        <v>2.2786543875363829E-2</v>
      </c>
      <c r="L111" s="89">
        <f t="shared" si="212"/>
        <v>-0.10415806491125956</v>
      </c>
      <c r="M111" s="89">
        <f t="shared" si="213"/>
        <v>-5.8307072094728296E-2</v>
      </c>
      <c r="N111" s="89">
        <f t="shared" si="214"/>
        <v>0.10531714280523485</v>
      </c>
      <c r="O111" s="89">
        <f t="shared" si="215"/>
        <v>0.10476381735774187</v>
      </c>
      <c r="P111" s="89">
        <f t="shared" si="216"/>
        <v>-6.2183437075439274E-3</v>
      </c>
      <c r="Q111" s="89">
        <f t="shared" si="217"/>
        <v>2.6665202827284462E-2</v>
      </c>
      <c r="R111" s="89">
        <f t="shared" si="218"/>
        <v>8.563606200867091E-2</v>
      </c>
      <c r="S111" s="89">
        <f t="shared" si="219"/>
        <v>-9.4500088408644434E-2</v>
      </c>
      <c r="T111" s="89">
        <f t="shared" si="220"/>
        <v>-3.7614946010424255E-2</v>
      </c>
      <c r="U111" s="89">
        <f t="shared" si="221"/>
        <v>6.0869929171414983E-2</v>
      </c>
      <c r="V111" s="89">
        <f t="shared" si="222"/>
        <v>-2.9959561629294029E-2</v>
      </c>
      <c r="W111" s="89">
        <f t="shared" si="223"/>
        <v>3.5940207826484327E-2</v>
      </c>
      <c r="X111" s="89">
        <f t="shared" si="224"/>
        <v>6.9792685869565219E-2</v>
      </c>
      <c r="Y111" s="89">
        <f t="shared" si="225"/>
        <v>5.3844382042837147E-2</v>
      </c>
    </row>
    <row r="112" spans="1:25" x14ac:dyDescent="0.25">
      <c r="A112" s="88" t="s">
        <v>11</v>
      </c>
      <c r="B112" s="44"/>
      <c r="C112" s="44"/>
      <c r="D112" s="89"/>
      <c r="E112" s="89">
        <f t="shared" ref="E112:E113" si="226">IF(D47=0,"",E47/D47-1)</f>
        <v>6.1094349158833383E-2</v>
      </c>
      <c r="F112" s="89">
        <f t="shared" ref="F112:F113" si="227">IF(E47=0,"",F47/E47-1)</f>
        <v>5.0439317788494531E-2</v>
      </c>
      <c r="G112" s="89">
        <f t="shared" ref="G112:G113" si="228">IF(F47=0,"",G47/F47-1)</f>
        <v>0.33838419121066532</v>
      </c>
      <c r="H112" s="89">
        <f t="shared" ref="H112:H113" si="229">IF(G47=0,"",H47/G47-1)</f>
        <v>4.5671526682157682E-2</v>
      </c>
      <c r="I112" s="89">
        <f t="shared" ref="I112:I113" si="230">IF(H47=0,"",I47/H47-1)</f>
        <v>-5.8644114278154524E-2</v>
      </c>
      <c r="J112" s="89">
        <f t="shared" ref="J112:J113" si="231">IF(I47=0,"",J47/I47-1)</f>
        <v>0.2624036291806624</v>
      </c>
      <c r="K112" s="89">
        <f t="shared" ref="K112:K113" si="232">IF(J47=0,"",K47/J47-1)</f>
        <v>-1.783247692990042E-2</v>
      </c>
      <c r="L112" s="89">
        <f t="shared" ref="L112:L113" si="233">IF(K47=0,"",L47/K47-1)</f>
        <v>-5.9743078839358366E-2</v>
      </c>
      <c r="M112" s="89">
        <f t="shared" ref="M112:M113" si="234">IF(L47=0,"",M47/L47-1)</f>
        <v>-8.0328328317335163E-2</v>
      </c>
      <c r="N112" s="89">
        <f t="shared" ref="N112:N113" si="235">IF(M47=0,"",N47/M47-1)</f>
        <v>6.9134244850181492E-2</v>
      </c>
      <c r="O112" s="89">
        <f t="shared" ref="O112:O113" si="236">IF(N47=0,"",O47/N47-1)</f>
        <v>2.7959791292988978E-2</v>
      </c>
      <c r="P112" s="89">
        <f t="shared" ref="P112:P113" si="237">IF(O47=0,"",P47/O47-1)</f>
        <v>1.3611883741669217E-2</v>
      </c>
      <c r="Q112" s="89">
        <f t="shared" ref="Q112:Q113" si="238">IF(P47=0,"",Q47/P47-1)</f>
        <v>7.6323496371688782E-2</v>
      </c>
      <c r="R112" s="89">
        <f t="shared" ref="R112:R113" si="239">IF(Q47=0,"",R47/Q47-1)</f>
        <v>-1.4387225242287749E-2</v>
      </c>
      <c r="S112" s="89">
        <f t="shared" ref="S112:S113" si="240">IF(R47=0,"",S47/R47-1)</f>
        <v>-3.2879156844968227E-2</v>
      </c>
      <c r="T112" s="89">
        <f t="shared" ref="T112:T113" si="241">IF(S47=0,"",T47/S47-1)</f>
        <v>-9.5378500395420063E-2</v>
      </c>
      <c r="U112" s="89">
        <f t="shared" ref="U112:U113" si="242">IF(T47=0,"",U47/T47-1)</f>
        <v>0.20333084778061217</v>
      </c>
      <c r="V112" s="89">
        <f t="shared" ref="V112:V113" si="243">IF(U47=0,"",V47/U47-1)</f>
        <v>6.9367785374213176E-2</v>
      </c>
      <c r="W112" s="89">
        <f t="shared" ref="W112:W113" si="244">IF(V47=0,"",W47/V47-1)</f>
        <v>0.1505884414663492</v>
      </c>
      <c r="X112" s="89">
        <f t="shared" ref="X112:X113" si="245">IF(W47=0,"",X47/W47-1)</f>
        <v>9.9899656755829458E-2</v>
      </c>
      <c r="Y112" s="89">
        <f t="shared" ref="Y112:Y113" si="246">IF(X47=0,"",Y47/X47-1)</f>
        <v>-6.9670839153058717E-2</v>
      </c>
    </row>
    <row r="113" spans="1:25" x14ac:dyDescent="0.25">
      <c r="A113" s="68" t="s">
        <v>4</v>
      </c>
      <c r="B113" s="44"/>
      <c r="C113" s="44"/>
      <c r="D113" s="89"/>
      <c r="E113" s="89">
        <f t="shared" si="226"/>
        <v>2.9389336719711778E-2</v>
      </c>
      <c r="F113" s="89">
        <f t="shared" si="227"/>
        <v>-2.9323250813915291E-2</v>
      </c>
      <c r="G113" s="89">
        <f t="shared" si="228"/>
        <v>9.4422083626521491E-2</v>
      </c>
      <c r="H113" s="89">
        <f t="shared" si="229"/>
        <v>2.7207055212602915E-2</v>
      </c>
      <c r="I113" s="89">
        <f t="shared" si="230"/>
        <v>1.3208726246911828E-2</v>
      </c>
      <c r="J113" s="89">
        <f t="shared" si="231"/>
        <v>0.11947507865839002</v>
      </c>
      <c r="K113" s="89">
        <f t="shared" si="232"/>
        <v>4.3544839108941469E-2</v>
      </c>
      <c r="L113" s="89">
        <f t="shared" si="233"/>
        <v>-6.3917433420227043E-2</v>
      </c>
      <c r="M113" s="89">
        <f t="shared" si="234"/>
        <v>-0.26418236414577145</v>
      </c>
      <c r="N113" s="89">
        <f t="shared" si="235"/>
        <v>3.569158139830142E-2</v>
      </c>
      <c r="O113" s="89">
        <f t="shared" si="236"/>
        <v>-8.4133461819264066E-2</v>
      </c>
      <c r="P113" s="89">
        <f t="shared" si="237"/>
        <v>2.9965892508607705E-2</v>
      </c>
      <c r="Q113" s="89">
        <f t="shared" si="238"/>
        <v>4.6379607551105595E-2</v>
      </c>
      <c r="R113" s="89">
        <f t="shared" si="239"/>
        <v>7.4624870999064896E-2</v>
      </c>
      <c r="S113" s="89">
        <f t="shared" si="240"/>
        <v>7.3791606367583196E-2</v>
      </c>
      <c r="T113" s="89">
        <f t="shared" si="241"/>
        <v>2.4661168806739742E-2</v>
      </c>
      <c r="U113" s="89">
        <f t="shared" si="242"/>
        <v>1.7082632389981978E-3</v>
      </c>
      <c r="V113" s="89">
        <f t="shared" si="243"/>
        <v>6.6869349072345985E-2</v>
      </c>
      <c r="W113" s="89">
        <f t="shared" si="244"/>
        <v>4.5444252475396851E-2</v>
      </c>
      <c r="X113" s="89">
        <f t="shared" si="245"/>
        <v>-7.1377705260193602E-2</v>
      </c>
      <c r="Y113" s="89">
        <f t="shared" si="246"/>
        <v>7.3277004035501747E-2</v>
      </c>
    </row>
    <row r="114" spans="1:25" x14ac:dyDescent="0.25">
      <c r="A114" s="68" t="s">
        <v>3</v>
      </c>
      <c r="B114" s="44"/>
      <c r="C114" s="44"/>
      <c r="D114" s="89"/>
      <c r="E114" s="89">
        <f t="shared" ref="E114:E115" si="247">IF(D52=0,"",E52/D52-1)</f>
        <v>9.5987047607493103E-2</v>
      </c>
      <c r="F114" s="89">
        <f t="shared" ref="F114:F115" si="248">IF(E52=0,"",F52/E52-1)</f>
        <v>6.0253101742746784E-2</v>
      </c>
      <c r="G114" s="89">
        <f t="shared" ref="G114:G115" si="249">IF(F52=0,"",G52/F52-1)</f>
        <v>-0.13308062452133862</v>
      </c>
      <c r="H114" s="89">
        <f t="shared" ref="H114:H115" si="250">IF(G52=0,"",H52/G52-1)</f>
        <v>4.6981058172874679E-2</v>
      </c>
      <c r="I114" s="89">
        <f t="shared" ref="I114:I115" si="251">IF(H52=0,"",I52/H52-1)</f>
        <v>-4.6321104143636549E-2</v>
      </c>
      <c r="J114" s="89">
        <f t="shared" ref="J114:J115" si="252">IF(I52=0,"",J52/I52-1)</f>
        <v>-2.6640757821106642E-2</v>
      </c>
      <c r="K114" s="89">
        <f t="shared" ref="K114:K115" si="253">IF(J52=0,"",K52/J52-1)</f>
        <v>5.5745437489085337E-2</v>
      </c>
      <c r="L114" s="89">
        <f t="shared" ref="L114:L115" si="254">IF(K52=0,"",L52/K52-1)</f>
        <v>-8.7985521346399809E-2</v>
      </c>
      <c r="M114" s="89">
        <f t="shared" ref="M114:M115" si="255">IF(L52=0,"",M52/L52-1)</f>
        <v>4.5786370637463936E-3</v>
      </c>
      <c r="N114" s="89">
        <f t="shared" ref="N114:N115" si="256">IF(M52=0,"",N52/M52-1)</f>
        <v>-0.16176917411880765</v>
      </c>
      <c r="O114" s="89">
        <f t="shared" ref="O114:O115" si="257">IF(N52=0,"",O52/N52-1)</f>
        <v>3.5602213168372643E-2</v>
      </c>
      <c r="P114" s="89">
        <f t="shared" ref="P114:P115" si="258">IF(O52=0,"",P52/O52-1)</f>
        <v>-2.6234565085687667E-3</v>
      </c>
      <c r="Q114" s="89">
        <f t="shared" ref="Q114:Q115" si="259">IF(P52=0,"",Q52/P52-1)</f>
        <v>1.2712824222933516E-3</v>
      </c>
      <c r="R114" s="89">
        <f t="shared" ref="R114:R115" si="260">IF(Q52=0,"",R52/Q52-1)</f>
        <v>0.10430654868447542</v>
      </c>
      <c r="S114" s="89">
        <f t="shared" ref="S114:S115" si="261">IF(R52=0,"",S52/R52-1)</f>
        <v>-1.0084382901865974E-2</v>
      </c>
      <c r="T114" s="89">
        <f t="shared" ref="T114:T115" si="262">IF(S52=0,"",T52/S52-1)</f>
        <v>1.4433439995976016E-2</v>
      </c>
      <c r="U114" s="89">
        <f t="shared" ref="U114:U115" si="263">IF(T52=0,"",U52/T52-1)</f>
        <v>5.6708397065730054E-4</v>
      </c>
      <c r="V114" s="89">
        <f t="shared" ref="V114:V115" si="264">IF(U52=0,"",V52/U52-1)</f>
        <v>-3.9015750645841507E-2</v>
      </c>
      <c r="W114" s="89">
        <f t="shared" ref="W114:W115" si="265">IF(V52=0,"",W52/V52-1)</f>
        <v>0.10236778984256212</v>
      </c>
      <c r="X114" s="89">
        <f t="shared" ref="X114:X115" si="266">IF(W52=0,"",X52/W52-1)</f>
        <v>-3.415591163514542E-2</v>
      </c>
      <c r="Y114" s="89">
        <f t="shared" ref="Y114:Y115" si="267">IF(X52=0,"",Y52/X52-1)</f>
        <v>-9.9345953699932599E-2</v>
      </c>
    </row>
    <row r="115" spans="1:25" x14ac:dyDescent="0.25">
      <c r="A115" s="88" t="s">
        <v>21</v>
      </c>
      <c r="B115" s="44"/>
      <c r="C115" s="44"/>
      <c r="D115" s="89"/>
      <c r="E115" s="89">
        <f t="shared" si="247"/>
        <v>0.12865401208947569</v>
      </c>
      <c r="F115" s="89">
        <f t="shared" si="248"/>
        <v>3.0372537423159818E-2</v>
      </c>
      <c r="G115" s="89">
        <f t="shared" si="249"/>
        <v>-0.1499940774790296</v>
      </c>
      <c r="H115" s="89">
        <f t="shared" si="250"/>
        <v>5.701233154577845E-2</v>
      </c>
      <c r="I115" s="89">
        <f t="shared" si="251"/>
        <v>-4.4724292068711868E-2</v>
      </c>
      <c r="J115" s="89">
        <f t="shared" si="252"/>
        <v>-9.1733375182284083E-2</v>
      </c>
      <c r="K115" s="89">
        <f t="shared" si="253"/>
        <v>9.0572750341881392E-2</v>
      </c>
      <c r="L115" s="89">
        <f t="shared" si="254"/>
        <v>-0.15951852000664868</v>
      </c>
      <c r="M115" s="89">
        <f t="shared" si="255"/>
        <v>0.19008639039282182</v>
      </c>
      <c r="N115" s="89">
        <f t="shared" si="256"/>
        <v>-0.23113886968483754</v>
      </c>
      <c r="O115" s="89">
        <f t="shared" si="257"/>
        <v>4.8891311148480332E-2</v>
      </c>
      <c r="P115" s="89">
        <f t="shared" si="258"/>
        <v>2.4999518406819687E-2</v>
      </c>
      <c r="Q115" s="89">
        <f t="shared" si="259"/>
        <v>3.2023780782653333E-2</v>
      </c>
      <c r="R115" s="89">
        <f t="shared" si="260"/>
        <v>0.14470481675770852</v>
      </c>
      <c r="S115" s="89">
        <f t="shared" si="261"/>
        <v>-4.008653927813155E-2</v>
      </c>
      <c r="T115" s="89">
        <f t="shared" si="262"/>
        <v>2.0880930665601483E-2</v>
      </c>
      <c r="U115" s="89">
        <f t="shared" si="263"/>
        <v>-4.5454045499802032E-3</v>
      </c>
      <c r="V115" s="89">
        <f t="shared" si="264"/>
        <v>-5.1413550781563844E-2</v>
      </c>
      <c r="W115" s="89">
        <f t="shared" si="265"/>
        <v>0.16663351092511758</v>
      </c>
      <c r="X115" s="89">
        <f t="shared" si="266"/>
        <v>2.5294695529389566E-2</v>
      </c>
      <c r="Y115" s="89">
        <f t="shared" si="267"/>
        <v>-0.21008425235935846</v>
      </c>
    </row>
    <row r="116" spans="1:25" x14ac:dyDescent="0.25">
      <c r="A116" s="88" t="s">
        <v>16</v>
      </c>
      <c r="B116" s="44"/>
      <c r="C116" s="44"/>
      <c r="D116" s="89"/>
      <c r="E116" s="89">
        <f t="shared" ref="E116:E122" si="268">IF(D56=0,"",E56/D56-1)</f>
        <v>5.8791749279601735E-2</v>
      </c>
      <c r="F116" s="89">
        <f t="shared" ref="F116:F122" si="269">IF(E56=0,"",F56/E56-1)</f>
        <v>9.6520662111585276E-2</v>
      </c>
      <c r="G116" s="89">
        <f t="shared" ref="G116:G122" si="270">IF(F56=0,"",G56/F56-1)</f>
        <v>-0.11379031116609517</v>
      </c>
      <c r="H116" s="89">
        <f t="shared" ref="H116:H122" si="271">IF(G56=0,"",H56/G56-1)</f>
        <v>3.600747331057752E-2</v>
      </c>
      <c r="I116" s="89">
        <f t="shared" ref="I116:I122" si="272">IF(H56=0,"",I56/H56-1)</f>
        <v>-4.8103332849088742E-2</v>
      </c>
      <c r="J116" s="89">
        <f t="shared" ref="J116:J122" si="273">IF(I56=0,"",J56/I56-1)</f>
        <v>4.6268099026353982E-2</v>
      </c>
      <c r="K116" s="89">
        <f t="shared" ref="K116:K122" si="274">IF(J56=0,"",K56/J56-1)</f>
        <v>2.1881387745309233E-2</v>
      </c>
      <c r="L116" s="89">
        <f t="shared" ref="L116:L122" si="275">IF(K56=0,"",L56/K56-1)</f>
        <v>-1.3755512875874842E-2</v>
      </c>
      <c r="M116" s="89">
        <f t="shared" ref="M116:M122" si="276">IF(L56=0,"",M56/L56-1)</f>
        <v>-0.1594722958353515</v>
      </c>
      <c r="N116" s="89">
        <f t="shared" ref="N116:N122" si="277">IF(M56=0,"",N56/M56-1)</f>
        <v>-7.4910562451660501E-2</v>
      </c>
      <c r="O116" s="89">
        <f t="shared" ref="O116:O122" si="278">IF(N56=0,"",O56/N56-1)</f>
        <v>2.1772830890927963E-2</v>
      </c>
      <c r="P116" s="89">
        <f t="shared" ref="P116:P122" si="279">IF(O56=0,"",P56/O56-1)</f>
        <v>-3.2132413849214614E-2</v>
      </c>
      <c r="Q116" s="89">
        <f t="shared" ref="Q116:Q122" si="280">IF(P56=0,"",Q56/P56-1)</f>
        <v>-3.3520087956843136E-2</v>
      </c>
      <c r="R116" s="89">
        <f t="shared" ref="R116:R122" si="281">IF(Q56=0,"",R56/Q56-1)</f>
        <v>5.5503073187946894E-2</v>
      </c>
      <c r="S116" s="89">
        <f t="shared" ref="S116:S122" si="282">IF(R56=0,"",S56/R56-1)</f>
        <v>2.9223031988874215E-2</v>
      </c>
      <c r="T116" s="89">
        <f t="shared" ref="T116:T122" si="283">IF(S56=0,"",T56/S56-1)</f>
        <v>6.555089097529887E-3</v>
      </c>
      <c r="U116" s="89">
        <f t="shared" ref="U116:U122" si="284">IF(T56=0,"",U56/T56-1)</f>
        <v>6.9030740176010408E-3</v>
      </c>
      <c r="V116" s="89">
        <f t="shared" ref="V116:V122" si="285">IF(U56=0,"",V56/U56-1)</f>
        <v>-2.3825653182253714E-2</v>
      </c>
      <c r="W116" s="89">
        <f t="shared" ref="W116:W122" si="286">IF(V56=0,"",W56/V56-1)</f>
        <v>2.5853096808663212E-2</v>
      </c>
      <c r="X116" s="89">
        <f t="shared" ref="X116:X122" si="287">IF(W56=0,"",X56/W56-1)</f>
        <v>-0.11465130428062309</v>
      </c>
      <c r="Y116" s="89">
        <f t="shared" ref="Y116:Y122" si="288">IF(X56=0,"",Y56/X56-1)</f>
        <v>7.4292909679919195E-2</v>
      </c>
    </row>
    <row r="117" spans="1:25" x14ac:dyDescent="0.25">
      <c r="A117" s="68" t="s">
        <v>2</v>
      </c>
      <c r="B117" s="44"/>
      <c r="C117" s="44"/>
      <c r="D117" s="89"/>
      <c r="E117" s="89">
        <f t="shared" si="268"/>
        <v>2.1658267119867736E-2</v>
      </c>
      <c r="F117" s="89">
        <f t="shared" si="269"/>
        <v>-6.1071255937353852E-3</v>
      </c>
      <c r="G117" s="89">
        <f t="shared" si="270"/>
        <v>-1.2247251441451112E-2</v>
      </c>
      <c r="H117" s="89">
        <f t="shared" si="271"/>
        <v>-9.2664243390451984E-2</v>
      </c>
      <c r="I117" s="89">
        <f t="shared" si="272"/>
        <v>-7.2181510938978399E-2</v>
      </c>
      <c r="J117" s="89">
        <f t="shared" si="273"/>
        <v>-9.0118251422344198E-3</v>
      </c>
      <c r="K117" s="89">
        <f t="shared" si="274"/>
        <v>1.0452561147939132E-2</v>
      </c>
      <c r="L117" s="89">
        <f t="shared" si="275"/>
        <v>-0.10670971584955602</v>
      </c>
      <c r="M117" s="89">
        <f t="shared" si="276"/>
        <v>6.0239133734756756E-2</v>
      </c>
      <c r="N117" s="89">
        <f t="shared" si="277"/>
        <v>-8.2632557457090194E-2</v>
      </c>
      <c r="O117" s="89">
        <f t="shared" si="278"/>
        <v>-1.7815118396166563E-2</v>
      </c>
      <c r="P117" s="89">
        <f t="shared" si="279"/>
        <v>-1.0691132125128178E-2</v>
      </c>
      <c r="Q117" s="89">
        <f t="shared" si="280"/>
        <v>2.1440416753461422E-2</v>
      </c>
      <c r="R117" s="89">
        <f t="shared" si="281"/>
        <v>6.487512320836375E-2</v>
      </c>
      <c r="S117" s="89">
        <f t="shared" si="282"/>
        <v>3.6468369193645822E-2</v>
      </c>
      <c r="T117" s="89">
        <f t="shared" si="283"/>
        <v>3.9986383836228434E-2</v>
      </c>
      <c r="U117" s="89">
        <f t="shared" si="284"/>
        <v>2.20750927504485E-2</v>
      </c>
      <c r="V117" s="89">
        <f t="shared" si="285"/>
        <v>8.7114877806955926E-2</v>
      </c>
      <c r="W117" s="89">
        <f t="shared" si="286"/>
        <v>6.2336118454816569E-2</v>
      </c>
      <c r="X117" s="89">
        <f t="shared" si="287"/>
        <v>-3.2984530592759076E-2</v>
      </c>
      <c r="Y117" s="89">
        <f t="shared" si="288"/>
        <v>1.6413075478404426E-2</v>
      </c>
    </row>
    <row r="118" spans="1:25" x14ac:dyDescent="0.25">
      <c r="A118" s="68" t="s">
        <v>275</v>
      </c>
      <c r="B118" s="44"/>
      <c r="C118" s="44"/>
      <c r="D118" s="89"/>
      <c r="E118" s="89">
        <f t="shared" si="268"/>
        <v>0.11463226749097855</v>
      </c>
      <c r="F118" s="89">
        <f t="shared" si="269"/>
        <v>3.3553989398509287E-2</v>
      </c>
      <c r="G118" s="89">
        <f t="shared" si="270"/>
        <v>5.7114056221923448E-2</v>
      </c>
      <c r="H118" s="89">
        <f t="shared" si="271"/>
        <v>0.14572945694164874</v>
      </c>
      <c r="I118" s="89">
        <f t="shared" si="272"/>
        <v>0.12601080876711368</v>
      </c>
      <c r="J118" s="89">
        <f t="shared" si="273"/>
        <v>0.110224896875043</v>
      </c>
      <c r="K118" s="89">
        <f t="shared" si="274"/>
        <v>0.16318455629489037</v>
      </c>
      <c r="L118" s="89">
        <f t="shared" si="275"/>
        <v>5.9740737626735152E-2</v>
      </c>
      <c r="M118" s="89">
        <f t="shared" si="276"/>
        <v>-0.1582821556129792</v>
      </c>
      <c r="N118" s="89">
        <f t="shared" si="277"/>
        <v>0.1304095143432964</v>
      </c>
      <c r="O118" s="89">
        <f t="shared" si="278"/>
        <v>4.7363471762464249E-2</v>
      </c>
      <c r="P118" s="89">
        <f t="shared" si="279"/>
        <v>4.0955435283282604E-2</v>
      </c>
      <c r="Q118" s="89">
        <f t="shared" si="280"/>
        <v>-6.4921690755146977E-2</v>
      </c>
      <c r="R118" s="89">
        <f t="shared" si="281"/>
        <v>6.3223817060448884E-2</v>
      </c>
      <c r="S118" s="89">
        <f t="shared" si="282"/>
        <v>-1.0358635699204255E-2</v>
      </c>
      <c r="T118" s="89">
        <f t="shared" si="283"/>
        <v>1.3961368788758977E-2</v>
      </c>
      <c r="U118" s="89">
        <f t="shared" si="284"/>
        <v>0.14878497726380169</v>
      </c>
      <c r="V118" s="89">
        <f t="shared" si="285"/>
        <v>4.5616181736323203E-2</v>
      </c>
      <c r="W118" s="89">
        <f t="shared" si="286"/>
        <v>-1.602609833249069E-2</v>
      </c>
      <c r="X118" s="89">
        <f t="shared" si="287"/>
        <v>-9.437967500772837E-2</v>
      </c>
      <c r="Y118" s="89">
        <f t="shared" si="288"/>
        <v>5.063631529768875E-2</v>
      </c>
    </row>
    <row r="119" spans="1:25" x14ac:dyDescent="0.25">
      <c r="A119" s="68" t="s">
        <v>276</v>
      </c>
      <c r="B119" s="44"/>
      <c r="C119" s="44"/>
      <c r="D119" s="89"/>
      <c r="E119" s="89">
        <f t="shared" si="268"/>
        <v>4.8835354107393592E-2</v>
      </c>
      <c r="F119" s="89">
        <f t="shared" si="269"/>
        <v>5.0948189665071197E-2</v>
      </c>
      <c r="G119" s="89">
        <f t="shared" si="270"/>
        <v>5.2000123349027483E-2</v>
      </c>
      <c r="H119" s="89">
        <f t="shared" si="271"/>
        <v>3.412213167816347E-2</v>
      </c>
      <c r="I119" s="89">
        <f t="shared" si="272"/>
        <v>7.7008853149296286E-4</v>
      </c>
      <c r="J119" s="89">
        <f t="shared" si="273"/>
        <v>5.1298976597342172E-2</v>
      </c>
      <c r="K119" s="89">
        <f t="shared" si="274"/>
        <v>9.4616285980590797E-2</v>
      </c>
      <c r="L119" s="89">
        <f t="shared" si="275"/>
        <v>3.368115489798762E-2</v>
      </c>
      <c r="M119" s="89">
        <f t="shared" si="276"/>
        <v>-0.21898390265318679</v>
      </c>
      <c r="N119" s="89">
        <f t="shared" si="277"/>
        <v>7.3209639362885381E-2</v>
      </c>
      <c r="O119" s="89">
        <f t="shared" si="278"/>
        <v>3.8720849407795299E-2</v>
      </c>
      <c r="P119" s="89">
        <f t="shared" si="279"/>
        <v>2.322697372278193E-2</v>
      </c>
      <c r="Q119" s="89">
        <f t="shared" si="280"/>
        <v>1.6158583458337095E-2</v>
      </c>
      <c r="R119" s="89">
        <f t="shared" si="281"/>
        <v>3.9490927389318031E-2</v>
      </c>
      <c r="S119" s="89">
        <f t="shared" si="282"/>
        <v>8.6502791118421074E-2</v>
      </c>
      <c r="T119" s="89">
        <f t="shared" si="283"/>
        <v>7.9452404018399037E-2</v>
      </c>
      <c r="U119" s="89">
        <f t="shared" si="284"/>
        <v>4.6976427956651357E-2</v>
      </c>
      <c r="V119" s="89">
        <f t="shared" si="285"/>
        <v>2.0910285805658901E-2</v>
      </c>
      <c r="W119" s="89">
        <f t="shared" si="286"/>
        <v>3.8904654506422665E-2</v>
      </c>
      <c r="X119" s="89">
        <f t="shared" si="287"/>
        <v>-4.8058026650291685E-2</v>
      </c>
      <c r="Y119" s="89">
        <f t="shared" si="288"/>
        <v>0.10893980052181629</v>
      </c>
    </row>
    <row r="120" spans="1:25" x14ac:dyDescent="0.25">
      <c r="A120" s="68" t="s">
        <v>1</v>
      </c>
      <c r="B120" s="44"/>
      <c r="C120" s="44"/>
      <c r="D120" s="89"/>
      <c r="E120" s="89">
        <f t="shared" si="268"/>
        <v>3.5376059142476324E-2</v>
      </c>
      <c r="F120" s="89">
        <f t="shared" si="269"/>
        <v>-9.6115138751068252E-2</v>
      </c>
      <c r="G120" s="89">
        <f t="shared" si="270"/>
        <v>-0.1083030220218073</v>
      </c>
      <c r="H120" s="89">
        <f t="shared" si="271"/>
        <v>-4.2244695302158464E-2</v>
      </c>
      <c r="I120" s="89">
        <f t="shared" si="272"/>
        <v>-3.0005232031324214E-2</v>
      </c>
      <c r="J120" s="89">
        <f t="shared" si="273"/>
        <v>-4.9779502622381178E-2</v>
      </c>
      <c r="K120" s="89">
        <f t="shared" si="274"/>
        <v>4.8982116976215018E-4</v>
      </c>
      <c r="L120" s="89">
        <f t="shared" si="275"/>
        <v>-0.10742856952491942</v>
      </c>
      <c r="M120" s="89">
        <f t="shared" si="276"/>
        <v>-0.22665476354160763</v>
      </c>
      <c r="N120" s="89">
        <f t="shared" si="277"/>
        <v>-0.14108902246773758</v>
      </c>
      <c r="O120" s="89">
        <f t="shared" si="278"/>
        <v>6.7016463581263341E-2</v>
      </c>
      <c r="P120" s="89">
        <f t="shared" si="279"/>
        <v>-5.151628226572702E-2</v>
      </c>
      <c r="Q120" s="89">
        <f t="shared" si="280"/>
        <v>-8.2526240470381373E-2</v>
      </c>
      <c r="R120" s="89">
        <f t="shared" si="281"/>
        <v>8.5842058138180688E-2</v>
      </c>
      <c r="S120" s="89">
        <f t="shared" si="282"/>
        <v>-7.4267996845425843E-2</v>
      </c>
      <c r="T120" s="89">
        <f t="shared" si="283"/>
        <v>5.4259279036760866E-2</v>
      </c>
      <c r="U120" s="89">
        <f t="shared" si="284"/>
        <v>5.5720318653051049E-2</v>
      </c>
      <c r="V120" s="89">
        <f t="shared" si="285"/>
        <v>-3.7115395396061235E-3</v>
      </c>
      <c r="W120" s="89">
        <f t="shared" si="286"/>
        <v>-3.0395436715422108E-2</v>
      </c>
      <c r="X120" s="89">
        <f t="shared" si="287"/>
        <v>-0.14467884879388559</v>
      </c>
      <c r="Y120" s="89">
        <f t="shared" si="288"/>
        <v>2.9730042432069226E-2</v>
      </c>
    </row>
    <row r="121" spans="1:25" x14ac:dyDescent="0.25">
      <c r="A121" s="68" t="s">
        <v>0</v>
      </c>
      <c r="B121" s="44"/>
      <c r="C121" s="44"/>
      <c r="D121" s="89"/>
      <c r="E121" s="89">
        <f t="shared" si="268"/>
        <v>-2.8742308887620194E-2</v>
      </c>
      <c r="F121" s="89">
        <f t="shared" si="269"/>
        <v>-3.4300677553139591E-3</v>
      </c>
      <c r="G121" s="89">
        <f t="shared" si="270"/>
        <v>3.2206113017304361E-2</v>
      </c>
      <c r="H121" s="89">
        <f t="shared" si="271"/>
        <v>3.852395078635551E-3</v>
      </c>
      <c r="I121" s="89">
        <f t="shared" si="272"/>
        <v>1.4161984856701393E-2</v>
      </c>
      <c r="J121" s="89">
        <f t="shared" si="273"/>
        <v>7.5667874460016549E-2</v>
      </c>
      <c r="K121" s="89">
        <f t="shared" si="274"/>
        <v>0.13129065370450621</v>
      </c>
      <c r="L121" s="89">
        <f t="shared" si="275"/>
        <v>-0.14542420602594786</v>
      </c>
      <c r="M121" s="89">
        <f t="shared" si="276"/>
        <v>-0.1884201399406642</v>
      </c>
      <c r="N121" s="89">
        <f t="shared" si="277"/>
        <v>1.4486427839407234E-2</v>
      </c>
      <c r="O121" s="89">
        <f t="shared" si="278"/>
        <v>7.3687758156708139E-2</v>
      </c>
      <c r="P121" s="89">
        <f t="shared" si="279"/>
        <v>6.263775751266909E-3</v>
      </c>
      <c r="Q121" s="89">
        <f t="shared" si="280"/>
        <v>-1.6543344512425229E-2</v>
      </c>
      <c r="R121" s="89">
        <f t="shared" si="281"/>
        <v>0.13703143191149336</v>
      </c>
      <c r="S121" s="89">
        <f t="shared" si="282"/>
        <v>-3.9672517061421053E-2</v>
      </c>
      <c r="T121" s="89">
        <f t="shared" si="283"/>
        <v>4.3646611480075093E-2</v>
      </c>
      <c r="U121" s="89">
        <f t="shared" si="284"/>
        <v>5.2408026548594666E-2</v>
      </c>
      <c r="V121" s="89">
        <f t="shared" si="285"/>
        <v>4.6420762338620802E-2</v>
      </c>
      <c r="W121" s="89">
        <f t="shared" si="286"/>
        <v>4.409389529654506E-2</v>
      </c>
      <c r="X121" s="89">
        <f t="shared" si="287"/>
        <v>-7.8896645203934135E-3</v>
      </c>
      <c r="Y121" s="89">
        <f t="shared" si="288"/>
        <v>9.9606696534245476E-2</v>
      </c>
    </row>
    <row r="122" spans="1:25" x14ac:dyDescent="0.25">
      <c r="A122" s="90" t="s">
        <v>278</v>
      </c>
      <c r="B122" s="47"/>
      <c r="C122" s="47"/>
      <c r="D122" s="91"/>
      <c r="E122" s="91">
        <f t="shared" si="268"/>
        <v>7.7914347351080604E-2</v>
      </c>
      <c r="F122" s="91">
        <f t="shared" si="269"/>
        <v>0.15282970581939703</v>
      </c>
      <c r="G122" s="91">
        <f t="shared" si="270"/>
        <v>8.9399699562771051E-3</v>
      </c>
      <c r="H122" s="91">
        <f t="shared" si="271"/>
        <v>5.7909023519494784E-2</v>
      </c>
      <c r="I122" s="91">
        <f t="shared" si="272"/>
        <v>-2.6356322857862269E-2</v>
      </c>
      <c r="J122" s="91">
        <f t="shared" si="273"/>
        <v>8.8398533008717806E-3</v>
      </c>
      <c r="K122" s="91">
        <f t="shared" si="274"/>
        <v>5.8290806254927663E-2</v>
      </c>
      <c r="L122" s="91">
        <f t="shared" si="275"/>
        <v>-3.6376626174203897E-2</v>
      </c>
      <c r="M122" s="91">
        <f t="shared" si="276"/>
        <v>-0.13387637315021372</v>
      </c>
      <c r="N122" s="91">
        <f t="shared" si="277"/>
        <v>2.3130989657920153E-2</v>
      </c>
      <c r="O122" s="91">
        <f t="shared" si="278"/>
        <v>3.2803765638374616E-2</v>
      </c>
      <c r="P122" s="91">
        <f t="shared" si="279"/>
        <v>-6.7531439742744781E-2</v>
      </c>
      <c r="Q122" s="91">
        <f t="shared" si="280"/>
        <v>5.9926652092780364E-2</v>
      </c>
      <c r="R122" s="91">
        <f t="shared" si="281"/>
        <v>7.128104388110823E-2</v>
      </c>
      <c r="S122" s="91">
        <f t="shared" si="282"/>
        <v>6.7565520806410095E-2</v>
      </c>
      <c r="T122" s="91">
        <f t="shared" si="283"/>
        <v>0.13228779103871879</v>
      </c>
      <c r="U122" s="91">
        <f t="shared" si="284"/>
        <v>7.0760785961988537E-2</v>
      </c>
      <c r="V122" s="91">
        <f t="shared" si="285"/>
        <v>1.6906817964031484E-2</v>
      </c>
      <c r="W122" s="91">
        <f t="shared" si="286"/>
        <v>3.2315462215814383E-2</v>
      </c>
      <c r="X122" s="91">
        <f t="shared" si="287"/>
        <v>-8.7339128294140922E-2</v>
      </c>
      <c r="Y122" s="91">
        <f t="shared" si="288"/>
        <v>8.9253222082623207E-2</v>
      </c>
    </row>
  </sheetData>
  <pageMargins left="0.75" right="0.75" top="1" bottom="1" header="0.5" footer="0.5"/>
  <pageSetup paperSize="9" scale="68" fitToHeight="0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112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5"/>
  <cols>
    <col min="1" max="1" width="33.7109375" style="1" customWidth="1"/>
    <col min="2" max="2" width="14.85546875" style="1" bestFit="1" customWidth="1"/>
    <col min="3" max="3" width="92.42578125" style="1" bestFit="1" customWidth="1"/>
    <col min="4" max="4" width="38.28515625" style="1" bestFit="1" customWidth="1"/>
    <col min="5" max="16384" width="9.140625" style="1"/>
  </cols>
  <sheetData>
    <row r="1" spans="1:4" x14ac:dyDescent="0.25">
      <c r="A1" s="95" t="s">
        <v>244</v>
      </c>
      <c r="B1" s="96" t="s">
        <v>136</v>
      </c>
      <c r="C1" s="95" t="s">
        <v>137</v>
      </c>
      <c r="D1" s="95" t="s">
        <v>138</v>
      </c>
    </row>
    <row r="2" spans="1:4" x14ac:dyDescent="0.25">
      <c r="A2" s="40" t="s">
        <v>139</v>
      </c>
      <c r="B2" s="97" t="s">
        <v>24</v>
      </c>
      <c r="C2" s="40" t="s">
        <v>25</v>
      </c>
      <c r="D2" s="98" t="s">
        <v>140</v>
      </c>
    </row>
    <row r="3" spans="1:4" x14ac:dyDescent="0.25">
      <c r="A3" s="94" t="s">
        <v>141</v>
      </c>
      <c r="B3" s="99" t="s">
        <v>26</v>
      </c>
      <c r="C3" s="94" t="s">
        <v>27</v>
      </c>
      <c r="D3" s="39" t="s">
        <v>140</v>
      </c>
    </row>
    <row r="4" spans="1:4" ht="11.25" customHeight="1" x14ac:dyDescent="0.25">
      <c r="A4" s="46" t="s">
        <v>142</v>
      </c>
      <c r="B4" s="100" t="s">
        <v>28</v>
      </c>
      <c r="C4" s="46" t="s">
        <v>143</v>
      </c>
      <c r="D4" s="101" t="s">
        <v>140</v>
      </c>
    </row>
    <row r="5" spans="1:4" ht="11.25" customHeight="1" x14ac:dyDescent="0.25">
      <c r="A5" s="102" t="s">
        <v>33</v>
      </c>
      <c r="B5" s="103" t="s">
        <v>32</v>
      </c>
      <c r="C5" s="102"/>
      <c r="D5" s="98"/>
    </row>
    <row r="6" spans="1:4" ht="11.25" customHeight="1" x14ac:dyDescent="0.25">
      <c r="A6" s="101"/>
      <c r="B6" s="104" t="s">
        <v>32</v>
      </c>
      <c r="C6" s="101" t="s">
        <v>33</v>
      </c>
      <c r="D6" s="101" t="s">
        <v>144</v>
      </c>
    </row>
    <row r="7" spans="1:4" ht="11.25" customHeight="1" x14ac:dyDescent="0.25">
      <c r="A7" s="102" t="s">
        <v>56</v>
      </c>
      <c r="B7" s="103" t="s">
        <v>55</v>
      </c>
      <c r="C7" s="102"/>
      <c r="D7" s="98"/>
    </row>
    <row r="8" spans="1:4" ht="11.25" customHeight="1" x14ac:dyDescent="0.25">
      <c r="A8" s="101"/>
      <c r="B8" s="104" t="s">
        <v>55</v>
      </c>
      <c r="C8" s="101" t="s">
        <v>56</v>
      </c>
      <c r="D8" s="101" t="s">
        <v>145</v>
      </c>
    </row>
    <row r="9" spans="1:4" ht="11.25" customHeight="1" x14ac:dyDescent="0.25">
      <c r="A9" s="105" t="s">
        <v>146</v>
      </c>
      <c r="B9" s="106" t="s">
        <v>147</v>
      </c>
      <c r="C9" s="105"/>
      <c r="D9" s="107"/>
    </row>
    <row r="10" spans="1:4" x14ac:dyDescent="0.25">
      <c r="A10" s="108" t="s">
        <v>148</v>
      </c>
      <c r="B10" s="109" t="s">
        <v>149</v>
      </c>
      <c r="C10" s="108"/>
      <c r="D10" s="108"/>
    </row>
    <row r="11" spans="1:4" x14ac:dyDescent="0.25">
      <c r="A11" s="110"/>
      <c r="B11" s="110" t="s">
        <v>65</v>
      </c>
      <c r="C11" s="111" t="s">
        <v>66</v>
      </c>
      <c r="D11" s="112" t="s">
        <v>145</v>
      </c>
    </row>
    <row r="12" spans="1:4" x14ac:dyDescent="0.25">
      <c r="A12" s="113"/>
      <c r="B12" s="113" t="s">
        <v>67</v>
      </c>
      <c r="C12" s="106" t="s">
        <v>68</v>
      </c>
      <c r="D12" s="39" t="s">
        <v>145</v>
      </c>
    </row>
    <row r="13" spans="1:4" x14ac:dyDescent="0.25">
      <c r="A13" s="113"/>
      <c r="B13" s="113" t="s">
        <v>73</v>
      </c>
      <c r="C13" s="106" t="s">
        <v>74</v>
      </c>
      <c r="D13" s="39" t="s">
        <v>145</v>
      </c>
    </row>
    <row r="14" spans="1:4" x14ac:dyDescent="0.25">
      <c r="A14" s="113"/>
      <c r="B14" s="113" t="s">
        <v>75</v>
      </c>
      <c r="C14" s="106" t="s">
        <v>76</v>
      </c>
      <c r="D14" s="39" t="s">
        <v>145</v>
      </c>
    </row>
    <row r="15" spans="1:4" x14ac:dyDescent="0.25">
      <c r="A15" s="113"/>
      <c r="B15" s="113" t="s">
        <v>77</v>
      </c>
      <c r="C15" s="106" t="s">
        <v>78</v>
      </c>
      <c r="D15" s="39" t="s">
        <v>145</v>
      </c>
    </row>
    <row r="16" spans="1:4" ht="11.25" customHeight="1" x14ac:dyDescent="0.25">
      <c r="A16" s="114"/>
      <c r="B16" s="114" t="s">
        <v>79</v>
      </c>
      <c r="C16" s="115" t="s">
        <v>80</v>
      </c>
      <c r="D16" s="116" t="s">
        <v>145</v>
      </c>
    </row>
    <row r="17" spans="1:4" ht="11.25" customHeight="1" x14ac:dyDescent="0.25">
      <c r="A17" s="108" t="s">
        <v>150</v>
      </c>
      <c r="B17" s="109" t="s">
        <v>151</v>
      </c>
      <c r="C17" s="108"/>
      <c r="D17" s="107"/>
    </row>
    <row r="18" spans="1:4" ht="11.25" customHeight="1" x14ac:dyDescent="0.25">
      <c r="A18" s="110"/>
      <c r="B18" s="110" t="s">
        <v>40</v>
      </c>
      <c r="C18" s="111" t="s">
        <v>41</v>
      </c>
      <c r="D18" s="112" t="s">
        <v>145</v>
      </c>
    </row>
    <row r="19" spans="1:4" ht="11.25" customHeight="1" x14ac:dyDescent="0.25">
      <c r="A19" s="113"/>
      <c r="B19" s="113" t="s">
        <v>42</v>
      </c>
      <c r="C19" s="106" t="s">
        <v>43</v>
      </c>
      <c r="D19" s="107" t="s">
        <v>145</v>
      </c>
    </row>
    <row r="20" spans="1:4" ht="11.25" customHeight="1" x14ac:dyDescent="0.25">
      <c r="A20" s="113"/>
      <c r="B20" s="113" t="s">
        <v>44</v>
      </c>
      <c r="C20" s="106" t="s">
        <v>45</v>
      </c>
      <c r="D20" s="107" t="s">
        <v>145</v>
      </c>
    </row>
    <row r="21" spans="1:4" ht="11.25" customHeight="1" x14ac:dyDescent="0.25">
      <c r="A21" s="113"/>
      <c r="B21" s="113" t="s">
        <v>69</v>
      </c>
      <c r="C21" s="106" t="s">
        <v>70</v>
      </c>
      <c r="D21" s="107" t="s">
        <v>145</v>
      </c>
    </row>
    <row r="22" spans="1:4" ht="11.25" customHeight="1" x14ac:dyDescent="0.25">
      <c r="A22" s="113"/>
      <c r="B22" s="113" t="s">
        <v>71</v>
      </c>
      <c r="C22" s="106" t="s">
        <v>72</v>
      </c>
      <c r="D22" s="107" t="s">
        <v>145</v>
      </c>
    </row>
    <row r="23" spans="1:4" ht="11.25" customHeight="1" x14ac:dyDescent="0.25">
      <c r="A23" s="113"/>
      <c r="B23" s="113" t="s">
        <v>81</v>
      </c>
      <c r="C23" s="106" t="s">
        <v>82</v>
      </c>
      <c r="D23" s="107" t="s">
        <v>145</v>
      </c>
    </row>
    <row r="24" spans="1:4" ht="11.25" customHeight="1" x14ac:dyDescent="0.25">
      <c r="A24" s="113"/>
      <c r="B24" s="113" t="s">
        <v>83</v>
      </c>
      <c r="C24" s="106" t="s">
        <v>84</v>
      </c>
      <c r="D24" s="107" t="s">
        <v>145</v>
      </c>
    </row>
    <row r="25" spans="1:4" ht="11.25" customHeight="1" x14ac:dyDescent="0.25">
      <c r="A25" s="114"/>
      <c r="B25" s="114" t="s">
        <v>85</v>
      </c>
      <c r="C25" s="115" t="s">
        <v>86</v>
      </c>
      <c r="D25" s="116" t="s">
        <v>145</v>
      </c>
    </row>
    <row r="26" spans="1:4" ht="11.25" customHeight="1" x14ac:dyDescent="0.25">
      <c r="A26" s="67" t="s">
        <v>152</v>
      </c>
      <c r="B26" s="106" t="s">
        <v>153</v>
      </c>
      <c r="C26" s="67"/>
      <c r="D26" s="107"/>
    </row>
    <row r="27" spans="1:4" ht="11.25" customHeight="1" x14ac:dyDescent="0.25">
      <c r="A27" s="110"/>
      <c r="B27" s="110" t="s">
        <v>134</v>
      </c>
      <c r="C27" s="111" t="s">
        <v>135</v>
      </c>
      <c r="D27" s="112" t="s">
        <v>145</v>
      </c>
    </row>
    <row r="28" spans="1:4" ht="11.25" customHeight="1" x14ac:dyDescent="0.25">
      <c r="A28" s="113"/>
      <c r="B28" s="113" t="s">
        <v>61</v>
      </c>
      <c r="C28" s="106" t="s">
        <v>62</v>
      </c>
      <c r="D28" s="107" t="s">
        <v>145</v>
      </c>
    </row>
    <row r="29" spans="1:4" ht="11.25" customHeight="1" x14ac:dyDescent="0.25">
      <c r="A29" s="113"/>
      <c r="B29" s="113" t="s">
        <v>63</v>
      </c>
      <c r="C29" s="106" t="s">
        <v>64</v>
      </c>
      <c r="D29" s="107" t="s">
        <v>145</v>
      </c>
    </row>
    <row r="30" spans="1:4" ht="11.25" customHeight="1" x14ac:dyDescent="0.25">
      <c r="A30" s="102" t="s">
        <v>154</v>
      </c>
      <c r="B30" s="98" t="s">
        <v>155</v>
      </c>
      <c r="C30" s="102"/>
      <c r="D30" s="98"/>
    </row>
    <row r="31" spans="1:4" ht="11.25" customHeight="1" x14ac:dyDescent="0.25">
      <c r="A31" s="113"/>
      <c r="B31" s="113" t="s">
        <v>94</v>
      </c>
      <c r="C31" s="106" t="s">
        <v>95</v>
      </c>
      <c r="D31" s="39" t="s">
        <v>156</v>
      </c>
    </row>
    <row r="32" spans="1:4" ht="11.25" customHeight="1" x14ac:dyDescent="0.25">
      <c r="A32" s="104"/>
      <c r="B32" s="104" t="s">
        <v>59</v>
      </c>
      <c r="C32" s="117" t="s">
        <v>60</v>
      </c>
      <c r="D32" s="101" t="s">
        <v>145</v>
      </c>
    </row>
    <row r="33" spans="1:4" ht="11.25" customHeight="1" x14ac:dyDescent="0.25">
      <c r="A33" s="102" t="s">
        <v>37</v>
      </c>
      <c r="B33" s="103" t="s">
        <v>36</v>
      </c>
      <c r="C33" s="102"/>
      <c r="D33" s="98"/>
    </row>
    <row r="34" spans="1:4" ht="11.25" customHeight="1" x14ac:dyDescent="0.25">
      <c r="A34" s="101"/>
      <c r="B34" s="104" t="s">
        <v>36</v>
      </c>
      <c r="C34" s="101" t="s">
        <v>37</v>
      </c>
      <c r="D34" s="101" t="s">
        <v>144</v>
      </c>
    </row>
    <row r="35" spans="1:4" ht="11.25" customHeight="1" x14ac:dyDescent="0.25">
      <c r="A35" s="102" t="s">
        <v>58</v>
      </c>
      <c r="B35" s="81" t="s">
        <v>157</v>
      </c>
      <c r="C35" s="102"/>
      <c r="D35" s="98"/>
    </row>
    <row r="36" spans="1:4" ht="11.25" customHeight="1" x14ac:dyDescent="0.25">
      <c r="A36" s="118" t="s">
        <v>158</v>
      </c>
      <c r="B36" s="103" t="s">
        <v>124</v>
      </c>
      <c r="C36" s="118"/>
      <c r="D36" s="98"/>
    </row>
    <row r="37" spans="1:4" ht="11.25" customHeight="1" x14ac:dyDescent="0.25">
      <c r="A37" s="113"/>
      <c r="B37" s="113" t="s">
        <v>124</v>
      </c>
      <c r="C37" s="106" t="s">
        <v>125</v>
      </c>
      <c r="D37" s="39" t="s">
        <v>156</v>
      </c>
    </row>
    <row r="38" spans="1:4" ht="11.25" customHeight="1" x14ac:dyDescent="0.25">
      <c r="A38" s="119" t="s">
        <v>5</v>
      </c>
      <c r="B38" s="120"/>
      <c r="C38" s="119"/>
      <c r="D38" s="121"/>
    </row>
    <row r="39" spans="1:4" ht="11.25" customHeight="1" x14ac:dyDescent="0.25">
      <c r="A39" s="68"/>
      <c r="B39" s="113" t="s">
        <v>159</v>
      </c>
      <c r="C39" s="106" t="s">
        <v>160</v>
      </c>
      <c r="D39" s="39" t="s">
        <v>161</v>
      </c>
    </row>
    <row r="40" spans="1:4" ht="11.25" customHeight="1" x14ac:dyDescent="0.25">
      <c r="A40" s="68"/>
      <c r="B40" s="113" t="s">
        <v>162</v>
      </c>
      <c r="C40" s="106" t="s">
        <v>163</v>
      </c>
      <c r="D40" s="39" t="s">
        <v>161</v>
      </c>
    </row>
    <row r="41" spans="1:4" ht="11.25" customHeight="1" x14ac:dyDescent="0.25">
      <c r="A41" s="68"/>
      <c r="B41" s="113" t="s">
        <v>164</v>
      </c>
      <c r="C41" s="106" t="s">
        <v>165</v>
      </c>
      <c r="D41" s="39" t="s">
        <v>161</v>
      </c>
    </row>
    <row r="42" spans="1:4" ht="11.25" customHeight="1" x14ac:dyDescent="0.25">
      <c r="A42" s="68"/>
      <c r="B42" s="113" t="s">
        <v>166</v>
      </c>
      <c r="C42" s="106" t="s">
        <v>167</v>
      </c>
      <c r="D42" s="39" t="s">
        <v>161</v>
      </c>
    </row>
    <row r="43" spans="1:4" ht="11.25" customHeight="1" x14ac:dyDescent="0.25">
      <c r="A43" s="90"/>
      <c r="B43" s="104" t="s">
        <v>168</v>
      </c>
      <c r="C43" s="117" t="s">
        <v>169</v>
      </c>
      <c r="D43" s="101" t="s">
        <v>161</v>
      </c>
    </row>
    <row r="44" spans="1:4" ht="11.25" customHeight="1" x14ac:dyDescent="0.25">
      <c r="A44" s="119" t="s">
        <v>170</v>
      </c>
      <c r="B44" s="120"/>
      <c r="C44" s="119"/>
      <c r="D44" s="121"/>
    </row>
    <row r="45" spans="1:4" ht="11.25" customHeight="1" x14ac:dyDescent="0.25">
      <c r="A45" s="88" t="s">
        <v>14</v>
      </c>
      <c r="B45" s="122"/>
      <c r="C45" s="88"/>
      <c r="D45" s="39"/>
    </row>
    <row r="46" spans="1:4" x14ac:dyDescent="0.25">
      <c r="A46" s="88" t="s">
        <v>19</v>
      </c>
      <c r="B46" s="39"/>
      <c r="C46" s="39"/>
      <c r="D46" s="39"/>
    </row>
    <row r="47" spans="1:4" x14ac:dyDescent="0.25">
      <c r="A47" s="123" t="s">
        <v>13</v>
      </c>
      <c r="B47" s="116"/>
      <c r="C47" s="116"/>
      <c r="D47" s="116"/>
    </row>
    <row r="48" spans="1:4" x14ac:dyDescent="0.25">
      <c r="A48" s="68"/>
      <c r="B48" s="113" t="s">
        <v>171</v>
      </c>
      <c r="C48" s="106" t="s">
        <v>19</v>
      </c>
      <c r="D48" s="39" t="s">
        <v>161</v>
      </c>
    </row>
    <row r="49" spans="1:4" x14ac:dyDescent="0.25">
      <c r="A49" s="68"/>
      <c r="B49" s="113" t="s">
        <v>172</v>
      </c>
      <c r="C49" s="106" t="s">
        <v>173</v>
      </c>
      <c r="D49" s="39" t="s">
        <v>161</v>
      </c>
    </row>
    <row r="50" spans="1:4" x14ac:dyDescent="0.25">
      <c r="A50" s="68"/>
      <c r="B50" s="113" t="s">
        <v>174</v>
      </c>
      <c r="C50" s="106" t="s">
        <v>175</v>
      </c>
      <c r="D50" s="39" t="s">
        <v>161</v>
      </c>
    </row>
    <row r="51" spans="1:4" x14ac:dyDescent="0.25">
      <c r="A51" s="68"/>
      <c r="B51" s="113" t="s">
        <v>176</v>
      </c>
      <c r="C51" s="106" t="s">
        <v>177</v>
      </c>
      <c r="D51" s="39" t="s">
        <v>161</v>
      </c>
    </row>
    <row r="52" spans="1:4" x14ac:dyDescent="0.25">
      <c r="A52" s="68"/>
      <c r="B52" s="113" t="s">
        <v>178</v>
      </c>
      <c r="C52" s="106" t="s">
        <v>179</v>
      </c>
      <c r="D52" s="39" t="s">
        <v>161</v>
      </c>
    </row>
    <row r="53" spans="1:4" x14ac:dyDescent="0.25">
      <c r="A53" s="68"/>
      <c r="B53" s="113" t="s">
        <v>180</v>
      </c>
      <c r="C53" s="106" t="s">
        <v>181</v>
      </c>
      <c r="D53" s="39" t="s">
        <v>161</v>
      </c>
    </row>
    <row r="54" spans="1:4" x14ac:dyDescent="0.25">
      <c r="A54" s="68"/>
      <c r="B54" s="113" t="s">
        <v>182</v>
      </c>
      <c r="C54" s="106" t="s">
        <v>183</v>
      </c>
      <c r="D54" s="39" t="s">
        <v>161</v>
      </c>
    </row>
    <row r="55" spans="1:4" ht="11.25" customHeight="1" thickBot="1" x14ac:dyDescent="0.3">
      <c r="A55" s="124"/>
      <c r="B55" s="125" t="s">
        <v>184</v>
      </c>
      <c r="C55" s="126" t="s">
        <v>185</v>
      </c>
      <c r="D55" s="127" t="s">
        <v>161</v>
      </c>
    </row>
    <row r="56" spans="1:4" ht="11.25" customHeight="1" x14ac:dyDescent="0.25">
      <c r="A56" s="67" t="s">
        <v>271</v>
      </c>
      <c r="B56" s="106" t="s">
        <v>186</v>
      </c>
      <c r="C56" s="67"/>
      <c r="D56" s="39"/>
    </row>
    <row r="57" spans="1:4" x14ac:dyDescent="0.25">
      <c r="A57" s="128" t="s">
        <v>272</v>
      </c>
      <c r="B57" s="129" t="s">
        <v>96</v>
      </c>
      <c r="C57" s="128"/>
      <c r="D57" s="98"/>
    </row>
    <row r="58" spans="1:4" ht="11.25" customHeight="1" x14ac:dyDescent="0.25">
      <c r="A58" s="130"/>
      <c r="B58" s="114" t="s">
        <v>96</v>
      </c>
      <c r="C58" s="115" t="s">
        <v>97</v>
      </c>
      <c r="D58" s="116" t="s">
        <v>156</v>
      </c>
    </row>
    <row r="59" spans="1:4" ht="11.25" customHeight="1" x14ac:dyDescent="0.25">
      <c r="A59" s="88" t="s">
        <v>20</v>
      </c>
      <c r="B59" s="122"/>
      <c r="C59" s="88"/>
      <c r="D59" s="39"/>
    </row>
    <row r="60" spans="1:4" ht="11.25" customHeight="1" x14ac:dyDescent="0.25">
      <c r="A60" s="88"/>
      <c r="B60" s="113" t="s">
        <v>187</v>
      </c>
      <c r="C60" s="106" t="s">
        <v>188</v>
      </c>
      <c r="D60" s="39" t="s">
        <v>161</v>
      </c>
    </row>
    <row r="61" spans="1:4" ht="11.25" customHeight="1" x14ac:dyDescent="0.25">
      <c r="A61" s="88"/>
      <c r="B61" s="113" t="s">
        <v>189</v>
      </c>
      <c r="C61" s="106" t="s">
        <v>190</v>
      </c>
      <c r="D61" s="39" t="s">
        <v>161</v>
      </c>
    </row>
    <row r="62" spans="1:4" ht="11.25" customHeight="1" x14ac:dyDescent="0.25">
      <c r="A62" s="88"/>
      <c r="B62" s="113" t="s">
        <v>191</v>
      </c>
      <c r="C62" s="106" t="s">
        <v>192</v>
      </c>
      <c r="D62" s="39" t="s">
        <v>161</v>
      </c>
    </row>
    <row r="63" spans="1:4" ht="11.25" customHeight="1" x14ac:dyDescent="0.25">
      <c r="A63" s="123"/>
      <c r="B63" s="114" t="s">
        <v>193</v>
      </c>
      <c r="C63" s="115" t="s">
        <v>194</v>
      </c>
      <c r="D63" s="116" t="s">
        <v>161</v>
      </c>
    </row>
    <row r="64" spans="1:4" ht="11.25" customHeight="1" x14ac:dyDescent="0.25">
      <c r="A64" s="88" t="s">
        <v>12</v>
      </c>
      <c r="B64" s="122"/>
      <c r="C64" s="88"/>
      <c r="D64" s="39"/>
    </row>
    <row r="65" spans="1:4" ht="11.25" customHeight="1" x14ac:dyDescent="0.25">
      <c r="A65" s="88"/>
      <c r="B65" s="113" t="s">
        <v>195</v>
      </c>
      <c r="C65" s="106" t="s">
        <v>196</v>
      </c>
      <c r="D65" s="39" t="s">
        <v>161</v>
      </c>
    </row>
    <row r="66" spans="1:4" ht="11.25" customHeight="1" x14ac:dyDescent="0.25">
      <c r="A66" s="88"/>
      <c r="B66" s="113" t="s">
        <v>197</v>
      </c>
      <c r="C66" s="106" t="s">
        <v>198</v>
      </c>
      <c r="D66" s="39" t="s">
        <v>161</v>
      </c>
    </row>
    <row r="67" spans="1:4" ht="11.25" customHeight="1" x14ac:dyDescent="0.25">
      <c r="A67" s="88"/>
      <c r="B67" s="113" t="s">
        <v>199</v>
      </c>
      <c r="C67" s="106" t="s">
        <v>200</v>
      </c>
      <c r="D67" s="39" t="s">
        <v>161</v>
      </c>
    </row>
    <row r="68" spans="1:4" ht="11.25" customHeight="1" x14ac:dyDescent="0.25">
      <c r="A68" s="88"/>
      <c r="B68" s="113" t="s">
        <v>201</v>
      </c>
      <c r="C68" s="106" t="s">
        <v>202</v>
      </c>
      <c r="D68" s="39" t="s">
        <v>161</v>
      </c>
    </row>
    <row r="69" spans="1:4" ht="11.25" customHeight="1" x14ac:dyDescent="0.25">
      <c r="A69" s="88"/>
      <c r="B69" s="113" t="s">
        <v>203</v>
      </c>
      <c r="C69" s="106" t="s">
        <v>204</v>
      </c>
      <c r="D69" s="39" t="s">
        <v>161</v>
      </c>
    </row>
    <row r="70" spans="1:4" ht="11.25" customHeight="1" x14ac:dyDescent="0.25">
      <c r="A70" s="88"/>
      <c r="B70" s="113" t="s">
        <v>205</v>
      </c>
      <c r="C70" s="106" t="s">
        <v>206</v>
      </c>
      <c r="D70" s="39" t="s">
        <v>161</v>
      </c>
    </row>
    <row r="71" spans="1:4" ht="11.25" customHeight="1" x14ac:dyDescent="0.25">
      <c r="A71" s="131"/>
      <c r="B71" s="104" t="s">
        <v>207</v>
      </c>
      <c r="C71" s="117" t="s">
        <v>208</v>
      </c>
      <c r="D71" s="101" t="s">
        <v>161</v>
      </c>
    </row>
    <row r="72" spans="1:4" x14ac:dyDescent="0.25">
      <c r="A72" s="128" t="s">
        <v>11</v>
      </c>
      <c r="B72" s="129" t="s">
        <v>98</v>
      </c>
      <c r="C72" s="128"/>
      <c r="D72" s="98"/>
    </row>
    <row r="73" spans="1:4" ht="11.25" customHeight="1" thickBot="1" x14ac:dyDescent="0.3">
      <c r="A73" s="124"/>
      <c r="B73" s="125" t="s">
        <v>98</v>
      </c>
      <c r="C73" s="126" t="s">
        <v>99</v>
      </c>
      <c r="D73" s="127" t="s">
        <v>156</v>
      </c>
    </row>
    <row r="74" spans="1:4" ht="11.25" customHeight="1" x14ac:dyDescent="0.25">
      <c r="A74" s="67" t="s">
        <v>4</v>
      </c>
      <c r="B74" s="106" t="s">
        <v>122</v>
      </c>
      <c r="C74" s="67"/>
      <c r="D74" s="39"/>
    </row>
    <row r="75" spans="1:4" ht="11.25" customHeight="1" x14ac:dyDescent="0.25">
      <c r="A75" s="104"/>
      <c r="B75" s="104" t="s">
        <v>122</v>
      </c>
      <c r="C75" s="117" t="s">
        <v>123</v>
      </c>
      <c r="D75" s="101" t="s">
        <v>156</v>
      </c>
    </row>
    <row r="76" spans="1:4" ht="11.25" customHeight="1" x14ac:dyDescent="0.25">
      <c r="A76" s="119" t="s">
        <v>209</v>
      </c>
      <c r="B76" s="120"/>
      <c r="C76" s="119"/>
      <c r="D76" s="121"/>
    </row>
    <row r="77" spans="1:4" ht="11.25" customHeight="1" x14ac:dyDescent="0.25">
      <c r="A77" s="88"/>
      <c r="B77" s="113" t="s">
        <v>210</v>
      </c>
      <c r="C77" s="106" t="s">
        <v>211</v>
      </c>
      <c r="D77" s="39" t="s">
        <v>161</v>
      </c>
    </row>
    <row r="78" spans="1:4" ht="11.25" customHeight="1" x14ac:dyDescent="0.25">
      <c r="A78" s="123"/>
      <c r="B78" s="114" t="s">
        <v>212</v>
      </c>
      <c r="C78" s="115" t="s">
        <v>213</v>
      </c>
      <c r="D78" s="116" t="s">
        <v>161</v>
      </c>
    </row>
    <row r="79" spans="1:4" ht="11.25" customHeight="1" x14ac:dyDescent="0.25">
      <c r="A79" s="119" t="s">
        <v>18</v>
      </c>
      <c r="B79" s="120"/>
      <c r="C79" s="119"/>
      <c r="D79" s="121"/>
    </row>
    <row r="80" spans="1:4" ht="11.25" customHeight="1" x14ac:dyDescent="0.25">
      <c r="A80" s="123"/>
      <c r="B80" s="114" t="s">
        <v>214</v>
      </c>
      <c r="C80" s="115" t="s">
        <v>215</v>
      </c>
      <c r="D80" s="116" t="s">
        <v>161</v>
      </c>
    </row>
    <row r="81" spans="1:4" ht="11.25" customHeight="1" x14ac:dyDescent="0.25">
      <c r="A81" s="119" t="s">
        <v>9</v>
      </c>
      <c r="B81" s="120"/>
      <c r="C81" s="119"/>
      <c r="D81" s="121"/>
    </row>
    <row r="82" spans="1:4" ht="11.25" customHeight="1" x14ac:dyDescent="0.25">
      <c r="A82" s="88"/>
      <c r="B82" s="113" t="s">
        <v>216</v>
      </c>
      <c r="C82" s="106" t="s">
        <v>217</v>
      </c>
      <c r="D82" s="39" t="s">
        <v>161</v>
      </c>
    </row>
    <row r="83" spans="1:4" ht="11.25" customHeight="1" x14ac:dyDescent="0.25">
      <c r="A83" s="88"/>
      <c r="B83" s="113" t="s">
        <v>218</v>
      </c>
      <c r="C83" s="106" t="s">
        <v>219</v>
      </c>
      <c r="D83" s="39" t="s">
        <v>161</v>
      </c>
    </row>
    <row r="84" spans="1:4" ht="11.25" customHeight="1" x14ac:dyDescent="0.25">
      <c r="A84" s="88"/>
      <c r="B84" s="113" t="s">
        <v>220</v>
      </c>
      <c r="C84" s="106" t="s">
        <v>221</v>
      </c>
      <c r="D84" s="39" t="s">
        <v>161</v>
      </c>
    </row>
    <row r="85" spans="1:4" ht="11.25" customHeight="1" x14ac:dyDescent="0.25">
      <c r="A85" s="88"/>
      <c r="B85" s="113" t="s">
        <v>222</v>
      </c>
      <c r="C85" s="106" t="s">
        <v>223</v>
      </c>
      <c r="D85" s="39" t="s">
        <v>161</v>
      </c>
    </row>
    <row r="86" spans="1:4" ht="11.25" customHeight="1" thickBot="1" x14ac:dyDescent="0.3">
      <c r="A86" s="132"/>
      <c r="B86" s="125" t="s">
        <v>224</v>
      </c>
      <c r="C86" s="126" t="s">
        <v>225</v>
      </c>
      <c r="D86" s="127" t="s">
        <v>161</v>
      </c>
    </row>
    <row r="87" spans="1:4" ht="11.25" customHeight="1" x14ac:dyDescent="0.25">
      <c r="A87" s="67" t="s">
        <v>3</v>
      </c>
      <c r="B87" s="106" t="s">
        <v>226</v>
      </c>
      <c r="C87" s="67"/>
      <c r="D87" s="39"/>
    </row>
    <row r="88" spans="1:4" x14ac:dyDescent="0.25">
      <c r="A88" s="128" t="s">
        <v>21</v>
      </c>
      <c r="B88" s="129" t="s">
        <v>117</v>
      </c>
      <c r="C88" s="128"/>
      <c r="D88" s="98"/>
    </row>
    <row r="89" spans="1:4" ht="11.25" customHeight="1" x14ac:dyDescent="0.25">
      <c r="A89" s="130"/>
      <c r="B89" s="114" t="s">
        <v>117</v>
      </c>
      <c r="C89" s="115" t="s">
        <v>118</v>
      </c>
      <c r="D89" s="116" t="s">
        <v>156</v>
      </c>
    </row>
    <row r="90" spans="1:4" ht="11.25" customHeight="1" x14ac:dyDescent="0.25">
      <c r="A90" s="88" t="s">
        <v>8</v>
      </c>
      <c r="B90" s="122"/>
      <c r="C90" s="88"/>
      <c r="D90" s="39"/>
    </row>
    <row r="91" spans="1:4" ht="11.25" customHeight="1" x14ac:dyDescent="0.25">
      <c r="A91" s="123"/>
      <c r="B91" s="114" t="s">
        <v>227</v>
      </c>
      <c r="C91" s="115" t="s">
        <v>228</v>
      </c>
      <c r="D91" s="116" t="s">
        <v>161</v>
      </c>
    </row>
    <row r="92" spans="1:4" ht="11.25" customHeight="1" x14ac:dyDescent="0.25">
      <c r="A92" s="88" t="s">
        <v>17</v>
      </c>
      <c r="B92" s="122"/>
      <c r="C92" s="88"/>
      <c r="D92" s="39"/>
    </row>
    <row r="93" spans="1:4" ht="11.25" customHeight="1" x14ac:dyDescent="0.25">
      <c r="A93" s="88"/>
      <c r="B93" s="113" t="s">
        <v>229</v>
      </c>
      <c r="C93" s="106" t="s">
        <v>230</v>
      </c>
      <c r="D93" s="39" t="s">
        <v>161</v>
      </c>
    </row>
    <row r="94" spans="1:4" ht="11.25" customHeight="1" x14ac:dyDescent="0.25">
      <c r="A94" s="131"/>
      <c r="B94" s="104" t="s">
        <v>231</v>
      </c>
      <c r="C94" s="117" t="s">
        <v>232</v>
      </c>
      <c r="D94" s="101" t="s">
        <v>161</v>
      </c>
    </row>
    <row r="95" spans="1:4" x14ac:dyDescent="0.25">
      <c r="A95" s="128" t="s">
        <v>16</v>
      </c>
      <c r="B95" s="129" t="s">
        <v>119</v>
      </c>
      <c r="C95" s="128"/>
      <c r="D95" s="98"/>
    </row>
    <row r="96" spans="1:4" ht="11.25" customHeight="1" thickBot="1" x14ac:dyDescent="0.3">
      <c r="A96" s="124"/>
      <c r="B96" s="125" t="s">
        <v>119</v>
      </c>
      <c r="C96" s="126" t="s">
        <v>7</v>
      </c>
      <c r="D96" s="127" t="s">
        <v>156</v>
      </c>
    </row>
    <row r="97" spans="1:4" ht="11.25" customHeight="1" x14ac:dyDescent="0.25">
      <c r="A97" s="118" t="s">
        <v>2</v>
      </c>
      <c r="B97" s="103" t="s">
        <v>88</v>
      </c>
      <c r="C97" s="118"/>
      <c r="D97" s="98"/>
    </row>
    <row r="98" spans="1:4" ht="11.25" customHeight="1" thickBot="1" x14ac:dyDescent="0.3">
      <c r="A98" s="125"/>
      <c r="B98" s="125" t="s">
        <v>88</v>
      </c>
      <c r="C98" s="126" t="s">
        <v>89</v>
      </c>
      <c r="D98" s="127" t="s">
        <v>233</v>
      </c>
    </row>
    <row r="99" spans="1:4" ht="11.25" customHeight="1" x14ac:dyDescent="0.25">
      <c r="A99" s="118" t="s">
        <v>275</v>
      </c>
      <c r="B99" s="103" t="s">
        <v>110</v>
      </c>
      <c r="C99" s="118"/>
      <c r="D99" s="98"/>
    </row>
    <row r="100" spans="1:4" ht="11.25" customHeight="1" thickBot="1" x14ac:dyDescent="0.3">
      <c r="A100" s="125"/>
      <c r="B100" s="125" t="s">
        <v>110</v>
      </c>
      <c r="C100" s="126" t="s">
        <v>111</v>
      </c>
      <c r="D100" s="127" t="s">
        <v>233</v>
      </c>
    </row>
    <row r="101" spans="1:4" ht="11.25" customHeight="1" x14ac:dyDescent="0.25">
      <c r="A101" s="118" t="s">
        <v>276</v>
      </c>
      <c r="B101" s="103" t="s">
        <v>234</v>
      </c>
      <c r="C101" s="118"/>
      <c r="D101" s="98"/>
    </row>
    <row r="102" spans="1:4" ht="11.25" customHeight="1" x14ac:dyDescent="0.25">
      <c r="A102" s="67"/>
      <c r="B102" s="113" t="s">
        <v>126</v>
      </c>
      <c r="C102" s="106" t="s">
        <v>127</v>
      </c>
      <c r="D102" s="107" t="s">
        <v>156</v>
      </c>
    </row>
    <row r="103" spans="1:4" ht="11.25" customHeight="1" x14ac:dyDescent="0.25">
      <c r="A103" s="67"/>
      <c r="B103" s="113" t="s">
        <v>104</v>
      </c>
      <c r="C103" s="106" t="s">
        <v>105</v>
      </c>
      <c r="D103" s="107" t="s">
        <v>156</v>
      </c>
    </row>
    <row r="104" spans="1:4" ht="11.25" customHeight="1" x14ac:dyDescent="0.25">
      <c r="A104" s="67"/>
      <c r="B104" s="113" t="s">
        <v>106</v>
      </c>
      <c r="C104" s="106" t="s">
        <v>107</v>
      </c>
      <c r="D104" s="107" t="s">
        <v>156</v>
      </c>
    </row>
    <row r="105" spans="1:4" ht="11.25" customHeight="1" thickBot="1" x14ac:dyDescent="0.3">
      <c r="A105" s="125"/>
      <c r="B105" s="125" t="s">
        <v>108</v>
      </c>
      <c r="C105" s="126" t="s">
        <v>109</v>
      </c>
      <c r="D105" s="127" t="s">
        <v>156</v>
      </c>
    </row>
    <row r="106" spans="1:4" ht="11.25" customHeight="1" x14ac:dyDescent="0.25">
      <c r="A106" s="118" t="s">
        <v>1</v>
      </c>
      <c r="B106" s="103" t="s">
        <v>90</v>
      </c>
      <c r="C106" s="118"/>
      <c r="D106" s="98"/>
    </row>
    <row r="107" spans="1:4" ht="11.25" customHeight="1" thickBot="1" x14ac:dyDescent="0.3">
      <c r="A107" s="125"/>
      <c r="B107" s="125" t="s">
        <v>90</v>
      </c>
      <c r="C107" s="126" t="s">
        <v>91</v>
      </c>
      <c r="D107" s="127" t="s">
        <v>233</v>
      </c>
    </row>
    <row r="108" spans="1:4" ht="11.25" customHeight="1" x14ac:dyDescent="0.25">
      <c r="A108" s="118" t="s">
        <v>0</v>
      </c>
      <c r="B108" s="103" t="s">
        <v>115</v>
      </c>
      <c r="C108" s="118"/>
      <c r="D108" s="98"/>
    </row>
    <row r="109" spans="1:4" ht="11.25" customHeight="1" thickBot="1" x14ac:dyDescent="0.3">
      <c r="A109" s="125"/>
      <c r="B109" s="125" t="s">
        <v>115</v>
      </c>
      <c r="C109" s="126" t="s">
        <v>116</v>
      </c>
      <c r="D109" s="127" t="s">
        <v>156</v>
      </c>
    </row>
    <row r="110" spans="1:4" ht="11.25" customHeight="1" x14ac:dyDescent="0.25">
      <c r="A110" s="118" t="s">
        <v>278</v>
      </c>
      <c r="B110" s="103" t="s">
        <v>235</v>
      </c>
      <c r="C110" s="118"/>
      <c r="D110" s="98"/>
    </row>
    <row r="111" spans="1:4" ht="11.25" customHeight="1" x14ac:dyDescent="0.25">
      <c r="A111" s="67"/>
      <c r="B111" s="113" t="s">
        <v>120</v>
      </c>
      <c r="C111" s="106" t="s">
        <v>121</v>
      </c>
      <c r="D111" s="107" t="s">
        <v>156</v>
      </c>
    </row>
    <row r="112" spans="1:4" ht="11.25" customHeight="1" thickBot="1" x14ac:dyDescent="0.3">
      <c r="A112" s="125"/>
      <c r="B112" s="125" t="s">
        <v>132</v>
      </c>
      <c r="C112" s="126" t="s">
        <v>133</v>
      </c>
      <c r="D112" s="127" t="s">
        <v>156</v>
      </c>
    </row>
  </sheetData>
  <pageMargins left="0.19685039370078741" right="0.19685039370078741" top="0.19685039370078741" bottom="0.19685039370078741" header="0.11811023622047244" footer="0.11811023622047244"/>
  <pageSetup paperSize="9" scale="80" fitToHeight="0" orientation="landscape" horizontalDpi="1200" verticalDpi="1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76D5A36-3A92-4539-A251-993DE3BA2980}"/>
</file>

<file path=customXml/itemProps2.xml><?xml version="1.0" encoding="utf-8"?>
<ds:datastoreItem xmlns:ds="http://schemas.openxmlformats.org/officeDocument/2006/customXml" ds:itemID="{3F22B91F-761A-43A8-ABAC-E473F7458B50}"/>
</file>

<file path=customXml/itemProps3.xml><?xml version="1.0" encoding="utf-8"?>
<ds:datastoreItem xmlns:ds="http://schemas.openxmlformats.org/officeDocument/2006/customXml" ds:itemID="{8B612F63-5401-4CEA-B968-EE66DE53E6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index</vt:lpstr>
      <vt:lpstr>Macro_CurrPrices</vt:lpstr>
      <vt:lpstr>Macro_euro2015</vt:lpstr>
      <vt:lpstr>Macro_JRC-IDEES</vt:lpstr>
      <vt:lpstr>definitions</vt:lpstr>
      <vt:lpstr>definitions!Print_Area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2024-05-20T16:56:04Z</dcterms:created>
  <dcterms:modified xsi:type="dcterms:W3CDTF">2024-05-20T16:56:04Z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