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N31" i="6" s="1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N8" i="29" s="1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E14" i="29"/>
  <c r="D14" i="29"/>
  <c r="D6" i="29" s="1"/>
  <c r="W13" i="29"/>
  <c r="W5" i="31" s="1"/>
  <c r="V13" i="29"/>
  <c r="V5" i="31" s="1"/>
  <c r="U13" i="29"/>
  <c r="U11" i="29" s="1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J13" i="29"/>
  <c r="J5" i="29" s="1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F4" i="29" s="1"/>
  <c r="E12" i="29"/>
  <c r="D12" i="29"/>
  <c r="D11" i="29" s="1"/>
  <c r="T9" i="29"/>
  <c r="S9" i="29"/>
  <c r="R9" i="29"/>
  <c r="L9" i="29"/>
  <c r="J9" i="29"/>
  <c r="I9" i="29"/>
  <c r="D9" i="29"/>
  <c r="W8" i="29"/>
  <c r="V8" i="29"/>
  <c r="P8" i="29"/>
  <c r="M8" i="29"/>
  <c r="H8" i="29"/>
  <c r="G8" i="29"/>
  <c r="F8" i="29"/>
  <c r="E8" i="29"/>
  <c r="T7" i="29"/>
  <c r="R7" i="29"/>
  <c r="L7" i="29"/>
  <c r="K7" i="29"/>
  <c r="J7" i="29"/>
  <c r="I7" i="29"/>
  <c r="G7" i="29"/>
  <c r="D7" i="29"/>
  <c r="W6" i="29"/>
  <c r="U6" i="29"/>
  <c r="P6" i="29"/>
  <c r="O6" i="29"/>
  <c r="M6" i="29"/>
  <c r="H6" i="29"/>
  <c r="F6" i="29"/>
  <c r="E6" i="29"/>
  <c r="T5" i="29"/>
  <c r="S5" i="29"/>
  <c r="Q5" i="29"/>
  <c r="L5" i="29"/>
  <c r="K5" i="29"/>
  <c r="I5" i="29"/>
  <c r="D5" i="29"/>
  <c r="W4" i="29"/>
  <c r="P4" i="29"/>
  <c r="O4" i="29"/>
  <c r="N4" i="29"/>
  <c r="H4" i="29"/>
  <c r="G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N11" i="29" l="1"/>
  <c r="U4" i="29"/>
  <c r="V6" i="29"/>
  <c r="V11" i="29"/>
  <c r="U8" i="29"/>
  <c r="S7" i="29"/>
  <c r="W11" i="29"/>
  <c r="K11" i="29"/>
  <c r="G11" i="29"/>
  <c r="V4" i="29"/>
  <c r="R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W3" i="35"/>
  <c r="V3" i="31"/>
  <c r="U19" i="25"/>
  <c r="U15" i="24"/>
  <c r="U19" i="23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F4" i="12" s="1"/>
  <c r="B4" i="8"/>
  <c r="O29" i="9"/>
  <c r="O29" i="13" s="1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O4" i="13" l="1"/>
  <c r="G16" i="12"/>
  <c r="F4" i="24"/>
  <c r="N4" i="12"/>
  <c r="N19" i="23"/>
  <c r="G19" i="23"/>
  <c r="P4" i="12"/>
  <c r="K29" i="12"/>
  <c r="K29" i="15" s="1"/>
  <c r="O16" i="14"/>
  <c r="L19" i="24"/>
  <c r="C4" i="24"/>
  <c r="K4" i="24"/>
  <c r="E4" i="13"/>
  <c r="E19" i="24"/>
  <c r="I4" i="23"/>
  <c r="C17" i="16"/>
  <c r="O29" i="12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C29" i="16" s="1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6" s="1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4"/>
  <c r="K15" i="27" s="1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8" i="4"/>
  <c r="B29" i="4"/>
  <c r="B35" i="4"/>
  <c r="B39" i="4"/>
  <c r="B11" i="4"/>
  <c r="B22" i="4"/>
  <c r="B15" i="4"/>
  <c r="B7" i="4"/>
  <c r="B27" i="4"/>
  <c r="B10" i="4"/>
  <c r="B21" i="4"/>
  <c r="B8" i="4"/>
  <c r="B34" i="4"/>
  <c r="B36" i="4"/>
  <c r="B13" i="4"/>
  <c r="B16" i="4"/>
  <c r="B43" i="4"/>
  <c r="B25" i="4"/>
  <c r="B23" i="4"/>
  <c r="B26" i="4"/>
  <c r="B9" i="4"/>
  <c r="B42" i="4"/>
  <c r="B37" i="4"/>
  <c r="B20" i="4"/>
  <c r="B45" i="4"/>
  <c r="B17" i="4"/>
  <c r="B12" i="4"/>
  <c r="B14" i="4"/>
  <c r="B24" i="4"/>
  <c r="B30" i="4"/>
  <c r="B38" i="4"/>
  <c r="B4" i="4"/>
  <c r="B44" i="4"/>
  <c r="B33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<sst xmlns="http://schemas.openxmlformats.org/spreadsheetml/2006/main" count="2099" uniqueCount="1055">
  <si>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</si>
  <si>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</si>
  <si>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</si>
  <si>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</si>
  <si>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</si>
  <si>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</si>
  <si>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</si>
  <si>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</si>
  <si>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</si>
  <si>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</si>
  <si>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</si>
  <si>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</si>
  <si>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</si>
  <si>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</si>
  <si>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</si>
  <si>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</si>
  <si>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</si>
  <si>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</si>
  <si>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</si>
  <si>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</si>
  <si>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</si>
  <si>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</si>
  <si>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</si>
  <si>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</si>
  <si>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</si>
  <si>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</si>
  <si>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</si>
  <si>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</si>
  <si>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</si>
  <si>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</si>
  <si>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</si>
  <si>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</si>
  <si>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</si>
  <si>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</si>
  <si>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</si>
  <si>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</si>
  <si>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</si>
  <si>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</si>
  <si>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</si>
  <si>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</si>
  <si>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</si>
  <si>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</si>
  <si>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</si>
  <si>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</si>
  <si>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</si>
  <si>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</si>
  <si>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</si>
  <si>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</si>
  <si>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</si>
  <si>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</si>
  <si>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</si>
  <si>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</si>
  <si>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</si>
  <si>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</si>
  <si>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</si>
  <si>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</si>
  <si>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</si>
  <si>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</si>
  <si>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</si>
  <si>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</si>
  <si>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</si>
  <si>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</si>
  <si>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</si>
  <si>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</si>
  <si>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</si>
  <si>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</si>
  <si>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</si>
  <si>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</si>
  <si>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</si>
  <si>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</si>
  <si>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</si>
  <si>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</si>
  <si>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</si>
  <si>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</si>
  <si>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</si>
  <si>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</si>
  <si>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</si>
  <si>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</si>
  <si>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</si>
  <si>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</si>
  <si>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</si>
  <si>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</si>
  <si>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</si>
  <si>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</si>
  <si>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</si>
  <si>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</si>
  <si>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</si>
  <si>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</si>
  <si>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</si>
  <si>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</si>
  <si>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</si>
  <si>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</si>
  <si>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</si>
  <si>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</si>
  <si>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</si>
  <si>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</si>
  <si>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</si>
  <si>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</si>
  <si>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</si>
  <si>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</si>
  <si>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</si>
  <si>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</si>
  <si>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</si>
  <si>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</si>
  <si>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</si>
  <si>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</si>
  <si>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</si>
  <si>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</si>
  <si>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</si>
  <si>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</si>
  <si>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</si>
  <si>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</si>
  <si>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</si>
  <si>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</si>
  <si>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</si>
  <si>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</si>
  <si>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</si>
  <si>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</si>
  <si>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</si>
  <si>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</si>
  <si>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</si>
  <si>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</si>
  <si>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</si>
  <si>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</si>
  <si>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</si>
  <si>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</si>
  <si>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</si>
  <si>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</si>
  <si>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</si>
  <si>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</si>
  <si>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</si>
  <si>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</si>
  <si>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</si>
  <si>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</si>
  <si>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</si>
  <si>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</si>
  <si>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</si>
  <si>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</si>
  <si>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</si>
  <si>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</si>
  <si>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</si>
  <si>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</si>
  <si>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</si>
  <si>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</si>
  <si>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</si>
  <si>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</si>
  <si>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</si>
  <si>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</si>
  <si>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</si>
  <si>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</si>
  <si>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</si>
  <si>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</si>
  <si>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</si>
  <si>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</si>
  <si>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</si>
  <si>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</si>
  <si>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</si>
  <si>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</si>
  <si>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</si>
  <si>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</si>
  <si>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</si>
  <si>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</si>
  <si>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</si>
  <si>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</si>
  <si>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</si>
  <si>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</si>
  <si>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</si>
  <si>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</si>
  <si>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</si>
  <si>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</si>
  <si>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</si>
  <si>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</si>
  <si>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</si>
  <si>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</si>
  <si>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</si>
  <si>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</si>
  <si>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</si>
  <si>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</si>
  <si>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</si>
  <si>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</si>
  <si>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</si>
  <si>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</si>
  <si>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</si>
  <si>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</si>
  <si>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LU</t>
  </si>
  <si>
    <t>Luxembourg</t>
  </si>
  <si>
    <t>LU - Services sector summary</t>
  </si>
  <si>
    <t>Macro.number.LU.Population</t>
  </si>
  <si>
    <t>Macro.Meuro2015.LU.GDP</t>
  </si>
  <si>
    <t>Macro.Meuro2015.LU.VA</t>
  </si>
  <si>
    <t>Macro.number.LU.Employees</t>
  </si>
  <si>
    <t>NUM.number.LU.Ser.Bld</t>
  </si>
  <si>
    <t>SurfaceArea.ksqm.LU.Ser.Bld</t>
  </si>
  <si>
    <t>NUM.number.LU.Ser.BldNew</t>
  </si>
  <si>
    <t>SurfaceArea.ksqm.LU.Ser.BldNew</t>
  </si>
  <si>
    <t>HDD.Celsius.LU.Actual</t>
  </si>
  <si>
    <t>HDD.Celsius.LU.Mean</t>
  </si>
  <si>
    <t>HDD.ratio.LU.Relative</t>
  </si>
  <si>
    <t>FEC.ktoe.LU.ES.Ser</t>
  </si>
  <si>
    <t>FEC.ktoe.LU.ES.Ser.Solids</t>
  </si>
  <si>
    <t>FEC.ktoe.LU.ES.Ser.LPG</t>
  </si>
  <si>
    <t>FEC.ktoe.LU.ES.Ser.Oil</t>
  </si>
  <si>
    <t>FEC.ktoe.LU.ES.Ser.NG</t>
  </si>
  <si>
    <t>FEC.ktoe.LU.ES.Ser.Biomass_Waste</t>
  </si>
  <si>
    <t>FEC.ktoe.LU.ES.Ser.Biogas</t>
  </si>
  <si>
    <t>FEC.ktoe.LU.ES.Ser.LiqBio</t>
  </si>
  <si>
    <t>FEC.ktoe.LU.ES.Ser.Solar</t>
  </si>
  <si>
    <t>FEC.ktoe.LU.ES.Ser.Geo</t>
  </si>
  <si>
    <t>FEC.ktoe.LU.ES.Ser.Ambient</t>
  </si>
  <si>
    <t>FEC.ktoe.LU.ES.Ser.Steam_Distr</t>
  </si>
  <si>
    <t>FEC.ktoe.LU.ES.Ser.Elec</t>
  </si>
  <si>
    <t>FEC.ktoe.LU.Ser</t>
  </si>
  <si>
    <t>FEC.ktoe.LU.Ser.Bld.Thermal</t>
  </si>
  <si>
    <t>FEC.ktoe.LU.Ser.Bld.Thermal.SH</t>
  </si>
  <si>
    <t>FEC.ktoe.LU.Ser.Bld.Thermal.SC</t>
  </si>
  <si>
    <t>FEC.ktoe.LU.Ser.Bld.Thermal.HW</t>
  </si>
  <si>
    <t>FEC.ktoe.LU.Ser.Bld.Thermal.CA</t>
  </si>
  <si>
    <t>FEC.ktoe.LU.Ser.SEU</t>
  </si>
  <si>
    <t>EMI.ktCO2.LU.ES.Ser</t>
  </si>
  <si>
    <t>EMI.ktCO2.LU.ES.Ser.Solids</t>
  </si>
  <si>
    <t>EMI.ktCO2.LU.ES.Ser.LPG</t>
  </si>
  <si>
    <t>EMI.ktCO2.LU.ES.Ser.Oil</t>
  </si>
  <si>
    <t>EMI.ktCO2.LU.ES.Ser.NG</t>
  </si>
  <si>
    <t>EMI.ktCO2.LU.ES.Ser.Biomass_Waste</t>
  </si>
  <si>
    <t>EMI.ktCO2.LU.ES.Ser.Biogas</t>
  </si>
  <si>
    <t>EMI.ktCO2.LU.ES.Ser.LiqBio</t>
  </si>
  <si>
    <t>EMI.ktCO2.LU.ES.Ser.Solar</t>
  </si>
  <si>
    <t>EMI.ktCO2.LU.ES.Ser.Geo</t>
  </si>
  <si>
    <t>EMI.ktCO2.LU.ES.Ser.Ambient</t>
  </si>
  <si>
    <t>EMI.ktCO2.LU.ES.Ser.Steam_Distr</t>
  </si>
  <si>
    <t>EMI.ktCO2.LU.ES.Ser.Elec</t>
  </si>
  <si>
    <t>EMI.ktCO2.LU.Ser</t>
  </si>
  <si>
    <t>EMI.ktCO2.LU.Ser.Bld.Thermal</t>
  </si>
  <si>
    <t>EMI.ktCO2.LU.Ser.Bld.Thermal.SH</t>
  </si>
  <si>
    <t>EMI.ktCO2.LU.Ser.Bld.Thermal.SC</t>
  </si>
  <si>
    <t>EMI.ktCO2.LU.Ser.Bld.Thermal.HW</t>
  </si>
  <si>
    <t>EMI.ktCO2.LU.Ser.Bld.Thermal.CA</t>
  </si>
  <si>
    <t>EMI.ktCO2.LU.Ser.SEU</t>
  </si>
  <si>
    <t>Eff.ratio.LU.Ser.Bld.Thermal</t>
  </si>
  <si>
    <t>Eff.ratio.LU.Ser.Bld.Thermal.SH</t>
  </si>
  <si>
    <t>Eff.ratio.LU.Ser.Bld.Thermal.SC</t>
  </si>
  <si>
    <t>Eff.ratio.LU.Ser.Bld.Thermal.HW</t>
  </si>
  <si>
    <t>Eff.ratio.LU.Ser.Bld.Thermal.CA</t>
  </si>
  <si>
    <t>LU - Number of buildings</t>
  </si>
  <si>
    <t>NUM.number.LU.Ser.Bld.Thermal</t>
  </si>
  <si>
    <t>NUM.number.LU.Ser.Bld.Thermal.SH</t>
  </si>
  <si>
    <t>NUM.number.LU.Ser.Bld.Thermal.SH.Solids</t>
  </si>
  <si>
    <t>NUM.number.LU.Ser.Bld.Thermal.SH.LPG</t>
  </si>
  <si>
    <t>NUM.number.LU.Ser.Bld.Thermal.SH.Oil</t>
  </si>
  <si>
    <t>NUM.number.LU.Ser.Bld.Thermal.SH.GasHP</t>
  </si>
  <si>
    <t>NUM.number.LU.Ser.Bld.Thermal.SH.GasTH</t>
  </si>
  <si>
    <t>NUM.number.LU.Ser.Bld.Thermal.SH.Biomass</t>
  </si>
  <si>
    <t>NUM.number.LU.Ser.Bld.Thermal.SH.Geo</t>
  </si>
  <si>
    <t>NUM.number.LU.Ser.Bld.Thermal.SH.DistrHeat</t>
  </si>
  <si>
    <t>NUM.number.LU.Ser.Bld.Thermal.SH.AdvElc</t>
  </si>
  <si>
    <t>NUM.number.LU.Ser.Bld.Thermal.SH.ConvElc</t>
  </si>
  <si>
    <t>NUM.number.LU.Ser.Bld.Thermal.SC</t>
  </si>
  <si>
    <t>NUM.number.LU.Ser.Bld.Thermal.SC.GasHP</t>
  </si>
  <si>
    <t>NUM.number.LU.Ser.Bld.Thermal.SC.AC</t>
  </si>
  <si>
    <t>NUM.number.LU.Ser.Bld.Thermal.HW</t>
  </si>
  <si>
    <t>NUM.number.LU.Ser.Bld.Thermal.HW.Solids</t>
  </si>
  <si>
    <t>NUM.number.LU.Ser.Bld.Thermal.HW.LPG</t>
  </si>
  <si>
    <t>NUM.number.LU.Ser.Bld.Thermal.HW.Oil</t>
  </si>
  <si>
    <t>NUM.number.LU.Ser.Bld.Thermal.HW.Gas</t>
  </si>
  <si>
    <t>NUM.number.LU.Ser.Bld.Thermal.HW.Biomass</t>
  </si>
  <si>
    <t>NUM.number.LU.Ser.Bld.Thermal.HW.DistrHeat</t>
  </si>
  <si>
    <t>NUM.number.LU.Ser.Bld.Thermal.HW.Elc</t>
  </si>
  <si>
    <t>NUM.number.LU.Ser.Bld.Thermal.HW.Solar</t>
  </si>
  <si>
    <t>NUM.number.LU.Ser.Bld.Thermal.CA</t>
  </si>
  <si>
    <t>NUM.number.LU.Ser.Bld.Thermal.CA.LPG</t>
  </si>
  <si>
    <t>NUM.number.LU.Ser.Bld.Thermal.CA.Gas</t>
  </si>
  <si>
    <t>NUM.number.LU.Ser.Bld.Thermal.CA.Biomass</t>
  </si>
  <si>
    <t>NUM.number.LU.Ser.Bld.Thermal.CA.Elc</t>
  </si>
  <si>
    <t>LU - Final energy consumption</t>
  </si>
  <si>
    <t>FEC.ktoe.LU.Ser.Bld.Thermal.SH.Solids.Solids</t>
  </si>
  <si>
    <t>FEC.ktoe.LU.Ser.Bld.Thermal.SH.LPG.LPG</t>
  </si>
  <si>
    <t>FEC.ktoe.LU.Ser.Bld.Thermal.SH.Oil.Oil_LiqBio</t>
  </si>
  <si>
    <t>FEC.ktoe.LU.Ser.Bld.Thermal.SH.GasHP.NG_Biogas</t>
  </si>
  <si>
    <t>FEC.ktoe.LU.Ser.Bld.Thermal.SH.GasTH.NG_Biogas</t>
  </si>
  <si>
    <t>FEC.ktoe.LU.Ser.Bld.Thermal.SH.Biomass.Biomass_Waste</t>
  </si>
  <si>
    <t>FEC.ktoe.LU.Ser.Bld.Thermal.SH.Geo.Geo</t>
  </si>
  <si>
    <t>FEC.ktoe.LU.Ser.Bld.Thermal.SH.DistrHeat.Steam_Distr</t>
  </si>
  <si>
    <t>FEC.ktoe.LU.Ser.Bld.Thermal.SH.AdvElc.Elec</t>
  </si>
  <si>
    <t>FEC.ktoe.LU.Ser.Bld.Thermal.SH.ConvElc.Elec</t>
  </si>
  <si>
    <t>FEC.ktoe.LU.Ser.Bld.Thermal.SH.TotalCirculation.Elec</t>
  </si>
  <si>
    <t>FEC.ktoe.LU.Ser.Bld.Thermal.SC.GasHP.NG_Biogas</t>
  </si>
  <si>
    <t>FEC.ktoe.LU.Ser.Bld.Thermal.SC.AC.Elec</t>
  </si>
  <si>
    <t>FEC.ktoe.LU.Ser.Bld.Thermal.HW.Solids.Solids</t>
  </si>
  <si>
    <t>FEC.ktoe.LU.Ser.Bld.Thermal.HW.LPG.LPG</t>
  </si>
  <si>
    <t>FEC.ktoe.LU.Ser.Bld.Thermal.HW.Oil.Oil_LiqBio</t>
  </si>
  <si>
    <t>FEC.ktoe.LU.Ser.Bld.Thermal.HW.Gas.NG_Biogas</t>
  </si>
  <si>
    <t>FEC.ktoe.LU.Ser.Bld.Thermal.HW.Biomass.Biomass_Waste</t>
  </si>
  <si>
    <t>FEC.ktoe.LU.Ser.Bld.Thermal.HW.DistrHeat.Steam_Distr</t>
  </si>
  <si>
    <t>FEC.ktoe.LU.Ser.Bld.Thermal.HW.Elc.Elec</t>
  </si>
  <si>
    <t>FEC.ktoe.LU.Ser.Bld.Thermal.HW.TotalSolar.Solar</t>
  </si>
  <si>
    <t>FEC.ktoe.LU.Ser.Bld.Thermal.CA.LPG</t>
  </si>
  <si>
    <t>FEC.ktoe.LU.Ser.Bld.Thermal.CA.Gas.NG_Biogas</t>
  </si>
  <si>
    <t>FEC.ktoe.LU.Ser.Bld.Thermal.CA.Biomass.Biomass_Waste</t>
  </si>
  <si>
    <t>FEC.ktoe.LU.Ser.Bld.Thermal.CA.Elc.Elec</t>
  </si>
  <si>
    <t>LU - Thermal energy service</t>
  </si>
  <si>
    <t>TES.ktoe.LU.Ser.Bld.Thermal</t>
  </si>
  <si>
    <t>TES.ktoe.LU.Ser.Bld.Thermal.SH</t>
  </si>
  <si>
    <t>TES.ktoe.LU.Ser.Bld.Thermal.SH.Solids.Solids</t>
  </si>
  <si>
    <t>TES.ktoe.LU.Ser.Bld.Thermal.SH.LPG.LPG</t>
  </si>
  <si>
    <t>TES.ktoe.LU.Ser.Bld.Thermal.SH.Oil.Oil_LiqBio</t>
  </si>
  <si>
    <t>TES.ktoe.LU.Ser.Bld.Thermal.SH.GasHP.NG_Biogas</t>
  </si>
  <si>
    <t>TES.ktoe.LU.Ser.Bld.Thermal.SH.GasTH.NG_Biogas</t>
  </si>
  <si>
    <t>TES.ktoe.LU.Ser.Bld.Thermal.SH.Biomass.Biomass_Waste</t>
  </si>
  <si>
    <t>TES.ktoe.LU.Ser.Bld.Thermal.SH.Geo.Geo</t>
  </si>
  <si>
    <t>TES.ktoe.LU.Ser.Bld.Thermal.SH.DistrHeat.Steam_Distr</t>
  </si>
  <si>
    <t>TES.ktoe.LU.Ser.Bld.Thermal.SH.AdvElc.Elec</t>
  </si>
  <si>
    <t>TES.ktoe.LU.Ser.Bld.Thermal.SH.ConvElc.Elec</t>
  </si>
  <si>
    <t>TES.ktoe.LU.Ser.Bld.Thermal.SH.TotalCirculation.Elec</t>
  </si>
  <si>
    <t>TES.ktoe.LU.Ser.Bld.Thermal.SC</t>
  </si>
  <si>
    <t>TES.ktoe.LU.Ser.Bld.Thermal.SC.GasHP.NG_Biogas</t>
  </si>
  <si>
    <t>TES.ktoe.LU.Ser.Bld.Thermal.SC.AC.Elec</t>
  </si>
  <si>
    <t>TES.ktoe.LU.Ser.Bld.Thermal.HW</t>
  </si>
  <si>
    <t>TES.ktoe.LU.Ser.Bld.Thermal.HW.Solids.Solids</t>
  </si>
  <si>
    <t>TES.ktoe.LU.Ser.Bld.Thermal.HW.LPG.LPG</t>
  </si>
  <si>
    <t>TES.ktoe.LU.Ser.Bld.Thermal.HW.Oil.Oil_LiqBio</t>
  </si>
  <si>
    <t>TES.ktoe.LU.Ser.Bld.Thermal.HW.Gas.NG_Biogas</t>
  </si>
  <si>
    <t>TES.ktoe.LU.Ser.Bld.Thermal.HW.Biomass.Biomass_Waste</t>
  </si>
  <si>
    <t>TES.ktoe.LU.Ser.Bld.Thermal.HW.DistrHeat.Steam_Distr</t>
  </si>
  <si>
    <t>TES.ktoe.LU.Ser.Bld.Thermal.HW.Elc.Elec</t>
  </si>
  <si>
    <t>TES.ktoe.LU.Ser.Bld.Thermal.HW.TotalSolar.Solar</t>
  </si>
  <si>
    <t>TES.ktoe.LU.Ser.Bld.Thermal.CA</t>
  </si>
  <si>
    <t>TES.ktoe.LU.Ser.Bld.Thermal.CA.LPG</t>
  </si>
  <si>
    <t>TES.ktoe.LU.Ser.Bld.Thermal.CA.Gas.NG_Biogas</t>
  </si>
  <si>
    <t>TES.ktoe.LU.Ser.Bld.Thermal.CA.Biomass.Biomass_Waste</t>
  </si>
  <si>
    <t>TES.ktoe.LU.Ser.Bld.Thermal.CA.Elc.Elec</t>
  </si>
  <si>
    <t>LU - System efficiency indicator of total stock</t>
  </si>
  <si>
    <t>Eff.ratio.LU.Ser.Bld.Thermal.SH.Solids.Solids</t>
  </si>
  <si>
    <t>Eff.ratio.LU.Ser.Bld.Thermal.SH.LPG.LPG</t>
  </si>
  <si>
    <t>Eff.ratio.LU.Ser.Bld.Thermal.SH.Oil.Oil_LiqBio</t>
  </si>
  <si>
    <t>Eff.ratio.LU.Ser.Bld.Thermal.SH.GasHP.NG_Biogas</t>
  </si>
  <si>
    <t>Eff.ratio.LU.Ser.Bld.Thermal.SH.GasTH.NG_Biogas</t>
  </si>
  <si>
    <t>Eff.ratio.LU.Ser.Bld.Thermal.SH.Biomass.Biomass_Waste</t>
  </si>
  <si>
    <t>Eff.ratio.LU.Ser.Bld.Thermal.SH.Geo.Geo</t>
  </si>
  <si>
    <t>Eff.ratio.LU.Ser.Bld.Thermal.SH.DistrHeat.Steam_Distr</t>
  </si>
  <si>
    <t>Eff.ratio.LU.Ser.Bld.Thermal.SH.AdvElc.Elec</t>
  </si>
  <si>
    <t>Eff.ratio.LU.Ser.Bld.Thermal.SH.ConvElc.Elec</t>
  </si>
  <si>
    <t>Eff.ratio.LU.Ser.Bld.Thermal.SH.TotalCirculation.Elec</t>
  </si>
  <si>
    <t>Eff.ratio.LU.Ser.Bld.Thermal.SC.GasHP.NG_Biogas</t>
  </si>
  <si>
    <t>Eff.ratio.LU.Ser.Bld.Thermal.SC.AC.Elec</t>
  </si>
  <si>
    <t>Eff.ratio.LU.Ser.Bld.Thermal.HW.Solids.Solids</t>
  </si>
  <si>
    <t>Eff.ratio.LU.Ser.Bld.Thermal.HW.LPG.LPG</t>
  </si>
  <si>
    <t>Eff.ratio.LU.Ser.Bld.Thermal.HW.Oil.Oil_LiqBio</t>
  </si>
  <si>
    <t>Eff.ratio.LU.Ser.Bld.Thermal.HW.Gas.NG_Biogas</t>
  </si>
  <si>
    <t>Eff.ratio.LU.Ser.Bld.Thermal.HW.Biomass.Biomass_Waste</t>
  </si>
  <si>
    <t>Eff.ratio.LU.Ser.Bld.Thermal.HW.DistrHeat.Steam_Distr</t>
  </si>
  <si>
    <t>Eff.ratio.LU.Ser.Bld.Thermal.HW.Elc.Elec</t>
  </si>
  <si>
    <t>Eff.ratio.LU.Ser.Bld.Thermal.HW.TotalSolar.Solar</t>
  </si>
  <si>
    <t>Eff.ratio.LU.Ser.Bld.Thermal.CA.LPG</t>
  </si>
  <si>
    <t>Eff.ratio.LU.Ser.Bld.Thermal.CA.Gas.NG_Biogas</t>
  </si>
  <si>
    <t>Eff.ratio.LU.Ser.Bld.Thermal.CA.Biomass.Biomass_Waste</t>
  </si>
  <si>
    <t>Eff.ratio.LU.Ser.Bld.Thermal.CA.Elc.Elec</t>
  </si>
  <si>
    <t>LU - CO2 emissions</t>
  </si>
  <si>
    <t>EMI.ktCO2.LU.Ser.Bld.Thermal.SH.Solids.Solids</t>
  </si>
  <si>
    <t>EMI.ktCO2.LU.Ser.Bld.Thermal.SH.LPG.LPG</t>
  </si>
  <si>
    <t>EMI.ktCO2.LU.Ser.Bld.Thermal.SH.Oil.Oil_LiqBio</t>
  </si>
  <si>
    <t>EMI.ktCO2.LU.Ser.Bld.Thermal.SH.GasHP.NG_Biogas</t>
  </si>
  <si>
    <t>EMI.ktCO2.LU.Ser.Bld.Thermal.SH.GasTH.NG_Biogas</t>
  </si>
  <si>
    <t>EMI.ktCO2.LU.Ser.Bld.Thermal.SH.Biomass.Biomass_Waste</t>
  </si>
  <si>
    <t>EMI.ktCO2.LU.Ser.Bld.Thermal.SH.Geo.Geo</t>
  </si>
  <si>
    <t>EMI.ktCO2.LU.Ser.Bld.Thermal.SH.DistrHeat.Steam_Distr</t>
  </si>
  <si>
    <t>EMI.ktCO2.LU.Ser.Bld.Thermal.SH.AdvElc.Elec</t>
  </si>
  <si>
    <t>EMI.ktCO2.LU.Ser.Bld.Thermal.SH.ConvElc.Elec</t>
  </si>
  <si>
    <t>EMI.ktCO2.LU.Ser.Bld.Thermal.SH.TotalCirculation.Elec</t>
  </si>
  <si>
    <t>EMI.ktCO2.LU.Ser.Bld.Thermal.SC.GasHP.NG_Biogas</t>
  </si>
  <si>
    <t>EMI.ktCO2.LU.Ser.Bld.Thermal.SC.AC.Elec</t>
  </si>
  <si>
    <t>EMI.ktCO2.LU.Ser.Bld.Thermal.HW.Solids.Solids</t>
  </si>
  <si>
    <t>EMI.ktCO2.LU.Ser.Bld.Thermal.HW.LPG.LPG</t>
  </si>
  <si>
    <t>EMI.ktCO2.LU.Ser.Bld.Thermal.HW.Oil.Oil_LiqBio</t>
  </si>
  <si>
    <t>EMI.ktCO2.LU.Ser.Bld.Thermal.HW.Gas.NG_Biogas</t>
  </si>
  <si>
    <t>EMI.ktCO2.LU.Ser.Bld.Thermal.HW.Biomass.Biomass_Waste</t>
  </si>
  <si>
    <t>EMI.ktCO2.LU.Ser.Bld.Thermal.HW.DistrHeat.Steam_Distr</t>
  </si>
  <si>
    <t>EMI.ktCO2.LU.Ser.Bld.Thermal.HW.Elc.Elec</t>
  </si>
  <si>
    <t>EMI.ktCO2.LU.Ser.Bld.Thermal.HW.TotalSolar.Solar</t>
  </si>
  <si>
    <t>EMI.ktCO2.LU.Ser.Bld.Thermal.CA.LPG</t>
  </si>
  <si>
    <t>EMI.ktCO2.LU.Ser.Bld.Thermal.CA.Gas.NG_Biogas</t>
  </si>
  <si>
    <t>EMI.ktCO2.LU.Ser.Bld.Thermal.CA.Biomass.Biomass_Waste</t>
  </si>
  <si>
    <t>EMI.ktCO2.LU.Ser.Bld.Thermal.CA.Elc.Elec</t>
  </si>
  <si>
    <t>LU - Final energy consumption per building</t>
  </si>
  <si>
    <t>FEC_per_building.kWh.LU.Ser.Bld.Thermal</t>
  </si>
  <si>
    <t>FEC_per_building.kWh.LU.Ser.Bld.Thermal.SH</t>
  </si>
  <si>
    <t>FEC_per_building.kWh.LU.Ser.Bld.Thermal.SH.Solids.Solids</t>
  </si>
  <si>
    <t>FEC_per_building.kWh.LU.Ser.Bld.Thermal.SH.LPG.LPG</t>
  </si>
  <si>
    <t>FEC_per_building.kWh.LU.Ser.Bld.Thermal.SH.Oil.Oil_LiqBio</t>
  </si>
  <si>
    <t>FEC_per_building.kWh.LU.Ser.Bld.Thermal.SH.GasHP.NG_Biogas</t>
  </si>
  <si>
    <t>FEC_per_building.kWh.LU.Ser.Bld.Thermal.SH.GasTH.NG_Biogas</t>
  </si>
  <si>
    <t>FEC_per_building.kWh.LU.Ser.Bld.Thermal.SH.Biomass.Biomass_Waste</t>
  </si>
  <si>
    <t>FEC_per_building.kWh.LU.Ser.Bld.Thermal.SH.Geo.Geo</t>
  </si>
  <si>
    <t>FEC_per_building.kWh.LU.Ser.Bld.Thermal.SH.DistrHeat.Steam_Distr</t>
  </si>
  <si>
    <t>FEC_per_building.kWh.LU.Ser.Bld.Thermal.SH.AdvElc.Elec</t>
  </si>
  <si>
    <t>FEC_per_building.kWh.LU.Ser.Bld.Thermal.SH.ConvElc.Elec</t>
  </si>
  <si>
    <t>FEC_per_building.kWh.LU.Ser.Bld.Thermal.SH.TotalCirculation.Elec</t>
  </si>
  <si>
    <t>FEC_per_building.kWh.LU.Ser.Bld.Thermal.SC</t>
  </si>
  <si>
    <t>FEC_per_building.kWh.LU.Ser.Bld.Thermal.SC.GasHP.NG_Biogas</t>
  </si>
  <si>
    <t>FEC_per_building.kWh.LU.Ser.Bld.Thermal.SC.AC.Elec</t>
  </si>
  <si>
    <t>FEC_per_building.kWh.LU.Ser.Bld.Thermal.HW</t>
  </si>
  <si>
    <t>FEC_per_building.kWh.LU.Ser.Bld.Thermal.HW.Solids.Solids</t>
  </si>
  <si>
    <t>FEC_per_building.kWh.LU.Ser.Bld.Thermal.HW.LPG.LPG</t>
  </si>
  <si>
    <t>FEC_per_building.kWh.LU.Ser.Bld.Thermal.HW.Oil.Oil_LiqBio</t>
  </si>
  <si>
    <t>FEC_per_building.kWh.LU.Ser.Bld.Thermal.HW.Gas.NG_Biogas</t>
  </si>
  <si>
    <t>FEC_per_building.kWh.LU.Ser.Bld.Thermal.HW.Biomass.Biomass_Waste</t>
  </si>
  <si>
    <t>FEC_per_building.kWh.LU.Ser.Bld.Thermal.HW.DistrHeat.Steam_Distr</t>
  </si>
  <si>
    <t>FEC_per_building.kWh.LU.Ser.Bld.Thermal.HW.Elc.Elec</t>
  </si>
  <si>
    <t>FEC_per_building.kWh.LU.Ser.Bld.Thermal.HW.TotalSolar.Solar</t>
  </si>
  <si>
    <t>FEC_per_building.kWh.LU.Ser.Bld.Thermal.CA</t>
  </si>
  <si>
    <t>FEC_per_building.kWh.LU.Ser.Bld.Thermal.CA.LPG</t>
  </si>
  <si>
    <t>FEC_per_building.kWh.LU.Ser.Bld.Thermal.CA.Gas.NG_Biogas</t>
  </si>
  <si>
    <t>FEC_per_building.kWh.LU.Ser.Bld.Thermal.CA.Biomass.Biomass_Waste</t>
  </si>
  <si>
    <t>FEC_per_building.kWh.LU.Ser.Bld.Thermal.CA.Elc.Elec</t>
  </si>
  <si>
    <t>LU - Thermal energy service per building</t>
  </si>
  <si>
    <t>TES_per_building.kWh.LU.Ser.Bld.Thermal</t>
  </si>
  <si>
    <t>TES_per_building.kWh.LU.Ser.Bld.Thermal.SH</t>
  </si>
  <si>
    <t>TES_per_building.kWh.LU.Ser.Bld.Thermal.SH.Solids.Solids</t>
  </si>
  <si>
    <t>TES_per_building.kWh.LU.Ser.Bld.Thermal.SH.LPG.LPG</t>
  </si>
  <si>
    <t>TES_per_building.kWh.LU.Ser.Bld.Thermal.SH.Oil.Oil_LiqBio</t>
  </si>
  <si>
    <t>TES_per_building.kWh.LU.Ser.Bld.Thermal.SH.GasHP.NG_Biogas</t>
  </si>
  <si>
    <t>TES_per_building.kWh.LU.Ser.Bld.Thermal.SH.GasTH.NG_Biogas</t>
  </si>
  <si>
    <t>TES_per_building.kWh.LU.Ser.Bld.Thermal.SH.Biomass.Biomass_Waste</t>
  </si>
  <si>
    <t>TES_per_building.kWh.LU.Ser.Bld.Thermal.SH.Geo.Geo</t>
  </si>
  <si>
    <t>TES_per_building.kWh.LU.Ser.Bld.Thermal.SH.DistrHeat.Steam_Distr</t>
  </si>
  <si>
    <t>TES_per_building.kWh.LU.Ser.Bld.Thermal.SH.AdvElc.Elec</t>
  </si>
  <si>
    <t>TES_per_building.kWh.LU.Ser.Bld.Thermal.SH.ConvElc.Elec</t>
  </si>
  <si>
    <t>TES_per_building.kWh.LU.Ser.Bld.Thermal.SH.TotalCirculation.Elec</t>
  </si>
  <si>
    <t>TES_per_building.kWh.LU.Ser.Bld.Thermal.SC</t>
  </si>
  <si>
    <t>TES_per_building.kWh.LU.Ser.Bld.Thermal.SC.GasHP.NG_Biogas</t>
  </si>
  <si>
    <t>TES_per_building.kWh.LU.Ser.Bld.Thermal.SC.AC.Elec</t>
  </si>
  <si>
    <t>TES_per_building.kWh.LU.Ser.Bld.Thermal.HW</t>
  </si>
  <si>
    <t>TES_per_building.kWh.LU.Ser.Bld.Thermal.HW.Solids.Solids</t>
  </si>
  <si>
    <t>TES_per_building.kWh.LU.Ser.Bld.Thermal.HW.LPG.LPG</t>
  </si>
  <si>
    <t>TES_per_building.kWh.LU.Ser.Bld.Thermal.HW.Oil.Oil_LiqBio</t>
  </si>
  <si>
    <t>TES_per_building.kWh.LU.Ser.Bld.Thermal.HW.Gas.NG_Biogas</t>
  </si>
  <si>
    <t>TES_per_building.kWh.LU.Ser.Bld.Thermal.HW.Biomass.Biomass_Waste</t>
  </si>
  <si>
    <t>TES_per_building.kWh.LU.Ser.Bld.Thermal.HW.DistrHeat.Steam_Distr</t>
  </si>
  <si>
    <t>TES_per_building.kWh.LU.Ser.Bld.Thermal.HW.Elc.Elec</t>
  </si>
  <si>
    <t>TES_per_building.kWh.LU.Ser.Bld.Thermal.HW.TotalSolar.Solar</t>
  </si>
  <si>
    <t>TES_per_building.kWh.LU.Ser.Bld.Thermal.CA</t>
  </si>
  <si>
    <t>TES_per_building.kWh.LU.Ser.Bld.Thermal.CA.LPG</t>
  </si>
  <si>
    <t>TES_per_building.kWh.LU.Ser.Bld.Thermal.CA.Gas.NG_Biogas</t>
  </si>
  <si>
    <t>TES_per_building.kWh.LU.Ser.Bld.Thermal.CA.Biomass.Biomass_Waste</t>
  </si>
  <si>
    <t>TES_per_building.kWh.LU.Ser.Bld.Thermal.CA.Elc.Elec</t>
  </si>
  <si>
    <t>LU - CO2 emissions per building</t>
  </si>
  <si>
    <t>EMI_per_building.kgCO2.LU.Ser.Bld.Thermal</t>
  </si>
  <si>
    <t>EMI_per_building.kgCO2.LU.Ser.Bld.Thermal.SH</t>
  </si>
  <si>
    <t>EMI_per_building.kgCO2.LU.Ser.Bld.Thermal.SH.Solids.Solids</t>
  </si>
  <si>
    <t>EMI_per_building.kgCO2.LU.Ser.Bld.Thermal.SH.LPG.LPG</t>
  </si>
  <si>
    <t>EMI_per_building.kgCO2.LU.Ser.Bld.Thermal.SH.Oil.Oil_LiqBio</t>
  </si>
  <si>
    <t>EMI_per_building.kgCO2.LU.Ser.Bld.Thermal.SH.GasHP.NG_Biogas</t>
  </si>
  <si>
    <t>EMI_per_building.kgCO2.LU.Ser.Bld.Thermal.SH.GasTH.NG_Biogas</t>
  </si>
  <si>
    <t>EMI_per_building.kgCO2.LU.Ser.Bld.Thermal.SH.Biomass.Biomass_Waste</t>
  </si>
  <si>
    <t>EMI_per_building.kgCO2.LU.Ser.Bld.Thermal.SH.Geo.Geo</t>
  </si>
  <si>
    <t>EMI_per_building.kgCO2.LU.Ser.Bld.Thermal.SH.DistrHeat.Steam_Distr</t>
  </si>
  <si>
    <t>EMI_per_building.kgCO2.LU.Ser.Bld.Thermal.SH.AdvElc.Elec</t>
  </si>
  <si>
    <t>EMI_per_building.kgCO2.LU.Ser.Bld.Thermal.SH.ConvElc.Elec</t>
  </si>
  <si>
    <t>EMI_per_building.kgCO2.LU.Ser.Bld.Thermal.SH.TotalCirculation.Elec</t>
  </si>
  <si>
    <t>EMI_per_building.kgCO2.LU.Ser.Bld.Thermal.SC</t>
  </si>
  <si>
    <t>EMI_per_building.kgCO2.LU.Ser.Bld.Thermal.SC.GasHP.NG_Biogas</t>
  </si>
  <si>
    <t>EMI_per_building.kgCO2.LU.Ser.Bld.Thermal.SC.AC.Elec</t>
  </si>
  <si>
    <t>EMI_per_building.kgCO2.LU.Ser.Bld.Thermal.HW</t>
  </si>
  <si>
    <t>EMI_per_building.kgCO2.LU.Ser.Bld.Thermal.HW.Solids.Solids</t>
  </si>
  <si>
    <t>EMI_per_building.kgCO2.LU.Ser.Bld.Thermal.HW.LPG.LPG</t>
  </si>
  <si>
    <t>EMI_per_building.kgCO2.LU.Ser.Bld.Thermal.HW.Oil.Oil_LiqBio</t>
  </si>
  <si>
    <t>EMI_per_building.kgCO2.LU.Ser.Bld.Thermal.HW.Gas.NG_Biogas</t>
  </si>
  <si>
    <t>EMI_per_building.kgCO2.LU.Ser.Bld.Thermal.HW.Biomass.Biomass_Waste</t>
  </si>
  <si>
    <t>EMI_per_building.kgCO2.LU.Ser.Bld.Thermal.HW.DistrHeat.Steam_Distr</t>
  </si>
  <si>
    <t>EMI_per_building.kgCO2.LU.Ser.Bld.Thermal.HW.Elc.Elec</t>
  </si>
  <si>
    <t>EMI_per_building.kgCO2.LU.Ser.Bld.Thermal.HW.TotalSolar.Solar</t>
  </si>
  <si>
    <t>EMI_per_building.kgCO2.LU.Ser.Bld.Thermal.CA</t>
  </si>
  <si>
    <t>EMI_per_building.kgCO2.LU.Ser.Bld.Thermal.CA.LPG</t>
  </si>
  <si>
    <t>EMI_per_building.kgCO2.LU.Ser.Bld.Thermal.CA.Gas.NG_Biogas</t>
  </si>
  <si>
    <t>EMI_per_building.kgCO2.LU.Ser.Bld.Thermal.CA.Biomass.Biomass_Waste</t>
  </si>
  <si>
    <t>EMI_per_building.kgCO2.LU.Ser.Bld.Thermal.CA.Elc.Elec</t>
  </si>
  <si>
    <t>LU - Final energy consumption per useful surface area</t>
  </si>
  <si>
    <t>FEC_per_sqm.kWh.LU.Ser.Bld.Thermal</t>
  </si>
  <si>
    <t>FEC_per_sqm.kWh.LU.Ser.Bld.Thermal.SH</t>
  </si>
  <si>
    <t>FEC_per_sqm.kWh.LU.Ser.Bld.Thermal.SH.Solids.Solids</t>
  </si>
  <si>
    <t>FEC_per_sqm.kWh.LU.Ser.Bld.Thermal.SH.LPG.LPG</t>
  </si>
  <si>
    <t>FEC_per_sqm.kWh.LU.Ser.Bld.Thermal.SH.Oil.Oil_LiqBio</t>
  </si>
  <si>
    <t>FEC_per_sqm.kWh.LU.Ser.Bld.Thermal.SH.GasHP.NG_Biogas</t>
  </si>
  <si>
    <t>FEC_per_sqm.kWh.LU.Ser.Bld.Thermal.SH.GasTH.NG_Biogas</t>
  </si>
  <si>
    <t>FEC_per_sqm.kWh.LU.Ser.Bld.Thermal.SH.Biomass.Biomass_Waste</t>
  </si>
  <si>
    <t>FEC_per_sqm.kWh.LU.Ser.Bld.Thermal.SH.Geo.Geo</t>
  </si>
  <si>
    <t>FEC_per_sqm.kWh.LU.Ser.Bld.Thermal.SH.DistrHeat.Steam_Distr</t>
  </si>
  <si>
    <t>FEC_per_sqm.kWh.LU.Ser.Bld.Thermal.SH.AdvElc.Elec</t>
  </si>
  <si>
    <t>FEC_per_sqm.kWh.LU.Ser.Bld.Thermal.SH.ConvElc.Elec</t>
  </si>
  <si>
    <t>FEC_per_sqm.kWh.LU.Ser.Bld.Thermal.SH.TotalCirculation.Elec</t>
  </si>
  <si>
    <t>FEC_per_sqm.kWh.LU.Ser.Bld.Thermal.SC</t>
  </si>
  <si>
    <t>FEC_per_sqm.kWh.LU.Ser.Bld.Thermal.SC.GasHP.NG_Biogas</t>
  </si>
  <si>
    <t>FEC_per_sqm.kWh.LU.Ser.Bld.Thermal.SC.AC.Elec</t>
  </si>
  <si>
    <t>FEC_per_sqm.kWh.LU.Ser.Bld.Thermal.HW</t>
  </si>
  <si>
    <t>FEC_per_sqm.kWh.LU.Ser.Bld.Thermal.HW.Solids.Solids</t>
  </si>
  <si>
    <t>FEC_per_sqm.kWh.LU.Ser.Bld.Thermal.HW.LPG.LPG</t>
  </si>
  <si>
    <t>FEC_per_sqm.kWh.LU.Ser.Bld.Thermal.HW.Oil.Oil_LiqBio</t>
  </si>
  <si>
    <t>FEC_per_sqm.kWh.LU.Ser.Bld.Thermal.HW.Gas.NG_Biogas</t>
  </si>
  <si>
    <t>FEC_per_sqm.kWh.LU.Ser.Bld.Thermal.HW.Biomass.Biomass_Waste</t>
  </si>
  <si>
    <t>FEC_per_sqm.kWh.LU.Ser.Bld.Thermal.HW.DistrHeat.Steam_Distr</t>
  </si>
  <si>
    <t>FEC_per_sqm.kWh.LU.Ser.Bld.Thermal.HW.Elc.Elec</t>
  </si>
  <si>
    <t>FEC_per_sqm.kWh.LU.Ser.Bld.Thermal.HW.TotalSolar.Solar</t>
  </si>
  <si>
    <t>FEC_per_sqm.kWh.LU.Ser.Bld.Thermal.CA</t>
  </si>
  <si>
    <t>FEC_per_sqm.kWh.LU.Ser.Bld.Thermal.CA.LPG</t>
  </si>
  <si>
    <t>FEC_per_sqm.kWh.LU.Ser.Bld.Thermal.CA.Gas.NG_Biogas</t>
  </si>
  <si>
    <t>FEC_per_sqm.kWh.LU.Ser.Bld.Thermal.CA.Biomass.Biomass_Waste</t>
  </si>
  <si>
    <t>FEC_per_sqm.kWh.LU.Ser.Bld.Thermal.CA.Elc.Elec</t>
  </si>
  <si>
    <t>LU - Thermal energy service per useful surface area</t>
  </si>
  <si>
    <t>TES_per_sqm.kWh.LU.Ser.Bld.Thermal</t>
  </si>
  <si>
    <t>TES_per_sqm.kWh.LU.Ser.Bld.Thermal.SH</t>
  </si>
  <si>
    <t>TES_per_sqm.kWh.LU.Ser.Bld.Thermal.SH.Solids.Solids</t>
  </si>
  <si>
    <t>TES_per_sqm.kWh.LU.Ser.Bld.Thermal.SH.LPG.LPG</t>
  </si>
  <si>
    <t>TES_per_sqm.kWh.LU.Ser.Bld.Thermal.SH.Oil.Oil_LiqBio</t>
  </si>
  <si>
    <t>TES_per_sqm.kWh.LU.Ser.Bld.Thermal.SH.GasHP.NG_Biogas</t>
  </si>
  <si>
    <t>TES_per_sqm.kWh.LU.Ser.Bld.Thermal.SH.GasTH.NG_Biogas</t>
  </si>
  <si>
    <t>TES_per_sqm.kWh.LU.Ser.Bld.Thermal.SH.Biomass.Biomass_Waste</t>
  </si>
  <si>
    <t>TES_per_sqm.kWh.LU.Ser.Bld.Thermal.SH.Geo.Geo</t>
  </si>
  <si>
    <t>TES_per_sqm.kWh.LU.Ser.Bld.Thermal.SH.DistrHeat.Steam_Distr</t>
  </si>
  <si>
    <t>TES_per_sqm.kWh.LU.Ser.Bld.Thermal.SH.AdvElc.Elec</t>
  </si>
  <si>
    <t>TES_per_sqm.kWh.LU.Ser.Bld.Thermal.SH.ConvElc.Elec</t>
  </si>
  <si>
    <t>TES_per_sqm.kWh.LU.Ser.Bld.Thermal.SH.TotalCirculation.Elec</t>
  </si>
  <si>
    <t>TES_per_sqm.kWh.LU.Ser.Bld.Thermal.SC</t>
  </si>
  <si>
    <t>TES_per_sqm.kWh.LU.Ser.Bld.Thermal.SC.GasHP.NG_Biogas</t>
  </si>
  <si>
    <t>TES_per_sqm.kWh.LU.Ser.Bld.Thermal.SC.AC.Elec</t>
  </si>
  <si>
    <t>TES_per_sqm.kWh.LU.Ser.Bld.Thermal.HW</t>
  </si>
  <si>
    <t>TES_per_sqm.kWh.LU.Ser.Bld.Thermal.HW.Solids.Solids</t>
  </si>
  <si>
    <t>TES_per_sqm.kWh.LU.Ser.Bld.Thermal.HW.LPG.LPG</t>
  </si>
  <si>
    <t>TES_per_sqm.kWh.LU.Ser.Bld.Thermal.HW.Oil.Oil_LiqBio</t>
  </si>
  <si>
    <t>TES_per_sqm.kWh.LU.Ser.Bld.Thermal.HW.Gas.NG_Biogas</t>
  </si>
  <si>
    <t>TES_per_sqm.kWh.LU.Ser.Bld.Thermal.HW.Biomass.Biomass_Waste</t>
  </si>
  <si>
    <t>TES_per_sqm.kWh.LU.Ser.Bld.Thermal.HW.DistrHeat.Steam_Distr</t>
  </si>
  <si>
    <t>TES_per_sqm.kWh.LU.Ser.Bld.Thermal.HW.Elc.Elec</t>
  </si>
  <si>
    <t>TES_per_sqm.kWh.LU.Ser.Bld.Thermal.HW.TotalSolar.Solar</t>
  </si>
  <si>
    <t>TES_per_sqm.kWh.LU.Ser.Bld.Thermal.CA</t>
  </si>
  <si>
    <t>TES_per_sqm.kWh.LU.Ser.Bld.Thermal.CA.LPG</t>
  </si>
  <si>
    <t>TES_per_sqm.kWh.LU.Ser.Bld.Thermal.CA.Gas.NG_Biogas</t>
  </si>
  <si>
    <t>TES_per_sqm.kWh.LU.Ser.Bld.Thermal.CA.Biomass.Biomass_Waste</t>
  </si>
  <si>
    <t>TES_per_sqm.kWh.LU.Ser.Bld.Thermal.CA.Elc.Elec</t>
  </si>
  <si>
    <t>LU - CO2 emissions per useful surface area</t>
  </si>
  <si>
    <t>EMI_per_sqm.kgCO2.LU.Ser.Bld.Thermal</t>
  </si>
  <si>
    <t>EMI_per_sqm.kgCO2.LU.Ser.Bld.Thermal.SH</t>
  </si>
  <si>
    <t>EMI_per_sqm.kgCO2.LU.Ser.Bld.Thermal.SH.Solids.Solids</t>
  </si>
  <si>
    <t>EMI_per_sqm.kgCO2.LU.Ser.Bld.Thermal.SH.LPG.LPG</t>
  </si>
  <si>
    <t>EMI_per_sqm.kgCO2.LU.Ser.Bld.Thermal.SH.Oil.Oil_LiqBio</t>
  </si>
  <si>
    <t>EMI_per_sqm.kgCO2.LU.Ser.Bld.Thermal.SH.GasHP.NG_Biogas</t>
  </si>
  <si>
    <t>EMI_per_sqm.kgCO2.LU.Ser.Bld.Thermal.SH.GasTH.NG_Biogas</t>
  </si>
  <si>
    <t>EMI_per_sqm.kgCO2.LU.Ser.Bld.Thermal.SH.Biomass.Biomass_Waste</t>
  </si>
  <si>
    <t>EMI_per_sqm.kgCO2.LU.Ser.Bld.Thermal.SH.Geo.Geo</t>
  </si>
  <si>
    <t>EMI_per_sqm.kgCO2.LU.Ser.Bld.Thermal.SH.DistrHeat.Steam_Distr</t>
  </si>
  <si>
    <t>EMI_per_sqm.kgCO2.LU.Ser.Bld.Thermal.SH.AdvElc.Elec</t>
  </si>
  <si>
    <t>EMI_per_sqm.kgCO2.LU.Ser.Bld.Thermal.SH.ConvElc.Elec</t>
  </si>
  <si>
    <t>EMI_per_sqm.kgCO2.LU.Ser.Bld.Thermal.SH.TotalCirculation.Elec</t>
  </si>
  <si>
    <t>EMI_per_sqm.kgCO2.LU.Ser.Bld.Thermal.SC</t>
  </si>
  <si>
    <t>EMI_per_sqm.kgCO2.LU.Ser.Bld.Thermal.SC.GasHP.NG_Biogas</t>
  </si>
  <si>
    <t>EMI_per_sqm.kgCO2.LU.Ser.Bld.Thermal.SC.AC.Elec</t>
  </si>
  <si>
    <t>EMI_per_sqm.kgCO2.LU.Ser.Bld.Thermal.HW</t>
  </si>
  <si>
    <t>EMI_per_sqm.kgCO2.LU.Ser.Bld.Thermal.HW.Solids.Solids</t>
  </si>
  <si>
    <t>EMI_per_sqm.kgCO2.LU.Ser.Bld.Thermal.HW.LPG.LPG</t>
  </si>
  <si>
    <t>EMI_per_sqm.kgCO2.LU.Ser.Bld.Thermal.HW.Oil.Oil_LiqBio</t>
  </si>
  <si>
    <t>EMI_per_sqm.kgCO2.LU.Ser.Bld.Thermal.HW.Gas.NG_Biogas</t>
  </si>
  <si>
    <t>EMI_per_sqm.kgCO2.LU.Ser.Bld.Thermal.HW.Biomass.Biomass_Waste</t>
  </si>
  <si>
    <t>EMI_per_sqm.kgCO2.LU.Ser.Bld.Thermal.HW.DistrHeat.Steam_Distr</t>
  </si>
  <si>
    <t>EMI_per_sqm.kgCO2.LU.Ser.Bld.Thermal.HW.Elc.Elec</t>
  </si>
  <si>
    <t>EMI_per_sqm.kgCO2.LU.Ser.Bld.Thermal.HW.TotalSolar.Solar</t>
  </si>
  <si>
    <t>EMI_per_sqm.kgCO2.LU.Ser.Bld.Thermal.CA</t>
  </si>
  <si>
    <t>EMI_per_sqm.kgCO2.LU.Ser.Bld.Thermal.CA.LPG</t>
  </si>
  <si>
    <t>EMI_per_sqm.kgCO2.LU.Ser.Bld.Thermal.CA.Gas.NG_Biogas</t>
  </si>
  <si>
    <t>EMI_per_sqm.kgCO2.LU.Ser.Bld.Thermal.CA.Biomass.Biomass_Waste</t>
  </si>
  <si>
    <t>EMI_per_sqm.kgCO2.LU.Ser.Bld.Thermal.CA.Elc.Elec</t>
  </si>
  <si>
    <t>LU - Number of new and renovated buildings</t>
  </si>
  <si>
    <t>NUM.number.LU.Ser.BldNew.Thermal</t>
  </si>
  <si>
    <t>NUM.number.LU.Ser.BldNew.Thermal.SH</t>
  </si>
  <si>
    <t>NUM.number.LU.Ser.BldNew.Thermal.SH.Solids</t>
  </si>
  <si>
    <t>NUM.number.LU.Ser.BldNew.Thermal.SH.LPG</t>
  </si>
  <si>
    <t>NUM.number.LU.Ser.BldNew.Thermal.SH.Oil</t>
  </si>
  <si>
    <t>NUM.number.LU.Ser.BldNew.Thermal.SH.GasHP</t>
  </si>
  <si>
    <t>NUM.number.LU.Ser.BldNew.Thermal.SH.GasTH</t>
  </si>
  <si>
    <t>NUM.number.LU.Ser.BldNew.Thermal.SH.Biomass</t>
  </si>
  <si>
    <t>NUM.number.LU.Ser.BldNew.Thermal.SH.Geo</t>
  </si>
  <si>
    <t>NUM.number.LU.Ser.BldNew.Thermal.SH.DistrHeat</t>
  </si>
  <si>
    <t>NUM.number.LU.Ser.BldNew.Thermal.SH.AdvElc</t>
  </si>
  <si>
    <t>NUM.number.LU.Ser.BldNew.Thermal.SH.ConvElc</t>
  </si>
  <si>
    <t>NUM.number.LU.Ser.BldNew.Thermal.SC</t>
  </si>
  <si>
    <t>NUM.number.LU.Ser.BldNew.Thermal.SC.GasHP</t>
  </si>
  <si>
    <t>NUM.number.LU.Ser.BldNew.Thermal.SC.AC</t>
  </si>
  <si>
    <t>NUM.number.LU.Ser.BldNew.Thermal.HW</t>
  </si>
  <si>
    <t>NUM.number.LU.Ser.BldNew.Thermal.HW.Solids</t>
  </si>
  <si>
    <t>NUM.number.LU.Ser.BldNew.Thermal.HW.LPG</t>
  </si>
  <si>
    <t>NUM.number.LU.Ser.BldNew.Thermal.HW.Oil</t>
  </si>
  <si>
    <t>NUM.number.LU.Ser.BldNew.Thermal.HW.Gas</t>
  </si>
  <si>
    <t>NUM.number.LU.Ser.BldNew.Thermal.HW.Biomass</t>
  </si>
  <si>
    <t>NUM.number.LU.Ser.BldNew.Thermal.HW.DistrHeat</t>
  </si>
  <si>
    <t>NUM.number.LU.Ser.BldNew.Thermal.HW.Elc</t>
  </si>
  <si>
    <t>NUM.number.LU.Ser.BldNew.Thermal.HW.Solar</t>
  </si>
  <si>
    <t>NUM.number.LU.Ser.BldNew.Thermal.CA</t>
  </si>
  <si>
    <t>NUM.number.LU.Ser.BldNew.Thermal.CA.LPG</t>
  </si>
  <si>
    <t>NUM.number.LU.Ser.BldNew.Thermal.CA.Gas</t>
  </si>
  <si>
    <t>NUM.number.LU.Ser.BldNew.Thermal.CA.Biomass</t>
  </si>
  <si>
    <t>NUM.number.LU.Ser.BldNew.Thermal.CA.Elc</t>
  </si>
  <si>
    <t>LU - Final energy consumption in new and renovated buildings</t>
  </si>
  <si>
    <t>FEC.ktoe.LU.Ser.BldNew.Thermal</t>
  </si>
  <si>
    <t>FEC.ktoe.LU.Ser.BldNew.Thermal.SH</t>
  </si>
  <si>
    <t>FEC.ktoe.LU.Ser.BldNew.Thermal.SH.Solids.Solids</t>
  </si>
  <si>
    <t>FEC.ktoe.LU.Ser.BldNew.Thermal.SH.LPG.LPG</t>
  </si>
  <si>
    <t>FEC.ktoe.LU.Ser.BldNew.Thermal.SH.Oil.Oil_LiqBio</t>
  </si>
  <si>
    <t>FEC.ktoe.LU.Ser.BldNew.Thermal.SH.GasHP.NG_Biogas</t>
  </si>
  <si>
    <t>FEC.ktoe.LU.Ser.BldNew.Thermal.SH.GasTH.NG_Biogas</t>
  </si>
  <si>
    <t>FEC.ktoe.LU.Ser.BldNew.Thermal.SH.Biomass.Biomass_Waste</t>
  </si>
  <si>
    <t>FEC.ktoe.LU.Ser.BldNew.Thermal.SH.Geo.Geo</t>
  </si>
  <si>
    <t>FEC.ktoe.LU.Ser.BldNew.Thermal.SH.DistrHeat.Steam_Distr</t>
  </si>
  <si>
    <t>FEC.ktoe.LU.Ser.BldNew.Thermal.SH.AdvElc.Elec</t>
  </si>
  <si>
    <t>FEC.ktoe.LU.Ser.BldNew.Thermal.SH.ConvElc.Elec</t>
  </si>
  <si>
    <t>FEC.ktoe.LU.Ser.BldNew.Thermal.SH.TotalCirculation.Elec</t>
  </si>
  <si>
    <t>FEC.ktoe.LU.Ser.BldNew.Thermal.SC</t>
  </si>
  <si>
    <t>FEC.ktoe.LU.Ser.BldNew.Thermal.SC.GasHP.NG_Biogas</t>
  </si>
  <si>
    <t>FEC.ktoe.LU.Ser.BldNew.Thermal.SC.AC.Elec</t>
  </si>
  <si>
    <t>FEC.ktoe.LU.Ser.BldNew.Thermal.HW</t>
  </si>
  <si>
    <t>FEC.ktoe.LU.Ser.BldNew.Thermal.HW.Solids.Solids</t>
  </si>
  <si>
    <t>FEC.ktoe.LU.Ser.BldNew.Thermal.HW.LPG.LPG</t>
  </si>
  <si>
    <t>FEC.ktoe.LU.Ser.BldNew.Thermal.HW.Oil.Oil_LiqBio</t>
  </si>
  <si>
    <t>FEC.ktoe.LU.Ser.BldNew.Thermal.HW.Gas.NG_Biogas</t>
  </si>
  <si>
    <t>FEC.ktoe.LU.Ser.BldNew.Thermal.HW.Biomass.Biomass_Waste</t>
  </si>
  <si>
    <t>FEC.ktoe.LU.Ser.BldNew.Thermal.HW.DistrHeat.Steam_Distr</t>
  </si>
  <si>
    <t>FEC.ktoe.LU.Ser.BldNew.Thermal.HW.Elc.Elec</t>
  </si>
  <si>
    <t>FEC.ktoe.LU.Ser.BldNew.Thermal.HW.TotalSolar.Solar</t>
  </si>
  <si>
    <t>FEC.ktoe.LU.Ser.BldNew.Thermal.CA</t>
  </si>
  <si>
    <t>FEC.ktoe.LU.Ser.BldNew.Thermal.CA.LPG</t>
  </si>
  <si>
    <t>FEC.ktoe.LU.Ser.BldNew.Thermal.CA.Gas.NG_Biogas</t>
  </si>
  <si>
    <t>FEC.ktoe.LU.Ser.BldNew.Thermal.CA.Biomass.Biomass_Waste</t>
  </si>
  <si>
    <t>FEC.ktoe.LU.Ser.BldNew.Thermal.CA.Elc.Elec</t>
  </si>
  <si>
    <t>LU - Thermal energy service in new and renovated buildings</t>
  </si>
  <si>
    <t>TES.ktoe.LU.Ser.BldNew.Thermal</t>
  </si>
  <si>
    <t>TES.ktoe.LU.Ser.BldNew.Thermal.SH</t>
  </si>
  <si>
    <t>TES.ktoe.LU.Ser.BldNew.Thermal.SH.Solids.Solids</t>
  </si>
  <si>
    <t>TES.ktoe.LU.Ser.BldNew.Thermal.SH.LPG.LPG</t>
  </si>
  <si>
    <t>TES.ktoe.LU.Ser.BldNew.Thermal.SH.Oil.Oil_LiqBio</t>
  </si>
  <si>
    <t>TES.ktoe.LU.Ser.BldNew.Thermal.SH.GasHP.NG_Biogas</t>
  </si>
  <si>
    <t>TES.ktoe.LU.Ser.BldNew.Thermal.SH.GasTH.NG_Biogas</t>
  </si>
  <si>
    <t>TES.ktoe.LU.Ser.BldNew.Thermal.SH.Biomass.Biomass_Waste</t>
  </si>
  <si>
    <t>TES.ktoe.LU.Ser.BldNew.Thermal.SH.Geo.Geo</t>
  </si>
  <si>
    <t>TES.ktoe.LU.Ser.BldNew.Thermal.SH.DistrHeat.Steam_Distr</t>
  </si>
  <si>
    <t>TES.ktoe.LU.Ser.BldNew.Thermal.SH.AdvElc.Elec</t>
  </si>
  <si>
    <t>TES.ktoe.LU.Ser.BldNew.Thermal.SH.ConvElc.Elec</t>
  </si>
  <si>
    <t>TES.ktoe.LU.Ser.BldNew.Thermal.SH.TotalCirculation.Elec</t>
  </si>
  <si>
    <t>TES.ktoe.LU.Ser.BldNew.Thermal.SC</t>
  </si>
  <si>
    <t>TES.ktoe.LU.Ser.BldNew.Thermal.SC.GasHP.NG_Biogas</t>
  </si>
  <si>
    <t>TES.ktoe.LU.Ser.BldNew.Thermal.SC.AC.Elec</t>
  </si>
  <si>
    <t>TES.ktoe.LU.Ser.BldNew.Thermal.HW</t>
  </si>
  <si>
    <t>TES.ktoe.LU.Ser.BldNew.Thermal.HW.Solids.Solids</t>
  </si>
  <si>
    <t>TES.ktoe.LU.Ser.BldNew.Thermal.HW.LPG.LPG</t>
  </si>
  <si>
    <t>TES.ktoe.LU.Ser.BldNew.Thermal.HW.Oil.Oil_LiqBio</t>
  </si>
  <si>
    <t>TES.ktoe.LU.Ser.BldNew.Thermal.HW.Gas.NG_Biogas</t>
  </si>
  <si>
    <t>TES.ktoe.LU.Ser.BldNew.Thermal.HW.Biomass.Biomass_Waste</t>
  </si>
  <si>
    <t>TES.ktoe.LU.Ser.BldNew.Thermal.HW.DistrHeat.Steam_Distr</t>
  </si>
  <si>
    <t>TES.ktoe.LU.Ser.BldNew.Thermal.HW.Elc.Elec</t>
  </si>
  <si>
    <t>TES.ktoe.LU.Ser.BldNew.Thermal.HW.TotalSolar.Solar</t>
  </si>
  <si>
    <t>TES.ktoe.LU.Ser.BldNew.Thermal.CA</t>
  </si>
  <si>
    <t>TES.ktoe.LU.Ser.BldNew.Thermal.CA.LPG</t>
  </si>
  <si>
    <t>TES.ktoe.LU.Ser.BldNew.Thermal.CA.Gas.NG_Biogas</t>
  </si>
  <si>
    <t>TES.ktoe.LU.Ser.BldNew.Thermal.CA.Biomass.Biomass_Waste</t>
  </si>
  <si>
    <t>TES.ktoe.LU.Ser.BldNew.Thermal.CA.Elc.Elec</t>
  </si>
  <si>
    <t>LU - System efficiency indicator of new and renovated buildings</t>
  </si>
  <si>
    <t>Eff.ratio.LU.Ser.BldNew.Thermal</t>
  </si>
  <si>
    <t>Eff.ratio.LU.Ser.BldNew.Thermal.SH</t>
  </si>
  <si>
    <t>Eff.ratio.LU.Ser.BldNew.Thermal.SH.Solids.Solids</t>
  </si>
  <si>
    <t>Eff.ratio.LU.Ser.BldNew.Thermal.SH.LPG.LPG</t>
  </si>
  <si>
    <t>Eff.ratio.LU.Ser.BldNew.Thermal.SH.Oil.Oil_LiqBio</t>
  </si>
  <si>
    <t>Eff.ratio.LU.Ser.BldNew.Thermal.SH.GasHP.NG_Biogas</t>
  </si>
  <si>
    <t>Eff.ratio.LU.Ser.BldNew.Thermal.SH.GasTH.NG_Biogas</t>
  </si>
  <si>
    <t>Eff.ratio.LU.Ser.BldNew.Thermal.SH.Biomass.Biomass_Waste</t>
  </si>
  <si>
    <t>Eff.ratio.LU.Ser.BldNew.Thermal.SH.Geo.Geo</t>
  </si>
  <si>
    <t>Eff.ratio.LU.Ser.BldNew.Thermal.SH.DistrHeat.Steam_Distr</t>
  </si>
  <si>
    <t>Eff.ratio.LU.Ser.BldNew.Thermal.SH.AdvElc.Elec</t>
  </si>
  <si>
    <t>Eff.ratio.LU.Ser.BldNew.Thermal.SH.ConvElc.Elec</t>
  </si>
  <si>
    <t>Eff.ratio.LU.Ser.BldNew.Thermal.SH.TotalCirculation.Elec</t>
  </si>
  <si>
    <t>Eff.ratio.LU.Ser.BldNew.Thermal.SC</t>
  </si>
  <si>
    <t>Eff.ratio.LU.Ser.BldNew.Thermal.SC.GasHP.NG_Biogas</t>
  </si>
  <si>
    <t>Eff.ratio.LU.Ser.BldNew.Thermal.SC.AC.Elec</t>
  </si>
  <si>
    <t>Eff.ratio.LU.Ser.BldNew.Thermal.HW</t>
  </si>
  <si>
    <t>Eff.ratio.LU.Ser.BldNew.Thermal.HW.Solids.Solids</t>
  </si>
  <si>
    <t>Eff.ratio.LU.Ser.BldNew.Thermal.HW.LPG.LPG</t>
  </si>
  <si>
    <t>Eff.ratio.LU.Ser.BldNew.Thermal.HW.Oil.Oil_LiqBio</t>
  </si>
  <si>
    <t>Eff.ratio.LU.Ser.BldNew.Thermal.HW.Gas.NG_Biogas</t>
  </si>
  <si>
    <t>Eff.ratio.LU.Ser.BldNew.Thermal.HW.Biomass.Biomass_Waste</t>
  </si>
  <si>
    <t>Eff.ratio.LU.Ser.BldNew.Thermal.HW.DistrHeat.Steam_Distr</t>
  </si>
  <si>
    <t>Eff.ratio.LU.Ser.BldNew.Thermal.HW.Elc.Elec</t>
  </si>
  <si>
    <t>Eff.ratio.LU.Ser.BldNew.Thermal.HW.TotalSolar.Solar</t>
  </si>
  <si>
    <t>Eff.ratio.LU.Ser.BldNew.Thermal.CA</t>
  </si>
  <si>
    <t>Eff.ratio.LU.Ser.BldNew.Thermal.CA.LPG</t>
  </si>
  <si>
    <t>Eff.ratio.LU.Ser.BldNew.Thermal.CA.Gas.NG_Biogas</t>
  </si>
  <si>
    <t>Eff.ratio.LU.Ser.BldNew.Thermal.CA.Biomass.Biomass_Waste</t>
  </si>
  <si>
    <t>Eff.ratio.LU.Ser.BldNew.Thermal.CA.Elc.Elec</t>
  </si>
  <si>
    <t>LU - CO2 emissions in new and renovated buildings</t>
  </si>
  <si>
    <t>EMI.ktCO2.LU.Ser.BldNew.Thermal</t>
  </si>
  <si>
    <t>EMI.ktCO2.LU.Ser.BldNew.Thermal.SH</t>
  </si>
  <si>
    <t>EMI.ktCO2.LU.Ser.BldNew.Thermal.SH.Solids.Solids</t>
  </si>
  <si>
    <t>EMI.ktCO2.LU.Ser.BldNew.Thermal.SH.LPG.LPG</t>
  </si>
  <si>
    <t>EMI.ktCO2.LU.Ser.BldNew.Thermal.SH.Oil.Oil_LiqBio</t>
  </si>
  <si>
    <t>EMI.ktCO2.LU.Ser.BldNew.Thermal.SH.GasHP.NG_Biogas</t>
  </si>
  <si>
    <t>EMI.ktCO2.LU.Ser.BldNew.Thermal.SH.GasTH.NG_Biogas</t>
  </si>
  <si>
    <t>EMI.ktCO2.LU.Ser.BldNew.Thermal.SH.Biomass.Biomass_Waste</t>
  </si>
  <si>
    <t>EMI.ktCO2.LU.Ser.BldNew.Thermal.SH.Geo.Geo</t>
  </si>
  <si>
    <t>EMI.ktCO2.LU.Ser.BldNew.Thermal.SH.DistrHeat.Steam_Distr</t>
  </si>
  <si>
    <t>EMI.ktCO2.LU.Ser.BldNew.Thermal.SH.AdvElc.Elec</t>
  </si>
  <si>
    <t>EMI.ktCO2.LU.Ser.BldNew.Thermal.SH.ConvElc.Elec</t>
  </si>
  <si>
    <t>EMI.ktCO2.LU.Ser.BldNew.Thermal.SH.TotalCirculation.Elec</t>
  </si>
  <si>
    <t>EMI.ktCO2.LU.Ser.BldNew.Thermal.SC</t>
  </si>
  <si>
    <t>EMI.ktCO2.LU.Ser.BldNew.Thermal.SC.GasHP.NG_Biogas</t>
  </si>
  <si>
    <t>EMI.ktCO2.LU.Ser.BldNew.Thermal.SC.AC.Elec</t>
  </si>
  <si>
    <t>EMI.ktCO2.LU.Ser.BldNew.Thermal.HW</t>
  </si>
  <si>
    <t>EMI.ktCO2.LU.Ser.BldNew.Thermal.HW.Solids.Solids</t>
  </si>
  <si>
    <t>EMI.ktCO2.LU.Ser.BldNew.Thermal.HW.LPG.LPG</t>
  </si>
  <si>
    <t>EMI.ktCO2.LU.Ser.BldNew.Thermal.HW.Oil.Oil_LiqBio</t>
  </si>
  <si>
    <t>EMI.ktCO2.LU.Ser.BldNew.Thermal.HW.Gas.NG_Biogas</t>
  </si>
  <si>
    <t>EMI.ktCO2.LU.Ser.BldNew.Thermal.HW.Biomass.Biomass_Waste</t>
  </si>
  <si>
    <t>EMI.ktCO2.LU.Ser.BldNew.Thermal.HW.DistrHeat.Steam_Distr</t>
  </si>
  <si>
    <t>EMI.ktCO2.LU.Ser.BldNew.Thermal.HW.Elc.Elec</t>
  </si>
  <si>
    <t>EMI.ktCO2.LU.Ser.BldNew.Thermal.HW.TotalSolar.Solar</t>
  </si>
  <si>
    <t>EMI.ktCO2.LU.Ser.BldNew.Thermal.CA</t>
  </si>
  <si>
    <t>EMI.ktCO2.LU.Ser.BldNew.Thermal.CA.LPG</t>
  </si>
  <si>
    <t>EMI.ktCO2.LU.Ser.BldNew.Thermal.CA.Gas.NG_Biogas</t>
  </si>
  <si>
    <t>EMI.ktCO2.LU.Ser.BldNew.Thermal.CA.Biomass.Biomass_Waste</t>
  </si>
  <si>
    <t>EMI.ktCO2.LU.Ser.BldNew.Thermal.CA.Elc.Elec</t>
  </si>
  <si>
    <t>LU - Final energy consumption of new and renovated buildings (per building)</t>
  </si>
  <si>
    <t>FEC_per_building.kWh.LU.Ser.BldNew.Thermal</t>
  </si>
  <si>
    <t>FEC_per_building.kWh.LU.Ser.BldNew.Thermal.SH</t>
  </si>
  <si>
    <t>FEC_per_building.kWh.LU.Ser.BldNew.Thermal.SH.Solids.Solids</t>
  </si>
  <si>
    <t>FEC_per_building.kWh.LU.Ser.BldNew.Thermal.SH.LPG.LPG</t>
  </si>
  <si>
    <t>FEC_per_building.kWh.LU.Ser.BldNew.Thermal.SH.Oil.Oil_LiqBio</t>
  </si>
  <si>
    <t>FEC_per_building.kWh.LU.Ser.BldNew.Thermal.SH.GasHP.NG_Biogas</t>
  </si>
  <si>
    <t>FEC_per_building.kWh.LU.Ser.BldNew.Thermal.SH.GasTH.NG_Biogas</t>
  </si>
  <si>
    <t>FEC_per_building.kWh.LU.Ser.BldNew.Thermal.SH.Biomass.Biomass_Waste</t>
  </si>
  <si>
    <t>FEC_per_building.kWh.LU.Ser.BldNew.Thermal.SH.Geo.Geo</t>
  </si>
  <si>
    <t>FEC_per_building.kWh.LU.Ser.BldNew.Thermal.SH.DistrHeat.Steam_Distr</t>
  </si>
  <si>
    <t>FEC_per_building.kWh.LU.Ser.BldNew.Thermal.SH.AdvElc.Elec</t>
  </si>
  <si>
    <t>FEC_per_building.kWh.LU.Ser.BldNew.Thermal.SH.ConvElc.Elec</t>
  </si>
  <si>
    <t>FEC_per_building.kWh.LU.Ser.BldNew.Thermal.SH.TotalCirculation.Elec</t>
  </si>
  <si>
    <t>FEC_per_building.kWh.LU.Ser.BldNew.Thermal.SC</t>
  </si>
  <si>
    <t>FEC_per_building.kWh.LU.Ser.BldNew.Thermal.SC.GasHP.NG_Biogas</t>
  </si>
  <si>
    <t>FEC_per_building.kWh.LU.Ser.BldNew.Thermal.SC.AC.Elec</t>
  </si>
  <si>
    <t>FEC_per_building.kWh.LU.Ser.BldNew.Thermal.HW</t>
  </si>
  <si>
    <t>FEC_per_building.kWh.LU.Ser.BldNew.Thermal.HW.Solids.Solids</t>
  </si>
  <si>
    <t>FEC_per_building.kWh.LU.Ser.BldNew.Thermal.HW.LPG.LPG</t>
  </si>
  <si>
    <t>FEC_per_building.kWh.LU.Ser.BldNew.Thermal.HW.Oil.Oil_LiqBio</t>
  </si>
  <si>
    <t>FEC_per_building.kWh.LU.Ser.BldNew.Thermal.HW.Gas.NG_Biogas</t>
  </si>
  <si>
    <t>FEC_per_building.kWh.LU.Ser.BldNew.Thermal.HW.Biomass.Biomass_Waste</t>
  </si>
  <si>
    <t>FEC_per_building.kWh.LU.Ser.BldNew.Thermal.HW.DistrHeat.Steam_Distr</t>
  </si>
  <si>
    <t>FEC_per_building.kWh.LU.Ser.BldNew.Thermal.HW.Elc.Elec</t>
  </si>
  <si>
    <t>FEC_per_building.kWh.LU.Ser.BldNew.Thermal.HW.TotalSolar.Solar</t>
  </si>
  <si>
    <t>FEC_per_building.kWh.LU.Ser.BldNew.Thermal.CA</t>
  </si>
  <si>
    <t>FEC_per_building.kWh.LU.Ser.BldNew.Thermal.CA.LPG</t>
  </si>
  <si>
    <t>FEC_per_building.kWh.LU.Ser.BldNew.Thermal.CA.Gas.NG_Biogas</t>
  </si>
  <si>
    <t>FEC_per_building.kWh.LU.Ser.BldNew.Thermal.CA.Biomass.Biomass_Waste</t>
  </si>
  <si>
    <t>FEC_per_building.kWh.LU.Ser.BldNew.Thermal.CA.Elc.Elec</t>
  </si>
  <si>
    <t>LU - Thermal energy service of new and renovated buildings (per building)</t>
  </si>
  <si>
    <t>TES_per_building.kWh.LU.Ser.BldNew.Thermal</t>
  </si>
  <si>
    <t>TES_per_building.kWh.LU.Ser.BldNew.Thermal.SH</t>
  </si>
  <si>
    <t>TES_per_building.kWh.LU.Ser.BldNew.Thermal.SH.Solids.Solids</t>
  </si>
  <si>
    <t>TES_per_building.kWh.LU.Ser.BldNew.Thermal.SH.LPG.LPG</t>
  </si>
  <si>
    <t>TES_per_building.kWh.LU.Ser.BldNew.Thermal.SH.Oil.Oil_LiqBio</t>
  </si>
  <si>
    <t>TES_per_building.kWh.LU.Ser.BldNew.Thermal.SH.GasHP.NG_Biogas</t>
  </si>
  <si>
    <t>TES_per_building.kWh.LU.Ser.BldNew.Thermal.SH.GasTH.NG_Biogas</t>
  </si>
  <si>
    <t>TES_per_building.kWh.LU.Ser.BldNew.Thermal.SH.Biomass.Biomass_Waste</t>
  </si>
  <si>
    <t>TES_per_building.kWh.LU.Ser.BldNew.Thermal.SH.Geo.Geo</t>
  </si>
  <si>
    <t>TES_per_building.kWh.LU.Ser.BldNew.Thermal.SH.DistrHeat.Steam_Distr</t>
  </si>
  <si>
    <t>TES_per_building.kWh.LU.Ser.BldNew.Thermal.SH.AdvElc.Elec</t>
  </si>
  <si>
    <t>TES_per_building.kWh.LU.Ser.BldNew.Thermal.SH.ConvElc.Elec</t>
  </si>
  <si>
    <t>TES_per_building.kWh.LU.Ser.BldNew.Thermal.SH.TotalCirculation.Elec</t>
  </si>
  <si>
    <t>TES_per_building.kWh.LU.Ser.BldNew.Thermal.SC</t>
  </si>
  <si>
    <t>TES_per_building.kWh.LU.Ser.BldNew.Thermal.SC.GasHP.NG_Biogas</t>
  </si>
  <si>
    <t>TES_per_building.kWh.LU.Ser.BldNew.Thermal.SC.AC.Elec</t>
  </si>
  <si>
    <t>TES_per_building.kWh.LU.Ser.BldNew.Thermal.HW</t>
  </si>
  <si>
    <t>TES_per_building.kWh.LU.Ser.BldNew.Thermal.HW.Solids.Solids</t>
  </si>
  <si>
    <t>TES_per_building.kWh.LU.Ser.BldNew.Thermal.HW.LPG.LPG</t>
  </si>
  <si>
    <t>TES_per_building.kWh.LU.Ser.BldNew.Thermal.HW.Oil.Oil_LiqBio</t>
  </si>
  <si>
    <t>TES_per_building.kWh.LU.Ser.BldNew.Thermal.HW.Gas.NG_Biogas</t>
  </si>
  <si>
    <t>TES_per_building.kWh.LU.Ser.BldNew.Thermal.HW.Biomass.Biomass_Waste</t>
  </si>
  <si>
    <t>TES_per_building.kWh.LU.Ser.BldNew.Thermal.HW.DistrHeat.Steam_Distr</t>
  </si>
  <si>
    <t>TES_per_building.kWh.LU.Ser.BldNew.Thermal.HW.Elc.Elec</t>
  </si>
  <si>
    <t>TES_per_building.kWh.LU.Ser.BldNew.Thermal.HW.TotalSolar.Solar</t>
  </si>
  <si>
    <t>TES_per_building.kWh.LU.Ser.BldNew.Thermal.CA</t>
  </si>
  <si>
    <t>TES_per_building.kWh.LU.Ser.BldNew.Thermal.CA.LPG</t>
  </si>
  <si>
    <t>TES_per_building.kWh.LU.Ser.BldNew.Thermal.CA.Gas.NG_Biogas</t>
  </si>
  <si>
    <t>TES_per_building.kWh.LU.Ser.BldNew.Thermal.CA.Biomass.Biomass_Waste</t>
  </si>
  <si>
    <t>TES_per_building.kWh.LU.Ser.BldNew.Thermal.CA.Elc.Elec</t>
  </si>
  <si>
    <t>LU - CO2 emissions in new and renovated buildings (per building)</t>
  </si>
  <si>
    <t>EMI_per_building.kgCO2.LU.Ser.BldNew.Thermal</t>
  </si>
  <si>
    <t>EMI_per_building.kgCO2.LU.Ser.BldNew.Thermal.SH</t>
  </si>
  <si>
    <t>EMI_per_building.kgCO2.LU.Ser.BldNew.Thermal.SH.Solids.Solids</t>
  </si>
  <si>
    <t>EMI_per_building.kgCO2.LU.Ser.BldNew.Thermal.SH.LPG.LPG</t>
  </si>
  <si>
    <t>EMI_per_building.kgCO2.LU.Ser.BldNew.Thermal.SH.Oil.Oil_LiqBio</t>
  </si>
  <si>
    <t>EMI_per_building.kgCO2.LU.Ser.BldNew.Thermal.SH.GasHP.NG_Biogas</t>
  </si>
  <si>
    <t>EMI_per_building.kgCO2.LU.Ser.BldNew.Thermal.SH.GasTH.NG_Biogas</t>
  </si>
  <si>
    <t>EMI_per_building.kgCO2.LU.Ser.BldNew.Thermal.SH.Biomass.Biomass_Waste</t>
  </si>
  <si>
    <t>EMI_per_building.kgCO2.LU.Ser.BldNew.Thermal.SH.Geo.Geo</t>
  </si>
  <si>
    <t>EMI_per_building.kgCO2.LU.Ser.BldNew.Thermal.SH.DistrHeat.Steam_Distr</t>
  </si>
  <si>
    <t>EMI_per_building.kgCO2.LU.Ser.BldNew.Thermal.SH.AdvElc.Elec</t>
  </si>
  <si>
    <t>EMI_per_building.kgCO2.LU.Ser.BldNew.Thermal.SH.ConvElc.Elec</t>
  </si>
  <si>
    <t>EMI_per_building.kgCO2.LU.Ser.BldNew.Thermal.SH.TotalCirculation.Elec</t>
  </si>
  <si>
    <t>EMI_per_building.kgCO2.LU.Ser.BldNew.Thermal.SC</t>
  </si>
  <si>
    <t>EMI_per_building.kgCO2.LU.Ser.BldNew.Thermal.SC.GasHP.NG_Biogas</t>
  </si>
  <si>
    <t>EMI_per_building.kgCO2.LU.Ser.BldNew.Thermal.SC.AC.Elec</t>
  </si>
  <si>
    <t>EMI_per_building.kgCO2.LU.Ser.BldNew.Thermal.HW</t>
  </si>
  <si>
    <t>EMI_per_building.kgCO2.LU.Ser.BldNew.Thermal.HW.Solids.Solids</t>
  </si>
  <si>
    <t>EMI_per_building.kgCO2.LU.Ser.BldNew.Thermal.HW.LPG.LPG</t>
  </si>
  <si>
    <t>EMI_per_building.kgCO2.LU.Ser.BldNew.Thermal.HW.Oil.Oil_LiqBio</t>
  </si>
  <si>
    <t>EMI_per_building.kgCO2.LU.Ser.BldNew.Thermal.HW.Gas.NG_Biogas</t>
  </si>
  <si>
    <t>EMI_per_building.kgCO2.LU.Ser.BldNew.Thermal.HW.Biomass.Biomass_Waste</t>
  </si>
  <si>
    <t>EMI_per_building.kgCO2.LU.Ser.BldNew.Thermal.HW.DistrHeat.Steam_Distr</t>
  </si>
  <si>
    <t>EMI_per_building.kgCO2.LU.Ser.BldNew.Thermal.HW.Elc.Elec</t>
  </si>
  <si>
    <t>EMI_per_building.kgCO2.LU.Ser.BldNew.Thermal.HW.TotalSolar.Solar</t>
  </si>
  <si>
    <t>EMI_per_building.kgCO2.LU.Ser.BldNew.Thermal.CA</t>
  </si>
  <si>
    <t>EMI_per_building.kgCO2.LU.Ser.BldNew.Thermal.CA.LPG</t>
  </si>
  <si>
    <t>EMI_per_building.kgCO2.LU.Ser.BldNew.Thermal.CA.Gas.NG_Biogas</t>
  </si>
  <si>
    <t>EMI_per_building.kgCO2.LU.Ser.BldNew.Thermal.CA.Biomass.Biomass_Waste</t>
  </si>
  <si>
    <t>EMI_per_building.kgCO2.LU.Ser.BldNew.Thermal.CA.Elc.Elec</t>
  </si>
  <si>
    <t>LU - Final energy consumption in new and renovated buildings per surface area</t>
  </si>
  <si>
    <t>FEC_per_sqm.kWh.LU.Ser.BldNew.Thermal</t>
  </si>
  <si>
    <t>FEC_per_sqm.kWh.LU.Ser.BldNew.Thermal.SH</t>
  </si>
  <si>
    <t>FEC_per_sqm.kWh.LU.Ser.BldNew.Thermal.SH.Solids.Solids</t>
  </si>
  <si>
    <t>FEC_per_sqm.kWh.LU.Ser.BldNew.Thermal.SH.LPG.LPG</t>
  </si>
  <si>
    <t>FEC_per_sqm.kWh.LU.Ser.BldNew.Thermal.SH.Oil.Oil_LiqBio</t>
  </si>
  <si>
    <t>FEC_per_sqm.kWh.LU.Ser.BldNew.Thermal.SH.GasHP.NG_Biogas</t>
  </si>
  <si>
    <t>FEC_per_sqm.kWh.LU.Ser.BldNew.Thermal.SH.GasTH.NG_Biogas</t>
  </si>
  <si>
    <t>FEC_per_sqm.kWh.LU.Ser.BldNew.Thermal.SH.Biomass.Biomass_Waste</t>
  </si>
  <si>
    <t>FEC_per_sqm.kWh.LU.Ser.BldNew.Thermal.SH.Geo.Geo</t>
  </si>
  <si>
    <t>FEC_per_sqm.kWh.LU.Ser.BldNew.Thermal.SH.DistrHeat.Steam_Distr</t>
  </si>
  <si>
    <t>FEC_per_sqm.kWh.LU.Ser.BldNew.Thermal.SH.AdvElc.Elec</t>
  </si>
  <si>
    <t>FEC_per_sqm.kWh.LU.Ser.BldNew.Thermal.SH.ConvElc.Elec</t>
  </si>
  <si>
    <t>FEC_per_sqm.kWh.LU.Ser.BldNew.Thermal.SH.TotalCirculation.Elec</t>
  </si>
  <si>
    <t>FEC_per_sqm.kWh.LU.Ser.BldNew.Thermal.SC</t>
  </si>
  <si>
    <t>FEC_per_sqm.kWh.LU.Ser.BldNew.Thermal.SC.GasHP.NG_Biogas</t>
  </si>
  <si>
    <t>FEC_per_sqm.kWh.LU.Ser.BldNew.Thermal.SC.AC.Elec</t>
  </si>
  <si>
    <t>FEC_per_sqm.kWh.LU.Ser.BldNew.Thermal.HW</t>
  </si>
  <si>
    <t>FEC_per_sqm.kWh.LU.Ser.BldNew.Thermal.HW.Solids.Solids</t>
  </si>
  <si>
    <t>FEC_per_sqm.kWh.LU.Ser.BldNew.Thermal.HW.LPG.LPG</t>
  </si>
  <si>
    <t>FEC_per_sqm.kWh.LU.Ser.BldNew.Thermal.HW.Oil.Oil_LiqBio</t>
  </si>
  <si>
    <t>FEC_per_sqm.kWh.LU.Ser.BldNew.Thermal.HW.Gas.NG_Biogas</t>
  </si>
  <si>
    <t>FEC_per_sqm.kWh.LU.Ser.BldNew.Thermal.HW.Biomass.Biomass_Waste</t>
  </si>
  <si>
    <t>FEC_per_sqm.kWh.LU.Ser.BldNew.Thermal.HW.DistrHeat.Steam_Distr</t>
  </si>
  <si>
    <t>FEC_per_sqm.kWh.LU.Ser.BldNew.Thermal.HW.Elc.Elec</t>
  </si>
  <si>
    <t>FEC_per_sqm.kWh.LU.Ser.BldNew.Thermal.HW.TotalSolar.Solar</t>
  </si>
  <si>
    <t>FEC_per_sqm.kWh.LU.Ser.BldNew.Thermal.CA</t>
  </si>
  <si>
    <t>FEC_per_sqm.kWh.LU.Ser.BldNew.Thermal.CA.LPG</t>
  </si>
  <si>
    <t>FEC_per_sqm.kWh.LU.Ser.BldNew.Thermal.CA.Gas.NG_Biogas</t>
  </si>
  <si>
    <t>FEC_per_sqm.kWh.LU.Ser.BldNew.Thermal.CA.Biomass.Biomass_Waste</t>
  </si>
  <si>
    <t>FEC_per_sqm.kWh.LU.Ser.BldNew.Thermal.CA.Elc.Elec</t>
  </si>
  <si>
    <t>LU - Thermal energy service in new and renovated buildings per surface area</t>
  </si>
  <si>
    <t>TES_per_sqm.kWh.LU.Ser.BldNew.Thermal</t>
  </si>
  <si>
    <t>TES_per_sqm.kWh.LU.Ser.BldNew.Thermal.SH</t>
  </si>
  <si>
    <t>TES_per_sqm.kWh.LU.Ser.BldNew.Thermal.SH.Solids.Solids</t>
  </si>
  <si>
    <t>TES_per_sqm.kWh.LU.Ser.BldNew.Thermal.SH.LPG.LPG</t>
  </si>
  <si>
    <t>TES_per_sqm.kWh.LU.Ser.BldNew.Thermal.SH.Oil.Oil_LiqBio</t>
  </si>
  <si>
    <t>TES_per_sqm.kWh.LU.Ser.BldNew.Thermal.SH.GasHP.NG_Biogas</t>
  </si>
  <si>
    <t>TES_per_sqm.kWh.LU.Ser.BldNew.Thermal.SH.GasTH.NG_Biogas</t>
  </si>
  <si>
    <t>TES_per_sqm.kWh.LU.Ser.BldNew.Thermal.SH.Biomass.Biomass_Waste</t>
  </si>
  <si>
    <t>TES_per_sqm.kWh.LU.Ser.BldNew.Thermal.SH.Geo.Geo</t>
  </si>
  <si>
    <t>TES_per_sqm.kWh.LU.Ser.BldNew.Thermal.SH.DistrHeat.Steam_Distr</t>
  </si>
  <si>
    <t>TES_per_sqm.kWh.LU.Ser.BldNew.Thermal.SH.AdvElc.Elec</t>
  </si>
  <si>
    <t>TES_per_sqm.kWh.LU.Ser.BldNew.Thermal.SH.ConvElc.Elec</t>
  </si>
  <si>
    <t>TES_per_sqm.kWh.LU.Ser.BldNew.Thermal.SH.TotalCirculation.Elec</t>
  </si>
  <si>
    <t>TES_per_sqm.kWh.LU.Ser.BldNew.Thermal.SC</t>
  </si>
  <si>
    <t>TES_per_sqm.kWh.LU.Ser.BldNew.Thermal.SC.GasHP.NG_Biogas</t>
  </si>
  <si>
    <t>TES_per_sqm.kWh.LU.Ser.BldNew.Thermal.SC.AC.Elec</t>
  </si>
  <si>
    <t>TES_per_sqm.kWh.LU.Ser.BldNew.Thermal.HW</t>
  </si>
  <si>
    <t>TES_per_sqm.kWh.LU.Ser.BldNew.Thermal.HW.Solids.Solids</t>
  </si>
  <si>
    <t>TES_per_sqm.kWh.LU.Ser.BldNew.Thermal.HW.LPG.LPG</t>
  </si>
  <si>
    <t>TES_per_sqm.kWh.LU.Ser.BldNew.Thermal.HW.Oil.Oil_LiqBio</t>
  </si>
  <si>
    <t>TES_per_sqm.kWh.LU.Ser.BldNew.Thermal.HW.Gas.NG_Biogas</t>
  </si>
  <si>
    <t>TES_per_sqm.kWh.LU.Ser.BldNew.Thermal.HW.Biomass.Biomass_Waste</t>
  </si>
  <si>
    <t>TES_per_sqm.kWh.LU.Ser.BldNew.Thermal.HW.DistrHeat.Steam_Distr</t>
  </si>
  <si>
    <t>TES_per_sqm.kWh.LU.Ser.BldNew.Thermal.HW.Elc.Elec</t>
  </si>
  <si>
    <t>TES_per_sqm.kWh.LU.Ser.BldNew.Thermal.HW.TotalSolar.Solar</t>
  </si>
  <si>
    <t>TES_per_sqm.kWh.LU.Ser.BldNew.Thermal.CA</t>
  </si>
  <si>
    <t>TES_per_sqm.kWh.LU.Ser.BldNew.Thermal.CA.LPG</t>
  </si>
  <si>
    <t>TES_per_sqm.kWh.LU.Ser.BldNew.Thermal.CA.Gas.NG_Biogas</t>
  </si>
  <si>
    <t>TES_per_sqm.kWh.LU.Ser.BldNew.Thermal.CA.Biomass.Biomass_Waste</t>
  </si>
  <si>
    <t>TES_per_sqm.kWh.LU.Ser.BldNew.Thermal.CA.Elc.Elec</t>
  </si>
  <si>
    <t>LU - CO2 emissions in new and renovated buildings per surface area</t>
  </si>
  <si>
    <t>EMI_per_sqm.kgCO2.LU.Ser.BldNew.Thermal</t>
  </si>
  <si>
    <t>EMI_per_sqm.kgCO2.LU.Ser.BldNew.Thermal.SH</t>
  </si>
  <si>
    <t>EMI_per_sqm.kgCO2.LU.Ser.BldNew.Thermal.SH.Solids.Solids</t>
  </si>
  <si>
    <t>EMI_per_sqm.kgCO2.LU.Ser.BldNew.Thermal.SH.LPG.LPG</t>
  </si>
  <si>
    <t>EMI_per_sqm.kgCO2.LU.Ser.BldNew.Thermal.SH.Oil.Oil_LiqBio</t>
  </si>
  <si>
    <t>EMI_per_sqm.kgCO2.LU.Ser.BldNew.Thermal.SH.GasHP.NG_Biogas</t>
  </si>
  <si>
    <t>EMI_per_sqm.kgCO2.LU.Ser.BldNew.Thermal.SH.GasTH.NG_Biogas</t>
  </si>
  <si>
    <t>EMI_per_sqm.kgCO2.LU.Ser.BldNew.Thermal.SH.Biomass.Biomass_Waste</t>
  </si>
  <si>
    <t>EMI_per_sqm.kgCO2.LU.Ser.BldNew.Thermal.SH.Geo.Geo</t>
  </si>
  <si>
    <t>EMI_per_sqm.kgCO2.LU.Ser.BldNew.Thermal.SH.DistrHeat.Steam_Distr</t>
  </si>
  <si>
    <t>EMI_per_sqm.kgCO2.LU.Ser.BldNew.Thermal.SH.AdvElc.Elec</t>
  </si>
  <si>
    <t>EMI_per_sqm.kgCO2.LU.Ser.BldNew.Thermal.SH.ConvElc.Elec</t>
  </si>
  <si>
    <t>EMI_per_sqm.kgCO2.LU.Ser.BldNew.Thermal.SH.TotalCirculation.Elec</t>
  </si>
  <si>
    <t>EMI_per_sqm.kgCO2.LU.Ser.BldNew.Thermal.SC</t>
  </si>
  <si>
    <t>EMI_per_sqm.kgCO2.LU.Ser.BldNew.Thermal.SC.GasHP.NG_Biogas</t>
  </si>
  <si>
    <t>EMI_per_sqm.kgCO2.LU.Ser.BldNew.Thermal.SC.AC.Elec</t>
  </si>
  <si>
    <t>EMI_per_sqm.kgCO2.LU.Ser.BldNew.Thermal.HW</t>
  </si>
  <si>
    <t>EMI_per_sqm.kgCO2.LU.Ser.BldNew.Thermal.HW.Solids.Solids</t>
  </si>
  <si>
    <t>EMI_per_sqm.kgCO2.LU.Ser.BldNew.Thermal.HW.LPG.LPG</t>
  </si>
  <si>
    <t>EMI_per_sqm.kgCO2.LU.Ser.BldNew.Thermal.HW.Oil.Oil_LiqBio</t>
  </si>
  <si>
    <t>EMI_per_sqm.kgCO2.LU.Ser.BldNew.Thermal.HW.Gas.NG_Biogas</t>
  </si>
  <si>
    <t>EMI_per_sqm.kgCO2.LU.Ser.BldNew.Thermal.HW.Biomass.Biomass_Waste</t>
  </si>
  <si>
    <t>EMI_per_sqm.kgCO2.LU.Ser.BldNew.Thermal.HW.DistrHeat.Steam_Distr</t>
  </si>
  <si>
    <t>EMI_per_sqm.kgCO2.LU.Ser.BldNew.Thermal.HW.Elc.Elec</t>
  </si>
  <si>
    <t>EMI_per_sqm.kgCO2.LU.Ser.BldNew.Thermal.HW.TotalSolar.Solar</t>
  </si>
  <si>
    <t>EMI_per_sqm.kgCO2.LU.Ser.BldNew.Thermal.CA</t>
  </si>
  <si>
    <t>EMI_per_sqm.kgCO2.LU.Ser.BldNew.Thermal.CA.LPG</t>
  </si>
  <si>
    <t>EMI_per_sqm.kgCO2.LU.Ser.BldNew.Thermal.CA.Gas.NG_Biogas</t>
  </si>
  <si>
    <t>EMI_per_sqm.kgCO2.LU.Ser.BldNew.Thermal.CA.Biomass.Biomass_Waste</t>
  </si>
  <si>
    <t>EMI_per_sqm.kgCO2.LU.Ser.BldNew.Thermal.CA.Elc.Elec</t>
  </si>
  <si>
    <t>FEC.ktoe.LU.Ser.SEU.VE</t>
  </si>
  <si>
    <t>FEC.ktoe.LU.Ser.SEU.SL</t>
  </si>
  <si>
    <t>FEC.ktoe.LU.Ser.SEU.BL</t>
  </si>
  <si>
    <t>FEC.ktoe.LU.Ser.SEU.CR</t>
  </si>
  <si>
    <t>FEC.ktoe.LU.Ser.SEU.BT</t>
  </si>
  <si>
    <t>FEC.ktoe.LU.Ser.SEU.IT</t>
  </si>
  <si>
    <t>Size.MW.LU.Ser.SEU</t>
  </si>
  <si>
    <t>Size.MW.LU.Ser.SEU.VE</t>
  </si>
  <si>
    <t>Size.MW.LU.Ser.SEU.SL</t>
  </si>
  <si>
    <t>Size.MW.LU.Ser.SEU.BL</t>
  </si>
  <si>
    <t>Size.MW.LU.Ser.SEU.CR</t>
  </si>
  <si>
    <t>Size.MW.LU.Ser.SEU.BT</t>
  </si>
  <si>
    <t>Size.MW.LU.Ser.SEU.IT</t>
  </si>
  <si>
    <t>NUM.Msqm.LU.Ser.SEU.VE</t>
  </si>
  <si>
    <t>NUM.k.LU.Ser.SEU.SL</t>
  </si>
  <si>
    <t>NUM.M.LU.Ser.SEU.BL</t>
  </si>
  <si>
    <t>NUM.k.LU.Ser.SEU.CR</t>
  </si>
  <si>
    <t>NUM.Msqm.LU.Ser.SEU.BT</t>
  </si>
  <si>
    <t>NUM.k.LU.Ser.SEU.IT</t>
  </si>
  <si>
    <t>NUM.Msqm.LU.Ser.SEUnew.VE</t>
  </si>
  <si>
    <t>NUM.k.LU.Ser.SEUnew.SL</t>
  </si>
  <si>
    <t>NUM.M.LU.Ser.SEUnew.BL</t>
  </si>
  <si>
    <t>NUM.k.LU.Ser.SEUnew.CR</t>
  </si>
  <si>
    <t>NUM.Msqm.LU.Ser.SEUnew.BT</t>
  </si>
  <si>
    <t>NUM.k.LU.Ser.SEUnew.IT</t>
  </si>
  <si>
    <t>NUM.Msqm.LU.Ser.SEUrepl.VE</t>
  </si>
  <si>
    <t>NUM.k.LU.Ser.SEUrepl.SL</t>
  </si>
  <si>
    <t>NUM.M.LU.Ser.SEUrepl.BL</t>
  </si>
  <si>
    <t>NUM.k.LU.Ser.SEUrepl.CR</t>
  </si>
  <si>
    <t>NUM.Msqm.LU.Ser.SEUrepl.BT</t>
  </si>
  <si>
    <t>NUM.k.LU.Ser.SEUrepl.IT</t>
  </si>
  <si>
    <t>Op.hours.LU.Ser.SEU.VE</t>
  </si>
  <si>
    <t>Op.hours.LU.Ser.SEU.SL</t>
  </si>
  <si>
    <t>Op.hours.LU.Ser.SEU.BL</t>
  </si>
  <si>
    <t>Op.hours.LU.Ser.SEU.CR</t>
  </si>
  <si>
    <t>Op.hours.LU.Ser.SEU.BT</t>
  </si>
  <si>
    <t>Op.hours.LU.Ser.SEU.IT</t>
  </si>
  <si>
    <t>Size_per_appl.W.LU.Ser.SEU.VE</t>
  </si>
  <si>
    <t>Size_per_appl.W.LU.Ser.SEU.SL</t>
  </si>
  <si>
    <t>Size_per_appl.W.LU.Ser.SEU.BL</t>
  </si>
  <si>
    <t>Size_per_appl.W.LU.Ser.SEU.CR</t>
  </si>
  <si>
    <t>Size_per_appl.W.LU.Ser.SEU.BT</t>
  </si>
  <si>
    <t>Size_per_appl.W.LU.Ser.SEU.IT</t>
  </si>
  <si>
    <t>Size_per_appl.W.LU.Ser.SEUnew.VE</t>
  </si>
  <si>
    <t>Size_per_appl.W.LU.Ser.SEUnew.SL</t>
  </si>
  <si>
    <t>Size_per_appl.W.LU.Ser.SEUnew.BL</t>
  </si>
  <si>
    <t>Size_per_appl.W.LU.Ser.SEUnew.CR</t>
  </si>
  <si>
    <t>Size_per_appl.W.LU.Ser.SEUnew.BT</t>
  </si>
  <si>
    <t>Size_per_appl.W.LU.Ser.SEUnew.IT</t>
  </si>
  <si>
    <t>NUM.sqm_per_building.LU.Ser.SEU.VE</t>
  </si>
  <si>
    <t>NUM.number_per_capita.LU.Ser.SEU.SL</t>
  </si>
  <si>
    <t>NUM.number_per_building.LU.Ser.SEU.BL</t>
  </si>
  <si>
    <t>NUM.number_per_capita.LU.Ser.SEU.CR</t>
  </si>
  <si>
    <t>NUM.sqm_per_building.LU.Ser.SEU.BT</t>
  </si>
  <si>
    <t>NUM.number_per_capita.LU.Ser.SEU.IT</t>
  </si>
  <si>
    <t>Lumens_per_sqm.lumen.LU.Ser.SEU.BL</t>
  </si>
  <si>
    <t>LU - Services / specific electric uses</t>
  </si>
  <si>
    <t>LU - Ventilation and others</t>
  </si>
  <si>
    <t>LU - Street lighting</t>
  </si>
  <si>
    <t>LU - Building lighting</t>
  </si>
  <si>
    <t>LU - Commercial refrigeration</t>
  </si>
  <si>
    <t>LU - Miscellaneous building technologies</t>
  </si>
  <si>
    <t>LU - ICT and multimedia</t>
  </si>
  <si>
    <t>LU - Agriculture, forestry and fishing</t>
  </si>
  <si>
    <t>VA.Meuro2015.LU.AGR.AGR</t>
  </si>
  <si>
    <t>OUTPUT.index.LU.AGR.AGR</t>
  </si>
  <si>
    <t>CAP.index.LU.AGR.AGR</t>
  </si>
  <si>
    <t>NEWCAP.index.LU.AGR.AGR</t>
  </si>
  <si>
    <t>CAPOUT.index.LU.AGR.AGR</t>
  </si>
  <si>
    <t>CAPIDLE.index.LU.AGR.AGR</t>
  </si>
  <si>
    <t>FEC.ktoe.LU.ES.AGR</t>
  </si>
  <si>
    <t>FEC.ktoe.LU.ES.AGR.Solids</t>
  </si>
  <si>
    <t>FEC.ktoe.LU.ES.AGR.LPG</t>
  </si>
  <si>
    <t>FEC.ktoe.LU.ES.AGR.Diesel</t>
  </si>
  <si>
    <t>FEC.ktoe.LU.ES.AGR.RFO</t>
  </si>
  <si>
    <t>FEC.ktoe.LU.ES.AGR.NG</t>
  </si>
  <si>
    <t>FEC.ktoe.LU.ES.AGR.Biomass_Waste</t>
  </si>
  <si>
    <t>FEC.ktoe.LU.ES.AGR.Biogas</t>
  </si>
  <si>
    <t>FEC.ktoe.LU.ES.AGR.LiqBio</t>
  </si>
  <si>
    <t>FEC.ktoe.LU.ES.AGR.Solar</t>
  </si>
  <si>
    <t>FEC.ktoe.LU.ES.AGR.Geo</t>
  </si>
  <si>
    <t>FEC.ktoe.LU.ES.AGR.Ambient</t>
  </si>
  <si>
    <t>FEC.ktoe.LU.ES.AGR.Steam_Distr</t>
  </si>
  <si>
    <t>FEC.ktoe.LU.ES.AGR.Elec</t>
  </si>
  <si>
    <t>LU - Agriculture, forestry and fishing / final energy consumption</t>
  </si>
  <si>
    <t>FEC.ktoe.LU.AGR.AGR.LIGHT.GENERIC.ELEC</t>
  </si>
  <si>
    <t>FEC.ktoe.LU.AGR.AGR.FANS.GENERIC.ELEC</t>
  </si>
  <si>
    <t>FEC.ktoe.LU.AGR.AGR.MOTOR.GENERIC.ELEC</t>
  </si>
  <si>
    <t>FEC.ktoe.LU.AGR.AGR.LOW_ENTH.THERM.DIESEL_LIQBIO</t>
  </si>
  <si>
    <t>FEC.ktoe.LU.AGR.AGR.LOW_ENTH.THERM.NG_BIOGAS</t>
  </si>
  <si>
    <t>FEC.ktoe.LU.AGR.AGR.LOW_ENTH.THERM.SOLAR_GEO</t>
  </si>
  <si>
    <t>FEC.ktoe.LU.AGR.AGR.LOW_ENTH.HP.AMBIENT</t>
  </si>
  <si>
    <t>FEC.ktoe.LU.AGR.AGR.LOW_ENTH.THERM.STEAM_DISTR</t>
  </si>
  <si>
    <t>FEC.ktoe.LU.AGR.AGR.LOW_ENTH.THERM.ELEC</t>
  </si>
  <si>
    <t>FEC.ktoe.LU.AGR.AGR.FARM_DRIVES.MECH.DIESEL_LIQBIO</t>
  </si>
  <si>
    <t>FEC.ktoe.LU.AGR.AGR.HEAT_USE.THERM.SOLIDS</t>
  </si>
  <si>
    <t>FEC.ktoe.LU.AGR.AGR.HEAT_USE.THERM.LPG</t>
  </si>
  <si>
    <t>FEC.ktoe.LU.AGR.AGR.HEAT_USE.THERM.DIESEL_LIQBIO</t>
  </si>
  <si>
    <t>FEC.ktoe.LU.AGR.AGR.HEAT_USE.THERM.RFO</t>
  </si>
  <si>
    <t>FEC.ktoe.LU.AGR.AGR.HEAT_USE.THERM.NG_BIOGAS</t>
  </si>
  <si>
    <t>FEC.ktoe.LU.AGR.AGR.HEAT_USE.THERM.BIOMASS_WASTE</t>
  </si>
  <si>
    <t>FEC.ktoe.LU.AGR.AGR.HEAT_USE.THERM.SOLAR_GEO</t>
  </si>
  <si>
    <t>FEC.ktoe.LU.AGR.AGR.FARM_PUMP.MECH.DIESEL_LIQBIO</t>
  </si>
  <si>
    <t>FEC.ktoe.LU.AGR.AGR.FARM_PUMP_ELEC.MECH.ELEC</t>
  </si>
  <si>
    <t>FEC.ktoe.LU.AGR.AGR.GENERIC.MECH.ELEC</t>
  </si>
  <si>
    <t>LU - Agriculture, forestry and fishing / useful energy demand</t>
  </si>
  <si>
    <t>UED.ktoe.LU.AGR.AGR.LIGHT.GENERIC.ELEC</t>
  </si>
  <si>
    <t>UED.ktoe.LU.AGR.AGR.FANS.GENERIC.ELEC</t>
  </si>
  <si>
    <t>UED.ktoe.LU.AGR.AGR.MOTOR.GENERIC.ELEC</t>
  </si>
  <si>
    <t>UED.ktoe.LU.AGR.AGR.LOW_ENTH.THERM.DIESEL_LIQBIO</t>
  </si>
  <si>
    <t>UED.ktoe.LU.AGR.AGR.LOW_ENTH.THERM.NG_BIOGAS</t>
  </si>
  <si>
    <t>UED.ktoe.LU.AGR.AGR.LOW_ENTH.THERM.SOLAR_GEO</t>
  </si>
  <si>
    <t>UED.ktoe.LU.AGR.AGR.LOW_ENTH.HP.AMBIENT</t>
  </si>
  <si>
    <t>UED.ktoe.LU.AGR.AGR.LOW_ENTH.THERM.STEAM_DISTR</t>
  </si>
  <si>
    <t>UED.ktoe.LU.AGR.AGR.LOW_ENTH.THERM.ELEC</t>
  </si>
  <si>
    <t>UED.ktoe.LU.AGR.AGR.FARM_DRIVES.MECH.DIESEL_LIQBIO</t>
  </si>
  <si>
    <t>UED.ktoe.LU.AGR.AGR.HEAT_USE.THERM.SOLIDS</t>
  </si>
  <si>
    <t>UED.ktoe.LU.AGR.AGR.HEAT_USE.THERM.LPG</t>
  </si>
  <si>
    <t>UED.ktoe.LU.AGR.AGR.HEAT_USE.THERM.DIESEL_LIQBIO</t>
  </si>
  <si>
    <t>UED.ktoe.LU.AGR.AGR.HEAT_USE.THERM.RFO</t>
  </si>
  <si>
    <t>UED.ktoe.LU.AGR.AGR.HEAT_USE.THERM.NG_BIOGAS</t>
  </si>
  <si>
    <t>UED.ktoe.LU.AGR.AGR.HEAT_USE.THERM.BIOMASS_WASTE</t>
  </si>
  <si>
    <t>UED.ktoe.LU.AGR.AGR.HEAT_USE.THERM.SOLAR_GEO</t>
  </si>
  <si>
    <t>UED.ktoe.LU.AGR.AGR.FARM_PUMP.MECH.DIESEL_LIQBIO</t>
  </si>
  <si>
    <t>UED.ktoe.LU.AGR.AGR.FARM_PUMP_ELEC.MECH.ELEC</t>
  </si>
  <si>
    <t>UED.ktoe.LU.AGR.AGR.GENERIC.MECH.ELEC</t>
  </si>
  <si>
    <t>LU - Agriculture, forestry and fishing / CO2 emissions</t>
  </si>
  <si>
    <t>FUEL_EMI.ktCO2.LU.AGR.AGR.LIGHT.GENERIC.ELEC</t>
  </si>
  <si>
    <t>FUEL_EMI.ktCO2.LU.AGR.AGR.FANS.GENERIC.ELEC</t>
  </si>
  <si>
    <t>FUEL_EMI.ktCO2.LU.AGR.AGR.MOTOR.GENERIC.ELEC</t>
  </si>
  <si>
    <t>FUEL_EMI.ktCO2.LU.AGR.AGR.LOW_ENTH.THERM.DIESEL_LIQBIO</t>
  </si>
  <si>
    <t>FUEL_EMI.ktCO2.LU.AGR.AGR.LOW_ENTH.THERM.NG_BIOGAS</t>
  </si>
  <si>
    <t>FUEL_EMI.ktCO2.LU.AGR.AGR.LOW_ENTH.THERM.SOLAR_GEO</t>
  </si>
  <si>
    <t>FUEL_EMI.ktCO2.LU.AGR.AGR.LOW_ENTH.HP.AMBIENT</t>
  </si>
  <si>
    <t>FUEL_EMI.ktCO2.LU.AGR.AGR.LOW_ENTH.THERM.STEAM_DISTR</t>
  </si>
  <si>
    <t>FUEL_EMI.ktCO2.LU.AGR.AGR.LOW_ENTH.THERM.ELEC</t>
  </si>
  <si>
    <t>FUEL_EMI.ktCO2.LU.AGR.AGR.FARM_DRIVES.MECH.DIESEL_LIQBIO</t>
  </si>
  <si>
    <t>FUEL_EMI.ktCO2.LU.AGR.AGR.HEAT_USE.THERM.SOLIDS</t>
  </si>
  <si>
    <t>FUEL_EMI.ktCO2.LU.AGR.AGR.HEAT_USE.THERM.LPG</t>
  </si>
  <si>
    <t>FUEL_EMI.ktCO2.LU.AGR.AGR.HEAT_USE.THERM.DIESEL_LIQBIO</t>
  </si>
  <si>
    <t>FUEL_EMI.ktCO2.LU.AGR.AGR.HEAT_USE.THERM.RFO</t>
  </si>
  <si>
    <t>FUEL_EMI.ktCO2.LU.AGR.AGR.HEAT_USE.THERM.NG_BIOGAS</t>
  </si>
  <si>
    <t>FUEL_EMI.ktCO2.LU.AGR.AGR.HEAT_USE.THERM.BIOMASS_WASTE</t>
  </si>
  <si>
    <t>FUEL_EMI.ktCO2.LU.AGR.AGR.HEAT_USE.THERM.SOLAR_GEO</t>
  </si>
  <si>
    <t>FUEL_EMI.ktCO2.LU.AGR.AGR.FARM_PUMP.MECH.DIESEL_LIQBIO</t>
  </si>
  <si>
    <t>FUEL_EMI.ktCO2.LU.AGR.AGR.FARM_PUMP_ELEC.MECH.ELEC</t>
  </si>
  <si>
    <t>FUEL_EMI.ktCO2.LU.AGR.AGR.GENERIC.MECH.ELEC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</si>
</sst>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45432.786863425928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433600</v>
      </c>
      <c r="C3" s="34">
        <v>439000</v>
      </c>
      <c r="D3" s="34">
        <v>444050</v>
      </c>
      <c r="E3" s="34">
        <v>448300</v>
      </c>
      <c r="F3" s="34">
        <v>454960</v>
      </c>
      <c r="G3" s="34">
        <v>461230</v>
      </c>
      <c r="H3" s="34">
        <v>469086</v>
      </c>
      <c r="I3" s="34">
        <v>476187</v>
      </c>
      <c r="J3" s="34">
        <v>483799</v>
      </c>
      <c r="K3" s="34">
        <v>493500</v>
      </c>
      <c r="L3" s="34">
        <v>502066</v>
      </c>
      <c r="M3" s="34">
        <v>511840</v>
      </c>
      <c r="N3" s="34">
        <v>524853</v>
      </c>
      <c r="O3" s="34">
        <v>537039</v>
      </c>
      <c r="P3" s="34">
        <v>549680</v>
      </c>
      <c r="Q3" s="34">
        <v>562958</v>
      </c>
      <c r="R3" s="34">
        <v>576249</v>
      </c>
      <c r="S3" s="34">
        <v>590667</v>
      </c>
      <c r="T3" s="34">
        <v>602005</v>
      </c>
      <c r="U3" s="34">
        <v>613894</v>
      </c>
      <c r="V3" s="34">
        <v>626108</v>
      </c>
      <c r="W3" s="34">
        <v>634730</v>
      </c>
      <c r="DA3" s="88" t="s">
        <v>187</v>
      </c>
    </row>
    <row r="4" spans="1:105" ht="12" customHeight="1" x14ac:dyDescent="0.25">
      <c r="A4" s="35" t="s">
        <v>178</v>
      </c>
      <c r="B4" s="36">
        <v>36385.221768449046</v>
      </c>
      <c r="C4" s="36">
        <v>37503.96557410519</v>
      </c>
      <c r="D4" s="36">
        <v>38713.277404575427</v>
      </c>
      <c r="E4" s="36">
        <v>39727.498560998516</v>
      </c>
      <c r="F4" s="36">
        <v>41408.719666255369</v>
      </c>
      <c r="G4" s="36">
        <v>42437.110223530231</v>
      </c>
      <c r="H4" s="36">
        <v>44990.192335540611</v>
      </c>
      <c r="I4" s="36">
        <v>48633.574077184458</v>
      </c>
      <c r="J4" s="36">
        <v>48487.66890868327</v>
      </c>
      <c r="K4" s="36">
        <v>46917.32846347001</v>
      </c>
      <c r="L4" s="36">
        <v>48681.660581846569</v>
      </c>
      <c r="M4" s="36">
        <v>49189.852064767445</v>
      </c>
      <c r="N4" s="36">
        <v>50001.2896292316</v>
      </c>
      <c r="O4" s="36">
        <v>51587.735244359916</v>
      </c>
      <c r="P4" s="36">
        <v>52940.641323125048</v>
      </c>
      <c r="Q4" s="36">
        <v>54142.3</v>
      </c>
      <c r="R4" s="36">
        <v>56837.863527889014</v>
      </c>
      <c r="S4" s="36">
        <v>57586.029382647605</v>
      </c>
      <c r="T4" s="36">
        <v>58288.60622042969</v>
      </c>
      <c r="U4" s="36">
        <v>59988.181372690327</v>
      </c>
      <c r="V4" s="36">
        <v>59442.008291110091</v>
      </c>
      <c r="W4" s="36">
        <v>63703.583061889243</v>
      </c>
      <c r="DA4" s="89" t="s">
        <v>188</v>
      </c>
    </row>
    <row r="5" spans="1:105" ht="12" customHeight="1" x14ac:dyDescent="0.25">
      <c r="A5" s="35" t="s">
        <v>147</v>
      </c>
      <c r="B5" s="36">
        <v>26681.994933604408</v>
      </c>
      <c r="C5" s="36">
        <v>27835.082890610003</v>
      </c>
      <c r="D5" s="36">
        <v>28721.117170507201</v>
      </c>
      <c r="E5" s="36">
        <v>29473.98478136721</v>
      </c>
      <c r="F5" s="36">
        <v>30812.516868084083</v>
      </c>
      <c r="G5" s="36">
        <v>31970.862287923974</v>
      </c>
      <c r="H5" s="36">
        <v>34677.693016793361</v>
      </c>
      <c r="I5" s="36">
        <v>36972.303072607305</v>
      </c>
      <c r="J5" s="36">
        <v>37696.070018877639</v>
      </c>
      <c r="K5" s="36">
        <v>37336.087484811665</v>
      </c>
      <c r="L5" s="36">
        <v>38701.938648035903</v>
      </c>
      <c r="M5" s="36">
        <v>38974.536288298739</v>
      </c>
      <c r="N5" s="36">
        <v>39621.144232949337</v>
      </c>
      <c r="O5" s="36">
        <v>40859.913565932329</v>
      </c>
      <c r="P5" s="36">
        <v>41464.56064204406</v>
      </c>
      <c r="Q5" s="36">
        <v>43168.3</v>
      </c>
      <c r="R5" s="36">
        <v>45043.658833063208</v>
      </c>
      <c r="S5" s="36">
        <v>46154.905574381228</v>
      </c>
      <c r="T5" s="36">
        <v>46499.237782675817</v>
      </c>
      <c r="U5" s="36">
        <v>47602.031474360832</v>
      </c>
      <c r="V5" s="36">
        <v>47285.632902087622</v>
      </c>
      <c r="W5" s="36">
        <v>51216.209053323444</v>
      </c>
      <c r="DA5" s="89" t="s">
        <v>189</v>
      </c>
    </row>
    <row r="6" spans="1:105" ht="12" customHeight="1" x14ac:dyDescent="0.25">
      <c r="A6" s="37" t="s">
        <v>70</v>
      </c>
      <c r="B6" s="38">
        <v>194839.99999999997</v>
      </c>
      <c r="C6" s="38">
        <v>208090</v>
      </c>
      <c r="D6" s="38">
        <v>215050</v>
      </c>
      <c r="E6" s="38">
        <v>219769.99999999997</v>
      </c>
      <c r="F6" s="38">
        <v>226109.99999999997</v>
      </c>
      <c r="G6" s="38">
        <v>233280.00000000003</v>
      </c>
      <c r="H6" s="38">
        <v>243630</v>
      </c>
      <c r="I6" s="38">
        <v>255990.00000000003</v>
      </c>
      <c r="J6" s="38">
        <v>270020</v>
      </c>
      <c r="K6" s="38">
        <v>275250</v>
      </c>
      <c r="L6" s="38">
        <v>281460</v>
      </c>
      <c r="M6" s="38">
        <v>291070</v>
      </c>
      <c r="N6" s="38">
        <v>300060</v>
      </c>
      <c r="O6" s="38">
        <v>307669.99999999994</v>
      </c>
      <c r="P6" s="38">
        <v>316810</v>
      </c>
      <c r="Q6" s="38">
        <v>325330</v>
      </c>
      <c r="R6" s="38">
        <v>335880</v>
      </c>
      <c r="S6" s="38">
        <v>349170</v>
      </c>
      <c r="T6" s="38">
        <v>362560</v>
      </c>
      <c r="U6" s="38">
        <v>376340.00000000006</v>
      </c>
      <c r="V6" s="38">
        <v>383390</v>
      </c>
      <c r="W6" s="38">
        <v>395680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7954.1159527192731</v>
      </c>
      <c r="C8" s="34">
        <v>8012.4159424764866</v>
      </c>
      <c r="D8" s="34">
        <v>8082.9345498232251</v>
      </c>
      <c r="E8" s="34">
        <v>8108.7540453633392</v>
      </c>
      <c r="F8" s="34">
        <v>8180.5927727447543</v>
      </c>
      <c r="G8" s="34">
        <v>8270.4167541168736</v>
      </c>
      <c r="H8" s="34">
        <v>8331.3727317224966</v>
      </c>
      <c r="I8" s="34">
        <v>8400.1394414273145</v>
      </c>
      <c r="J8" s="34">
        <v>8454.2159061417497</v>
      </c>
      <c r="K8" s="34">
        <v>8503.4423432468193</v>
      </c>
      <c r="L8" s="34">
        <v>8539.0726714880766</v>
      </c>
      <c r="M8" s="34">
        <v>8679.9151458874112</v>
      </c>
      <c r="N8" s="34">
        <v>8823.1127626389007</v>
      </c>
      <c r="O8" s="34">
        <v>9012.0511650175304</v>
      </c>
      <c r="P8" s="34">
        <v>9227.3113972218216</v>
      </c>
      <c r="Q8" s="34">
        <v>9411.9931667238943</v>
      </c>
      <c r="R8" s="34">
        <v>9615.7558378806152</v>
      </c>
      <c r="S8" s="34">
        <v>9808.9018285520906</v>
      </c>
      <c r="T8" s="34">
        <v>10002.450883549503</v>
      </c>
      <c r="U8" s="34">
        <v>10195.044625993398</v>
      </c>
      <c r="V8" s="34">
        <v>10384.93</v>
      </c>
      <c r="W8" s="34">
        <v>10571.569721883638</v>
      </c>
      <c r="DA8" s="88" t="s">
        <v>191</v>
      </c>
    </row>
    <row r="9" spans="1:105" ht="12" customHeight="1" x14ac:dyDescent="0.25">
      <c r="A9" s="39" t="s">
        <v>68</v>
      </c>
      <c r="B9" s="40">
        <v>7158.7043574473455</v>
      </c>
      <c r="C9" s="40">
        <v>7211.1743482288375</v>
      </c>
      <c r="D9" s="40">
        <v>7274.641094840902</v>
      </c>
      <c r="E9" s="40">
        <v>7297.8786408270053</v>
      </c>
      <c r="F9" s="40">
        <v>7362.5334954702794</v>
      </c>
      <c r="G9" s="40">
        <v>7443.3750787051858</v>
      </c>
      <c r="H9" s="40">
        <v>7498.2354585502462</v>
      </c>
      <c r="I9" s="40">
        <v>7560.1254972845836</v>
      </c>
      <c r="J9" s="40">
        <v>7608.7943155275752</v>
      </c>
      <c r="K9" s="40">
        <v>7653.0981089221377</v>
      </c>
      <c r="L9" s="40">
        <v>7685.1654043392691</v>
      </c>
      <c r="M9" s="40">
        <v>7811.9236312986704</v>
      </c>
      <c r="N9" s="40">
        <v>7940.8014863750113</v>
      </c>
      <c r="O9" s="40">
        <v>8110.8460485157775</v>
      </c>
      <c r="P9" s="40">
        <v>8304.5802574996396</v>
      </c>
      <c r="Q9" s="40">
        <v>8470.7938500515047</v>
      </c>
      <c r="R9" s="40">
        <v>8654.1802540925528</v>
      </c>
      <c r="S9" s="40">
        <v>8828.0116456968826</v>
      </c>
      <c r="T9" s="40">
        <v>9002.2057951945535</v>
      </c>
      <c r="U9" s="40">
        <v>9175.5401633940583</v>
      </c>
      <c r="V9" s="40">
        <v>9346.4369999999999</v>
      </c>
      <c r="W9" s="40">
        <v>9514.4127496952733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90.011913511543966</v>
      </c>
      <c r="D10" s="41">
        <v>102.45704484217241</v>
      </c>
      <c r="E10" s="41">
        <v>58.210960517751616</v>
      </c>
      <c r="F10" s="41">
        <v>104.23019235905188</v>
      </c>
      <c r="G10" s="41">
        <v>122.44196009085994</v>
      </c>
      <c r="H10" s="41">
        <v>94.026983806567259</v>
      </c>
      <c r="I10" s="41">
        <v>102.06422964686644</v>
      </c>
      <c r="J10" s="41">
        <v>87.600498397584857</v>
      </c>
      <c r="K10" s="41">
        <v>82.976984529320205</v>
      </c>
      <c r="L10" s="41">
        <v>69.60738940661227</v>
      </c>
      <c r="M10" s="41">
        <v>175.04604930579143</v>
      </c>
      <c r="N10" s="41">
        <v>177.85421914015168</v>
      </c>
      <c r="O10" s="41">
        <v>224.27454599059826</v>
      </c>
      <c r="P10" s="41">
        <v>251.27591703956458</v>
      </c>
      <c r="Q10" s="41">
        <v>221.60350930175778</v>
      </c>
      <c r="R10" s="41">
        <v>250.35669673456101</v>
      </c>
      <c r="S10" s="41">
        <v>240.74874234415427</v>
      </c>
      <c r="T10" s="41">
        <v>242.10797494074126</v>
      </c>
      <c r="U10" s="41">
        <v>242.11082602582013</v>
      </c>
      <c r="V10" s="41">
        <v>240.35589195706532</v>
      </c>
      <c r="W10" s="41">
        <v>238.05026643808981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81.010722160389562</v>
      </c>
      <c r="D11" s="42">
        <v>92.211340357955166</v>
      </c>
      <c r="E11" s="42">
        <v>52.389864465976459</v>
      </c>
      <c r="F11" s="42">
        <v>93.807173123146711</v>
      </c>
      <c r="G11" s="42">
        <v>110.19776408177394</v>
      </c>
      <c r="H11" s="42">
        <v>84.624285425910529</v>
      </c>
      <c r="I11" s="42">
        <v>91.857806682179799</v>
      </c>
      <c r="J11" s="42">
        <v>78.840448557826377</v>
      </c>
      <c r="K11" s="42">
        <v>74.679286076388195</v>
      </c>
      <c r="L11" s="42">
        <v>62.646650465951048</v>
      </c>
      <c r="M11" s="42">
        <v>157.54144437521228</v>
      </c>
      <c r="N11" s="42">
        <v>160.0687972261365</v>
      </c>
      <c r="O11" s="42">
        <v>201.84709139153847</v>
      </c>
      <c r="P11" s="42">
        <v>226.14832533560812</v>
      </c>
      <c r="Q11" s="42">
        <v>199.443158371582</v>
      </c>
      <c r="R11" s="42">
        <v>225.3210270611049</v>
      </c>
      <c r="S11" s="42">
        <v>216.67386810973886</v>
      </c>
      <c r="T11" s="42">
        <v>217.89717744666714</v>
      </c>
      <c r="U11" s="42">
        <v>217.89974342323811</v>
      </c>
      <c r="V11" s="42">
        <v>216.32030276135876</v>
      </c>
      <c r="W11" s="42">
        <v>214.24523979428082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2730.74</v>
      </c>
      <c r="C13" s="43">
        <v>2989.14</v>
      </c>
      <c r="D13" s="43">
        <v>2784.61</v>
      </c>
      <c r="E13" s="43">
        <v>2893.41</v>
      </c>
      <c r="F13" s="43">
        <v>3081.54</v>
      </c>
      <c r="G13" s="43">
        <v>2958.31</v>
      </c>
      <c r="H13" s="43">
        <v>2833.89</v>
      </c>
      <c r="I13" s="43">
        <v>2643.84</v>
      </c>
      <c r="J13" s="43">
        <v>2912.21</v>
      </c>
      <c r="K13" s="43">
        <v>2869.92</v>
      </c>
      <c r="L13" s="43">
        <v>3344.46</v>
      </c>
      <c r="M13" s="43">
        <v>2633.71</v>
      </c>
      <c r="N13" s="43">
        <v>2921.04</v>
      </c>
      <c r="O13" s="43">
        <v>3204.69</v>
      </c>
      <c r="P13" s="43">
        <v>2515.66</v>
      </c>
      <c r="Q13" s="43">
        <v>2850.7</v>
      </c>
      <c r="R13" s="43">
        <v>2962.58</v>
      </c>
      <c r="S13" s="43">
        <v>2871.62</v>
      </c>
      <c r="T13" s="43">
        <v>2666.78</v>
      </c>
      <c r="U13" s="43">
        <v>2753.6</v>
      </c>
      <c r="V13" s="43">
        <v>2567.27</v>
      </c>
      <c r="W13" s="43">
        <v>3173.52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2856.6533333333332</v>
      </c>
      <c r="C14" s="44">
        <f t="shared" ref="C14:W14" si="0">AVERAGE($B$13:$V$13)</f>
        <v>2856.6533333333332</v>
      </c>
      <c r="D14" s="44">
        <f t="shared" si="0"/>
        <v>2856.6533333333332</v>
      </c>
      <c r="E14" s="44">
        <f t="shared" si="0"/>
        <v>2856.6533333333332</v>
      </c>
      <c r="F14" s="44">
        <f t="shared" si="0"/>
        <v>2856.6533333333332</v>
      </c>
      <c r="G14" s="44">
        <f t="shared" si="0"/>
        <v>2856.6533333333332</v>
      </c>
      <c r="H14" s="44">
        <f t="shared" si="0"/>
        <v>2856.6533333333332</v>
      </c>
      <c r="I14" s="44">
        <f t="shared" si="0"/>
        <v>2856.6533333333332</v>
      </c>
      <c r="J14" s="44">
        <f t="shared" si="0"/>
        <v>2856.6533333333332</v>
      </c>
      <c r="K14" s="44">
        <f t="shared" si="0"/>
        <v>2856.6533333333332</v>
      </c>
      <c r="L14" s="44">
        <f t="shared" si="0"/>
        <v>2856.6533333333332</v>
      </c>
      <c r="M14" s="44">
        <f t="shared" si="0"/>
        <v>2856.6533333333332</v>
      </c>
      <c r="N14" s="44">
        <f t="shared" si="0"/>
        <v>2856.6533333333332</v>
      </c>
      <c r="O14" s="44">
        <f t="shared" si="0"/>
        <v>2856.6533333333332</v>
      </c>
      <c r="P14" s="44">
        <f t="shared" si="0"/>
        <v>2856.6533333333332</v>
      </c>
      <c r="Q14" s="44">
        <f t="shared" si="0"/>
        <v>2856.6533333333332</v>
      </c>
      <c r="R14" s="44">
        <f t="shared" si="0"/>
        <v>2856.6533333333332</v>
      </c>
      <c r="S14" s="44">
        <f t="shared" si="0"/>
        <v>2856.6533333333332</v>
      </c>
      <c r="T14" s="44">
        <f t="shared" si="0"/>
        <v>2856.6533333333332</v>
      </c>
      <c r="U14" s="44">
        <f t="shared" si="0"/>
        <v>2856.6533333333332</v>
      </c>
      <c r="V14" s="44">
        <f t="shared" si="0"/>
        <v>2856.6533333333332</v>
      </c>
      <c r="W14" s="44">
        <f t="shared" si="0"/>
        <v>2856.6533333333332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0.95592278143655274</v>
      </c>
      <c r="C15" s="46">
        <f t="shared" ref="C15:W15" si="1">C13/C14</f>
        <v>1.0463782794785506</v>
      </c>
      <c r="D15" s="46">
        <f t="shared" si="1"/>
        <v>0.97478051239445695</v>
      </c>
      <c r="E15" s="46">
        <f t="shared" si="1"/>
        <v>1.0128670378858244</v>
      </c>
      <c r="F15" s="46">
        <f t="shared" si="1"/>
        <v>1.0787238213480577</v>
      </c>
      <c r="G15" s="46">
        <f t="shared" si="1"/>
        <v>1.0355859303894068</v>
      </c>
      <c r="H15" s="46">
        <f t="shared" si="1"/>
        <v>0.99203146805819398</v>
      </c>
      <c r="I15" s="46">
        <f t="shared" si="1"/>
        <v>0.9255025694402309</v>
      </c>
      <c r="J15" s="46">
        <f t="shared" si="1"/>
        <v>1.0194481654523475</v>
      </c>
      <c r="K15" s="46">
        <f t="shared" si="1"/>
        <v>1.0046441290274402</v>
      </c>
      <c r="L15" s="46">
        <f t="shared" si="1"/>
        <v>1.1707615904858366</v>
      </c>
      <c r="M15" s="46">
        <f t="shared" si="1"/>
        <v>0.92195646187380109</v>
      </c>
      <c r="N15" s="46">
        <f t="shared" si="1"/>
        <v>1.0225391950487517</v>
      </c>
      <c r="O15" s="46">
        <f t="shared" si="1"/>
        <v>1.1218337075085532</v>
      </c>
      <c r="P15" s="46">
        <f t="shared" si="1"/>
        <v>0.88063188159571337</v>
      </c>
      <c r="Q15" s="46">
        <f t="shared" si="1"/>
        <v>0.99791597627060102</v>
      </c>
      <c r="R15" s="46">
        <f t="shared" si="1"/>
        <v>1.0370806864909521</v>
      </c>
      <c r="S15" s="46">
        <f t="shared" si="1"/>
        <v>1.0052392309882427</v>
      </c>
      <c r="T15" s="46">
        <f t="shared" si="1"/>
        <v>0.93353294531129682</v>
      </c>
      <c r="U15" s="46">
        <f t="shared" si="1"/>
        <v>0.96392515250946331</v>
      </c>
      <c r="V15" s="46">
        <f t="shared" si="1"/>
        <v>0.89869847700572703</v>
      </c>
      <c r="W15" s="46">
        <f t="shared" si="1"/>
        <v>1.1109223380272488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83914.256846054064</v>
      </c>
      <c r="C19" s="34">
        <f t="shared" si="2"/>
        <v>85430.44549910065</v>
      </c>
      <c r="D19" s="34">
        <f t="shared" ref="D19:W19" si="3">D4*1000000/D3</f>
        <v>87182.248405754814</v>
      </c>
      <c r="E19" s="34">
        <f t="shared" si="3"/>
        <v>88618.109660938018</v>
      </c>
      <c r="F19" s="34">
        <f t="shared" si="3"/>
        <v>91016.176512782156</v>
      </c>
      <c r="G19" s="34">
        <f t="shared" si="3"/>
        <v>92008.564541617481</v>
      </c>
      <c r="H19" s="34">
        <f t="shared" si="3"/>
        <v>95910.328459047189</v>
      </c>
      <c r="I19" s="34">
        <f t="shared" si="3"/>
        <v>102131.25112022054</v>
      </c>
      <c r="J19" s="34">
        <f t="shared" si="3"/>
        <v>100222.75554245312</v>
      </c>
      <c r="K19" s="34">
        <f t="shared" si="3"/>
        <v>95070.574394062831</v>
      </c>
      <c r="L19" s="34">
        <f t="shared" si="3"/>
        <v>96962.671405445828</v>
      </c>
      <c r="M19" s="34">
        <f t="shared" si="3"/>
        <v>96103.962302218366</v>
      </c>
      <c r="N19" s="34">
        <f t="shared" si="3"/>
        <v>95267.226498146338</v>
      </c>
      <c r="O19" s="34">
        <f t="shared" si="3"/>
        <v>96059.569685553404</v>
      </c>
      <c r="P19" s="34">
        <f t="shared" si="3"/>
        <v>96311.747422364002</v>
      </c>
      <c r="Q19" s="34">
        <f t="shared" si="3"/>
        <v>96174.670224066445</v>
      </c>
      <c r="R19" s="34">
        <f t="shared" si="3"/>
        <v>98634.207656566898</v>
      </c>
      <c r="S19" s="34">
        <f t="shared" si="3"/>
        <v>97493.222717110664</v>
      </c>
      <c r="T19" s="34">
        <f t="shared" si="3"/>
        <v>96824.123089392422</v>
      </c>
      <c r="U19" s="34">
        <f t="shared" si="3"/>
        <v>97717.490923010046</v>
      </c>
      <c r="V19" s="34">
        <f t="shared" si="3"/>
        <v>94938.905573974611</v>
      </c>
      <c r="W19" s="34">
        <f t="shared" si="3"/>
        <v>100363.27739651386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136943.1068240834</v>
      </c>
      <c r="C20" s="36">
        <f t="shared" si="4"/>
        <v>133764.63496857131</v>
      </c>
      <c r="D20" s="36">
        <f t="shared" ref="D20:W20" si="5">D5*1000000/D6</f>
        <v>133555.53206466962</v>
      </c>
      <c r="E20" s="36">
        <f t="shared" si="5"/>
        <v>134112.86700353649</v>
      </c>
      <c r="F20" s="36">
        <f t="shared" si="5"/>
        <v>136272.24301483386</v>
      </c>
      <c r="G20" s="36">
        <f t="shared" si="5"/>
        <v>137049.30678979753</v>
      </c>
      <c r="H20" s="36">
        <f t="shared" si="5"/>
        <v>142337.53239253524</v>
      </c>
      <c r="I20" s="36">
        <f t="shared" si="5"/>
        <v>144428.70062349038</v>
      </c>
      <c r="J20" s="36">
        <f t="shared" si="5"/>
        <v>139604.73305265402</v>
      </c>
      <c r="K20" s="36">
        <f t="shared" si="5"/>
        <v>135644.27787397517</v>
      </c>
      <c r="L20" s="36">
        <f t="shared" si="5"/>
        <v>137504.22315084169</v>
      </c>
      <c r="M20" s="36">
        <f t="shared" si="5"/>
        <v>133900.90455319593</v>
      </c>
      <c r="N20" s="36">
        <f t="shared" si="5"/>
        <v>132044.07196210534</v>
      </c>
      <c r="O20" s="36">
        <f t="shared" si="5"/>
        <v>132804.34740446691</v>
      </c>
      <c r="P20" s="36">
        <f t="shared" si="5"/>
        <v>130881.47672751511</v>
      </c>
      <c r="Q20" s="36">
        <f t="shared" si="5"/>
        <v>132690.80625826085</v>
      </c>
      <c r="R20" s="36">
        <f t="shared" si="5"/>
        <v>134106.40357586998</v>
      </c>
      <c r="S20" s="36">
        <f t="shared" si="5"/>
        <v>132184.62518080371</v>
      </c>
      <c r="T20" s="36">
        <f t="shared" si="5"/>
        <v>128252.53139528856</v>
      </c>
      <c r="U20" s="36">
        <f t="shared" si="5"/>
        <v>126486.77120253182</v>
      </c>
      <c r="V20" s="36">
        <f t="shared" si="5"/>
        <v>123335.59274390992</v>
      </c>
      <c r="W20" s="36">
        <f t="shared" si="5"/>
        <v>129438.45797948707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61535.966175286921</v>
      </c>
      <c r="C21" s="36">
        <f t="shared" si="6"/>
        <v>63405.655787266522</v>
      </c>
      <c r="D21" s="36">
        <f t="shared" ref="D21:W21" si="7">D5*1000000/D3</f>
        <v>64679.917060031985</v>
      </c>
      <c r="E21" s="36">
        <f t="shared" si="7"/>
        <v>65746.118182840088</v>
      </c>
      <c r="F21" s="36">
        <f t="shared" si="7"/>
        <v>67725.771206444711</v>
      </c>
      <c r="G21" s="36">
        <f t="shared" si="7"/>
        <v>69316.528170162332</v>
      </c>
      <c r="H21" s="36">
        <f t="shared" si="7"/>
        <v>73926.088215792755</v>
      </c>
      <c r="I21" s="36">
        <f t="shared" si="7"/>
        <v>77642.403242019005</v>
      </c>
      <c r="J21" s="36">
        <f t="shared" si="7"/>
        <v>77916.800197763208</v>
      </c>
      <c r="K21" s="36">
        <f t="shared" si="7"/>
        <v>75655.699057369129</v>
      </c>
      <c r="L21" s="36">
        <f t="shared" si="7"/>
        <v>77085.360586129915</v>
      </c>
      <c r="M21" s="36">
        <f t="shared" si="7"/>
        <v>76145.936793331392</v>
      </c>
      <c r="N21" s="36">
        <f t="shared" si="7"/>
        <v>75489.983353337666</v>
      </c>
      <c r="O21" s="36">
        <f t="shared" si="7"/>
        <v>76083.698885802194</v>
      </c>
      <c r="P21" s="36">
        <f t="shared" si="7"/>
        <v>75433.999130483295</v>
      </c>
      <c r="Q21" s="36">
        <f t="shared" si="7"/>
        <v>76681.208900131096</v>
      </c>
      <c r="R21" s="36">
        <f t="shared" si="7"/>
        <v>78167.005640032716</v>
      </c>
      <c r="S21" s="36">
        <f t="shared" si="7"/>
        <v>78140.315227329818</v>
      </c>
      <c r="T21" s="36">
        <f t="shared" si="7"/>
        <v>77240.617241843211</v>
      </c>
      <c r="U21" s="36">
        <f t="shared" si="7"/>
        <v>77541.125136197501</v>
      </c>
      <c r="V21" s="36">
        <f t="shared" si="7"/>
        <v>75523.125246902491</v>
      </c>
      <c r="W21" s="36">
        <f t="shared" si="7"/>
        <v>80689.756358331011</v>
      </c>
      <c r="DA21" s="89"/>
    </row>
    <row r="22" spans="1:105" ht="12" customHeight="1" x14ac:dyDescent="0.25">
      <c r="A22" s="51" t="s">
        <v>152</v>
      </c>
      <c r="B22" s="52">
        <v>4.2296515583420575</v>
      </c>
      <c r="C22" s="52">
        <v>4.2474272757818312</v>
      </c>
      <c r="D22" s="52">
        <v>4.2502488091792223</v>
      </c>
      <c r="E22" s="52">
        <v>4.2723685281847716</v>
      </c>
      <c r="F22" s="52">
        <v>4.3002655117023059</v>
      </c>
      <c r="G22" s="52">
        <v>4.3139872003712449</v>
      </c>
      <c r="H22" s="52">
        <v>4.4708821513685013</v>
      </c>
      <c r="I22" s="52">
        <v>4.5569706332122264</v>
      </c>
      <c r="J22" s="52">
        <v>4.5137193732160039</v>
      </c>
      <c r="K22" s="52">
        <v>4.4834018558919411</v>
      </c>
      <c r="L22" s="52">
        <v>4.5072397251427336</v>
      </c>
      <c r="M22" s="52">
        <v>4.3693711278272707</v>
      </c>
      <c r="N22" s="52">
        <v>4.3449226116956465</v>
      </c>
      <c r="O22" s="52">
        <v>4.3625008130628791</v>
      </c>
      <c r="P22" s="52">
        <v>4.2693226282177044</v>
      </c>
      <c r="Q22" s="52">
        <v>4.2776145967814792</v>
      </c>
      <c r="R22" s="52">
        <v>4.2908357830671706</v>
      </c>
      <c r="S22" s="52">
        <v>4.179176010098347</v>
      </c>
      <c r="T22" s="52">
        <v>4.0456106738167925</v>
      </c>
      <c r="U22" s="52">
        <v>3.9853195557624339</v>
      </c>
      <c r="V22" s="52">
        <v>4.1120885254126049</v>
      </c>
      <c r="W22" s="52">
        <v>4.1698443812110613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24.495494050899527</v>
      </c>
      <c r="C23" s="53">
        <f t="shared" si="8"/>
        <v>25.970943282767632</v>
      </c>
      <c r="D23" s="53">
        <f t="shared" ref="D23:W23" si="9">D6/D8</f>
        <v>26.605436265063307</v>
      </c>
      <c r="E23" s="53">
        <f t="shared" si="9"/>
        <v>27.102807505385677</v>
      </c>
      <c r="F23" s="53">
        <f t="shared" si="9"/>
        <v>27.639806341825214</v>
      </c>
      <c r="G23" s="53">
        <f t="shared" si="9"/>
        <v>28.206559226157157</v>
      </c>
      <c r="H23" s="53">
        <f t="shared" si="9"/>
        <v>29.24247994239359</v>
      </c>
      <c r="I23" s="53">
        <f t="shared" si="9"/>
        <v>30.474494118219464</v>
      </c>
      <c r="J23" s="53">
        <f t="shared" si="9"/>
        <v>31.93909441132655</v>
      </c>
      <c r="K23" s="53">
        <f t="shared" si="9"/>
        <v>32.369243994297833</v>
      </c>
      <c r="L23" s="53">
        <f t="shared" si="9"/>
        <v>32.961424598222898</v>
      </c>
      <c r="M23" s="53">
        <f t="shared" si="9"/>
        <v>33.533737958015692</v>
      </c>
      <c r="N23" s="53">
        <f t="shared" si="9"/>
        <v>34.008405884892625</v>
      </c>
      <c r="O23" s="53">
        <f t="shared" si="9"/>
        <v>34.139841681580315</v>
      </c>
      <c r="P23" s="53">
        <f t="shared" si="9"/>
        <v>34.333944782158952</v>
      </c>
      <c r="Q23" s="53">
        <f t="shared" si="9"/>
        <v>34.565473458927315</v>
      </c>
      <c r="R23" s="53">
        <f t="shared" si="9"/>
        <v>34.930171445995292</v>
      </c>
      <c r="S23" s="53">
        <f t="shared" si="9"/>
        <v>35.597257073531296</v>
      </c>
      <c r="T23" s="53">
        <f t="shared" si="9"/>
        <v>36.247116253905638</v>
      </c>
      <c r="U23" s="53">
        <f t="shared" si="9"/>
        <v>36.914012032912488</v>
      </c>
      <c r="V23" s="53">
        <f t="shared" si="9"/>
        <v>36.917918560837677</v>
      </c>
      <c r="W23" s="53">
        <f t="shared" si="9"/>
        <v>37.428689438705035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16.509927023633178</v>
      </c>
      <c r="C24" s="54">
        <f t="shared" si="10"/>
        <v>16.426365257924459</v>
      </c>
      <c r="D24" s="54">
        <f t="shared" ref="D24:W24" si="11">D9*1000/D3</f>
        <v>16.382481916092562</v>
      </c>
      <c r="E24" s="54">
        <f t="shared" si="11"/>
        <v>16.279006559953167</v>
      </c>
      <c r="F24" s="54">
        <f t="shared" si="11"/>
        <v>16.182814962788552</v>
      </c>
      <c r="G24" s="54">
        <f t="shared" si="11"/>
        <v>16.138098299558109</v>
      </c>
      <c r="H24" s="54">
        <f t="shared" si="11"/>
        <v>15.984777756211541</v>
      </c>
      <c r="I24" s="54">
        <f t="shared" si="11"/>
        <v>15.876379441867552</v>
      </c>
      <c r="J24" s="54">
        <f t="shared" si="11"/>
        <v>15.727180741439264</v>
      </c>
      <c r="K24" s="54">
        <f t="shared" si="11"/>
        <v>15.507797586468364</v>
      </c>
      <c r="L24" s="54">
        <f t="shared" si="11"/>
        <v>15.307081946077346</v>
      </c>
      <c r="M24" s="54">
        <f t="shared" si="11"/>
        <v>15.262432852646668</v>
      </c>
      <c r="N24" s="54">
        <f t="shared" si="11"/>
        <v>15.129572444808378</v>
      </c>
      <c r="O24" s="54">
        <f t="shared" si="11"/>
        <v>15.102899507327731</v>
      </c>
      <c r="P24" s="54">
        <f t="shared" si="11"/>
        <v>15.108026956592271</v>
      </c>
      <c r="Q24" s="54">
        <f t="shared" si="11"/>
        <v>15.046937515856433</v>
      </c>
      <c r="R24" s="54">
        <f t="shared" si="11"/>
        <v>15.018126285846142</v>
      </c>
      <c r="S24" s="54">
        <f t="shared" si="11"/>
        <v>14.945835209512097</v>
      </c>
      <c r="T24" s="54">
        <f t="shared" si="11"/>
        <v>14.953706024359521</v>
      </c>
      <c r="U24" s="54">
        <f t="shared" si="11"/>
        <v>14.946456820548919</v>
      </c>
      <c r="V24" s="54">
        <f t="shared" si="11"/>
        <v>14.927835133874668</v>
      </c>
      <c r="W24" s="54">
        <f t="shared" si="11"/>
        <v>14.989700738416765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36.741451228943475</v>
      </c>
      <c r="C25" s="54">
        <f t="shared" si="12"/>
        <v>34.654112875336814</v>
      </c>
      <c r="D25" s="54">
        <f t="shared" ref="D25:W25" si="13">D9*1000/D6</f>
        <v>33.827673075289013</v>
      </c>
      <c r="E25" s="54">
        <f t="shared" si="13"/>
        <v>33.206891936237909</v>
      </c>
      <c r="F25" s="54">
        <f t="shared" si="13"/>
        <v>32.561733207157047</v>
      </c>
      <c r="G25" s="54">
        <f t="shared" si="13"/>
        <v>31.907472045203981</v>
      </c>
      <c r="H25" s="54">
        <f t="shared" si="13"/>
        <v>30.777143449288864</v>
      </c>
      <c r="I25" s="54">
        <f t="shared" si="13"/>
        <v>29.532893852434011</v>
      </c>
      <c r="J25" s="54">
        <f t="shared" si="13"/>
        <v>28.178632381036866</v>
      </c>
      <c r="K25" s="54">
        <f t="shared" si="13"/>
        <v>27.804171149580881</v>
      </c>
      <c r="L25" s="54">
        <f t="shared" si="13"/>
        <v>27.304645080435119</v>
      </c>
      <c r="M25" s="54">
        <f t="shared" si="13"/>
        <v>26.838642358534617</v>
      </c>
      <c r="N25" s="54">
        <f t="shared" si="13"/>
        <v>26.464045478820942</v>
      </c>
      <c r="O25" s="54">
        <f t="shared" si="13"/>
        <v>26.362160914342571</v>
      </c>
      <c r="P25" s="54">
        <f t="shared" si="13"/>
        <v>26.213125398502697</v>
      </c>
      <c r="Q25" s="54">
        <f t="shared" si="13"/>
        <v>26.037542956541067</v>
      </c>
      <c r="R25" s="54">
        <f t="shared" si="13"/>
        <v>25.765690883924478</v>
      </c>
      <c r="S25" s="54">
        <f t="shared" si="13"/>
        <v>25.282846881739218</v>
      </c>
      <c r="T25" s="54">
        <f t="shared" si="13"/>
        <v>24.829561438643406</v>
      </c>
      <c r="U25" s="54">
        <f t="shared" si="13"/>
        <v>24.380985713434811</v>
      </c>
      <c r="V25" s="54">
        <f t="shared" si="13"/>
        <v>24.378405800881609</v>
      </c>
      <c r="W25" s="54">
        <f t="shared" si="13"/>
        <v>24.045725711926995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899.99999999999989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900.00000000000011</v>
      </c>
      <c r="G26" s="55">
        <f t="shared" si="15"/>
        <v>900</v>
      </c>
      <c r="H26" s="55">
        <f t="shared" si="15"/>
        <v>899.99999999999989</v>
      </c>
      <c r="I26" s="55">
        <f t="shared" si="15"/>
        <v>900.00000000000011</v>
      </c>
      <c r="J26" s="55">
        <f t="shared" si="15"/>
        <v>900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900.00000000000011</v>
      </c>
      <c r="O26" s="55">
        <f t="shared" si="15"/>
        <v>900</v>
      </c>
      <c r="P26" s="55">
        <f t="shared" si="15"/>
        <v>900</v>
      </c>
      <c r="Q26" s="55">
        <f t="shared" si="15"/>
        <v>900.00000000000011</v>
      </c>
      <c r="R26" s="55">
        <f t="shared" si="15"/>
        <v>900</v>
      </c>
      <c r="S26" s="55">
        <f t="shared" si="15"/>
        <v>900.00000000000011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900.00000000000011</v>
      </c>
      <c r="G27" s="57">
        <f t="shared" si="17"/>
        <v>900</v>
      </c>
      <c r="H27" s="57">
        <f t="shared" si="17"/>
        <v>899.99999999999989</v>
      </c>
      <c r="I27" s="57">
        <f t="shared" si="17"/>
        <v>900</v>
      </c>
      <c r="J27" s="57">
        <f t="shared" si="17"/>
        <v>900</v>
      </c>
      <c r="K27" s="57">
        <f t="shared" si="17"/>
        <v>900.00000000000011</v>
      </c>
      <c r="L27" s="57">
        <f t="shared" si="17"/>
        <v>900</v>
      </c>
      <c r="M27" s="57">
        <f t="shared" si="17"/>
        <v>900</v>
      </c>
      <c r="N27" s="57">
        <f t="shared" si="17"/>
        <v>899.99999999999989</v>
      </c>
      <c r="O27" s="57">
        <f t="shared" si="17"/>
        <v>900.00000000000023</v>
      </c>
      <c r="P27" s="57">
        <f t="shared" si="17"/>
        <v>900</v>
      </c>
      <c r="Q27" s="57">
        <f t="shared" si="17"/>
        <v>899.99999999999989</v>
      </c>
      <c r="R27" s="57">
        <f t="shared" si="17"/>
        <v>899.99999999999989</v>
      </c>
      <c r="S27" s="57">
        <f t="shared" si="17"/>
        <v>900.00000000000011</v>
      </c>
      <c r="T27" s="57">
        <f t="shared" si="17"/>
        <v>900</v>
      </c>
      <c r="U27" s="57">
        <f t="shared" si="17"/>
        <v>900</v>
      </c>
      <c r="V27" s="57">
        <f t="shared" si="17"/>
        <v>899.99999999999989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367.84118658641444</v>
      </c>
      <c r="C31" s="80">
        <f t="shared" ref="C31:W31" si="18">SUM(C32:C33,C36:C37,C44:C45)</f>
        <v>376.74342218400693</v>
      </c>
      <c r="D31" s="80">
        <f t="shared" si="18"/>
        <v>352.40025795356826</v>
      </c>
      <c r="E31" s="80">
        <f t="shared" si="18"/>
        <v>394.58656516910582</v>
      </c>
      <c r="F31" s="80">
        <f t="shared" si="18"/>
        <v>371.2998459111559</v>
      </c>
      <c r="G31" s="80">
        <f t="shared" si="18"/>
        <v>367.29266498525942</v>
      </c>
      <c r="H31" s="80">
        <f t="shared" si="18"/>
        <v>367.90074558475101</v>
      </c>
      <c r="I31" s="80">
        <f t="shared" si="18"/>
        <v>368.36110754640924</v>
      </c>
      <c r="J31" s="80">
        <f t="shared" si="18"/>
        <v>386.61993876856945</v>
      </c>
      <c r="K31" s="80">
        <f t="shared" si="18"/>
        <v>376.28504671867495</v>
      </c>
      <c r="L31" s="80">
        <f t="shared" si="18"/>
        <v>424.43047363305425</v>
      </c>
      <c r="M31" s="80">
        <f t="shared" si="18"/>
        <v>340.02865153786468</v>
      </c>
      <c r="N31" s="80">
        <f t="shared" si="18"/>
        <v>383.73742564129077</v>
      </c>
      <c r="O31" s="80">
        <f t="shared" si="18"/>
        <v>399.6928477836982</v>
      </c>
      <c r="P31" s="80">
        <f t="shared" si="18"/>
        <v>353.37690390918254</v>
      </c>
      <c r="Q31" s="80">
        <f t="shared" si="18"/>
        <v>396.74267999048197</v>
      </c>
      <c r="R31" s="80">
        <f t="shared" si="18"/>
        <v>399.94638160317629</v>
      </c>
      <c r="S31" s="80">
        <f t="shared" si="18"/>
        <v>448.91910721425643</v>
      </c>
      <c r="T31" s="80">
        <f t="shared" si="18"/>
        <v>460.15825732781747</v>
      </c>
      <c r="U31" s="80">
        <f t="shared" si="18"/>
        <v>517.79979670078944</v>
      </c>
      <c r="V31" s="80">
        <f t="shared" si="18"/>
        <v>493.77516251308998</v>
      </c>
      <c r="W31" s="80">
        <f t="shared" si="18"/>
        <v>550.36535580659745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65.25898538263111</v>
      </c>
      <c r="C33" s="55">
        <f t="shared" ref="C33:W33" si="19">SUM(C34:C35)</f>
        <v>84.630266552020629</v>
      </c>
      <c r="D33" s="55">
        <f t="shared" si="19"/>
        <v>74.511779879621656</v>
      </c>
      <c r="E33" s="55">
        <f t="shared" si="19"/>
        <v>64.541186586414454</v>
      </c>
      <c r="F33" s="55">
        <f t="shared" si="19"/>
        <v>63.491831470335349</v>
      </c>
      <c r="G33" s="55">
        <f t="shared" si="19"/>
        <v>57.505588993981085</v>
      </c>
      <c r="H33" s="55">
        <f t="shared" si="19"/>
        <v>34.047377472055018</v>
      </c>
      <c r="I33" s="55">
        <f t="shared" si="19"/>
        <v>32.289853826311251</v>
      </c>
      <c r="J33" s="55">
        <f t="shared" si="19"/>
        <v>25.22295786758384</v>
      </c>
      <c r="K33" s="55">
        <f t="shared" si="19"/>
        <v>32.253482373172822</v>
      </c>
      <c r="L33" s="55">
        <f t="shared" si="19"/>
        <v>57.819346517626819</v>
      </c>
      <c r="M33" s="55">
        <f t="shared" si="19"/>
        <v>46.014961306964743</v>
      </c>
      <c r="N33" s="55">
        <f t="shared" si="19"/>
        <v>49.781857265692175</v>
      </c>
      <c r="O33" s="55">
        <f t="shared" si="19"/>
        <v>59.623301805674984</v>
      </c>
      <c r="P33" s="55">
        <f t="shared" si="19"/>
        <v>54.330954428202915</v>
      </c>
      <c r="Q33" s="55">
        <f t="shared" si="19"/>
        <v>76.85546001719689</v>
      </c>
      <c r="R33" s="55">
        <f t="shared" si="19"/>
        <v>75.89836629406706</v>
      </c>
      <c r="S33" s="55">
        <f t="shared" si="19"/>
        <v>108.54557179707652</v>
      </c>
      <c r="T33" s="55">
        <f t="shared" si="19"/>
        <v>107.17480653482372</v>
      </c>
      <c r="U33" s="55">
        <f t="shared" si="19"/>
        <v>131.19922613929489</v>
      </c>
      <c r="V33" s="55">
        <f t="shared" si="19"/>
        <v>118.69613069647467</v>
      </c>
      <c r="W33" s="55">
        <f t="shared" si="19"/>
        <v>113.68856405846944</v>
      </c>
      <c r="DA33" s="101"/>
    </row>
    <row r="34" spans="1:105" ht="12" customHeight="1" x14ac:dyDescent="0.25">
      <c r="A34" s="61" t="s">
        <v>52</v>
      </c>
      <c r="B34" s="55">
        <v>4.3947549441100593</v>
      </c>
      <c r="C34" s="55">
        <v>8.7895098882201186</v>
      </c>
      <c r="D34" s="55">
        <v>4.3947549441100593</v>
      </c>
      <c r="E34" s="55">
        <v>1.098710232158211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8.2083404987102302</v>
      </c>
      <c r="L34" s="55">
        <v>8.8214101461736885</v>
      </c>
      <c r="M34" s="55">
        <v>9.0444539982803089</v>
      </c>
      <c r="N34" s="55">
        <v>9.1576096302665508</v>
      </c>
      <c r="O34" s="55">
        <v>9.4894239036973342</v>
      </c>
      <c r="P34" s="55">
        <v>8.4665520206362839</v>
      </c>
      <c r="Q34" s="55">
        <v>9.283920894239035</v>
      </c>
      <c r="R34" s="55">
        <v>9.9563198624247633</v>
      </c>
      <c r="S34" s="55">
        <v>8.6829750644883923</v>
      </c>
      <c r="T34" s="55">
        <v>7.6842648323301797</v>
      </c>
      <c r="U34" s="55">
        <v>9.1619948409286316</v>
      </c>
      <c r="V34" s="55">
        <v>7.0898538263112636</v>
      </c>
      <c r="W34" s="55">
        <v>10.66061908856406</v>
      </c>
      <c r="DA34" s="101" t="s">
        <v>200</v>
      </c>
    </row>
    <row r="35" spans="1:105" ht="12" customHeight="1" x14ac:dyDescent="0.25">
      <c r="A35" s="61" t="s">
        <v>170</v>
      </c>
      <c r="B35" s="55">
        <v>60.864230438521048</v>
      </c>
      <c r="C35" s="55">
        <v>75.840756663800505</v>
      </c>
      <c r="D35" s="55">
        <v>70.117024935511594</v>
      </c>
      <c r="E35" s="55">
        <v>63.442476354256243</v>
      </c>
      <c r="F35" s="55">
        <v>63.491831470335349</v>
      </c>
      <c r="G35" s="55">
        <v>57.505588993981085</v>
      </c>
      <c r="H35" s="55">
        <v>34.047377472055018</v>
      </c>
      <c r="I35" s="55">
        <v>32.289853826311251</v>
      </c>
      <c r="J35" s="55">
        <v>25.22295786758384</v>
      </c>
      <c r="K35" s="55">
        <v>24.045141874462594</v>
      </c>
      <c r="L35" s="55">
        <v>48.997936371453129</v>
      </c>
      <c r="M35" s="55">
        <v>36.970507308684432</v>
      </c>
      <c r="N35" s="55">
        <v>40.624247635425625</v>
      </c>
      <c r="O35" s="55">
        <v>50.133877901977648</v>
      </c>
      <c r="P35" s="55">
        <v>45.864402407566629</v>
      </c>
      <c r="Q35" s="55">
        <v>67.571539122957859</v>
      </c>
      <c r="R35" s="55">
        <v>65.942046431642297</v>
      </c>
      <c r="S35" s="55">
        <v>99.862596732588131</v>
      </c>
      <c r="T35" s="55">
        <v>99.49054170249353</v>
      </c>
      <c r="U35" s="55">
        <v>122.03723129836627</v>
      </c>
      <c r="V35" s="55">
        <v>111.6062768701634</v>
      </c>
      <c r="W35" s="55">
        <v>103.02794496990538</v>
      </c>
      <c r="DA35" s="101" t="s">
        <v>201</v>
      </c>
    </row>
    <row r="36" spans="1:105" ht="12" customHeight="1" x14ac:dyDescent="0.25">
      <c r="A36" s="60" t="s">
        <v>153</v>
      </c>
      <c r="B36" s="55">
        <v>148.52355975924331</v>
      </c>
      <c r="C36" s="55">
        <v>107.51848667239901</v>
      </c>
      <c r="D36" s="55">
        <v>117.2862424763542</v>
      </c>
      <c r="E36" s="55">
        <v>125.4577815993121</v>
      </c>
      <c r="F36" s="55">
        <v>111.0041272570937</v>
      </c>
      <c r="G36" s="55">
        <v>97.710404127257092</v>
      </c>
      <c r="H36" s="55">
        <v>118.8944110060189</v>
      </c>
      <c r="I36" s="55">
        <v>103.16758383490971</v>
      </c>
      <c r="J36" s="55">
        <v>124.67687016337059</v>
      </c>
      <c r="K36" s="55">
        <v>125.95915735167669</v>
      </c>
      <c r="L36" s="55">
        <v>136.3707652622528</v>
      </c>
      <c r="M36" s="55">
        <v>68.918056749785038</v>
      </c>
      <c r="N36" s="55">
        <v>107.83361994840929</v>
      </c>
      <c r="O36" s="55">
        <v>106.6137575236457</v>
      </c>
      <c r="P36" s="55">
        <v>90.026397248495272</v>
      </c>
      <c r="Q36" s="55">
        <v>103.5626827171109</v>
      </c>
      <c r="R36" s="55">
        <v>116.7587274290628</v>
      </c>
      <c r="S36" s="55">
        <v>88.531384350816836</v>
      </c>
      <c r="T36" s="55">
        <v>100.204815133276</v>
      </c>
      <c r="U36" s="55">
        <v>107.4501289767842</v>
      </c>
      <c r="V36" s="55">
        <v>75.134479793637141</v>
      </c>
      <c r="W36" s="55">
        <v>114.8563198624248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0.3901117798796217</v>
      </c>
      <c r="C37" s="55">
        <f t="shared" ref="C37:W37" si="20">SUM(C38:C42)</f>
        <v>0.59260533104041269</v>
      </c>
      <c r="D37" s="55">
        <f t="shared" si="20"/>
        <v>0.61711092003439383</v>
      </c>
      <c r="E37" s="55">
        <f t="shared" si="20"/>
        <v>0.67790197764402405</v>
      </c>
      <c r="F37" s="55">
        <f t="shared" si="20"/>
        <v>0.64858125537403266</v>
      </c>
      <c r="G37" s="55">
        <f t="shared" si="20"/>
        <v>0.61779879621668099</v>
      </c>
      <c r="H37" s="55">
        <f t="shared" si="20"/>
        <v>0.61023215821152188</v>
      </c>
      <c r="I37" s="55">
        <f t="shared" si="20"/>
        <v>0.59690455717970758</v>
      </c>
      <c r="J37" s="55">
        <f t="shared" si="20"/>
        <v>0.73095442820292345</v>
      </c>
      <c r="K37" s="55">
        <f t="shared" si="20"/>
        <v>0.9223559759243336</v>
      </c>
      <c r="L37" s="55">
        <f t="shared" si="20"/>
        <v>0.80610490111779876</v>
      </c>
      <c r="M37" s="55">
        <f t="shared" si="20"/>
        <v>0.8564058469475494</v>
      </c>
      <c r="N37" s="55">
        <f t="shared" si="20"/>
        <v>0.93852106620808251</v>
      </c>
      <c r="O37" s="55">
        <f t="shared" si="20"/>
        <v>1.2875322441960446</v>
      </c>
      <c r="P37" s="55">
        <f t="shared" si="20"/>
        <v>1.479535683576956</v>
      </c>
      <c r="Q37" s="55">
        <f t="shared" si="20"/>
        <v>1.1480653482373171</v>
      </c>
      <c r="R37" s="55">
        <f t="shared" si="20"/>
        <v>1.8762682717110919</v>
      </c>
      <c r="S37" s="55">
        <f t="shared" si="20"/>
        <v>1.0687016337059327</v>
      </c>
      <c r="T37" s="55">
        <f t="shared" si="20"/>
        <v>0.94789337919174532</v>
      </c>
      <c r="U37" s="55">
        <f t="shared" si="20"/>
        <v>1.0363714531384354</v>
      </c>
      <c r="V37" s="55">
        <f t="shared" si="20"/>
        <v>0.81384350816852957</v>
      </c>
      <c r="W37" s="55">
        <f t="shared" si="20"/>
        <v>0.67893379191745484</v>
      </c>
      <c r="DA37" s="101"/>
    </row>
    <row r="38" spans="1:105" ht="12" customHeight="1" x14ac:dyDescent="0.25">
      <c r="A38" s="61" t="s">
        <v>171</v>
      </c>
      <c r="B38" s="55">
        <v>2.3903697334479779E-2</v>
      </c>
      <c r="C38" s="55">
        <v>7.1625107480653427E-2</v>
      </c>
      <c r="D38" s="55">
        <v>0.11943250214961315</v>
      </c>
      <c r="E38" s="55">
        <v>7.1625107480653427E-2</v>
      </c>
      <c r="F38" s="55">
        <v>9.0197764402407565E-2</v>
      </c>
      <c r="G38" s="55">
        <v>7.5322441960447128E-2</v>
      </c>
      <c r="H38" s="55">
        <v>3.1040412725709343E-2</v>
      </c>
      <c r="I38" s="55">
        <v>3.3963886500429918E-2</v>
      </c>
      <c r="J38" s="55">
        <v>9.1487532244196035E-2</v>
      </c>
      <c r="K38" s="55">
        <v>0.18822012037833191</v>
      </c>
      <c r="L38" s="55">
        <v>0.13877901977644025</v>
      </c>
      <c r="M38" s="55">
        <v>6.5950128976784206E-2</v>
      </c>
      <c r="N38" s="55">
        <v>0.20085984522785894</v>
      </c>
      <c r="O38" s="55">
        <v>0.41504729148753217</v>
      </c>
      <c r="P38" s="55">
        <v>0.58237317282889078</v>
      </c>
      <c r="Q38" s="55">
        <v>0.23826311263972477</v>
      </c>
      <c r="R38" s="55">
        <v>0.545657781599312</v>
      </c>
      <c r="S38" s="55">
        <v>1.8830610490111699E-2</v>
      </c>
      <c r="T38" s="55">
        <v>2.5967325881341319E-2</v>
      </c>
      <c r="U38" s="55">
        <v>1.3155631986242478E-2</v>
      </c>
      <c r="V38" s="55">
        <v>4.9097162510748027E-2</v>
      </c>
      <c r="W38" s="55">
        <v>0.13869303525365428</v>
      </c>
      <c r="DA38" s="101" t="s">
        <v>203</v>
      </c>
    </row>
    <row r="39" spans="1:105" ht="12" customHeight="1" x14ac:dyDescent="0.25">
      <c r="A39" s="61" t="s">
        <v>50</v>
      </c>
      <c r="B39" s="55">
        <v>0.36620808254514192</v>
      </c>
      <c r="C39" s="55">
        <v>0.52098022355975926</v>
      </c>
      <c r="D39" s="55">
        <v>0.49767841788478068</v>
      </c>
      <c r="E39" s="55">
        <v>0.60627687016337062</v>
      </c>
      <c r="F39" s="55">
        <v>0.5583834909716251</v>
      </c>
      <c r="G39" s="55">
        <v>0.54247635425623386</v>
      </c>
      <c r="H39" s="55">
        <v>0.57919174548581254</v>
      </c>
      <c r="I39" s="55">
        <v>0.56294067067927767</v>
      </c>
      <c r="J39" s="55">
        <v>0.63946689595872741</v>
      </c>
      <c r="K39" s="55">
        <v>0.73413585554600169</v>
      </c>
      <c r="L39" s="55">
        <v>0.66732588134135851</v>
      </c>
      <c r="M39" s="55">
        <v>0.79045571797076519</v>
      </c>
      <c r="N39" s="55">
        <v>0.73766122098022358</v>
      </c>
      <c r="O39" s="55">
        <v>0.87248495270851245</v>
      </c>
      <c r="P39" s="55">
        <v>0.89716251074806519</v>
      </c>
      <c r="Q39" s="55">
        <v>0.90980223559759232</v>
      </c>
      <c r="R39" s="55">
        <v>1.3306104901117799</v>
      </c>
      <c r="S39" s="55">
        <v>1.049871023215821</v>
      </c>
      <c r="T39" s="55">
        <v>0.921926053310404</v>
      </c>
      <c r="U39" s="55">
        <v>1.0232158211521929</v>
      </c>
      <c r="V39" s="55">
        <v>0.76474634565778155</v>
      </c>
      <c r="W39" s="55">
        <v>0.54024075666380056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12.035339638865</v>
      </c>
      <c r="C44" s="55">
        <v>14.864230438521069</v>
      </c>
      <c r="D44" s="55">
        <v>25.807910576096301</v>
      </c>
      <c r="E44" s="55">
        <v>58.432416165090267</v>
      </c>
      <c r="F44" s="55">
        <v>60.316079105760963</v>
      </c>
      <c r="G44" s="55">
        <v>60.965606190885637</v>
      </c>
      <c r="H44" s="55">
        <v>61.592261392949261</v>
      </c>
      <c r="I44" s="55">
        <v>49.553826311263983</v>
      </c>
      <c r="J44" s="55">
        <v>57.469475494411</v>
      </c>
      <c r="K44" s="55">
        <v>48.472141014617357</v>
      </c>
      <c r="L44" s="55">
        <v>58.09518486672399</v>
      </c>
      <c r="M44" s="55">
        <v>62.634909716251073</v>
      </c>
      <c r="N44" s="55">
        <v>57.968873602751501</v>
      </c>
      <c r="O44" s="55">
        <v>61.058125537403257</v>
      </c>
      <c r="P44" s="55">
        <v>42.229148753224408</v>
      </c>
      <c r="Q44" s="55">
        <v>50.915649183147032</v>
      </c>
      <c r="R44" s="55">
        <v>52.072226999140149</v>
      </c>
      <c r="S44" s="55">
        <v>58.496044711951846</v>
      </c>
      <c r="T44" s="55">
        <v>65.784522785898545</v>
      </c>
      <c r="U44" s="55">
        <v>82.814617368873598</v>
      </c>
      <c r="V44" s="55">
        <v>117.96061908856404</v>
      </c>
      <c r="W44" s="55">
        <v>127.70154772141018</v>
      </c>
      <c r="DA44" s="101" t="s">
        <v>209</v>
      </c>
    </row>
    <row r="45" spans="1:105" ht="12" customHeight="1" x14ac:dyDescent="0.25">
      <c r="A45" s="62" t="s">
        <v>24</v>
      </c>
      <c r="B45" s="63">
        <v>141.63319002579539</v>
      </c>
      <c r="C45" s="63">
        <v>169.13783319002579</v>
      </c>
      <c r="D45" s="63">
        <v>134.17721410146169</v>
      </c>
      <c r="E45" s="63">
        <v>145.47727884064497</v>
      </c>
      <c r="F45" s="63">
        <v>135.83922682259183</v>
      </c>
      <c r="G45" s="63">
        <v>150.49326687691894</v>
      </c>
      <c r="H45" s="63">
        <v>152.75646355551632</v>
      </c>
      <c r="I45" s="63">
        <v>182.75293901674462</v>
      </c>
      <c r="J45" s="63">
        <v>178.5196808150011</v>
      </c>
      <c r="K45" s="63">
        <v>168.67791000328376</v>
      </c>
      <c r="L45" s="63">
        <v>171.33907208533279</v>
      </c>
      <c r="M45" s="63">
        <v>161.60431791791626</v>
      </c>
      <c r="N45" s="63">
        <v>167.21455375822973</v>
      </c>
      <c r="O45" s="63">
        <v>171.11013067277821</v>
      </c>
      <c r="P45" s="63">
        <v>165.31086779568301</v>
      </c>
      <c r="Q45" s="63">
        <v>164.26082272478985</v>
      </c>
      <c r="R45" s="63">
        <v>153.34079260919518</v>
      </c>
      <c r="S45" s="63">
        <v>192.27740472070528</v>
      </c>
      <c r="T45" s="63">
        <v>186.04621949462745</v>
      </c>
      <c r="U45" s="63">
        <v>195.29945276269831</v>
      </c>
      <c r="V45" s="63">
        <v>181.17008942624557</v>
      </c>
      <c r="W45" s="63">
        <v>193.4399903723756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367.84118658641449</v>
      </c>
      <c r="C47" s="82">
        <f t="shared" ref="C47:W47" si="22">SUM(C48,C53)</f>
        <v>376.74342218400687</v>
      </c>
      <c r="D47" s="82">
        <f t="shared" si="22"/>
        <v>352.4002579535682</v>
      </c>
      <c r="E47" s="82">
        <f t="shared" si="22"/>
        <v>394.58656516910594</v>
      </c>
      <c r="F47" s="82">
        <f t="shared" si="22"/>
        <v>371.29984591115584</v>
      </c>
      <c r="G47" s="82">
        <f t="shared" si="22"/>
        <v>367.29266498525942</v>
      </c>
      <c r="H47" s="82">
        <f t="shared" si="22"/>
        <v>367.90074558475101</v>
      </c>
      <c r="I47" s="82">
        <f t="shared" si="22"/>
        <v>368.36110754640936</v>
      </c>
      <c r="J47" s="82">
        <f t="shared" si="22"/>
        <v>386.61993876856945</v>
      </c>
      <c r="K47" s="82">
        <f t="shared" si="22"/>
        <v>376.28504671867495</v>
      </c>
      <c r="L47" s="82">
        <f t="shared" si="22"/>
        <v>424.43047363305425</v>
      </c>
      <c r="M47" s="82">
        <f t="shared" si="22"/>
        <v>340.02865153786468</v>
      </c>
      <c r="N47" s="82">
        <f t="shared" si="22"/>
        <v>383.73742564129077</v>
      </c>
      <c r="O47" s="82">
        <f t="shared" si="22"/>
        <v>399.69284778369826</v>
      </c>
      <c r="P47" s="82">
        <f t="shared" si="22"/>
        <v>353.37690390918254</v>
      </c>
      <c r="Q47" s="82">
        <f t="shared" si="22"/>
        <v>396.74267999048197</v>
      </c>
      <c r="R47" s="82">
        <f t="shared" si="22"/>
        <v>399.94638160317612</v>
      </c>
      <c r="S47" s="82">
        <f t="shared" si="22"/>
        <v>448.91910721425643</v>
      </c>
      <c r="T47" s="82">
        <f t="shared" si="22"/>
        <v>460.15825732781735</v>
      </c>
      <c r="U47" s="82">
        <f t="shared" si="22"/>
        <v>517.79979670078933</v>
      </c>
      <c r="V47" s="82">
        <f t="shared" si="22"/>
        <v>493.77516251308981</v>
      </c>
      <c r="W47" s="82">
        <f t="shared" si="22"/>
        <v>550.36535580659768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320.09184605046971</v>
      </c>
      <c r="C48" s="64">
        <f t="shared" ref="C48:W48" si="24">SUM(C49:C52)</f>
        <v>324.56369982229563</v>
      </c>
      <c r="D48" s="64">
        <f t="shared" si="24"/>
        <v>299.28596256643903</v>
      </c>
      <c r="E48" s="64">
        <f t="shared" si="24"/>
        <v>337.95867581880162</v>
      </c>
      <c r="F48" s="64">
        <f t="shared" si="24"/>
        <v>317.06900899069075</v>
      </c>
      <c r="G48" s="64">
        <f t="shared" si="24"/>
        <v>310.86262511773612</v>
      </c>
      <c r="H48" s="64">
        <f t="shared" si="24"/>
        <v>310.18273735827381</v>
      </c>
      <c r="I48" s="64">
        <f t="shared" si="24"/>
        <v>306.11958826359466</v>
      </c>
      <c r="J48" s="64">
        <f t="shared" si="24"/>
        <v>323.87530810882322</v>
      </c>
      <c r="K48" s="64">
        <f t="shared" si="24"/>
        <v>311.22229651537231</v>
      </c>
      <c r="L48" s="64">
        <f t="shared" si="24"/>
        <v>357.7062306391594</v>
      </c>
      <c r="M48" s="64">
        <f t="shared" si="24"/>
        <v>272.71827640861864</v>
      </c>
      <c r="N48" s="64">
        <f t="shared" si="24"/>
        <v>314.41106883482234</v>
      </c>
      <c r="O48" s="64">
        <f t="shared" si="24"/>
        <v>327.49095250628284</v>
      </c>
      <c r="P48" s="64">
        <f t="shared" si="24"/>
        <v>277.58183594443852</v>
      </c>
      <c r="Q48" s="64">
        <f t="shared" si="24"/>
        <v>320.26107503493677</v>
      </c>
      <c r="R48" s="64">
        <f t="shared" si="24"/>
        <v>324.86473749936829</v>
      </c>
      <c r="S48" s="64">
        <f t="shared" si="24"/>
        <v>367.01426154526729</v>
      </c>
      <c r="T48" s="64">
        <f t="shared" si="24"/>
        <v>378.40573648195118</v>
      </c>
      <c r="U48" s="64">
        <f t="shared" si="24"/>
        <v>436.0817682053713</v>
      </c>
      <c r="V48" s="64">
        <f t="shared" si="24"/>
        <v>418.45367078946475</v>
      </c>
      <c r="W48" s="64">
        <f t="shared" si="24"/>
        <v>471.00759790861116</v>
      </c>
      <c r="DA48" s="108" t="s">
        <v>212</v>
      </c>
    </row>
    <row r="49" spans="1:105" ht="12" customHeight="1" x14ac:dyDescent="0.25">
      <c r="A49" s="61" t="s">
        <v>32</v>
      </c>
      <c r="B49" s="65">
        <v>255.48031800691075</v>
      </c>
      <c r="C49" s="65">
        <v>257.5617846419388</v>
      </c>
      <c r="D49" s="65">
        <v>232.10109196821355</v>
      </c>
      <c r="E49" s="65">
        <v>270.65166683472887</v>
      </c>
      <c r="F49" s="65">
        <v>249.56457616053427</v>
      </c>
      <c r="G49" s="65">
        <v>242.39147673415852</v>
      </c>
      <c r="H49" s="65">
        <v>240.67208483603025</v>
      </c>
      <c r="I49" s="65">
        <v>236.69185730180493</v>
      </c>
      <c r="J49" s="65">
        <v>253.44128821823548</v>
      </c>
      <c r="K49" s="65">
        <v>238.17030405214211</v>
      </c>
      <c r="L49" s="65">
        <v>283.10262484504761</v>
      </c>
      <c r="M49" s="65">
        <v>198.17036880362485</v>
      </c>
      <c r="N49" s="65">
        <v>238.22882725419797</v>
      </c>
      <c r="O49" s="65">
        <v>250.07102996328305</v>
      </c>
      <c r="P49" s="65">
        <v>198.83949154680155</v>
      </c>
      <c r="Q49" s="65">
        <v>239.04428109005312</v>
      </c>
      <c r="R49" s="65">
        <v>243.1093993118682</v>
      </c>
      <c r="S49" s="65">
        <v>284.51248252913098</v>
      </c>
      <c r="T49" s="65">
        <v>294.54112419727602</v>
      </c>
      <c r="U49" s="65">
        <v>350.50756398300382</v>
      </c>
      <c r="V49" s="65">
        <v>340.17959780513138</v>
      </c>
      <c r="W49" s="65">
        <v>384.73758303076994</v>
      </c>
      <c r="DA49" s="109" t="s">
        <v>213</v>
      </c>
    </row>
    <row r="50" spans="1:105" ht="12" customHeight="1" x14ac:dyDescent="0.25">
      <c r="A50" s="61" t="s">
        <v>31</v>
      </c>
      <c r="B50" s="65">
        <v>1.1607206881919818</v>
      </c>
      <c r="C50" s="65">
        <v>1.3946088666193239</v>
      </c>
      <c r="D50" s="65">
        <v>1.686215881141603</v>
      </c>
      <c r="E50" s="65">
        <v>2.3469074762018556</v>
      </c>
      <c r="F50" s="65">
        <v>2.0045451435767947</v>
      </c>
      <c r="G50" s="65">
        <v>2.4179598766254031</v>
      </c>
      <c r="H50" s="65">
        <v>3.1208931273626996</v>
      </c>
      <c r="I50" s="65">
        <v>2.9363732170862096</v>
      </c>
      <c r="J50" s="65">
        <v>3.1684595728389007</v>
      </c>
      <c r="K50" s="65">
        <v>3.4659234852857219</v>
      </c>
      <c r="L50" s="65">
        <v>3.8967704499300697</v>
      </c>
      <c r="M50" s="65">
        <v>3.827404734675949</v>
      </c>
      <c r="N50" s="65">
        <v>4.0547850447928022</v>
      </c>
      <c r="O50" s="65">
        <v>4.182291268024759</v>
      </c>
      <c r="P50" s="65">
        <v>4.1024060121316657</v>
      </c>
      <c r="Q50" s="65">
        <v>4.6764713354372489</v>
      </c>
      <c r="R50" s="65">
        <v>4.2715468024443739</v>
      </c>
      <c r="S50" s="65">
        <v>4.3076412269032653</v>
      </c>
      <c r="T50" s="65">
        <v>4.9217921587636146</v>
      </c>
      <c r="U50" s="65">
        <v>4.9857934775336128</v>
      </c>
      <c r="V50" s="65">
        <v>4.9257206276988779</v>
      </c>
      <c r="W50" s="65">
        <v>4.3058678692577583</v>
      </c>
      <c r="DA50" s="109" t="s">
        <v>214</v>
      </c>
    </row>
    <row r="51" spans="1:105" ht="12" customHeight="1" x14ac:dyDescent="0.25">
      <c r="A51" s="61" t="s">
        <v>35</v>
      </c>
      <c r="B51" s="65">
        <v>31.172236295315528</v>
      </c>
      <c r="C51" s="65">
        <v>31.419090892010743</v>
      </c>
      <c r="D51" s="65">
        <v>31.239678145257216</v>
      </c>
      <c r="E51" s="65">
        <v>30.644272608184998</v>
      </c>
      <c r="F51" s="65">
        <v>30.878768690438712</v>
      </c>
      <c r="G51" s="65">
        <v>30.94417711589719</v>
      </c>
      <c r="H51" s="65">
        <v>30.451902560659587</v>
      </c>
      <c r="I51" s="65">
        <v>30.391725083078974</v>
      </c>
      <c r="J51" s="65">
        <v>30.720469338287906</v>
      </c>
      <c r="K51" s="65">
        <v>30.822298374471824</v>
      </c>
      <c r="L51" s="65">
        <v>31.337051652006309</v>
      </c>
      <c r="M51" s="65">
        <v>30.694219562407515</v>
      </c>
      <c r="N51" s="65">
        <v>31.266263680387411</v>
      </c>
      <c r="O51" s="65">
        <v>31.712786728408904</v>
      </c>
      <c r="P51" s="65">
        <v>32.679236023907038</v>
      </c>
      <c r="Q51" s="65">
        <v>33.431898835472879</v>
      </c>
      <c r="R51" s="65">
        <v>33.557709775510375</v>
      </c>
      <c r="S51" s="65">
        <v>33.968630569389575</v>
      </c>
      <c r="T51" s="65">
        <v>34.15018069848329</v>
      </c>
      <c r="U51" s="65">
        <v>34.383037446862666</v>
      </c>
      <c r="V51" s="65">
        <v>30.719679148908455</v>
      </c>
      <c r="W51" s="65">
        <v>32.676041412630511</v>
      </c>
      <c r="DA51" s="109" t="s">
        <v>215</v>
      </c>
    </row>
    <row r="52" spans="1:105" ht="12" customHeight="1" x14ac:dyDescent="0.25">
      <c r="A52" s="66" t="s">
        <v>34</v>
      </c>
      <c r="B52" s="67">
        <v>32.278571060051412</v>
      </c>
      <c r="C52" s="67">
        <v>34.188215421726788</v>
      </c>
      <c r="D52" s="67">
        <v>34.258976571826693</v>
      </c>
      <c r="E52" s="67">
        <v>34.315828899685854</v>
      </c>
      <c r="F52" s="67">
        <v>34.621118996140993</v>
      </c>
      <c r="G52" s="67">
        <v>35.10901139105502</v>
      </c>
      <c r="H52" s="67">
        <v>35.937856834221321</v>
      </c>
      <c r="I52" s="67">
        <v>36.09963266162454</v>
      </c>
      <c r="J52" s="67">
        <v>36.54509097946093</v>
      </c>
      <c r="K52" s="67">
        <v>38.763770603472651</v>
      </c>
      <c r="L52" s="67">
        <v>39.369783692175403</v>
      </c>
      <c r="M52" s="67">
        <v>40.026283307910305</v>
      </c>
      <c r="N52" s="67">
        <v>40.861192855444187</v>
      </c>
      <c r="O52" s="67">
        <v>41.524844546566101</v>
      </c>
      <c r="P52" s="67">
        <v>41.960702361598273</v>
      </c>
      <c r="Q52" s="67">
        <v>43.108423773973527</v>
      </c>
      <c r="R52" s="67">
        <v>43.926081609545328</v>
      </c>
      <c r="S52" s="67">
        <v>44.22550721984345</v>
      </c>
      <c r="T52" s="67">
        <v>44.79263942742827</v>
      </c>
      <c r="U52" s="67">
        <v>46.205373297971192</v>
      </c>
      <c r="V52" s="67">
        <v>42.628673207726067</v>
      </c>
      <c r="W52" s="67">
        <v>49.288105595952921</v>
      </c>
      <c r="DA52" s="110" t="s">
        <v>216</v>
      </c>
    </row>
    <row r="53" spans="1:105" ht="12" customHeight="1" x14ac:dyDescent="0.25">
      <c r="A53" s="78" t="s">
        <v>33</v>
      </c>
      <c r="B53" s="68">
        <v>47.749340535944761</v>
      </c>
      <c r="C53" s="68">
        <v>52.179722361711264</v>
      </c>
      <c r="D53" s="68">
        <v>53.114295387129197</v>
      </c>
      <c r="E53" s="68">
        <v>56.627889350304301</v>
      </c>
      <c r="F53" s="68">
        <v>54.230836920465109</v>
      </c>
      <c r="G53" s="68">
        <v>56.430039867523277</v>
      </c>
      <c r="H53" s="68">
        <v>57.718008226477224</v>
      </c>
      <c r="I53" s="68">
        <v>62.241519282814693</v>
      </c>
      <c r="J53" s="68">
        <v>62.744630659746242</v>
      </c>
      <c r="K53" s="68">
        <v>65.062750203302642</v>
      </c>
      <c r="L53" s="68">
        <v>66.724242993894848</v>
      </c>
      <c r="M53" s="68">
        <v>67.310375129246012</v>
      </c>
      <c r="N53" s="68">
        <v>69.326356806468411</v>
      </c>
      <c r="O53" s="68">
        <v>72.201895277415431</v>
      </c>
      <c r="P53" s="68">
        <v>75.795067964744007</v>
      </c>
      <c r="Q53" s="68">
        <v>76.48160495554518</v>
      </c>
      <c r="R53" s="68">
        <v>75.081644103807832</v>
      </c>
      <c r="S53" s="68">
        <v>81.904845668989111</v>
      </c>
      <c r="T53" s="68">
        <v>81.752520845866187</v>
      </c>
      <c r="U53" s="68">
        <v>81.718028495418054</v>
      </c>
      <c r="V53" s="68">
        <v>75.321491723625073</v>
      </c>
      <c r="W53" s="68">
        <v>79.357757897986488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0.87019033681611035</v>
      </c>
      <c r="C56" s="70">
        <f t="shared" ref="C56:W56" si="28">IF(C48=0,0,C48/C$47)</f>
        <v>0.86149798698747837</v>
      </c>
      <c r="D56" s="70">
        <f t="shared" si="28"/>
        <v>0.84927850026112228</v>
      </c>
      <c r="E56" s="70">
        <f t="shared" si="28"/>
        <v>0.85648804508578347</v>
      </c>
      <c r="F56" s="70">
        <f t="shared" si="28"/>
        <v>0.85394328191172642</v>
      </c>
      <c r="G56" s="70">
        <f t="shared" si="28"/>
        <v>0.84636219220498721</v>
      </c>
      <c r="H56" s="70">
        <f t="shared" si="28"/>
        <v>0.84311527247725826</v>
      </c>
      <c r="I56" s="70">
        <f t="shared" si="28"/>
        <v>0.8310312407914211</v>
      </c>
      <c r="J56" s="70">
        <f t="shared" si="28"/>
        <v>0.83770979101699883</v>
      </c>
      <c r="K56" s="70">
        <f t="shared" si="28"/>
        <v>0.82709185291663734</v>
      </c>
      <c r="L56" s="70">
        <f t="shared" si="28"/>
        <v>0.84279111152706254</v>
      </c>
      <c r="M56" s="70">
        <f t="shared" si="28"/>
        <v>0.80204498995946949</v>
      </c>
      <c r="N56" s="70">
        <f t="shared" si="28"/>
        <v>0.81933907882294188</v>
      </c>
      <c r="O56" s="70">
        <f t="shared" si="28"/>
        <v>0.8193565492157896</v>
      </c>
      <c r="P56" s="70">
        <f t="shared" si="28"/>
        <v>0.78551210583863385</v>
      </c>
      <c r="Q56" s="70">
        <f t="shared" si="28"/>
        <v>0.80722617249704509</v>
      </c>
      <c r="R56" s="70">
        <f t="shared" si="28"/>
        <v>0.81227072538362577</v>
      </c>
      <c r="S56" s="70">
        <f t="shared" si="28"/>
        <v>0.81755099225505168</v>
      </c>
      <c r="T56" s="70">
        <f t="shared" si="28"/>
        <v>0.82233825092999346</v>
      </c>
      <c r="U56" s="70">
        <f t="shared" si="28"/>
        <v>0.84218219277780293</v>
      </c>
      <c r="V56" s="70">
        <f t="shared" si="28"/>
        <v>0.8474579172020863</v>
      </c>
      <c r="W56" s="70">
        <f t="shared" si="28"/>
        <v>0.85580895116175626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0.69453972889164883</v>
      </c>
      <c r="C57" s="71">
        <f t="shared" ref="C57:W57" si="30">IF(C49=0,0,C49/C$47)</f>
        <v>0.68365303672413402</v>
      </c>
      <c r="D57" s="71">
        <f t="shared" si="30"/>
        <v>0.65862917727714854</v>
      </c>
      <c r="E57" s="71">
        <f t="shared" si="30"/>
        <v>0.68591201709753369</v>
      </c>
      <c r="F57" s="71">
        <f t="shared" si="30"/>
        <v>0.6721375699688541</v>
      </c>
      <c r="G57" s="71">
        <f t="shared" si="30"/>
        <v>0.65994096763104815</v>
      </c>
      <c r="H57" s="71">
        <f t="shared" si="30"/>
        <v>0.65417667054058226</v>
      </c>
      <c r="I57" s="71">
        <f t="shared" si="30"/>
        <v>0.64255387567479394</v>
      </c>
      <c r="J57" s="71">
        <f t="shared" si="30"/>
        <v>0.65553082705841859</v>
      </c>
      <c r="K57" s="71">
        <f t="shared" si="30"/>
        <v>0.63295181705747483</v>
      </c>
      <c r="L57" s="71">
        <f t="shared" si="30"/>
        <v>0.66701766822192632</v>
      </c>
      <c r="M57" s="71">
        <f t="shared" si="30"/>
        <v>0.582804913372299</v>
      </c>
      <c r="N57" s="71">
        <f t="shared" si="30"/>
        <v>0.62081207444407305</v>
      </c>
      <c r="O57" s="71">
        <f t="shared" si="30"/>
        <v>0.62565800551581041</v>
      </c>
      <c r="P57" s="71">
        <f t="shared" si="30"/>
        <v>0.56268389175174582</v>
      </c>
      <c r="Q57" s="71">
        <f t="shared" si="30"/>
        <v>0.602517180898682</v>
      </c>
      <c r="R57" s="71">
        <f t="shared" si="30"/>
        <v>0.60785497880333261</v>
      </c>
      <c r="S57" s="71">
        <f t="shared" si="30"/>
        <v>0.63377227201278652</v>
      </c>
      <c r="T57" s="71">
        <f t="shared" si="30"/>
        <v>0.64008657783890321</v>
      </c>
      <c r="U57" s="71">
        <f t="shared" si="30"/>
        <v>0.67691715256803131</v>
      </c>
      <c r="V57" s="71">
        <f t="shared" si="30"/>
        <v>0.68893622772310537</v>
      </c>
      <c r="W57" s="71">
        <f t="shared" si="30"/>
        <v>0.69905850535761094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3.155494084182173E-3</v>
      </c>
      <c r="C58" s="72">
        <f t="shared" ref="C58:W58" si="32">IF(C50=0,0,C50/C$47)</f>
        <v>3.7017470896629936E-3</v>
      </c>
      <c r="D58" s="72">
        <f t="shared" si="32"/>
        <v>4.7849450818613663E-3</v>
      </c>
      <c r="E58" s="72">
        <f t="shared" si="32"/>
        <v>5.9477632625329086E-3</v>
      </c>
      <c r="F58" s="72">
        <f t="shared" si="32"/>
        <v>5.3987233381627628E-3</v>
      </c>
      <c r="G58" s="72">
        <f t="shared" si="32"/>
        <v>6.5831967450873091E-3</v>
      </c>
      <c r="H58" s="72">
        <f t="shared" si="32"/>
        <v>8.482975815670802E-3</v>
      </c>
      <c r="I58" s="72">
        <f t="shared" si="32"/>
        <v>7.9714528948099106E-3</v>
      </c>
      <c r="J58" s="72">
        <f t="shared" si="32"/>
        <v>8.1952823823076004E-3</v>
      </c>
      <c r="K58" s="72">
        <f t="shared" si="32"/>
        <v>9.2108988000178978E-3</v>
      </c>
      <c r="L58" s="72">
        <f t="shared" si="32"/>
        <v>9.1811749909811204E-3</v>
      </c>
      <c r="M58" s="72">
        <f t="shared" si="32"/>
        <v>1.1256124204138542E-2</v>
      </c>
      <c r="N58" s="72">
        <f t="shared" si="32"/>
        <v>1.0566561335570967E-2</v>
      </c>
      <c r="O58" s="72">
        <f t="shared" si="32"/>
        <v>1.0463763090121866E-2</v>
      </c>
      <c r="P58" s="72">
        <f t="shared" si="32"/>
        <v>1.1609151494479048E-2</v>
      </c>
      <c r="Q58" s="72">
        <f t="shared" si="32"/>
        <v>1.1787164757644525E-2</v>
      </c>
      <c r="R58" s="72">
        <f t="shared" si="32"/>
        <v>1.0680298657339951E-2</v>
      </c>
      <c r="S58" s="72">
        <f t="shared" si="32"/>
        <v>9.5955844999204946E-3</v>
      </c>
      <c r="T58" s="72">
        <f t="shared" si="32"/>
        <v>1.0695868389594763E-2</v>
      </c>
      <c r="U58" s="72">
        <f t="shared" si="32"/>
        <v>9.6288053979570291E-3</v>
      </c>
      <c r="V58" s="72">
        <f t="shared" si="32"/>
        <v>9.9756346646299749E-3</v>
      </c>
      <c r="W58" s="72">
        <f t="shared" si="32"/>
        <v>7.8236535490996111E-3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8.474373569908121E-2</v>
      </c>
      <c r="C59" s="72">
        <f t="shared" ref="C59:W59" si="34">IF(C51=0,0,C51/C$47)</f>
        <v>8.3396521457155551E-2</v>
      </c>
      <c r="D59" s="72">
        <f t="shared" si="34"/>
        <v>8.8648283990113638E-2</v>
      </c>
      <c r="E59" s="72">
        <f t="shared" si="34"/>
        <v>7.7661723214149325E-2</v>
      </c>
      <c r="F59" s="72">
        <f t="shared" si="34"/>
        <v>8.3163968502769983E-2</v>
      </c>
      <c r="G59" s="72">
        <f t="shared" si="34"/>
        <v>8.4249374043827083E-2</v>
      </c>
      <c r="H59" s="72">
        <f t="shared" si="34"/>
        <v>8.2772059926811345E-2</v>
      </c>
      <c r="I59" s="72">
        <f t="shared" si="34"/>
        <v>8.2505249496921867E-2</v>
      </c>
      <c r="J59" s="72">
        <f t="shared" si="34"/>
        <v>7.9459092141332024E-2</v>
      </c>
      <c r="K59" s="72">
        <f t="shared" si="34"/>
        <v>8.1912099997733231E-2</v>
      </c>
      <c r="L59" s="72">
        <f t="shared" si="34"/>
        <v>7.3833180223291606E-2</v>
      </c>
      <c r="M59" s="72">
        <f t="shared" si="34"/>
        <v>9.0269509418059987E-2</v>
      </c>
      <c r="N59" s="72">
        <f t="shared" si="34"/>
        <v>8.1478275485212692E-2</v>
      </c>
      <c r="O59" s="72">
        <f t="shared" si="34"/>
        <v>7.9342892684361746E-2</v>
      </c>
      <c r="P59" s="72">
        <f t="shared" si="34"/>
        <v>9.2477000229493109E-2</v>
      </c>
      <c r="Q59" s="72">
        <f t="shared" si="34"/>
        <v>8.4265950001333162E-2</v>
      </c>
      <c r="R59" s="72">
        <f t="shared" si="34"/>
        <v>8.3905521637663141E-2</v>
      </c>
      <c r="S59" s="72">
        <f t="shared" si="34"/>
        <v>7.5667598067233319E-2</v>
      </c>
      <c r="T59" s="72">
        <f t="shared" si="34"/>
        <v>7.4213990849140959E-2</v>
      </c>
      <c r="U59" s="72">
        <f t="shared" si="34"/>
        <v>6.6402184137455175E-2</v>
      </c>
      <c r="V59" s="72">
        <f t="shared" si="34"/>
        <v>6.2213901145937216E-2</v>
      </c>
      <c r="W59" s="72">
        <f t="shared" si="34"/>
        <v>5.9371544861761077E-2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8.7751378141197961E-2</v>
      </c>
      <c r="C60" s="73">
        <f t="shared" ref="C60:W60" si="36">IF(C52=0,0,C52/C$47)</f>
        <v>9.0746681716525834E-2</v>
      </c>
      <c r="D60" s="73">
        <f t="shared" si="36"/>
        <v>9.7216093911998813E-2</v>
      </c>
      <c r="E60" s="73">
        <f t="shared" si="36"/>
        <v>8.6966541511567422E-2</v>
      </c>
      <c r="F60" s="73">
        <f t="shared" si="36"/>
        <v>9.3243020101939633E-2</v>
      </c>
      <c r="G60" s="73">
        <f t="shared" si="36"/>
        <v>9.558865378502468E-2</v>
      </c>
      <c r="H60" s="73">
        <f t="shared" si="36"/>
        <v>9.7683566194193924E-2</v>
      </c>
      <c r="I60" s="73">
        <f t="shared" si="36"/>
        <v>9.8000662724895271E-2</v>
      </c>
      <c r="J60" s="73">
        <f t="shared" si="36"/>
        <v>9.4524589434940673E-2</v>
      </c>
      <c r="K60" s="73">
        <f t="shared" si="36"/>
        <v>0.10301703706141138</v>
      </c>
      <c r="L60" s="73">
        <f t="shared" si="36"/>
        <v>9.2759088090863515E-2</v>
      </c>
      <c r="M60" s="73">
        <f t="shared" si="36"/>
        <v>0.11771444296497198</v>
      </c>
      <c r="N60" s="73">
        <f t="shared" si="36"/>
        <v>0.10648216755808521</v>
      </c>
      <c r="O60" s="73">
        <f t="shared" si="36"/>
        <v>0.10389188792549547</v>
      </c>
      <c r="P60" s="73">
        <f t="shared" si="36"/>
        <v>0.11874206236291585</v>
      </c>
      <c r="Q60" s="73">
        <f t="shared" si="36"/>
        <v>0.10865587683938546</v>
      </c>
      <c r="R60" s="73">
        <f t="shared" si="36"/>
        <v>0.10982992628529008</v>
      </c>
      <c r="S60" s="73">
        <f t="shared" si="36"/>
        <v>9.8515537675111398E-2</v>
      </c>
      <c r="T60" s="73">
        <f t="shared" si="36"/>
        <v>9.7341813852354575E-2</v>
      </c>
      <c r="U60" s="73">
        <f t="shared" si="36"/>
        <v>8.9234050674359328E-2</v>
      </c>
      <c r="V60" s="73">
        <f t="shared" si="36"/>
        <v>8.6332153668413805E-2</v>
      </c>
      <c r="W60" s="73">
        <f t="shared" si="36"/>
        <v>8.9555247393284534E-2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0.12980966318388962</v>
      </c>
      <c r="C61" s="70">
        <f t="shared" ref="C61:W61" si="38">IF(C53=0,0,C53/C$47)</f>
        <v>0.13850201301252166</v>
      </c>
      <c r="D61" s="70">
        <f t="shared" si="38"/>
        <v>0.1507214997388778</v>
      </c>
      <c r="E61" s="70">
        <f t="shared" si="38"/>
        <v>0.14351195491421656</v>
      </c>
      <c r="F61" s="70">
        <f t="shared" si="38"/>
        <v>0.14605671808827358</v>
      </c>
      <c r="G61" s="70">
        <f t="shared" si="38"/>
        <v>0.15363780779501271</v>
      </c>
      <c r="H61" s="70">
        <f t="shared" si="38"/>
        <v>0.15688472752274182</v>
      </c>
      <c r="I61" s="70">
        <f t="shared" si="38"/>
        <v>0.16896875920857893</v>
      </c>
      <c r="J61" s="70">
        <f t="shared" si="38"/>
        <v>0.16229020898300114</v>
      </c>
      <c r="K61" s="70">
        <f t="shared" si="38"/>
        <v>0.17290814708336266</v>
      </c>
      <c r="L61" s="70">
        <f t="shared" si="38"/>
        <v>0.15720888847293746</v>
      </c>
      <c r="M61" s="70">
        <f t="shared" si="38"/>
        <v>0.1979550100405304</v>
      </c>
      <c r="N61" s="70">
        <f t="shared" si="38"/>
        <v>0.18066092117705806</v>
      </c>
      <c r="O61" s="70">
        <f t="shared" si="38"/>
        <v>0.18064345078421049</v>
      </c>
      <c r="P61" s="70">
        <f t="shared" si="38"/>
        <v>0.21448789416136615</v>
      </c>
      <c r="Q61" s="70">
        <f t="shared" si="38"/>
        <v>0.19277382750295483</v>
      </c>
      <c r="R61" s="70">
        <f t="shared" si="38"/>
        <v>0.18772927461637418</v>
      </c>
      <c r="S61" s="70">
        <f t="shared" si="38"/>
        <v>0.18244900774494821</v>
      </c>
      <c r="T61" s="70">
        <f t="shared" si="38"/>
        <v>0.17766174907000654</v>
      </c>
      <c r="U61" s="70">
        <f t="shared" si="38"/>
        <v>0.15781780722219715</v>
      </c>
      <c r="V61" s="70">
        <f t="shared" si="38"/>
        <v>0.15254208279791376</v>
      </c>
      <c r="W61" s="70">
        <f t="shared" si="38"/>
        <v>0.14419104883824369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549.24098795999998</v>
      </c>
      <c r="C65" s="80">
        <v>511.00962300000015</v>
      </c>
      <c r="D65" s="80">
        <v>504.58161779999989</v>
      </c>
      <c r="E65" s="80">
        <v>494.35671419999994</v>
      </c>
      <c r="F65" s="80">
        <v>457.66884780000004</v>
      </c>
      <c r="G65" s="80">
        <v>407.88225000000006</v>
      </c>
      <c r="H65" s="80">
        <v>384.85854395999996</v>
      </c>
      <c r="I65" s="80">
        <v>342.45886499999995</v>
      </c>
      <c r="J65" s="80">
        <v>371.0574342000001</v>
      </c>
      <c r="K65" s="80">
        <v>392.06166768000003</v>
      </c>
      <c r="L65" s="80">
        <v>495.56131488000005</v>
      </c>
      <c r="M65" s="80">
        <v>300.41724743999998</v>
      </c>
      <c r="N65" s="80">
        <v>403.47359388000007</v>
      </c>
      <c r="O65" s="80">
        <v>430.98445871999991</v>
      </c>
      <c r="P65" s="80">
        <v>376.0790202</v>
      </c>
      <c r="Q65" s="80">
        <v>477.37039139999996</v>
      </c>
      <c r="R65" s="80">
        <v>505.08584604000009</v>
      </c>
      <c r="S65" s="80">
        <v>540.65734992</v>
      </c>
      <c r="T65" s="80">
        <v>564.28079219999995</v>
      </c>
      <c r="U65" s="80">
        <v>655.15661964000003</v>
      </c>
      <c r="V65" s="80">
        <v>541.42218432000016</v>
      </c>
      <c r="W65" s="80">
        <v>617.53164300000003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200.38962312000001</v>
      </c>
      <c r="C67" s="55">
        <f t="shared" ref="C67:W67" si="39">SUM(C68:C69)</f>
        <v>258.47076060000001</v>
      </c>
      <c r="D67" s="55">
        <f t="shared" si="39"/>
        <v>229.10030136</v>
      </c>
      <c r="E67" s="55">
        <f t="shared" si="39"/>
        <v>199.68212916000002</v>
      </c>
      <c r="F67" s="55">
        <f t="shared" si="39"/>
        <v>196.94293092000004</v>
      </c>
      <c r="G67" s="55">
        <f t="shared" si="39"/>
        <v>178.38056088000002</v>
      </c>
      <c r="H67" s="55">
        <f t="shared" si="39"/>
        <v>105.59996963999997</v>
      </c>
      <c r="I67" s="55">
        <f t="shared" si="39"/>
        <v>100.13938055999998</v>
      </c>
      <c r="J67" s="55">
        <f t="shared" si="39"/>
        <v>78.217049880000019</v>
      </c>
      <c r="K67" s="55">
        <f t="shared" si="39"/>
        <v>96.209453879999984</v>
      </c>
      <c r="L67" s="55">
        <f t="shared" si="39"/>
        <v>175.25437055999998</v>
      </c>
      <c r="M67" s="55">
        <f t="shared" si="39"/>
        <v>138.54287411999999</v>
      </c>
      <c r="N67" s="55">
        <f t="shared" si="39"/>
        <v>150.19454808</v>
      </c>
      <c r="O67" s="55">
        <f t="shared" si="39"/>
        <v>180.57061944</v>
      </c>
      <c r="P67" s="55">
        <f t="shared" si="39"/>
        <v>164.62548647999998</v>
      </c>
      <c r="Q67" s="55">
        <f t="shared" si="39"/>
        <v>234.12290075999996</v>
      </c>
      <c r="R67" s="55">
        <f t="shared" si="39"/>
        <v>230.84355419999997</v>
      </c>
      <c r="S67" s="55">
        <f t="shared" si="39"/>
        <v>332.71529471999997</v>
      </c>
      <c r="T67" s="55">
        <f t="shared" si="39"/>
        <v>328.92024347999995</v>
      </c>
      <c r="U67" s="55">
        <f t="shared" si="39"/>
        <v>402.77831543999991</v>
      </c>
      <c r="V67" s="55">
        <f t="shared" si="39"/>
        <v>364.94670888000013</v>
      </c>
      <c r="W67" s="55">
        <f t="shared" si="39"/>
        <v>347.75771615999997</v>
      </c>
      <c r="DA67" s="101"/>
    </row>
    <row r="68" spans="1:105" ht="12" customHeight="1" x14ac:dyDescent="0.25">
      <c r="A68" s="61" t="s">
        <v>52</v>
      </c>
      <c r="B68" s="55">
        <v>11.610374759999999</v>
      </c>
      <c r="C68" s="55">
        <v>23.220749519999998</v>
      </c>
      <c r="D68" s="55">
        <v>11.610374759999999</v>
      </c>
      <c r="E68" s="55">
        <v>2.9026504799999988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21.685375079999996</v>
      </c>
      <c r="L68" s="55">
        <v>23.305025880000002</v>
      </c>
      <c r="M68" s="55">
        <v>23.894278920000001</v>
      </c>
      <c r="N68" s="55">
        <v>24.193221480000002</v>
      </c>
      <c r="O68" s="55">
        <v>25.069831920000002</v>
      </c>
      <c r="P68" s="55">
        <v>22.367536559999998</v>
      </c>
      <c r="Q68" s="55">
        <v>24.52691952</v>
      </c>
      <c r="R68" s="55">
        <v>26.303310720000002</v>
      </c>
      <c r="S68" s="55">
        <v>22.939298280000003</v>
      </c>
      <c r="T68" s="55">
        <v>20.30083488</v>
      </c>
      <c r="U68" s="55">
        <v>24.204806640000001</v>
      </c>
      <c r="V68" s="55">
        <v>18.730477800000003</v>
      </c>
      <c r="W68" s="55">
        <v>28.163978280000009</v>
      </c>
      <c r="DA68" s="101" t="s">
        <v>220</v>
      </c>
    </row>
    <row r="69" spans="1:105" ht="12" customHeight="1" x14ac:dyDescent="0.25">
      <c r="A69" s="61" t="s">
        <v>170</v>
      </c>
      <c r="B69" s="55">
        <v>188.77924836</v>
      </c>
      <c r="C69" s="55">
        <v>235.25001108000001</v>
      </c>
      <c r="D69" s="55">
        <v>217.48992659999999</v>
      </c>
      <c r="E69" s="55">
        <v>196.77947868000001</v>
      </c>
      <c r="F69" s="55">
        <v>196.94293092000004</v>
      </c>
      <c r="G69" s="55">
        <v>178.38056088000002</v>
      </c>
      <c r="H69" s="55">
        <v>105.59996963999997</v>
      </c>
      <c r="I69" s="55">
        <v>100.13938055999998</v>
      </c>
      <c r="J69" s="55">
        <v>78.217049880000019</v>
      </c>
      <c r="K69" s="55">
        <v>74.524078799999984</v>
      </c>
      <c r="L69" s="55">
        <v>151.94934467999997</v>
      </c>
      <c r="M69" s="55">
        <v>114.64859519999999</v>
      </c>
      <c r="N69" s="55">
        <v>126.0013266</v>
      </c>
      <c r="O69" s="55">
        <v>155.50078751999999</v>
      </c>
      <c r="P69" s="55">
        <v>142.25794991999999</v>
      </c>
      <c r="Q69" s="55">
        <v>209.59598123999996</v>
      </c>
      <c r="R69" s="55">
        <v>204.54024347999996</v>
      </c>
      <c r="S69" s="55">
        <v>309.77599643999997</v>
      </c>
      <c r="T69" s="55">
        <v>308.61940859999993</v>
      </c>
      <c r="U69" s="55">
        <v>378.5735087999999</v>
      </c>
      <c r="V69" s="55">
        <v>346.21623108000011</v>
      </c>
      <c r="W69" s="55">
        <v>319.59373787999994</v>
      </c>
      <c r="DA69" s="101" t="s">
        <v>221</v>
      </c>
    </row>
    <row r="70" spans="1:105" ht="12" customHeight="1" x14ac:dyDescent="0.25">
      <c r="A70" s="60" t="s">
        <v>153</v>
      </c>
      <c r="B70" s="55">
        <v>348.85136483999997</v>
      </c>
      <c r="C70" s="55">
        <v>252.53886240000011</v>
      </c>
      <c r="D70" s="55">
        <v>275.48131643999989</v>
      </c>
      <c r="E70" s="55">
        <v>294.67458503999995</v>
      </c>
      <c r="F70" s="55">
        <v>260.72591688</v>
      </c>
      <c r="G70" s="55">
        <v>229.50168912000004</v>
      </c>
      <c r="H70" s="55">
        <v>279.25857431999998</v>
      </c>
      <c r="I70" s="55">
        <v>242.31948444</v>
      </c>
      <c r="J70" s="55">
        <v>292.84038432000006</v>
      </c>
      <c r="K70" s="55">
        <v>295.85221380000002</v>
      </c>
      <c r="L70" s="55">
        <v>320.30694432000007</v>
      </c>
      <c r="M70" s="55">
        <v>161.87437332000002</v>
      </c>
      <c r="N70" s="55">
        <v>253.27904580000003</v>
      </c>
      <c r="O70" s="55">
        <v>250.41383927999993</v>
      </c>
      <c r="P70" s="55">
        <v>211.45353372000002</v>
      </c>
      <c r="Q70" s="55">
        <v>243.24749064</v>
      </c>
      <c r="R70" s="55">
        <v>274.24229184000012</v>
      </c>
      <c r="S70" s="55">
        <v>207.9420552</v>
      </c>
      <c r="T70" s="55">
        <v>235.36054872</v>
      </c>
      <c r="U70" s="55">
        <v>252.37830420000009</v>
      </c>
      <c r="V70" s="55">
        <v>176.47547544000003</v>
      </c>
      <c r="W70" s="55">
        <v>269.77392684000012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549.24098795999998</v>
      </c>
      <c r="C81" s="82">
        <f t="shared" ref="C81:W81" si="42">C82+C87</f>
        <v>511.0096230000002</v>
      </c>
      <c r="D81" s="82">
        <f t="shared" si="42"/>
        <v>504.58161779999978</v>
      </c>
      <c r="E81" s="82">
        <f t="shared" si="42"/>
        <v>494.3567142</v>
      </c>
      <c r="F81" s="82">
        <f t="shared" si="42"/>
        <v>457.66884780000009</v>
      </c>
      <c r="G81" s="82">
        <f t="shared" si="42"/>
        <v>407.88225</v>
      </c>
      <c r="H81" s="82">
        <f t="shared" si="42"/>
        <v>384.85854396000008</v>
      </c>
      <c r="I81" s="82">
        <f t="shared" si="42"/>
        <v>342.45886500000006</v>
      </c>
      <c r="J81" s="82">
        <f t="shared" si="42"/>
        <v>371.05743420000022</v>
      </c>
      <c r="K81" s="82">
        <f t="shared" si="42"/>
        <v>392.06166768000008</v>
      </c>
      <c r="L81" s="82">
        <f t="shared" si="42"/>
        <v>495.56131488000023</v>
      </c>
      <c r="M81" s="82">
        <f t="shared" si="42"/>
        <v>300.41724743999993</v>
      </c>
      <c r="N81" s="82">
        <f t="shared" si="42"/>
        <v>403.47359387999995</v>
      </c>
      <c r="O81" s="82">
        <f t="shared" si="42"/>
        <v>430.98445872000002</v>
      </c>
      <c r="P81" s="82">
        <f t="shared" si="42"/>
        <v>376.07902020000023</v>
      </c>
      <c r="Q81" s="82">
        <f t="shared" si="42"/>
        <v>477.37039139999985</v>
      </c>
      <c r="R81" s="82">
        <f t="shared" si="42"/>
        <v>505.08584603999981</v>
      </c>
      <c r="S81" s="82">
        <f t="shared" si="42"/>
        <v>540.65734991999989</v>
      </c>
      <c r="T81" s="82">
        <f t="shared" si="42"/>
        <v>564.2807921999995</v>
      </c>
      <c r="U81" s="82">
        <f t="shared" si="42"/>
        <v>655.15661963999969</v>
      </c>
      <c r="V81" s="82">
        <f t="shared" si="42"/>
        <v>541.42218432000016</v>
      </c>
      <c r="W81" s="82">
        <f t="shared" si="42"/>
        <v>617.53164300000037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549.24098795999998</v>
      </c>
      <c r="C82" s="64">
        <f t="shared" ref="C82:W82" si="44">SUM(C83:C86)</f>
        <v>511.0096230000002</v>
      </c>
      <c r="D82" s="64">
        <f t="shared" si="44"/>
        <v>504.58161779999978</v>
      </c>
      <c r="E82" s="64">
        <f t="shared" si="44"/>
        <v>494.3567142</v>
      </c>
      <c r="F82" s="64">
        <f t="shared" si="44"/>
        <v>457.66884780000009</v>
      </c>
      <c r="G82" s="64">
        <f t="shared" si="44"/>
        <v>407.88225</v>
      </c>
      <c r="H82" s="64">
        <f t="shared" si="44"/>
        <v>384.85854396000008</v>
      </c>
      <c r="I82" s="64">
        <f t="shared" si="44"/>
        <v>342.45886500000006</v>
      </c>
      <c r="J82" s="64">
        <f t="shared" si="44"/>
        <v>371.05743420000022</v>
      </c>
      <c r="K82" s="64">
        <f t="shared" si="44"/>
        <v>392.06166768000008</v>
      </c>
      <c r="L82" s="64">
        <f t="shared" si="44"/>
        <v>495.56131488000023</v>
      </c>
      <c r="M82" s="64">
        <f t="shared" si="44"/>
        <v>300.41724743999993</v>
      </c>
      <c r="N82" s="64">
        <f t="shared" si="44"/>
        <v>403.47359387999995</v>
      </c>
      <c r="O82" s="64">
        <f t="shared" si="44"/>
        <v>430.98445872000002</v>
      </c>
      <c r="P82" s="64">
        <f t="shared" si="44"/>
        <v>376.07902020000023</v>
      </c>
      <c r="Q82" s="64">
        <f t="shared" si="44"/>
        <v>477.37039139999985</v>
      </c>
      <c r="R82" s="64">
        <f t="shared" si="44"/>
        <v>505.08584603999981</v>
      </c>
      <c r="S82" s="64">
        <f t="shared" si="44"/>
        <v>540.65734991999989</v>
      </c>
      <c r="T82" s="64">
        <f t="shared" si="44"/>
        <v>564.2807921999995</v>
      </c>
      <c r="U82" s="64">
        <f t="shared" si="44"/>
        <v>655.15661963999969</v>
      </c>
      <c r="V82" s="64">
        <f t="shared" si="44"/>
        <v>541.42218432000016</v>
      </c>
      <c r="W82" s="64">
        <f t="shared" si="44"/>
        <v>617.53164300000037</v>
      </c>
      <c r="DA82" s="108" t="s">
        <v>232</v>
      </c>
    </row>
    <row r="83" spans="1:105" ht="12" customHeight="1" x14ac:dyDescent="0.25">
      <c r="A83" s="61" t="s">
        <v>32</v>
      </c>
      <c r="B83" s="65">
        <v>464.91151296484207</v>
      </c>
      <c r="C83" s="65">
        <v>414.3742083425991</v>
      </c>
      <c r="D83" s="65">
        <v>416.91387143679196</v>
      </c>
      <c r="E83" s="65">
        <v>413.85272324435886</v>
      </c>
      <c r="F83" s="65">
        <v>379.83737356375639</v>
      </c>
      <c r="G83" s="65">
        <v>332.74809434776523</v>
      </c>
      <c r="H83" s="65">
        <v>315.21392155506811</v>
      </c>
      <c r="I83" s="65">
        <v>275.89626872565293</v>
      </c>
      <c r="J83" s="65">
        <v>306.26794680875423</v>
      </c>
      <c r="K83" s="65">
        <v>310.98111981486642</v>
      </c>
      <c r="L83" s="65">
        <v>406.1287464007579</v>
      </c>
      <c r="M83" s="65">
        <v>215.55447020779496</v>
      </c>
      <c r="N83" s="65">
        <v>315.12891775841661</v>
      </c>
      <c r="O83" s="65">
        <v>343.72796540349083</v>
      </c>
      <c r="P83" s="65">
        <v>291.01534235208538</v>
      </c>
      <c r="Q83" s="65">
        <v>388.67213671541447</v>
      </c>
      <c r="R83" s="65">
        <v>415.46664776717478</v>
      </c>
      <c r="S83" s="65">
        <v>457.10713527574319</v>
      </c>
      <c r="T83" s="65">
        <v>481.96854380372042</v>
      </c>
      <c r="U83" s="65">
        <v>569.17705311558757</v>
      </c>
      <c r="V83" s="65">
        <v>476.97023585413604</v>
      </c>
      <c r="W83" s="65">
        <v>532.42267931544916</v>
      </c>
      <c r="DA83" s="109" t="s">
        <v>233</v>
      </c>
    </row>
    <row r="84" spans="1:105" ht="12" customHeight="1" x14ac:dyDescent="0.25">
      <c r="A84" s="61" t="s">
        <v>31</v>
      </c>
      <c r="B84" s="65">
        <v>1.7417059444154601E-2</v>
      </c>
      <c r="C84" s="65">
        <v>2.3892513334716033E-2</v>
      </c>
      <c r="D84" s="65">
        <v>3.708630303874056E-2</v>
      </c>
      <c r="E84" s="65">
        <v>3.7263913550506907E-2</v>
      </c>
      <c r="F84" s="65">
        <v>5.7730857728497002E-2</v>
      </c>
      <c r="G84" s="65">
        <v>6.773944964014611E-2</v>
      </c>
      <c r="H84" s="65">
        <v>9.5350111473516436E-2</v>
      </c>
      <c r="I84" s="65">
        <v>0.11785149860045456</v>
      </c>
      <c r="J84" s="65">
        <v>0.13166278380537572</v>
      </c>
      <c r="K84" s="65">
        <v>0.1797659440376938</v>
      </c>
      <c r="L84" s="65">
        <v>0.17716219205775841</v>
      </c>
      <c r="M84" s="65">
        <v>0.19151881171343105</v>
      </c>
      <c r="N84" s="65">
        <v>0.2200372799444352</v>
      </c>
      <c r="O84" s="65">
        <v>0.268767991232151</v>
      </c>
      <c r="P84" s="65">
        <v>0.35538091407653899</v>
      </c>
      <c r="Q84" s="65">
        <v>0.48829095428833719</v>
      </c>
      <c r="R84" s="65">
        <v>0.61753768557061683</v>
      </c>
      <c r="S84" s="65">
        <v>0.73755689643832312</v>
      </c>
      <c r="T84" s="65">
        <v>0.8451542086418784</v>
      </c>
      <c r="U84" s="65">
        <v>0.93389007663640056</v>
      </c>
      <c r="V84" s="65">
        <v>1.0060918739983438</v>
      </c>
      <c r="W84" s="65">
        <v>1.0702016782658617</v>
      </c>
      <c r="DA84" s="109" t="s">
        <v>234</v>
      </c>
    </row>
    <row r="85" spans="1:105" ht="12" customHeight="1" x14ac:dyDescent="0.25">
      <c r="A85" s="61" t="s">
        <v>35</v>
      </c>
      <c r="B85" s="65">
        <v>35.425290994646929</v>
      </c>
      <c r="C85" s="65">
        <v>35.488375873249474</v>
      </c>
      <c r="D85" s="65">
        <v>36.462878408995806</v>
      </c>
      <c r="E85" s="65">
        <v>37.789413856083613</v>
      </c>
      <c r="F85" s="65">
        <v>37.528305759684471</v>
      </c>
      <c r="G85" s="65">
        <v>36.908263266806536</v>
      </c>
      <c r="H85" s="65">
        <v>30.701548346488927</v>
      </c>
      <c r="I85" s="65">
        <v>29.446374316698659</v>
      </c>
      <c r="J85" s="65">
        <v>29.479361894046537</v>
      </c>
      <c r="K85" s="65">
        <v>28.443585895815939</v>
      </c>
      <c r="L85" s="65">
        <v>36.249739830219418</v>
      </c>
      <c r="M85" s="65">
        <v>31.05274615870313</v>
      </c>
      <c r="N85" s="65">
        <v>35.287689966438016</v>
      </c>
      <c r="O85" s="65">
        <v>36.073304942280444</v>
      </c>
      <c r="P85" s="65">
        <v>39.018106335293474</v>
      </c>
      <c r="Q85" s="65">
        <v>42.19241598985441</v>
      </c>
      <c r="R85" s="65">
        <v>43.066768200774675</v>
      </c>
      <c r="S85" s="65">
        <v>43.15697857757258</v>
      </c>
      <c r="T85" s="65">
        <v>45.432100951842493</v>
      </c>
      <c r="U85" s="65">
        <v>47.458290265611978</v>
      </c>
      <c r="V85" s="65">
        <v>35.214516218088846</v>
      </c>
      <c r="W85" s="65">
        <v>44.308482592389055</v>
      </c>
      <c r="DA85" s="109" t="s">
        <v>235</v>
      </c>
    </row>
    <row r="86" spans="1:105" ht="12" customHeight="1" x14ac:dyDescent="0.25">
      <c r="A86" s="66" t="s">
        <v>34</v>
      </c>
      <c r="B86" s="67">
        <v>48.886766941066846</v>
      </c>
      <c r="C86" s="67">
        <v>61.123146270816903</v>
      </c>
      <c r="D86" s="67">
        <v>51.167781651173328</v>
      </c>
      <c r="E86" s="67">
        <v>42.677313186007005</v>
      </c>
      <c r="F86" s="67">
        <v>40.245437618830728</v>
      </c>
      <c r="G86" s="67">
        <v>38.158152935788067</v>
      </c>
      <c r="H86" s="67">
        <v>38.847723946969481</v>
      </c>
      <c r="I86" s="67">
        <v>36.998370459048047</v>
      </c>
      <c r="J86" s="67">
        <v>35.178462713394097</v>
      </c>
      <c r="K86" s="67">
        <v>52.457196025280041</v>
      </c>
      <c r="L86" s="67">
        <v>53.005666456965116</v>
      </c>
      <c r="M86" s="67">
        <v>53.618512261788396</v>
      </c>
      <c r="N86" s="67">
        <v>52.836948875200875</v>
      </c>
      <c r="O86" s="67">
        <v>50.914420382996568</v>
      </c>
      <c r="P86" s="67">
        <v>45.690190598544845</v>
      </c>
      <c r="Q86" s="67">
        <v>46.01754774044263</v>
      </c>
      <c r="R86" s="67">
        <v>45.934892386479767</v>
      </c>
      <c r="S86" s="67">
        <v>39.655679170245726</v>
      </c>
      <c r="T86" s="67">
        <v>36.034993235794687</v>
      </c>
      <c r="U86" s="67">
        <v>37.587386182163812</v>
      </c>
      <c r="V86" s="67">
        <v>28.231340373776952</v>
      </c>
      <c r="W86" s="67">
        <v>39.730279413896284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0.84646179574402147</v>
      </c>
      <c r="C91" s="71">
        <f t="shared" ref="C91:W91" si="50">IF(C83=0,0,C83/C$81)</f>
        <v>0.81089316070002648</v>
      </c>
      <c r="D91" s="71">
        <f t="shared" si="50"/>
        <v>0.82625655935417663</v>
      </c>
      <c r="E91" s="71">
        <f t="shared" si="50"/>
        <v>0.8371540455642078</v>
      </c>
      <c r="F91" s="71">
        <f t="shared" si="50"/>
        <v>0.82993932269942083</v>
      </c>
      <c r="G91" s="71">
        <f t="shared" si="50"/>
        <v>0.81579449546472105</v>
      </c>
      <c r="H91" s="71">
        <f t="shared" si="50"/>
        <v>0.81903838826514286</v>
      </c>
      <c r="I91" s="71">
        <f t="shared" si="50"/>
        <v>0.80563330934841726</v>
      </c>
      <c r="J91" s="71">
        <f t="shared" si="50"/>
        <v>0.82539229396944414</v>
      </c>
      <c r="K91" s="71">
        <f t="shared" si="50"/>
        <v>0.79319440141923936</v>
      </c>
      <c r="L91" s="71">
        <f t="shared" si="50"/>
        <v>0.81953278879143676</v>
      </c>
      <c r="M91" s="71">
        <f t="shared" si="50"/>
        <v>0.71751696030983048</v>
      </c>
      <c r="N91" s="71">
        <f t="shared" si="50"/>
        <v>0.78103975709533402</v>
      </c>
      <c r="O91" s="71">
        <f t="shared" si="50"/>
        <v>0.79754143902159225</v>
      </c>
      <c r="P91" s="71">
        <f t="shared" si="50"/>
        <v>0.77381434943465432</v>
      </c>
      <c r="Q91" s="71">
        <f t="shared" si="50"/>
        <v>0.81419405919906951</v>
      </c>
      <c r="R91" s="71">
        <f t="shared" si="50"/>
        <v>0.82256640336397846</v>
      </c>
      <c r="S91" s="71">
        <f t="shared" si="50"/>
        <v>0.84546549740492849</v>
      </c>
      <c r="T91" s="71">
        <f t="shared" si="50"/>
        <v>0.85412892032818843</v>
      </c>
      <c r="U91" s="71">
        <f t="shared" si="50"/>
        <v>0.86876486637400263</v>
      </c>
      <c r="V91" s="71">
        <f t="shared" si="50"/>
        <v>0.88095805762593082</v>
      </c>
      <c r="W91" s="71">
        <f t="shared" si="50"/>
        <v>0.86217878120206515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3.1711142878912466E-5</v>
      </c>
      <c r="C92" s="72">
        <f t="shared" ref="C92:W92" si="52">IF(C84=0,0,C84/C$81)</f>
        <v>4.6755505687837161E-5</v>
      </c>
      <c r="D92" s="72">
        <f t="shared" si="52"/>
        <v>7.3499116357901879E-5</v>
      </c>
      <c r="E92" s="72">
        <f t="shared" si="52"/>
        <v>7.5378592987878767E-5</v>
      </c>
      <c r="F92" s="72">
        <f t="shared" si="52"/>
        <v>1.2614111274124825E-4</v>
      </c>
      <c r="G92" s="72">
        <f t="shared" si="52"/>
        <v>1.6607599286349458E-4</v>
      </c>
      <c r="H92" s="72">
        <f t="shared" si="52"/>
        <v>2.4775365642766285E-4</v>
      </c>
      <c r="I92" s="72">
        <f t="shared" si="52"/>
        <v>3.4413329787930748E-4</v>
      </c>
      <c r="J92" s="72">
        <f t="shared" si="52"/>
        <v>3.5483127858424574E-4</v>
      </c>
      <c r="K92" s="72">
        <f t="shared" si="52"/>
        <v>4.5851446049660329E-4</v>
      </c>
      <c r="L92" s="72">
        <f t="shared" si="52"/>
        <v>3.5749802645643978E-4</v>
      </c>
      <c r="M92" s="72">
        <f t="shared" si="52"/>
        <v>6.375093751955159E-4</v>
      </c>
      <c r="N92" s="72">
        <f t="shared" si="52"/>
        <v>5.4535732519307841E-4</v>
      </c>
      <c r="O92" s="72">
        <f t="shared" si="52"/>
        <v>6.2361411367448626E-4</v>
      </c>
      <c r="P92" s="72">
        <f t="shared" si="52"/>
        <v>9.4496341191153412E-4</v>
      </c>
      <c r="Q92" s="72">
        <f t="shared" si="52"/>
        <v>1.0228764981764166E-3</v>
      </c>
      <c r="R92" s="72">
        <f t="shared" si="52"/>
        <v>1.2226390630667395E-3</v>
      </c>
      <c r="S92" s="72">
        <f t="shared" si="52"/>
        <v>1.3641854615450213E-3</v>
      </c>
      <c r="T92" s="72">
        <f t="shared" si="52"/>
        <v>1.4977547000081623E-3</v>
      </c>
      <c r="U92" s="72">
        <f t="shared" si="52"/>
        <v>1.4254455326263228E-3</v>
      </c>
      <c r="V92" s="72">
        <f t="shared" si="52"/>
        <v>1.8582391027474172E-3</v>
      </c>
      <c r="W92" s="72">
        <f t="shared" si="52"/>
        <v>1.7330313197664933E-3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6.4498629510925859E-2</v>
      </c>
      <c r="C93" s="72">
        <f t="shared" ref="C93:W93" si="54">IF(C85=0,0,C85/C$81)</f>
        <v>6.9447568648329461E-2</v>
      </c>
      <c r="D93" s="72">
        <f t="shared" si="54"/>
        <v>7.2263588530980805E-2</v>
      </c>
      <c r="E93" s="72">
        <f t="shared" si="54"/>
        <v>7.6441591204514908E-2</v>
      </c>
      <c r="F93" s="72">
        <f t="shared" si="54"/>
        <v>8.1998820632170774E-2</v>
      </c>
      <c r="G93" s="72">
        <f t="shared" si="54"/>
        <v>9.0487544547002322E-2</v>
      </c>
      <c r="H93" s="72">
        <f t="shared" si="54"/>
        <v>7.9773591695757873E-2</v>
      </c>
      <c r="I93" s="72">
        <f t="shared" si="54"/>
        <v>8.5985142527113895E-2</v>
      </c>
      <c r="J93" s="72">
        <f t="shared" si="54"/>
        <v>7.9446897372111774E-2</v>
      </c>
      <c r="K93" s="72">
        <f t="shared" si="54"/>
        <v>7.2548755057154773E-2</v>
      </c>
      <c r="L93" s="72">
        <f t="shared" si="54"/>
        <v>7.3148849076319175E-2</v>
      </c>
      <c r="M93" s="72">
        <f t="shared" si="54"/>
        <v>0.10336539071347779</v>
      </c>
      <c r="N93" s="72">
        <f t="shared" si="54"/>
        <v>8.7459725993699569E-2</v>
      </c>
      <c r="O93" s="72">
        <f t="shared" si="54"/>
        <v>8.3699781308625751E-2</v>
      </c>
      <c r="P93" s="72">
        <f t="shared" si="54"/>
        <v>0.10374975534275616</v>
      </c>
      <c r="Q93" s="72">
        <f t="shared" si="54"/>
        <v>8.8385071110328658E-2</v>
      </c>
      <c r="R93" s="72">
        <f t="shared" si="54"/>
        <v>8.5266234519199027E-2</v>
      </c>
      <c r="S93" s="72">
        <f t="shared" si="54"/>
        <v>7.9823160794833259E-2</v>
      </c>
      <c r="T93" s="72">
        <f t="shared" si="54"/>
        <v>8.0513286257207703E-2</v>
      </c>
      <c r="U93" s="72">
        <f t="shared" si="54"/>
        <v>7.2438084028960445E-2</v>
      </c>
      <c r="V93" s="72">
        <f t="shared" si="54"/>
        <v>6.5040770840072912E-2</v>
      </c>
      <c r="W93" s="72">
        <f t="shared" si="54"/>
        <v>7.1750950894007917E-2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8.9007863602173776E-2</v>
      </c>
      <c r="C94" s="73">
        <f t="shared" ref="C94:W94" si="56">IF(C86=0,0,C86/C$81)</f>
        <v>0.11961251514595622</v>
      </c>
      <c r="D94" s="73">
        <f t="shared" si="56"/>
        <v>0.10140635299848481</v>
      </c>
      <c r="E94" s="73">
        <f t="shared" si="56"/>
        <v>8.6328984638289363E-2</v>
      </c>
      <c r="F94" s="73">
        <f t="shared" si="56"/>
        <v>8.7935715555667149E-2</v>
      </c>
      <c r="G94" s="73">
        <f t="shared" si="56"/>
        <v>9.355188399541306E-2</v>
      </c>
      <c r="H94" s="73">
        <f t="shared" si="56"/>
        <v>0.10094026638267145</v>
      </c>
      <c r="I94" s="73">
        <f t="shared" si="56"/>
        <v>0.10803741482658959</v>
      </c>
      <c r="J94" s="73">
        <f t="shared" si="56"/>
        <v>9.4805977379859963E-2</v>
      </c>
      <c r="K94" s="73">
        <f t="shared" si="56"/>
        <v>0.13379832906310926</v>
      </c>
      <c r="L94" s="73">
        <f t="shared" si="56"/>
        <v>0.10696086410578759</v>
      </c>
      <c r="M94" s="73">
        <f t="shared" si="56"/>
        <v>0.17848013960149614</v>
      </c>
      <c r="N94" s="73">
        <f t="shared" si="56"/>
        <v>0.13095515958577328</v>
      </c>
      <c r="O94" s="73">
        <f t="shared" si="56"/>
        <v>0.11813516555610747</v>
      </c>
      <c r="P94" s="73">
        <f t="shared" si="56"/>
        <v>0.12149093181067806</v>
      </c>
      <c r="Q94" s="73">
        <f t="shared" si="56"/>
        <v>9.6397993192425396E-2</v>
      </c>
      <c r="R94" s="73">
        <f t="shared" si="56"/>
        <v>9.094472305375588E-2</v>
      </c>
      <c r="S94" s="73">
        <f t="shared" si="56"/>
        <v>7.3347156338693084E-2</v>
      </c>
      <c r="T94" s="73">
        <f t="shared" si="56"/>
        <v>6.3860038714595682E-2</v>
      </c>
      <c r="U94" s="73">
        <f t="shared" si="56"/>
        <v>5.7371604064410747E-2</v>
      </c>
      <c r="V94" s="73">
        <f t="shared" si="56"/>
        <v>5.2142932431248894E-2</v>
      </c>
      <c r="W94" s="73">
        <f t="shared" si="56"/>
        <v>6.4337236584160365E-2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537833.87436506804</v>
      </c>
      <c r="C99" s="82">
        <f t="shared" ref="C99:W99" si="60">C47*11630*1000/C$8</f>
        <v>546842.05506257736</v>
      </c>
      <c r="D99" s="82">
        <f t="shared" si="60"/>
        <v>507045.42697177117</v>
      </c>
      <c r="E99" s="82">
        <f t="shared" si="60"/>
        <v>565936.73050679825</v>
      </c>
      <c r="F99" s="82">
        <f t="shared" si="60"/>
        <v>527861.16213164025</v>
      </c>
      <c r="G99" s="82">
        <f t="shared" si="60"/>
        <v>516493.16120039899</v>
      </c>
      <c r="H99" s="82">
        <f t="shared" si="60"/>
        <v>513563.10765681515</v>
      </c>
      <c r="I99" s="82">
        <f t="shared" si="60"/>
        <v>509996.25787602598</v>
      </c>
      <c r="J99" s="82">
        <f t="shared" si="60"/>
        <v>531851.79297490639</v>
      </c>
      <c r="K99" s="82">
        <f t="shared" si="60"/>
        <v>514638.06264455168</v>
      </c>
      <c r="L99" s="82">
        <f t="shared" si="60"/>
        <v>578063.52027359174</v>
      </c>
      <c r="M99" s="82">
        <f t="shared" si="60"/>
        <v>455595.83831404668</v>
      </c>
      <c r="N99" s="82">
        <f t="shared" si="60"/>
        <v>505815.39421166998</v>
      </c>
      <c r="O99" s="82">
        <f t="shared" si="60"/>
        <v>515801.31255450641</v>
      </c>
      <c r="P99" s="82">
        <f t="shared" si="60"/>
        <v>445392.29419537878</v>
      </c>
      <c r="Q99" s="82">
        <f t="shared" si="60"/>
        <v>490238.07035926456</v>
      </c>
      <c r="R99" s="82">
        <f t="shared" si="60"/>
        <v>483724.47225845297</v>
      </c>
      <c r="S99" s="82">
        <f t="shared" si="60"/>
        <v>532264.39698932867</v>
      </c>
      <c r="T99" s="82">
        <f t="shared" si="60"/>
        <v>535032.92293332564</v>
      </c>
      <c r="U99" s="82">
        <f t="shared" si="60"/>
        <v>590680.26247539837</v>
      </c>
      <c r="V99" s="82">
        <f t="shared" si="60"/>
        <v>552974.85298670607</v>
      </c>
      <c r="W99" s="82">
        <f t="shared" si="60"/>
        <v>605468.18083041022</v>
      </c>
      <c r="DA99" s="107"/>
    </row>
    <row r="100" spans="1:105" ht="12" customHeight="1" x14ac:dyDescent="0.25">
      <c r="A100" s="77" t="s">
        <v>36</v>
      </c>
      <c r="B100" s="64">
        <f t="shared" si="59"/>
        <v>468017.84028485208</v>
      </c>
      <c r="C100" s="64">
        <f t="shared" ref="C100:W100" si="61">C48*11630*1000/C$8</f>
        <v>471103.32963650621</v>
      </c>
      <c r="D100" s="64">
        <f t="shared" si="61"/>
        <v>430622.77978284622</v>
      </c>
      <c r="E100" s="64">
        <f t="shared" si="61"/>
        <v>484718.04395400744</v>
      </c>
      <c r="F100" s="64">
        <f t="shared" si="61"/>
        <v>450763.4931844307</v>
      </c>
      <c r="G100" s="64">
        <f t="shared" si="61"/>
        <v>437140.28417245351</v>
      </c>
      <c r="H100" s="64">
        <f t="shared" si="61"/>
        <v>432992.89944634313</v>
      </c>
      <c r="I100" s="64">
        <f t="shared" si="61"/>
        <v>423822.8229816953</v>
      </c>
      <c r="J100" s="64">
        <f t="shared" si="61"/>
        <v>445537.45434502501</v>
      </c>
      <c r="K100" s="64">
        <f t="shared" si="61"/>
        <v>425652.94881411066</v>
      </c>
      <c r="L100" s="64">
        <f t="shared" si="61"/>
        <v>487186.79678462708</v>
      </c>
      <c r="M100" s="64">
        <f t="shared" si="61"/>
        <v>365408.35956616572</v>
      </c>
      <c r="N100" s="64">
        <f t="shared" si="61"/>
        <v>414434.31914785289</v>
      </c>
      <c r="O100" s="64">
        <f t="shared" si="61"/>
        <v>422625.18353563524</v>
      </c>
      <c r="P100" s="64">
        <f t="shared" si="61"/>
        <v>349861.03893771226</v>
      </c>
      <c r="Q100" s="64">
        <f t="shared" si="61"/>
        <v>395733.00114844623</v>
      </c>
      <c r="R100" s="64">
        <f t="shared" si="61"/>
        <v>392915.22796718514</v>
      </c>
      <c r="S100" s="64">
        <f t="shared" si="61"/>
        <v>435153.28590066248</v>
      </c>
      <c r="T100" s="64">
        <f t="shared" si="61"/>
        <v>439978.03803495294</v>
      </c>
      <c r="U100" s="64">
        <f t="shared" si="61"/>
        <v>497460.39868209913</v>
      </c>
      <c r="V100" s="64">
        <f t="shared" si="61"/>
        <v>468622.91717724386</v>
      </c>
      <c r="W100" s="64">
        <f t="shared" si="61"/>
        <v>518165.08879828989</v>
      </c>
      <c r="DA100" s="108"/>
    </row>
    <row r="101" spans="1:105" ht="12" customHeight="1" x14ac:dyDescent="0.25">
      <c r="A101" s="61" t="s">
        <v>32</v>
      </c>
      <c r="B101" s="65">
        <f t="shared" si="59"/>
        <v>373546.99329025944</v>
      </c>
      <c r="C101" s="65">
        <f t="shared" ref="C101:W101" si="62">C49*11630*1000/C$8</f>
        <v>373850.23155199719</v>
      </c>
      <c r="D101" s="65">
        <f t="shared" si="62"/>
        <v>333954.91240855813</v>
      </c>
      <c r="E101" s="65">
        <f t="shared" si="62"/>
        <v>388182.80437150126</v>
      </c>
      <c r="F101" s="65">
        <f t="shared" si="62"/>
        <v>354795.31879609596</v>
      </c>
      <c r="G101" s="65">
        <f t="shared" si="62"/>
        <v>340854.99657741026</v>
      </c>
      <c r="H101" s="65">
        <f t="shared" si="62"/>
        <v>335961.00387940998</v>
      </c>
      <c r="I101" s="65">
        <f t="shared" si="62"/>
        <v>327700.07207788213</v>
      </c>
      <c r="J101" s="65">
        <f t="shared" si="62"/>
        <v>348645.24572134321</v>
      </c>
      <c r="K101" s="65">
        <f t="shared" si="62"/>
        <v>325741.09687780752</v>
      </c>
      <c r="L101" s="65">
        <f t="shared" si="62"/>
        <v>385578.58137704944</v>
      </c>
      <c r="M101" s="65">
        <f t="shared" si="62"/>
        <v>265523.4930813979</v>
      </c>
      <c r="N101" s="65">
        <f t="shared" si="62"/>
        <v>314016.30416629341</v>
      </c>
      <c r="O101" s="65">
        <f t="shared" si="62"/>
        <v>322715.22045528964</v>
      </c>
      <c r="P101" s="65">
        <f t="shared" si="62"/>
        <v>250615.06945409422</v>
      </c>
      <c r="Q101" s="65">
        <f t="shared" si="62"/>
        <v>295376.86012207379</v>
      </c>
      <c r="R101" s="65">
        <f t="shared" si="62"/>
        <v>294034.3288313151</v>
      </c>
      <c r="S101" s="65">
        <f t="shared" si="62"/>
        <v>337334.41619144264</v>
      </c>
      <c r="T101" s="65">
        <f t="shared" si="62"/>
        <v>342467.39267153799</v>
      </c>
      <c r="U101" s="65">
        <f t="shared" si="62"/>
        <v>399841.60135298403</v>
      </c>
      <c r="V101" s="65">
        <f t="shared" si="62"/>
        <v>380964.40924240003</v>
      </c>
      <c r="W101" s="65">
        <f t="shared" si="62"/>
        <v>423257.68153289828</v>
      </c>
      <c r="DA101" s="109"/>
    </row>
    <row r="102" spans="1:105" ht="12" customHeight="1" x14ac:dyDescent="0.25">
      <c r="A102" s="61" t="s">
        <v>31</v>
      </c>
      <c r="B102" s="65">
        <f t="shared" si="59"/>
        <v>1697.1316088317501</v>
      </c>
      <c r="C102" s="65">
        <f t="shared" ref="C102:W102" si="63">C50*11630*1000/C$8</f>
        <v>2024.2709858332264</v>
      </c>
      <c r="D102" s="65">
        <f t="shared" si="63"/>
        <v>2426.1845220688733</v>
      </c>
      <c r="E102" s="65">
        <f t="shared" si="63"/>
        <v>3366.0576946263218</v>
      </c>
      <c r="F102" s="65">
        <f t="shared" si="63"/>
        <v>2849.7763753098038</v>
      </c>
      <c r="G102" s="65">
        <f t="shared" si="63"/>
        <v>3400.1760976743217</v>
      </c>
      <c r="H102" s="65">
        <f t="shared" si="63"/>
        <v>4356.5434220735033</v>
      </c>
      <c r="I102" s="65">
        <f t="shared" si="63"/>
        <v>4065.411146188068</v>
      </c>
      <c r="J102" s="65">
        <f t="shared" si="63"/>
        <v>4358.6756289659606</v>
      </c>
      <c r="K102" s="65">
        <f t="shared" si="63"/>
        <v>4740.2791136562364</v>
      </c>
      <c r="L102" s="65">
        <f t="shared" si="63"/>
        <v>5307.3023355344085</v>
      </c>
      <c r="M102" s="65">
        <f t="shared" si="63"/>
        <v>5128.2433429515313</v>
      </c>
      <c r="N102" s="65">
        <f t="shared" si="63"/>
        <v>5344.7293874136185</v>
      </c>
      <c r="O102" s="65">
        <f t="shared" si="63"/>
        <v>5397.2227361442565</v>
      </c>
      <c r="P102" s="65">
        <f t="shared" si="63"/>
        <v>5170.6266177877324</v>
      </c>
      <c r="Q102" s="65">
        <f t="shared" si="63"/>
        <v>5778.5169057943795</v>
      </c>
      <c r="R102" s="65">
        <f t="shared" si="63"/>
        <v>5166.3218315844315</v>
      </c>
      <c r="S102" s="65">
        <f t="shared" si="63"/>
        <v>5107.3879976103317</v>
      </c>
      <c r="T102" s="65">
        <f t="shared" si="63"/>
        <v>5722.6417277950486</v>
      </c>
      <c r="U102" s="65">
        <f t="shared" si="63"/>
        <v>5687.5452997897901</v>
      </c>
      <c r="V102" s="65">
        <f t="shared" si="63"/>
        <v>5516.2751121228494</v>
      </c>
      <c r="W102" s="65">
        <f t="shared" si="63"/>
        <v>4736.973281820724</v>
      </c>
      <c r="DA102" s="109"/>
    </row>
    <row r="103" spans="1:105" ht="12" customHeight="1" x14ac:dyDescent="0.25">
      <c r="A103" s="61" t="s">
        <v>35</v>
      </c>
      <c r="B103" s="65">
        <f t="shared" si="59"/>
        <v>45578.051699206175</v>
      </c>
      <c r="C103" s="65">
        <f t="shared" ref="C103:W103" si="64">C51*11630*1000/C$8</f>
        <v>45604.725178701272</v>
      </c>
      <c r="D103" s="65">
        <f t="shared" si="64"/>
        <v>44948.707006081997</v>
      </c>
      <c r="E103" s="65">
        <f t="shared" si="64"/>
        <v>43951.621721339579</v>
      </c>
      <c r="F103" s="65">
        <f t="shared" si="64"/>
        <v>43899.029061351284</v>
      </c>
      <c r="G103" s="65">
        <f t="shared" si="64"/>
        <v>43514.225529051095</v>
      </c>
      <c r="H103" s="65">
        <f t="shared" si="64"/>
        <v>42508.676323169369</v>
      </c>
      <c r="I103" s="65">
        <f t="shared" si="64"/>
        <v>42077.368498558018</v>
      </c>
      <c r="J103" s="65">
        <f t="shared" si="64"/>
        <v>42260.460623525738</v>
      </c>
      <c r="K103" s="65">
        <f t="shared" si="64"/>
        <v>42155.084449980219</v>
      </c>
      <c r="L103" s="65">
        <f t="shared" si="64"/>
        <v>42680.26807287048</v>
      </c>
      <c r="M103" s="65">
        <f t="shared" si="64"/>
        <v>41126.41281751878</v>
      </c>
      <c r="N103" s="65">
        <f t="shared" si="64"/>
        <v>41212.9660342399</v>
      </c>
      <c r="O103" s="65">
        <f t="shared" si="64"/>
        <v>40925.168188465133</v>
      </c>
      <c r="P103" s="65">
        <f t="shared" si="64"/>
        <v>41188.543292520502</v>
      </c>
      <c r="Q103" s="65">
        <f t="shared" si="64"/>
        <v>41310.376725643837</v>
      </c>
      <c r="R103" s="65">
        <f t="shared" si="64"/>
        <v>40587.154173748808</v>
      </c>
      <c r="S103" s="65">
        <f t="shared" si="64"/>
        <v>40275.16845688683</v>
      </c>
      <c r="T103" s="65">
        <f t="shared" si="64"/>
        <v>39706.928446562968</v>
      </c>
      <c r="U103" s="65">
        <f t="shared" si="64"/>
        <v>39222.459555251757</v>
      </c>
      <c r="V103" s="65">
        <f t="shared" si="64"/>
        <v>34402.722839904105</v>
      </c>
      <c r="W103" s="65">
        <f t="shared" si="64"/>
        <v>35947.581260541563</v>
      </c>
      <c r="DA103" s="109"/>
    </row>
    <row r="104" spans="1:105" ht="12" customHeight="1" x14ac:dyDescent="0.25">
      <c r="A104" s="66" t="s">
        <v>34</v>
      </c>
      <c r="B104" s="67">
        <f t="shared" si="59"/>
        <v>47195.663686554639</v>
      </c>
      <c r="C104" s="67">
        <f t="shared" ref="C104:W104" si="65">C52*11630*1000/C$8</f>
        <v>49624.101919974608</v>
      </c>
      <c r="D104" s="67">
        <f t="shared" si="65"/>
        <v>49292.97584613724</v>
      </c>
      <c r="E104" s="67">
        <f t="shared" si="65"/>
        <v>49217.560166540214</v>
      </c>
      <c r="F104" s="67">
        <f t="shared" si="65"/>
        <v>49219.368951673743</v>
      </c>
      <c r="G104" s="67">
        <f t="shared" si="65"/>
        <v>49370.885968317882</v>
      </c>
      <c r="H104" s="67">
        <f t="shared" si="65"/>
        <v>50166.675821690435</v>
      </c>
      <c r="I104" s="67">
        <f t="shared" si="65"/>
        <v>49979.971259067133</v>
      </c>
      <c r="J104" s="67">
        <f t="shared" si="65"/>
        <v>50273.072371190094</v>
      </c>
      <c r="K104" s="67">
        <f t="shared" si="65"/>
        <v>53016.488372666732</v>
      </c>
      <c r="L104" s="67">
        <f t="shared" si="65"/>
        <v>53620.644999172757</v>
      </c>
      <c r="M104" s="67">
        <f t="shared" si="65"/>
        <v>53630.210324297448</v>
      </c>
      <c r="N104" s="67">
        <f t="shared" si="65"/>
        <v>53860.319559905962</v>
      </c>
      <c r="O104" s="67">
        <f t="shared" si="65"/>
        <v>53587.572155736241</v>
      </c>
      <c r="P104" s="67">
        <f t="shared" si="65"/>
        <v>52886.799573309829</v>
      </c>
      <c r="Q104" s="67">
        <f t="shared" si="65"/>
        <v>53267.247394934231</v>
      </c>
      <c r="R104" s="67">
        <f t="shared" si="65"/>
        <v>53127.423130536728</v>
      </c>
      <c r="S104" s="67">
        <f t="shared" si="65"/>
        <v>52436.313254722663</v>
      </c>
      <c r="T104" s="67">
        <f t="shared" si="65"/>
        <v>52081.075189056945</v>
      </c>
      <c r="U104" s="67">
        <f t="shared" si="65"/>
        <v>52708.792474073569</v>
      </c>
      <c r="V104" s="67">
        <f t="shared" si="65"/>
        <v>47739.509982816846</v>
      </c>
      <c r="W104" s="67">
        <f t="shared" si="65"/>
        <v>54222.852723029318</v>
      </c>
      <c r="DA104" s="110"/>
    </row>
    <row r="105" spans="1:105" ht="12" customHeight="1" x14ac:dyDescent="0.25">
      <c r="A105" s="78" t="s">
        <v>33</v>
      </c>
      <c r="B105" s="68">
        <f t="shared" si="59"/>
        <v>69816.03408021589</v>
      </c>
      <c r="C105" s="68">
        <f t="shared" ref="C105:W105" si="66">C53*11630*1000/C$8</f>
        <v>75738.725426071192</v>
      </c>
      <c r="D105" s="68">
        <f t="shared" si="66"/>
        <v>76422.647188924995</v>
      </c>
      <c r="E105" s="68">
        <f t="shared" si="66"/>
        <v>81218.68655279075</v>
      </c>
      <c r="F105" s="68">
        <f t="shared" si="66"/>
        <v>77097.668947209444</v>
      </c>
      <c r="G105" s="68">
        <f t="shared" si="66"/>
        <v>79352.877027945404</v>
      </c>
      <c r="H105" s="68">
        <f t="shared" si="66"/>
        <v>80570.208210471959</v>
      </c>
      <c r="I105" s="68">
        <f t="shared" si="66"/>
        <v>86173.434894330552</v>
      </c>
      <c r="J105" s="68">
        <f t="shared" si="66"/>
        <v>86314.338629881429</v>
      </c>
      <c r="K105" s="68">
        <f t="shared" si="66"/>
        <v>88985.11383044094</v>
      </c>
      <c r="L105" s="68">
        <f t="shared" si="66"/>
        <v>90876.723488964708</v>
      </c>
      <c r="M105" s="68">
        <f t="shared" si="66"/>
        <v>90187.478747880989</v>
      </c>
      <c r="N105" s="68">
        <f t="shared" si="66"/>
        <v>91381.075063817043</v>
      </c>
      <c r="O105" s="68">
        <f t="shared" si="66"/>
        <v>93176.129018871157</v>
      </c>
      <c r="P105" s="68">
        <f t="shared" si="66"/>
        <v>95531.25525766646</v>
      </c>
      <c r="Q105" s="68">
        <f t="shared" si="66"/>
        <v>94505.069210818299</v>
      </c>
      <c r="R105" s="68">
        <f t="shared" si="66"/>
        <v>90809.24429126778</v>
      </c>
      <c r="S105" s="68">
        <f t="shared" si="66"/>
        <v>97111.111088666221</v>
      </c>
      <c r="T105" s="68">
        <f t="shared" si="66"/>
        <v>95054.884898372635</v>
      </c>
      <c r="U105" s="68">
        <f t="shared" si="66"/>
        <v>93219.863793299242</v>
      </c>
      <c r="V105" s="68">
        <f t="shared" si="66"/>
        <v>84351.935809462331</v>
      </c>
      <c r="W105" s="68">
        <f t="shared" si="66"/>
        <v>87303.092032120228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276618.97420771129</v>
      </c>
      <c r="C107" s="85">
        <f t="shared" ref="C107:W107" si="68">SUM(C108:C111)</f>
        <v>287270.74107258586</v>
      </c>
      <c r="D107" s="85">
        <f t="shared" si="68"/>
        <v>263262.38085021544</v>
      </c>
      <c r="E107" s="85">
        <f t="shared" si="68"/>
        <v>310956.87214679999</v>
      </c>
      <c r="F107" s="85">
        <f t="shared" si="68"/>
        <v>291806.49428340467</v>
      </c>
      <c r="G107" s="85">
        <f t="shared" si="68"/>
        <v>291380.79444848513</v>
      </c>
      <c r="H107" s="85">
        <f t="shared" si="68"/>
        <v>296460.70025664195</v>
      </c>
      <c r="I107" s="85">
        <f t="shared" si="68"/>
        <v>295611.71310353454</v>
      </c>
      <c r="J107" s="85">
        <f t="shared" si="68"/>
        <v>314806.06914855109</v>
      </c>
      <c r="K107" s="85">
        <f t="shared" si="68"/>
        <v>301370.95961988386</v>
      </c>
      <c r="L107" s="85">
        <f t="shared" si="68"/>
        <v>344385.77054415841</v>
      </c>
      <c r="M107" s="85">
        <f t="shared" si="68"/>
        <v>272134.89175234246</v>
      </c>
      <c r="N107" s="85">
        <f t="shared" si="68"/>
        <v>307785.60290632868</v>
      </c>
      <c r="O107" s="85">
        <f t="shared" si="68"/>
        <v>318095.53433083132</v>
      </c>
      <c r="P107" s="85">
        <f t="shared" si="68"/>
        <v>265246.91709667118</v>
      </c>
      <c r="Q107" s="85">
        <f t="shared" si="68"/>
        <v>300424.24928276788</v>
      </c>
      <c r="R107" s="85">
        <f t="shared" si="68"/>
        <v>298526.79660638701</v>
      </c>
      <c r="S107" s="85">
        <f t="shared" si="68"/>
        <v>333402.19951903215</v>
      </c>
      <c r="T107" s="85">
        <f t="shared" si="68"/>
        <v>342393.61296984786</v>
      </c>
      <c r="U107" s="85">
        <f t="shared" si="68"/>
        <v>388340.07029791176</v>
      </c>
      <c r="V107" s="85">
        <f t="shared" si="68"/>
        <v>376665.32064154127</v>
      </c>
      <c r="W107" s="85">
        <f t="shared" si="68"/>
        <v>415631.05460819771</v>
      </c>
      <c r="DA107" s="117"/>
    </row>
    <row r="108" spans="1:105" ht="12" customHeight="1" x14ac:dyDescent="0.25">
      <c r="A108" s="61" t="s">
        <v>32</v>
      </c>
      <c r="B108" s="65">
        <v>213739.94586926306</v>
      </c>
      <c r="C108" s="65">
        <v>222574.0976087095</v>
      </c>
      <c r="D108" s="65">
        <v>196548.39689973937</v>
      </c>
      <c r="E108" s="65">
        <v>241039.12392811678</v>
      </c>
      <c r="F108" s="65">
        <v>222231.59164156517</v>
      </c>
      <c r="G108" s="65">
        <v>219699.7269586983</v>
      </c>
      <c r="H108" s="65">
        <v>221439.36556088887</v>
      </c>
      <c r="I108" s="65">
        <v>220776.03798725904</v>
      </c>
      <c r="J108" s="65">
        <v>237851.27286335628</v>
      </c>
      <c r="K108" s="65">
        <v>222330.00223782711</v>
      </c>
      <c r="L108" s="65">
        <v>262801.17259712762</v>
      </c>
      <c r="M108" s="65">
        <v>191058.14859827809</v>
      </c>
      <c r="N108" s="65">
        <v>224991.05791200604</v>
      </c>
      <c r="O108" s="65">
        <v>234344.37029089793</v>
      </c>
      <c r="P108" s="65">
        <v>181301.2564823284</v>
      </c>
      <c r="Q108" s="65">
        <v>213138.10121327496</v>
      </c>
      <c r="R108" s="65">
        <v>212942.34839984647</v>
      </c>
      <c r="S108" s="65">
        <v>246987.91989846987</v>
      </c>
      <c r="T108" s="65">
        <v>252960.26906012138</v>
      </c>
      <c r="U108" s="65">
        <v>297761.08508707443</v>
      </c>
      <c r="V108" s="65">
        <v>292181.43855667283</v>
      </c>
      <c r="W108" s="65">
        <v>328014.03679845674</v>
      </c>
      <c r="DA108" s="109"/>
    </row>
    <row r="109" spans="1:105" ht="12" customHeight="1" x14ac:dyDescent="0.25">
      <c r="A109" s="61" t="s">
        <v>31</v>
      </c>
      <c r="B109" s="65">
        <v>3155.1548468387045</v>
      </c>
      <c r="C109" s="65">
        <v>4061.0917816360752</v>
      </c>
      <c r="D109" s="65">
        <v>5201.6109296706081</v>
      </c>
      <c r="E109" s="65">
        <v>7554.6251630830839</v>
      </c>
      <c r="F109" s="65">
        <v>6681.7787628731894</v>
      </c>
      <c r="G109" s="65">
        <v>8383.463378098475</v>
      </c>
      <c r="H109" s="65">
        <v>11158.309068496575</v>
      </c>
      <c r="I109" s="65">
        <v>10831.44617327681</v>
      </c>
      <c r="J109" s="65">
        <v>12050.019150929182</v>
      </c>
      <c r="K109" s="65">
        <v>13338.600340184395</v>
      </c>
      <c r="L109" s="65">
        <v>15306.392978332256</v>
      </c>
      <c r="M109" s="65">
        <v>15235.114442480652</v>
      </c>
      <c r="N109" s="65">
        <v>16342.54372987541</v>
      </c>
      <c r="O109" s="65">
        <v>16929.613684039436</v>
      </c>
      <c r="P109" s="65">
        <v>16681.67179220511</v>
      </c>
      <c r="Q109" s="65">
        <v>19244.940875983149</v>
      </c>
      <c r="R109" s="65">
        <v>17585.28190635502</v>
      </c>
      <c r="S109" s="65">
        <v>17880.047314512183</v>
      </c>
      <c r="T109" s="65">
        <v>20701.582413653858</v>
      </c>
      <c r="U109" s="65">
        <v>21062.169176669082</v>
      </c>
      <c r="V109" s="65">
        <v>20821.890241212073</v>
      </c>
      <c r="W109" s="65">
        <v>18097.189353554146</v>
      </c>
      <c r="DA109" s="109"/>
    </row>
    <row r="110" spans="1:105" ht="12" customHeight="1" x14ac:dyDescent="0.25">
      <c r="A110" s="61" t="s">
        <v>35</v>
      </c>
      <c r="B110" s="65">
        <v>28445.221474378181</v>
      </c>
      <c r="C110" s="65">
        <v>28640.017887350412</v>
      </c>
      <c r="D110" s="65">
        <v>28647.619650816054</v>
      </c>
      <c r="E110" s="65">
        <v>28594.599963615361</v>
      </c>
      <c r="F110" s="65">
        <v>28756.666753933911</v>
      </c>
      <c r="G110" s="65">
        <v>28697.696966503016</v>
      </c>
      <c r="H110" s="65">
        <v>28616.127778484897</v>
      </c>
      <c r="I110" s="65">
        <v>28595.398950708488</v>
      </c>
      <c r="J110" s="65">
        <v>28957.251247838889</v>
      </c>
      <c r="K110" s="65">
        <v>29164.187421580271</v>
      </c>
      <c r="L110" s="65">
        <v>29233.960123815912</v>
      </c>
      <c r="M110" s="65">
        <v>28755.72054915953</v>
      </c>
      <c r="N110" s="65">
        <v>28938.641107534353</v>
      </c>
      <c r="O110" s="65">
        <v>29120.384572957882</v>
      </c>
      <c r="P110" s="65">
        <v>29377.697522431037</v>
      </c>
      <c r="Q110" s="65">
        <v>29654.069107292882</v>
      </c>
      <c r="R110" s="65">
        <v>29473.874671589801</v>
      </c>
      <c r="S110" s="65">
        <v>29702.226242573146</v>
      </c>
      <c r="T110" s="65">
        <v>29578.421611603757</v>
      </c>
      <c r="U110" s="65">
        <v>29686.107716809998</v>
      </c>
      <c r="V110" s="65">
        <v>26741.908812811893</v>
      </c>
      <c r="W110" s="65">
        <v>28013.945212933511</v>
      </c>
      <c r="DA110" s="109"/>
    </row>
    <row r="111" spans="1:105" ht="12" customHeight="1" x14ac:dyDescent="0.25">
      <c r="A111" s="74" t="s">
        <v>34</v>
      </c>
      <c r="B111" s="68">
        <v>31278.652017231332</v>
      </c>
      <c r="C111" s="68">
        <v>31995.533794889849</v>
      </c>
      <c r="D111" s="68">
        <v>32864.753369989441</v>
      </c>
      <c r="E111" s="68">
        <v>33768.523091984716</v>
      </c>
      <c r="F111" s="68">
        <v>34136.45712503243</v>
      </c>
      <c r="G111" s="68">
        <v>34599.907145185345</v>
      </c>
      <c r="H111" s="68">
        <v>35246.897848771616</v>
      </c>
      <c r="I111" s="68">
        <v>35408.829992290222</v>
      </c>
      <c r="J111" s="68">
        <v>35947.525886426716</v>
      </c>
      <c r="K111" s="68">
        <v>36538.169620292079</v>
      </c>
      <c r="L111" s="68">
        <v>37044.244844882647</v>
      </c>
      <c r="M111" s="68">
        <v>37085.90816242421</v>
      </c>
      <c r="N111" s="68">
        <v>37513.36015691288</v>
      </c>
      <c r="O111" s="68">
        <v>37701.165782936034</v>
      </c>
      <c r="P111" s="68">
        <v>37886.291299706623</v>
      </c>
      <c r="Q111" s="68">
        <v>38387.138086216888</v>
      </c>
      <c r="R111" s="68">
        <v>38525.291628595733</v>
      </c>
      <c r="S111" s="68">
        <v>38832.006063476889</v>
      </c>
      <c r="T111" s="68">
        <v>39153.339884468849</v>
      </c>
      <c r="U111" s="68">
        <v>39830.708317358229</v>
      </c>
      <c r="V111" s="68">
        <v>36920.083030844478</v>
      </c>
      <c r="W111" s="68">
        <v>41505.883243253294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69051.166870685498</v>
      </c>
      <c r="C113" s="82">
        <f t="shared" ref="C113:W113" si="70">C81*1000000/C$8</f>
        <v>63777.221086460064</v>
      </c>
      <c r="D113" s="82">
        <f t="shared" si="70"/>
        <v>62425.547886074994</v>
      </c>
      <c r="E113" s="82">
        <f t="shared" si="70"/>
        <v>60965.804540918063</v>
      </c>
      <c r="F113" s="82">
        <f t="shared" si="70"/>
        <v>55945.682729106549</v>
      </c>
      <c r="G113" s="82">
        <f t="shared" si="70"/>
        <v>49318.222058998792</v>
      </c>
      <c r="H113" s="82">
        <f t="shared" si="70"/>
        <v>46193.893413820566</v>
      </c>
      <c r="I113" s="82">
        <f t="shared" si="70"/>
        <v>40768.235740359443</v>
      </c>
      <c r="J113" s="82">
        <f t="shared" si="70"/>
        <v>43890.224512770896</v>
      </c>
      <c r="K113" s="82">
        <f t="shared" si="70"/>
        <v>46106.229907157984</v>
      </c>
      <c r="L113" s="82">
        <f t="shared" si="70"/>
        <v>58034.558779980536</v>
      </c>
      <c r="M113" s="82">
        <f t="shared" si="70"/>
        <v>34610.620310307895</v>
      </c>
      <c r="N113" s="82">
        <f t="shared" si="70"/>
        <v>45729.166648361548</v>
      </c>
      <c r="O113" s="82">
        <f t="shared" si="70"/>
        <v>47823.126037385482</v>
      </c>
      <c r="P113" s="82">
        <f t="shared" si="70"/>
        <v>40757.161432010507</v>
      </c>
      <c r="Q113" s="82">
        <f t="shared" si="70"/>
        <v>50719.372925996489</v>
      </c>
      <c r="R113" s="82">
        <f t="shared" si="70"/>
        <v>52526.900074796875</v>
      </c>
      <c r="S113" s="82">
        <f t="shared" si="70"/>
        <v>55119.049957889853</v>
      </c>
      <c r="T113" s="82">
        <f t="shared" si="70"/>
        <v>56414.25274359926</v>
      </c>
      <c r="U113" s="82">
        <f t="shared" si="70"/>
        <v>64262.261095905873</v>
      </c>
      <c r="V113" s="82">
        <f t="shared" si="70"/>
        <v>52135.371574001962</v>
      </c>
      <c r="W113" s="82">
        <f t="shared" si="70"/>
        <v>58414.375466084413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69051.166870685498</v>
      </c>
      <c r="C114" s="64">
        <f t="shared" ref="C114:W114" si="72">C82*1000000/C$8</f>
        <v>63777.221086460064</v>
      </c>
      <c r="D114" s="64">
        <f t="shared" si="72"/>
        <v>62425.547886074994</v>
      </c>
      <c r="E114" s="64">
        <f t="shared" si="72"/>
        <v>60965.804540918063</v>
      </c>
      <c r="F114" s="64">
        <f t="shared" si="72"/>
        <v>55945.682729106549</v>
      </c>
      <c r="G114" s="64">
        <f t="shared" si="72"/>
        <v>49318.222058998792</v>
      </c>
      <c r="H114" s="64">
        <f t="shared" si="72"/>
        <v>46193.893413820566</v>
      </c>
      <c r="I114" s="64">
        <f t="shared" si="72"/>
        <v>40768.235740359443</v>
      </c>
      <c r="J114" s="64">
        <f t="shared" si="72"/>
        <v>43890.224512770896</v>
      </c>
      <c r="K114" s="64">
        <f t="shared" si="72"/>
        <v>46106.229907157984</v>
      </c>
      <c r="L114" s="64">
        <f t="shared" si="72"/>
        <v>58034.558779980536</v>
      </c>
      <c r="M114" s="64">
        <f t="shared" si="72"/>
        <v>34610.620310307895</v>
      </c>
      <c r="N114" s="64">
        <f t="shared" si="72"/>
        <v>45729.166648361548</v>
      </c>
      <c r="O114" s="64">
        <f t="shared" si="72"/>
        <v>47823.126037385482</v>
      </c>
      <c r="P114" s="64">
        <f t="shared" si="72"/>
        <v>40757.161432010507</v>
      </c>
      <c r="Q114" s="64">
        <f t="shared" si="72"/>
        <v>50719.372925996489</v>
      </c>
      <c r="R114" s="64">
        <f t="shared" si="72"/>
        <v>52526.900074796875</v>
      </c>
      <c r="S114" s="64">
        <f t="shared" si="72"/>
        <v>55119.049957889853</v>
      </c>
      <c r="T114" s="64">
        <f t="shared" si="72"/>
        <v>56414.25274359926</v>
      </c>
      <c r="U114" s="64">
        <f t="shared" si="72"/>
        <v>64262.261095905873</v>
      </c>
      <c r="V114" s="64">
        <f t="shared" si="72"/>
        <v>52135.371574001962</v>
      </c>
      <c r="W114" s="64">
        <f t="shared" si="72"/>
        <v>58414.375466084413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58449.174707580525</v>
      </c>
      <c r="C115" s="65">
        <f t="shared" ref="C115:W115" si="74">C83*1000000/C$8</f>
        <v>51716.512387463976</v>
      </c>
      <c r="D115" s="65">
        <f t="shared" si="74"/>
        <v>51579.518412147714</v>
      </c>
      <c r="E115" s="65">
        <f t="shared" si="74"/>
        <v>51037.769912506308</v>
      </c>
      <c r="F115" s="65">
        <f t="shared" si="74"/>
        <v>46431.522032151377</v>
      </c>
      <c r="G115" s="65">
        <f t="shared" si="74"/>
        <v>40233.534081837999</v>
      </c>
      <c r="H115" s="65">
        <f t="shared" si="74"/>
        <v>37834.572009347401</v>
      </c>
      <c r="I115" s="65">
        <f t="shared" si="74"/>
        <v>32844.248675802206</v>
      </c>
      <c r="J115" s="65">
        <f t="shared" si="74"/>
        <v>36226.653093429893</v>
      </c>
      <c r="K115" s="65">
        <f t="shared" si="74"/>
        <v>36571.203432906012</v>
      </c>
      <c r="L115" s="65">
        <f t="shared" si="74"/>
        <v>47561.223803238012</v>
      </c>
      <c r="M115" s="65">
        <f t="shared" si="74"/>
        <v>24833.707079489803</v>
      </c>
      <c r="N115" s="65">
        <f t="shared" si="74"/>
        <v>35716.297211208352</v>
      </c>
      <c r="O115" s="65">
        <f t="shared" si="74"/>
        <v>38140.924758367393</v>
      </c>
      <c r="P115" s="65">
        <f t="shared" si="74"/>
        <v>31538.476358314398</v>
      </c>
      <c r="Q115" s="65">
        <f t="shared" si="74"/>
        <v>41295.412122648471</v>
      </c>
      <c r="R115" s="65">
        <f t="shared" si="74"/>
        <v>43206.863274384756</v>
      </c>
      <c r="S115" s="65">
        <f t="shared" si="74"/>
        <v>46601.254989134453</v>
      </c>
      <c r="T115" s="65">
        <f t="shared" si="74"/>
        <v>48185.044787011982</v>
      </c>
      <c r="U115" s="65">
        <f t="shared" si="74"/>
        <v>55828.794673875927</v>
      </c>
      <c r="V115" s="65">
        <f t="shared" si="74"/>
        <v>45929.075675438929</v>
      </c>
      <c r="W115" s="65">
        <f t="shared" si="74"/>
        <v>50363.63504402848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2.1896914185919347</v>
      </c>
      <c r="C116" s="65">
        <f t="shared" ref="C116:W116" si="76">C84*1000000/C$8</f>
        <v>2.9819362232624318</v>
      </c>
      <c r="D116" s="65">
        <f t="shared" si="76"/>
        <v>4.5882226077844024</v>
      </c>
      <c r="E116" s="65">
        <f t="shared" si="76"/>
        <v>4.5955165666684339</v>
      </c>
      <c r="F116" s="65">
        <f t="shared" si="76"/>
        <v>7.0570506725183355</v>
      </c>
      <c r="G116" s="65">
        <f t="shared" si="76"/>
        <v>8.1905726947105233</v>
      </c>
      <c r="H116" s="65">
        <f t="shared" si="76"/>
        <v>11.444705997903776</v>
      </c>
      <c r="I116" s="65">
        <f t="shared" si="76"/>
        <v>14.029707414050947</v>
      </c>
      <c r="J116" s="65">
        <f t="shared" si="76"/>
        <v>15.5736244812161</v>
      </c>
      <c r="K116" s="65">
        <f t="shared" si="76"/>
        <v>21.1403731314129</v>
      </c>
      <c r="L116" s="65">
        <f t="shared" si="76"/>
        <v>20.747240230113292</v>
      </c>
      <c r="M116" s="65">
        <f t="shared" si="76"/>
        <v>22.064594929153618</v>
      </c>
      <c r="N116" s="65">
        <f t="shared" si="76"/>
        <v>24.938736006658988</v>
      </c>
      <c r="O116" s="65">
        <f t="shared" si="76"/>
        <v>29.823176356947389</v>
      </c>
      <c r="P116" s="65">
        <f t="shared" si="76"/>
        <v>38.514026326621838</v>
      </c>
      <c r="Q116" s="65">
        <f t="shared" si="76"/>
        <v>51.879654568247041</v>
      </c>
      <c r="R116" s="65">
        <f t="shared" si="76"/>
        <v>64.221439893249908</v>
      </c>
      <c r="S116" s="65">
        <f t="shared" si="76"/>
        <v>75.192606606727068</v>
      </c>
      <c r="T116" s="65">
        <f t="shared" si="76"/>
        <v>84.49471219417417</v>
      </c>
      <c r="U116" s="65">
        <f t="shared" si="76"/>
        <v>91.602352995625353</v>
      </c>
      <c r="V116" s="65">
        <f t="shared" si="76"/>
        <v>96.879986095076589</v>
      </c>
      <c r="W116" s="65">
        <f t="shared" si="76"/>
        <v>101.23394220732374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4453.7056292894604</v>
      </c>
      <c r="C117" s="65">
        <f t="shared" ref="C117:W117" si="78">C85*1000000/C$8</f>
        <v>4429.1729396016208</v>
      </c>
      <c r="D117" s="65">
        <f t="shared" si="78"/>
        <v>4511.0941062603624</v>
      </c>
      <c r="E117" s="65">
        <f t="shared" si="78"/>
        <v>4660.3231081712174</v>
      </c>
      <c r="F117" s="65">
        <f t="shared" si="78"/>
        <v>4587.4800032483427</v>
      </c>
      <c r="G117" s="65">
        <f t="shared" si="78"/>
        <v>4462.684815542606</v>
      </c>
      <c r="H117" s="65">
        <f t="shared" si="78"/>
        <v>3685.0527920314803</v>
      </c>
      <c r="I117" s="65">
        <f t="shared" si="78"/>
        <v>3505.462560713785</v>
      </c>
      <c r="J117" s="65">
        <f t="shared" si="78"/>
        <v>3486.9421625050541</v>
      </c>
      <c r="K117" s="65">
        <f t="shared" si="78"/>
        <v>3344.9495801432686</v>
      </c>
      <c r="L117" s="65">
        <f t="shared" si="78"/>
        <v>4245.1611814075695</v>
      </c>
      <c r="M117" s="65">
        <f t="shared" si="78"/>
        <v>3577.5402912108052</v>
      </c>
      <c r="N117" s="65">
        <f t="shared" si="78"/>
        <v>3999.4603849859263</v>
      </c>
      <c r="O117" s="65">
        <f t="shared" si="78"/>
        <v>4002.7851908240104</v>
      </c>
      <c r="P117" s="65">
        <f t="shared" si="78"/>
        <v>4228.5455270363072</v>
      </c>
      <c r="Q117" s="65">
        <f t="shared" si="78"/>
        <v>4482.8353827354777</v>
      </c>
      <c r="R117" s="65">
        <f t="shared" si="78"/>
        <v>4478.7709803441639</v>
      </c>
      <c r="S117" s="65">
        <f t="shared" si="78"/>
        <v>4399.7767876470898</v>
      </c>
      <c r="T117" s="65">
        <f t="shared" si="78"/>
        <v>4542.0968801318731</v>
      </c>
      <c r="U117" s="65">
        <f t="shared" si="78"/>
        <v>4655.0350691562253</v>
      </c>
      <c r="V117" s="65">
        <f t="shared" si="78"/>
        <v>3390.9247552067122</v>
      </c>
      <c r="W117" s="65">
        <f t="shared" si="78"/>
        <v>4191.2869855711633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6146.0968423969143</v>
      </c>
      <c r="C118" s="67">
        <f t="shared" ref="C118:W118" si="80">C86*1000000/C$8</f>
        <v>7628.5538231712026</v>
      </c>
      <c r="D118" s="67">
        <f t="shared" si="80"/>
        <v>6330.3471450591387</v>
      </c>
      <c r="E118" s="67">
        <f t="shared" si="80"/>
        <v>5263.1160036738684</v>
      </c>
      <c r="F118" s="67">
        <f t="shared" si="80"/>
        <v>4919.6236430343133</v>
      </c>
      <c r="G118" s="67">
        <f t="shared" si="80"/>
        <v>4613.8125889234761</v>
      </c>
      <c r="H118" s="67">
        <f t="shared" si="80"/>
        <v>4662.8239064437803</v>
      </c>
      <c r="I118" s="67">
        <f t="shared" si="80"/>
        <v>4404.4947964294088</v>
      </c>
      <c r="J118" s="67">
        <f t="shared" si="80"/>
        <v>4161.0556323547326</v>
      </c>
      <c r="K118" s="67">
        <f t="shared" si="80"/>
        <v>6168.9365209772941</v>
      </c>
      <c r="L118" s="67">
        <f t="shared" si="80"/>
        <v>6207.4265551048402</v>
      </c>
      <c r="M118" s="67">
        <f t="shared" si="80"/>
        <v>6177.3083446781302</v>
      </c>
      <c r="N118" s="67">
        <f t="shared" si="80"/>
        <v>5988.4703161606085</v>
      </c>
      <c r="O118" s="67">
        <f t="shared" si="80"/>
        <v>5649.5929118371278</v>
      </c>
      <c r="P118" s="67">
        <f t="shared" si="80"/>
        <v>4951.6255203331866</v>
      </c>
      <c r="Q118" s="67">
        <f t="shared" si="80"/>
        <v>4889.2457660442951</v>
      </c>
      <c r="R118" s="67">
        <f t="shared" si="80"/>
        <v>4777.0443801747115</v>
      </c>
      <c r="S118" s="67">
        <f t="shared" si="80"/>
        <v>4042.8255745015827</v>
      </c>
      <c r="T118" s="67">
        <f t="shared" si="80"/>
        <v>3602.6163642612346</v>
      </c>
      <c r="U118" s="67">
        <f t="shared" si="80"/>
        <v>3686.8289998780974</v>
      </c>
      <c r="V118" s="67">
        <f t="shared" si="80"/>
        <v>2718.4911572612386</v>
      </c>
      <c r="W118" s="67">
        <f t="shared" si="80"/>
        <v>3758.2194942774458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0.59104365346276388</v>
      </c>
      <c r="C121" s="86">
        <f t="shared" ref="C121:W121" si="84">IF(C107=0,"",C107/C100)</f>
        <v>0.60978287140156306</v>
      </c>
      <c r="D121" s="86">
        <f t="shared" si="84"/>
        <v>0.61135265761596025</v>
      </c>
      <c r="E121" s="86">
        <f t="shared" si="84"/>
        <v>0.64152114002239446</v>
      </c>
      <c r="F121" s="86">
        <f t="shared" si="84"/>
        <v>0.64736053095588975</v>
      </c>
      <c r="G121" s="86">
        <f t="shared" si="84"/>
        <v>0.66656129622117899</v>
      </c>
      <c r="H121" s="86">
        <f t="shared" si="84"/>
        <v>0.68467797193838198</v>
      </c>
      <c r="I121" s="86">
        <f t="shared" si="84"/>
        <v>0.69748889647762524</v>
      </c>
      <c r="J121" s="86">
        <f t="shared" si="84"/>
        <v>0.70657599283395978</v>
      </c>
      <c r="K121" s="86">
        <f t="shared" si="84"/>
        <v>0.70802037307510179</v>
      </c>
      <c r="L121" s="86">
        <f t="shared" si="84"/>
        <v>0.70688650188605706</v>
      </c>
      <c r="M121" s="86">
        <f t="shared" si="84"/>
        <v>0.74474183369925362</v>
      </c>
      <c r="N121" s="86">
        <f t="shared" si="84"/>
        <v>0.74266437089280635</v>
      </c>
      <c r="O121" s="86">
        <f t="shared" si="84"/>
        <v>0.75266582949383065</v>
      </c>
      <c r="P121" s="86">
        <f t="shared" si="84"/>
        <v>0.75814934381388666</v>
      </c>
      <c r="Q121" s="86">
        <f t="shared" si="84"/>
        <v>0.75915894911699211</v>
      </c>
      <c r="R121" s="86">
        <f t="shared" si="84"/>
        <v>0.75977405648253182</v>
      </c>
      <c r="S121" s="86">
        <f t="shared" si="84"/>
        <v>0.76617185327917248</v>
      </c>
      <c r="T121" s="86">
        <f t="shared" si="84"/>
        <v>0.77820614524092968</v>
      </c>
      <c r="U121" s="86">
        <f t="shared" si="84"/>
        <v>0.78064519573160951</v>
      </c>
      <c r="V121" s="86">
        <f t="shared" si="84"/>
        <v>0.80377059429869468</v>
      </c>
      <c r="W121" s="86">
        <f t="shared" si="84"/>
        <v>0.80212091395835738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0.57219024569468135</v>
      </c>
      <c r="C122" s="75">
        <f t="shared" ref="C122:W122" si="86">IF(C108=0,"",C108/C101)</f>
        <v>0.59535631871810846</v>
      </c>
      <c r="D122" s="75">
        <f t="shared" si="86"/>
        <v>0.58854770388669542</v>
      </c>
      <c r="E122" s="75">
        <f t="shared" si="86"/>
        <v>0.62094230144577944</v>
      </c>
      <c r="F122" s="75">
        <f t="shared" si="86"/>
        <v>0.62636562510364924</v>
      </c>
      <c r="G122" s="75">
        <f t="shared" si="86"/>
        <v>0.64455480824616029</v>
      </c>
      <c r="H122" s="75">
        <f t="shared" si="86"/>
        <v>0.65912222848450719</v>
      </c>
      <c r="I122" s="75">
        <f t="shared" si="86"/>
        <v>0.67371373032468784</v>
      </c>
      <c r="J122" s="75">
        <f t="shared" si="86"/>
        <v>0.68221573585850737</v>
      </c>
      <c r="K122" s="75">
        <f t="shared" si="86"/>
        <v>0.68253592920523587</v>
      </c>
      <c r="L122" s="75">
        <f t="shared" si="86"/>
        <v>0.6815761696579814</v>
      </c>
      <c r="M122" s="75">
        <f t="shared" si="86"/>
        <v>0.71955270842911068</v>
      </c>
      <c r="N122" s="75">
        <f t="shared" si="86"/>
        <v>0.7164948282203133</v>
      </c>
      <c r="O122" s="75">
        <f t="shared" si="86"/>
        <v>0.72616460407501915</v>
      </c>
      <c r="P122" s="75">
        <f t="shared" si="86"/>
        <v>0.72342519896050306</v>
      </c>
      <c r="Q122" s="75">
        <f t="shared" si="86"/>
        <v>0.72158022509003894</v>
      </c>
      <c r="R122" s="75">
        <f t="shared" si="86"/>
        <v>0.72420913995389158</v>
      </c>
      <c r="S122" s="75">
        <f t="shared" si="86"/>
        <v>0.73217527783557168</v>
      </c>
      <c r="T122" s="75">
        <f t="shared" si="86"/>
        <v>0.73864045007851797</v>
      </c>
      <c r="U122" s="75">
        <f t="shared" si="86"/>
        <v>0.74469761045251537</v>
      </c>
      <c r="V122" s="75">
        <f t="shared" si="86"/>
        <v>0.76695206026651075</v>
      </c>
      <c r="W122" s="75">
        <f t="shared" si="86"/>
        <v>0.77497479930074564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1.8591102955242287</v>
      </c>
      <c r="C123" s="76">
        <f t="shared" ref="C123:W123" si="88">IF(C109=0,"",C109/C102)</f>
        <v>2.0061996689462287</v>
      </c>
      <c r="D123" s="76">
        <f t="shared" si="88"/>
        <v>2.1439469596628427</v>
      </c>
      <c r="E123" s="76">
        <f t="shared" si="88"/>
        <v>2.2443540332489014</v>
      </c>
      <c r="F123" s="76">
        <f t="shared" si="88"/>
        <v>2.3446677503412183</v>
      </c>
      <c r="G123" s="76">
        <f t="shared" si="88"/>
        <v>2.4655968212448349</v>
      </c>
      <c r="H123" s="76">
        <f t="shared" si="88"/>
        <v>2.5612757609531096</v>
      </c>
      <c r="I123" s="76">
        <f t="shared" si="88"/>
        <v>2.664292929740431</v>
      </c>
      <c r="J123" s="76">
        <f t="shared" si="88"/>
        <v>2.7646056226000679</v>
      </c>
      <c r="K123" s="76">
        <f t="shared" si="88"/>
        <v>2.8138850097998063</v>
      </c>
      <c r="L123" s="76">
        <f t="shared" si="88"/>
        <v>2.8840250678485249</v>
      </c>
      <c r="M123" s="76">
        <f t="shared" si="88"/>
        <v>2.9708251780642234</v>
      </c>
      <c r="N123" s="76">
        <f t="shared" si="88"/>
        <v>3.0576933919911276</v>
      </c>
      <c r="O123" s="76">
        <f t="shared" si="88"/>
        <v>3.1367268893063787</v>
      </c>
      <c r="P123" s="76">
        <f t="shared" si="88"/>
        <v>3.2262379447043523</v>
      </c>
      <c r="Q123" s="76">
        <f t="shared" si="88"/>
        <v>3.3304291031294517</v>
      </c>
      <c r="R123" s="76">
        <f t="shared" si="88"/>
        <v>3.4038301289801538</v>
      </c>
      <c r="S123" s="76">
        <f t="shared" si="88"/>
        <v>3.5008202476252013</v>
      </c>
      <c r="T123" s="76">
        <f t="shared" si="88"/>
        <v>3.6174870625057007</v>
      </c>
      <c r="U123" s="76">
        <f t="shared" si="88"/>
        <v>3.7032090412444774</v>
      </c>
      <c r="V123" s="76">
        <f t="shared" si="88"/>
        <v>3.7746286793152897</v>
      </c>
      <c r="W123" s="76">
        <f t="shared" si="88"/>
        <v>3.8204119544027129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0.62409910941571922</v>
      </c>
      <c r="C124" s="76">
        <f t="shared" ref="C124:W124" si="90">IF(C110=0,"",C110/C103)</f>
        <v>0.62800549230644487</v>
      </c>
      <c r="D124" s="76">
        <f t="shared" si="90"/>
        <v>0.63734023866225453</v>
      </c>
      <c r="E124" s="76">
        <f t="shared" si="90"/>
        <v>0.65059260258722118</v>
      </c>
      <c r="F124" s="76">
        <f t="shared" si="90"/>
        <v>0.65506384466373735</v>
      </c>
      <c r="G124" s="76">
        <f t="shared" si="90"/>
        <v>0.65950149905216116</v>
      </c>
      <c r="H124" s="76">
        <f t="shared" si="90"/>
        <v>0.67318322407719067</v>
      </c>
      <c r="I124" s="76">
        <f t="shared" si="90"/>
        <v>0.67959095283462045</v>
      </c>
      <c r="J124" s="76">
        <f t="shared" si="90"/>
        <v>0.68520907771930062</v>
      </c>
      <c r="K124" s="76">
        <f t="shared" si="90"/>
        <v>0.69183083848842708</v>
      </c>
      <c r="L124" s="76">
        <f t="shared" si="90"/>
        <v>0.68495258918953106</v>
      </c>
      <c r="M124" s="76">
        <f t="shared" si="90"/>
        <v>0.69920322681073566</v>
      </c>
      <c r="N124" s="76">
        <f t="shared" si="90"/>
        <v>0.70217322100748614</v>
      </c>
      <c r="O124" s="76">
        <f t="shared" si="90"/>
        <v>0.71155198284965238</v>
      </c>
      <c r="P124" s="76">
        <f t="shared" si="90"/>
        <v>0.71324924782580945</v>
      </c>
      <c r="Q124" s="76">
        <f t="shared" si="90"/>
        <v>0.7178358431402253</v>
      </c>
      <c r="R124" s="76">
        <f t="shared" si="90"/>
        <v>0.7261872696325451</v>
      </c>
      <c r="S124" s="76">
        <f t="shared" si="90"/>
        <v>0.73748235899666936</v>
      </c>
      <c r="T124" s="76">
        <f t="shared" si="90"/>
        <v>0.74491840010767862</v>
      </c>
      <c r="U124" s="76">
        <f t="shared" si="90"/>
        <v>0.75686502206706019</v>
      </c>
      <c r="V124" s="76">
        <f t="shared" si="90"/>
        <v>0.77731954349246024</v>
      </c>
      <c r="W124" s="76">
        <f t="shared" si="90"/>
        <v>0.77929986470837931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0.66274419245304872</v>
      </c>
      <c r="C125" s="56">
        <f t="shared" ref="C125:W125" si="92">IF(C111=0,"",C111/C104)</f>
        <v>0.64475794134243192</v>
      </c>
      <c r="D125" s="56">
        <f t="shared" si="92"/>
        <v>0.66672285058571545</v>
      </c>
      <c r="E125" s="56">
        <f t="shared" si="92"/>
        <v>0.68610721412683351</v>
      </c>
      <c r="F125" s="56">
        <f t="shared" si="92"/>
        <v>0.6935573911674785</v>
      </c>
      <c r="G125" s="56">
        <f t="shared" si="92"/>
        <v>0.70081600657093091</v>
      </c>
      <c r="H125" s="56">
        <f t="shared" si="92"/>
        <v>0.70259584218916904</v>
      </c>
      <c r="I125" s="56">
        <f t="shared" si="92"/>
        <v>0.70846039123855076</v>
      </c>
      <c r="J125" s="56">
        <f t="shared" si="92"/>
        <v>0.71504533522457059</v>
      </c>
      <c r="K125" s="56">
        <f t="shared" si="92"/>
        <v>0.68918502039319829</v>
      </c>
      <c r="L125" s="56">
        <f t="shared" si="92"/>
        <v>0.69085787471325932</v>
      </c>
      <c r="M125" s="56">
        <f t="shared" si="92"/>
        <v>0.69151151819410717</v>
      </c>
      <c r="N125" s="56">
        <f t="shared" si="92"/>
        <v>0.69649345684235631</v>
      </c>
      <c r="O125" s="56">
        <f t="shared" si="92"/>
        <v>0.70354308408242261</v>
      </c>
      <c r="P125" s="56">
        <f t="shared" si="92"/>
        <v>0.71636573975685514</v>
      </c>
      <c r="Q125" s="56">
        <f t="shared" si="92"/>
        <v>0.72065180694633646</v>
      </c>
      <c r="R125" s="56">
        <f t="shared" si="92"/>
        <v>0.72514888467180438</v>
      </c>
      <c r="S125" s="56">
        <f t="shared" si="92"/>
        <v>0.74055561219265342</v>
      </c>
      <c r="T125" s="56">
        <f t="shared" si="92"/>
        <v>0.75177672009151575</v>
      </c>
      <c r="U125" s="56">
        <f t="shared" si="92"/>
        <v>0.75567483996052809</v>
      </c>
      <c r="V125" s="56">
        <f t="shared" si="92"/>
        <v>0.77336535385749317</v>
      </c>
      <c r="W125" s="56">
        <f t="shared" si="92"/>
        <v>0.76546845396101926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597.59319373896449</v>
      </c>
      <c r="C129" s="82">
        <f t="shared" ref="C129:W129" si="94">IF(C99=0,0,C99/C$26)</f>
        <v>607.6022834028638</v>
      </c>
      <c r="D129" s="82">
        <f t="shared" si="94"/>
        <v>563.38380774641246</v>
      </c>
      <c r="E129" s="82">
        <f t="shared" si="94"/>
        <v>628.81858945199804</v>
      </c>
      <c r="F129" s="82">
        <f t="shared" si="94"/>
        <v>586.51240236848912</v>
      </c>
      <c r="G129" s="82">
        <f t="shared" si="94"/>
        <v>573.88129022266548</v>
      </c>
      <c r="H129" s="82">
        <f t="shared" si="94"/>
        <v>570.62567517423918</v>
      </c>
      <c r="I129" s="82">
        <f t="shared" si="94"/>
        <v>566.66250875113985</v>
      </c>
      <c r="J129" s="82">
        <f t="shared" si="94"/>
        <v>590.94643663878492</v>
      </c>
      <c r="K129" s="82">
        <f t="shared" si="94"/>
        <v>571.82006960505737</v>
      </c>
      <c r="L129" s="82">
        <f t="shared" si="94"/>
        <v>642.29280030399082</v>
      </c>
      <c r="M129" s="82">
        <f t="shared" si="94"/>
        <v>506.21759812671854</v>
      </c>
      <c r="N129" s="82">
        <f t="shared" si="94"/>
        <v>562.01710467963323</v>
      </c>
      <c r="O129" s="82">
        <f t="shared" si="94"/>
        <v>573.11256950500717</v>
      </c>
      <c r="P129" s="82">
        <f t="shared" si="94"/>
        <v>494.88032688375421</v>
      </c>
      <c r="Q129" s="82">
        <f t="shared" si="94"/>
        <v>544.70896706584949</v>
      </c>
      <c r="R129" s="82">
        <f t="shared" si="94"/>
        <v>537.4716358427255</v>
      </c>
      <c r="S129" s="82">
        <f t="shared" si="94"/>
        <v>591.40488554369847</v>
      </c>
      <c r="T129" s="82">
        <f t="shared" si="94"/>
        <v>594.4810254814729</v>
      </c>
      <c r="U129" s="82">
        <f t="shared" si="94"/>
        <v>656.31140275044265</v>
      </c>
      <c r="V129" s="82">
        <f t="shared" si="94"/>
        <v>614.41650331856226</v>
      </c>
      <c r="W129" s="82">
        <f t="shared" si="94"/>
        <v>672.74242314490027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520.0198225387245</v>
      </c>
      <c r="C130" s="64">
        <f t="shared" ref="C130:W130" si="96">IF(C100=0,0,C100/C$26)</f>
        <v>523.44814404056251</v>
      </c>
      <c r="D130" s="64">
        <f t="shared" si="96"/>
        <v>478.46975531427364</v>
      </c>
      <c r="E130" s="64">
        <f t="shared" si="96"/>
        <v>538.57560439334156</v>
      </c>
      <c r="F130" s="64">
        <f t="shared" si="96"/>
        <v>500.84832576047847</v>
      </c>
      <c r="G130" s="64">
        <f t="shared" si="96"/>
        <v>485.7114268582817</v>
      </c>
      <c r="H130" s="64">
        <f t="shared" si="96"/>
        <v>481.103221607048</v>
      </c>
      <c r="I130" s="64">
        <f t="shared" si="96"/>
        <v>470.91424775743917</v>
      </c>
      <c r="J130" s="64">
        <f t="shared" si="96"/>
        <v>495.04161593891666</v>
      </c>
      <c r="K130" s="64">
        <f t="shared" si="96"/>
        <v>472.94772090456735</v>
      </c>
      <c r="L130" s="64">
        <f t="shared" si="96"/>
        <v>541.31866309403006</v>
      </c>
      <c r="M130" s="64">
        <f t="shared" si="96"/>
        <v>406.00928840685077</v>
      </c>
      <c r="N130" s="64">
        <f t="shared" si="96"/>
        <v>460.48257683094761</v>
      </c>
      <c r="O130" s="64">
        <f t="shared" si="96"/>
        <v>469.58353726181696</v>
      </c>
      <c r="P130" s="64">
        <f t="shared" si="96"/>
        <v>388.73448770856919</v>
      </c>
      <c r="Q130" s="64">
        <f t="shared" si="96"/>
        <v>439.70333460938463</v>
      </c>
      <c r="R130" s="64">
        <f t="shared" si="96"/>
        <v>436.57247551909461</v>
      </c>
      <c r="S130" s="64">
        <f t="shared" si="96"/>
        <v>483.503651000736</v>
      </c>
      <c r="T130" s="64">
        <f t="shared" si="96"/>
        <v>488.86448670550328</v>
      </c>
      <c r="U130" s="64">
        <f t="shared" si="96"/>
        <v>552.73377631344351</v>
      </c>
      <c r="V130" s="64">
        <f t="shared" si="96"/>
        <v>520.69213019693757</v>
      </c>
      <c r="W130" s="64">
        <f t="shared" si="96"/>
        <v>575.73898755365553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415.05221476695493</v>
      </c>
      <c r="C131" s="65">
        <f t="shared" ref="C131:W131" si="98">IF(C101=0,0,C101/C$26)</f>
        <v>415.38914616888582</v>
      </c>
      <c r="D131" s="65">
        <f t="shared" si="98"/>
        <v>371.06101378728687</v>
      </c>
      <c r="E131" s="65">
        <f t="shared" si="98"/>
        <v>431.31422707944586</v>
      </c>
      <c r="F131" s="65">
        <f t="shared" si="98"/>
        <v>394.217020884551</v>
      </c>
      <c r="G131" s="65">
        <f t="shared" si="98"/>
        <v>378.72777397490029</v>
      </c>
      <c r="H131" s="65">
        <f t="shared" si="98"/>
        <v>373.29000431045557</v>
      </c>
      <c r="I131" s="65">
        <f t="shared" si="98"/>
        <v>364.11119119764675</v>
      </c>
      <c r="J131" s="65">
        <f t="shared" si="98"/>
        <v>387.383606357048</v>
      </c>
      <c r="K131" s="65">
        <f t="shared" si="98"/>
        <v>361.93455208645275</v>
      </c>
      <c r="L131" s="65">
        <f t="shared" si="98"/>
        <v>428.42064597449939</v>
      </c>
      <c r="M131" s="65">
        <f t="shared" si="98"/>
        <v>295.02610342377545</v>
      </c>
      <c r="N131" s="65">
        <f t="shared" si="98"/>
        <v>348.90700462921484</v>
      </c>
      <c r="O131" s="65">
        <f t="shared" si="98"/>
        <v>358.57246717254407</v>
      </c>
      <c r="P131" s="65">
        <f t="shared" si="98"/>
        <v>278.46118828232693</v>
      </c>
      <c r="Q131" s="65">
        <f t="shared" si="98"/>
        <v>328.19651124674863</v>
      </c>
      <c r="R131" s="65">
        <f t="shared" si="98"/>
        <v>326.70480981257231</v>
      </c>
      <c r="S131" s="65">
        <f t="shared" si="98"/>
        <v>374.81601799049179</v>
      </c>
      <c r="T131" s="65">
        <f t="shared" si="98"/>
        <v>380.51932519059778</v>
      </c>
      <c r="U131" s="65">
        <f t="shared" si="98"/>
        <v>444.26844594776003</v>
      </c>
      <c r="V131" s="65">
        <f t="shared" si="98"/>
        <v>423.29378804711115</v>
      </c>
      <c r="W131" s="65">
        <f t="shared" si="98"/>
        <v>470.2863128143315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1.8857017875908335</v>
      </c>
      <c r="C132" s="65">
        <f t="shared" ref="C132:W132" si="100">IF(C102=0,0,C102/C$26)</f>
        <v>2.2491899842591407</v>
      </c>
      <c r="D132" s="65">
        <f t="shared" si="100"/>
        <v>2.6957605800765263</v>
      </c>
      <c r="E132" s="65">
        <f t="shared" si="100"/>
        <v>3.7400641051403576</v>
      </c>
      <c r="F132" s="65">
        <f t="shared" si="100"/>
        <v>3.1664181947886707</v>
      </c>
      <c r="G132" s="65">
        <f t="shared" si="100"/>
        <v>3.7779734418603574</v>
      </c>
      <c r="H132" s="65">
        <f t="shared" si="100"/>
        <v>4.8406038023038933</v>
      </c>
      <c r="I132" s="65">
        <f t="shared" si="100"/>
        <v>4.517123495764519</v>
      </c>
      <c r="J132" s="65">
        <f t="shared" si="100"/>
        <v>4.8429729210732892</v>
      </c>
      <c r="K132" s="65">
        <f t="shared" si="100"/>
        <v>5.2669767929513736</v>
      </c>
      <c r="L132" s="65">
        <f t="shared" si="100"/>
        <v>5.8970025950382317</v>
      </c>
      <c r="M132" s="65">
        <f t="shared" si="100"/>
        <v>5.6980481588350349</v>
      </c>
      <c r="N132" s="65">
        <f t="shared" si="100"/>
        <v>5.9385882082373529</v>
      </c>
      <c r="O132" s="65">
        <f t="shared" si="100"/>
        <v>5.9969141512713957</v>
      </c>
      <c r="P132" s="65">
        <f t="shared" si="100"/>
        <v>5.7451406864308137</v>
      </c>
      <c r="Q132" s="65">
        <f t="shared" si="100"/>
        <v>6.420574339771532</v>
      </c>
      <c r="R132" s="65">
        <f t="shared" si="100"/>
        <v>5.740357590649368</v>
      </c>
      <c r="S132" s="65">
        <f t="shared" si="100"/>
        <v>5.6748755529003683</v>
      </c>
      <c r="T132" s="65">
        <f t="shared" si="100"/>
        <v>6.3584908086611653</v>
      </c>
      <c r="U132" s="65">
        <f t="shared" si="100"/>
        <v>6.319494777544211</v>
      </c>
      <c r="V132" s="65">
        <f t="shared" si="100"/>
        <v>6.1291945690253877</v>
      </c>
      <c r="W132" s="65">
        <f t="shared" si="100"/>
        <v>5.2633036464674721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50.642279665784642</v>
      </c>
      <c r="C133" s="65">
        <f t="shared" ref="C133:W133" si="102">IF(C103=0,0,C103/C$26)</f>
        <v>50.671916865223643</v>
      </c>
      <c r="D133" s="65">
        <f t="shared" si="102"/>
        <v>49.94300778453556</v>
      </c>
      <c r="E133" s="65">
        <f t="shared" si="102"/>
        <v>48.835135245932868</v>
      </c>
      <c r="F133" s="65">
        <f t="shared" si="102"/>
        <v>48.776698957056979</v>
      </c>
      <c r="G133" s="65">
        <f t="shared" si="102"/>
        <v>48.349139476723437</v>
      </c>
      <c r="H133" s="65">
        <f t="shared" si="102"/>
        <v>47.231862581299303</v>
      </c>
      <c r="I133" s="65">
        <f t="shared" si="102"/>
        <v>46.752631665064456</v>
      </c>
      <c r="J133" s="65">
        <f t="shared" si="102"/>
        <v>46.956067359473039</v>
      </c>
      <c r="K133" s="65">
        <f t="shared" si="102"/>
        <v>46.838982722200235</v>
      </c>
      <c r="L133" s="65">
        <f t="shared" si="102"/>
        <v>47.422520080967203</v>
      </c>
      <c r="M133" s="65">
        <f t="shared" si="102"/>
        <v>45.696014241687536</v>
      </c>
      <c r="N133" s="65">
        <f t="shared" si="102"/>
        <v>45.792184482488771</v>
      </c>
      <c r="O133" s="65">
        <f t="shared" si="102"/>
        <v>45.472409098294591</v>
      </c>
      <c r="P133" s="65">
        <f t="shared" si="102"/>
        <v>45.765048102800556</v>
      </c>
      <c r="Q133" s="65">
        <f t="shared" si="102"/>
        <v>45.900418584048701</v>
      </c>
      <c r="R133" s="65">
        <f t="shared" si="102"/>
        <v>45.096837970832006</v>
      </c>
      <c r="S133" s="65">
        <f t="shared" si="102"/>
        <v>44.750187174318697</v>
      </c>
      <c r="T133" s="65">
        <f t="shared" si="102"/>
        <v>44.118809385069966</v>
      </c>
      <c r="U133" s="65">
        <f t="shared" si="102"/>
        <v>43.580510616946398</v>
      </c>
      <c r="V133" s="65">
        <f t="shared" si="102"/>
        <v>38.22524759989345</v>
      </c>
      <c r="W133" s="65">
        <f t="shared" si="102"/>
        <v>39.941756956157299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52.439626318394041</v>
      </c>
      <c r="C134" s="67">
        <f t="shared" ref="C134:W134" si="104">IF(C104=0,0,C104/C$26)</f>
        <v>55.137891022194019</v>
      </c>
      <c r="D134" s="67">
        <f t="shared" si="104"/>
        <v>54.769973162374718</v>
      </c>
      <c r="E134" s="67">
        <f t="shared" si="104"/>
        <v>54.686177962822462</v>
      </c>
      <c r="F134" s="67">
        <f t="shared" si="104"/>
        <v>54.688187724081928</v>
      </c>
      <c r="G134" s="67">
        <f t="shared" si="104"/>
        <v>54.856539964797648</v>
      </c>
      <c r="H134" s="67">
        <f t="shared" si="104"/>
        <v>55.740750912989377</v>
      </c>
      <c r="I134" s="67">
        <f t="shared" si="104"/>
        <v>55.533301398963474</v>
      </c>
      <c r="J134" s="67">
        <f t="shared" si="104"/>
        <v>55.858969301322325</v>
      </c>
      <c r="K134" s="67">
        <f t="shared" si="104"/>
        <v>58.907209302963025</v>
      </c>
      <c r="L134" s="67">
        <f t="shared" si="104"/>
        <v>59.578494443525287</v>
      </c>
      <c r="M134" s="67">
        <f t="shared" si="104"/>
        <v>59.589122582552719</v>
      </c>
      <c r="N134" s="67">
        <f t="shared" si="104"/>
        <v>59.84479951100662</v>
      </c>
      <c r="O134" s="67">
        <f t="shared" si="104"/>
        <v>59.541746839706931</v>
      </c>
      <c r="P134" s="67">
        <f t="shared" si="104"/>
        <v>58.763110637010918</v>
      </c>
      <c r="Q134" s="67">
        <f t="shared" si="104"/>
        <v>59.185830438815806</v>
      </c>
      <c r="R134" s="67">
        <f t="shared" si="104"/>
        <v>59.030470145040809</v>
      </c>
      <c r="S134" s="67">
        <f t="shared" si="104"/>
        <v>58.262570283025177</v>
      </c>
      <c r="T134" s="67">
        <f t="shared" si="104"/>
        <v>57.867861321174381</v>
      </c>
      <c r="U134" s="67">
        <f t="shared" si="104"/>
        <v>58.565324971192851</v>
      </c>
      <c r="V134" s="67">
        <f t="shared" si="104"/>
        <v>53.043899980907604</v>
      </c>
      <c r="W134" s="67">
        <f t="shared" si="104"/>
        <v>60.247614136699248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77.573371200239876</v>
      </c>
      <c r="C135" s="68">
        <f t="shared" ref="C135:W135" si="106">IF(C105=0,0,C105/C$26)</f>
        <v>84.154139362301336</v>
      </c>
      <c r="D135" s="68">
        <f t="shared" si="106"/>
        <v>84.914052432138888</v>
      </c>
      <c r="E135" s="68">
        <f t="shared" si="106"/>
        <v>90.242985058656387</v>
      </c>
      <c r="F135" s="68">
        <f t="shared" si="106"/>
        <v>85.66407660801049</v>
      </c>
      <c r="G135" s="68">
        <f t="shared" si="106"/>
        <v>88.169863364383787</v>
      </c>
      <c r="H135" s="68">
        <f t="shared" si="106"/>
        <v>89.522453567191079</v>
      </c>
      <c r="I135" s="68">
        <f t="shared" si="106"/>
        <v>95.748260993700598</v>
      </c>
      <c r="J135" s="68">
        <f t="shared" si="106"/>
        <v>95.904820699868253</v>
      </c>
      <c r="K135" s="68">
        <f t="shared" si="106"/>
        <v>98.872348700489923</v>
      </c>
      <c r="L135" s="68">
        <f t="shared" si="106"/>
        <v>100.97413720996079</v>
      </c>
      <c r="M135" s="68">
        <f t="shared" si="106"/>
        <v>100.20830971986777</v>
      </c>
      <c r="N135" s="68">
        <f t="shared" si="106"/>
        <v>101.53452784868558</v>
      </c>
      <c r="O135" s="68">
        <f t="shared" si="106"/>
        <v>103.52903224319017</v>
      </c>
      <c r="P135" s="68">
        <f t="shared" si="106"/>
        <v>106.14583917518496</v>
      </c>
      <c r="Q135" s="68">
        <f t="shared" si="106"/>
        <v>105.00563245646477</v>
      </c>
      <c r="R135" s="68">
        <f t="shared" si="106"/>
        <v>100.89916032363087</v>
      </c>
      <c r="S135" s="68">
        <f t="shared" si="106"/>
        <v>107.90123454296246</v>
      </c>
      <c r="T135" s="68">
        <f t="shared" si="106"/>
        <v>105.61653877596959</v>
      </c>
      <c r="U135" s="68">
        <f t="shared" si="106"/>
        <v>103.57762643699915</v>
      </c>
      <c r="V135" s="68">
        <f t="shared" si="106"/>
        <v>93.724373121624808</v>
      </c>
      <c r="W135" s="68">
        <f t="shared" si="106"/>
        <v>97.00343559124471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307.3544157863459</v>
      </c>
      <c r="C137" s="85">
        <f t="shared" ref="C137:W137" si="108">IF(C107=0,0,C107/C$26)</f>
        <v>319.1897123028732</v>
      </c>
      <c r="D137" s="85">
        <f t="shared" si="108"/>
        <v>292.51375650023942</v>
      </c>
      <c r="E137" s="85">
        <f t="shared" si="108"/>
        <v>345.50763571866668</v>
      </c>
      <c r="F137" s="85">
        <f t="shared" si="108"/>
        <v>324.22943809267178</v>
      </c>
      <c r="G137" s="85">
        <f t="shared" si="108"/>
        <v>323.75643827609457</v>
      </c>
      <c r="H137" s="85">
        <f t="shared" si="108"/>
        <v>329.40077806293556</v>
      </c>
      <c r="I137" s="85">
        <f t="shared" si="108"/>
        <v>328.45745900392723</v>
      </c>
      <c r="J137" s="85">
        <f t="shared" si="108"/>
        <v>349.78452127616788</v>
      </c>
      <c r="K137" s="85">
        <f t="shared" si="108"/>
        <v>334.85662179987094</v>
      </c>
      <c r="L137" s="85">
        <f t="shared" si="108"/>
        <v>382.65085616017603</v>
      </c>
      <c r="M137" s="85">
        <f t="shared" si="108"/>
        <v>302.37210194704716</v>
      </c>
      <c r="N137" s="85">
        <f t="shared" si="108"/>
        <v>341.98400322925403</v>
      </c>
      <c r="O137" s="85">
        <f t="shared" si="108"/>
        <v>353.4394825898126</v>
      </c>
      <c r="P137" s="85">
        <f t="shared" si="108"/>
        <v>294.71879677407907</v>
      </c>
      <c r="Q137" s="85">
        <f t="shared" si="108"/>
        <v>333.8047214252976</v>
      </c>
      <c r="R137" s="85">
        <f t="shared" si="108"/>
        <v>331.69644067376333</v>
      </c>
      <c r="S137" s="85">
        <f t="shared" si="108"/>
        <v>370.44688835448011</v>
      </c>
      <c r="T137" s="85">
        <f t="shared" si="108"/>
        <v>380.43734774427543</v>
      </c>
      <c r="U137" s="85">
        <f t="shared" si="108"/>
        <v>431.48896699767971</v>
      </c>
      <c r="V137" s="85">
        <f t="shared" si="108"/>
        <v>418.51702293504587</v>
      </c>
      <c r="W137" s="85">
        <f t="shared" si="108"/>
        <v>461.81228289799753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237.48882874362562</v>
      </c>
      <c r="C138" s="65">
        <f t="shared" ref="C138:W138" si="110">IF(C108=0,0,C108/C$26)</f>
        <v>247.30455289856616</v>
      </c>
      <c r="D138" s="65">
        <f t="shared" si="110"/>
        <v>218.38710766637709</v>
      </c>
      <c r="E138" s="65">
        <f t="shared" si="110"/>
        <v>267.82124880901864</v>
      </c>
      <c r="F138" s="65">
        <f t="shared" si="110"/>
        <v>246.92399071285016</v>
      </c>
      <c r="G138" s="65">
        <f t="shared" si="110"/>
        <v>244.11080773188701</v>
      </c>
      <c r="H138" s="65">
        <f t="shared" si="110"/>
        <v>246.04373951209877</v>
      </c>
      <c r="I138" s="65">
        <f t="shared" si="110"/>
        <v>245.30670887473224</v>
      </c>
      <c r="J138" s="65">
        <f t="shared" si="110"/>
        <v>264.27919207039588</v>
      </c>
      <c r="K138" s="65">
        <f t="shared" si="110"/>
        <v>247.03333581980786</v>
      </c>
      <c r="L138" s="65">
        <f t="shared" si="110"/>
        <v>292.00130288569733</v>
      </c>
      <c r="M138" s="65">
        <f t="shared" si="110"/>
        <v>212.28683177586453</v>
      </c>
      <c r="N138" s="65">
        <f t="shared" si="110"/>
        <v>249.99006434667334</v>
      </c>
      <c r="O138" s="65">
        <f t="shared" si="110"/>
        <v>260.38263365655325</v>
      </c>
      <c r="P138" s="65">
        <f t="shared" si="110"/>
        <v>201.44584053592044</v>
      </c>
      <c r="Q138" s="65">
        <f t="shared" si="110"/>
        <v>236.82011245919438</v>
      </c>
      <c r="R138" s="65">
        <f t="shared" si="110"/>
        <v>236.60260933316275</v>
      </c>
      <c r="S138" s="65">
        <f t="shared" si="110"/>
        <v>274.43102210941095</v>
      </c>
      <c r="T138" s="65">
        <f t="shared" si="110"/>
        <v>281.06696562235709</v>
      </c>
      <c r="U138" s="65">
        <f t="shared" si="110"/>
        <v>330.84565009674935</v>
      </c>
      <c r="V138" s="65">
        <f t="shared" si="110"/>
        <v>324.64604284074761</v>
      </c>
      <c r="W138" s="65">
        <f t="shared" si="110"/>
        <v>364.46004088717422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3.5057276075985606</v>
      </c>
      <c r="C139" s="65">
        <f t="shared" ref="C139:W139" si="112">IF(C109=0,0,C109/C$26)</f>
        <v>4.5123242018178615</v>
      </c>
      <c r="D139" s="65">
        <f t="shared" si="112"/>
        <v>5.7795676996340095</v>
      </c>
      <c r="E139" s="65">
        <f t="shared" si="112"/>
        <v>8.394027958981205</v>
      </c>
      <c r="F139" s="65">
        <f t="shared" si="112"/>
        <v>7.4241986254146539</v>
      </c>
      <c r="G139" s="65">
        <f t="shared" si="112"/>
        <v>9.314959308998306</v>
      </c>
      <c r="H139" s="65">
        <f t="shared" si="112"/>
        <v>12.398121187218418</v>
      </c>
      <c r="I139" s="65">
        <f t="shared" si="112"/>
        <v>12.034940192529788</v>
      </c>
      <c r="J139" s="65">
        <f t="shared" si="112"/>
        <v>13.388910167699091</v>
      </c>
      <c r="K139" s="65">
        <f t="shared" si="112"/>
        <v>14.820667044649326</v>
      </c>
      <c r="L139" s="65">
        <f t="shared" si="112"/>
        <v>17.007103309258063</v>
      </c>
      <c r="M139" s="65">
        <f t="shared" si="112"/>
        <v>16.927904936089615</v>
      </c>
      <c r="N139" s="65">
        <f t="shared" si="112"/>
        <v>18.158381922083787</v>
      </c>
      <c r="O139" s="65">
        <f t="shared" si="112"/>
        <v>18.81068187115493</v>
      </c>
      <c r="P139" s="65">
        <f t="shared" si="112"/>
        <v>18.535190880227901</v>
      </c>
      <c r="Q139" s="65">
        <f t="shared" si="112"/>
        <v>21.383267639981273</v>
      </c>
      <c r="R139" s="65">
        <f t="shared" si="112"/>
        <v>19.539202118172245</v>
      </c>
      <c r="S139" s="65">
        <f t="shared" si="112"/>
        <v>19.866719238346867</v>
      </c>
      <c r="T139" s="65">
        <f t="shared" si="112"/>
        <v>23.001758237393176</v>
      </c>
      <c r="U139" s="65">
        <f t="shared" si="112"/>
        <v>23.40241019629898</v>
      </c>
      <c r="V139" s="65">
        <f t="shared" si="112"/>
        <v>23.135433601346747</v>
      </c>
      <c r="W139" s="65">
        <f t="shared" si="112"/>
        <v>20.10798817061572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31.605801638197978</v>
      </c>
      <c r="C140" s="65">
        <f t="shared" ref="C140:W140" si="114">IF(C110=0,0,C110/C$26)</f>
        <v>31.822242097056016</v>
      </c>
      <c r="D140" s="65">
        <f t="shared" si="114"/>
        <v>31.830688500906732</v>
      </c>
      <c r="E140" s="65">
        <f t="shared" si="114"/>
        <v>31.771777737350401</v>
      </c>
      <c r="F140" s="65">
        <f t="shared" si="114"/>
        <v>31.951851948815452</v>
      </c>
      <c r="G140" s="65">
        <f t="shared" si="114"/>
        <v>31.886329962781129</v>
      </c>
      <c r="H140" s="65">
        <f t="shared" si="114"/>
        <v>31.795697531649889</v>
      </c>
      <c r="I140" s="65">
        <f t="shared" si="114"/>
        <v>31.772665500787205</v>
      </c>
      <c r="J140" s="65">
        <f t="shared" si="114"/>
        <v>32.174723608709876</v>
      </c>
      <c r="K140" s="65">
        <f t="shared" si="114"/>
        <v>32.404652690644738</v>
      </c>
      <c r="L140" s="65">
        <f t="shared" si="114"/>
        <v>32.482177915351016</v>
      </c>
      <c r="M140" s="65">
        <f t="shared" si="114"/>
        <v>31.950800610177257</v>
      </c>
      <c r="N140" s="65">
        <f t="shared" si="114"/>
        <v>32.154045675038169</v>
      </c>
      <c r="O140" s="65">
        <f t="shared" si="114"/>
        <v>32.35598285884209</v>
      </c>
      <c r="P140" s="65">
        <f t="shared" si="114"/>
        <v>32.641886136034486</v>
      </c>
      <c r="Q140" s="65">
        <f t="shared" si="114"/>
        <v>32.948965674769866</v>
      </c>
      <c r="R140" s="65">
        <f t="shared" si="114"/>
        <v>32.748749635099777</v>
      </c>
      <c r="S140" s="65">
        <f t="shared" si="114"/>
        <v>33.002473602859048</v>
      </c>
      <c r="T140" s="65">
        <f t="shared" si="114"/>
        <v>32.864912901781949</v>
      </c>
      <c r="U140" s="65">
        <f t="shared" si="114"/>
        <v>32.984564129788886</v>
      </c>
      <c r="V140" s="65">
        <f t="shared" si="114"/>
        <v>29.713232014235437</v>
      </c>
      <c r="W140" s="65">
        <f t="shared" si="114"/>
        <v>31.12660579214835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34.754057796923703</v>
      </c>
      <c r="C141" s="68">
        <f t="shared" ref="C141:W141" si="116">IF(C111=0,0,C111/C$26)</f>
        <v>35.550593105433173</v>
      </c>
      <c r="D141" s="68">
        <f t="shared" si="116"/>
        <v>36.516392633321608</v>
      </c>
      <c r="E141" s="68">
        <f t="shared" si="116"/>
        <v>37.520581213316355</v>
      </c>
      <c r="F141" s="68">
        <f t="shared" si="116"/>
        <v>37.929396805591587</v>
      </c>
      <c r="G141" s="68">
        <f t="shared" si="116"/>
        <v>38.444341272428161</v>
      </c>
      <c r="H141" s="68">
        <f t="shared" si="116"/>
        <v>39.163219831968469</v>
      </c>
      <c r="I141" s="68">
        <f t="shared" si="116"/>
        <v>39.343144435878017</v>
      </c>
      <c r="J141" s="68">
        <f t="shared" si="116"/>
        <v>39.941695429363016</v>
      </c>
      <c r="K141" s="68">
        <f t="shared" si="116"/>
        <v>40.597966244768969</v>
      </c>
      <c r="L141" s="68">
        <f t="shared" si="116"/>
        <v>41.160272049869604</v>
      </c>
      <c r="M141" s="68">
        <f t="shared" si="116"/>
        <v>41.206564624915792</v>
      </c>
      <c r="N141" s="68">
        <f t="shared" si="116"/>
        <v>41.681511285458754</v>
      </c>
      <c r="O141" s="68">
        <f t="shared" si="116"/>
        <v>41.890184203262258</v>
      </c>
      <c r="P141" s="68">
        <f t="shared" si="116"/>
        <v>42.095879221896247</v>
      </c>
      <c r="Q141" s="68">
        <f t="shared" si="116"/>
        <v>42.652375651352095</v>
      </c>
      <c r="R141" s="68">
        <f t="shared" si="116"/>
        <v>42.80587958732859</v>
      </c>
      <c r="S141" s="68">
        <f t="shared" si="116"/>
        <v>43.146673403863204</v>
      </c>
      <c r="T141" s="68">
        <f t="shared" si="116"/>
        <v>43.503710982743165</v>
      </c>
      <c r="U141" s="68">
        <f t="shared" si="116"/>
        <v>44.256342574842478</v>
      </c>
      <c r="V141" s="68">
        <f t="shared" si="116"/>
        <v>41.02231447871609</v>
      </c>
      <c r="W141" s="68">
        <f t="shared" si="116"/>
        <v>46.117648048059223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76.723518745206107</v>
      </c>
      <c r="C143" s="82">
        <f t="shared" ref="C143:W143" si="118">IF(C113=0,0,C113/C$26)</f>
        <v>70.863578984955637</v>
      </c>
      <c r="D143" s="82">
        <f t="shared" si="118"/>
        <v>69.361719873416675</v>
      </c>
      <c r="E143" s="82">
        <f t="shared" si="118"/>
        <v>67.739782823242294</v>
      </c>
      <c r="F143" s="82">
        <f t="shared" si="118"/>
        <v>62.161869699007269</v>
      </c>
      <c r="G143" s="82">
        <f t="shared" si="118"/>
        <v>54.798024509998655</v>
      </c>
      <c r="H143" s="82">
        <f t="shared" si="118"/>
        <v>51.326548237578415</v>
      </c>
      <c r="I143" s="82">
        <f t="shared" si="118"/>
        <v>45.298039711510484</v>
      </c>
      <c r="J143" s="82">
        <f t="shared" si="118"/>
        <v>48.766916125300995</v>
      </c>
      <c r="K143" s="82">
        <f t="shared" si="118"/>
        <v>51.229144341286641</v>
      </c>
      <c r="L143" s="82">
        <f t="shared" si="118"/>
        <v>64.482843088867256</v>
      </c>
      <c r="M143" s="82">
        <f t="shared" si="118"/>
        <v>38.456244789230993</v>
      </c>
      <c r="N143" s="82">
        <f t="shared" si="118"/>
        <v>50.81018516484616</v>
      </c>
      <c r="O143" s="82">
        <f t="shared" si="118"/>
        <v>53.136806708206095</v>
      </c>
      <c r="P143" s="82">
        <f t="shared" si="118"/>
        <v>45.285734924456122</v>
      </c>
      <c r="Q143" s="82">
        <f t="shared" si="118"/>
        <v>56.354858806662762</v>
      </c>
      <c r="R143" s="82">
        <f t="shared" si="118"/>
        <v>58.363222305329863</v>
      </c>
      <c r="S143" s="82">
        <f t="shared" si="118"/>
        <v>61.243388842099826</v>
      </c>
      <c r="T143" s="82">
        <f t="shared" si="118"/>
        <v>62.682503048443621</v>
      </c>
      <c r="U143" s="82">
        <f t="shared" si="118"/>
        <v>71.402512328784297</v>
      </c>
      <c r="V143" s="82">
        <f t="shared" si="118"/>
        <v>57.928190637779956</v>
      </c>
      <c r="W143" s="82">
        <f t="shared" si="118"/>
        <v>64.904861628982687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76.723518745206107</v>
      </c>
      <c r="C144" s="64">
        <f t="shared" ref="C144:W144" si="120">IF(C114=0,0,C114/C$26)</f>
        <v>70.863578984955637</v>
      </c>
      <c r="D144" s="64">
        <f t="shared" si="120"/>
        <v>69.361719873416675</v>
      </c>
      <c r="E144" s="64">
        <f t="shared" si="120"/>
        <v>67.739782823242294</v>
      </c>
      <c r="F144" s="64">
        <f t="shared" si="120"/>
        <v>62.161869699007269</v>
      </c>
      <c r="G144" s="64">
        <f t="shared" si="120"/>
        <v>54.798024509998655</v>
      </c>
      <c r="H144" s="64">
        <f t="shared" si="120"/>
        <v>51.326548237578415</v>
      </c>
      <c r="I144" s="64">
        <f t="shared" si="120"/>
        <v>45.298039711510484</v>
      </c>
      <c r="J144" s="64">
        <f t="shared" si="120"/>
        <v>48.766916125300995</v>
      </c>
      <c r="K144" s="64">
        <f t="shared" si="120"/>
        <v>51.229144341286641</v>
      </c>
      <c r="L144" s="64">
        <f t="shared" si="120"/>
        <v>64.482843088867256</v>
      </c>
      <c r="M144" s="64">
        <f t="shared" si="120"/>
        <v>38.456244789230993</v>
      </c>
      <c r="N144" s="64">
        <f t="shared" si="120"/>
        <v>50.81018516484616</v>
      </c>
      <c r="O144" s="64">
        <f t="shared" si="120"/>
        <v>53.136806708206095</v>
      </c>
      <c r="P144" s="64">
        <f t="shared" si="120"/>
        <v>45.285734924456122</v>
      </c>
      <c r="Q144" s="64">
        <f t="shared" si="120"/>
        <v>56.354858806662762</v>
      </c>
      <c r="R144" s="64">
        <f t="shared" si="120"/>
        <v>58.363222305329863</v>
      </c>
      <c r="S144" s="64">
        <f t="shared" si="120"/>
        <v>61.243388842099826</v>
      </c>
      <c r="T144" s="64">
        <f t="shared" si="120"/>
        <v>62.682503048443621</v>
      </c>
      <c r="U144" s="64">
        <f t="shared" si="120"/>
        <v>71.402512328784297</v>
      </c>
      <c r="V144" s="64">
        <f t="shared" si="120"/>
        <v>57.928190637779956</v>
      </c>
      <c r="W144" s="64">
        <f t="shared" si="120"/>
        <v>64.904861628982687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64.943527452867244</v>
      </c>
      <c r="C145" s="65">
        <f t="shared" ref="C145:W145" si="122">IF(C115=0,0,C115/C$26)</f>
        <v>57.46279154162665</v>
      </c>
      <c r="D145" s="65">
        <f t="shared" si="122"/>
        <v>57.310576013497467</v>
      </c>
      <c r="E145" s="65">
        <f t="shared" si="122"/>
        <v>56.708633236118118</v>
      </c>
      <c r="F145" s="65">
        <f t="shared" si="122"/>
        <v>51.590580035723747</v>
      </c>
      <c r="G145" s="65">
        <f t="shared" si="122"/>
        <v>44.703926757597777</v>
      </c>
      <c r="H145" s="65">
        <f t="shared" si="122"/>
        <v>42.038413343719341</v>
      </c>
      <c r="I145" s="65">
        <f t="shared" si="122"/>
        <v>36.493609639780225</v>
      </c>
      <c r="J145" s="65">
        <f t="shared" si="122"/>
        <v>40.251836770477659</v>
      </c>
      <c r="K145" s="65">
        <f t="shared" si="122"/>
        <v>40.634670481006673</v>
      </c>
      <c r="L145" s="65">
        <f t="shared" si="122"/>
        <v>52.845804225820011</v>
      </c>
      <c r="M145" s="65">
        <f t="shared" si="122"/>
        <v>27.593007866099782</v>
      </c>
      <c r="N145" s="65">
        <f t="shared" si="122"/>
        <v>39.684774679120387</v>
      </c>
      <c r="O145" s="65">
        <f t="shared" si="122"/>
        <v>42.378805287074883</v>
      </c>
      <c r="P145" s="65">
        <f t="shared" si="122"/>
        <v>35.042751509238222</v>
      </c>
      <c r="Q145" s="65">
        <f t="shared" si="122"/>
        <v>45.883791247387187</v>
      </c>
      <c r="R145" s="65">
        <f t="shared" si="122"/>
        <v>48.00762586042751</v>
      </c>
      <c r="S145" s="65">
        <f t="shared" si="122"/>
        <v>51.779172210149383</v>
      </c>
      <c r="T145" s="65">
        <f t="shared" si="122"/>
        <v>53.538938652235537</v>
      </c>
      <c r="U145" s="65">
        <f t="shared" si="122"/>
        <v>62.031994082084367</v>
      </c>
      <c r="V145" s="65">
        <f t="shared" si="122"/>
        <v>51.032306306043253</v>
      </c>
      <c r="W145" s="65">
        <f t="shared" si="122"/>
        <v>55.959594493364989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2.4329904651021498E-3</v>
      </c>
      <c r="C146" s="65">
        <f t="shared" ref="C146:W146" si="124">IF(C116=0,0,C116/C$26)</f>
        <v>3.3132624702915912E-3</v>
      </c>
      <c r="D146" s="65">
        <f t="shared" si="124"/>
        <v>5.098025119760448E-3</v>
      </c>
      <c r="E146" s="65">
        <f t="shared" si="124"/>
        <v>5.1061295185204818E-3</v>
      </c>
      <c r="F146" s="65">
        <f t="shared" si="124"/>
        <v>7.8411674139092606E-3</v>
      </c>
      <c r="G146" s="65">
        <f t="shared" si="124"/>
        <v>9.1006363274561373E-3</v>
      </c>
      <c r="H146" s="65">
        <f t="shared" si="124"/>
        <v>1.2716339997670864E-2</v>
      </c>
      <c r="I146" s="65">
        <f t="shared" si="124"/>
        <v>1.5588563793389939E-2</v>
      </c>
      <c r="J146" s="65">
        <f t="shared" si="124"/>
        <v>1.7304027201351223E-2</v>
      </c>
      <c r="K146" s="65">
        <f t="shared" si="124"/>
        <v>2.3489303479347665E-2</v>
      </c>
      <c r="L146" s="65">
        <f t="shared" si="124"/>
        <v>2.3052489144570323E-2</v>
      </c>
      <c r="M146" s="65">
        <f t="shared" si="124"/>
        <v>2.4516216587948465E-2</v>
      </c>
      <c r="N146" s="65">
        <f t="shared" si="124"/>
        <v>2.770970667406554E-2</v>
      </c>
      <c r="O146" s="65">
        <f t="shared" si="124"/>
        <v>3.3136862618830434E-2</v>
      </c>
      <c r="P146" s="65">
        <f t="shared" si="124"/>
        <v>4.2793362585135379E-2</v>
      </c>
      <c r="Q146" s="65">
        <f t="shared" si="124"/>
        <v>5.7644060631385594E-2</v>
      </c>
      <c r="R146" s="65">
        <f t="shared" si="124"/>
        <v>7.1357155436944347E-2</v>
      </c>
      <c r="S146" s="65">
        <f t="shared" si="124"/>
        <v>8.3547340674141171E-2</v>
      </c>
      <c r="T146" s="65">
        <f t="shared" si="124"/>
        <v>9.3883013549082406E-2</v>
      </c>
      <c r="U146" s="65">
        <f t="shared" si="124"/>
        <v>0.1017803922173615</v>
      </c>
      <c r="V146" s="65">
        <f t="shared" si="124"/>
        <v>0.10764442899452954</v>
      </c>
      <c r="W146" s="65">
        <f t="shared" si="124"/>
        <v>0.1124821580081375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4.9485618103216229</v>
      </c>
      <c r="C147" s="65">
        <f t="shared" ref="C147:W147" si="126">IF(C117=0,0,C117/C$26)</f>
        <v>4.9213032662240241</v>
      </c>
      <c r="D147" s="65">
        <f t="shared" si="126"/>
        <v>5.0123267847337365</v>
      </c>
      <c r="E147" s="65">
        <f t="shared" si="126"/>
        <v>5.1781367868569079</v>
      </c>
      <c r="F147" s="65">
        <f t="shared" si="126"/>
        <v>5.0972000036092693</v>
      </c>
      <c r="G147" s="65">
        <f t="shared" si="126"/>
        <v>4.9585386839362284</v>
      </c>
      <c r="H147" s="65">
        <f t="shared" si="126"/>
        <v>4.0945031022572005</v>
      </c>
      <c r="I147" s="65">
        <f t="shared" si="126"/>
        <v>3.8949584007930942</v>
      </c>
      <c r="J147" s="65">
        <f t="shared" si="126"/>
        <v>3.8743801805611713</v>
      </c>
      <c r="K147" s="65">
        <f t="shared" si="126"/>
        <v>3.7166106446036311</v>
      </c>
      <c r="L147" s="65">
        <f t="shared" si="126"/>
        <v>4.7168457571195219</v>
      </c>
      <c r="M147" s="65">
        <f t="shared" si="126"/>
        <v>3.9750447680120056</v>
      </c>
      <c r="N147" s="65">
        <f t="shared" si="126"/>
        <v>4.4438448722065846</v>
      </c>
      <c r="O147" s="65">
        <f t="shared" si="126"/>
        <v>4.4475391009155674</v>
      </c>
      <c r="P147" s="65">
        <f t="shared" si="126"/>
        <v>4.6983839189292302</v>
      </c>
      <c r="Q147" s="65">
        <f t="shared" si="126"/>
        <v>4.9809282030394186</v>
      </c>
      <c r="R147" s="65">
        <f t="shared" si="126"/>
        <v>4.9764122003824047</v>
      </c>
      <c r="S147" s="65">
        <f t="shared" si="126"/>
        <v>4.8886408751634329</v>
      </c>
      <c r="T147" s="65">
        <f t="shared" si="126"/>
        <v>5.0467743112576366</v>
      </c>
      <c r="U147" s="65">
        <f t="shared" si="126"/>
        <v>5.1722611879513618</v>
      </c>
      <c r="V147" s="65">
        <f t="shared" si="126"/>
        <v>3.7676941724519026</v>
      </c>
      <c r="W147" s="65">
        <f t="shared" si="126"/>
        <v>4.6569855395235153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6.8289964915521271</v>
      </c>
      <c r="C148" s="67">
        <f t="shared" ref="C148:W148" si="128">IF(C118=0,0,C118/C$26)</f>
        <v>8.47617091463467</v>
      </c>
      <c r="D148" s="67">
        <f t="shared" si="128"/>
        <v>7.0337190500657103</v>
      </c>
      <c r="E148" s="67">
        <f t="shared" si="128"/>
        <v>5.8479066707487428</v>
      </c>
      <c r="F148" s="67">
        <f t="shared" si="128"/>
        <v>5.4662484922603474</v>
      </c>
      <c r="G148" s="67">
        <f t="shared" si="128"/>
        <v>5.1264584321371958</v>
      </c>
      <c r="H148" s="67">
        <f t="shared" si="128"/>
        <v>5.1809154516042009</v>
      </c>
      <c r="I148" s="67">
        <f t="shared" si="128"/>
        <v>4.8938831071437869</v>
      </c>
      <c r="J148" s="67">
        <f t="shared" si="128"/>
        <v>4.6233951470608137</v>
      </c>
      <c r="K148" s="67">
        <f t="shared" si="128"/>
        <v>6.8543739121969924</v>
      </c>
      <c r="L148" s="67">
        <f t="shared" si="128"/>
        <v>6.8971406167831555</v>
      </c>
      <c r="M148" s="67">
        <f t="shared" si="128"/>
        <v>6.863675938531256</v>
      </c>
      <c r="N148" s="67">
        <f t="shared" si="128"/>
        <v>6.65385590684512</v>
      </c>
      <c r="O148" s="67">
        <f t="shared" si="128"/>
        <v>6.2773254575968087</v>
      </c>
      <c r="P148" s="67">
        <f t="shared" si="128"/>
        <v>5.5018061337035409</v>
      </c>
      <c r="Q148" s="67">
        <f t="shared" si="128"/>
        <v>5.4324952956047721</v>
      </c>
      <c r="R148" s="67">
        <f t="shared" si="128"/>
        <v>5.3078270890830126</v>
      </c>
      <c r="S148" s="67">
        <f t="shared" si="128"/>
        <v>4.492028416112869</v>
      </c>
      <c r="T148" s="67">
        <f t="shared" si="128"/>
        <v>4.0029070714013715</v>
      </c>
      <c r="U148" s="67">
        <f t="shared" si="128"/>
        <v>4.0964766665312196</v>
      </c>
      <c r="V148" s="67">
        <f t="shared" si="128"/>
        <v>3.020545730290265</v>
      </c>
      <c r="W148" s="67">
        <f t="shared" si="128"/>
        <v>4.1757994380860515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21956.441182508734</v>
      </c>
      <c r="C153" s="82">
        <f t="shared" ref="C153:W153" si="132">IF(C99=0,0,C99/C$23)</f>
        <v>21055.91811235523</v>
      </c>
      <c r="D153" s="82">
        <f t="shared" si="132"/>
        <v>19057.963264357117</v>
      </c>
      <c r="E153" s="82">
        <f t="shared" si="132"/>
        <v>20881.110947430054</v>
      </c>
      <c r="F153" s="82">
        <f t="shared" si="132"/>
        <v>19097.860368611488</v>
      </c>
      <c r="G153" s="82">
        <f t="shared" si="132"/>
        <v>18311.101225045295</v>
      </c>
      <c r="H153" s="82">
        <f t="shared" si="132"/>
        <v>17562.228260684868</v>
      </c>
      <c r="I153" s="82">
        <f t="shared" si="132"/>
        <v>16735.183721101374</v>
      </c>
      <c r="J153" s="82">
        <f t="shared" si="132"/>
        <v>16652.062394928016</v>
      </c>
      <c r="K153" s="82">
        <f t="shared" si="132"/>
        <v>15898.983082064269</v>
      </c>
      <c r="L153" s="82">
        <f t="shared" si="132"/>
        <v>17537.576950019258</v>
      </c>
      <c r="M153" s="82">
        <f t="shared" si="132"/>
        <v>13586.193071719401</v>
      </c>
      <c r="N153" s="82">
        <f t="shared" si="132"/>
        <v>14873.246218117083</v>
      </c>
      <c r="O153" s="82">
        <f t="shared" si="132"/>
        <v>15108.48577932334</v>
      </c>
      <c r="P153" s="82">
        <f t="shared" si="132"/>
        <v>12972.360065855855</v>
      </c>
      <c r="Q153" s="82">
        <f t="shared" si="132"/>
        <v>14182.883128790168</v>
      </c>
      <c r="R153" s="82">
        <f t="shared" si="132"/>
        <v>13848.328028000889</v>
      </c>
      <c r="S153" s="82">
        <f t="shared" si="132"/>
        <v>14952.399166313837</v>
      </c>
      <c r="T153" s="82">
        <f t="shared" si="132"/>
        <v>14760.703146299968</v>
      </c>
      <c r="U153" s="82">
        <f t="shared" si="132"/>
        <v>16001.518934022901</v>
      </c>
      <c r="V153" s="82">
        <f t="shared" si="132"/>
        <v>14978.494848658633</v>
      </c>
      <c r="W153" s="82">
        <f t="shared" si="132"/>
        <v>16176.579781719398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19106.282947890388</v>
      </c>
      <c r="C154" s="64">
        <f t="shared" ref="C154:W154" si="134">IF(C100=0,0,C100/C$23)</f>
        <v>18139.631067967217</v>
      </c>
      <c r="D154" s="64">
        <f t="shared" si="134"/>
        <v>16185.518459184776</v>
      </c>
      <c r="E154" s="64">
        <f t="shared" si="134"/>
        <v>17884.421894583716</v>
      </c>
      <c r="F154" s="64">
        <f t="shared" si="134"/>
        <v>16308.489560663986</v>
      </c>
      <c r="G154" s="64">
        <f t="shared" si="134"/>
        <v>15497.823774516763</v>
      </c>
      <c r="H154" s="64">
        <f t="shared" si="134"/>
        <v>14806.982865315125</v>
      </c>
      <c r="I154" s="64">
        <f t="shared" si="134"/>
        <v>13907.460492619262</v>
      </c>
      <c r="J154" s="64">
        <f t="shared" si="134"/>
        <v>13949.595708857174</v>
      </c>
      <c r="K154" s="64">
        <f t="shared" si="134"/>
        <v>13149.919376834803</v>
      </c>
      <c r="L154" s="64">
        <f t="shared" si="134"/>
        <v>14780.513971198125</v>
      </c>
      <c r="M154" s="64">
        <f t="shared" si="134"/>
        <v>10896.738085794603</v>
      </c>
      <c r="N154" s="64">
        <f t="shared" si="134"/>
        <v>12186.231855458855</v>
      </c>
      <c r="O154" s="64">
        <f t="shared" si="134"/>
        <v>12379.236772022199</v>
      </c>
      <c r="P154" s="64">
        <f t="shared" si="134"/>
        <v>10189.945873027429</v>
      </c>
      <c r="Q154" s="64">
        <f t="shared" si="134"/>
        <v>11448.794463026203</v>
      </c>
      <c r="R154" s="64">
        <f t="shared" si="134"/>
        <v>11248.591452654679</v>
      </c>
      <c r="S154" s="64">
        <f t="shared" si="134"/>
        <v>12224.348775013486</v>
      </c>
      <c r="T154" s="64">
        <f t="shared" si="134"/>
        <v>12138.290807825166</v>
      </c>
      <c r="U154" s="64">
        <f t="shared" si="134"/>
        <v>13476.194303630937</v>
      </c>
      <c r="V154" s="64">
        <f t="shared" si="134"/>
        <v>12693.644047266425</v>
      </c>
      <c r="W154" s="64">
        <f t="shared" si="134"/>
        <v>13844.061776377748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15249.620706325048</v>
      </c>
      <c r="C155" s="65">
        <f t="shared" ref="C155:W155" si="136">IF(C101=0,0,C101/C$23)</f>
        <v>14394.94235852635</v>
      </c>
      <c r="D155" s="65">
        <f t="shared" si="136"/>
        <v>12552.130665381648</v>
      </c>
      <c r="E155" s="65">
        <f t="shared" si="136"/>
        <v>14322.604929189138</v>
      </c>
      <c r="F155" s="65">
        <f t="shared" si="136"/>
        <v>12836.38945976301</v>
      </c>
      <c r="G155" s="65">
        <f t="shared" si="136"/>
        <v>12084.245860846464</v>
      </c>
      <c r="H155" s="65">
        <f t="shared" si="136"/>
        <v>11488.80001084855</v>
      </c>
      <c r="I155" s="65">
        <f t="shared" si="136"/>
        <v>10753.257160123407</v>
      </c>
      <c r="J155" s="65">
        <f t="shared" si="136"/>
        <v>10915.940233975552</v>
      </c>
      <c r="K155" s="65">
        <f t="shared" si="136"/>
        <v>10063.290231158629</v>
      </c>
      <c r="L155" s="65">
        <f t="shared" si="136"/>
        <v>11697.873683464451</v>
      </c>
      <c r="M155" s="65">
        <f t="shared" si="136"/>
        <v>7918.1000762227541</v>
      </c>
      <c r="N155" s="65">
        <f t="shared" si="136"/>
        <v>9233.4908383867296</v>
      </c>
      <c r="O155" s="65">
        <f t="shared" si="136"/>
        <v>9452.7450790554267</v>
      </c>
      <c r="P155" s="65">
        <f t="shared" si="136"/>
        <v>7299.3380470607053</v>
      </c>
      <c r="Q155" s="65">
        <f t="shared" si="136"/>
        <v>8545.4307597741299</v>
      </c>
      <c r="R155" s="65">
        <f t="shared" si="136"/>
        <v>8417.7751399220761</v>
      </c>
      <c r="S155" s="65">
        <f t="shared" si="136"/>
        <v>9476.4159916768167</v>
      </c>
      <c r="T155" s="65">
        <f t="shared" si="136"/>
        <v>9448.1279634110761</v>
      </c>
      <c r="U155" s="65">
        <f t="shared" si="136"/>
        <v>10831.702633582221</v>
      </c>
      <c r="V155" s="65">
        <f t="shared" si="136"/>
        <v>10319.227738004844</v>
      </c>
      <c r="W155" s="65">
        <f t="shared" si="136"/>
        <v>11308.375684006911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69.283420261100133</v>
      </c>
      <c r="C156" s="65">
        <f t="shared" ref="C156:W156" si="138">IF(C102=0,0,C102/C$23)</f>
        <v>77.943683592593288</v>
      </c>
      <c r="D156" s="65">
        <f t="shared" si="138"/>
        <v>91.191307592080193</v>
      </c>
      <c r="E156" s="65">
        <f t="shared" si="138"/>
        <v>124.19590457399821</v>
      </c>
      <c r="F156" s="65">
        <f t="shared" si="138"/>
        <v>103.10406448099654</v>
      </c>
      <c r="G156" s="65">
        <f t="shared" si="138"/>
        <v>120.54558198368242</v>
      </c>
      <c r="H156" s="65">
        <f t="shared" si="138"/>
        <v>148.97995760468004</v>
      </c>
      <c r="I156" s="65">
        <f t="shared" si="138"/>
        <v>133.40372871874922</v>
      </c>
      <c r="J156" s="65">
        <f t="shared" si="138"/>
        <v>136.4683535742405</v>
      </c>
      <c r="K156" s="65">
        <f t="shared" si="138"/>
        <v>146.44392419209063</v>
      </c>
      <c r="L156" s="65">
        <f t="shared" si="138"/>
        <v>161.01556289592378</v>
      </c>
      <c r="M156" s="65">
        <f t="shared" si="138"/>
        <v>152.92787667668014</v>
      </c>
      <c r="N156" s="65">
        <f t="shared" si="138"/>
        <v>157.15906842278306</v>
      </c>
      <c r="O156" s="65">
        <f t="shared" si="138"/>
        <v>158.09161584531466</v>
      </c>
      <c r="P156" s="65">
        <f t="shared" si="138"/>
        <v>150.5980932454508</v>
      </c>
      <c r="Q156" s="65">
        <f t="shared" si="138"/>
        <v>167.17598017746656</v>
      </c>
      <c r="R156" s="65">
        <f t="shared" si="138"/>
        <v>147.90427924386111</v>
      </c>
      <c r="S156" s="65">
        <f t="shared" si="138"/>
        <v>143.4770096769052</v>
      </c>
      <c r="T156" s="65">
        <f t="shared" si="138"/>
        <v>157.87853819070179</v>
      </c>
      <c r="U156" s="65">
        <f t="shared" si="138"/>
        <v>154.0755118874313</v>
      </c>
      <c r="V156" s="65">
        <f t="shared" si="138"/>
        <v>149.41999243626057</v>
      </c>
      <c r="W156" s="65">
        <f t="shared" si="138"/>
        <v>126.55995582154198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1860.6708484629421</v>
      </c>
      <c r="C157" s="65">
        <f t="shared" ref="C157:W157" si="140">IF(C103=0,0,C103/C$23)</f>
        <v>1755.9903266571432</v>
      </c>
      <c r="D157" s="65">
        <f t="shared" si="140"/>
        <v>1689.4557397318831</v>
      </c>
      <c r="E157" s="65">
        <f t="shared" si="140"/>
        <v>1621.663058803256</v>
      </c>
      <c r="F157" s="65">
        <f t="shared" si="140"/>
        <v>1588.2538581655049</v>
      </c>
      <c r="G157" s="65">
        <f t="shared" si="140"/>
        <v>1542.6988162632215</v>
      </c>
      <c r="H157" s="65">
        <f t="shared" si="140"/>
        <v>1453.6618100417477</v>
      </c>
      <c r="I157" s="65">
        <f t="shared" si="140"/>
        <v>1380.740508286294</v>
      </c>
      <c r="J157" s="65">
        <f t="shared" si="140"/>
        <v>1323.1577601817953</v>
      </c>
      <c r="K157" s="65">
        <f t="shared" si="140"/>
        <v>1302.3190920803174</v>
      </c>
      <c r="L157" s="65">
        <f t="shared" si="140"/>
        <v>1294.8550796306167</v>
      </c>
      <c r="M157" s="65">
        <f t="shared" si="140"/>
        <v>1226.4189834431561</v>
      </c>
      <c r="N157" s="65">
        <f t="shared" si="140"/>
        <v>1211.8464527191413</v>
      </c>
      <c r="O157" s="65">
        <f t="shared" si="140"/>
        <v>1198.7509658120573</v>
      </c>
      <c r="P157" s="65">
        <f t="shared" si="140"/>
        <v>1199.6449447872189</v>
      </c>
      <c r="Q157" s="65">
        <f t="shared" si="140"/>
        <v>1195.1341206053839</v>
      </c>
      <c r="R157" s="65">
        <f t="shared" si="140"/>
        <v>1161.9511869988855</v>
      </c>
      <c r="S157" s="65">
        <f t="shared" si="140"/>
        <v>1131.4121302574699</v>
      </c>
      <c r="T157" s="65">
        <f t="shared" si="140"/>
        <v>1095.450688226392</v>
      </c>
      <c r="U157" s="65">
        <f t="shared" si="140"/>
        <v>1062.5358067359641</v>
      </c>
      <c r="V157" s="65">
        <f t="shared" si="140"/>
        <v>931.8705978293782</v>
      </c>
      <c r="W157" s="65">
        <f t="shared" si="140"/>
        <v>960.42853222021029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1926.7079728412955</v>
      </c>
      <c r="C158" s="67">
        <f t="shared" ref="C158:W158" si="142">IF(C104=0,0,C104/C$23)</f>
        <v>1910.7546991911317</v>
      </c>
      <c r="D158" s="67">
        <f t="shared" si="142"/>
        <v>1852.740746479165</v>
      </c>
      <c r="E158" s="67">
        <f t="shared" si="142"/>
        <v>1815.9580020173205</v>
      </c>
      <c r="F158" s="67">
        <f t="shared" si="142"/>
        <v>1780.7421782544773</v>
      </c>
      <c r="G158" s="67">
        <f t="shared" si="142"/>
        <v>1750.333515423396</v>
      </c>
      <c r="H158" s="67">
        <f t="shared" si="142"/>
        <v>1715.5410868201534</v>
      </c>
      <c r="I158" s="67">
        <f t="shared" si="142"/>
        <v>1640.0590954908137</v>
      </c>
      <c r="J158" s="67">
        <f t="shared" si="142"/>
        <v>1574.0293611255856</v>
      </c>
      <c r="K158" s="67">
        <f t="shared" si="142"/>
        <v>1637.8661294037672</v>
      </c>
      <c r="L158" s="67">
        <f t="shared" si="142"/>
        <v>1626.7696452071339</v>
      </c>
      <c r="M158" s="67">
        <f t="shared" si="142"/>
        <v>1599.291149452011</v>
      </c>
      <c r="N158" s="67">
        <f t="shared" si="142"/>
        <v>1583.7354959302002</v>
      </c>
      <c r="O158" s="67">
        <f t="shared" si="142"/>
        <v>1569.6491113094025</v>
      </c>
      <c r="P158" s="67">
        <f t="shared" si="142"/>
        <v>1540.3647879340551</v>
      </c>
      <c r="Q158" s="67">
        <f t="shared" si="142"/>
        <v>1541.0536024692224</v>
      </c>
      <c r="R158" s="67">
        <f t="shared" si="142"/>
        <v>1520.960846489854</v>
      </c>
      <c r="S158" s="67">
        <f t="shared" si="142"/>
        <v>1473.0436434022952</v>
      </c>
      <c r="T158" s="67">
        <f t="shared" si="142"/>
        <v>1436.8336179969956</v>
      </c>
      <c r="U158" s="67">
        <f t="shared" si="142"/>
        <v>1427.8803514253198</v>
      </c>
      <c r="V158" s="67">
        <f t="shared" si="142"/>
        <v>1293.1257189959417</v>
      </c>
      <c r="W158" s="67">
        <f t="shared" si="142"/>
        <v>1448.6976043290852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2850.1582346183418</v>
      </c>
      <c r="C159" s="68">
        <f t="shared" ref="C159:W159" si="144">IF(C105=0,0,C105/C$23)</f>
        <v>2916.2870443880151</v>
      </c>
      <c r="D159" s="68">
        <f t="shared" si="144"/>
        <v>2872.4448051723443</v>
      </c>
      <c r="E159" s="68">
        <f t="shared" si="144"/>
        <v>2996.6890528463355</v>
      </c>
      <c r="F159" s="68">
        <f t="shared" si="144"/>
        <v>2789.3708079475005</v>
      </c>
      <c r="G159" s="68">
        <f t="shared" si="144"/>
        <v>2813.2774505285302</v>
      </c>
      <c r="H159" s="68">
        <f t="shared" si="144"/>
        <v>2755.2453953697413</v>
      </c>
      <c r="I159" s="68">
        <f t="shared" si="144"/>
        <v>2827.723228482108</v>
      </c>
      <c r="J159" s="68">
        <f t="shared" si="144"/>
        <v>2702.4666860708426</v>
      </c>
      <c r="K159" s="68">
        <f t="shared" si="144"/>
        <v>2749.0637052294628</v>
      </c>
      <c r="L159" s="68">
        <f t="shared" si="144"/>
        <v>2757.0629788211368</v>
      </c>
      <c r="M159" s="68">
        <f t="shared" si="144"/>
        <v>2689.4549859247991</v>
      </c>
      <c r="N159" s="68">
        <f t="shared" si="144"/>
        <v>2687.0143626582267</v>
      </c>
      <c r="O159" s="68">
        <f t="shared" si="144"/>
        <v>2729.24900730114</v>
      </c>
      <c r="P159" s="68">
        <f t="shared" si="144"/>
        <v>2782.4141928284234</v>
      </c>
      <c r="Q159" s="68">
        <f t="shared" si="144"/>
        <v>2734.0886657639644</v>
      </c>
      <c r="R159" s="68">
        <f t="shared" si="144"/>
        <v>2599.7365753462104</v>
      </c>
      <c r="S159" s="68">
        <f t="shared" si="144"/>
        <v>2728.0503913003504</v>
      </c>
      <c r="T159" s="68">
        <f t="shared" si="144"/>
        <v>2622.4123384748004</v>
      </c>
      <c r="U159" s="68">
        <f t="shared" si="144"/>
        <v>2525.3246303919641</v>
      </c>
      <c r="V159" s="68">
        <f t="shared" si="144"/>
        <v>2284.8508013922105</v>
      </c>
      <c r="W159" s="68">
        <f t="shared" si="144"/>
        <v>2332.5180053416466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11292.647277614442</v>
      </c>
      <c r="C161" s="85">
        <f t="shared" ref="C161:W161" si="146">IF(C107=0,0,C107/C$23)</f>
        <v>11061.236318790052</v>
      </c>
      <c r="D161" s="85">
        <f t="shared" si="146"/>
        <v>9895.0597249147959</v>
      </c>
      <c r="E161" s="85">
        <f t="shared" si="146"/>
        <v>11473.234722454818</v>
      </c>
      <c r="F161" s="85">
        <f t="shared" si="146"/>
        <v>10557.472461080022</v>
      </c>
      <c r="G161" s="85">
        <f t="shared" si="146"/>
        <v>10330.249503749297</v>
      </c>
      <c r="H161" s="85">
        <f t="shared" si="146"/>
        <v>10138.014998750332</v>
      </c>
      <c r="I161" s="85">
        <f t="shared" si="146"/>
        <v>9700.2992718031783</v>
      </c>
      <c r="J161" s="85">
        <f t="shared" si="146"/>
        <v>9856.4494376181028</v>
      </c>
      <c r="K161" s="85">
        <f t="shared" si="146"/>
        <v>9310.4108230940874</v>
      </c>
      <c r="L161" s="85">
        <f t="shared" si="146"/>
        <v>10448.145817178236</v>
      </c>
      <c r="M161" s="85">
        <f t="shared" si="146"/>
        <v>8115.2567033551668</v>
      </c>
      <c r="N161" s="85">
        <f t="shared" si="146"/>
        <v>9050.2802144882262</v>
      </c>
      <c r="O161" s="85">
        <f t="shared" si="146"/>
        <v>9317.4285135146201</v>
      </c>
      <c r="P161" s="85">
        <f t="shared" si="146"/>
        <v>7725.5007771347673</v>
      </c>
      <c r="Q161" s="85">
        <f t="shared" si="146"/>
        <v>8691.4547732074116</v>
      </c>
      <c r="R161" s="85">
        <f t="shared" si="146"/>
        <v>8546.3879576981799</v>
      </c>
      <c r="S161" s="85">
        <f t="shared" si="146"/>
        <v>9365.9519560830649</v>
      </c>
      <c r="T161" s="85">
        <f t="shared" si="146"/>
        <v>9446.0924993710323</v>
      </c>
      <c r="U161" s="85">
        <f t="shared" si="146"/>
        <v>10520.126339875173</v>
      </c>
      <c r="V161" s="85">
        <f t="shared" si="146"/>
        <v>10202.777819687422</v>
      </c>
      <c r="W161" s="85">
        <f t="shared" si="146"/>
        <v>11104.61148496408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8725.6842187028305</v>
      </c>
      <c r="C162" s="65">
        <f t="shared" ref="C162:W162" si="148">IF(C108=0,0,C108/C$23)</f>
        <v>8570.1198907316157</v>
      </c>
      <c r="D162" s="65">
        <f t="shared" si="148"/>
        <v>7387.5276819961473</v>
      </c>
      <c r="E162" s="65">
        <f t="shared" si="148"/>
        <v>8893.5112674293687</v>
      </c>
      <c r="F162" s="65">
        <f t="shared" si="148"/>
        <v>8040.2731080383528</v>
      </c>
      <c r="G162" s="65">
        <f t="shared" si="148"/>
        <v>7788.9587736373487</v>
      </c>
      <c r="H162" s="65">
        <f t="shared" si="148"/>
        <v>7572.5234657633264</v>
      </c>
      <c r="I162" s="65">
        <f t="shared" si="148"/>
        <v>7244.6169944874</v>
      </c>
      <c r="J162" s="65">
        <f t="shared" si="148"/>
        <v>7447.026199309119</v>
      </c>
      <c r="K162" s="65">
        <f t="shared" si="148"/>
        <v>6868.5571487858278</v>
      </c>
      <c r="L162" s="65">
        <f t="shared" si="148"/>
        <v>7972.9919383186016</v>
      </c>
      <c r="M162" s="65">
        <f t="shared" si="148"/>
        <v>5697.49035545883</v>
      </c>
      <c r="N162" s="65">
        <f t="shared" si="148"/>
        <v>6615.7484321237371</v>
      </c>
      <c r="O162" s="65">
        <f t="shared" si="148"/>
        <v>6864.2488877543692</v>
      </c>
      <c r="P162" s="65">
        <f t="shared" si="148"/>
        <v>5280.5250789748607</v>
      </c>
      <c r="Q162" s="65">
        <f t="shared" si="148"/>
        <v>6166.2138511291596</v>
      </c>
      <c r="R162" s="65">
        <f t="shared" si="148"/>
        <v>6096.2296944082154</v>
      </c>
      <c r="S162" s="65">
        <f t="shared" si="148"/>
        <v>6938.3975115914272</v>
      </c>
      <c r="T162" s="65">
        <f t="shared" si="148"/>
        <v>6978.7694912933894</v>
      </c>
      <c r="U162" s="65">
        <f t="shared" si="148"/>
        <v>8066.3430683608976</v>
      </c>
      <c r="V162" s="65">
        <f t="shared" si="148"/>
        <v>7914.3529740221402</v>
      </c>
      <c r="W162" s="65">
        <f t="shared" si="148"/>
        <v>8763.7061761306868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128.8055199165432</v>
      </c>
      <c r="C163" s="65">
        <f t="shared" ref="C163:W163" si="150">IF(C109=0,0,C109/C$23)</f>
        <v>156.37059221991026</v>
      </c>
      <c r="D163" s="65">
        <f t="shared" si="150"/>
        <v>195.50932665971945</v>
      </c>
      <c r="E163" s="65">
        <f t="shared" si="150"/>
        <v>278.73957934364853</v>
      </c>
      <c r="F163" s="65">
        <f t="shared" si="150"/>
        <v>241.74477491769406</v>
      </c>
      <c r="G163" s="65">
        <f t="shared" si="150"/>
        <v>297.21680375407607</v>
      </c>
      <c r="H163" s="65">
        <f t="shared" si="150"/>
        <v>381.57875428068883</v>
      </c>
      <c r="I163" s="65">
        <f t="shared" si="150"/>
        <v>355.42661122637401</v>
      </c>
      <c r="J163" s="65">
        <f t="shared" si="150"/>
        <v>377.28117759831935</v>
      </c>
      <c r="K163" s="65">
        <f t="shared" si="150"/>
        <v>412.07636306038302</v>
      </c>
      <c r="L163" s="65">
        <f t="shared" si="150"/>
        <v>464.37291970558499</v>
      </c>
      <c r="M163" s="65">
        <f t="shared" si="150"/>
        <v>454.32198645898188</v>
      </c>
      <c r="N163" s="65">
        <f t="shared" si="150"/>
        <v>480.54424500782528</v>
      </c>
      <c r="O163" s="65">
        <f t="shared" si="150"/>
        <v>495.89022239589286</v>
      </c>
      <c r="P163" s="65">
        <f t="shared" si="150"/>
        <v>485.86528282859757</v>
      </c>
      <c r="Q163" s="65">
        <f t="shared" si="150"/>
        <v>556.76774972722694</v>
      </c>
      <c r="R163" s="65">
        <f t="shared" si="150"/>
        <v>503.44104189534846</v>
      </c>
      <c r="S163" s="65">
        <f t="shared" si="150"/>
        <v>502.28722054562667</v>
      </c>
      <c r="T163" s="65">
        <f t="shared" si="150"/>
        <v>571.12356935217588</v>
      </c>
      <c r="U163" s="65">
        <f t="shared" si="150"/>
        <v>570.57382865590648</v>
      </c>
      <c r="V163" s="65">
        <f t="shared" si="150"/>
        <v>564.00498871298282</v>
      </c>
      <c r="W163" s="65">
        <f t="shared" si="150"/>
        <v>483.51116816929817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1161.2430194415128</v>
      </c>
      <c r="C164" s="65">
        <f t="shared" ref="C164:W164" si="152">IF(C110=0,0,C110/C$23)</f>
        <v>1102.771569577674</v>
      </c>
      <c r="D164" s="65">
        <f t="shared" si="152"/>
        <v>1076.7581243700342</v>
      </c>
      <c r="E164" s="65">
        <f t="shared" si="152"/>
        <v>1055.0419899463643</v>
      </c>
      <c r="F164" s="65">
        <f t="shared" si="152"/>
        <v>1040.4076786319099</v>
      </c>
      <c r="G164" s="65">
        <f t="shared" si="152"/>
        <v>1017.4121819115891</v>
      </c>
      <c r="H164" s="65">
        <f t="shared" si="152"/>
        <v>978.5807440017885</v>
      </c>
      <c r="I164" s="65">
        <f t="shared" si="152"/>
        <v>938.33875764364075</v>
      </c>
      <c r="J164" s="65">
        <f t="shared" si="152"/>
        <v>906.63970853130354</v>
      </c>
      <c r="K164" s="65">
        <f t="shared" si="152"/>
        <v>900.98450945341312</v>
      </c>
      <c r="L164" s="65">
        <f t="shared" si="152"/>
        <v>886.91433941820731</v>
      </c>
      <c r="M164" s="65">
        <f t="shared" si="152"/>
        <v>857.51611064539691</v>
      </c>
      <c r="N164" s="65">
        <f t="shared" si="152"/>
        <v>850.9261270722958</v>
      </c>
      <c r="O164" s="65">
        <f t="shared" si="152"/>
        <v>852.97362666650531</v>
      </c>
      <c r="P164" s="65">
        <f t="shared" si="152"/>
        <v>855.64585452751862</v>
      </c>
      <c r="Q164" s="65">
        <f t="shared" si="152"/>
        <v>857.91010913041748</v>
      </c>
      <c r="R164" s="65">
        <f t="shared" si="152"/>
        <v>843.79415993301552</v>
      </c>
      <c r="S164" s="65">
        <f t="shared" si="152"/>
        <v>834.39648681972574</v>
      </c>
      <c r="T164" s="65">
        <f t="shared" si="152"/>
        <v>816.02137407045927</v>
      </c>
      <c r="U164" s="65">
        <f t="shared" si="152"/>
        <v>804.19618681225711</v>
      </c>
      <c r="V164" s="65">
        <f t="shared" si="152"/>
        <v>724.36122769877829</v>
      </c>
      <c r="W164" s="65">
        <f t="shared" si="152"/>
        <v>748.46182522127719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1276.914519553555</v>
      </c>
      <c r="C165" s="68">
        <f t="shared" ref="C165:W165" si="154">IF(C111=0,0,C111/C$23)</f>
        <v>1231.9742662608517</v>
      </c>
      <c r="D165" s="68">
        <f t="shared" si="154"/>
        <v>1235.2645918888952</v>
      </c>
      <c r="E165" s="68">
        <f t="shared" si="154"/>
        <v>1245.9418857354344</v>
      </c>
      <c r="F165" s="68">
        <f t="shared" si="154"/>
        <v>1235.046899492068</v>
      </c>
      <c r="G165" s="68">
        <f t="shared" si="154"/>
        <v>1226.6617444462834</v>
      </c>
      <c r="H165" s="68">
        <f t="shared" si="154"/>
        <v>1205.332034704528</v>
      </c>
      <c r="I165" s="68">
        <f t="shared" si="154"/>
        <v>1161.9169084457653</v>
      </c>
      <c r="J165" s="68">
        <f t="shared" si="154"/>
        <v>1125.502352179361</v>
      </c>
      <c r="K165" s="68">
        <f t="shared" si="154"/>
        <v>1128.7928017944641</v>
      </c>
      <c r="L165" s="68">
        <f t="shared" si="154"/>
        <v>1123.8666197358434</v>
      </c>
      <c r="M165" s="68">
        <f t="shared" si="154"/>
        <v>1105.9282507919588</v>
      </c>
      <c r="N165" s="68">
        <f t="shared" si="154"/>
        <v>1103.0614102843685</v>
      </c>
      <c r="O165" s="68">
        <f t="shared" si="154"/>
        <v>1104.3157766978511</v>
      </c>
      <c r="P165" s="68">
        <f t="shared" si="154"/>
        <v>1103.4645608037906</v>
      </c>
      <c r="Q165" s="68">
        <f t="shared" si="154"/>
        <v>1110.5630632206064</v>
      </c>
      <c r="R165" s="68">
        <f t="shared" si="154"/>
        <v>1102.9230614616013</v>
      </c>
      <c r="S165" s="68">
        <f t="shared" si="154"/>
        <v>1090.8707371262833</v>
      </c>
      <c r="T165" s="68">
        <f t="shared" si="154"/>
        <v>1080.1780646550073</v>
      </c>
      <c r="U165" s="68">
        <f t="shared" si="154"/>
        <v>1079.0132560461111</v>
      </c>
      <c r="V165" s="68">
        <f t="shared" si="154"/>
        <v>1000.0586292535219</v>
      </c>
      <c r="W165" s="68">
        <f t="shared" si="154"/>
        <v>1108.9323154428173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2818.9334220899209</v>
      </c>
      <c r="C167" s="82">
        <f t="shared" ref="C167:W167" si="156">IF(C113=0,0,C113/C$23)</f>
        <v>2455.7144648949984</v>
      </c>
      <c r="D167" s="82">
        <f t="shared" si="156"/>
        <v>2346.3455838177156</v>
      </c>
      <c r="E167" s="82">
        <f t="shared" si="156"/>
        <v>2249.427647995632</v>
      </c>
      <c r="F167" s="82">
        <f t="shared" si="156"/>
        <v>2024.0982167971347</v>
      </c>
      <c r="G167" s="82">
        <f t="shared" si="156"/>
        <v>1748.4664351851848</v>
      </c>
      <c r="H167" s="82">
        <f t="shared" si="156"/>
        <v>1579.6845378647954</v>
      </c>
      <c r="I167" s="82">
        <f t="shared" si="156"/>
        <v>1337.7821985233797</v>
      </c>
      <c r="J167" s="82">
        <f t="shared" si="156"/>
        <v>1374.1850018517157</v>
      </c>
      <c r="K167" s="82">
        <f t="shared" si="156"/>
        <v>1424.3838971117168</v>
      </c>
      <c r="L167" s="82">
        <f t="shared" si="156"/>
        <v>1760.6811443189092</v>
      </c>
      <c r="M167" s="82">
        <f t="shared" si="156"/>
        <v>1032.113400350431</v>
      </c>
      <c r="N167" s="82">
        <f t="shared" si="156"/>
        <v>1344.6430509898018</v>
      </c>
      <c r="O167" s="82">
        <f t="shared" si="156"/>
        <v>1400.801048916047</v>
      </c>
      <c r="P167" s="82">
        <f t="shared" si="156"/>
        <v>1187.0806483381214</v>
      </c>
      <c r="Q167" s="82">
        <f t="shared" si="156"/>
        <v>1467.3420569882883</v>
      </c>
      <c r="R167" s="82">
        <f t="shared" si="156"/>
        <v>1503.7687449088953</v>
      </c>
      <c r="S167" s="82">
        <f t="shared" si="156"/>
        <v>1548.4072226136261</v>
      </c>
      <c r="T167" s="82">
        <f t="shared" si="156"/>
        <v>1556.3790605692834</v>
      </c>
      <c r="U167" s="82">
        <f t="shared" si="156"/>
        <v>1740.863632991443</v>
      </c>
      <c r="V167" s="82">
        <f t="shared" si="156"/>
        <v>1412.1969386786307</v>
      </c>
      <c r="W167" s="82">
        <f t="shared" si="156"/>
        <v>1560.6845001010927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2818.9334220899209</v>
      </c>
      <c r="C168" s="64">
        <f t="shared" ref="C168:W168" si="158">IF(C114=0,0,C114/C$23)</f>
        <v>2455.7144648949984</v>
      </c>
      <c r="D168" s="64">
        <f t="shared" si="158"/>
        <v>2346.3455838177156</v>
      </c>
      <c r="E168" s="64">
        <f t="shared" si="158"/>
        <v>2249.427647995632</v>
      </c>
      <c r="F168" s="64">
        <f t="shared" si="158"/>
        <v>2024.0982167971347</v>
      </c>
      <c r="G168" s="64">
        <f t="shared" si="158"/>
        <v>1748.4664351851848</v>
      </c>
      <c r="H168" s="64">
        <f t="shared" si="158"/>
        <v>1579.6845378647954</v>
      </c>
      <c r="I168" s="64">
        <f t="shared" si="158"/>
        <v>1337.7821985233797</v>
      </c>
      <c r="J168" s="64">
        <f t="shared" si="158"/>
        <v>1374.1850018517157</v>
      </c>
      <c r="K168" s="64">
        <f t="shared" si="158"/>
        <v>1424.3838971117168</v>
      </c>
      <c r="L168" s="64">
        <f t="shared" si="158"/>
        <v>1760.6811443189092</v>
      </c>
      <c r="M168" s="64">
        <f t="shared" si="158"/>
        <v>1032.113400350431</v>
      </c>
      <c r="N168" s="64">
        <f t="shared" si="158"/>
        <v>1344.6430509898018</v>
      </c>
      <c r="O168" s="64">
        <f t="shared" si="158"/>
        <v>1400.801048916047</v>
      </c>
      <c r="P168" s="64">
        <f t="shared" si="158"/>
        <v>1187.0806483381214</v>
      </c>
      <c r="Q168" s="64">
        <f t="shared" si="158"/>
        <v>1467.3420569882883</v>
      </c>
      <c r="R168" s="64">
        <f t="shared" si="158"/>
        <v>1503.7687449088953</v>
      </c>
      <c r="S168" s="64">
        <f t="shared" si="158"/>
        <v>1548.4072226136261</v>
      </c>
      <c r="T168" s="64">
        <f t="shared" si="158"/>
        <v>1556.3790605692834</v>
      </c>
      <c r="U168" s="64">
        <f t="shared" si="158"/>
        <v>1740.863632991443</v>
      </c>
      <c r="V168" s="64">
        <f t="shared" si="158"/>
        <v>1412.1969386786307</v>
      </c>
      <c r="W168" s="64">
        <f t="shared" si="158"/>
        <v>1560.6845001010927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2386.1194465450735</v>
      </c>
      <c r="C169" s="65">
        <f t="shared" ref="C169:W169" si="160">IF(C115=0,0,C115/C$23)</f>
        <v>1991.3220642154793</v>
      </c>
      <c r="D169" s="65">
        <f t="shared" si="160"/>
        <v>1938.6834291410926</v>
      </c>
      <c r="E169" s="65">
        <f t="shared" si="160"/>
        <v>1883.117455723524</v>
      </c>
      <c r="F169" s="65">
        <f t="shared" si="160"/>
        <v>1679.8787031257195</v>
      </c>
      <c r="G169" s="65">
        <f t="shared" si="160"/>
        <v>1426.3892933288973</v>
      </c>
      <c r="H169" s="65">
        <f t="shared" si="160"/>
        <v>1293.8222778601494</v>
      </c>
      <c r="I169" s="65">
        <f t="shared" si="160"/>
        <v>1077.7618997837919</v>
      </c>
      <c r="J169" s="65">
        <f t="shared" si="160"/>
        <v>1134.2417110167924</v>
      </c>
      <c r="K169" s="65">
        <f t="shared" si="160"/>
        <v>1129.8133326607317</v>
      </c>
      <c r="L169" s="65">
        <f t="shared" si="160"/>
        <v>1442.9359283761739</v>
      </c>
      <c r="M169" s="65">
        <f t="shared" si="160"/>
        <v>740.55886971448444</v>
      </c>
      <c r="N169" s="65">
        <f t="shared" si="160"/>
        <v>1050.2196819250037</v>
      </c>
      <c r="O169" s="65">
        <f t="shared" si="160"/>
        <v>1117.1968843354598</v>
      </c>
      <c r="P169" s="65">
        <f t="shared" si="160"/>
        <v>918.5800396202311</v>
      </c>
      <c r="Q169" s="65">
        <f t="shared" si="160"/>
        <v>1194.701185612807</v>
      </c>
      <c r="R169" s="65">
        <f t="shared" si="160"/>
        <v>1236.9496479908739</v>
      </c>
      <c r="S169" s="65">
        <f t="shared" si="160"/>
        <v>1309.1248826524136</v>
      </c>
      <c r="T169" s="65">
        <f t="shared" si="160"/>
        <v>1329.3483666254424</v>
      </c>
      <c r="U169" s="65">
        <f t="shared" si="160"/>
        <v>1512.4011614911715</v>
      </c>
      <c r="V169" s="65">
        <f t="shared" si="160"/>
        <v>1244.0862720836119</v>
      </c>
      <c r="W169" s="65">
        <f t="shared" si="160"/>
        <v>1345.5890601381145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8.9391600514035136E-2</v>
      </c>
      <c r="C170" s="65">
        <f t="shared" ref="C170:W170" si="162">IF(C116=0,0,C116/C$23)</f>
        <v>0.11481817163110208</v>
      </c>
      <c r="D170" s="65">
        <f t="shared" si="162"/>
        <v>0.17245432708086753</v>
      </c>
      <c r="E170" s="65">
        <f t="shared" si="162"/>
        <v>0.16955869113394417</v>
      </c>
      <c r="F170" s="65">
        <f t="shared" si="162"/>
        <v>0.25532200136436695</v>
      </c>
      <c r="G170" s="65">
        <f t="shared" si="162"/>
        <v>0.29037829921187452</v>
      </c>
      <c r="H170" s="65">
        <f t="shared" si="162"/>
        <v>0.39137262025824582</v>
      </c>
      <c r="I170" s="65">
        <f t="shared" si="162"/>
        <v>0.46037539982208114</v>
      </c>
      <c r="J170" s="65">
        <f t="shared" si="162"/>
        <v>0.48760382121833834</v>
      </c>
      <c r="K170" s="65">
        <f t="shared" si="162"/>
        <v>0.65310061412422826</v>
      </c>
      <c r="L170" s="65">
        <f t="shared" si="162"/>
        <v>0.62944003431307616</v>
      </c>
      <c r="M170" s="65">
        <f t="shared" si="162"/>
        <v>0.65798196898832262</v>
      </c>
      <c r="N170" s="65">
        <f t="shared" si="162"/>
        <v>0.73331093762725852</v>
      </c>
      <c r="O170" s="65">
        <f t="shared" si="162"/>
        <v>0.87355930455407116</v>
      </c>
      <c r="P170" s="65">
        <f t="shared" si="162"/>
        <v>1.1217477796677473</v>
      </c>
      <c r="Q170" s="65">
        <f t="shared" si="162"/>
        <v>1.5009097048791602</v>
      </c>
      <c r="R170" s="65">
        <f t="shared" si="162"/>
        <v>1.8385664093444589</v>
      </c>
      <c r="S170" s="65">
        <f t="shared" si="162"/>
        <v>2.1123146216408144</v>
      </c>
      <c r="T170" s="65">
        <f t="shared" si="162"/>
        <v>2.3310740529619327</v>
      </c>
      <c r="U170" s="65">
        <f t="shared" si="162"/>
        <v>2.4815062885592822</v>
      </c>
      <c r="V170" s="65">
        <f t="shared" si="162"/>
        <v>2.6241995722328273</v>
      </c>
      <c r="W170" s="65">
        <f t="shared" si="162"/>
        <v>2.7047151189493062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181.81734240734411</v>
      </c>
      <c r="C171" s="65">
        <f t="shared" ref="C171:W171" si="164">IF(C117=0,0,C117/C$23)</f>
        <v>170.54339888149104</v>
      </c>
      <c r="D171" s="65">
        <f t="shared" si="164"/>
        <v>169.55535182048737</v>
      </c>
      <c r="E171" s="65">
        <f t="shared" si="164"/>
        <v>171.94982871221555</v>
      </c>
      <c r="F171" s="65">
        <f t="shared" si="164"/>
        <v>165.97366662104497</v>
      </c>
      <c r="G171" s="65">
        <f t="shared" si="164"/>
        <v>158.21443444275778</v>
      </c>
      <c r="H171" s="65">
        <f t="shared" si="164"/>
        <v>126.01710933172814</v>
      </c>
      <c r="I171" s="65">
        <f t="shared" si="164"/>
        <v>115.02939301026858</v>
      </c>
      <c r="J171" s="65">
        <f t="shared" si="164"/>
        <v>109.17473481240849</v>
      </c>
      <c r="K171" s="65">
        <f t="shared" si="164"/>
        <v>103.3372784589135</v>
      </c>
      <c r="L171" s="65">
        <f t="shared" si="164"/>
        <v>128.79179929730481</v>
      </c>
      <c r="M171" s="65">
        <f t="shared" si="164"/>
        <v>106.68480488783842</v>
      </c>
      <c r="N171" s="65">
        <f t="shared" si="164"/>
        <v>117.60211279890028</v>
      </c>
      <c r="O171" s="65">
        <f t="shared" si="164"/>
        <v>117.24674145116667</v>
      </c>
      <c r="P171" s="65">
        <f t="shared" si="164"/>
        <v>123.15932683720045</v>
      </c>
      <c r="Q171" s="65">
        <f t="shared" si="164"/>
        <v>129.69113205008577</v>
      </c>
      <c r="R171" s="65">
        <f t="shared" si="164"/>
        <v>128.22069846604347</v>
      </c>
      <c r="S171" s="65">
        <f t="shared" si="164"/>
        <v>123.59875870656869</v>
      </c>
      <c r="T171" s="65">
        <f t="shared" si="164"/>
        <v>125.30919282833875</v>
      </c>
      <c r="U171" s="65">
        <f t="shared" si="164"/>
        <v>126.10482612959549</v>
      </c>
      <c r="V171" s="65">
        <f t="shared" si="164"/>
        <v>91.850377469649288</v>
      </c>
      <c r="W171" s="65">
        <f t="shared" si="164"/>
        <v>111.98059692779279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250.90724153698858</v>
      </c>
      <c r="C172" s="67">
        <f t="shared" ref="C172:W172" si="166">IF(C118=0,0,C118/C$23)</f>
        <v>293.73418362639677</v>
      </c>
      <c r="D172" s="67">
        <f t="shared" si="166"/>
        <v>237.93434852905523</v>
      </c>
      <c r="E172" s="67">
        <f t="shared" si="166"/>
        <v>194.19080486875831</v>
      </c>
      <c r="F172" s="67">
        <f t="shared" si="166"/>
        <v>177.99052504900592</v>
      </c>
      <c r="G172" s="67">
        <f t="shared" si="166"/>
        <v>163.57232911431782</v>
      </c>
      <c r="H172" s="67">
        <f t="shared" si="166"/>
        <v>159.45377805265969</v>
      </c>
      <c r="I172" s="67">
        <f t="shared" si="166"/>
        <v>144.53053032949742</v>
      </c>
      <c r="J172" s="67">
        <f t="shared" si="166"/>
        <v>130.28095220129657</v>
      </c>
      <c r="K172" s="67">
        <f t="shared" si="166"/>
        <v>190.58018537794749</v>
      </c>
      <c r="L172" s="67">
        <f t="shared" si="166"/>
        <v>188.32397661111744</v>
      </c>
      <c r="M172" s="67">
        <f t="shared" si="166"/>
        <v>184.21174377911979</v>
      </c>
      <c r="N172" s="67">
        <f t="shared" si="166"/>
        <v>176.08794532827059</v>
      </c>
      <c r="O172" s="67">
        <f t="shared" si="166"/>
        <v>165.48386382486621</v>
      </c>
      <c r="P172" s="67">
        <f t="shared" si="166"/>
        <v>144.21953410102222</v>
      </c>
      <c r="Q172" s="67">
        <f t="shared" si="166"/>
        <v>141.44882962051651</v>
      </c>
      <c r="R172" s="67">
        <f t="shared" si="166"/>
        <v>136.75983204263358</v>
      </c>
      <c r="S172" s="67">
        <f t="shared" si="166"/>
        <v>113.57126663300322</v>
      </c>
      <c r="T172" s="67">
        <f t="shared" si="166"/>
        <v>99.390427062540496</v>
      </c>
      <c r="U172" s="67">
        <f t="shared" si="166"/>
        <v>99.876139082116708</v>
      </c>
      <c r="V172" s="67">
        <f t="shared" si="166"/>
        <v>73.636089553136372</v>
      </c>
      <c r="W172" s="67">
        <f t="shared" si="166"/>
        <v>100.41012791623605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7954.115952719274</v>
      </c>
      <c r="C3" s="125">
        <f t="shared" si="0"/>
        <v>8012.4159424764875</v>
      </c>
      <c r="D3" s="125">
        <f t="shared" si="0"/>
        <v>8082.9345498232251</v>
      </c>
      <c r="E3" s="125">
        <f t="shared" si="0"/>
        <v>8108.7540453633374</v>
      </c>
      <c r="F3" s="125">
        <f t="shared" si="0"/>
        <v>8180.5927727447524</v>
      </c>
      <c r="G3" s="125">
        <f t="shared" si="0"/>
        <v>8270.4167541168754</v>
      </c>
      <c r="H3" s="125">
        <f t="shared" si="0"/>
        <v>8331.3727317224966</v>
      </c>
      <c r="I3" s="125">
        <f t="shared" si="0"/>
        <v>8400.1394414273163</v>
      </c>
      <c r="J3" s="125">
        <f t="shared" si="0"/>
        <v>8454.2159061417515</v>
      </c>
      <c r="K3" s="125">
        <f t="shared" si="0"/>
        <v>8503.4423432468175</v>
      </c>
      <c r="L3" s="125">
        <f t="shared" si="0"/>
        <v>8539.0726714880766</v>
      </c>
      <c r="M3" s="125">
        <f t="shared" si="0"/>
        <v>8679.915145887413</v>
      </c>
      <c r="N3" s="125">
        <f t="shared" si="0"/>
        <v>8823.1127626389007</v>
      </c>
      <c r="O3" s="125">
        <f t="shared" si="0"/>
        <v>9012.0511650175285</v>
      </c>
      <c r="P3" s="125">
        <f t="shared" si="0"/>
        <v>9227.3113972218216</v>
      </c>
      <c r="Q3" s="125">
        <f t="shared" si="0"/>
        <v>9411.9931667238889</v>
      </c>
      <c r="R3" s="125">
        <f t="shared" si="0"/>
        <v>9615.7558378806134</v>
      </c>
      <c r="S3" s="125">
        <f t="shared" si="0"/>
        <v>9808.9018285520924</v>
      </c>
      <c r="T3" s="125">
        <f t="shared" si="0"/>
        <v>10002.4508835495</v>
      </c>
      <c r="U3" s="125">
        <f t="shared" si="0"/>
        <v>10195.044625993403</v>
      </c>
      <c r="V3" s="125">
        <f t="shared" si="0"/>
        <v>10384.929999999998</v>
      </c>
      <c r="W3" s="125">
        <f t="shared" si="0"/>
        <v>10571.569721883639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7954.115952719274</v>
      </c>
      <c r="C4" s="140">
        <f t="shared" si="1"/>
        <v>8012.4159424764875</v>
      </c>
      <c r="D4" s="140">
        <f t="shared" si="1"/>
        <v>8082.9345498232251</v>
      </c>
      <c r="E4" s="140">
        <f t="shared" si="1"/>
        <v>8108.7540453633374</v>
      </c>
      <c r="F4" s="140">
        <f t="shared" si="1"/>
        <v>8180.5927727447524</v>
      </c>
      <c r="G4" s="140">
        <f t="shared" si="1"/>
        <v>8270.4167541168754</v>
      </c>
      <c r="H4" s="140">
        <f t="shared" si="1"/>
        <v>8331.3727317224966</v>
      </c>
      <c r="I4" s="140">
        <f t="shared" si="1"/>
        <v>8400.1394414273163</v>
      </c>
      <c r="J4" s="140">
        <f t="shared" si="1"/>
        <v>8454.2159061417515</v>
      </c>
      <c r="K4" s="140">
        <f t="shared" si="1"/>
        <v>8503.4423432468175</v>
      </c>
      <c r="L4" s="140">
        <f t="shared" si="1"/>
        <v>8539.0726714880766</v>
      </c>
      <c r="M4" s="140">
        <f t="shared" si="1"/>
        <v>8679.915145887413</v>
      </c>
      <c r="N4" s="140">
        <f t="shared" si="1"/>
        <v>8823.1127626389007</v>
      </c>
      <c r="O4" s="140">
        <f t="shared" si="1"/>
        <v>9012.0511650175285</v>
      </c>
      <c r="P4" s="140">
        <f t="shared" si="1"/>
        <v>9227.3113972218216</v>
      </c>
      <c r="Q4" s="140">
        <f t="shared" si="1"/>
        <v>9411.9931667238889</v>
      </c>
      <c r="R4" s="140">
        <f t="shared" ref="R4:W4" si="2">SUM(R5:R14)</f>
        <v>9615.7558378806134</v>
      </c>
      <c r="S4" s="140">
        <f t="shared" si="2"/>
        <v>9808.9018285520924</v>
      </c>
      <c r="T4" s="140">
        <f t="shared" si="2"/>
        <v>10002.4508835495</v>
      </c>
      <c r="U4" s="140">
        <f t="shared" si="2"/>
        <v>10195.044625993403</v>
      </c>
      <c r="V4" s="140">
        <f t="shared" si="2"/>
        <v>10384.929999999998</v>
      </c>
      <c r="W4" s="140">
        <f t="shared" si="2"/>
        <v>10571.569721883639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1731.8003482155191</v>
      </c>
      <c r="C7" s="141">
        <v>1691.9356140627392</v>
      </c>
      <c r="D7" s="141">
        <v>1641.3539469068264</v>
      </c>
      <c r="E7" s="141">
        <v>1504.1822513043769</v>
      </c>
      <c r="F7" s="141">
        <v>1379.0861249602779</v>
      </c>
      <c r="G7" s="141">
        <v>1187.3660464850814</v>
      </c>
      <c r="H7" s="141">
        <v>923.23735803526017</v>
      </c>
      <c r="I7" s="141">
        <v>747.76779248288813</v>
      </c>
      <c r="J7" s="141">
        <v>660.13627323349579</v>
      </c>
      <c r="K7" s="141">
        <v>735.46432026051627</v>
      </c>
      <c r="L7" s="141">
        <v>933.98892649318282</v>
      </c>
      <c r="M7" s="141">
        <v>1092.7487951337971</v>
      </c>
      <c r="N7" s="141">
        <v>1218.2162040666865</v>
      </c>
      <c r="O7" s="141">
        <v>1434.7437338250252</v>
      </c>
      <c r="P7" s="141">
        <v>1692.8160387259024</v>
      </c>
      <c r="Q7" s="141">
        <v>2057.212621042057</v>
      </c>
      <c r="R7" s="141">
        <v>2318.2561118681274</v>
      </c>
      <c r="S7" s="141">
        <v>2650.4420422066514</v>
      </c>
      <c r="T7" s="141">
        <v>2774.9385185913493</v>
      </c>
      <c r="U7" s="141">
        <v>2804.2926323228662</v>
      </c>
      <c r="V7" s="141">
        <v>2787.750319978511</v>
      </c>
      <c r="W7" s="141">
        <v>2723.6249189276587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2899.7801566701023</v>
      </c>
      <c r="C9" s="141">
        <v>2888.9506947305863</v>
      </c>
      <c r="D9" s="141">
        <v>2818.8430009102613</v>
      </c>
      <c r="E9" s="141">
        <v>2581.9048882724828</v>
      </c>
      <c r="F9" s="141">
        <v>2419.9993349284709</v>
      </c>
      <c r="G9" s="141">
        <v>2446.4337937773535</v>
      </c>
      <c r="H9" s="141">
        <v>2609.9769037260785</v>
      </c>
      <c r="I9" s="141">
        <v>2810.1610285235661</v>
      </c>
      <c r="J9" s="141">
        <v>2978.3712507590753</v>
      </c>
      <c r="K9" s="141">
        <v>3027.1059011215511</v>
      </c>
      <c r="L9" s="141">
        <v>2792.49311904873</v>
      </c>
      <c r="M9" s="141">
        <v>2810.7941771732835</v>
      </c>
      <c r="N9" s="141">
        <v>2889.722820513221</v>
      </c>
      <c r="O9" s="141">
        <v>3019.5975705371093</v>
      </c>
      <c r="P9" s="141">
        <v>3182.981617991511</v>
      </c>
      <c r="Q9" s="141">
        <v>3194.4551641083676</v>
      </c>
      <c r="R9" s="141">
        <v>3119.2063624576922</v>
      </c>
      <c r="S9" s="141">
        <v>2913.4862281308424</v>
      </c>
      <c r="T9" s="141">
        <v>2685.9942719762362</v>
      </c>
      <c r="U9" s="141">
        <v>2488.9967872397278</v>
      </c>
      <c r="V9" s="141">
        <v>2161.7014925954445</v>
      </c>
      <c r="W9" s="141">
        <v>2105.3214168222135</v>
      </c>
      <c r="DA9" s="171" t="s">
        <v>250</v>
      </c>
    </row>
    <row r="10" spans="1:105" ht="12" customHeight="1" x14ac:dyDescent="0.25">
      <c r="A10" s="132" t="s">
        <v>128</v>
      </c>
      <c r="B10" s="141">
        <v>1.3497276116449692</v>
      </c>
      <c r="C10" s="141">
        <v>2.5637146044913663</v>
      </c>
      <c r="D10" s="141">
        <v>3.1646465607411041</v>
      </c>
      <c r="E10" s="141">
        <v>2.9391794548473928</v>
      </c>
      <c r="F10" s="141">
        <v>2.7683411983954969</v>
      </c>
      <c r="G10" s="141">
        <v>2.2117246274948923</v>
      </c>
      <c r="H10" s="141">
        <v>1.7830408590929214</v>
      </c>
      <c r="I10" s="141">
        <v>2.1827397468160563</v>
      </c>
      <c r="J10" s="141">
        <v>3.228588932977781</v>
      </c>
      <c r="K10" s="141">
        <v>4.3913125031313154</v>
      </c>
      <c r="L10" s="141">
        <v>4.4468281581888842</v>
      </c>
      <c r="M10" s="141">
        <v>5.283113890885196</v>
      </c>
      <c r="N10" s="141">
        <v>8.9315385626078143</v>
      </c>
      <c r="O10" s="141">
        <v>12.972088264654239</v>
      </c>
      <c r="P10" s="141">
        <v>14.096316216467814</v>
      </c>
      <c r="Q10" s="141">
        <v>13.835763735413698</v>
      </c>
      <c r="R10" s="141">
        <v>12.351986297161297</v>
      </c>
      <c r="S10" s="141">
        <v>5.2628032872132593</v>
      </c>
      <c r="T10" s="141">
        <v>2.6183706282855064</v>
      </c>
      <c r="U10" s="141">
        <v>0.94290201164411691</v>
      </c>
      <c r="V10" s="141">
        <v>0.55609811158818334</v>
      </c>
      <c r="W10" s="141">
        <v>0.61831409032138984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496.6441907996383</v>
      </c>
      <c r="C12" s="141">
        <v>670.73077601628677</v>
      </c>
      <c r="D12" s="141">
        <v>1256.4175541730465</v>
      </c>
      <c r="E12" s="141">
        <v>1834.5060735205273</v>
      </c>
      <c r="F12" s="141">
        <v>2202.3332916246286</v>
      </c>
      <c r="G12" s="141">
        <v>2323.6705239082644</v>
      </c>
      <c r="H12" s="141">
        <v>2275.8195660806459</v>
      </c>
      <c r="I12" s="141">
        <v>2085.0089773416107</v>
      </c>
      <c r="J12" s="141">
        <v>2014.7849052739425</v>
      </c>
      <c r="K12" s="141">
        <v>2013.4645249403936</v>
      </c>
      <c r="L12" s="141">
        <v>2147.7401200474715</v>
      </c>
      <c r="M12" s="141">
        <v>2202.5282638194121</v>
      </c>
      <c r="N12" s="141">
        <v>2222.1120898986137</v>
      </c>
      <c r="O12" s="141">
        <v>2149.7613022436317</v>
      </c>
      <c r="P12" s="141">
        <v>2086.9044002776645</v>
      </c>
      <c r="Q12" s="141">
        <v>2078.7045277928564</v>
      </c>
      <c r="R12" s="141">
        <v>2115.4701590352543</v>
      </c>
      <c r="S12" s="141">
        <v>2205.1647587252014</v>
      </c>
      <c r="T12" s="141">
        <v>2494.4048917219061</v>
      </c>
      <c r="U12" s="141">
        <v>2889.2823595554764</v>
      </c>
      <c r="V12" s="141">
        <v>3555.6567009167657</v>
      </c>
      <c r="W12" s="141">
        <v>3903.2284854053555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2824.5415294223685</v>
      </c>
      <c r="C14" s="142">
        <v>2758.2351430623835</v>
      </c>
      <c r="D14" s="142">
        <v>2363.15540127235</v>
      </c>
      <c r="E14" s="142">
        <v>2185.221652811103</v>
      </c>
      <c r="F14" s="142">
        <v>2176.4056800329799</v>
      </c>
      <c r="G14" s="142">
        <v>2310.734665318681</v>
      </c>
      <c r="H14" s="142">
        <v>2520.5558630214191</v>
      </c>
      <c r="I14" s="142">
        <v>2755.0189033324355</v>
      </c>
      <c r="J14" s="142">
        <v>2797.6948879422589</v>
      </c>
      <c r="K14" s="142">
        <v>2723.016284421225</v>
      </c>
      <c r="L14" s="142">
        <v>2660.4036777405045</v>
      </c>
      <c r="M14" s="142">
        <v>2568.5607958700343</v>
      </c>
      <c r="N14" s="142">
        <v>2484.1301095977719</v>
      </c>
      <c r="O14" s="142">
        <v>2394.9764701471067</v>
      </c>
      <c r="P14" s="142">
        <v>2250.5130240102758</v>
      </c>
      <c r="Q14" s="142">
        <v>2067.785090045194</v>
      </c>
      <c r="R14" s="142">
        <v>2050.4712182223793</v>
      </c>
      <c r="S14" s="142">
        <v>2034.545996202183</v>
      </c>
      <c r="T14" s="142">
        <v>2044.4948306317233</v>
      </c>
      <c r="U14" s="142">
        <v>2011.5299448636886</v>
      </c>
      <c r="V14" s="142">
        <v>1879.2653883976895</v>
      </c>
      <c r="W14" s="142">
        <v>1838.7765866380907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5129.5744232969055</v>
      </c>
      <c r="C15" s="144">
        <f t="shared" si="3"/>
        <v>5254.1807994141036</v>
      </c>
      <c r="D15" s="144">
        <f t="shared" si="3"/>
        <v>5719.7791485508751</v>
      </c>
      <c r="E15" s="144">
        <f t="shared" si="3"/>
        <v>5923.5323925522343</v>
      </c>
      <c r="F15" s="144">
        <f t="shared" si="3"/>
        <v>6004.1870927117725</v>
      </c>
      <c r="G15" s="144">
        <f t="shared" si="3"/>
        <v>5959.6820887981939</v>
      </c>
      <c r="H15" s="144">
        <f t="shared" si="3"/>
        <v>5810.8168687010775</v>
      </c>
      <c r="I15" s="144">
        <f t="shared" si="3"/>
        <v>5645.1205380948813</v>
      </c>
      <c r="J15" s="144">
        <f t="shared" si="3"/>
        <v>5656.5210181994917</v>
      </c>
      <c r="K15" s="144">
        <f t="shared" si="3"/>
        <v>5780.426058825592</v>
      </c>
      <c r="L15" s="144">
        <f t="shared" si="3"/>
        <v>5878.668993747573</v>
      </c>
      <c r="M15" s="144">
        <f t="shared" si="3"/>
        <v>6111.3543500173782</v>
      </c>
      <c r="N15" s="144">
        <f t="shared" si="3"/>
        <v>6338.9826530411292</v>
      </c>
      <c r="O15" s="144">
        <f t="shared" si="3"/>
        <v>6617.0746948704209</v>
      </c>
      <c r="P15" s="144">
        <f t="shared" si="3"/>
        <v>6976.7983732115463</v>
      </c>
      <c r="Q15" s="144">
        <f t="shared" si="3"/>
        <v>7344.2080766786949</v>
      </c>
      <c r="R15" s="144">
        <f t="shared" ref="R15:W15" si="4">SUM(R5:R12)</f>
        <v>7565.284619658235</v>
      </c>
      <c r="S15" s="144">
        <f t="shared" si="4"/>
        <v>7774.3558323499092</v>
      </c>
      <c r="T15" s="144">
        <f t="shared" si="4"/>
        <v>7957.956052917777</v>
      </c>
      <c r="U15" s="144">
        <f t="shared" si="4"/>
        <v>8183.5146811297145</v>
      </c>
      <c r="V15" s="144">
        <f t="shared" si="4"/>
        <v>8505.6646116023094</v>
      </c>
      <c r="W15" s="144">
        <f t="shared" si="4"/>
        <v>8732.7931352455489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727.80305246113721</v>
      </c>
      <c r="C16" s="140">
        <f t="shared" si="5"/>
        <v>926.00093640980731</v>
      </c>
      <c r="D16" s="140">
        <f t="shared" si="5"/>
        <v>1178.5311639133313</v>
      </c>
      <c r="E16" s="140">
        <f t="shared" si="5"/>
        <v>1339.4767592146729</v>
      </c>
      <c r="F16" s="140">
        <f t="shared" si="5"/>
        <v>1563.5531464609533</v>
      </c>
      <c r="G16" s="140">
        <f t="shared" si="5"/>
        <v>1920.7676247242603</v>
      </c>
      <c r="H16" s="140">
        <f t="shared" si="5"/>
        <v>2186.6184481350115</v>
      </c>
      <c r="I16" s="140">
        <f t="shared" si="5"/>
        <v>2568.0786809586862</v>
      </c>
      <c r="J16" s="140">
        <f t="shared" si="5"/>
        <v>2875.9543599470289</v>
      </c>
      <c r="K16" s="140">
        <f t="shared" si="5"/>
        <v>3165.8246467787772</v>
      </c>
      <c r="L16" s="140">
        <f t="shared" si="5"/>
        <v>3398.0321509455166</v>
      </c>
      <c r="M16" s="140">
        <f t="shared" si="5"/>
        <v>3664.7787922365201</v>
      </c>
      <c r="N16" s="140">
        <f t="shared" si="5"/>
        <v>3878.247666816746</v>
      </c>
      <c r="O16" s="140">
        <f t="shared" si="5"/>
        <v>4024.4145804775312</v>
      </c>
      <c r="P16" s="140">
        <f t="shared" si="5"/>
        <v>4215.8672138036618</v>
      </c>
      <c r="Q16" s="140">
        <f t="shared" si="5"/>
        <v>4376.7063615297611</v>
      </c>
      <c r="R16" s="140">
        <f t="shared" ref="R16:W16" si="6">SUM(R17:R18)</f>
        <v>4488.5445221784721</v>
      </c>
      <c r="S16" s="140">
        <f t="shared" si="6"/>
        <v>4661.8191382666055</v>
      </c>
      <c r="T16" s="140">
        <f t="shared" si="6"/>
        <v>4881.8328016334344</v>
      </c>
      <c r="U16" s="140">
        <f t="shared" si="6"/>
        <v>5035.9963003207085</v>
      </c>
      <c r="V16" s="140">
        <f t="shared" si="6"/>
        <v>5060.6535179174498</v>
      </c>
      <c r="W16" s="140">
        <f t="shared" si="6"/>
        <v>5192.6075559077044</v>
      </c>
      <c r="DA16" s="170" t="s">
        <v>256</v>
      </c>
    </row>
    <row r="17" spans="1:105" ht="12.95" customHeight="1" x14ac:dyDescent="0.25">
      <c r="A17" s="132" t="s">
        <v>73</v>
      </c>
      <c r="B17" s="141">
        <v>3.1802389902740997</v>
      </c>
      <c r="C17" s="141">
        <v>4.3432687982808433</v>
      </c>
      <c r="D17" s="141">
        <v>6.7117205027898157</v>
      </c>
      <c r="E17" s="141">
        <v>5.271521725641124</v>
      </c>
      <c r="F17" s="141">
        <v>10.793117250802103</v>
      </c>
      <c r="G17" s="141">
        <v>12.307115258462984</v>
      </c>
      <c r="H17" s="141">
        <v>14.743305582906981</v>
      </c>
      <c r="I17" s="141">
        <v>21.966302645470499</v>
      </c>
      <c r="J17" s="141">
        <v>24.583051602110487</v>
      </c>
      <c r="K17" s="141">
        <v>28.306632192922407</v>
      </c>
      <c r="L17" s="141">
        <v>30.538696244722445</v>
      </c>
      <c r="M17" s="141">
        <v>35.520938783355142</v>
      </c>
      <c r="N17" s="141">
        <v>39.580126914454688</v>
      </c>
      <c r="O17" s="141">
        <v>47.862819815502604</v>
      </c>
      <c r="P17" s="141">
        <v>67.005007736954056</v>
      </c>
      <c r="Q17" s="141">
        <v>82.312410393448062</v>
      </c>
      <c r="R17" s="141">
        <v>117.22944775635055</v>
      </c>
      <c r="S17" s="141">
        <v>137.41260991658416</v>
      </c>
      <c r="T17" s="141">
        <v>145.55925000509069</v>
      </c>
      <c r="U17" s="141">
        <v>162.42696625771376</v>
      </c>
      <c r="V17" s="141">
        <v>177.29948999390919</v>
      </c>
      <c r="W17" s="141">
        <v>191.15131526153039</v>
      </c>
      <c r="DA17" s="171" t="s">
        <v>257</v>
      </c>
    </row>
    <row r="18" spans="1:105" ht="12" customHeight="1" x14ac:dyDescent="0.25">
      <c r="A18" s="132" t="s">
        <v>72</v>
      </c>
      <c r="B18" s="141">
        <v>724.62281347086309</v>
      </c>
      <c r="C18" s="141">
        <v>921.65766761152645</v>
      </c>
      <c r="D18" s="141">
        <v>1171.8194434105415</v>
      </c>
      <c r="E18" s="141">
        <v>1334.2052374890318</v>
      </c>
      <c r="F18" s="141">
        <v>1552.7600292101511</v>
      </c>
      <c r="G18" s="141">
        <v>1908.4605094657973</v>
      </c>
      <c r="H18" s="141">
        <v>2171.8751425521045</v>
      </c>
      <c r="I18" s="141">
        <v>2546.1123783132157</v>
      </c>
      <c r="J18" s="141">
        <v>2851.3713083449184</v>
      </c>
      <c r="K18" s="141">
        <v>3137.5180145858549</v>
      </c>
      <c r="L18" s="141">
        <v>3367.4934547007942</v>
      </c>
      <c r="M18" s="141">
        <v>3629.2578534531649</v>
      </c>
      <c r="N18" s="141">
        <v>3838.6675399022915</v>
      </c>
      <c r="O18" s="141">
        <v>3976.5517606620288</v>
      </c>
      <c r="P18" s="141">
        <v>4148.8622060667076</v>
      </c>
      <c r="Q18" s="141">
        <v>4294.3939511363133</v>
      </c>
      <c r="R18" s="141">
        <v>4371.3150744221211</v>
      </c>
      <c r="S18" s="141">
        <v>4524.4065283500213</v>
      </c>
      <c r="T18" s="141">
        <v>4736.2735516283437</v>
      </c>
      <c r="U18" s="141">
        <v>4873.569334062995</v>
      </c>
      <c r="V18" s="141">
        <v>4883.3540279235403</v>
      </c>
      <c r="W18" s="141">
        <v>5001.4562406461737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7954.115952719274</v>
      </c>
      <c r="C19" s="140">
        <f t="shared" si="7"/>
        <v>8012.4159424764857</v>
      </c>
      <c r="D19" s="140">
        <f t="shared" si="7"/>
        <v>8082.9345498232251</v>
      </c>
      <c r="E19" s="140">
        <f t="shared" si="7"/>
        <v>8108.7540453633392</v>
      </c>
      <c r="F19" s="140">
        <f t="shared" si="7"/>
        <v>8180.5927727447533</v>
      </c>
      <c r="G19" s="140">
        <f t="shared" si="7"/>
        <v>8270.4167541168717</v>
      </c>
      <c r="H19" s="140">
        <f t="shared" si="7"/>
        <v>8331.3727317224948</v>
      </c>
      <c r="I19" s="140">
        <f t="shared" si="7"/>
        <v>8400.1394414273145</v>
      </c>
      <c r="J19" s="140">
        <f t="shared" si="7"/>
        <v>8454.2159061417478</v>
      </c>
      <c r="K19" s="140">
        <f t="shared" si="7"/>
        <v>8503.4423432468193</v>
      </c>
      <c r="L19" s="140">
        <f t="shared" si="7"/>
        <v>8539.0726714880748</v>
      </c>
      <c r="M19" s="140">
        <f t="shared" si="7"/>
        <v>8679.9151458874148</v>
      </c>
      <c r="N19" s="140">
        <f t="shared" si="7"/>
        <v>8823.1127626389061</v>
      </c>
      <c r="O19" s="140">
        <f t="shared" si="7"/>
        <v>9012.0511650175304</v>
      </c>
      <c r="P19" s="140">
        <f t="shared" si="7"/>
        <v>9227.3113972218234</v>
      </c>
      <c r="Q19" s="140">
        <f t="shared" si="7"/>
        <v>9411.9931667238943</v>
      </c>
      <c r="R19" s="140">
        <f t="shared" ref="R19:W19" si="8">SUM(R20:R26)</f>
        <v>9615.7558378806098</v>
      </c>
      <c r="S19" s="140">
        <f t="shared" si="8"/>
        <v>9808.9018285520888</v>
      </c>
      <c r="T19" s="140">
        <f t="shared" si="8"/>
        <v>10002.450883549505</v>
      </c>
      <c r="U19" s="140">
        <f t="shared" si="8"/>
        <v>10195.0446259934</v>
      </c>
      <c r="V19" s="140">
        <f t="shared" si="8"/>
        <v>10384.93</v>
      </c>
      <c r="W19" s="140">
        <f t="shared" si="8"/>
        <v>10571.569721883638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1441.6384067729848</v>
      </c>
      <c r="C22" s="141">
        <v>1436.6112361488247</v>
      </c>
      <c r="D22" s="141">
        <v>1443.1511982795885</v>
      </c>
      <c r="E22" s="141">
        <v>1432.5786945217139</v>
      </c>
      <c r="F22" s="141">
        <v>1365.9577425429318</v>
      </c>
      <c r="G22" s="141">
        <v>1233.9103945208331</v>
      </c>
      <c r="H22" s="141">
        <v>997.34297782728606</v>
      </c>
      <c r="I22" s="141">
        <v>818.49159140731763</v>
      </c>
      <c r="J22" s="141">
        <v>698.10970085657948</v>
      </c>
      <c r="K22" s="141">
        <v>697.10573188191677</v>
      </c>
      <c r="L22" s="141">
        <v>807.6979276182218</v>
      </c>
      <c r="M22" s="141">
        <v>858.00085027847422</v>
      </c>
      <c r="N22" s="141">
        <v>1010.7466653826265</v>
      </c>
      <c r="O22" s="141">
        <v>1085.4878113521495</v>
      </c>
      <c r="P22" s="141">
        <v>1160.5738817027855</v>
      </c>
      <c r="Q22" s="141">
        <v>1251.3104543329384</v>
      </c>
      <c r="R22" s="141">
        <v>1431.1945575626321</v>
      </c>
      <c r="S22" s="141">
        <v>1811.5304566788559</v>
      </c>
      <c r="T22" s="141">
        <v>2089.3201150436244</v>
      </c>
      <c r="U22" s="141">
        <v>2312.0756976890793</v>
      </c>
      <c r="V22" s="141">
        <v>2359.0754304631619</v>
      </c>
      <c r="W22" s="141">
        <v>2410.3848006421358</v>
      </c>
      <c r="DA22" s="171" t="s">
        <v>262</v>
      </c>
    </row>
    <row r="23" spans="1:105" ht="12" customHeight="1" x14ac:dyDescent="0.25">
      <c r="A23" s="132" t="s">
        <v>153</v>
      </c>
      <c r="B23" s="141">
        <v>1423.240682572592</v>
      </c>
      <c r="C23" s="141">
        <v>1461.5669139189956</v>
      </c>
      <c r="D23" s="141">
        <v>1553.6175223163345</v>
      </c>
      <c r="E23" s="141">
        <v>1650.8709772276293</v>
      </c>
      <c r="F23" s="141">
        <v>1715.6068639118428</v>
      </c>
      <c r="G23" s="141">
        <v>1774.2299217479062</v>
      </c>
      <c r="H23" s="141">
        <v>1846.5886078105484</v>
      </c>
      <c r="I23" s="141">
        <v>1932.0576512478488</v>
      </c>
      <c r="J23" s="141">
        <v>2092.8258944758322</v>
      </c>
      <c r="K23" s="141">
        <v>2174.7250694378349</v>
      </c>
      <c r="L23" s="141">
        <v>2302.9685864927737</v>
      </c>
      <c r="M23" s="141">
        <v>2338.1985533880575</v>
      </c>
      <c r="N23" s="141">
        <v>2383.6943677819604</v>
      </c>
      <c r="O23" s="141">
        <v>2504.3493435622963</v>
      </c>
      <c r="P23" s="141">
        <v>2620.8358596926355</v>
      </c>
      <c r="Q23" s="141">
        <v>2693.4549824699147</v>
      </c>
      <c r="R23" s="141">
        <v>2707.3370711383232</v>
      </c>
      <c r="S23" s="141">
        <v>2608.758303663335</v>
      </c>
      <c r="T23" s="141">
        <v>2387.632825018758</v>
      </c>
      <c r="U23" s="141">
        <v>2203.5277318766484</v>
      </c>
      <c r="V23" s="141">
        <v>1995.7843092275473</v>
      </c>
      <c r="W23" s="141">
        <v>1906.4722531999651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531.19292585646849</v>
      </c>
      <c r="C25" s="141">
        <v>716.54785937676763</v>
      </c>
      <c r="D25" s="141">
        <v>1258.3788663649279</v>
      </c>
      <c r="E25" s="141">
        <v>1755.6118297483904</v>
      </c>
      <c r="F25" s="141">
        <v>2044.3726071369258</v>
      </c>
      <c r="G25" s="141">
        <v>2188.6121839922134</v>
      </c>
      <c r="H25" s="141">
        <v>2227.7371716560792</v>
      </c>
      <c r="I25" s="141">
        <v>2243.2824136711261</v>
      </c>
      <c r="J25" s="141">
        <v>2225.3935636109713</v>
      </c>
      <c r="K25" s="141">
        <v>2209.9315835859234</v>
      </c>
      <c r="L25" s="141">
        <v>2165.3293011413207</v>
      </c>
      <c r="M25" s="141">
        <v>2170.4184562554033</v>
      </c>
      <c r="N25" s="141">
        <v>2172.6071831764966</v>
      </c>
      <c r="O25" s="141">
        <v>2177.0333331938423</v>
      </c>
      <c r="P25" s="141">
        <v>2162.3578540650055</v>
      </c>
      <c r="Q25" s="141">
        <v>2175.1478814175057</v>
      </c>
      <c r="R25" s="141">
        <v>2195.8990135787203</v>
      </c>
      <c r="S25" s="141">
        <v>2247.9736486340903</v>
      </c>
      <c r="T25" s="141">
        <v>2281.892922785672</v>
      </c>
      <c r="U25" s="141">
        <v>2367.5338724872136</v>
      </c>
      <c r="V25" s="141">
        <v>2484.7059758725595</v>
      </c>
      <c r="W25" s="141">
        <v>2540.9074688349237</v>
      </c>
      <c r="DA25" s="171" t="s">
        <v>265</v>
      </c>
    </row>
    <row r="26" spans="1:105" ht="12" customHeight="1" x14ac:dyDescent="0.25">
      <c r="A26" s="132" t="s">
        <v>24</v>
      </c>
      <c r="B26" s="142">
        <v>4558.0439375172282</v>
      </c>
      <c r="C26" s="142">
        <v>4397.6899330318984</v>
      </c>
      <c r="D26" s="142">
        <v>3827.7869628623744</v>
      </c>
      <c r="E26" s="142">
        <v>3269.6925438656053</v>
      </c>
      <c r="F26" s="142">
        <v>3054.6555591530532</v>
      </c>
      <c r="G26" s="142">
        <v>3073.6642538559199</v>
      </c>
      <c r="H26" s="142">
        <v>3259.7039744285812</v>
      </c>
      <c r="I26" s="142">
        <v>3406.3077851010221</v>
      </c>
      <c r="J26" s="142">
        <v>3437.8867471983649</v>
      </c>
      <c r="K26" s="142">
        <v>3421.6799583411448</v>
      </c>
      <c r="L26" s="142">
        <v>3263.0768562357589</v>
      </c>
      <c r="M26" s="142">
        <v>3313.2972859654801</v>
      </c>
      <c r="N26" s="142">
        <v>3256.0645462978232</v>
      </c>
      <c r="O26" s="142">
        <v>3245.1806769092423</v>
      </c>
      <c r="P26" s="142">
        <v>3283.543801761396</v>
      </c>
      <c r="Q26" s="142">
        <v>3292.0798485035352</v>
      </c>
      <c r="R26" s="142">
        <v>3281.3251956009335</v>
      </c>
      <c r="S26" s="142">
        <v>3140.6394195758071</v>
      </c>
      <c r="T26" s="142">
        <v>3243.6050207014505</v>
      </c>
      <c r="U26" s="142">
        <v>3311.9073239404588</v>
      </c>
      <c r="V26" s="142">
        <v>3545.3642844367305</v>
      </c>
      <c r="W26" s="142">
        <v>3713.8051992066135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7954.1159527192731</v>
      </c>
      <c r="C29" s="140">
        <f t="shared" si="9"/>
        <v>8012.4159424764866</v>
      </c>
      <c r="D29" s="140">
        <f t="shared" si="9"/>
        <v>8082.9345498232251</v>
      </c>
      <c r="E29" s="140">
        <f t="shared" si="9"/>
        <v>8108.7540453633401</v>
      </c>
      <c r="F29" s="140">
        <f t="shared" si="9"/>
        <v>8180.5927727447561</v>
      </c>
      <c r="G29" s="140">
        <f t="shared" si="9"/>
        <v>8270.4167541168736</v>
      </c>
      <c r="H29" s="140">
        <f t="shared" si="9"/>
        <v>8331.3727317224984</v>
      </c>
      <c r="I29" s="140">
        <f t="shared" si="9"/>
        <v>8400.1394414273145</v>
      </c>
      <c r="J29" s="140">
        <f t="shared" si="9"/>
        <v>8454.2159061417478</v>
      </c>
      <c r="K29" s="140">
        <f t="shared" si="9"/>
        <v>8503.4423432468175</v>
      </c>
      <c r="L29" s="140">
        <f t="shared" si="9"/>
        <v>8539.0726714880693</v>
      </c>
      <c r="M29" s="140">
        <f t="shared" si="9"/>
        <v>8679.915145887413</v>
      </c>
      <c r="N29" s="140">
        <f t="shared" si="9"/>
        <v>8823.1127626388989</v>
      </c>
      <c r="O29" s="140">
        <f t="shared" si="9"/>
        <v>9012.0511650175358</v>
      </c>
      <c r="P29" s="140">
        <f t="shared" si="9"/>
        <v>9227.3113972218234</v>
      </c>
      <c r="Q29" s="140">
        <f t="shared" si="9"/>
        <v>9411.9931667238961</v>
      </c>
      <c r="R29" s="140">
        <f t="shared" ref="R29:W29" si="10">SUM(R30:R33)</f>
        <v>9615.7558378806189</v>
      </c>
      <c r="S29" s="140">
        <f t="shared" si="10"/>
        <v>9808.9018285520888</v>
      </c>
      <c r="T29" s="140">
        <f t="shared" si="10"/>
        <v>10002.450883549505</v>
      </c>
      <c r="U29" s="140">
        <f t="shared" si="10"/>
        <v>10195.044625993396</v>
      </c>
      <c r="V29" s="140">
        <f t="shared" si="10"/>
        <v>10384.929999999998</v>
      </c>
      <c r="W29" s="140">
        <f t="shared" si="10"/>
        <v>10571.569721883636</v>
      </c>
      <c r="DA29" s="170" t="s">
        <v>268</v>
      </c>
    </row>
    <row r="30" spans="1:105" ht="12" customHeight="1" x14ac:dyDescent="0.25">
      <c r="A30" s="132" t="s">
        <v>52</v>
      </c>
      <c r="B30" s="141">
        <v>1377.7552401223159</v>
      </c>
      <c r="C30" s="141">
        <v>1320.7973455329061</v>
      </c>
      <c r="D30" s="141">
        <v>890.19355274623092</v>
      </c>
      <c r="E30" s="141">
        <v>464.0603316630415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1134.0965376671784</v>
      </c>
      <c r="L30" s="141">
        <v>1494.9689407894364</v>
      </c>
      <c r="M30" s="141">
        <v>1693.2085702206041</v>
      </c>
      <c r="N30" s="141">
        <v>1702.5409948509596</v>
      </c>
      <c r="O30" s="141">
        <v>1701.916212685536</v>
      </c>
      <c r="P30" s="141">
        <v>1671.438416338113</v>
      </c>
      <c r="Q30" s="141">
        <v>1687.7191244165533</v>
      </c>
      <c r="R30" s="141">
        <v>1672.1370323304595</v>
      </c>
      <c r="S30" s="141">
        <v>1595.898375106693</v>
      </c>
      <c r="T30" s="141">
        <v>1603.6436725149274</v>
      </c>
      <c r="U30" s="141">
        <v>1530.7624148308644</v>
      </c>
      <c r="V30" s="141">
        <v>1535.310951558472</v>
      </c>
      <c r="W30" s="141">
        <v>1464.3854525490735</v>
      </c>
      <c r="DA30" s="171" t="s">
        <v>269</v>
      </c>
    </row>
    <row r="31" spans="1:105" ht="12" customHeight="1" x14ac:dyDescent="0.25">
      <c r="A31" s="132" t="s">
        <v>153</v>
      </c>
      <c r="B31" s="141">
        <v>3502.5777201660439</v>
      </c>
      <c r="C31" s="141">
        <v>3531.8272228482933</v>
      </c>
      <c r="D31" s="141">
        <v>3542.8579693049292</v>
      </c>
      <c r="E31" s="141">
        <v>3507.1193958323292</v>
      </c>
      <c r="F31" s="141">
        <v>3458.4404275198676</v>
      </c>
      <c r="G31" s="141">
        <v>3348.0171080266746</v>
      </c>
      <c r="H31" s="141">
        <v>3251.2734391082731</v>
      </c>
      <c r="I31" s="141">
        <v>3082.8002129134757</v>
      </c>
      <c r="J31" s="141">
        <v>2878.0262428946817</v>
      </c>
      <c r="K31" s="141">
        <v>2638.05178605119</v>
      </c>
      <c r="L31" s="141">
        <v>2480.2697275949595</v>
      </c>
      <c r="M31" s="141">
        <v>2374.5955575342646</v>
      </c>
      <c r="N31" s="141">
        <v>2249.8809659615636</v>
      </c>
      <c r="O31" s="141">
        <v>2076.7088460646246</v>
      </c>
      <c r="P31" s="141">
        <v>1887.3404846341559</v>
      </c>
      <c r="Q31" s="141">
        <v>1701.4700144560697</v>
      </c>
      <c r="R31" s="141">
        <v>1530.4551865947265</v>
      </c>
      <c r="S31" s="141">
        <v>1349.5424760703745</v>
      </c>
      <c r="T31" s="141">
        <v>1186.9635531901381</v>
      </c>
      <c r="U31" s="141">
        <v>1024.2950251717757</v>
      </c>
      <c r="V31" s="141">
        <v>858.48177630198518</v>
      </c>
      <c r="W31" s="141">
        <v>625.87617114995055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3073.7829924309135</v>
      </c>
      <c r="C33" s="153">
        <v>3159.7913740952872</v>
      </c>
      <c r="D33" s="153">
        <v>3649.8830277720654</v>
      </c>
      <c r="E33" s="153">
        <v>4137.5743178679695</v>
      </c>
      <c r="F33" s="153">
        <v>4722.1523452248884</v>
      </c>
      <c r="G33" s="153">
        <v>4922.399646090199</v>
      </c>
      <c r="H33" s="153">
        <v>5080.0992926142244</v>
      </c>
      <c r="I33" s="153">
        <v>5317.3392285138389</v>
      </c>
      <c r="J33" s="153">
        <v>5576.1896632470653</v>
      </c>
      <c r="K33" s="153">
        <v>4731.2940195284491</v>
      </c>
      <c r="L33" s="153">
        <v>4563.8340031036741</v>
      </c>
      <c r="M33" s="153">
        <v>4612.1110181325439</v>
      </c>
      <c r="N33" s="153">
        <v>4870.6908018263766</v>
      </c>
      <c r="O33" s="153">
        <v>5233.4261062673741</v>
      </c>
      <c r="P33" s="153">
        <v>5668.5324962495542</v>
      </c>
      <c r="Q33" s="153">
        <v>6022.8040278512735</v>
      </c>
      <c r="R33" s="153">
        <v>6413.1636189554329</v>
      </c>
      <c r="S33" s="153">
        <v>6863.4609773750208</v>
      </c>
      <c r="T33" s="153">
        <v>7211.8436578444398</v>
      </c>
      <c r="U33" s="153">
        <v>7639.9871859907562</v>
      </c>
      <c r="V33" s="153">
        <v>7991.1372721395419</v>
      </c>
      <c r="W33" s="153">
        <v>8481.3080981846106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320.09184605046966</v>
      </c>
      <c r="C3" s="126">
        <f t="shared" si="0"/>
        <v>324.56369982229563</v>
      </c>
      <c r="D3" s="126">
        <f t="shared" si="0"/>
        <v>299.28596256643903</v>
      </c>
      <c r="E3" s="126">
        <f t="shared" si="0"/>
        <v>337.95867581880157</v>
      </c>
      <c r="F3" s="126">
        <f t="shared" si="0"/>
        <v>317.06900899069075</v>
      </c>
      <c r="G3" s="126">
        <f t="shared" si="0"/>
        <v>310.86262511773612</v>
      </c>
      <c r="H3" s="126">
        <f t="shared" si="0"/>
        <v>310.18273735827381</v>
      </c>
      <c r="I3" s="126">
        <f t="shared" si="0"/>
        <v>306.11958826359461</v>
      </c>
      <c r="J3" s="126">
        <f t="shared" si="0"/>
        <v>323.87530810882328</v>
      </c>
      <c r="K3" s="126">
        <f t="shared" si="0"/>
        <v>311.22229651537225</v>
      </c>
      <c r="L3" s="126">
        <f t="shared" si="0"/>
        <v>357.7062306391594</v>
      </c>
      <c r="M3" s="126">
        <f t="shared" si="0"/>
        <v>272.71827640861869</v>
      </c>
      <c r="N3" s="126">
        <f t="shared" si="0"/>
        <v>314.41106883482234</v>
      </c>
      <c r="O3" s="126">
        <f t="shared" si="0"/>
        <v>327.49095250628284</v>
      </c>
      <c r="P3" s="126">
        <f t="shared" si="0"/>
        <v>277.58183594443858</v>
      </c>
      <c r="Q3" s="126">
        <f t="shared" si="0"/>
        <v>320.26107503493677</v>
      </c>
      <c r="R3" s="126">
        <f t="shared" ref="R3:W3" si="1">SUM(R4,R16,R19,R29)</f>
        <v>324.86473749936829</v>
      </c>
      <c r="S3" s="126">
        <f t="shared" si="1"/>
        <v>367.01426154526723</v>
      </c>
      <c r="T3" s="126">
        <f t="shared" si="1"/>
        <v>378.40573648195118</v>
      </c>
      <c r="U3" s="126">
        <f t="shared" si="1"/>
        <v>436.0817682053713</v>
      </c>
      <c r="V3" s="126">
        <f t="shared" si="1"/>
        <v>418.45367078946475</v>
      </c>
      <c r="W3" s="126">
        <f t="shared" si="1"/>
        <v>471.0075979086111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255.48031800691072</v>
      </c>
      <c r="C4" s="131">
        <f t="shared" si="2"/>
        <v>257.5617846419388</v>
      </c>
      <c r="D4" s="131">
        <f t="shared" si="2"/>
        <v>232.10109196821355</v>
      </c>
      <c r="E4" s="131">
        <f t="shared" si="2"/>
        <v>270.65166683472881</v>
      </c>
      <c r="F4" s="131">
        <f t="shared" si="2"/>
        <v>249.56457616053427</v>
      </c>
      <c r="G4" s="131">
        <f t="shared" si="2"/>
        <v>242.39147673415852</v>
      </c>
      <c r="H4" s="131">
        <f t="shared" si="2"/>
        <v>240.67208483603022</v>
      </c>
      <c r="I4" s="131">
        <f t="shared" si="2"/>
        <v>236.6918573018049</v>
      </c>
      <c r="J4" s="131">
        <f t="shared" si="2"/>
        <v>253.44128821823551</v>
      </c>
      <c r="K4" s="131">
        <f t="shared" si="2"/>
        <v>238.17030405214206</v>
      </c>
      <c r="L4" s="131">
        <f t="shared" si="2"/>
        <v>283.10262484504761</v>
      </c>
      <c r="M4" s="131">
        <f t="shared" si="2"/>
        <v>198.17036880362491</v>
      </c>
      <c r="N4" s="131">
        <f t="shared" si="2"/>
        <v>238.22882725419797</v>
      </c>
      <c r="O4" s="131">
        <f t="shared" si="2"/>
        <v>250.07102996328305</v>
      </c>
      <c r="P4" s="131">
        <f t="shared" si="2"/>
        <v>198.83949154680158</v>
      </c>
      <c r="Q4" s="131">
        <f t="shared" si="2"/>
        <v>239.04428109005315</v>
      </c>
      <c r="R4" s="131">
        <f t="shared" ref="R4:W4" si="3">SUM(R5:R15)</f>
        <v>243.10939931186823</v>
      </c>
      <c r="S4" s="131">
        <f t="shared" si="3"/>
        <v>284.51248252913092</v>
      </c>
      <c r="T4" s="131">
        <f t="shared" si="3"/>
        <v>294.54112419727608</v>
      </c>
      <c r="U4" s="131">
        <f t="shared" si="3"/>
        <v>350.50756398300382</v>
      </c>
      <c r="V4" s="131">
        <f t="shared" si="3"/>
        <v>340.17959780513138</v>
      </c>
      <c r="W4" s="131">
        <f t="shared" si="3"/>
        <v>384.73758303076988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54.209520646936973</v>
      </c>
      <c r="C7" s="133">
        <v>69.305670450695672</v>
      </c>
      <c r="D7" s="133">
        <v>63.44658510617441</v>
      </c>
      <c r="E7" s="133">
        <v>56.820696297050056</v>
      </c>
      <c r="F7" s="133">
        <v>56.969171049444348</v>
      </c>
      <c r="G7" s="133">
        <v>51.335158872514747</v>
      </c>
      <c r="H7" s="133">
        <v>29.900751732416445</v>
      </c>
      <c r="I7" s="133">
        <v>28.568968540391786</v>
      </c>
      <c r="J7" s="133">
        <v>22.606844645728291</v>
      </c>
      <c r="K7" s="133">
        <v>21.263421546887987</v>
      </c>
      <c r="L7" s="133">
        <v>44.672490836973644</v>
      </c>
      <c r="M7" s="133">
        <v>33.929972224626972</v>
      </c>
      <c r="N7" s="133">
        <v>35.965641806350455</v>
      </c>
      <c r="O7" s="133">
        <v>45.508126966099915</v>
      </c>
      <c r="P7" s="133">
        <v>40.873906288377405</v>
      </c>
      <c r="Q7" s="133">
        <v>62.672124051358409</v>
      </c>
      <c r="R7" s="133">
        <v>61.259814301924244</v>
      </c>
      <c r="S7" s="133">
        <v>92.408053309916909</v>
      </c>
      <c r="T7" s="133">
        <v>91.499047195700257</v>
      </c>
      <c r="U7" s="133">
        <v>113.0786986583863</v>
      </c>
      <c r="V7" s="133">
        <v>104.383701600818</v>
      </c>
      <c r="W7" s="133">
        <v>94.655295917874099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126.66264125156164</v>
      </c>
      <c r="C9" s="133">
        <v>85.303966519615656</v>
      </c>
      <c r="D9" s="133">
        <v>94.111418988959201</v>
      </c>
      <c r="E9" s="133">
        <v>101.65225103514605</v>
      </c>
      <c r="F9" s="133">
        <v>86.916330995398582</v>
      </c>
      <c r="G9" s="133">
        <v>74.281206965619333</v>
      </c>
      <c r="H9" s="133">
        <v>95.180192411206008</v>
      </c>
      <c r="I9" s="133">
        <v>80.176579367115011</v>
      </c>
      <c r="J9" s="133">
        <v>101.06238890041055</v>
      </c>
      <c r="K9" s="133">
        <v>104.95039673888225</v>
      </c>
      <c r="L9" s="133">
        <v>114.48537874131864</v>
      </c>
      <c r="M9" s="133">
        <v>47.513861446818183</v>
      </c>
      <c r="N9" s="133">
        <v>87.265806006734024</v>
      </c>
      <c r="O9" s="133">
        <v>86.952130728082864</v>
      </c>
      <c r="P9" s="133">
        <v>70.620539920800866</v>
      </c>
      <c r="Q9" s="133">
        <v>83.438556358680373</v>
      </c>
      <c r="R9" s="133">
        <v>97.079199026666601</v>
      </c>
      <c r="S9" s="133">
        <v>73.431993335982597</v>
      </c>
      <c r="T9" s="133">
        <v>85.133741707817123</v>
      </c>
      <c r="U9" s="133">
        <v>93.866710922988105</v>
      </c>
      <c r="V9" s="133">
        <v>65.87132369119243</v>
      </c>
      <c r="W9" s="133">
        <v>102.14779681405938</v>
      </c>
      <c r="DA9" s="157" t="s">
        <v>278</v>
      </c>
    </row>
    <row r="10" spans="1:105" ht="12" customHeight="1" x14ac:dyDescent="0.25">
      <c r="A10" s="132" t="s">
        <v>128</v>
      </c>
      <c r="B10" s="133">
        <v>2.3903697334479779E-2</v>
      </c>
      <c r="C10" s="133">
        <v>7.1625107480653427E-2</v>
      </c>
      <c r="D10" s="133">
        <v>0.11943250214961315</v>
      </c>
      <c r="E10" s="133">
        <v>7.1625107480653427E-2</v>
      </c>
      <c r="F10" s="133">
        <v>9.0197764402407579E-2</v>
      </c>
      <c r="G10" s="133">
        <v>7.5322441960447128E-2</v>
      </c>
      <c r="H10" s="133">
        <v>3.104041272570934E-2</v>
      </c>
      <c r="I10" s="133">
        <v>3.3963886500429905E-2</v>
      </c>
      <c r="J10" s="133">
        <v>9.1487532244196049E-2</v>
      </c>
      <c r="K10" s="133">
        <v>0.18822012037833194</v>
      </c>
      <c r="L10" s="133">
        <v>0.1387790197764403</v>
      </c>
      <c r="M10" s="133">
        <v>6.5950128976784234E-2</v>
      </c>
      <c r="N10" s="133">
        <v>0.20085984522785902</v>
      </c>
      <c r="O10" s="133">
        <v>0.41504729148753217</v>
      </c>
      <c r="P10" s="133">
        <v>0.58237317282889045</v>
      </c>
      <c r="Q10" s="133">
        <v>0.23826311263972441</v>
      </c>
      <c r="R10" s="133">
        <v>0.545657781599312</v>
      </c>
      <c r="S10" s="133">
        <v>1.8830610490111706E-2</v>
      </c>
      <c r="T10" s="133">
        <v>2.596732588134134E-2</v>
      </c>
      <c r="U10" s="133">
        <v>1.3155631986242479E-2</v>
      </c>
      <c r="V10" s="133">
        <v>4.9097162510748027E-2</v>
      </c>
      <c r="W10" s="133">
        <v>0.13869303525365415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10.54525817832028</v>
      </c>
      <c r="C12" s="133">
        <v>13.075689115604977</v>
      </c>
      <c r="D12" s="133">
        <v>22.350845477078963</v>
      </c>
      <c r="E12" s="133">
        <v>52.468584060608741</v>
      </c>
      <c r="F12" s="133">
        <v>54.035869731256064</v>
      </c>
      <c r="G12" s="133">
        <v>54.502093254633792</v>
      </c>
      <c r="H12" s="133">
        <v>55.029510498746376</v>
      </c>
      <c r="I12" s="133">
        <v>42.975207219007068</v>
      </c>
      <c r="J12" s="133">
        <v>50.93577370703985</v>
      </c>
      <c r="K12" s="133">
        <v>41.771025309391668</v>
      </c>
      <c r="L12" s="133">
        <v>51.870465000037264</v>
      </c>
      <c r="M12" s="133">
        <v>56.319346884996641</v>
      </c>
      <c r="N12" s="133">
        <v>51.573108742012096</v>
      </c>
      <c r="O12" s="133">
        <v>54.608030355057132</v>
      </c>
      <c r="P12" s="133">
        <v>35.91329624829303</v>
      </c>
      <c r="Q12" s="133">
        <v>44.558037978970816</v>
      </c>
      <c r="R12" s="133">
        <v>45.682641242374885</v>
      </c>
      <c r="S12" s="133">
        <v>51.688066306019756</v>
      </c>
      <c r="T12" s="133">
        <v>59.586624539391835</v>
      </c>
      <c r="U12" s="133">
        <v>75.994340926151395</v>
      </c>
      <c r="V12" s="133">
        <v>111.12706739213348</v>
      </c>
      <c r="W12" s="133">
        <v>121.63207228625113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62.171247212175473</v>
      </c>
      <c r="C14" s="65">
        <v>88.238226133976454</v>
      </c>
      <c r="D14" s="65">
        <v>50.451671161537639</v>
      </c>
      <c r="E14" s="65">
        <v>57.913418918181769</v>
      </c>
      <c r="F14" s="65">
        <v>49.984102624253509</v>
      </c>
      <c r="G14" s="65">
        <v>60.813110481985994</v>
      </c>
      <c r="H14" s="65">
        <v>59.118281598794674</v>
      </c>
      <c r="I14" s="65">
        <v>83.726315997875062</v>
      </c>
      <c r="J14" s="65">
        <v>77.327325910484348</v>
      </c>
      <c r="K14" s="65">
        <v>68.56992269999931</v>
      </c>
      <c r="L14" s="65">
        <v>70.144703422453262</v>
      </c>
      <c r="M14" s="65">
        <v>59.322671363162257</v>
      </c>
      <c r="N14" s="65">
        <v>61.743340209537728</v>
      </c>
      <c r="O14" s="65">
        <v>60.972237447544693</v>
      </c>
      <c r="P14" s="65">
        <v>49.522890362431134</v>
      </c>
      <c r="Q14" s="65">
        <v>46.413526522615555</v>
      </c>
      <c r="R14" s="65">
        <v>36.66674197652776</v>
      </c>
      <c r="S14" s="65">
        <v>65.005279021449894</v>
      </c>
      <c r="T14" s="65">
        <v>56.182246101178876</v>
      </c>
      <c r="U14" s="65">
        <v>65.057284811160244</v>
      </c>
      <c r="V14" s="65">
        <v>56.527747796202661</v>
      </c>
      <c r="W14" s="65">
        <v>63.568395649868663</v>
      </c>
      <c r="DA14" s="109" t="s">
        <v>283</v>
      </c>
    </row>
    <row r="15" spans="1:105" ht="12" customHeight="1" x14ac:dyDescent="0.25">
      <c r="A15" s="134" t="s">
        <v>80</v>
      </c>
      <c r="B15" s="135">
        <v>1.8677470205819064</v>
      </c>
      <c r="C15" s="135">
        <v>1.566607314565398</v>
      </c>
      <c r="D15" s="135">
        <v>1.6211387323137245</v>
      </c>
      <c r="E15" s="135">
        <v>1.7250914162615509</v>
      </c>
      <c r="F15" s="135">
        <v>1.5689039957793522</v>
      </c>
      <c r="G15" s="135">
        <v>1.384584717444211</v>
      </c>
      <c r="H15" s="135">
        <v>1.4123081821410144</v>
      </c>
      <c r="I15" s="135">
        <v>1.2108222909155635</v>
      </c>
      <c r="J15" s="135">
        <v>1.4174675223282704</v>
      </c>
      <c r="K15" s="135">
        <v>1.4273176366025422</v>
      </c>
      <c r="L15" s="135">
        <v>1.7908078244883536</v>
      </c>
      <c r="M15" s="135">
        <v>1.0185667550440385</v>
      </c>
      <c r="N15" s="135">
        <v>1.4800706443357881</v>
      </c>
      <c r="O15" s="135">
        <v>1.6154571750108946</v>
      </c>
      <c r="P15" s="135">
        <v>1.3264855540702318</v>
      </c>
      <c r="Q15" s="135">
        <v>1.7237730657882562</v>
      </c>
      <c r="R15" s="135">
        <v>1.875344982775399</v>
      </c>
      <c r="S15" s="135">
        <v>1.9602599452716836</v>
      </c>
      <c r="T15" s="135">
        <v>2.1134973273066029</v>
      </c>
      <c r="U15" s="135">
        <v>2.4973730323315664</v>
      </c>
      <c r="V15" s="135">
        <v>2.2206601622740556</v>
      </c>
      <c r="W15" s="135">
        <v>2.5953293274630167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1.1607206881919818</v>
      </c>
      <c r="C16" s="131">
        <f t="shared" si="4"/>
        <v>1.3946088666193239</v>
      </c>
      <c r="D16" s="131">
        <f t="shared" si="4"/>
        <v>1.686215881141603</v>
      </c>
      <c r="E16" s="131">
        <f t="shared" si="4"/>
        <v>2.3469074762018556</v>
      </c>
      <c r="F16" s="131">
        <f t="shared" si="4"/>
        <v>2.0045451435767947</v>
      </c>
      <c r="G16" s="131">
        <f t="shared" si="4"/>
        <v>2.4179598766254031</v>
      </c>
      <c r="H16" s="131">
        <f t="shared" si="4"/>
        <v>3.1208931273626996</v>
      </c>
      <c r="I16" s="131">
        <f t="shared" si="4"/>
        <v>2.9363732170862096</v>
      </c>
      <c r="J16" s="131">
        <f t="shared" si="4"/>
        <v>3.1684595728389007</v>
      </c>
      <c r="K16" s="131">
        <f t="shared" si="4"/>
        <v>3.4659234852857219</v>
      </c>
      <c r="L16" s="131">
        <f t="shared" si="4"/>
        <v>3.8967704499300697</v>
      </c>
      <c r="M16" s="131">
        <f t="shared" si="4"/>
        <v>3.827404734675949</v>
      </c>
      <c r="N16" s="131">
        <f t="shared" si="4"/>
        <v>4.0547850447928022</v>
      </c>
      <c r="O16" s="131">
        <f t="shared" si="4"/>
        <v>4.182291268024759</v>
      </c>
      <c r="P16" s="131">
        <f t="shared" si="4"/>
        <v>4.1024060121316657</v>
      </c>
      <c r="Q16" s="131">
        <f t="shared" si="4"/>
        <v>4.6764713354372489</v>
      </c>
      <c r="R16" s="131">
        <f t="shared" ref="R16:W16" si="5">SUM(R17:R18)</f>
        <v>4.2715468024443739</v>
      </c>
      <c r="S16" s="131">
        <f t="shared" si="5"/>
        <v>4.3076412269032653</v>
      </c>
      <c r="T16" s="131">
        <f t="shared" si="5"/>
        <v>4.9217921587636146</v>
      </c>
      <c r="U16" s="131">
        <f t="shared" si="5"/>
        <v>4.9857934775336128</v>
      </c>
      <c r="V16" s="131">
        <f t="shared" si="5"/>
        <v>4.9257206276988779</v>
      </c>
      <c r="W16" s="131">
        <f t="shared" si="5"/>
        <v>4.3058678692577583</v>
      </c>
      <c r="DA16" s="156" t="s">
        <v>214</v>
      </c>
    </row>
    <row r="17" spans="1:105" ht="12.95" customHeight="1" x14ac:dyDescent="0.25">
      <c r="A17" s="132" t="s">
        <v>73</v>
      </c>
      <c r="B17" s="133">
        <v>7.4336012367794066E-3</v>
      </c>
      <c r="C17" s="133">
        <v>1.0221533347206942E-2</v>
      </c>
      <c r="D17" s="133">
        <v>1.5856502501962542E-2</v>
      </c>
      <c r="E17" s="133">
        <v>1.5941789401332018E-2</v>
      </c>
      <c r="F17" s="133">
        <v>2.4702567020963954E-2</v>
      </c>
      <c r="G17" s="133">
        <v>2.9000205074293559E-2</v>
      </c>
      <c r="H17" s="133">
        <v>4.07930942433474E-2</v>
      </c>
      <c r="I17" s="133">
        <v>5.0449091173358711E-2</v>
      </c>
      <c r="J17" s="133">
        <v>5.6342972748916746E-2</v>
      </c>
      <c r="K17" s="133">
        <v>7.6981473838275957E-2</v>
      </c>
      <c r="L17" s="133">
        <v>7.5795948395534385E-2</v>
      </c>
      <c r="M17" s="133">
        <v>8.2474397894617177E-2</v>
      </c>
      <c r="N17" s="133">
        <v>9.4321775862418952E-2</v>
      </c>
      <c r="O17" s="133">
        <v>0.11536447649428665</v>
      </c>
      <c r="P17" s="133">
        <v>0.15281133972970101</v>
      </c>
      <c r="Q17" s="133">
        <v>0.20971632324022557</v>
      </c>
      <c r="R17" s="133">
        <v>0.26591309436591065</v>
      </c>
      <c r="S17" s="133">
        <v>0.31773886542177626</v>
      </c>
      <c r="T17" s="133">
        <v>0.36313516171208171</v>
      </c>
      <c r="U17" s="133">
        <v>0.40139020906517159</v>
      </c>
      <c r="V17" s="133">
        <v>0.43270371971582827</v>
      </c>
      <c r="W17" s="133">
        <v>0.45778179636278155</v>
      </c>
      <c r="DA17" s="157" t="s">
        <v>285</v>
      </c>
    </row>
    <row r="18" spans="1:105" ht="12" customHeight="1" x14ac:dyDescent="0.25">
      <c r="A18" s="132" t="s">
        <v>72</v>
      </c>
      <c r="B18" s="133">
        <v>1.1532870869552023</v>
      </c>
      <c r="C18" s="133">
        <v>1.384387333272117</v>
      </c>
      <c r="D18" s="133">
        <v>1.6703593786396405</v>
      </c>
      <c r="E18" s="133">
        <v>2.3309656868005235</v>
      </c>
      <c r="F18" s="133">
        <v>1.9798425765558307</v>
      </c>
      <c r="G18" s="133">
        <v>2.3889596715511097</v>
      </c>
      <c r="H18" s="133">
        <v>3.0801000331193524</v>
      </c>
      <c r="I18" s="133">
        <v>2.885924125912851</v>
      </c>
      <c r="J18" s="133">
        <v>3.1121166000899838</v>
      </c>
      <c r="K18" s="133">
        <v>3.3889420114474458</v>
      </c>
      <c r="L18" s="133">
        <v>3.8209745015345353</v>
      </c>
      <c r="M18" s="133">
        <v>3.7449303367813318</v>
      </c>
      <c r="N18" s="133">
        <v>3.9604632689303831</v>
      </c>
      <c r="O18" s="133">
        <v>4.0669267915304728</v>
      </c>
      <c r="P18" s="133">
        <v>3.9495946724019646</v>
      </c>
      <c r="Q18" s="133">
        <v>4.466755012197023</v>
      </c>
      <c r="R18" s="133">
        <v>4.005633708078463</v>
      </c>
      <c r="S18" s="133">
        <v>3.989902361481489</v>
      </c>
      <c r="T18" s="133">
        <v>4.5586569970515329</v>
      </c>
      <c r="U18" s="133">
        <v>4.5844032684684413</v>
      </c>
      <c r="V18" s="133">
        <v>4.4930169079830495</v>
      </c>
      <c r="W18" s="133">
        <v>3.8480860728949766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31.172236295315528</v>
      </c>
      <c r="C19" s="131">
        <f t="shared" si="6"/>
        <v>31.419090892010743</v>
      </c>
      <c r="D19" s="131">
        <f t="shared" si="6"/>
        <v>31.239678145257216</v>
      </c>
      <c r="E19" s="131">
        <f t="shared" si="6"/>
        <v>30.644272608184998</v>
      </c>
      <c r="F19" s="131">
        <f t="shared" si="6"/>
        <v>30.878768690438712</v>
      </c>
      <c r="G19" s="131">
        <f t="shared" si="6"/>
        <v>30.94417711589719</v>
      </c>
      <c r="H19" s="131">
        <f t="shared" si="6"/>
        <v>30.451902560659587</v>
      </c>
      <c r="I19" s="131">
        <f t="shared" si="6"/>
        <v>30.391725083078974</v>
      </c>
      <c r="J19" s="131">
        <f t="shared" si="6"/>
        <v>30.720469338287906</v>
      </c>
      <c r="K19" s="131">
        <f t="shared" si="6"/>
        <v>30.822298374471824</v>
      </c>
      <c r="L19" s="131">
        <f t="shared" si="6"/>
        <v>31.337051652006309</v>
      </c>
      <c r="M19" s="131">
        <f t="shared" si="6"/>
        <v>30.694219562407515</v>
      </c>
      <c r="N19" s="131">
        <f t="shared" si="6"/>
        <v>31.266263680387411</v>
      </c>
      <c r="O19" s="131">
        <f t="shared" si="6"/>
        <v>31.712786728408904</v>
      </c>
      <c r="P19" s="131">
        <f t="shared" si="6"/>
        <v>32.679236023907038</v>
      </c>
      <c r="Q19" s="131">
        <f t="shared" si="6"/>
        <v>33.431898835472879</v>
      </c>
      <c r="R19" s="131">
        <f t="shared" ref="R19:W19" si="7">SUM(R20:R27)</f>
        <v>33.557709775510375</v>
      </c>
      <c r="S19" s="131">
        <f t="shared" si="7"/>
        <v>33.968630569389575</v>
      </c>
      <c r="T19" s="131">
        <f t="shared" si="7"/>
        <v>34.15018069848329</v>
      </c>
      <c r="U19" s="131">
        <f t="shared" si="7"/>
        <v>34.383037446862666</v>
      </c>
      <c r="V19" s="131">
        <f t="shared" si="7"/>
        <v>30.719679148908455</v>
      </c>
      <c r="W19" s="131">
        <f t="shared" si="7"/>
        <v>32.676041412630511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6.6547097915840761</v>
      </c>
      <c r="C22" s="133">
        <v>6.5350862131048348</v>
      </c>
      <c r="D22" s="133">
        <v>6.6704398293371838</v>
      </c>
      <c r="E22" s="133">
        <v>6.621780057206192</v>
      </c>
      <c r="F22" s="133">
        <v>6.5226604208910093</v>
      </c>
      <c r="G22" s="133">
        <v>6.1704301214663397</v>
      </c>
      <c r="H22" s="133">
        <v>4.1466257396385693</v>
      </c>
      <c r="I22" s="133">
        <v>3.7208852859194752</v>
      </c>
      <c r="J22" s="133">
        <v>2.6161132218555445</v>
      </c>
      <c r="K22" s="133">
        <v>2.7817203275746043</v>
      </c>
      <c r="L22" s="133">
        <v>4.3254455344795009</v>
      </c>
      <c r="M22" s="133">
        <v>3.0405350840574421</v>
      </c>
      <c r="N22" s="133">
        <v>4.658605829075138</v>
      </c>
      <c r="O22" s="133">
        <v>4.6257509358777611</v>
      </c>
      <c r="P22" s="133">
        <v>4.9904961191892454</v>
      </c>
      <c r="Q22" s="133">
        <v>4.8994150715993934</v>
      </c>
      <c r="R22" s="133">
        <v>4.6822321297180531</v>
      </c>
      <c r="S22" s="133">
        <v>7.4545434226712208</v>
      </c>
      <c r="T22" s="133">
        <v>7.9914945067931553</v>
      </c>
      <c r="U22" s="133">
        <v>8.958532639979822</v>
      </c>
      <c r="V22" s="133">
        <v>7.2225752693454712</v>
      </c>
      <c r="W22" s="133">
        <v>8.3726490520313952</v>
      </c>
      <c r="DA22" s="157" t="s">
        <v>289</v>
      </c>
    </row>
    <row r="23" spans="1:105" ht="12" customHeight="1" x14ac:dyDescent="0.25">
      <c r="A23" s="132" t="s">
        <v>153</v>
      </c>
      <c r="B23" s="133">
        <v>6.310128236780943</v>
      </c>
      <c r="C23" s="133">
        <v>6.5101319934337623</v>
      </c>
      <c r="D23" s="133">
        <v>6.743605548527067</v>
      </c>
      <c r="E23" s="133">
        <v>7.3799584051058948</v>
      </c>
      <c r="F23" s="133">
        <v>7.4007799851527514</v>
      </c>
      <c r="G23" s="133">
        <v>7.6066347649989172</v>
      </c>
      <c r="H23" s="133">
        <v>7.6326171263027645</v>
      </c>
      <c r="I23" s="133">
        <v>7.665477976081851</v>
      </c>
      <c r="J23" s="133">
        <v>9.1435473216526937</v>
      </c>
      <c r="K23" s="133">
        <v>8.4884461377843934</v>
      </c>
      <c r="L23" s="133">
        <v>9.7699827998189566</v>
      </c>
      <c r="M23" s="133">
        <v>9.3119288259166435</v>
      </c>
      <c r="N23" s="133">
        <v>8.9326556889637807</v>
      </c>
      <c r="O23" s="133">
        <v>9.3253599804736993</v>
      </c>
      <c r="P23" s="133">
        <v>10.121628266869594</v>
      </c>
      <c r="Q23" s="133">
        <v>11.59419173706223</v>
      </c>
      <c r="R23" s="133">
        <v>12.29082327679293</v>
      </c>
      <c r="S23" s="133">
        <v>8.6301209165120962</v>
      </c>
      <c r="T23" s="133">
        <v>8.869410330658015</v>
      </c>
      <c r="U23" s="133">
        <v>8.4533500173207194</v>
      </c>
      <c r="V23" s="133">
        <v>5.5090325616285991</v>
      </c>
      <c r="W23" s="133">
        <v>7.8434639680223661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1.4900814605447201</v>
      </c>
      <c r="C25" s="133">
        <v>1.7885413229160907</v>
      </c>
      <c r="D25" s="133">
        <v>3.4570650990173424</v>
      </c>
      <c r="E25" s="133">
        <v>5.9638321044815514</v>
      </c>
      <c r="F25" s="133">
        <v>6.2802093745048984</v>
      </c>
      <c r="G25" s="133">
        <v>6.4635129362518544</v>
      </c>
      <c r="H25" s="133">
        <v>6.5627508942029067</v>
      </c>
      <c r="I25" s="133">
        <v>6.578619092256913</v>
      </c>
      <c r="J25" s="133">
        <v>6.533701787371152</v>
      </c>
      <c r="K25" s="133">
        <v>6.7011157052256758</v>
      </c>
      <c r="L25" s="133">
        <v>6.2247198666867316</v>
      </c>
      <c r="M25" s="133">
        <v>6.3155628312544128</v>
      </c>
      <c r="N25" s="133">
        <v>6.3957648607393836</v>
      </c>
      <c r="O25" s="133">
        <v>6.4500951823461419</v>
      </c>
      <c r="P25" s="133">
        <v>6.3158525049313488</v>
      </c>
      <c r="Q25" s="133">
        <v>6.3576112041762327</v>
      </c>
      <c r="R25" s="133">
        <v>6.3895857567652312</v>
      </c>
      <c r="S25" s="133">
        <v>6.8079784059321122</v>
      </c>
      <c r="T25" s="133">
        <v>6.1978982465067576</v>
      </c>
      <c r="U25" s="133">
        <v>6.820276442722208</v>
      </c>
      <c r="V25" s="133">
        <v>6.833551696430483</v>
      </c>
      <c r="W25" s="133">
        <v>6.0694754351591262</v>
      </c>
      <c r="DA25" s="157" t="s">
        <v>292</v>
      </c>
    </row>
    <row r="26" spans="1:105" ht="12" customHeight="1" x14ac:dyDescent="0.25">
      <c r="A26" s="132" t="s">
        <v>24</v>
      </c>
      <c r="B26" s="65">
        <v>16.717316806405787</v>
      </c>
      <c r="C26" s="65">
        <v>16.585331362556055</v>
      </c>
      <c r="D26" s="65">
        <v>14.368567668375624</v>
      </c>
      <c r="E26" s="65">
        <v>10.678702041391363</v>
      </c>
      <c r="F26" s="65">
        <v>10.675118909890053</v>
      </c>
      <c r="G26" s="65">
        <v>10.703599293180075</v>
      </c>
      <c r="H26" s="65">
        <v>12.109908800515345</v>
      </c>
      <c r="I26" s="65">
        <v>12.426742728820736</v>
      </c>
      <c r="J26" s="65">
        <v>12.427107007408518</v>
      </c>
      <c r="K26" s="65">
        <v>12.851016203887152</v>
      </c>
      <c r="L26" s="65">
        <v>11.01690345102112</v>
      </c>
      <c r="M26" s="65">
        <v>12.026192821179016</v>
      </c>
      <c r="N26" s="65">
        <v>11.279237301609106</v>
      </c>
      <c r="O26" s="65">
        <v>11.311580629711301</v>
      </c>
      <c r="P26" s="65">
        <v>11.25125913291685</v>
      </c>
      <c r="Q26" s="65">
        <v>10.580680822635019</v>
      </c>
      <c r="R26" s="65">
        <v>10.195068612234161</v>
      </c>
      <c r="S26" s="65">
        <v>11.075987824274147</v>
      </c>
      <c r="T26" s="65">
        <v>11.091377614525365</v>
      </c>
      <c r="U26" s="65">
        <v>10.150878346839917</v>
      </c>
      <c r="V26" s="65">
        <v>11.154519621503903</v>
      </c>
      <c r="W26" s="65">
        <v>10.390452957417622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32.278571060051412</v>
      </c>
      <c r="C29" s="131">
        <f t="shared" si="8"/>
        <v>34.188215421726788</v>
      </c>
      <c r="D29" s="131">
        <f t="shared" si="8"/>
        <v>34.258976571826693</v>
      </c>
      <c r="E29" s="131">
        <f t="shared" si="8"/>
        <v>34.315828899685854</v>
      </c>
      <c r="F29" s="131">
        <f t="shared" si="8"/>
        <v>34.621118996140993</v>
      </c>
      <c r="G29" s="131">
        <f t="shared" si="8"/>
        <v>35.10901139105502</v>
      </c>
      <c r="H29" s="131">
        <f t="shared" si="8"/>
        <v>35.937856834221321</v>
      </c>
      <c r="I29" s="131">
        <f t="shared" si="8"/>
        <v>36.09963266162454</v>
      </c>
      <c r="J29" s="131">
        <f t="shared" si="8"/>
        <v>36.54509097946093</v>
      </c>
      <c r="K29" s="131">
        <f t="shared" si="8"/>
        <v>38.763770603472651</v>
      </c>
      <c r="L29" s="131">
        <f t="shared" si="8"/>
        <v>39.369783692175403</v>
      </c>
      <c r="M29" s="131">
        <f t="shared" si="8"/>
        <v>40.026283307910305</v>
      </c>
      <c r="N29" s="131">
        <f t="shared" si="8"/>
        <v>40.861192855444187</v>
      </c>
      <c r="O29" s="131">
        <f t="shared" si="8"/>
        <v>41.524844546566101</v>
      </c>
      <c r="P29" s="131">
        <f t="shared" si="8"/>
        <v>41.960702361598273</v>
      </c>
      <c r="Q29" s="131">
        <f t="shared" si="8"/>
        <v>43.108423773973527</v>
      </c>
      <c r="R29" s="131">
        <f t="shared" ref="R29:W29" si="9">SUM(R30:R33)</f>
        <v>43.926081609545328</v>
      </c>
      <c r="S29" s="131">
        <f t="shared" si="9"/>
        <v>44.22550721984345</v>
      </c>
      <c r="T29" s="131">
        <f t="shared" si="9"/>
        <v>44.79263942742827</v>
      </c>
      <c r="U29" s="131">
        <f t="shared" si="9"/>
        <v>46.205373297971192</v>
      </c>
      <c r="V29" s="131">
        <f t="shared" si="9"/>
        <v>42.628673207726067</v>
      </c>
      <c r="W29" s="131">
        <f t="shared" si="9"/>
        <v>49.288105595952921</v>
      </c>
      <c r="DA29" s="156" t="s">
        <v>216</v>
      </c>
    </row>
    <row r="30" spans="1:105" ht="12" customHeight="1" x14ac:dyDescent="0.25">
      <c r="A30" s="132" t="s">
        <v>52</v>
      </c>
      <c r="B30" s="133">
        <v>4.3947549441100593</v>
      </c>
      <c r="C30" s="133">
        <v>8.7895098882201168</v>
      </c>
      <c r="D30" s="133">
        <v>4.3947549441100593</v>
      </c>
      <c r="E30" s="133">
        <v>1.0987102321582107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8.2083404987102302</v>
      </c>
      <c r="L30" s="133">
        <v>8.8214101461736849</v>
      </c>
      <c r="M30" s="133">
        <v>9.0444539982803072</v>
      </c>
      <c r="N30" s="133">
        <v>9.1576096302665491</v>
      </c>
      <c r="O30" s="133">
        <v>9.4894239036973342</v>
      </c>
      <c r="P30" s="133">
        <v>8.4665520206362803</v>
      </c>
      <c r="Q30" s="133">
        <v>9.2839208942390439</v>
      </c>
      <c r="R30" s="133">
        <v>9.9563198624247615</v>
      </c>
      <c r="S30" s="133">
        <v>8.6829750644883905</v>
      </c>
      <c r="T30" s="133">
        <v>7.6842648323301903</v>
      </c>
      <c r="U30" s="133">
        <v>9.1619948409286263</v>
      </c>
      <c r="V30" s="133">
        <v>7.0898538263112618</v>
      </c>
      <c r="W30" s="133">
        <v>10.660619088564054</v>
      </c>
      <c r="DA30" s="157" t="s">
        <v>295</v>
      </c>
    </row>
    <row r="31" spans="1:105" ht="12" customHeight="1" x14ac:dyDescent="0.25">
      <c r="A31" s="132" t="s">
        <v>153</v>
      </c>
      <c r="B31" s="133">
        <v>15.909564752209103</v>
      </c>
      <c r="C31" s="133">
        <v>16.215146849562178</v>
      </c>
      <c r="D31" s="133">
        <v>16.913039854250762</v>
      </c>
      <c r="E31" s="133">
        <v>17.01590723982218</v>
      </c>
      <c r="F31" s="133">
        <v>17.220697200493035</v>
      </c>
      <c r="G31" s="133">
        <v>16.336038545820752</v>
      </c>
      <c r="H31" s="133">
        <v>16.620000119752628</v>
      </c>
      <c r="I31" s="133">
        <v>15.8380180712188</v>
      </c>
      <c r="J31" s="133">
        <v>15.054057864517224</v>
      </c>
      <c r="K31" s="133">
        <v>13.177468856717818</v>
      </c>
      <c r="L31" s="133">
        <v>12.70693365406108</v>
      </c>
      <c r="M31" s="133">
        <v>12.800247797126355</v>
      </c>
      <c r="N31" s="133">
        <v>12.278497697829293</v>
      </c>
      <c r="O31" s="133">
        <v>11.093387291303369</v>
      </c>
      <c r="P31" s="133">
        <v>10.028580231843241</v>
      </c>
      <c r="Q31" s="133">
        <v>9.2300205337256713</v>
      </c>
      <c r="R31" s="133">
        <v>8.4534025213490605</v>
      </c>
      <c r="S31" s="133">
        <v>7.201402256116114</v>
      </c>
      <c r="T31" s="133">
        <v>6.7604539863991384</v>
      </c>
      <c r="U31" s="133">
        <v>5.7518936485624632</v>
      </c>
      <c r="V31" s="133">
        <v>4.0861661667580025</v>
      </c>
      <c r="W31" s="133">
        <v>4.9475180406440771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11.974251363732249</v>
      </c>
      <c r="C33" s="68">
        <v>9.1835586839444936</v>
      </c>
      <c r="D33" s="68">
        <v>12.951181773465871</v>
      </c>
      <c r="E33" s="68">
        <v>16.201211427705459</v>
      </c>
      <c r="F33" s="68">
        <v>17.400421795647958</v>
      </c>
      <c r="G33" s="68">
        <v>18.772972845234271</v>
      </c>
      <c r="H33" s="68">
        <v>19.317856714468693</v>
      </c>
      <c r="I33" s="68">
        <v>20.261614590405742</v>
      </c>
      <c r="J33" s="68">
        <v>21.491033114943708</v>
      </c>
      <c r="K33" s="68">
        <v>17.377961248044606</v>
      </c>
      <c r="L33" s="68">
        <v>17.841439891940635</v>
      </c>
      <c r="M33" s="68">
        <v>18.181581512503637</v>
      </c>
      <c r="N33" s="68">
        <v>19.425085527348344</v>
      </c>
      <c r="O33" s="68">
        <v>20.942033351565399</v>
      </c>
      <c r="P33" s="68">
        <v>23.465570109118751</v>
      </c>
      <c r="Q33" s="68">
        <v>24.594482346008814</v>
      </c>
      <c r="R33" s="68">
        <v>25.516359225771506</v>
      </c>
      <c r="S33" s="68">
        <v>28.341129899238943</v>
      </c>
      <c r="T33" s="68">
        <v>30.347920608698942</v>
      </c>
      <c r="U33" s="68">
        <v>31.291484808480106</v>
      </c>
      <c r="V33" s="68">
        <v>31.452653214656806</v>
      </c>
      <c r="W33" s="68">
        <v>33.679968466744789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189.18825413331021</v>
      </c>
      <c r="C3" s="126">
        <f t="shared" si="0"/>
        <v>197.91338483035437</v>
      </c>
      <c r="D3" s="126">
        <f t="shared" si="0"/>
        <v>182.9692686021433</v>
      </c>
      <c r="E3" s="126">
        <f t="shared" si="0"/>
        <v>216.80763499173639</v>
      </c>
      <c r="F3" s="126">
        <f t="shared" si="0"/>
        <v>205.25796200987133</v>
      </c>
      <c r="G3" s="126">
        <f t="shared" si="0"/>
        <v>207.20899434519657</v>
      </c>
      <c r="H3" s="126">
        <f t="shared" si="0"/>
        <v>212.37528754475863</v>
      </c>
      <c r="I3" s="126">
        <f t="shared" si="0"/>
        <v>213.51501380815969</v>
      </c>
      <c r="J3" s="126">
        <f t="shared" si="0"/>
        <v>228.84251738139639</v>
      </c>
      <c r="K3" s="126">
        <f t="shared" si="0"/>
        <v>220.35172648810385</v>
      </c>
      <c r="L3" s="126">
        <f t="shared" si="0"/>
        <v>252.85770607936263</v>
      </c>
      <c r="M3" s="126">
        <f t="shared" si="0"/>
        <v>203.10470925585463</v>
      </c>
      <c r="N3" s="126">
        <f t="shared" si="0"/>
        <v>233.50189863794822</v>
      </c>
      <c r="O3" s="126">
        <f t="shared" si="0"/>
        <v>246.49124941986597</v>
      </c>
      <c r="P3" s="126">
        <f t="shared" si="0"/>
        <v>210.44848677593001</v>
      </c>
      <c r="Q3" s="126">
        <f t="shared" si="0"/>
        <v>243.12906116660068</v>
      </c>
      <c r="R3" s="126">
        <f t="shared" ref="R3:W3" si="1">SUM(R4,R16,R19,R29)</f>
        <v>246.82379941802793</v>
      </c>
      <c r="S3" s="126">
        <f t="shared" si="1"/>
        <v>281.19599694802423</v>
      </c>
      <c r="T3" s="126">
        <f t="shared" si="1"/>
        <v>294.47766952467413</v>
      </c>
      <c r="U3" s="126">
        <f t="shared" si="1"/>
        <v>340.42513729566861</v>
      </c>
      <c r="V3" s="126">
        <f t="shared" si="1"/>
        <v>336.34075565691836</v>
      </c>
      <c r="W3" s="126">
        <f t="shared" si="1"/>
        <v>377.80504491578569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146.18334593052961</v>
      </c>
      <c r="C4" s="131">
        <f t="shared" si="2"/>
        <v>153.34103594689094</v>
      </c>
      <c r="D4" s="131">
        <f t="shared" si="2"/>
        <v>136.60256474748678</v>
      </c>
      <c r="E4" s="131">
        <f t="shared" si="2"/>
        <v>168.05906889449284</v>
      </c>
      <c r="F4" s="131">
        <f t="shared" si="2"/>
        <v>156.31867175052031</v>
      </c>
      <c r="G4" s="131">
        <f t="shared" si="2"/>
        <v>156.23459180688917</v>
      </c>
      <c r="H4" s="131">
        <f t="shared" si="2"/>
        <v>158.63232089113663</v>
      </c>
      <c r="I4" s="131">
        <f t="shared" si="2"/>
        <v>159.46255412027776</v>
      </c>
      <c r="J4" s="131">
        <f t="shared" si="2"/>
        <v>172.90163493873158</v>
      </c>
      <c r="K4" s="131">
        <f t="shared" si="2"/>
        <v>162.55978978532235</v>
      </c>
      <c r="L4" s="131">
        <f t="shared" si="2"/>
        <v>192.95600266200813</v>
      </c>
      <c r="M4" s="131">
        <f t="shared" si="2"/>
        <v>142.59402560304403</v>
      </c>
      <c r="N4" s="131">
        <f t="shared" si="2"/>
        <v>170.68972266062326</v>
      </c>
      <c r="O4" s="131">
        <f t="shared" si="2"/>
        <v>181.59273046391965</v>
      </c>
      <c r="P4" s="131">
        <f t="shared" si="2"/>
        <v>143.84549873345017</v>
      </c>
      <c r="Q4" s="131">
        <f t="shared" si="2"/>
        <v>172.48962615544698</v>
      </c>
      <c r="R4" s="131">
        <f t="shared" ref="R4:W4" si="3">SUM(R5:R15)</f>
        <v>176.06204899035524</v>
      </c>
      <c r="S4" s="131">
        <f t="shared" si="3"/>
        <v>208.3130059434547</v>
      </c>
      <c r="T4" s="131">
        <f t="shared" si="3"/>
        <v>217.5599885437085</v>
      </c>
      <c r="U4" s="131">
        <f t="shared" si="3"/>
        <v>261.02214534367522</v>
      </c>
      <c r="V4" s="131">
        <f t="shared" si="3"/>
        <v>260.9014433972784</v>
      </c>
      <c r="W4" s="131">
        <f t="shared" si="3"/>
        <v>298.16193119272492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25.573165744678114</v>
      </c>
      <c r="C7" s="133">
        <v>32.920960221820408</v>
      </c>
      <c r="D7" s="133">
        <v>30.349629167678984</v>
      </c>
      <c r="E7" s="133">
        <v>27.214001723239608</v>
      </c>
      <c r="F7" s="133">
        <v>27.348824592878231</v>
      </c>
      <c r="G7" s="133">
        <v>24.688825702560901</v>
      </c>
      <c r="H7" s="133">
        <v>14.40287266244172</v>
      </c>
      <c r="I7" s="133">
        <v>13.761366927055272</v>
      </c>
      <c r="J7" s="133">
        <v>10.889475543821492</v>
      </c>
      <c r="K7" s="133">
        <v>10.5331242227358</v>
      </c>
      <c r="L7" s="133">
        <v>23.653313822043152</v>
      </c>
      <c r="M7" s="133">
        <v>18.854728773084521</v>
      </c>
      <c r="N7" s="133">
        <v>20.859238157959883</v>
      </c>
      <c r="O7" s="133">
        <v>27.477913941180404</v>
      </c>
      <c r="P7" s="133">
        <v>25.063550528436647</v>
      </c>
      <c r="Q7" s="133">
        <v>39.306181742543806</v>
      </c>
      <c r="R7" s="133">
        <v>39.018744749547125</v>
      </c>
      <c r="S7" s="133">
        <v>59.897720463795594</v>
      </c>
      <c r="T7" s="133">
        <v>59.798381372173175</v>
      </c>
      <c r="U7" s="133">
        <v>74.230250510189776</v>
      </c>
      <c r="V7" s="133">
        <v>68.814996245757882</v>
      </c>
      <c r="W7" s="133">
        <v>62.653572824282229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65.680895287408276</v>
      </c>
      <c r="C9" s="133">
        <v>44.760651844874502</v>
      </c>
      <c r="D9" s="133">
        <v>49.869033207253956</v>
      </c>
      <c r="E9" s="133">
        <v>53.966899536261103</v>
      </c>
      <c r="F9" s="133">
        <v>46.426091541753173</v>
      </c>
      <c r="G9" s="133">
        <v>40.52614284866835</v>
      </c>
      <c r="H9" s="133">
        <v>53.524824804124215</v>
      </c>
      <c r="I9" s="133">
        <v>46.497927601367088</v>
      </c>
      <c r="J9" s="133">
        <v>60.275071560844466</v>
      </c>
      <c r="K9" s="133">
        <v>64.075085677109598</v>
      </c>
      <c r="L9" s="133">
        <v>70.964223099930123</v>
      </c>
      <c r="M9" s="133">
        <v>30.27644665070564</v>
      </c>
      <c r="N9" s="133">
        <v>57.435244155226641</v>
      </c>
      <c r="O9" s="133">
        <v>59.010088552413151</v>
      </c>
      <c r="P9" s="133">
        <v>48.381251284949528</v>
      </c>
      <c r="Q9" s="133">
        <v>57.574412739740922</v>
      </c>
      <c r="R9" s="133">
        <v>67.422681442980974</v>
      </c>
      <c r="S9" s="133">
        <v>51.243317445785081</v>
      </c>
      <c r="T9" s="133">
        <v>59.656526915382997</v>
      </c>
      <c r="U9" s="133">
        <v>66.050421750737456</v>
      </c>
      <c r="V9" s="133">
        <v>46.616874417628587</v>
      </c>
      <c r="W9" s="133">
        <v>73.527656528344636</v>
      </c>
      <c r="DA9" s="157" t="s">
        <v>306</v>
      </c>
    </row>
    <row r="10" spans="1:105" ht="12" customHeight="1" x14ac:dyDescent="0.25">
      <c r="A10" s="132" t="s">
        <v>128</v>
      </c>
      <c r="B10" s="133">
        <v>1.4839544623836036E-2</v>
      </c>
      <c r="C10" s="133">
        <v>4.577505917213287E-2</v>
      </c>
      <c r="D10" s="133">
        <v>7.6889000423594811E-2</v>
      </c>
      <c r="E10" s="133">
        <v>4.616952506793931E-2</v>
      </c>
      <c r="F10" s="133">
        <v>5.8192507325217052E-2</v>
      </c>
      <c r="G10" s="133">
        <v>4.8646124715891061E-2</v>
      </c>
      <c r="H10" s="133">
        <v>2.004709020826102E-2</v>
      </c>
      <c r="I10" s="133">
        <v>2.2017281128974359E-2</v>
      </c>
      <c r="J10" s="133">
        <v>5.968374218328093E-2</v>
      </c>
      <c r="K10" s="133">
        <v>0.12335377571101661</v>
      </c>
      <c r="L10" s="133">
        <v>9.1098565773315168E-2</v>
      </c>
      <c r="M10" s="133">
        <v>4.3391479033621325E-2</v>
      </c>
      <c r="N10" s="133">
        <v>0.13250525692090853</v>
      </c>
      <c r="O10" s="133">
        <v>0.27412414790459994</v>
      </c>
      <c r="P10" s="133">
        <v>0.38471160446187214</v>
      </c>
      <c r="Q10" s="133">
        <v>0.15741232301321176</v>
      </c>
      <c r="R10" s="133">
        <v>0.36054144067808208</v>
      </c>
      <c r="S10" s="133">
        <v>1.2443924107474288E-2</v>
      </c>
      <c r="T10" s="133">
        <v>1.7161013853318294E-2</v>
      </c>
      <c r="U10" s="133">
        <v>8.6941560250255213E-3</v>
      </c>
      <c r="V10" s="133">
        <v>3.24468175835919E-2</v>
      </c>
      <c r="W10" s="133">
        <v>9.1691219555037229E-2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8.5034808987880073</v>
      </c>
      <c r="C12" s="133">
        <v>10.65090032905948</v>
      </c>
      <c r="D12" s="133">
        <v>18.42927662387676</v>
      </c>
      <c r="E12" s="133">
        <v>43.484872106121479</v>
      </c>
      <c r="F12" s="133">
        <v>44.894455437356406</v>
      </c>
      <c r="G12" s="133">
        <v>45.337627995829493</v>
      </c>
      <c r="H12" s="133">
        <v>45.80107025601577</v>
      </c>
      <c r="I12" s="133">
        <v>35.787443882536444</v>
      </c>
      <c r="J12" s="133">
        <v>42.433877633838165</v>
      </c>
      <c r="K12" s="133">
        <v>34.828188424517613</v>
      </c>
      <c r="L12" s="133">
        <v>43.345941645388521</v>
      </c>
      <c r="M12" s="133">
        <v>47.159825967230439</v>
      </c>
      <c r="N12" s="133">
        <v>43.288783019503796</v>
      </c>
      <c r="O12" s="133">
        <v>45.929572981020037</v>
      </c>
      <c r="P12" s="133">
        <v>30.265889518213051</v>
      </c>
      <c r="Q12" s="133">
        <v>37.699646463447941</v>
      </c>
      <c r="R12" s="133">
        <v>38.878232640193161</v>
      </c>
      <c r="S12" s="133">
        <v>44.352813361269867</v>
      </c>
      <c r="T12" s="133">
        <v>51.664774908013939</v>
      </c>
      <c r="U12" s="133">
        <v>66.426129143106323</v>
      </c>
      <c r="V12" s="133">
        <v>97.755279623631267</v>
      </c>
      <c r="W12" s="133">
        <v>107.29885917622454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44.543217434449488</v>
      </c>
      <c r="C14" s="65">
        <v>63.396141177399009</v>
      </c>
      <c r="D14" s="65">
        <v>36.256598015939751</v>
      </c>
      <c r="E14" s="65">
        <v>41.622034587541144</v>
      </c>
      <c r="F14" s="65">
        <v>36.022203675427917</v>
      </c>
      <c r="G14" s="65">
        <v>44.248764417670344</v>
      </c>
      <c r="H14" s="65">
        <v>43.47119789620568</v>
      </c>
      <c r="I14" s="65">
        <v>62.182976137274423</v>
      </c>
      <c r="J14" s="65">
        <v>57.826058935715899</v>
      </c>
      <c r="K14" s="65">
        <v>51.572720048645778</v>
      </c>
      <c r="L14" s="65">
        <v>53.110617704384637</v>
      </c>
      <c r="M14" s="65">
        <v>45.241065977945759</v>
      </c>
      <c r="N14" s="65">
        <v>47.493881426676246</v>
      </c>
      <c r="O14" s="65">
        <v>47.285573666390562</v>
      </c>
      <c r="P14" s="65">
        <v>38.423610243318826</v>
      </c>
      <c r="Q14" s="65">
        <v>36.028199820912846</v>
      </c>
      <c r="R14" s="65">
        <v>28.506503734180487</v>
      </c>
      <c r="S14" s="65">
        <v>50.846450803225032</v>
      </c>
      <c r="T14" s="65">
        <v>44.30964700697848</v>
      </c>
      <c r="U14" s="65">
        <v>51.809276751285076</v>
      </c>
      <c r="V14" s="65">
        <v>45.461186130403021</v>
      </c>
      <c r="W14" s="65">
        <v>51.994822116855495</v>
      </c>
      <c r="DA14" s="109" t="s">
        <v>311</v>
      </c>
    </row>
    <row r="15" spans="1:105" ht="12" customHeight="1" x14ac:dyDescent="0.25">
      <c r="A15" s="134" t="s">
        <v>80</v>
      </c>
      <c r="B15" s="135">
        <v>1.8677470205819064</v>
      </c>
      <c r="C15" s="135">
        <v>1.566607314565398</v>
      </c>
      <c r="D15" s="135">
        <v>1.6211387323137245</v>
      </c>
      <c r="E15" s="135">
        <v>1.7250914162615509</v>
      </c>
      <c r="F15" s="135">
        <v>1.5689039957793522</v>
      </c>
      <c r="G15" s="135">
        <v>1.384584717444211</v>
      </c>
      <c r="H15" s="135">
        <v>1.4123081821410144</v>
      </c>
      <c r="I15" s="135">
        <v>1.2108222909155635</v>
      </c>
      <c r="J15" s="135">
        <v>1.4174675223282704</v>
      </c>
      <c r="K15" s="135">
        <v>1.4273176366025422</v>
      </c>
      <c r="L15" s="135">
        <v>1.7908078244883536</v>
      </c>
      <c r="M15" s="135">
        <v>1.0185667550440385</v>
      </c>
      <c r="N15" s="135">
        <v>1.4800706443357881</v>
      </c>
      <c r="O15" s="135">
        <v>1.6154571750108946</v>
      </c>
      <c r="P15" s="135">
        <v>1.3264855540702318</v>
      </c>
      <c r="Q15" s="135">
        <v>1.7237730657882562</v>
      </c>
      <c r="R15" s="135">
        <v>1.875344982775399</v>
      </c>
      <c r="S15" s="135">
        <v>1.9602599452716836</v>
      </c>
      <c r="T15" s="135">
        <v>2.1134973273066029</v>
      </c>
      <c r="U15" s="135">
        <v>2.4973730323315664</v>
      </c>
      <c r="V15" s="135">
        <v>2.2206601622740556</v>
      </c>
      <c r="W15" s="135">
        <v>2.5953293274630167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2.1579077816456818</v>
      </c>
      <c r="C16" s="131">
        <f t="shared" si="4"/>
        <v>2.7978638465211634</v>
      </c>
      <c r="D16" s="131">
        <f t="shared" si="4"/>
        <v>3.6151574117087413</v>
      </c>
      <c r="E16" s="131">
        <f t="shared" si="4"/>
        <v>5.2672912598756332</v>
      </c>
      <c r="F16" s="131">
        <f t="shared" si="4"/>
        <v>4.6999923522476168</v>
      </c>
      <c r="G16" s="131">
        <f t="shared" si="4"/>
        <v>5.9617141857051497</v>
      </c>
      <c r="H16" s="131">
        <f t="shared" si="4"/>
        <v>7.9934679196392286</v>
      </c>
      <c r="I16" s="131">
        <f t="shared" si="4"/>
        <v>7.8233584013619533</v>
      </c>
      <c r="J16" s="131">
        <f t="shared" si="4"/>
        <v>8.7595411500514349</v>
      </c>
      <c r="K16" s="131">
        <f t="shared" si="4"/>
        <v>9.7527101403585892</v>
      </c>
      <c r="L16" s="131">
        <f t="shared" si="4"/>
        <v>11.238383661249696</v>
      </c>
      <c r="M16" s="131">
        <f t="shared" si="4"/>
        <v>11.370550352417531</v>
      </c>
      <c r="N16" s="131">
        <f t="shared" si="4"/>
        <v>12.398289437407399</v>
      </c>
      <c r="O16" s="131">
        <f t="shared" si="4"/>
        <v>13.118705479324531</v>
      </c>
      <c r="P16" s="131">
        <f t="shared" si="4"/>
        <v>13.23533794092244</v>
      </c>
      <c r="Q16" s="131">
        <f t="shared" si="4"/>
        <v>15.574656235490856</v>
      </c>
      <c r="R16" s="131">
        <f t="shared" ref="R16:W16" si="5">SUM(R17:R18)</f>
        <v>14.539619703508993</v>
      </c>
      <c r="S16" s="131">
        <f t="shared" si="5"/>
        <v>15.080277626648019</v>
      </c>
      <c r="T16" s="131">
        <f t="shared" si="5"/>
        <v>17.804519458669375</v>
      </c>
      <c r="U16" s="131">
        <f t="shared" si="5"/>
        <v>18.463435483780227</v>
      </c>
      <c r="V16" s="131">
        <f t="shared" si="5"/>
        <v>18.592766347607093</v>
      </c>
      <c r="W16" s="131">
        <f t="shared" si="5"/>
        <v>16.450189081790882</v>
      </c>
      <c r="DA16" s="156" t="s">
        <v>313</v>
      </c>
    </row>
    <row r="17" spans="1:105" ht="12.95" customHeight="1" x14ac:dyDescent="0.25">
      <c r="A17" s="132" t="s">
        <v>73</v>
      </c>
      <c r="B17" s="133">
        <v>9.4292850811750813E-3</v>
      </c>
      <c r="C17" s="133">
        <v>1.3122964369242502E-2</v>
      </c>
      <c r="D17" s="133">
        <v>2.0588276279971184E-2</v>
      </c>
      <c r="E17" s="133">
        <v>2.072946626622732E-2</v>
      </c>
      <c r="F17" s="133">
        <v>3.2443774471295789E-2</v>
      </c>
      <c r="G17" s="133">
        <v>3.8199051801466474E-2</v>
      </c>
      <c r="H17" s="133">
        <v>5.3896069660747503E-2</v>
      </c>
      <c r="I17" s="133">
        <v>6.6917833257077286E-2</v>
      </c>
      <c r="J17" s="133">
        <v>7.4874712853229566E-2</v>
      </c>
      <c r="K17" s="133">
        <v>0.10244336251206154</v>
      </c>
      <c r="L17" s="133">
        <v>0.10100127987093174</v>
      </c>
      <c r="M17" s="133">
        <v>0.11020928114209426</v>
      </c>
      <c r="N17" s="133">
        <v>0.12653287816226647</v>
      </c>
      <c r="O17" s="133">
        <v>0.15602224018043181</v>
      </c>
      <c r="P17" s="133">
        <v>0.21035620999438592</v>
      </c>
      <c r="Q17" s="133">
        <v>0.29291146108641319</v>
      </c>
      <c r="R17" s="133">
        <v>0.37973815938128308</v>
      </c>
      <c r="S17" s="133">
        <v>0.46018965240504883</v>
      </c>
      <c r="T17" s="133">
        <v>0.53086881286589904</v>
      </c>
      <c r="U17" s="133">
        <v>0.59550483159297585</v>
      </c>
      <c r="V17" s="133">
        <v>0.65139576286733147</v>
      </c>
      <c r="W17" s="133">
        <v>0.70059921181673823</v>
      </c>
      <c r="DA17" s="157" t="s">
        <v>314</v>
      </c>
    </row>
    <row r="18" spans="1:105" ht="12" customHeight="1" x14ac:dyDescent="0.25">
      <c r="A18" s="132" t="s">
        <v>72</v>
      </c>
      <c r="B18" s="133">
        <v>2.1484784965645067</v>
      </c>
      <c r="C18" s="133">
        <v>2.7847408821519211</v>
      </c>
      <c r="D18" s="133">
        <v>3.5945691354287699</v>
      </c>
      <c r="E18" s="133">
        <v>5.2465617936094056</v>
      </c>
      <c r="F18" s="133">
        <v>4.667548577776321</v>
      </c>
      <c r="G18" s="133">
        <v>5.9235151339036829</v>
      </c>
      <c r="H18" s="133">
        <v>7.9395718499784813</v>
      </c>
      <c r="I18" s="133">
        <v>7.7564405681048756</v>
      </c>
      <c r="J18" s="133">
        <v>8.6846664371982047</v>
      </c>
      <c r="K18" s="133">
        <v>9.650266777846527</v>
      </c>
      <c r="L18" s="133">
        <v>11.137382381378764</v>
      </c>
      <c r="M18" s="133">
        <v>11.260341071275437</v>
      </c>
      <c r="N18" s="133">
        <v>12.271756559245134</v>
      </c>
      <c r="O18" s="133">
        <v>12.962683239144098</v>
      </c>
      <c r="P18" s="133">
        <v>13.024981730928054</v>
      </c>
      <c r="Q18" s="133">
        <v>15.281744774404443</v>
      </c>
      <c r="R18" s="133">
        <v>14.15988154412771</v>
      </c>
      <c r="S18" s="133">
        <v>14.620087974242971</v>
      </c>
      <c r="T18" s="133">
        <v>17.273650645803475</v>
      </c>
      <c r="U18" s="133">
        <v>17.867930652187251</v>
      </c>
      <c r="V18" s="133">
        <v>17.941370584739762</v>
      </c>
      <c r="W18" s="133">
        <v>15.749589869974143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19.45456491040278</v>
      </c>
      <c r="C19" s="131">
        <f t="shared" si="6"/>
        <v>19.731361643458143</v>
      </c>
      <c r="D19" s="131">
        <f t="shared" si="6"/>
        <v>19.910303924830252</v>
      </c>
      <c r="E19" s="131">
        <f t="shared" si="6"/>
        <v>19.93693707055137</v>
      </c>
      <c r="F19" s="131">
        <f t="shared" si="6"/>
        <v>20.22756493684102</v>
      </c>
      <c r="G19" s="131">
        <f t="shared" si="6"/>
        <v>20.407731194869775</v>
      </c>
      <c r="H19" s="131">
        <f t="shared" si="6"/>
        <v>20.499709945069281</v>
      </c>
      <c r="I19" s="131">
        <f t="shared" si="6"/>
        <v>20.653941407497477</v>
      </c>
      <c r="J19" s="131">
        <f t="shared" si="6"/>
        <v>21.049944462392304</v>
      </c>
      <c r="K19" s="131">
        <f t="shared" si="6"/>
        <v>21.323816528551326</v>
      </c>
      <c r="L19" s="131">
        <f t="shared" si="6"/>
        <v>21.464394666607792</v>
      </c>
      <c r="M19" s="131">
        <f t="shared" si="6"/>
        <v>21.461497362472549</v>
      </c>
      <c r="N19" s="131">
        <f t="shared" si="6"/>
        <v>21.954333077327021</v>
      </c>
      <c r="O19" s="131">
        <f t="shared" si="6"/>
        <v>22.565296278287498</v>
      </c>
      <c r="P19" s="131">
        <f t="shared" si="6"/>
        <v>23.308440513573792</v>
      </c>
      <c r="Q19" s="131">
        <f t="shared" si="6"/>
        <v>23.998615288340389</v>
      </c>
      <c r="R19" s="131">
        <f t="shared" ref="R19:W19" si="7">SUM(R20:R27)</f>
        <v>24.369181636999233</v>
      </c>
      <c r="S19" s="131">
        <f t="shared" si="7"/>
        <v>25.051265804199787</v>
      </c>
      <c r="T19" s="131">
        <f t="shared" si="7"/>
        <v>25.439097969302303</v>
      </c>
      <c r="U19" s="131">
        <f t="shared" si="7"/>
        <v>26.023318395952273</v>
      </c>
      <c r="V19" s="131">
        <f t="shared" si="7"/>
        <v>23.879006972264364</v>
      </c>
      <c r="W19" s="131">
        <f t="shared" si="7"/>
        <v>25.464434652068356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3.552282883435824</v>
      </c>
      <c r="C22" s="133">
        <v>3.4973534981290606</v>
      </c>
      <c r="D22" s="133">
        <v>3.5809536317188639</v>
      </c>
      <c r="E22" s="133">
        <v>3.5657420899544454</v>
      </c>
      <c r="F22" s="133">
        <v>3.51944567395604</v>
      </c>
      <c r="G22" s="133">
        <v>3.3325180074117249</v>
      </c>
      <c r="H22" s="133">
        <v>2.2418309254153317</v>
      </c>
      <c r="I22" s="133">
        <v>2.0122017005956518</v>
      </c>
      <c r="J22" s="133">
        <v>1.4149112261352987</v>
      </c>
      <c r="K22" s="133">
        <v>1.5106018677940971</v>
      </c>
      <c r="L22" s="133">
        <v>2.4017851169853399</v>
      </c>
      <c r="M22" s="133">
        <v>1.7202295015516818</v>
      </c>
      <c r="N22" s="133">
        <v>2.7141299360413993</v>
      </c>
      <c r="O22" s="133">
        <v>2.7607158960764195</v>
      </c>
      <c r="P22" s="133">
        <v>3.0142285581665824</v>
      </c>
      <c r="Q22" s="133">
        <v>3.0169828302662016</v>
      </c>
      <c r="R22" s="133">
        <v>2.9790633574201584</v>
      </c>
      <c r="S22" s="133">
        <v>4.9792195007867512</v>
      </c>
      <c r="T22" s="133">
        <v>5.5047334524952669</v>
      </c>
      <c r="U22" s="133">
        <v>6.3095852289452035</v>
      </c>
      <c r="V22" s="133">
        <v>5.1380034820786964</v>
      </c>
      <c r="W22" s="133">
        <v>6.0183660126964913</v>
      </c>
      <c r="DA22" s="157" t="s">
        <v>319</v>
      </c>
    </row>
    <row r="23" spans="1:105" ht="12" customHeight="1" x14ac:dyDescent="0.25">
      <c r="A23" s="132" t="s">
        <v>153</v>
      </c>
      <c r="B23" s="133">
        <v>3.4411826693036853</v>
      </c>
      <c r="C23" s="133">
        <v>3.585132079897182</v>
      </c>
      <c r="D23" s="133">
        <v>3.7630317859720526</v>
      </c>
      <c r="E23" s="133">
        <v>4.1730157112529369</v>
      </c>
      <c r="F23" s="133">
        <v>4.2333932308240092</v>
      </c>
      <c r="G23" s="133">
        <v>4.4015221283595949</v>
      </c>
      <c r="H23" s="133">
        <v>4.4717507772305716</v>
      </c>
      <c r="I23" s="133">
        <v>4.5505443246229484</v>
      </c>
      <c r="J23" s="133">
        <v>5.5151752708138604</v>
      </c>
      <c r="K23" s="133">
        <v>5.1878532257375483</v>
      </c>
      <c r="L23" s="133">
        <v>6.0620389470998894</v>
      </c>
      <c r="M23" s="133">
        <v>5.8561100769437395</v>
      </c>
      <c r="N23" s="133">
        <v>5.7094973096542612</v>
      </c>
      <c r="O23" s="133">
        <v>6.0802359793214329</v>
      </c>
      <c r="P23" s="133">
        <v>6.6810593514112009</v>
      </c>
      <c r="Q23" s="133">
        <v>7.7571707877241405</v>
      </c>
      <c r="R23" s="133">
        <v>8.3370441284661396</v>
      </c>
      <c r="S23" s="133">
        <v>5.9238507599141306</v>
      </c>
      <c r="T23" s="133">
        <v>6.1323764783495598</v>
      </c>
      <c r="U23" s="133">
        <v>5.8919622670140557</v>
      </c>
      <c r="V23" s="133">
        <v>3.8692350483039557</v>
      </c>
      <c r="W23" s="133">
        <v>5.6091560961781992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1.2163778836504491</v>
      </c>
      <c r="C25" s="133">
        <v>1.4749618472346873</v>
      </c>
      <c r="D25" s="133">
        <v>2.884518047457306</v>
      </c>
      <c r="E25" s="133">
        <v>5.0021529082403084</v>
      </c>
      <c r="F25" s="133">
        <v>5.2811142255200805</v>
      </c>
      <c r="G25" s="133">
        <v>5.444161651930667</v>
      </c>
      <c r="H25" s="133">
        <v>5.533946253310063</v>
      </c>
      <c r="I25" s="133">
        <v>5.5533646821996756</v>
      </c>
      <c r="J25" s="133">
        <v>5.5210167692873293</v>
      </c>
      <c r="K25" s="133">
        <v>5.669391328029902</v>
      </c>
      <c r="L25" s="133">
        <v>5.2728825137261808</v>
      </c>
      <c r="M25" s="133">
        <v>5.361075628458349</v>
      </c>
      <c r="N25" s="133">
        <v>5.4437909934340434</v>
      </c>
      <c r="O25" s="133">
        <v>5.5085038256574377</v>
      </c>
      <c r="P25" s="133">
        <v>5.4103655808896018</v>
      </c>
      <c r="Q25" s="133">
        <v>5.4727812962050555</v>
      </c>
      <c r="R25" s="133">
        <v>5.5362434547873081</v>
      </c>
      <c r="S25" s="133">
        <v>5.9504902359750176</v>
      </c>
      <c r="T25" s="133">
        <v>5.4658268065792859</v>
      </c>
      <c r="U25" s="133">
        <v>6.0604286159987151</v>
      </c>
      <c r="V25" s="133">
        <v>6.1062666012523312</v>
      </c>
      <c r="W25" s="133">
        <v>5.4432224659438475</v>
      </c>
      <c r="DA25" s="157" t="s">
        <v>322</v>
      </c>
    </row>
    <row r="26" spans="1:105" ht="12" customHeight="1" x14ac:dyDescent="0.25">
      <c r="A26" s="132" t="s">
        <v>24</v>
      </c>
      <c r="B26" s="65">
        <v>11.244721474012824</v>
      </c>
      <c r="C26" s="65">
        <v>11.173914218197215</v>
      </c>
      <c r="D26" s="65">
        <v>9.681800459682032</v>
      </c>
      <c r="E26" s="65">
        <v>7.1960263611036792</v>
      </c>
      <c r="F26" s="65">
        <v>7.1936118065408881</v>
      </c>
      <c r="G26" s="65">
        <v>7.2295294071677896</v>
      </c>
      <c r="H26" s="65">
        <v>8.2521819891133141</v>
      </c>
      <c r="I26" s="65">
        <v>8.5378307000792031</v>
      </c>
      <c r="J26" s="65">
        <v>8.5988411961558171</v>
      </c>
      <c r="K26" s="65">
        <v>8.9559701069897795</v>
      </c>
      <c r="L26" s="65">
        <v>7.7276880887963797</v>
      </c>
      <c r="M26" s="65">
        <v>8.5240821555187818</v>
      </c>
      <c r="N26" s="65">
        <v>8.0869148381973144</v>
      </c>
      <c r="O26" s="65">
        <v>8.215840577232207</v>
      </c>
      <c r="P26" s="65">
        <v>8.2027870231064099</v>
      </c>
      <c r="Q26" s="65">
        <v>7.7516803741449936</v>
      </c>
      <c r="R26" s="65">
        <v>7.5168306963256262</v>
      </c>
      <c r="S26" s="65">
        <v>8.1977053075238882</v>
      </c>
      <c r="T26" s="65">
        <v>8.3361612318781901</v>
      </c>
      <c r="U26" s="65">
        <v>7.7613422839942983</v>
      </c>
      <c r="V26" s="65">
        <v>8.7655018406293781</v>
      </c>
      <c r="W26" s="65">
        <v>8.3936900772498202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21.392435510732128</v>
      </c>
      <c r="C29" s="131">
        <f t="shared" si="8"/>
        <v>22.043123393484148</v>
      </c>
      <c r="D29" s="131">
        <f t="shared" si="8"/>
        <v>22.841242518117536</v>
      </c>
      <c r="E29" s="131">
        <f t="shared" si="8"/>
        <v>23.544337766816547</v>
      </c>
      <c r="F29" s="131">
        <f t="shared" si="8"/>
        <v>24.011732970262386</v>
      </c>
      <c r="G29" s="131">
        <f t="shared" si="8"/>
        <v>24.6049571577325</v>
      </c>
      <c r="H29" s="131">
        <f t="shared" si="8"/>
        <v>25.24978878891352</v>
      </c>
      <c r="I29" s="131">
        <f t="shared" si="8"/>
        <v>25.575159879022486</v>
      </c>
      <c r="J29" s="131">
        <f t="shared" si="8"/>
        <v>26.131396830221064</v>
      </c>
      <c r="K29" s="131">
        <f t="shared" si="8"/>
        <v>26.715410033871557</v>
      </c>
      <c r="L29" s="131">
        <f t="shared" si="8"/>
        <v>27.19892508949701</v>
      </c>
      <c r="M29" s="131">
        <f t="shared" si="8"/>
        <v>27.678635937920511</v>
      </c>
      <c r="N29" s="131">
        <f t="shared" si="8"/>
        <v>28.459553462590506</v>
      </c>
      <c r="O29" s="131">
        <f t="shared" si="8"/>
        <v>29.214517198334303</v>
      </c>
      <c r="P29" s="131">
        <f t="shared" si="8"/>
        <v>30.059209587983574</v>
      </c>
      <c r="Q29" s="131">
        <f t="shared" si="8"/>
        <v>31.066163487322438</v>
      </c>
      <c r="R29" s="131">
        <f t="shared" ref="R29:W29" si="9">SUM(R30:R33)</f>
        <v>31.852949087164468</v>
      </c>
      <c r="S29" s="131">
        <f t="shared" si="9"/>
        <v>32.751447573721777</v>
      </c>
      <c r="T29" s="131">
        <f t="shared" si="9"/>
        <v>33.67406355299395</v>
      </c>
      <c r="U29" s="131">
        <f t="shared" si="9"/>
        <v>34.916238072260839</v>
      </c>
      <c r="V29" s="131">
        <f t="shared" si="9"/>
        <v>32.967538939768509</v>
      </c>
      <c r="W29" s="131">
        <f t="shared" si="9"/>
        <v>37.728489989201528</v>
      </c>
      <c r="DA29" s="156" t="s">
        <v>325</v>
      </c>
    </row>
    <row r="30" spans="1:105" ht="12" customHeight="1" x14ac:dyDescent="0.25">
      <c r="A30" s="132" t="s">
        <v>52</v>
      </c>
      <c r="B30" s="133">
        <v>2.6056302285830495</v>
      </c>
      <c r="C30" s="133">
        <v>5.2149055256107513</v>
      </c>
      <c r="D30" s="133">
        <v>2.6076740154699416</v>
      </c>
      <c r="E30" s="133">
        <v>0.65193125882246283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4.9444526827067339</v>
      </c>
      <c r="L30" s="133">
        <v>5.3144746838642787</v>
      </c>
      <c r="M30" s="133">
        <v>5.4493290809460451</v>
      </c>
      <c r="N30" s="133">
        <v>5.5175620767539666</v>
      </c>
      <c r="O30" s="133">
        <v>5.7175576526909246</v>
      </c>
      <c r="P30" s="133">
        <v>5.1013136621531459</v>
      </c>
      <c r="Q30" s="133">
        <v>5.5940175299515387</v>
      </c>
      <c r="R30" s="133">
        <v>6.0000739007615556</v>
      </c>
      <c r="S30" s="133">
        <v>5.2341676176497103</v>
      </c>
      <c r="T30" s="133">
        <v>4.6376532603034066</v>
      </c>
      <c r="U30" s="133">
        <v>5.5383421610419816</v>
      </c>
      <c r="V30" s="133">
        <v>4.3003206083158716</v>
      </c>
      <c r="W30" s="133">
        <v>6.4953125826241767</v>
      </c>
      <c r="DA30" s="157" t="s">
        <v>326</v>
      </c>
    </row>
    <row r="31" spans="1:105" ht="12" customHeight="1" x14ac:dyDescent="0.25">
      <c r="A31" s="132" t="s">
        <v>153</v>
      </c>
      <c r="B31" s="133">
        <v>9.4790027585150405</v>
      </c>
      <c r="C31" s="133">
        <v>9.6728457255043665</v>
      </c>
      <c r="D31" s="133">
        <v>10.101804621812114</v>
      </c>
      <c r="E31" s="133">
        <v>10.17567903614537</v>
      </c>
      <c r="F31" s="133">
        <v>10.311596046146871</v>
      </c>
      <c r="G31" s="133">
        <v>9.7944486937379853</v>
      </c>
      <c r="H31" s="133">
        <v>9.979594901279949</v>
      </c>
      <c r="I31" s="133">
        <v>9.5246489570191901</v>
      </c>
      <c r="J31" s="133">
        <v>9.0690507796184789</v>
      </c>
      <c r="K31" s="133">
        <v>7.95518717752147</v>
      </c>
      <c r="L31" s="133">
        <v>7.6840581483599335</v>
      </c>
      <c r="M31" s="133">
        <v>7.7432683184950655</v>
      </c>
      <c r="N31" s="133">
        <v>7.4315297272065681</v>
      </c>
      <c r="O31" s="133">
        <v>6.7190424965592532</v>
      </c>
      <c r="P31" s="133">
        <v>6.0777855466234234</v>
      </c>
      <c r="Q31" s="133">
        <v>5.5967068429432487</v>
      </c>
      <c r="R31" s="133">
        <v>5.1289128702660784</v>
      </c>
      <c r="S31" s="133">
        <v>4.3722112177932777</v>
      </c>
      <c r="T31" s="133">
        <v>4.1085086305421736</v>
      </c>
      <c r="U31" s="133">
        <v>3.498928967147338</v>
      </c>
      <c r="V31" s="133">
        <v>2.4876989904332332</v>
      </c>
      <c r="W31" s="133">
        <v>3.0139859899844357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9.3078025236340363</v>
      </c>
      <c r="C33" s="68">
        <v>7.1553721423690293</v>
      </c>
      <c r="D33" s="68">
        <v>10.13176388083548</v>
      </c>
      <c r="E33" s="68">
        <v>12.716727471848715</v>
      </c>
      <c r="F33" s="68">
        <v>13.700136924115517</v>
      </c>
      <c r="G33" s="68">
        <v>14.810508463994513</v>
      </c>
      <c r="H33" s="68">
        <v>15.270193887633571</v>
      </c>
      <c r="I33" s="68">
        <v>16.050510922003294</v>
      </c>
      <c r="J33" s="68">
        <v>17.062346050602585</v>
      </c>
      <c r="K33" s="68">
        <v>13.815770173643354</v>
      </c>
      <c r="L33" s="68">
        <v>14.200392257272798</v>
      </c>
      <c r="M33" s="68">
        <v>14.486038538479402</v>
      </c>
      <c r="N33" s="68">
        <v>15.510461658629973</v>
      </c>
      <c r="O33" s="68">
        <v>16.777917049084124</v>
      </c>
      <c r="P33" s="68">
        <v>18.880110379207004</v>
      </c>
      <c r="Q33" s="68">
        <v>19.87543911442765</v>
      </c>
      <c r="R33" s="68">
        <v>20.723962316136834</v>
      </c>
      <c r="S33" s="68">
        <v>23.145068738278784</v>
      </c>
      <c r="T33" s="68">
        <v>24.927901662148368</v>
      </c>
      <c r="U33" s="68">
        <v>25.878966944071518</v>
      </c>
      <c r="V33" s="68">
        <v>26.179519341019404</v>
      </c>
      <c r="W33" s="68">
        <v>28.219191416592917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0.59104365346276411</v>
      </c>
      <c r="C3" s="127">
        <f>IF(SER_hh_tes!C3=0,"",SER_hh_tes!C3/SER_hh_fec!C3)</f>
        <v>0.60978287140156295</v>
      </c>
      <c r="D3" s="127">
        <f>IF(SER_hh_tes!D3=0,"",SER_hh_tes!D3/SER_hh_fec!D3)</f>
        <v>0.61135265761596025</v>
      </c>
      <c r="E3" s="127">
        <f>IF(SER_hh_tes!E3=0,"",SER_hh_tes!E3/SER_hh_fec!E3)</f>
        <v>0.64152114002239435</v>
      </c>
      <c r="F3" s="127">
        <f>IF(SER_hh_tes!F3=0,"",SER_hh_tes!F3/SER_hh_fec!F3)</f>
        <v>0.64736053095588975</v>
      </c>
      <c r="G3" s="127">
        <f>IF(SER_hh_tes!G3=0,"",SER_hh_tes!G3/SER_hh_fec!G3)</f>
        <v>0.66656129622117888</v>
      </c>
      <c r="H3" s="127">
        <f>IF(SER_hh_tes!H3=0,"",SER_hh_tes!H3/SER_hh_fec!H3)</f>
        <v>0.68467797193838176</v>
      </c>
      <c r="I3" s="127">
        <f>IF(SER_hh_tes!I3=0,"",SER_hh_tes!I3/SER_hh_fec!I3)</f>
        <v>0.69748889647762558</v>
      </c>
      <c r="J3" s="127">
        <f>IF(SER_hh_tes!J3=0,"",SER_hh_tes!J3/SER_hh_fec!J3)</f>
        <v>0.70657599283395967</v>
      </c>
      <c r="K3" s="127">
        <f>IF(SER_hh_tes!K3=0,"",SER_hh_tes!K3/SER_hh_fec!K3)</f>
        <v>0.70802037307510191</v>
      </c>
      <c r="L3" s="127">
        <f>IF(SER_hh_tes!L3=0,"",SER_hh_tes!L3/SER_hh_fec!L3)</f>
        <v>0.70688650188605739</v>
      </c>
      <c r="M3" s="127">
        <f>IF(SER_hh_tes!M3=0,"",SER_hh_tes!M3/SER_hh_fec!M3)</f>
        <v>0.74474183369925384</v>
      </c>
      <c r="N3" s="127">
        <f>IF(SER_hh_tes!N3=0,"",SER_hh_tes!N3/SER_hh_fec!N3)</f>
        <v>0.74266437089280646</v>
      </c>
      <c r="O3" s="127">
        <f>IF(SER_hh_tes!O3=0,"",SER_hh_tes!O3/SER_hh_fec!O3)</f>
        <v>0.75266582949383032</v>
      </c>
      <c r="P3" s="127">
        <f>IF(SER_hh_tes!P3=0,"",SER_hh_tes!P3/SER_hh_fec!P3)</f>
        <v>0.75814934381388654</v>
      </c>
      <c r="Q3" s="127">
        <f>IF(SER_hh_tes!Q3=0,"",SER_hh_tes!Q3/SER_hh_fec!Q3)</f>
        <v>0.75915894911699189</v>
      </c>
      <c r="R3" s="127">
        <f>IF(SER_hh_tes!R3=0,"",SER_hh_tes!R3/SER_hh_fec!R3)</f>
        <v>0.75977405648253182</v>
      </c>
      <c r="S3" s="127">
        <f>IF(SER_hh_tes!S3=0,"",SER_hh_tes!S3/SER_hh_fec!S3)</f>
        <v>0.76617185327917225</v>
      </c>
      <c r="T3" s="127">
        <f>IF(SER_hh_tes!T3=0,"",SER_hh_tes!T3/SER_hh_fec!T3)</f>
        <v>0.77820614524092935</v>
      </c>
      <c r="U3" s="127">
        <f>IF(SER_hh_tes!U3=0,"",SER_hh_tes!U3/SER_hh_fec!U3)</f>
        <v>0.78064519573160984</v>
      </c>
      <c r="V3" s="127">
        <f>IF(SER_hh_tes!V3=0,"",SER_hh_tes!V3/SER_hh_fec!V3)</f>
        <v>0.80377059429869457</v>
      </c>
      <c r="W3" s="127">
        <f>IF(SER_hh_tes!W3=0,"",SER_hh_tes!W3/SER_hh_fec!W3)</f>
        <v>0.8021209139583575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0.57219024569468147</v>
      </c>
      <c r="C4" s="136">
        <f>IF(SER_hh_tes!C4=0,"",SER_hh_tes!C4/SER_hh_fec!C4)</f>
        <v>0.59535631871810846</v>
      </c>
      <c r="D4" s="136">
        <f>IF(SER_hh_tes!D4=0,"",SER_hh_tes!D4/SER_hh_fec!D4)</f>
        <v>0.58854770388669531</v>
      </c>
      <c r="E4" s="136">
        <f>IF(SER_hh_tes!E4=0,"",SER_hh_tes!E4/SER_hh_fec!E4)</f>
        <v>0.62094230144577944</v>
      </c>
      <c r="F4" s="136">
        <f>IF(SER_hh_tes!F4=0,"",SER_hh_tes!F4/SER_hh_fec!F4)</f>
        <v>0.62636562510364913</v>
      </c>
      <c r="G4" s="136">
        <f>IF(SER_hh_tes!G4=0,"",SER_hh_tes!G4/SER_hh_fec!G4)</f>
        <v>0.64455480824616029</v>
      </c>
      <c r="H4" s="136">
        <f>IF(SER_hh_tes!H4=0,"",SER_hh_tes!H4/SER_hh_fec!H4)</f>
        <v>0.6591222284845073</v>
      </c>
      <c r="I4" s="136">
        <f>IF(SER_hh_tes!I4=0,"",SER_hh_tes!I4/SER_hh_fec!I4)</f>
        <v>0.67371373032468818</v>
      </c>
      <c r="J4" s="136">
        <f>IF(SER_hh_tes!J4=0,"",SER_hh_tes!J4/SER_hh_fec!J4)</f>
        <v>0.68221573585850726</v>
      </c>
      <c r="K4" s="136">
        <f>IF(SER_hh_tes!K4=0,"",SER_hh_tes!K4/SER_hh_fec!K4)</f>
        <v>0.68253592920523598</v>
      </c>
      <c r="L4" s="136">
        <f>IF(SER_hh_tes!L4=0,"",SER_hh_tes!L4/SER_hh_fec!L4)</f>
        <v>0.68157616965798173</v>
      </c>
      <c r="M4" s="136">
        <f>IF(SER_hh_tes!M4=0,"",SER_hh_tes!M4/SER_hh_fec!M4)</f>
        <v>0.71955270842911057</v>
      </c>
      <c r="N4" s="136">
        <f>IF(SER_hh_tes!N4=0,"",SER_hh_tes!N4/SER_hh_fec!N4)</f>
        <v>0.7164948282203133</v>
      </c>
      <c r="O4" s="136">
        <f>IF(SER_hh_tes!O4=0,"",SER_hh_tes!O4/SER_hh_fec!O4)</f>
        <v>0.72616460407501904</v>
      </c>
      <c r="P4" s="136">
        <f>IF(SER_hh_tes!P4=0,"",SER_hh_tes!P4/SER_hh_fec!P4)</f>
        <v>0.72342519896050295</v>
      </c>
      <c r="Q4" s="136">
        <f>IF(SER_hh_tes!Q4=0,"",SER_hh_tes!Q4/SER_hh_fec!Q4)</f>
        <v>0.7215802250900385</v>
      </c>
      <c r="R4" s="136">
        <f>IF(SER_hh_tes!R4=0,"",SER_hh_tes!R4/SER_hh_fec!R4)</f>
        <v>0.72420913995389136</v>
      </c>
      <c r="S4" s="136">
        <f>IF(SER_hh_tes!S4=0,"",SER_hh_tes!S4/SER_hh_fec!S4)</f>
        <v>0.73217527783557179</v>
      </c>
      <c r="T4" s="136">
        <f>IF(SER_hh_tes!T4=0,"",SER_hh_tes!T4/SER_hh_fec!T4)</f>
        <v>0.73864045007851742</v>
      </c>
      <c r="U4" s="136">
        <f>IF(SER_hh_tes!U4=0,"",SER_hh_tes!U4/SER_hh_fec!U4)</f>
        <v>0.7446976104525157</v>
      </c>
      <c r="V4" s="136">
        <f>IF(SER_hh_tes!V4=0,"",SER_hh_tes!V4/SER_hh_fec!V4)</f>
        <v>0.76695206026651042</v>
      </c>
      <c r="W4" s="136">
        <f>IF(SER_hh_tes!W4=0,"",SER_hh_tes!W4/SER_hh_fec!W4)</f>
        <v>0.77497479930074586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0.47174676033817847</v>
      </c>
      <c r="C7" s="137">
        <f>IF(SER_hh_tes!C7=0,"",SER_hh_tes!C7/SER_hh_fec!C7)</f>
        <v>0.47501106341999116</v>
      </c>
      <c r="D7" s="137">
        <f>IF(SER_hh_tes!D7=0,"",SER_hh_tes!D7/SER_hh_fec!D7)</f>
        <v>0.47834929361273787</v>
      </c>
      <c r="E7" s="137">
        <f>IF(SER_hh_tes!E7=0,"",SER_hh_tes!E7/SER_hh_fec!E7)</f>
        <v>0.47894523468999572</v>
      </c>
      <c r="F7" s="137">
        <f>IF(SER_hh_tes!F7=0,"",SER_hh_tes!F7/SER_hh_fec!F7)</f>
        <v>0.48006358683263617</v>
      </c>
      <c r="G7" s="137">
        <f>IF(SER_hh_tes!G7=0,"",SER_hh_tes!G7/SER_hh_fec!G7)</f>
        <v>0.48093404685613034</v>
      </c>
      <c r="H7" s="137">
        <f>IF(SER_hh_tes!H7=0,"",SER_hh_tes!H7/SER_hh_fec!H7)</f>
        <v>0.48168931642033147</v>
      </c>
      <c r="I7" s="137">
        <f>IF(SER_hh_tes!I7=0,"",SER_hh_tes!I7/SER_hh_fec!I7)</f>
        <v>0.48168931642033141</v>
      </c>
      <c r="J7" s="137">
        <f>IF(SER_hh_tes!J7=0,"",SER_hh_tes!J7/SER_hh_fec!J7)</f>
        <v>0.48168931642033153</v>
      </c>
      <c r="K7" s="137">
        <f>IF(SER_hh_tes!K7=0,"",SER_hh_tes!K7/SER_hh_fec!K7)</f>
        <v>0.49536356129276748</v>
      </c>
      <c r="L7" s="137">
        <f>IF(SER_hh_tes!L7=0,"",SER_hh_tes!L7/SER_hh_fec!L7)</f>
        <v>0.52948276173725795</v>
      </c>
      <c r="M7" s="137">
        <f>IF(SER_hh_tes!M7=0,"",SER_hh_tes!M7/SER_hh_fec!M7)</f>
        <v>0.55569537894874621</v>
      </c>
      <c r="N7" s="137">
        <f>IF(SER_hh_tes!N7=0,"",SER_hh_tes!N7/SER_hh_fec!N7)</f>
        <v>0.57997680870738044</v>
      </c>
      <c r="O7" s="137">
        <f>IF(SER_hh_tes!O7=0,"",SER_hh_tes!O7/SER_hh_fec!O7)</f>
        <v>0.60380234857060489</v>
      </c>
      <c r="P7" s="137">
        <f>IF(SER_hh_tes!P7=0,"",SER_hh_tes!P7/SER_hh_fec!P7)</f>
        <v>0.61319195556220984</v>
      </c>
      <c r="Q7" s="137">
        <f>IF(SER_hh_tes!Q7=0,"",SER_hh_tes!Q7/SER_hh_fec!Q7)</f>
        <v>0.62717168657525102</v>
      </c>
      <c r="R7" s="137">
        <f>IF(SER_hh_tes!R7=0,"",SER_hh_tes!R7/SER_hh_fec!R7)</f>
        <v>0.63693867169168839</v>
      </c>
      <c r="S7" s="137">
        <f>IF(SER_hh_tes!S7=0,"",SER_hh_tes!S7/SER_hh_fec!S7)</f>
        <v>0.64818723388654675</v>
      </c>
      <c r="T7" s="137">
        <f>IF(SER_hh_tes!T7=0,"",SER_hh_tes!T7/SER_hh_fec!T7)</f>
        <v>0.65354102807513426</v>
      </c>
      <c r="U7" s="137">
        <f>IF(SER_hh_tes!U7=0,"",SER_hh_tes!U7/SER_hh_fec!U7)</f>
        <v>0.65644768989110225</v>
      </c>
      <c r="V7" s="137">
        <f>IF(SER_hh_tes!V7=0,"",SER_hh_tes!V7/SER_hh_fec!V7)</f>
        <v>0.65925039245033457</v>
      </c>
      <c r="W7" s="137">
        <f>IF(SER_hh_tes!W7=0,"",SER_hh_tes!W7/SER_hh_fec!W7)</f>
        <v>0.66191302046789258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0.51854986315152729</v>
      </c>
      <c r="C9" s="137">
        <f>IF(SER_hh_tes!C9=0,"",SER_hh_tes!C9/SER_hh_fec!C9)</f>
        <v>0.52471946699666994</v>
      </c>
      <c r="D9" s="137">
        <f>IF(SER_hh_tes!D9=0,"",SER_hh_tes!D9/SER_hh_fec!D9)</f>
        <v>0.52989354260086552</v>
      </c>
      <c r="E9" s="137">
        <f>IF(SER_hh_tes!E9=0,"",SER_hh_tes!E9/SER_hh_fec!E9)</f>
        <v>0.53089724021558715</v>
      </c>
      <c r="F9" s="137">
        <f>IF(SER_hh_tes!F9=0,"",SER_hh_tes!F9/SER_hh_fec!F9)</f>
        <v>0.53414693199844121</v>
      </c>
      <c r="G9" s="137">
        <f>IF(SER_hh_tes!G9=0,"",SER_hh_tes!G9/SER_hh_fec!G9)</f>
        <v>0.54557733381238227</v>
      </c>
      <c r="H9" s="137">
        <f>IF(SER_hh_tes!H9=0,"",SER_hh_tes!H9/SER_hh_fec!H9)</f>
        <v>0.56235255937371365</v>
      </c>
      <c r="I9" s="137">
        <f>IF(SER_hh_tes!I9=0,"",SER_hh_tes!I9/SER_hh_fec!I9)</f>
        <v>0.57994401817095409</v>
      </c>
      <c r="J9" s="137">
        <f>IF(SER_hh_tes!J9=0,"",SER_hh_tes!J9/SER_hh_fec!J9)</f>
        <v>0.59641447443164097</v>
      </c>
      <c r="K9" s="137">
        <f>IF(SER_hh_tes!K9=0,"",SER_hh_tes!K9/SER_hh_fec!K9)</f>
        <v>0.61052733165486861</v>
      </c>
      <c r="L9" s="137">
        <f>IF(SER_hh_tes!L9=0,"",SER_hh_tes!L9/SER_hh_fec!L9)</f>
        <v>0.61985402747607454</v>
      </c>
      <c r="M9" s="137">
        <f>IF(SER_hh_tes!M9=0,"",SER_hh_tes!M9/SER_hh_fec!M9)</f>
        <v>0.63721292542374774</v>
      </c>
      <c r="N9" s="137">
        <f>IF(SER_hh_tes!N9=0,"",SER_hh_tes!N9/SER_hh_fec!N9)</f>
        <v>0.65816436910918519</v>
      </c>
      <c r="O9" s="137">
        <f>IF(SER_hh_tes!O9=0,"",SER_hh_tes!O9/SER_hh_fec!O9)</f>
        <v>0.67865028790323489</v>
      </c>
      <c r="P9" s="137">
        <f>IF(SER_hh_tes!P9=0,"",SER_hh_tes!P9/SER_hh_fec!P9)</f>
        <v>0.68508753033052239</v>
      </c>
      <c r="Q9" s="137">
        <f>IF(SER_hh_tes!Q9=0,"",SER_hh_tes!Q9/SER_hh_fec!Q9)</f>
        <v>0.69002167885364274</v>
      </c>
      <c r="R9" s="137">
        <f>IF(SER_hh_tes!R9=0,"",SER_hh_tes!R9/SER_hh_fec!R9)</f>
        <v>0.69451213152738001</v>
      </c>
      <c r="S9" s="137">
        <f>IF(SER_hh_tes!S9=0,"",SER_hh_tes!S9/SER_hh_fec!S9)</f>
        <v>0.6978336705545376</v>
      </c>
      <c r="T9" s="137">
        <f>IF(SER_hh_tes!T9=0,"",SER_hh_tes!T9/SER_hh_fec!T9)</f>
        <v>0.70073892816936101</v>
      </c>
      <c r="U9" s="137">
        <f>IF(SER_hh_tes!U9=0,"",SER_hh_tes!U9/SER_hh_fec!U9)</f>
        <v>0.70366183177471497</v>
      </c>
      <c r="V9" s="137">
        <f>IF(SER_hh_tes!V9=0,"",SER_hh_tes!V9/SER_hh_fec!V9)</f>
        <v>0.70769603228516376</v>
      </c>
      <c r="W9" s="137">
        <f>IF(SER_hh_tes!W9=0,"",SER_hh_tes!W9/SER_hh_fec!W9)</f>
        <v>0.71981637217479821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0.62080540998278133</v>
      </c>
      <c r="C10" s="137">
        <f>IF(SER_hh_tes!C10=0,"",SER_hh_tes!C10/SER_hh_fec!C10)</f>
        <v>0.63909236275138737</v>
      </c>
      <c r="D10" s="137">
        <f>IF(SER_hh_tes!D10=0,"",SER_hh_tes!D10/SER_hh_fec!D10)</f>
        <v>0.64378623104852917</v>
      </c>
      <c r="E10" s="137">
        <f>IF(SER_hh_tes!E10=0,"",SER_hh_tes!E10/SER_hh_fec!E10)</f>
        <v>0.64459973174085783</v>
      </c>
      <c r="F10" s="137">
        <f>IF(SER_hh_tes!F10=0,"",SER_hh_tes!F10/SER_hh_fec!F10)</f>
        <v>0.64516573898214891</v>
      </c>
      <c r="G10" s="137">
        <f>IF(SER_hh_tes!G10=0,"",SER_hh_tes!G10/SER_hh_fec!G10)</f>
        <v>0.64583839091987782</v>
      </c>
      <c r="H10" s="137">
        <f>IF(SER_hh_tes!H10=0,"",SER_hh_tes!H10/SER_hh_fec!H10)</f>
        <v>0.64583839091987782</v>
      </c>
      <c r="I10" s="137">
        <f>IF(SER_hh_tes!I10=0,"",SER_hh_tes!I10/SER_hh_fec!I10)</f>
        <v>0.64825564437967576</v>
      </c>
      <c r="J10" s="137">
        <f>IF(SER_hh_tes!J10=0,"",SER_hh_tes!J10/SER_hh_fec!J10)</f>
        <v>0.65237022705973424</v>
      </c>
      <c r="K10" s="137">
        <f>IF(SER_hh_tes!K10=0,"",SER_hh_tes!K10/SER_hh_fec!K10)</f>
        <v>0.65536976314258699</v>
      </c>
      <c r="L10" s="137">
        <f>IF(SER_hh_tes!L10=0,"",SER_hh_tes!L10/SER_hh_fec!L10)</f>
        <v>0.65642894668132279</v>
      </c>
      <c r="M10" s="137">
        <f>IF(SER_hh_tes!M10=0,"",SER_hh_tes!M10/SER_hh_fec!M10)</f>
        <v>0.65794380855412726</v>
      </c>
      <c r="N10" s="137">
        <f>IF(SER_hh_tes!N10=0,"",SER_hh_tes!N10/SER_hh_fec!N10)</f>
        <v>0.65969012756428336</v>
      </c>
      <c r="O10" s="137">
        <f>IF(SER_hh_tes!O10=0,"",SER_hh_tes!O10/SER_hh_fec!O10)</f>
        <v>0.66046485190190551</v>
      </c>
      <c r="P10" s="137">
        <f>IF(SER_hh_tes!P10=0,"",SER_hh_tes!P10/SER_hh_fec!P10)</f>
        <v>0.66059293664426044</v>
      </c>
      <c r="Q10" s="137">
        <f>IF(SER_hh_tes!Q10=0,"",SER_hh_tes!Q10/SER_hh_fec!Q10)</f>
        <v>0.66066593888258973</v>
      </c>
      <c r="R10" s="137">
        <f>IF(SER_hh_tes!R10=0,"",SER_hh_tes!R10/SER_hh_fec!R10)</f>
        <v>0.66074644738198796</v>
      </c>
      <c r="S10" s="137">
        <f>IF(SER_hh_tes!S10=0,"",SER_hh_tes!S10/SER_hh_fec!S10)</f>
        <v>0.66083487383528106</v>
      </c>
      <c r="T10" s="137">
        <f>IF(SER_hh_tes!T10=0,"",SER_hh_tes!T10/SER_hh_fec!T10)</f>
        <v>0.66086950700030433</v>
      </c>
      <c r="U10" s="137">
        <f>IF(SER_hh_tes!U10=0,"",SER_hh_tes!U10/SER_hh_fec!U10)</f>
        <v>0.66086950700030578</v>
      </c>
      <c r="V10" s="137">
        <f>IF(SER_hh_tes!V10=0,"",SER_hh_tes!V10/SER_hh_fec!V10)</f>
        <v>0.66086950700030489</v>
      </c>
      <c r="W10" s="137">
        <f>IF(SER_hh_tes!W10=0,"",SER_hh_tes!W10/SER_hh_fec!W10)</f>
        <v>0.66110904118108149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0.80637958359996253</v>
      </c>
      <c r="C12" s="137">
        <f>IF(SER_hh_tes!C12=0,"",SER_hh_tes!C12/SER_hh_fec!C12)</f>
        <v>0.81455747646587362</v>
      </c>
      <c r="D12" s="137">
        <f>IF(SER_hh_tes!D12=0,"",SER_hh_tes!D12/SER_hh_fec!D12)</f>
        <v>0.82454494362534003</v>
      </c>
      <c r="E12" s="137">
        <f>IF(SER_hh_tes!E12=0,"",SER_hh_tes!E12/SER_hh_fec!E12)</f>
        <v>0.82877921873954541</v>
      </c>
      <c r="F12" s="137">
        <f>IF(SER_hh_tes!F12=0,"",SER_hh_tes!F12/SER_hh_fec!F12)</f>
        <v>0.83082692405315406</v>
      </c>
      <c r="G12" s="137">
        <f>IF(SER_hh_tes!G12=0,"",SER_hh_tes!G12/SER_hh_fec!G12)</f>
        <v>0.83185113246957476</v>
      </c>
      <c r="H12" s="137">
        <f>IF(SER_hh_tes!H12=0,"",SER_hh_tes!H12/SER_hh_fec!H12)</f>
        <v>0.83230015751383357</v>
      </c>
      <c r="I12" s="137">
        <f>IF(SER_hh_tes!I12=0,"",SER_hh_tes!I12/SER_hh_fec!I12)</f>
        <v>0.83274627857311134</v>
      </c>
      <c r="J12" s="137">
        <f>IF(SER_hh_tes!J12=0,"",SER_hh_tes!J12/SER_hh_fec!J12)</f>
        <v>0.83308595404674035</v>
      </c>
      <c r="K12" s="137">
        <f>IF(SER_hh_tes!K12=0,"",SER_hh_tes!K12/SER_hh_fec!K12)</f>
        <v>0.83378821004632964</v>
      </c>
      <c r="L12" s="137">
        <f>IF(SER_hh_tes!L12=0,"",SER_hh_tes!L12/SER_hh_fec!L12)</f>
        <v>0.83565747184563277</v>
      </c>
      <c r="M12" s="137">
        <f>IF(SER_hh_tes!M12=0,"",SER_hh_tes!M12/SER_hh_fec!M12)</f>
        <v>0.83736457497510008</v>
      </c>
      <c r="N12" s="137">
        <f>IF(SER_hh_tes!N12=0,"",SER_hh_tes!N12/SER_hh_fec!N12)</f>
        <v>0.83936733843310507</v>
      </c>
      <c r="O12" s="137">
        <f>IF(SER_hh_tes!O12=0,"",SER_hh_tes!O12/SER_hh_fec!O12)</f>
        <v>0.84107726798402271</v>
      </c>
      <c r="P12" s="137">
        <f>IF(SER_hh_tes!P12=0,"",SER_hh_tes!P12/SER_hh_fec!P12)</f>
        <v>0.84274886128425475</v>
      </c>
      <c r="Q12" s="137">
        <f>IF(SER_hh_tes!Q12=0,"",SER_hh_tes!Q12/SER_hh_fec!Q12)</f>
        <v>0.84607958907975944</v>
      </c>
      <c r="R12" s="137">
        <f>IF(SER_hh_tes!R12=0,"",SER_hh_tes!R12/SER_hh_fec!R12)</f>
        <v>0.85105045555312586</v>
      </c>
      <c r="S12" s="137">
        <f>IF(SER_hh_tes!S12=0,"",SER_hh_tes!S12/SER_hh_fec!S12)</f>
        <v>0.85808614117383608</v>
      </c>
      <c r="T12" s="137">
        <f>IF(SER_hh_tes!T12=0,"",SER_hh_tes!T12/SER_hh_fec!T12)</f>
        <v>0.86705322389690198</v>
      </c>
      <c r="U12" s="137">
        <f>IF(SER_hh_tes!U12=0,"",SER_hh_tes!U12/SER_hh_fec!U12)</f>
        <v>0.87409310132259554</v>
      </c>
      <c r="V12" s="137">
        <f>IF(SER_hh_tes!V12=0,"",SER_hh_tes!V12/SER_hh_fec!V12)</f>
        <v>0.87967119008623473</v>
      </c>
      <c r="W12" s="137">
        <f>IF(SER_hh_tes!W12=0,"",SER_hh_tes!W12/SER_hh_fec!W12)</f>
        <v>0.88215926243290055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0.71646009098762697</v>
      </c>
      <c r="C14" s="138">
        <f>IF(SER_hh_tes!C14=0,"",SER_hh_tes!C14/SER_hh_fec!C14)</f>
        <v>0.71846572574046896</v>
      </c>
      <c r="D14" s="138">
        <f>IF(SER_hh_tes!D14=0,"",SER_hh_tes!D14/SER_hh_fec!D14)</f>
        <v>0.71864017942740321</v>
      </c>
      <c r="E14" s="138">
        <f>IF(SER_hh_tes!E14=0,"",SER_hh_tes!E14/SER_hh_fec!E14)</f>
        <v>0.71869413626474765</v>
      </c>
      <c r="F14" s="138">
        <f>IF(SER_hh_tes!F14=0,"",SER_hh_tes!F14/SER_hh_fec!F14)</f>
        <v>0.72067320976467952</v>
      </c>
      <c r="G14" s="138">
        <f>IF(SER_hh_tes!G14=0,"",SER_hh_tes!G14/SER_hh_fec!G14)</f>
        <v>0.72761883197501753</v>
      </c>
      <c r="H14" s="138">
        <f>IF(SER_hh_tes!H14=0,"",SER_hh_tes!H14/SER_hh_fec!H14)</f>
        <v>0.73532580312841822</v>
      </c>
      <c r="I14" s="138">
        <f>IF(SER_hh_tes!I14=0,"",SER_hh_tes!I14/SER_hh_fec!I14)</f>
        <v>0.74269332641905084</v>
      </c>
      <c r="J14" s="138">
        <f>IF(SER_hh_tes!J14=0,"",SER_hh_tes!J14/SER_hh_fec!J14)</f>
        <v>0.74780885353072335</v>
      </c>
      <c r="K14" s="138">
        <f>IF(SER_hh_tes!K14=0,"",SER_hh_tes!K14/SER_hh_fec!K14)</f>
        <v>0.75211868437247487</v>
      </c>
      <c r="L14" s="138">
        <f>IF(SER_hh_tes!L14=0,"",SER_hh_tes!L14/SER_hh_fec!L14)</f>
        <v>0.75715791945859123</v>
      </c>
      <c r="M14" s="138">
        <f>IF(SER_hh_tes!M14=0,"",SER_hh_tes!M14/SER_hh_fec!M14)</f>
        <v>0.76262691713575148</v>
      </c>
      <c r="N14" s="138">
        <f>IF(SER_hh_tes!N14=0,"",SER_hh_tes!N14/SER_hh_fec!N14)</f>
        <v>0.7692146434821433</v>
      </c>
      <c r="O14" s="138">
        <f>IF(SER_hh_tes!O14=0,"",SER_hh_tes!O14/SER_hh_fec!O14)</f>
        <v>0.77552629927794647</v>
      </c>
      <c r="P14" s="138">
        <f>IF(SER_hh_tes!P14=0,"",SER_hh_tes!P14/SER_hh_fec!P14)</f>
        <v>0.7758757609282757</v>
      </c>
      <c r="Q14" s="138">
        <f>IF(SER_hh_tes!Q14=0,"",SER_hh_tes!Q14/SER_hh_fec!Q14)</f>
        <v>0.77624353330182028</v>
      </c>
      <c r="R14" s="138">
        <f>IF(SER_hh_tes!R14=0,"",SER_hh_tes!R14/SER_hh_fec!R14)</f>
        <v>0.77744850503567908</v>
      </c>
      <c r="S14" s="138">
        <f>IF(SER_hh_tes!S14=0,"",SER_hh_tes!S14/SER_hh_fec!S14)</f>
        <v>0.78218956319604671</v>
      </c>
      <c r="T14" s="138">
        <f>IF(SER_hh_tes!T14=0,"",SER_hh_tes!T14/SER_hh_fec!T14)</f>
        <v>0.78867703023444491</v>
      </c>
      <c r="U14" s="138">
        <f>IF(SER_hh_tes!U14=0,"",SER_hh_tes!U14/SER_hh_fec!U14)</f>
        <v>0.79636395680622474</v>
      </c>
      <c r="V14" s="138">
        <f>IF(SER_hh_tes!V14=0,"",SER_hh_tes!V14/SER_hh_fec!V14)</f>
        <v>0.80422779790028975</v>
      </c>
      <c r="W14" s="138">
        <f>IF(SER_hh_tes!W14=0,"",SER_hh_tes!W14/SER_hh_fec!W14)</f>
        <v>0.81793510100900146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1.8591102955242289</v>
      </c>
      <c r="C16" s="136">
        <f>IF(SER_hh_tes!C16=0,"",SER_hh_tes!C16/SER_hh_fec!C16)</f>
        <v>2.0061996689462291</v>
      </c>
      <c r="D16" s="136">
        <f>IF(SER_hh_tes!D16=0,"",SER_hh_tes!D16/SER_hh_fec!D16)</f>
        <v>2.1439469596628427</v>
      </c>
      <c r="E16" s="136">
        <f>IF(SER_hh_tes!E16=0,"",SER_hh_tes!E16/SER_hh_fec!E16)</f>
        <v>2.2443540332489009</v>
      </c>
      <c r="F16" s="136">
        <f>IF(SER_hh_tes!F16=0,"",SER_hh_tes!F16/SER_hh_fec!F16)</f>
        <v>2.3446677503412179</v>
      </c>
      <c r="G16" s="136">
        <f>IF(SER_hh_tes!G16=0,"",SER_hh_tes!G16/SER_hh_fec!G16)</f>
        <v>2.4655968212448358</v>
      </c>
      <c r="H16" s="136">
        <f>IF(SER_hh_tes!H16=0,"",SER_hh_tes!H16/SER_hh_fec!H16)</f>
        <v>2.5612757609531096</v>
      </c>
      <c r="I16" s="136">
        <f>IF(SER_hh_tes!I16=0,"",SER_hh_tes!I16/SER_hh_fec!I16)</f>
        <v>2.6642929297404314</v>
      </c>
      <c r="J16" s="136">
        <f>IF(SER_hh_tes!J16=0,"",SER_hh_tes!J16/SER_hh_fec!J16)</f>
        <v>2.7646056226000679</v>
      </c>
      <c r="K16" s="136">
        <f>IF(SER_hh_tes!K16=0,"",SER_hh_tes!K16/SER_hh_fec!K16)</f>
        <v>2.8138850097998054</v>
      </c>
      <c r="L16" s="136">
        <f>IF(SER_hh_tes!L16=0,"",SER_hh_tes!L16/SER_hh_fec!L16)</f>
        <v>2.8840250678485249</v>
      </c>
      <c r="M16" s="136">
        <f>IF(SER_hh_tes!M16=0,"",SER_hh_tes!M16/SER_hh_fec!M16)</f>
        <v>2.9708251780642243</v>
      </c>
      <c r="N16" s="136">
        <f>IF(SER_hh_tes!N16=0,"",SER_hh_tes!N16/SER_hh_fec!N16)</f>
        <v>3.0576933919911276</v>
      </c>
      <c r="O16" s="136">
        <f>IF(SER_hh_tes!O16=0,"",SER_hh_tes!O16/SER_hh_fec!O16)</f>
        <v>3.1367268893063782</v>
      </c>
      <c r="P16" s="136">
        <f>IF(SER_hh_tes!P16=0,"",SER_hh_tes!P16/SER_hh_fec!P16)</f>
        <v>3.2262379447043514</v>
      </c>
      <c r="Q16" s="136">
        <f>IF(SER_hh_tes!Q16=0,"",SER_hh_tes!Q16/SER_hh_fec!Q16)</f>
        <v>3.3304291031294495</v>
      </c>
      <c r="R16" s="136">
        <f>IF(SER_hh_tes!R16=0,"",SER_hh_tes!R16/SER_hh_fec!R16)</f>
        <v>3.4038301289801529</v>
      </c>
      <c r="S16" s="136">
        <f>IF(SER_hh_tes!S16=0,"",SER_hh_tes!S16/SER_hh_fec!S16)</f>
        <v>3.5008202476252022</v>
      </c>
      <c r="T16" s="136">
        <f>IF(SER_hh_tes!T16=0,"",SER_hh_tes!T16/SER_hh_fec!T16)</f>
        <v>3.6174870625056998</v>
      </c>
      <c r="U16" s="136">
        <f>IF(SER_hh_tes!U16=0,"",SER_hh_tes!U16/SER_hh_fec!U16)</f>
        <v>3.7032090412444791</v>
      </c>
      <c r="V16" s="136">
        <f>IF(SER_hh_tes!V16=0,"",SER_hh_tes!V16/SER_hh_fec!V16)</f>
        <v>3.7746286793152892</v>
      </c>
      <c r="W16" s="136">
        <f>IF(SER_hh_tes!W16=0,"",SER_hh_tes!W16/SER_hh_fec!W16)</f>
        <v>3.8204119544027138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1.2684679714216551</v>
      </c>
      <c r="C17" s="137">
        <f>IF(SER_hh_tes!C17=0,"",SER_hh_tes!C17/SER_hh_fec!C17)</f>
        <v>1.2838547724181111</v>
      </c>
      <c r="D17" s="137">
        <f>IF(SER_hh_tes!D17=0,"",SER_hh_tes!D17/SER_hh_fec!D17)</f>
        <v>1.2984121988706523</v>
      </c>
      <c r="E17" s="137">
        <f>IF(SER_hh_tes!E17=0,"",SER_hh_tes!E17/SER_hh_fec!E17)</f>
        <v>1.300322425818476</v>
      </c>
      <c r="F17" s="137">
        <f>IF(SER_hh_tes!F17=0,"",SER_hh_tes!F17/SER_hh_fec!F17)</f>
        <v>1.3133766399160953</v>
      </c>
      <c r="G17" s="137">
        <f>IF(SER_hh_tes!G17=0,"",SER_hh_tes!G17/SER_hh_fec!G17)</f>
        <v>1.3171993681978127</v>
      </c>
      <c r="H17" s="137">
        <f>IF(SER_hh_tes!H17=0,"",SER_hh_tes!H17/SER_hh_fec!H17)</f>
        <v>1.3212057251464064</v>
      </c>
      <c r="I17" s="137">
        <f>IF(SER_hh_tes!I17=0,"",SER_hh_tes!I17/SER_hh_fec!I17)</f>
        <v>1.3264427901610134</v>
      </c>
      <c r="J17" s="137">
        <f>IF(SER_hh_tes!J17=0,"",SER_hh_tes!J17/SER_hh_fec!J17)</f>
        <v>1.3289095196821881</v>
      </c>
      <c r="K17" s="137">
        <f>IF(SER_hh_tes!K17=0,"",SER_hh_tes!K17/SER_hh_fec!K17)</f>
        <v>1.3307534579979121</v>
      </c>
      <c r="L17" s="137">
        <f>IF(SER_hh_tes!L17=0,"",SER_hh_tes!L17/SER_hh_fec!L17)</f>
        <v>1.332541936725504</v>
      </c>
      <c r="M17" s="137">
        <f>IF(SER_hh_tes!M17=0,"",SER_hh_tes!M17/SER_hh_fec!M17)</f>
        <v>1.3362847617622589</v>
      </c>
      <c r="N17" s="137">
        <f>IF(SER_hh_tes!N17=0,"",SER_hh_tes!N17/SER_hh_fec!N17)</f>
        <v>1.341502288366917</v>
      </c>
      <c r="O17" s="137">
        <f>IF(SER_hh_tes!O17=0,"",SER_hh_tes!O17/SER_hh_fec!O17)</f>
        <v>1.3524287971623459</v>
      </c>
      <c r="P17" s="137">
        <f>IF(SER_hh_tes!P17=0,"",SER_hh_tes!P17/SER_hh_fec!P17)</f>
        <v>1.3765746073980678</v>
      </c>
      <c r="Q17" s="137">
        <f>IF(SER_hh_tes!Q17=0,"",SER_hh_tes!Q17/SER_hh_fec!Q17)</f>
        <v>1.3967032063159404</v>
      </c>
      <c r="R17" s="137">
        <f>IF(SER_hh_tes!R17=0,"",SER_hh_tes!R17/SER_hh_fec!R17)</f>
        <v>1.4280536289000609</v>
      </c>
      <c r="S17" s="137">
        <f>IF(SER_hh_tes!S17=0,"",SER_hh_tes!S17/SER_hh_fec!S17)</f>
        <v>1.448326605541878</v>
      </c>
      <c r="T17" s="137">
        <f>IF(SER_hh_tes!T17=0,"",SER_hh_tes!T17/SER_hh_fec!T17)</f>
        <v>1.461904185656381</v>
      </c>
      <c r="U17" s="137">
        <f>IF(SER_hh_tes!U17=0,"",SER_hh_tes!U17/SER_hh_fec!U17)</f>
        <v>1.4836057734938095</v>
      </c>
      <c r="V17" s="137">
        <f>IF(SER_hh_tes!V17=0,"",SER_hh_tes!V17/SER_hh_fec!V17)</f>
        <v>1.5054082809713907</v>
      </c>
      <c r="W17" s="137">
        <f>IF(SER_hh_tes!W17=0,"",SER_hh_tes!W17/SER_hh_fec!W17)</f>
        <v>1.5304217366946795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1.8629173263672909</v>
      </c>
      <c r="C18" s="137">
        <f>IF(SER_hh_tes!C18=0,"",SER_hh_tes!C18/SER_hh_fec!C18)</f>
        <v>2.011533055254088</v>
      </c>
      <c r="D18" s="137">
        <f>IF(SER_hh_tes!D18=0,"",SER_hh_tes!D18/SER_hh_fec!D18)</f>
        <v>2.1519735102491704</v>
      </c>
      <c r="E18" s="137">
        <f>IF(SER_hh_tes!E18=0,"",SER_hh_tes!E18/SER_hh_fec!E18)</f>
        <v>2.2508103930139018</v>
      </c>
      <c r="F18" s="137">
        <f>IF(SER_hh_tes!F18=0,"",SER_hh_tes!F18/SER_hh_fec!F18)</f>
        <v>2.3575352066102506</v>
      </c>
      <c r="G18" s="137">
        <f>IF(SER_hh_tes!G18=0,"",SER_hh_tes!G18/SER_hh_fec!G18)</f>
        <v>2.4795375177085548</v>
      </c>
      <c r="H18" s="137">
        <f>IF(SER_hh_tes!H18=0,"",SER_hh_tes!H18/SER_hh_fec!H18)</f>
        <v>2.5776993489194338</v>
      </c>
      <c r="I18" s="137">
        <f>IF(SER_hh_tes!I18=0,"",SER_hh_tes!I18/SER_hh_fec!I18)</f>
        <v>2.6876800046333251</v>
      </c>
      <c r="J18" s="137">
        <f>IF(SER_hh_tes!J18=0,"",SER_hh_tes!J18/SER_hh_fec!J18)</f>
        <v>2.7905980248127902</v>
      </c>
      <c r="K18" s="137">
        <f>IF(SER_hh_tes!K18=0,"",SER_hh_tes!K18/SER_hh_fec!K18)</f>
        <v>2.8475750677494824</v>
      </c>
      <c r="L18" s="137">
        <f>IF(SER_hh_tes!L18=0,"",SER_hh_tes!L18/SER_hh_fec!L18)</f>
        <v>2.9148015452356195</v>
      </c>
      <c r="M18" s="137">
        <f>IF(SER_hh_tes!M18=0,"",SER_hh_tes!M18/SER_hh_fec!M18)</f>
        <v>3.0068225730878084</v>
      </c>
      <c r="N18" s="137">
        <f>IF(SER_hh_tes!N18=0,"",SER_hh_tes!N18/SER_hh_fec!N18)</f>
        <v>3.0985659317980274</v>
      </c>
      <c r="O18" s="137">
        <f>IF(SER_hh_tes!O18=0,"",SER_hh_tes!O18/SER_hh_fec!O18)</f>
        <v>3.1873411801115701</v>
      </c>
      <c r="P18" s="137">
        <f>IF(SER_hh_tes!P18=0,"",SER_hh_tes!P18/SER_hh_fec!P18)</f>
        <v>3.2978021319354398</v>
      </c>
      <c r="Q18" s="137">
        <f>IF(SER_hh_tes!Q18=0,"",SER_hh_tes!Q18/SER_hh_fec!Q18)</f>
        <v>3.4212184757560604</v>
      </c>
      <c r="R18" s="137">
        <f>IF(SER_hh_tes!R18=0,"",SER_hh_tes!R18/SER_hh_fec!R18)</f>
        <v>3.5349916083366315</v>
      </c>
      <c r="S18" s="137">
        <f>IF(SER_hh_tes!S18=0,"",SER_hh_tes!S18/SER_hh_fec!S18)</f>
        <v>3.6642721173794319</v>
      </c>
      <c r="T18" s="137">
        <f>IF(SER_hh_tes!T18=0,"",SER_hh_tes!T18/SER_hh_fec!T18)</f>
        <v>3.7891972694975293</v>
      </c>
      <c r="U18" s="137">
        <f>IF(SER_hh_tes!U18=0,"",SER_hh_tes!U18/SER_hh_fec!U18)</f>
        <v>3.8975477517615014</v>
      </c>
      <c r="V18" s="137">
        <f>IF(SER_hh_tes!V18=0,"",SER_hh_tes!V18/SER_hh_fec!V18)</f>
        <v>3.9931678318107604</v>
      </c>
      <c r="W18" s="137">
        <f>IF(SER_hh_tes!W18=0,"",SER_hh_tes!W18/SER_hh_fec!W18)</f>
        <v>4.0928372109217079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0.62409910941571922</v>
      </c>
      <c r="C19" s="136">
        <f>IF(SER_hh_tes!C19=0,"",SER_hh_tes!C19/SER_hh_fec!C19)</f>
        <v>0.62800549230644487</v>
      </c>
      <c r="D19" s="136">
        <f>IF(SER_hh_tes!D19=0,"",SER_hh_tes!D19/SER_hh_fec!D19)</f>
        <v>0.63734023866225453</v>
      </c>
      <c r="E19" s="136">
        <f>IF(SER_hh_tes!E19=0,"",SER_hh_tes!E19/SER_hh_fec!E19)</f>
        <v>0.65059260258722118</v>
      </c>
      <c r="F19" s="136">
        <f>IF(SER_hh_tes!F19=0,"",SER_hh_tes!F19/SER_hh_fec!F19)</f>
        <v>0.65506384466373735</v>
      </c>
      <c r="G19" s="136">
        <f>IF(SER_hh_tes!G19=0,"",SER_hh_tes!G19/SER_hh_fec!G19)</f>
        <v>0.65950149905216104</v>
      </c>
      <c r="H19" s="136">
        <f>IF(SER_hh_tes!H19=0,"",SER_hh_tes!H19/SER_hh_fec!H19)</f>
        <v>0.67318322407719078</v>
      </c>
      <c r="I19" s="136">
        <f>IF(SER_hh_tes!I19=0,"",SER_hh_tes!I19/SER_hh_fec!I19)</f>
        <v>0.67959095283462057</v>
      </c>
      <c r="J19" s="136">
        <f>IF(SER_hh_tes!J19=0,"",SER_hh_tes!J19/SER_hh_fec!J19)</f>
        <v>0.6852090777193004</v>
      </c>
      <c r="K19" s="136">
        <f>IF(SER_hh_tes!K19=0,"",SER_hh_tes!K19/SER_hh_fec!K19)</f>
        <v>0.69183083848842708</v>
      </c>
      <c r="L19" s="136">
        <f>IF(SER_hh_tes!L19=0,"",SER_hh_tes!L19/SER_hh_fec!L19)</f>
        <v>0.68495258918953106</v>
      </c>
      <c r="M19" s="136">
        <f>IF(SER_hh_tes!M19=0,"",SER_hh_tes!M19/SER_hh_fec!M19)</f>
        <v>0.69920322681073588</v>
      </c>
      <c r="N19" s="136">
        <f>IF(SER_hh_tes!N19=0,"",SER_hh_tes!N19/SER_hh_fec!N19)</f>
        <v>0.70217322100748658</v>
      </c>
      <c r="O19" s="136">
        <f>IF(SER_hh_tes!O19=0,"",SER_hh_tes!O19/SER_hh_fec!O19)</f>
        <v>0.71155198284965249</v>
      </c>
      <c r="P19" s="136">
        <f>IF(SER_hh_tes!P19=0,"",SER_hh_tes!P19/SER_hh_fec!P19)</f>
        <v>0.71324924782580956</v>
      </c>
      <c r="Q19" s="136">
        <f>IF(SER_hh_tes!Q19=0,"",SER_hh_tes!Q19/SER_hh_fec!Q19)</f>
        <v>0.7178358431402253</v>
      </c>
      <c r="R19" s="136">
        <f>IF(SER_hh_tes!R19=0,"",SER_hh_tes!R19/SER_hh_fec!R19)</f>
        <v>0.72618726963254465</v>
      </c>
      <c r="S19" s="136">
        <f>IF(SER_hh_tes!S19=0,"",SER_hh_tes!S19/SER_hh_fec!S19)</f>
        <v>0.73748235899666903</v>
      </c>
      <c r="T19" s="136">
        <f>IF(SER_hh_tes!T19=0,"",SER_hh_tes!T19/SER_hh_fec!T19)</f>
        <v>0.74491840010767874</v>
      </c>
      <c r="U19" s="136">
        <f>IF(SER_hh_tes!U19=0,"",SER_hh_tes!U19/SER_hh_fec!U19)</f>
        <v>0.7568650220670603</v>
      </c>
      <c r="V19" s="136">
        <f>IF(SER_hh_tes!V19=0,"",SER_hh_tes!V19/SER_hh_fec!V19)</f>
        <v>0.77731954349246002</v>
      </c>
      <c r="W19" s="136">
        <f>IF(SER_hh_tes!W19=0,"",SER_hh_tes!W19/SER_hh_fec!W19)</f>
        <v>0.77929986470837931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0.53379981917892838</v>
      </c>
      <c r="C22" s="137">
        <f>IF(SER_hh_tes!C22=0,"",SER_hh_tes!C22/SER_hh_fec!C22)</f>
        <v>0.53516562507099041</v>
      </c>
      <c r="D22" s="137">
        <f>IF(SER_hh_tes!D22=0,"",SER_hh_tes!D22/SER_hh_fec!D22)</f>
        <v>0.53683920750915304</v>
      </c>
      <c r="E22" s="137">
        <f>IF(SER_hh_tes!E22=0,"",SER_hh_tes!E22/SER_hh_fec!E22)</f>
        <v>0.53848694144922638</v>
      </c>
      <c r="F22" s="137">
        <f>IF(SER_hh_tes!F22=0,"",SER_hh_tes!F22/SER_hh_fec!F22)</f>
        <v>0.53957211426856344</v>
      </c>
      <c r="G22" s="137">
        <f>IF(SER_hh_tes!G22=0,"",SER_hh_tes!G22/SER_hh_fec!G22)</f>
        <v>0.54007872090119158</v>
      </c>
      <c r="H22" s="137">
        <f>IF(SER_hh_tes!H22=0,"",SER_hh_tes!H22/SER_hh_fec!H22)</f>
        <v>0.5406398035841874</v>
      </c>
      <c r="I22" s="137">
        <f>IF(SER_hh_tes!I22=0,"",SER_hh_tes!I22/SER_hh_fec!I22)</f>
        <v>0.54078573940728536</v>
      </c>
      <c r="J22" s="137">
        <f>IF(SER_hh_tes!J22=0,"",SER_hh_tes!J22/SER_hh_fec!J22)</f>
        <v>0.54084479766198235</v>
      </c>
      <c r="K22" s="137">
        <f>IF(SER_hh_tes!K22=0,"",SER_hh_tes!K22/SER_hh_fec!K22)</f>
        <v>0.5430459175999186</v>
      </c>
      <c r="L22" s="137">
        <f>IF(SER_hh_tes!L22=0,"",SER_hh_tes!L22/SER_hh_fec!L22)</f>
        <v>0.55526883828265727</v>
      </c>
      <c r="M22" s="137">
        <f>IF(SER_hh_tes!M22=0,"",SER_hh_tes!M22/SER_hh_fec!M22)</f>
        <v>0.56576538470857618</v>
      </c>
      <c r="N22" s="137">
        <f>IF(SER_hh_tes!N22=0,"",SER_hh_tes!N22/SER_hh_fec!N22)</f>
        <v>0.58260561971181601</v>
      </c>
      <c r="O22" s="137">
        <f>IF(SER_hh_tes!O22=0,"",SER_hh_tes!O22/SER_hh_fec!O22)</f>
        <v>0.59681464357798564</v>
      </c>
      <c r="P22" s="137">
        <f>IF(SER_hh_tes!P22=0,"",SER_hh_tes!P22/SER_hh_fec!P22)</f>
        <v>0.6039937685907415</v>
      </c>
      <c r="Q22" s="137">
        <f>IF(SER_hh_tes!Q22=0,"",SER_hh_tes!Q22/SER_hh_fec!Q22)</f>
        <v>0.61578428979305078</v>
      </c>
      <c r="R22" s="137">
        <f>IF(SER_hh_tes!R22=0,"",SER_hh_tes!R22/SER_hh_fec!R22)</f>
        <v>0.63624854020203114</v>
      </c>
      <c r="S22" s="137">
        <f>IF(SER_hh_tes!S22=0,"",SER_hh_tes!S22/SER_hh_fec!S22)</f>
        <v>0.66794426143439445</v>
      </c>
      <c r="T22" s="137">
        <f>IF(SER_hh_tes!T22=0,"",SER_hh_tes!T22/SER_hh_fec!T22)</f>
        <v>0.6888240300754731</v>
      </c>
      <c r="U22" s="137">
        <f>IF(SER_hh_tes!U22=0,"",SER_hh_tes!U22/SER_hh_fec!U22)</f>
        <v>0.70431012337746146</v>
      </c>
      <c r="V22" s="137">
        <f>IF(SER_hh_tes!V22=0,"",SER_hh_tes!V22/SER_hh_fec!V22)</f>
        <v>0.71138109198885724</v>
      </c>
      <c r="W22" s="137">
        <f>IF(SER_hh_tes!W22=0,"",SER_hh_tes!W22/SER_hh_fec!W22)</f>
        <v>0.71881264523278909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0.54534274743347766</v>
      </c>
      <c r="C23" s="137">
        <f>IF(SER_hh_tes!C23=0,"",SER_hh_tes!C23/SER_hh_fec!C23)</f>
        <v>0.55070036729104899</v>
      </c>
      <c r="D23" s="137">
        <f>IF(SER_hh_tes!D23=0,"",SER_hh_tes!D23/SER_hh_fec!D23)</f>
        <v>0.55801481253510909</v>
      </c>
      <c r="E23" s="137">
        <f>IF(SER_hh_tes!E23=0,"",SER_hh_tes!E23/SER_hh_fec!E23)</f>
        <v>0.56545247035075374</v>
      </c>
      <c r="F23" s="137">
        <f>IF(SER_hh_tes!F23=0,"",SER_hh_tes!F23/SER_hh_fec!F23)</f>
        <v>0.57201987348859584</v>
      </c>
      <c r="G23" s="137">
        <f>IF(SER_hh_tes!G23=0,"",SER_hh_tes!G23/SER_hh_fec!G23)</f>
        <v>0.57864249623403885</v>
      </c>
      <c r="H23" s="137">
        <f>IF(SER_hh_tes!H23=0,"",SER_hh_tes!H23/SER_hh_fec!H23)</f>
        <v>0.58587384945859133</v>
      </c>
      <c r="I23" s="137">
        <f>IF(SER_hh_tes!I23=0,"",SER_hh_tes!I23/SER_hh_fec!I23)</f>
        <v>0.59364130179771557</v>
      </c>
      <c r="J23" s="137">
        <f>IF(SER_hh_tes!J23=0,"",SER_hh_tes!J23/SER_hh_fec!J23)</f>
        <v>0.60317676245339258</v>
      </c>
      <c r="K23" s="137">
        <f>IF(SER_hh_tes!K23=0,"",SER_hh_tes!K23/SER_hh_fec!K23)</f>
        <v>0.61116641862696119</v>
      </c>
      <c r="L23" s="137">
        <f>IF(SER_hh_tes!L23=0,"",SER_hh_tes!L23/SER_hh_fec!L23)</f>
        <v>0.62047590781963535</v>
      </c>
      <c r="M23" s="137">
        <f>IF(SER_hh_tes!M23=0,"",SER_hh_tes!M23/SER_hh_fec!M23)</f>
        <v>0.6288826070754765</v>
      </c>
      <c r="N23" s="137">
        <f>IF(SER_hh_tes!N23=0,"",SER_hh_tes!N23/SER_hh_fec!N23)</f>
        <v>0.63917131796631277</v>
      </c>
      <c r="O23" s="137">
        <f>IF(SER_hh_tes!O23=0,"",SER_hh_tes!O23/SER_hh_fec!O23)</f>
        <v>0.65201085985450358</v>
      </c>
      <c r="P23" s="137">
        <f>IF(SER_hh_tes!P23=0,"",SER_hh_tes!P23/SER_hh_fec!P23)</f>
        <v>0.66007752658530616</v>
      </c>
      <c r="Q23" s="137">
        <f>IF(SER_hh_tes!Q23=0,"",SER_hh_tes!Q23/SER_hh_fec!Q23)</f>
        <v>0.66905662452755632</v>
      </c>
      <c r="R23" s="137">
        <f>IF(SER_hh_tes!R23=0,"",SER_hh_tes!R23/SER_hh_fec!R23)</f>
        <v>0.6783145392878468</v>
      </c>
      <c r="S23" s="137">
        <f>IF(SER_hh_tes!S23=0,"",SER_hh_tes!S23/SER_hh_fec!S23)</f>
        <v>0.68641573127671573</v>
      </c>
      <c r="T23" s="137">
        <f>IF(SER_hh_tes!T23=0,"",SER_hh_tes!T23/SER_hh_fec!T23)</f>
        <v>0.69140746111975215</v>
      </c>
      <c r="U23" s="137">
        <f>IF(SER_hh_tes!U23=0,"",SER_hh_tes!U23/SER_hh_fec!U23)</f>
        <v>0.69699731525863251</v>
      </c>
      <c r="V23" s="137">
        <f>IF(SER_hh_tes!V23=0,"",SER_hh_tes!V23/SER_hh_fec!V23)</f>
        <v>0.70234383351695406</v>
      </c>
      <c r="W23" s="137">
        <f>IF(SER_hh_tes!W23=0,"",SER_hh_tes!W23/SER_hh_fec!W23)</f>
        <v>0.7151376125455039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0.81631636649300043</v>
      </c>
      <c r="C25" s="137">
        <f>IF(SER_hh_tes!C25=0,"",SER_hh_tes!C25/SER_hh_fec!C25)</f>
        <v>0.82467306085490144</v>
      </c>
      <c r="D25" s="137">
        <f>IF(SER_hh_tes!D25=0,"",SER_hh_tes!D25/SER_hh_fec!D25)</f>
        <v>0.83438349144111268</v>
      </c>
      <c r="E25" s="137">
        <f>IF(SER_hh_tes!E25=0,"",SER_hh_tes!E25/SER_hh_fec!E25)</f>
        <v>0.83874811037712071</v>
      </c>
      <c r="F25" s="137">
        <f>IF(SER_hh_tes!F25=0,"",SER_hh_tes!F25/SER_hh_fec!F25)</f>
        <v>0.84091371968572592</v>
      </c>
      <c r="G25" s="137">
        <f>IF(SER_hh_tes!G25=0,"",SER_hh_tes!G25/SER_hh_fec!G25)</f>
        <v>0.84229144516692156</v>
      </c>
      <c r="H25" s="137">
        <f>IF(SER_hh_tes!H25=0,"",SER_hh_tes!H25/SER_hh_fec!H25)</f>
        <v>0.84323576233837849</v>
      </c>
      <c r="I25" s="137">
        <f>IF(SER_hh_tes!I25=0,"",SER_hh_tes!I25/SER_hh_fec!I25)</f>
        <v>0.8441535532488923</v>
      </c>
      <c r="J25" s="137">
        <f>IF(SER_hh_tes!J25=0,"",SER_hh_tes!J25/SER_hh_fec!J25)</f>
        <v>0.84500593215912922</v>
      </c>
      <c r="K25" s="137">
        <f>IF(SER_hh_tes!K25=0,"",SER_hh_tes!K25/SER_hh_fec!K25)</f>
        <v>0.84603692540464381</v>
      </c>
      <c r="L25" s="137">
        <f>IF(SER_hh_tes!L25=0,"",SER_hh_tes!L25/SER_hh_fec!L25)</f>
        <v>0.84708751986501984</v>
      </c>
      <c r="M25" s="137">
        <f>IF(SER_hh_tes!M25=0,"",SER_hh_tes!M25/SER_hh_fec!M25)</f>
        <v>0.84886743615747051</v>
      </c>
      <c r="N25" s="137">
        <f>IF(SER_hh_tes!N25=0,"",SER_hh_tes!N25/SER_hh_fec!N25)</f>
        <v>0.85115558685575454</v>
      </c>
      <c r="O25" s="137">
        <f>IF(SER_hh_tes!O25=0,"",SER_hh_tes!O25/SER_hh_fec!O25)</f>
        <v>0.85401899815899895</v>
      </c>
      <c r="P25" s="137">
        <f>IF(SER_hh_tes!P25=0,"",SER_hh_tes!P25/SER_hh_fec!P25)</f>
        <v>0.85663266782516645</v>
      </c>
      <c r="Q25" s="137">
        <f>IF(SER_hh_tes!Q25=0,"",SER_hh_tes!Q25/SER_hh_fec!Q25)</f>
        <v>0.86082352639149373</v>
      </c>
      <c r="R25" s="137">
        <f>IF(SER_hh_tes!R25=0,"",SER_hh_tes!R25/SER_hh_fec!R25)</f>
        <v>0.86644794600738984</v>
      </c>
      <c r="S25" s="137">
        <f>IF(SER_hh_tes!S25=0,"",SER_hh_tes!S25/SER_hh_fec!S25)</f>
        <v>0.87404657905349337</v>
      </c>
      <c r="T25" s="137">
        <f>IF(SER_hh_tes!T25=0,"",SER_hh_tes!T25/SER_hh_fec!T25)</f>
        <v>0.88188392083718381</v>
      </c>
      <c r="U25" s="137">
        <f>IF(SER_hh_tes!U25=0,"",SER_hh_tes!U25/SER_hh_fec!U25)</f>
        <v>0.88858987856213478</v>
      </c>
      <c r="V25" s="137">
        <f>IF(SER_hh_tes!V25=0,"",SER_hh_tes!V25/SER_hh_fec!V25)</f>
        <v>0.8935714358379625</v>
      </c>
      <c r="W25" s="137">
        <f>IF(SER_hh_tes!W25=0,"",SER_hh_tes!W25/SER_hh_fec!W25)</f>
        <v>0.8968192596039628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0.67263913247753016</v>
      </c>
      <c r="C26" s="138">
        <f>IF(SER_hh_tes!C26=0,"",SER_hh_tes!C26/SER_hh_fec!C26)</f>
        <v>0.6737226995309874</v>
      </c>
      <c r="D26" s="138">
        <f>IF(SER_hh_tes!D26=0,"",SER_hh_tes!D26/SER_hh_fec!D26)</f>
        <v>0.67381806476028283</v>
      </c>
      <c r="E26" s="138">
        <f>IF(SER_hh_tes!E26=0,"",SER_hh_tes!E26/SER_hh_fec!E26)</f>
        <v>0.67386713602565185</v>
      </c>
      <c r="F26" s="138">
        <f>IF(SER_hh_tes!F26=0,"",SER_hh_tes!F26/SER_hh_fec!F26)</f>
        <v>0.67386713602565185</v>
      </c>
      <c r="G26" s="138">
        <f>IF(SER_hh_tes!G26=0,"",SER_hh_tes!G26/SER_hh_fec!G26)</f>
        <v>0.67542975116549531</v>
      </c>
      <c r="H26" s="138">
        <f>IF(SER_hh_tes!H26=0,"",SER_hh_tes!H26/SER_hh_fec!H26)</f>
        <v>0.68144047366914418</v>
      </c>
      <c r="I26" s="138">
        <f>IF(SER_hh_tes!I26=0,"",SER_hh_tes!I26/SER_hh_fec!I26)</f>
        <v>0.68705298616006838</v>
      </c>
      <c r="J26" s="138">
        <f>IF(SER_hh_tes!J26=0,"",SER_hh_tes!J26/SER_hh_fec!J26)</f>
        <v>0.69194231537795159</v>
      </c>
      <c r="K26" s="138">
        <f>IF(SER_hh_tes!K26=0,"",SER_hh_tes!K26/SER_hh_fec!K26)</f>
        <v>0.69690754138811173</v>
      </c>
      <c r="L26" s="138">
        <f>IF(SER_hh_tes!L26=0,"",SER_hh_tes!L26/SER_hh_fec!L26)</f>
        <v>0.70143921321922142</v>
      </c>
      <c r="M26" s="138">
        <f>IF(SER_hh_tes!M26=0,"",SER_hh_tes!M26/SER_hh_fec!M26)</f>
        <v>0.70879307211067177</v>
      </c>
      <c r="N26" s="138">
        <f>IF(SER_hh_tes!N26=0,"",SER_hh_tes!N26/SER_hh_fec!N26)</f>
        <v>0.71697355255072326</v>
      </c>
      <c r="O26" s="138">
        <f>IF(SER_hh_tes!O26=0,"",SER_hh_tes!O26/SER_hh_fec!O26)</f>
        <v>0.72632117881494473</v>
      </c>
      <c r="P26" s="138">
        <f>IF(SER_hh_tes!P26=0,"",SER_hh_tes!P26/SER_hh_fec!P26)</f>
        <v>0.72905502630440844</v>
      </c>
      <c r="Q26" s="138">
        <f>IF(SER_hh_tes!Q26=0,"",SER_hh_tes!Q26/SER_hh_fec!Q26)</f>
        <v>0.73262585877857622</v>
      </c>
      <c r="R26" s="138">
        <f>IF(SER_hh_tes!R26=0,"",SER_hh_tes!R26/SER_hh_fec!R26)</f>
        <v>0.73730064820803376</v>
      </c>
      <c r="S26" s="138">
        <f>IF(SER_hh_tes!S26=0,"",SER_hh_tes!S26/SER_hh_fec!S26)</f>
        <v>0.74013310935190701</v>
      </c>
      <c r="T26" s="138">
        <f>IF(SER_hh_tes!T26=0,"",SER_hh_tes!T26/SER_hh_fec!T26)</f>
        <v>0.75158934458791493</v>
      </c>
      <c r="U26" s="138">
        <f>IF(SER_hh_tes!U26=0,"",SER_hh_tes!U26/SER_hh_fec!U26)</f>
        <v>0.76459809868674977</v>
      </c>
      <c r="V26" s="138">
        <f>IF(SER_hh_tes!V26=0,"",SER_hh_tes!V26/SER_hh_fec!V26)</f>
        <v>0.78582513080447414</v>
      </c>
      <c r="W26" s="138">
        <f>IF(SER_hh_tes!W26=0,"",SER_hh_tes!W26/SER_hh_fec!W26)</f>
        <v>0.80782715745396483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0.66274419245304894</v>
      </c>
      <c r="C29" s="136">
        <f>IF(SER_hh_tes!C29=0,"",SER_hh_tes!C29/SER_hh_fec!C29)</f>
        <v>0.64475794134243192</v>
      </c>
      <c r="D29" s="136">
        <f>IF(SER_hh_tes!D29=0,"",SER_hh_tes!D29/SER_hh_fec!D29)</f>
        <v>0.66672285058571545</v>
      </c>
      <c r="E29" s="136">
        <f>IF(SER_hh_tes!E29=0,"",SER_hh_tes!E29/SER_hh_fec!E29)</f>
        <v>0.68610721412683362</v>
      </c>
      <c r="F29" s="136">
        <f>IF(SER_hh_tes!F29=0,"",SER_hh_tes!F29/SER_hh_fec!F29)</f>
        <v>0.69355739116747872</v>
      </c>
      <c r="G29" s="136">
        <f>IF(SER_hh_tes!G29=0,"",SER_hh_tes!G29/SER_hh_fec!G29)</f>
        <v>0.70081600657093079</v>
      </c>
      <c r="H29" s="136">
        <f>IF(SER_hh_tes!H29=0,"",SER_hh_tes!H29/SER_hh_fec!H29)</f>
        <v>0.70259584218916926</v>
      </c>
      <c r="I29" s="136">
        <f>IF(SER_hh_tes!I29=0,"",SER_hh_tes!I29/SER_hh_fec!I29)</f>
        <v>0.70846039123855076</v>
      </c>
      <c r="J29" s="136">
        <f>IF(SER_hh_tes!J29=0,"",SER_hh_tes!J29/SER_hh_fec!J29)</f>
        <v>0.71504533522457037</v>
      </c>
      <c r="K29" s="136">
        <f>IF(SER_hh_tes!K29=0,"",SER_hh_tes!K29/SER_hh_fec!K29)</f>
        <v>0.68918502039319818</v>
      </c>
      <c r="L29" s="136">
        <f>IF(SER_hh_tes!L29=0,"",SER_hh_tes!L29/SER_hh_fec!L29)</f>
        <v>0.69085787471325866</v>
      </c>
      <c r="M29" s="136">
        <f>IF(SER_hh_tes!M29=0,"",SER_hh_tes!M29/SER_hh_fec!M29)</f>
        <v>0.69151151819410728</v>
      </c>
      <c r="N29" s="136">
        <f>IF(SER_hh_tes!N29=0,"",SER_hh_tes!N29/SER_hh_fec!N29)</f>
        <v>0.69649345684235608</v>
      </c>
      <c r="O29" s="136">
        <f>IF(SER_hh_tes!O29=0,"",SER_hh_tes!O29/SER_hh_fec!O29)</f>
        <v>0.70354308408242305</v>
      </c>
      <c r="P29" s="136">
        <f>IF(SER_hh_tes!P29=0,"",SER_hh_tes!P29/SER_hh_fec!P29)</f>
        <v>0.71636573975685536</v>
      </c>
      <c r="Q29" s="136">
        <f>IF(SER_hh_tes!Q29=0,"",SER_hh_tes!Q29/SER_hh_fec!Q29)</f>
        <v>0.72065180694633657</v>
      </c>
      <c r="R29" s="136">
        <f>IF(SER_hh_tes!R29=0,"",SER_hh_tes!R29/SER_hh_fec!R29)</f>
        <v>0.72514888467180472</v>
      </c>
      <c r="S29" s="136">
        <f>IF(SER_hh_tes!S29=0,"",SER_hh_tes!S29/SER_hh_fec!S29)</f>
        <v>0.74055561219265331</v>
      </c>
      <c r="T29" s="136">
        <f>IF(SER_hh_tes!T29=0,"",SER_hh_tes!T29/SER_hh_fec!T29)</f>
        <v>0.75177672009151608</v>
      </c>
      <c r="U29" s="136">
        <f>IF(SER_hh_tes!U29=0,"",SER_hh_tes!U29/SER_hh_fec!U29)</f>
        <v>0.75567483996052809</v>
      </c>
      <c r="V29" s="136">
        <f>IF(SER_hh_tes!V29=0,"",SER_hh_tes!V29/SER_hh_fec!V29)</f>
        <v>0.77336535385749317</v>
      </c>
      <c r="W29" s="136">
        <f>IF(SER_hh_tes!W29=0,"",SER_hh_tes!W29/SER_hh_fec!W29)</f>
        <v>0.76546845396101892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0.59289545417661305</v>
      </c>
      <c r="C30" s="137">
        <f>IF(SER_hh_tes!C30=0,"",SER_hh_tes!C30/SER_hh_fec!C30)</f>
        <v>0.59331016085434707</v>
      </c>
      <c r="D30" s="137">
        <f>IF(SER_hh_tes!D30=0,"",SER_hh_tes!D30/SER_hh_fec!D30)</f>
        <v>0.5933605055646618</v>
      </c>
      <c r="E30" s="137">
        <f>IF(SER_hh_tes!E30=0,"",SER_hh_tes!E30/SER_hh_fec!E30)</f>
        <v>0.5933605055646618</v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>
        <f>IF(SER_hh_tes!K30=0,"",SER_hh_tes!K30/SER_hh_fec!K30)</f>
        <v>0.6023693441425404</v>
      </c>
      <c r="L30" s="137">
        <f>IF(SER_hh_tes!L30=0,"",SER_hh_tes!L30/SER_hh_fec!L30)</f>
        <v>0.60245182978703793</v>
      </c>
      <c r="M30" s="137">
        <f>IF(SER_hh_tes!M30=0,"",SER_hh_tes!M30/SER_hh_fec!M30)</f>
        <v>0.60250503590179894</v>
      </c>
      <c r="N30" s="137">
        <f>IF(SER_hh_tes!N30=0,"",SER_hh_tes!N30/SER_hh_fec!N30)</f>
        <v>0.60251116825487216</v>
      </c>
      <c r="O30" s="137">
        <f>IF(SER_hh_tes!O30=0,"",SER_hh_tes!O30/SER_hh_fec!O30)</f>
        <v>0.60251894221557656</v>
      </c>
      <c r="P30" s="137">
        <f>IF(SER_hh_tes!P30=0,"",SER_hh_tes!P30/SER_hh_fec!P30)</f>
        <v>0.60252552039121243</v>
      </c>
      <c r="Q30" s="137">
        <f>IF(SER_hh_tes!Q30=0,"",SER_hh_tes!Q30/SER_hh_fec!Q30)</f>
        <v>0.60254903005720317</v>
      </c>
      <c r="R30" s="137">
        <f>IF(SER_hh_tes!R30=0,"",SER_hh_tes!R30/SER_hh_fec!R30)</f>
        <v>0.60263972870195615</v>
      </c>
      <c r="S30" s="137">
        <f>IF(SER_hh_tes!S30=0,"",SER_hh_tes!S30/SER_hh_fec!S30)</f>
        <v>0.60280809040399019</v>
      </c>
      <c r="T30" s="137">
        <f>IF(SER_hh_tes!T30=0,"",SER_hh_tes!T30/SER_hh_fec!T30)</f>
        <v>0.60352595355528327</v>
      </c>
      <c r="U30" s="137">
        <f>IF(SER_hh_tes!U30=0,"",SER_hh_tes!U30/SER_hh_fec!U30)</f>
        <v>0.60449086221932813</v>
      </c>
      <c r="V30" s="137">
        <f>IF(SER_hh_tes!V30=0,"",SER_hh_tes!V30/SER_hh_fec!V30)</f>
        <v>0.60654573615564367</v>
      </c>
      <c r="W30" s="137">
        <f>IF(SER_hh_tes!W30=0,"",SER_hh_tes!W30/SER_hh_fec!W30)</f>
        <v>0.6092809928451417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0.5958052848176657</v>
      </c>
      <c r="C31" s="137">
        <f>IF(SER_hh_tes!C31=0,"",SER_hh_tes!C31/SER_hh_fec!C31)</f>
        <v>0.5965314909106445</v>
      </c>
      <c r="D31" s="137">
        <f>IF(SER_hh_tes!D31=0,"",SER_hh_tes!D31/SER_hh_fec!D31)</f>
        <v>0.5972790644890027</v>
      </c>
      <c r="E31" s="137">
        <f>IF(SER_hh_tes!E31=0,"",SER_hh_tes!E31/SER_hh_fec!E31)</f>
        <v>0.59800978535727534</v>
      </c>
      <c r="F31" s="137">
        <f>IF(SER_hh_tes!F31=0,"",SER_hh_tes!F31/SER_hh_fec!F31)</f>
        <v>0.59879085765770546</v>
      </c>
      <c r="G31" s="137">
        <f>IF(SER_hh_tes!G31=0,"",SER_hh_tes!G31/SER_hh_fec!G31)</f>
        <v>0.59956082169282698</v>
      </c>
      <c r="H31" s="137">
        <f>IF(SER_hh_tes!H31=0,"",SER_hh_tes!H31/SER_hh_fec!H31)</f>
        <v>0.6004569692763928</v>
      </c>
      <c r="I31" s="137">
        <f>IF(SER_hh_tes!I31=0,"",SER_hh_tes!I31/SER_hh_fec!I31)</f>
        <v>0.60137884135437347</v>
      </c>
      <c r="J31" s="137">
        <f>IF(SER_hh_tes!J31=0,"",SER_hh_tes!J31/SER_hh_fec!J31)</f>
        <v>0.6024323050460999</v>
      </c>
      <c r="K31" s="137">
        <f>IF(SER_hh_tes!K31=0,"",SER_hh_tes!K31/SER_hh_fec!K31)</f>
        <v>0.60369614711447028</v>
      </c>
      <c r="L31" s="137">
        <f>IF(SER_hh_tes!L31=0,"",SER_hh_tes!L31/SER_hh_fec!L31)</f>
        <v>0.6047138009494637</v>
      </c>
      <c r="M31" s="137">
        <f>IF(SER_hh_tes!M31=0,"",SER_hh_tes!M31/SER_hh_fec!M31)</f>
        <v>0.60493112642971048</v>
      </c>
      <c r="N31" s="137">
        <f>IF(SER_hh_tes!N31=0,"",SER_hh_tes!N31/SER_hh_fec!N31)</f>
        <v>0.60524747490243724</v>
      </c>
      <c r="O31" s="137">
        <f>IF(SER_hh_tes!O31=0,"",SER_hh_tes!O31/SER_hh_fec!O31)</f>
        <v>0.60567997133090523</v>
      </c>
      <c r="P31" s="137">
        <f>IF(SER_hh_tes!P31=0,"",SER_hh_tes!P31/SER_hh_fec!P31)</f>
        <v>0.60604645982937244</v>
      </c>
      <c r="Q31" s="137">
        <f>IF(SER_hh_tes!Q31=0,"",SER_hh_tes!Q31/SER_hh_fec!Q31)</f>
        <v>0.60635908907172864</v>
      </c>
      <c r="R31" s="137">
        <f>IF(SER_hh_tes!R31=0,"",SER_hh_tes!R31/SER_hh_fec!R31)</f>
        <v>0.60672762917807521</v>
      </c>
      <c r="S31" s="137">
        <f>IF(SER_hh_tes!S31=0,"",SER_hh_tes!S31/SER_hh_fec!S31)</f>
        <v>0.60713331408198745</v>
      </c>
      <c r="T31" s="137">
        <f>IF(SER_hh_tes!T31=0,"",SER_hh_tes!T31/SER_hh_fec!T31)</f>
        <v>0.60772673533578969</v>
      </c>
      <c r="U31" s="137">
        <f>IF(SER_hh_tes!U31=0,"",SER_hh_tes!U31/SER_hh_fec!U31)</f>
        <v>0.60830905105865518</v>
      </c>
      <c r="V31" s="137">
        <f>IF(SER_hh_tes!V31=0,"",SER_hh_tes!V31/SER_hh_fec!V31)</f>
        <v>0.60881004073483236</v>
      </c>
      <c r="W31" s="137">
        <f>IF(SER_hh_tes!W31=0,"",SER_hh_tes!W31/SER_hh_fec!W31)</f>
        <v>0.60919151081904277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0.7773181170912794</v>
      </c>
      <c r="C33" s="150">
        <f>IF(SER_hh_tes!C33=0,"",SER_hh_tes!C33/SER_hh_fec!C33)</f>
        <v>0.77915026065861392</v>
      </c>
      <c r="D33" s="150">
        <f>IF(SER_hh_tes!D33=0,"",SER_hh_tes!D33/SER_hh_fec!D33)</f>
        <v>0.78230419880240121</v>
      </c>
      <c r="E33" s="150">
        <f>IF(SER_hh_tes!E33=0,"",SER_hh_tes!E33/SER_hh_fec!E33)</f>
        <v>0.7849244810238093</v>
      </c>
      <c r="F33" s="150">
        <f>IF(SER_hh_tes!F33=0,"",SER_hh_tes!F33/SER_hh_fec!F33)</f>
        <v>0.78734510490671417</v>
      </c>
      <c r="G33" s="150">
        <f>IF(SER_hh_tes!G33=0,"",SER_hh_tes!G33/SER_hh_fec!G33)</f>
        <v>0.78892717664343315</v>
      </c>
      <c r="H33" s="150">
        <f>IF(SER_hh_tes!H33=0,"",SER_hh_tes!H33/SER_hh_fec!H33)</f>
        <v>0.79047039810562925</v>
      </c>
      <c r="I33" s="150">
        <f>IF(SER_hh_tes!I33=0,"",SER_hh_tes!I33/SER_hh_fec!I33)</f>
        <v>0.79216347001307164</v>
      </c>
      <c r="J33" s="150">
        <f>IF(SER_hh_tes!J33=0,"",SER_hh_tes!J33/SER_hh_fec!J33)</f>
        <v>0.79392861010196614</v>
      </c>
      <c r="K33" s="150">
        <f>IF(SER_hh_tes!K33=0,"",SER_hh_tes!K33/SER_hh_fec!K33)</f>
        <v>0.79501674427993818</v>
      </c>
      <c r="L33" s="150">
        <f>IF(SER_hh_tes!L33=0,"",SER_hh_tes!L33/SER_hh_fec!L33)</f>
        <v>0.79592187308197149</v>
      </c>
      <c r="M33" s="150">
        <f>IF(SER_hh_tes!M33=0,"",SER_hh_tes!M33/SER_hh_fec!M33)</f>
        <v>0.79674249066381952</v>
      </c>
      <c r="N33" s="150">
        <f>IF(SER_hh_tes!N33=0,"",SER_hh_tes!N33/SER_hh_fec!N33)</f>
        <v>0.79847584901456325</v>
      </c>
      <c r="O33" s="150">
        <f>IF(SER_hh_tes!O33=0,"",SER_hh_tes!O33/SER_hh_fec!O33)</f>
        <v>0.80115988583458109</v>
      </c>
      <c r="P33" s="150">
        <f>IF(SER_hh_tes!P33=0,"",SER_hh_tes!P33/SER_hh_fec!P33)</f>
        <v>0.80458775522654646</v>
      </c>
      <c r="Q33" s="150">
        <f>IF(SER_hh_tes!Q33=0,"",SER_hh_tes!Q33/SER_hh_fec!Q33)</f>
        <v>0.80812593795669097</v>
      </c>
      <c r="R33" s="150">
        <f>IF(SER_hh_tes!R33=0,"",SER_hh_tes!R33/SER_hh_fec!R33)</f>
        <v>0.8121833578516815</v>
      </c>
      <c r="S33" s="150">
        <f>IF(SER_hh_tes!S33=0,"",SER_hh_tes!S33/SER_hh_fec!S33)</f>
        <v>0.81666005627038563</v>
      </c>
      <c r="T33" s="150">
        <f>IF(SER_hh_tes!T33=0,"",SER_hh_tes!T33/SER_hh_fec!T33)</f>
        <v>0.82140394340569822</v>
      </c>
      <c r="U33" s="150">
        <f>IF(SER_hh_tes!U33=0,"",SER_hh_tes!U33/SER_hh_fec!U33)</f>
        <v>0.82702904967482471</v>
      </c>
      <c r="V33" s="150">
        <f>IF(SER_hh_tes!V33=0,"",SER_hh_tes!V33/SER_hh_fec!V33)</f>
        <v>0.83234692991877257</v>
      </c>
      <c r="W33" s="150">
        <f>IF(SER_hh_tes!W33=0,"",SER_hh_tes!W33/SER_hh_fec!W33)</f>
        <v>0.83786276238519108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549.24098795999998</v>
      </c>
      <c r="C3" s="126">
        <f t="shared" si="0"/>
        <v>511.0096230000002</v>
      </c>
      <c r="D3" s="126">
        <f t="shared" si="0"/>
        <v>504.58161779999978</v>
      </c>
      <c r="E3" s="126">
        <f t="shared" si="0"/>
        <v>494.3567142</v>
      </c>
      <c r="F3" s="126">
        <f t="shared" si="0"/>
        <v>457.66884780000009</v>
      </c>
      <c r="G3" s="126">
        <f t="shared" si="0"/>
        <v>407.88225</v>
      </c>
      <c r="H3" s="126">
        <f t="shared" si="0"/>
        <v>384.85854396000008</v>
      </c>
      <c r="I3" s="126">
        <f t="shared" si="0"/>
        <v>342.45886500000006</v>
      </c>
      <c r="J3" s="126">
        <f t="shared" si="0"/>
        <v>371.05743420000022</v>
      </c>
      <c r="K3" s="126">
        <f t="shared" si="0"/>
        <v>392.06166768000008</v>
      </c>
      <c r="L3" s="126">
        <f t="shared" si="0"/>
        <v>495.56131488000023</v>
      </c>
      <c r="M3" s="126">
        <f t="shared" si="0"/>
        <v>300.41724743999993</v>
      </c>
      <c r="N3" s="126">
        <f t="shared" si="0"/>
        <v>403.47359387999995</v>
      </c>
      <c r="O3" s="126">
        <f t="shared" si="0"/>
        <v>430.98445872000002</v>
      </c>
      <c r="P3" s="126">
        <f t="shared" si="0"/>
        <v>376.07902020000023</v>
      </c>
      <c r="Q3" s="126">
        <f t="shared" si="0"/>
        <v>477.37039139999985</v>
      </c>
      <c r="R3" s="126">
        <f t="shared" ref="R3:W3" si="1">SUM(R4,R16,R19,R29)</f>
        <v>505.08584603999981</v>
      </c>
      <c r="S3" s="126">
        <f t="shared" si="1"/>
        <v>540.65734991999989</v>
      </c>
      <c r="T3" s="126">
        <f t="shared" si="1"/>
        <v>564.2807921999995</v>
      </c>
      <c r="U3" s="126">
        <f t="shared" si="1"/>
        <v>655.15661963999969</v>
      </c>
      <c r="V3" s="126">
        <f t="shared" si="1"/>
        <v>541.42218432000016</v>
      </c>
      <c r="W3" s="126">
        <f t="shared" si="1"/>
        <v>617.53164300000037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464.91151296484207</v>
      </c>
      <c r="C4" s="131">
        <f t="shared" si="2"/>
        <v>414.3742083425991</v>
      </c>
      <c r="D4" s="131">
        <f t="shared" si="2"/>
        <v>416.91387143679196</v>
      </c>
      <c r="E4" s="131">
        <f t="shared" si="2"/>
        <v>413.85272324435886</v>
      </c>
      <c r="F4" s="131">
        <f t="shared" si="2"/>
        <v>379.83737356375639</v>
      </c>
      <c r="G4" s="131">
        <f t="shared" si="2"/>
        <v>332.74809434776523</v>
      </c>
      <c r="H4" s="131">
        <f t="shared" si="2"/>
        <v>315.21392155506811</v>
      </c>
      <c r="I4" s="131">
        <f t="shared" si="2"/>
        <v>275.89626872565293</v>
      </c>
      <c r="J4" s="131">
        <f t="shared" si="2"/>
        <v>306.26794680875423</v>
      </c>
      <c r="K4" s="131">
        <f t="shared" si="2"/>
        <v>310.98111981486642</v>
      </c>
      <c r="L4" s="131">
        <f t="shared" si="2"/>
        <v>406.1287464007579</v>
      </c>
      <c r="M4" s="131">
        <f t="shared" si="2"/>
        <v>215.55447020779496</v>
      </c>
      <c r="N4" s="131">
        <f t="shared" si="2"/>
        <v>315.12891775841661</v>
      </c>
      <c r="O4" s="131">
        <f t="shared" si="2"/>
        <v>343.72796540349083</v>
      </c>
      <c r="P4" s="131">
        <f t="shared" si="2"/>
        <v>291.01534235208538</v>
      </c>
      <c r="Q4" s="131">
        <f t="shared" si="2"/>
        <v>388.67213671541447</v>
      </c>
      <c r="R4" s="131">
        <f t="shared" ref="R4:W4" si="3">SUM(R5:R15)</f>
        <v>415.46664776717478</v>
      </c>
      <c r="S4" s="131">
        <f t="shared" si="3"/>
        <v>457.10713527574319</v>
      </c>
      <c r="T4" s="131">
        <f t="shared" si="3"/>
        <v>481.96854380372042</v>
      </c>
      <c r="U4" s="131">
        <f t="shared" si="3"/>
        <v>569.17705311558757</v>
      </c>
      <c r="V4" s="131">
        <f t="shared" si="3"/>
        <v>476.97023585413604</v>
      </c>
      <c r="W4" s="131">
        <f t="shared" si="3"/>
        <v>532.42267931544916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168.13869965909868</v>
      </c>
      <c r="C7" s="133">
        <v>214.97886438170403</v>
      </c>
      <c r="D7" s="133">
        <v>196.79946704033446</v>
      </c>
      <c r="E7" s="133">
        <v>176.24070871908822</v>
      </c>
      <c r="F7" s="133">
        <v>176.71053517809517</v>
      </c>
      <c r="G7" s="133">
        <v>159.24007722973747</v>
      </c>
      <c r="H7" s="133">
        <v>92.738962868665624</v>
      </c>
      <c r="I7" s="133">
        <v>88.599930747960983</v>
      </c>
      <c r="J7" s="133">
        <v>70.104414580054339</v>
      </c>
      <c r="K7" s="133">
        <v>65.902580703875117</v>
      </c>
      <c r="L7" s="133">
        <v>138.53554273065683</v>
      </c>
      <c r="M7" s="133">
        <v>105.21964489826537</v>
      </c>
      <c r="N7" s="133">
        <v>111.55206172160038</v>
      </c>
      <c r="O7" s="133">
        <v>141.15304616221465</v>
      </c>
      <c r="P7" s="133">
        <v>126.77889187644743</v>
      </c>
      <c r="Q7" s="133">
        <v>194.3987884164753</v>
      </c>
      <c r="R7" s="133">
        <v>190.01681037976704</v>
      </c>
      <c r="S7" s="133">
        <v>286.65183692162793</v>
      </c>
      <c r="T7" s="133">
        <v>283.82981286242972</v>
      </c>
      <c r="U7" s="133">
        <v>350.78311156520175</v>
      </c>
      <c r="V7" s="133">
        <v>323.81092504731691</v>
      </c>
      <c r="W7" s="133">
        <v>293.62169498156362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296.7728133057434</v>
      </c>
      <c r="C9" s="133">
        <v>199.39534396089508</v>
      </c>
      <c r="D9" s="133">
        <v>220.11440439645753</v>
      </c>
      <c r="E9" s="133">
        <v>237.61201452527064</v>
      </c>
      <c r="F9" s="133">
        <v>203.12683838566122</v>
      </c>
      <c r="G9" s="133">
        <v>173.50801711802774</v>
      </c>
      <c r="H9" s="133">
        <v>222.47495868640249</v>
      </c>
      <c r="I9" s="133">
        <v>187.29633797769193</v>
      </c>
      <c r="J9" s="133">
        <v>236.16353222869986</v>
      </c>
      <c r="K9" s="133">
        <v>245.0785391109913</v>
      </c>
      <c r="L9" s="133">
        <v>267.5932036701011</v>
      </c>
      <c r="M9" s="133">
        <v>110.33482530952961</v>
      </c>
      <c r="N9" s="133">
        <v>203.5768560368162</v>
      </c>
      <c r="O9" s="133">
        <v>202.57491924127618</v>
      </c>
      <c r="P9" s="133">
        <v>164.23645047563795</v>
      </c>
      <c r="Q9" s="133">
        <v>194.27334829893914</v>
      </c>
      <c r="R9" s="133">
        <v>225.44983738740777</v>
      </c>
      <c r="S9" s="133">
        <v>170.45529835411526</v>
      </c>
      <c r="T9" s="133">
        <v>198.13873094129073</v>
      </c>
      <c r="U9" s="133">
        <v>218.39394155038579</v>
      </c>
      <c r="V9" s="133">
        <v>153.15931080681912</v>
      </c>
      <c r="W9" s="133">
        <v>238.80098433388557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1.7417059444154601E-2</v>
      </c>
      <c r="C16" s="131">
        <f t="shared" si="4"/>
        <v>2.3892513334716033E-2</v>
      </c>
      <c r="D16" s="131">
        <f t="shared" si="4"/>
        <v>3.708630303874056E-2</v>
      </c>
      <c r="E16" s="131">
        <f t="shared" si="4"/>
        <v>3.7263913550506907E-2</v>
      </c>
      <c r="F16" s="131">
        <f t="shared" si="4"/>
        <v>5.7730857728497002E-2</v>
      </c>
      <c r="G16" s="131">
        <f t="shared" si="4"/>
        <v>6.773944964014611E-2</v>
      </c>
      <c r="H16" s="131">
        <f t="shared" si="4"/>
        <v>9.5350111473516436E-2</v>
      </c>
      <c r="I16" s="131">
        <f t="shared" si="4"/>
        <v>0.11785149860045456</v>
      </c>
      <c r="J16" s="131">
        <f t="shared" si="4"/>
        <v>0.13166278380537572</v>
      </c>
      <c r="K16" s="131">
        <f t="shared" si="4"/>
        <v>0.1797659440376938</v>
      </c>
      <c r="L16" s="131">
        <f t="shared" si="4"/>
        <v>0.17716219205775841</v>
      </c>
      <c r="M16" s="131">
        <f t="shared" si="4"/>
        <v>0.19151881171343105</v>
      </c>
      <c r="N16" s="131">
        <f t="shared" si="4"/>
        <v>0.2200372799444352</v>
      </c>
      <c r="O16" s="131">
        <f t="shared" si="4"/>
        <v>0.268767991232151</v>
      </c>
      <c r="P16" s="131">
        <f t="shared" si="4"/>
        <v>0.35538091407653899</v>
      </c>
      <c r="Q16" s="131">
        <f t="shared" si="4"/>
        <v>0.48829095428833719</v>
      </c>
      <c r="R16" s="131">
        <f t="shared" ref="R16:W16" si="5">SUM(R17:R18)</f>
        <v>0.61753768557061683</v>
      </c>
      <c r="S16" s="131">
        <f t="shared" si="5"/>
        <v>0.73755689643832312</v>
      </c>
      <c r="T16" s="131">
        <f t="shared" si="5"/>
        <v>0.8451542086418784</v>
      </c>
      <c r="U16" s="131">
        <f t="shared" si="5"/>
        <v>0.93389007663640056</v>
      </c>
      <c r="V16" s="131">
        <f t="shared" si="5"/>
        <v>1.0060918739983438</v>
      </c>
      <c r="W16" s="131">
        <f t="shared" si="5"/>
        <v>1.0702016782658617</v>
      </c>
      <c r="DA16" s="156" t="s">
        <v>234</v>
      </c>
    </row>
    <row r="17" spans="1:105" ht="12.95" customHeight="1" x14ac:dyDescent="0.25">
      <c r="A17" s="132" t="s">
        <v>73</v>
      </c>
      <c r="B17" s="133">
        <v>1.7417059444154601E-2</v>
      </c>
      <c r="C17" s="133">
        <v>2.3892513334716033E-2</v>
      </c>
      <c r="D17" s="133">
        <v>3.708630303874056E-2</v>
      </c>
      <c r="E17" s="133">
        <v>3.7263913550506907E-2</v>
      </c>
      <c r="F17" s="133">
        <v>5.7730857728497002E-2</v>
      </c>
      <c r="G17" s="133">
        <v>6.773944964014611E-2</v>
      </c>
      <c r="H17" s="133">
        <v>9.5350111473516436E-2</v>
      </c>
      <c r="I17" s="133">
        <v>0.11785149860045456</v>
      </c>
      <c r="J17" s="133">
        <v>0.13166278380537572</v>
      </c>
      <c r="K17" s="133">
        <v>0.1797659440376938</v>
      </c>
      <c r="L17" s="133">
        <v>0.17716219205775841</v>
      </c>
      <c r="M17" s="133">
        <v>0.19151881171343105</v>
      </c>
      <c r="N17" s="133">
        <v>0.2200372799444352</v>
      </c>
      <c r="O17" s="133">
        <v>0.268767991232151</v>
      </c>
      <c r="P17" s="133">
        <v>0.35538091407653899</v>
      </c>
      <c r="Q17" s="133">
        <v>0.48829095428833719</v>
      </c>
      <c r="R17" s="133">
        <v>0.61753768557061683</v>
      </c>
      <c r="S17" s="133">
        <v>0.73755689643832312</v>
      </c>
      <c r="T17" s="133">
        <v>0.8451542086418784</v>
      </c>
      <c r="U17" s="133">
        <v>0.93389007663640056</v>
      </c>
      <c r="V17" s="133">
        <v>1.0060918739983438</v>
      </c>
      <c r="W17" s="133">
        <v>1.0702016782658617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35.425290994646929</v>
      </c>
      <c r="C19" s="131">
        <f t="shared" si="6"/>
        <v>35.488375873249474</v>
      </c>
      <c r="D19" s="131">
        <f t="shared" si="6"/>
        <v>36.462878408995806</v>
      </c>
      <c r="E19" s="131">
        <f t="shared" si="6"/>
        <v>37.789413856083613</v>
      </c>
      <c r="F19" s="131">
        <f t="shared" si="6"/>
        <v>37.528305759684471</v>
      </c>
      <c r="G19" s="131">
        <f t="shared" si="6"/>
        <v>36.908263266806536</v>
      </c>
      <c r="H19" s="131">
        <f t="shared" si="6"/>
        <v>30.701548346488927</v>
      </c>
      <c r="I19" s="131">
        <f t="shared" si="6"/>
        <v>29.446374316698659</v>
      </c>
      <c r="J19" s="131">
        <f t="shared" si="6"/>
        <v>29.479361894046537</v>
      </c>
      <c r="K19" s="131">
        <f t="shared" si="6"/>
        <v>28.443585895815939</v>
      </c>
      <c r="L19" s="131">
        <f t="shared" si="6"/>
        <v>36.249739830219418</v>
      </c>
      <c r="M19" s="131">
        <f t="shared" si="6"/>
        <v>31.05274615870313</v>
      </c>
      <c r="N19" s="131">
        <f t="shared" si="6"/>
        <v>35.287689966438016</v>
      </c>
      <c r="O19" s="131">
        <f t="shared" si="6"/>
        <v>36.073304942280444</v>
      </c>
      <c r="P19" s="131">
        <f t="shared" si="6"/>
        <v>39.018106335293474</v>
      </c>
      <c r="Q19" s="131">
        <f t="shared" si="6"/>
        <v>42.19241598985441</v>
      </c>
      <c r="R19" s="131">
        <f t="shared" ref="R19:W19" si="7">SUM(R20:R27)</f>
        <v>43.066768200774675</v>
      </c>
      <c r="S19" s="131">
        <f t="shared" si="7"/>
        <v>43.15697857757258</v>
      </c>
      <c r="T19" s="131">
        <f t="shared" si="7"/>
        <v>45.432100951842493</v>
      </c>
      <c r="U19" s="131">
        <f t="shared" si="7"/>
        <v>47.458290265611978</v>
      </c>
      <c r="V19" s="131">
        <f t="shared" si="7"/>
        <v>35.214516218088846</v>
      </c>
      <c r="W19" s="131">
        <f t="shared" si="7"/>
        <v>44.308482592389055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20.64054870090132</v>
      </c>
      <c r="C22" s="133">
        <v>20.271146698295968</v>
      </c>
      <c r="D22" s="133">
        <v>20.690459559665506</v>
      </c>
      <c r="E22" s="133">
        <v>20.538769960911797</v>
      </c>
      <c r="F22" s="133">
        <v>20.232395741904899</v>
      </c>
      <c r="G22" s="133">
        <v>19.140483650262539</v>
      </c>
      <c r="H22" s="133">
        <v>12.861006771334324</v>
      </c>
      <c r="I22" s="133">
        <v>11.539449812039015</v>
      </c>
      <c r="J22" s="133">
        <v>8.112635299945655</v>
      </c>
      <c r="K22" s="133">
        <v>8.6214980961248671</v>
      </c>
      <c r="L22" s="133">
        <v>13.413801949343206</v>
      </c>
      <c r="M22" s="133">
        <v>9.4289503017345542</v>
      </c>
      <c r="N22" s="133">
        <v>14.44926487839952</v>
      </c>
      <c r="O22" s="133">
        <v>14.347741357785411</v>
      </c>
      <c r="P22" s="133">
        <v>15.479058043552611</v>
      </c>
      <c r="Q22" s="133">
        <v>15.197192823524491</v>
      </c>
      <c r="R22" s="133">
        <v>14.523433100232912</v>
      </c>
      <c r="S22" s="133">
        <v>23.124159518372029</v>
      </c>
      <c r="T22" s="133">
        <v>24.789595737569879</v>
      </c>
      <c r="U22" s="133">
        <v>27.79039723479772</v>
      </c>
      <c r="V22" s="133">
        <v>22.405306032683399</v>
      </c>
      <c r="W22" s="133">
        <v>25.972042898436637</v>
      </c>
      <c r="DA22" s="157" t="s">
        <v>372</v>
      </c>
    </row>
    <row r="23" spans="1:105" ht="12" customHeight="1" x14ac:dyDescent="0.25">
      <c r="A23" s="132" t="s">
        <v>153</v>
      </c>
      <c r="B23" s="133">
        <v>14.784742293745607</v>
      </c>
      <c r="C23" s="133">
        <v>15.217229174953506</v>
      </c>
      <c r="D23" s="133">
        <v>15.7724188493303</v>
      </c>
      <c r="E23" s="133">
        <v>17.250643895171812</v>
      </c>
      <c r="F23" s="133">
        <v>17.295910017779569</v>
      </c>
      <c r="G23" s="133">
        <v>17.767779616543997</v>
      </c>
      <c r="H23" s="133">
        <v>17.840541575154603</v>
      </c>
      <c r="I23" s="133">
        <v>17.906924504659642</v>
      </c>
      <c r="J23" s="133">
        <v>21.366726594100882</v>
      </c>
      <c r="K23" s="133">
        <v>19.822087799691072</v>
      </c>
      <c r="L23" s="133">
        <v>22.835937880876212</v>
      </c>
      <c r="M23" s="133">
        <v>21.623795856968574</v>
      </c>
      <c r="N23" s="133">
        <v>20.838425088038498</v>
      </c>
      <c r="O23" s="133">
        <v>21.725563584495031</v>
      </c>
      <c r="P23" s="133">
        <v>23.539048291740865</v>
      </c>
      <c r="Q23" s="133">
        <v>26.995223166329918</v>
      </c>
      <c r="R23" s="133">
        <v>28.543335100541761</v>
      </c>
      <c r="S23" s="133">
        <v>20.032819059200552</v>
      </c>
      <c r="T23" s="133">
        <v>20.642505214272614</v>
      </c>
      <c r="U23" s="133">
        <v>19.667893030814255</v>
      </c>
      <c r="V23" s="133">
        <v>12.809210185405451</v>
      </c>
      <c r="W23" s="133">
        <v>18.336439693952421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48.886766941066846</v>
      </c>
      <c r="C29" s="131">
        <f t="shared" si="8"/>
        <v>61.123146270816903</v>
      </c>
      <c r="D29" s="131">
        <f t="shared" si="8"/>
        <v>51.167781651173328</v>
      </c>
      <c r="E29" s="131">
        <f t="shared" si="8"/>
        <v>42.677313186007005</v>
      </c>
      <c r="F29" s="131">
        <f t="shared" si="8"/>
        <v>40.245437618830728</v>
      </c>
      <c r="G29" s="131">
        <f t="shared" si="8"/>
        <v>38.158152935788067</v>
      </c>
      <c r="H29" s="131">
        <f t="shared" si="8"/>
        <v>38.847723946969481</v>
      </c>
      <c r="I29" s="131">
        <f t="shared" si="8"/>
        <v>36.998370459048047</v>
      </c>
      <c r="J29" s="131">
        <f t="shared" si="8"/>
        <v>35.178462713394097</v>
      </c>
      <c r="K29" s="131">
        <f t="shared" si="8"/>
        <v>52.457196025280041</v>
      </c>
      <c r="L29" s="131">
        <f t="shared" si="8"/>
        <v>53.005666456965116</v>
      </c>
      <c r="M29" s="131">
        <f t="shared" si="8"/>
        <v>53.618512261788396</v>
      </c>
      <c r="N29" s="131">
        <f t="shared" si="8"/>
        <v>52.836948875200875</v>
      </c>
      <c r="O29" s="131">
        <f t="shared" si="8"/>
        <v>50.914420382996568</v>
      </c>
      <c r="P29" s="131">
        <f t="shared" si="8"/>
        <v>45.690190598544845</v>
      </c>
      <c r="Q29" s="131">
        <f t="shared" si="8"/>
        <v>46.01754774044263</v>
      </c>
      <c r="R29" s="131">
        <f t="shared" ref="R29:W29" si="9">SUM(R30:R33)</f>
        <v>45.934892386479767</v>
      </c>
      <c r="S29" s="131">
        <f t="shared" si="9"/>
        <v>39.655679170245726</v>
      </c>
      <c r="T29" s="131">
        <f t="shared" si="9"/>
        <v>36.034993235794687</v>
      </c>
      <c r="U29" s="131">
        <f t="shared" si="9"/>
        <v>37.587386182163812</v>
      </c>
      <c r="V29" s="131">
        <f t="shared" si="9"/>
        <v>28.231340373776952</v>
      </c>
      <c r="W29" s="131">
        <f t="shared" si="9"/>
        <v>39.730279413896284</v>
      </c>
      <c r="DA29" s="156" t="s">
        <v>236</v>
      </c>
    </row>
    <row r="30" spans="1:105" ht="12" customHeight="1" x14ac:dyDescent="0.25">
      <c r="A30" s="132" t="s">
        <v>52</v>
      </c>
      <c r="B30" s="133">
        <v>11.610374759999999</v>
      </c>
      <c r="C30" s="133">
        <v>23.220749519999995</v>
      </c>
      <c r="D30" s="133">
        <v>11.610374759999999</v>
      </c>
      <c r="E30" s="133">
        <v>2.9026504799999984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21.685375079999996</v>
      </c>
      <c r="L30" s="133">
        <v>23.305025879999995</v>
      </c>
      <c r="M30" s="133">
        <v>23.894278919999998</v>
      </c>
      <c r="N30" s="133">
        <v>24.193221479999995</v>
      </c>
      <c r="O30" s="133">
        <v>25.069831920000002</v>
      </c>
      <c r="P30" s="133">
        <v>22.367536559999991</v>
      </c>
      <c r="Q30" s="133">
        <v>24.526919520000021</v>
      </c>
      <c r="R30" s="133">
        <v>26.303310719999999</v>
      </c>
      <c r="S30" s="133">
        <v>22.939298279999999</v>
      </c>
      <c r="T30" s="133">
        <v>20.300834880000028</v>
      </c>
      <c r="U30" s="133">
        <v>24.204806639999987</v>
      </c>
      <c r="V30" s="133">
        <v>18.730477799999996</v>
      </c>
      <c r="W30" s="133">
        <v>28.163978279999995</v>
      </c>
      <c r="DA30" s="157" t="s">
        <v>378</v>
      </c>
    </row>
    <row r="31" spans="1:105" ht="12" customHeight="1" x14ac:dyDescent="0.25">
      <c r="A31" s="132" t="s">
        <v>153</v>
      </c>
      <c r="B31" s="133">
        <v>37.276392181066846</v>
      </c>
      <c r="C31" s="133">
        <v>37.902396750816905</v>
      </c>
      <c r="D31" s="133">
        <v>39.557406891173329</v>
      </c>
      <c r="E31" s="133">
        <v>39.774662706007007</v>
      </c>
      <c r="F31" s="133">
        <v>40.245437618830728</v>
      </c>
      <c r="G31" s="133">
        <v>38.158152935788067</v>
      </c>
      <c r="H31" s="133">
        <v>38.847723946969481</v>
      </c>
      <c r="I31" s="133">
        <v>36.998370459048047</v>
      </c>
      <c r="J31" s="133">
        <v>35.178462713394097</v>
      </c>
      <c r="K31" s="133">
        <v>30.771820945280048</v>
      </c>
      <c r="L31" s="133">
        <v>29.700640576965121</v>
      </c>
      <c r="M31" s="133">
        <v>29.724233341788398</v>
      </c>
      <c r="N31" s="133">
        <v>28.643727395200884</v>
      </c>
      <c r="O31" s="133">
        <v>25.844588462996565</v>
      </c>
      <c r="P31" s="133">
        <v>23.322654038544851</v>
      </c>
      <c r="Q31" s="133">
        <v>21.490628220442609</v>
      </c>
      <c r="R31" s="133">
        <v>19.631581666479768</v>
      </c>
      <c r="S31" s="133">
        <v>16.716380890245727</v>
      </c>
      <c r="T31" s="133">
        <v>15.734158355794662</v>
      </c>
      <c r="U31" s="133">
        <v>13.382579542163821</v>
      </c>
      <c r="V31" s="133">
        <v>9.5008625737769581</v>
      </c>
      <c r="W31" s="133">
        <v>11.566301133896287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468017.84028485196</v>
      </c>
      <c r="C3" s="126">
        <f>IF(SER_hh_fec!C3=0,0,11630*1000*SER_hh_fec!C3/SER_hh_num!C3)</f>
        <v>471103.32963650621</v>
      </c>
      <c r="D3" s="126">
        <f>IF(SER_hh_fec!D3=0,0,11630*1000*SER_hh_fec!D3/SER_hh_num!D3)</f>
        <v>430622.77978284622</v>
      </c>
      <c r="E3" s="126">
        <f>IF(SER_hh_fec!E3=0,0,11630*1000*SER_hh_fec!E3/SER_hh_num!E3)</f>
        <v>484718.0439540075</v>
      </c>
      <c r="F3" s="126">
        <f>IF(SER_hh_fec!F3=0,0,11630*1000*SER_hh_fec!F3/SER_hh_num!F3)</f>
        <v>450763.49318443082</v>
      </c>
      <c r="G3" s="126">
        <f>IF(SER_hh_fec!G3=0,0,11630*1000*SER_hh_fec!G3/SER_hh_num!G3)</f>
        <v>437140.28417245345</v>
      </c>
      <c r="H3" s="126">
        <f>IF(SER_hh_fec!H3=0,0,11630*1000*SER_hh_fec!H3/SER_hh_num!H3)</f>
        <v>432992.89944634319</v>
      </c>
      <c r="I3" s="126">
        <f>IF(SER_hh_fec!I3=0,0,11630*1000*SER_hh_fec!I3/SER_hh_num!I3)</f>
        <v>423822.82298169518</v>
      </c>
      <c r="J3" s="126">
        <f>IF(SER_hh_fec!J3=0,0,11630*1000*SER_hh_fec!J3/SER_hh_num!J3)</f>
        <v>445537.45434502495</v>
      </c>
      <c r="K3" s="126">
        <f>IF(SER_hh_fec!K3=0,0,11630*1000*SER_hh_fec!K3/SER_hh_num!K3)</f>
        <v>425652.94881411071</v>
      </c>
      <c r="L3" s="126">
        <f>IF(SER_hh_fec!L3=0,0,11630*1000*SER_hh_fec!L3/SER_hh_num!L3)</f>
        <v>487186.79678462702</v>
      </c>
      <c r="M3" s="126">
        <f>IF(SER_hh_fec!M3=0,0,11630*1000*SER_hh_fec!M3/SER_hh_num!M3)</f>
        <v>365408.35956616572</v>
      </c>
      <c r="N3" s="126">
        <f>IF(SER_hh_fec!N3=0,0,11630*1000*SER_hh_fec!N3/SER_hh_num!N3)</f>
        <v>414434.31914785289</v>
      </c>
      <c r="O3" s="126">
        <f>IF(SER_hh_fec!O3=0,0,11630*1000*SER_hh_fec!O3/SER_hh_num!O3)</f>
        <v>422625.18353563535</v>
      </c>
      <c r="P3" s="126">
        <f>IF(SER_hh_fec!P3=0,0,11630*1000*SER_hh_fec!P3/SER_hh_num!P3)</f>
        <v>349861.03893771232</v>
      </c>
      <c r="Q3" s="126">
        <f>IF(SER_hh_fec!Q3=0,0,11630*1000*SER_hh_fec!Q3/SER_hh_num!Q3)</f>
        <v>395733.0011484464</v>
      </c>
      <c r="R3" s="126">
        <f>IF(SER_hh_fec!R3=0,0,11630*1000*SER_hh_fec!R3/SER_hh_num!R3)</f>
        <v>392915.2279671852</v>
      </c>
      <c r="S3" s="126">
        <f>IF(SER_hh_fec!S3=0,0,11630*1000*SER_hh_fec!S3/SER_hh_num!S3)</f>
        <v>435153.2859006623</v>
      </c>
      <c r="T3" s="126">
        <f>IF(SER_hh_fec!T3=0,0,11630*1000*SER_hh_fec!T3/SER_hh_num!T3)</f>
        <v>439978.03803495312</v>
      </c>
      <c r="U3" s="126">
        <f>IF(SER_hh_fec!U3=0,0,11630*1000*SER_hh_fec!U3/SER_hh_num!U3)</f>
        <v>497460.39868209889</v>
      </c>
      <c r="V3" s="126">
        <f>IF(SER_hh_fec!V3=0,0,11630*1000*SER_hh_fec!V3/SER_hh_num!V3)</f>
        <v>468622.91717724391</v>
      </c>
      <c r="W3" s="126">
        <f>IF(SER_hh_fec!W3=0,0,11630*1000*SER_hh_fec!W3/SER_hh_num!W3)</f>
        <v>518165.08879828971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373546.99329025933</v>
      </c>
      <c r="C4" s="131">
        <f>IF(SER_hh_fec!C4=0,0,11630*1000*SER_hh_fec!C4/SER_hh_num!C4)</f>
        <v>373850.23155199713</v>
      </c>
      <c r="D4" s="131">
        <f>IF(SER_hh_fec!D4=0,0,11630*1000*SER_hh_fec!D4/SER_hh_num!D4)</f>
        <v>333954.91240855813</v>
      </c>
      <c r="E4" s="131">
        <f>IF(SER_hh_fec!E4=0,0,11630*1000*SER_hh_fec!E4/SER_hh_num!E4)</f>
        <v>388182.80437150132</v>
      </c>
      <c r="F4" s="131">
        <f>IF(SER_hh_fec!F4=0,0,11630*1000*SER_hh_fec!F4/SER_hh_num!F4)</f>
        <v>354795.31879609602</v>
      </c>
      <c r="G4" s="131">
        <f>IF(SER_hh_fec!G4=0,0,11630*1000*SER_hh_fec!G4/SER_hh_num!G4)</f>
        <v>340854.9965774102</v>
      </c>
      <c r="H4" s="131">
        <f>IF(SER_hh_fec!H4=0,0,11630*1000*SER_hh_fec!H4/SER_hh_num!H4)</f>
        <v>335961.00387940992</v>
      </c>
      <c r="I4" s="131">
        <f>IF(SER_hh_fec!I4=0,0,11630*1000*SER_hh_fec!I4/SER_hh_num!I4)</f>
        <v>327700.07207788201</v>
      </c>
      <c r="J4" s="131">
        <f>IF(SER_hh_fec!J4=0,0,11630*1000*SER_hh_fec!J4/SER_hh_num!J4)</f>
        <v>348645.24572134315</v>
      </c>
      <c r="K4" s="131">
        <f>IF(SER_hh_fec!K4=0,0,11630*1000*SER_hh_fec!K4/SER_hh_num!K4)</f>
        <v>325741.09687780752</v>
      </c>
      <c r="L4" s="131">
        <f>IF(SER_hh_fec!L4=0,0,11630*1000*SER_hh_fec!L4/SER_hh_num!L4)</f>
        <v>385578.58137704938</v>
      </c>
      <c r="M4" s="131">
        <f>IF(SER_hh_fec!M4=0,0,11630*1000*SER_hh_fec!M4/SER_hh_num!M4)</f>
        <v>265523.49308139796</v>
      </c>
      <c r="N4" s="131">
        <f>IF(SER_hh_fec!N4=0,0,11630*1000*SER_hh_fec!N4/SER_hh_num!N4)</f>
        <v>314016.30416629341</v>
      </c>
      <c r="O4" s="131">
        <f>IF(SER_hh_fec!O4=0,0,11630*1000*SER_hh_fec!O4/SER_hh_num!O4)</f>
        <v>322715.2204552897</v>
      </c>
      <c r="P4" s="131">
        <f>IF(SER_hh_fec!P4=0,0,11630*1000*SER_hh_fec!P4/SER_hh_num!P4)</f>
        <v>250615.06945409428</v>
      </c>
      <c r="Q4" s="131">
        <f>IF(SER_hh_fec!Q4=0,0,11630*1000*SER_hh_fec!Q4/SER_hh_num!Q4)</f>
        <v>295376.86012207397</v>
      </c>
      <c r="R4" s="131">
        <f>IF(SER_hh_fec!R4=0,0,11630*1000*SER_hh_fec!R4/SER_hh_num!R4)</f>
        <v>294034.32883131522</v>
      </c>
      <c r="S4" s="131">
        <f>IF(SER_hh_fec!S4=0,0,11630*1000*SER_hh_fec!S4/SER_hh_num!S4)</f>
        <v>337334.41619144246</v>
      </c>
      <c r="T4" s="131">
        <f>IF(SER_hh_fec!T4=0,0,11630*1000*SER_hh_fec!T4/SER_hh_num!T4)</f>
        <v>342467.39267153823</v>
      </c>
      <c r="U4" s="131">
        <f>IF(SER_hh_fec!U4=0,0,11630*1000*SER_hh_fec!U4/SER_hh_num!U4)</f>
        <v>399841.60135298385</v>
      </c>
      <c r="V4" s="131">
        <f>IF(SER_hh_fec!V4=0,0,11630*1000*SER_hh_fec!V4/SER_hh_num!V4)</f>
        <v>380964.40924240014</v>
      </c>
      <c r="W4" s="131">
        <f>IF(SER_hh_fec!W4=0,0,11630*1000*SER_hh_fec!W4/SER_hh_num!W4)</f>
        <v>423257.6815328981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364047.00216945447</v>
      </c>
      <c r="C7" s="133">
        <f>IF(SER_hh_fec!C7=0,0,11630*1000*SER_hh_fec!C7/SER_hh_num!C7)</f>
        <v>476392.21057953459</v>
      </c>
      <c r="D7" s="133">
        <f>IF(SER_hh_fec!D7=0,0,11630*1000*SER_hh_fec!D7/SER_hh_num!D7)</f>
        <v>449557.99215359328</v>
      </c>
      <c r="E7" s="133">
        <f>IF(SER_hh_fec!E7=0,0,11630*1000*SER_hh_fec!E7/SER_hh_num!E7)</f>
        <v>439324.88723467314</v>
      </c>
      <c r="F7" s="133">
        <f>IF(SER_hh_fec!F7=0,0,11630*1000*SER_hh_fec!F7/SER_hh_num!F7)</f>
        <v>480427.90607013128</v>
      </c>
      <c r="G7" s="133">
        <f>IF(SER_hh_fec!G7=0,0,11630*1000*SER_hh_fec!G7/SER_hh_num!G7)</f>
        <v>502817.05414661928</v>
      </c>
      <c r="H7" s="133">
        <f>IF(SER_hh_fec!H7=0,0,11630*1000*SER_hh_fec!H7/SER_hh_num!H7)</f>
        <v>376659.08947623218</v>
      </c>
      <c r="I7" s="133">
        <f>IF(SER_hh_fec!I7=0,0,11630*1000*SER_hh_fec!I7/SER_hh_num!I7)</f>
        <v>444331.92692283524</v>
      </c>
      <c r="J7" s="133">
        <f>IF(SER_hh_fec!J7=0,0,11630*1000*SER_hh_fec!J7/SER_hh_num!J7)</f>
        <v>398277.77065179363</v>
      </c>
      <c r="K7" s="133">
        <f>IF(SER_hh_fec!K7=0,0,11630*1000*SER_hh_fec!K7/SER_hh_num!K7)</f>
        <v>336241.45424581703</v>
      </c>
      <c r="L7" s="133">
        <f>IF(SER_hh_fec!L7=0,0,11630*1000*SER_hh_fec!L7/SER_hh_num!L7)</f>
        <v>556260.41561831685</v>
      </c>
      <c r="M7" s="133">
        <f>IF(SER_hh_fec!M7=0,0,11630*1000*SER_hh_fec!M7/SER_hh_num!M7)</f>
        <v>361112.79987647652</v>
      </c>
      <c r="N7" s="133">
        <f>IF(SER_hh_fec!N7=0,0,11630*1000*SER_hh_fec!N7/SER_hh_num!N7)</f>
        <v>343354.82717397728</v>
      </c>
      <c r="O7" s="133">
        <f>IF(SER_hh_fec!O7=0,0,11630*1000*SER_hh_fec!O7/SER_hh_num!O7)</f>
        <v>368887.83978497452</v>
      </c>
      <c r="P7" s="133">
        <f>IF(SER_hh_fec!P7=0,0,11630*1000*SER_hh_fec!P7/SER_hh_num!P7)</f>
        <v>280812.27921943099</v>
      </c>
      <c r="Q7" s="133">
        <f>IF(SER_hh_fec!Q7=0,0,11630*1000*SER_hh_fec!Q7/SER_hh_num!Q7)</f>
        <v>354303.09694877052</v>
      </c>
      <c r="R7" s="133">
        <f>IF(SER_hh_fec!R7=0,0,11630*1000*SER_hh_fec!R7/SER_hh_num!R7)</f>
        <v>307322.23100115621</v>
      </c>
      <c r="S7" s="133">
        <f>IF(SER_hh_fec!S7=0,0,11630*1000*SER_hh_fec!S7/SER_hh_num!S7)</f>
        <v>405481.66791814734</v>
      </c>
      <c r="T7" s="133">
        <f>IF(SER_hh_fec!T7=0,0,11630*1000*SER_hh_fec!T7/SER_hh_num!T7)</f>
        <v>383480.17866218655</v>
      </c>
      <c r="U7" s="133">
        <f>IF(SER_hh_fec!U7=0,0,11630*1000*SER_hh_fec!U7/SER_hh_num!U7)</f>
        <v>468961.49504472292</v>
      </c>
      <c r="V7" s="133">
        <f>IF(SER_hh_fec!V7=0,0,11630*1000*SER_hh_fec!V7/SER_hh_num!V7)</f>
        <v>435470.29334638233</v>
      </c>
      <c r="W7" s="133">
        <f>IF(SER_hh_fec!W7=0,0,11630*1000*SER_hh_fec!W7/SER_hh_num!W7)</f>
        <v>404182.33945307613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507999.37863125734</v>
      </c>
      <c r="C9" s="133">
        <f>IF(SER_hh_fec!C9=0,0,11630*1000*SER_hh_fec!C9/SER_hh_num!C9)</f>
        <v>343406.7367202501</v>
      </c>
      <c r="D9" s="133">
        <f>IF(SER_hh_fec!D9=0,0,11630*1000*SER_hh_fec!D9/SER_hh_num!D9)</f>
        <v>388285.47829309903</v>
      </c>
      <c r="E9" s="133">
        <f>IF(SER_hh_fec!E9=0,0,11630*1000*SER_hh_fec!E9/SER_hh_num!E9)</f>
        <v>457885.06188148272</v>
      </c>
      <c r="F9" s="133">
        <f>IF(SER_hh_fec!F9=0,0,11630*1000*SER_hh_fec!F9/SER_hh_num!F9)</f>
        <v>417701.32532138209</v>
      </c>
      <c r="G9" s="133">
        <f>IF(SER_hh_fec!G9=0,0,11630*1000*SER_hh_fec!G9/SER_hh_num!G9)</f>
        <v>353122.34453575173</v>
      </c>
      <c r="H9" s="133">
        <f>IF(SER_hh_fec!H9=0,0,11630*1000*SER_hh_fec!H9/SER_hh_num!H9)</f>
        <v>424120.85569110524</v>
      </c>
      <c r="I9" s="133">
        <f>IF(SER_hh_fec!I9=0,0,11630*1000*SER_hh_fec!I9/SER_hh_num!I9)</f>
        <v>331815.01293876051</v>
      </c>
      <c r="J9" s="133">
        <f>IF(SER_hh_fec!J9=0,0,11630*1000*SER_hh_fec!J9/SER_hh_num!J9)</f>
        <v>394630.31434117572</v>
      </c>
      <c r="K9" s="133">
        <f>IF(SER_hh_fec!K9=0,0,11630*1000*SER_hh_fec!K9/SER_hh_num!K9)</f>
        <v>403214.54020520882</v>
      </c>
      <c r="L9" s="133">
        <f>IF(SER_hh_fec!L9=0,0,11630*1000*SER_hh_fec!L9/SER_hh_num!L9)</f>
        <v>476801.51678049716</v>
      </c>
      <c r="M9" s="133">
        <f>IF(SER_hh_fec!M9=0,0,11630*1000*SER_hh_fec!M9/SER_hh_num!M9)</f>
        <v>196594.33377018446</v>
      </c>
      <c r="N9" s="133">
        <f>IF(SER_hh_fec!N9=0,0,11630*1000*SER_hh_fec!N9/SER_hh_num!N9)</f>
        <v>351210.6132303956</v>
      </c>
      <c r="O9" s="133">
        <f>IF(SER_hh_fec!O9=0,0,11630*1000*SER_hh_fec!O9/SER_hh_num!O9)</f>
        <v>334896.70618185308</v>
      </c>
      <c r="P9" s="133">
        <f>IF(SER_hh_fec!P9=0,0,11630*1000*SER_hh_fec!P9/SER_hh_num!P9)</f>
        <v>258033.81164267362</v>
      </c>
      <c r="Q9" s="133">
        <f>IF(SER_hh_fec!Q9=0,0,11630*1000*SER_hh_fec!Q9/SER_hh_num!Q9)</f>
        <v>303773.36998007511</v>
      </c>
      <c r="R9" s="133">
        <f>IF(SER_hh_fec!R9=0,0,11630*1000*SER_hh_fec!R9/SER_hh_num!R9)</f>
        <v>361961.0097840862</v>
      </c>
      <c r="S9" s="133">
        <f>IF(SER_hh_fec!S9=0,0,11630*1000*SER_hh_fec!S9/SER_hh_num!S9)</f>
        <v>293124.46177079529</v>
      </c>
      <c r="T9" s="133">
        <f>IF(SER_hh_fec!T9=0,0,11630*1000*SER_hh_fec!T9/SER_hh_num!T9)</f>
        <v>368617.84345259872</v>
      </c>
      <c r="U9" s="133">
        <f>IF(SER_hh_fec!U9=0,0,11630*1000*SER_hh_fec!U9/SER_hh_num!U9)</f>
        <v>438598.33553461608</v>
      </c>
      <c r="V9" s="133">
        <f>IF(SER_hh_fec!V9=0,0,11630*1000*SER_hh_fec!V9/SER_hh_num!V9)</f>
        <v>354389.1222505336</v>
      </c>
      <c r="W9" s="133">
        <f>IF(SER_hh_fec!W9=0,0,11630*1000*SER_hh_fec!W9/SER_hh_num!W9)</f>
        <v>564274.35139127309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205967.48381044797</v>
      </c>
      <c r="C10" s="133">
        <f>IF(SER_hh_fec!C10=0,0,11630*1000*SER_hh_fec!C10/SER_hh_num!C10)</f>
        <v>324919.1616495332</v>
      </c>
      <c r="D10" s="133">
        <f>IF(SER_hh_fec!D10=0,0,11630*1000*SER_hh_fec!D10/SER_hh_num!D10)</f>
        <v>438911.57301140187</v>
      </c>
      <c r="E10" s="133">
        <f>IF(SER_hh_fec!E10=0,0,11630*1000*SER_hh_fec!E10/SER_hh_num!E10)</f>
        <v>283412.43289047491</v>
      </c>
      <c r="F10" s="133">
        <f>IF(SER_hh_fec!F10=0,0,11630*1000*SER_hh_fec!F10/SER_hh_num!F10)</f>
        <v>378927.27984830417</v>
      </c>
      <c r="G10" s="133">
        <f>IF(SER_hh_fec!G10=0,0,11630*1000*SER_hh_fec!G10/SER_hh_num!G10)</f>
        <v>396071.00681073515</v>
      </c>
      <c r="H10" s="133">
        <f>IF(SER_hh_fec!H10=0,0,11630*1000*SER_hh_fec!H10/SER_hh_num!H10)</f>
        <v>202463.11135217032</v>
      </c>
      <c r="I10" s="133">
        <f>IF(SER_hh_fec!I10=0,0,11630*1000*SER_hh_fec!I10/SER_hh_num!I10)</f>
        <v>180965.22985673527</v>
      </c>
      <c r="J10" s="133">
        <f>IF(SER_hh_fec!J10=0,0,11630*1000*SER_hh_fec!J10/SER_hh_num!J10)</f>
        <v>329555.73536537372</v>
      </c>
      <c r="K10" s="133">
        <f>IF(SER_hh_fec!K10=0,0,11630*1000*SER_hh_fec!K10/SER_hh_num!K10)</f>
        <v>498484.22275551764</v>
      </c>
      <c r="L10" s="133">
        <f>IF(SER_hh_fec!L10=0,0,11630*1000*SER_hh_fec!L10/SER_hh_num!L10)</f>
        <v>362955.33413581579</v>
      </c>
      <c r="M10" s="133">
        <f>IF(SER_hh_fec!M10=0,0,11630*1000*SER_hh_fec!M10/SER_hh_num!M10)</f>
        <v>145179.53158709744</v>
      </c>
      <c r="N10" s="133">
        <f>IF(SER_hh_fec!N10=0,0,11630*1000*SER_hh_fec!N10/SER_hh_num!N10)</f>
        <v>261545.08359620624</v>
      </c>
      <c r="O10" s="133">
        <f>IF(SER_hh_fec!O10=0,0,11630*1000*SER_hh_fec!O10/SER_hh_num!O10)</f>
        <v>372106.62628255395</v>
      </c>
      <c r="P10" s="133">
        <f>IF(SER_hh_fec!P10=0,0,11630*1000*SER_hh_fec!P10/SER_hh_num!P10)</f>
        <v>480480.14076809218</v>
      </c>
      <c r="Q10" s="133">
        <f>IF(SER_hh_fec!Q10=0,0,11630*1000*SER_hh_fec!Q10/SER_hh_num!Q10)</f>
        <v>200278.06581485691</v>
      </c>
      <c r="R10" s="133">
        <f>IF(SER_hh_fec!R10=0,0,11630*1000*SER_hh_fec!R10/SER_hh_num!R10)</f>
        <v>513763.52331757528</v>
      </c>
      <c r="S10" s="133">
        <f>IF(SER_hh_fec!S10=0,0,11630*1000*SER_hh_fec!S10/SER_hh_num!S10)</f>
        <v>41612.803680519704</v>
      </c>
      <c r="T10" s="133">
        <f>IF(SER_hh_fec!T10=0,0,11630*1000*SER_hh_fec!T10/SER_hh_num!T10)</f>
        <v>115338.90456056161</v>
      </c>
      <c r="U10" s="133">
        <f>IF(SER_hh_fec!U10=0,0,11630*1000*SER_hh_fec!U10/SER_hh_num!U10)</f>
        <v>162265.00538822415</v>
      </c>
      <c r="V10" s="133">
        <f>IF(SER_hh_fec!V10=0,0,11630*1000*SER_hh_fec!V10/SER_hh_num!V10)</f>
        <v>1026797.2289444704</v>
      </c>
      <c r="W10" s="133">
        <f>IF(SER_hh_fec!W10=0,0,11630*1000*SER_hh_fec!W10/SER_hh_num!W10)</f>
        <v>2608706.5218934054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246940.07276396835</v>
      </c>
      <c r="C12" s="133">
        <f>IF(SER_hh_fec!C12=0,0,11630*1000*SER_hh_fec!C12/SER_hh_num!C12)</f>
        <v>226723.25447430086</v>
      </c>
      <c r="D12" s="133">
        <f>IF(SER_hh_fec!D12=0,0,11630*1000*SER_hh_fec!D12/SER_hh_num!D12)</f>
        <v>206890.0836629243</v>
      </c>
      <c r="E12" s="133">
        <f>IF(SER_hh_fec!E12=0,0,11630*1000*SER_hh_fec!E12/SER_hh_num!E12)</f>
        <v>332628.84295272495</v>
      </c>
      <c r="F12" s="133">
        <f>IF(SER_hh_fec!F12=0,0,11630*1000*SER_hh_fec!F12/SER_hh_num!F12)</f>
        <v>285350.61762196734</v>
      </c>
      <c r="G12" s="133">
        <f>IF(SER_hh_fec!G12=0,0,11630*1000*SER_hh_fec!G12/SER_hh_num!G12)</f>
        <v>272783.65759241994</v>
      </c>
      <c r="H12" s="133">
        <f>IF(SER_hh_fec!H12=0,0,11630*1000*SER_hh_fec!H12/SER_hh_num!H12)</f>
        <v>281214.38827534078</v>
      </c>
      <c r="I12" s="133">
        <f>IF(SER_hh_fec!I12=0,0,11630*1000*SER_hh_fec!I12/SER_hh_num!I12)</f>
        <v>239711.9942352958</v>
      </c>
      <c r="J12" s="133">
        <f>IF(SER_hh_fec!J12=0,0,11630*1000*SER_hh_fec!J12/SER_hh_num!J12)</f>
        <v>294018.0098938797</v>
      </c>
      <c r="K12" s="133">
        <f>IF(SER_hh_fec!K12=0,0,11630*1000*SER_hh_fec!K12/SER_hh_num!K12)</f>
        <v>241274.19099306286</v>
      </c>
      <c r="L12" s="133">
        <f>IF(SER_hh_fec!L12=0,0,11630*1000*SER_hh_fec!L12/SER_hh_num!L12)</f>
        <v>280878.2600462386</v>
      </c>
      <c r="M12" s="133">
        <f>IF(SER_hh_fec!M12=0,0,11630*1000*SER_hh_fec!M12/SER_hh_num!M12)</f>
        <v>297382.79187241098</v>
      </c>
      <c r="N12" s="133">
        <f>IF(SER_hh_fec!N12=0,0,11630*1000*SER_hh_fec!N12/SER_hh_num!N12)</f>
        <v>269921.24177541694</v>
      </c>
      <c r="O12" s="133">
        <f>IF(SER_hh_fec!O12=0,0,11630*1000*SER_hh_fec!O12/SER_hh_num!O12)</f>
        <v>295424.14423707942</v>
      </c>
      <c r="P12" s="133">
        <f>IF(SER_hh_fec!P12=0,0,11630*1000*SER_hh_fec!P12/SER_hh_num!P12)</f>
        <v>200139.3237333135</v>
      </c>
      <c r="Q12" s="133">
        <f>IF(SER_hh_fec!Q12=0,0,11630*1000*SER_hh_fec!Q12/SER_hh_num!Q12)</f>
        <v>249294.68078162111</v>
      </c>
      <c r="R12" s="133">
        <f>IF(SER_hh_fec!R12=0,0,11630*1000*SER_hh_fec!R12/SER_hh_num!R12)</f>
        <v>251144.69962134125</v>
      </c>
      <c r="S12" s="133">
        <f>IF(SER_hh_fec!S12=0,0,11630*1000*SER_hh_fec!S12/SER_hh_num!S12)</f>
        <v>272601.94902013685</v>
      </c>
      <c r="T12" s="133">
        <f>IF(SER_hh_fec!T12=0,0,11630*1000*SER_hh_fec!T12/SER_hh_num!T12)</f>
        <v>277818.74774738326</v>
      </c>
      <c r="U12" s="133">
        <f>IF(SER_hh_fec!U12=0,0,11630*1000*SER_hh_fec!U12/SER_hh_num!U12)</f>
        <v>305894.01622454019</v>
      </c>
      <c r="V12" s="133">
        <f>IF(SER_hh_fec!V12=0,0,11630*1000*SER_hh_fec!V12/SER_hh_num!V12)</f>
        <v>363479.35205254401</v>
      </c>
      <c r="W12" s="133">
        <f>IF(SER_hh_fec!W12=0,0,11630*1000*SER_hh_fec!W12/SER_hh_num!W12)</f>
        <v>362413.0654862739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255989.01540154306</v>
      </c>
      <c r="C14" s="65">
        <f>IF(SER_hh_fec!C14=0,0,11630*1000*SER_hh_fec!C14/SER_hh_num!C14)</f>
        <v>372053.33001405245</v>
      </c>
      <c r="D14" s="65">
        <f>IF(SER_hh_fec!D14=0,0,11630*1000*SER_hh_fec!D14/SER_hh_num!D14)</f>
        <v>248292.15010268398</v>
      </c>
      <c r="E14" s="65">
        <f>IF(SER_hh_fec!E14=0,0,11630*1000*SER_hh_fec!E14/SER_hh_num!E14)</f>
        <v>308221.85069968103</v>
      </c>
      <c r="F14" s="65">
        <f>IF(SER_hh_fec!F14=0,0,11630*1000*SER_hh_fec!F14/SER_hh_num!F14)</f>
        <v>267098.69343442412</v>
      </c>
      <c r="G14" s="65">
        <f>IF(SER_hh_fec!G14=0,0,11630*1000*SER_hh_fec!G14/SER_hh_num!G14)</f>
        <v>306074.29122891399</v>
      </c>
      <c r="H14" s="65">
        <f>IF(SER_hh_fec!H14=0,0,11630*1000*SER_hh_fec!H14/SER_hh_num!H14)</f>
        <v>272775.39255559817</v>
      </c>
      <c r="I14" s="65">
        <f>IF(SER_hh_fec!I14=0,0,11630*1000*SER_hh_fec!I14/SER_hh_num!I14)</f>
        <v>353441.152028927</v>
      </c>
      <c r="J14" s="65">
        <f>IF(SER_hh_fec!J14=0,0,11630*1000*SER_hh_fec!J14/SER_hh_num!J14)</f>
        <v>321449.20599272073</v>
      </c>
      <c r="K14" s="65">
        <f>IF(SER_hh_fec!K14=0,0,11630*1000*SER_hh_fec!K14/SER_hh_num!K14)</f>
        <v>292862.07561938732</v>
      </c>
      <c r="L14" s="65">
        <f>IF(SER_hh_fec!L14=0,0,11630*1000*SER_hh_fec!L14/SER_hh_num!L14)</f>
        <v>306638.76599959459</v>
      </c>
      <c r="M14" s="65">
        <f>IF(SER_hh_fec!M14=0,0,11630*1000*SER_hh_fec!M14/SER_hh_num!M14)</f>
        <v>268602.8179916541</v>
      </c>
      <c r="N14" s="65">
        <f>IF(SER_hh_fec!N14=0,0,11630*1000*SER_hh_fec!N14/SER_hh_num!N14)</f>
        <v>289064.99054238101</v>
      </c>
      <c r="O14" s="65">
        <f>IF(SER_hh_fec!O14=0,0,11630*1000*SER_hh_fec!O14/SER_hh_num!O14)</f>
        <v>296081.03893872048</v>
      </c>
      <c r="P14" s="65">
        <f>IF(SER_hh_fec!P14=0,0,11630*1000*SER_hh_fec!P14/SER_hh_num!P14)</f>
        <v>255919.96525697259</v>
      </c>
      <c r="Q14" s="65">
        <f>IF(SER_hh_fec!Q14=0,0,11630*1000*SER_hh_fec!Q14/SER_hh_num!Q14)</f>
        <v>261047.10593798757</v>
      </c>
      <c r="R14" s="65">
        <f>IF(SER_hh_fec!R14=0,0,11630*1000*SER_hh_fec!R14/SER_hh_num!R14)</f>
        <v>207968.88315101914</v>
      </c>
      <c r="S14" s="65">
        <f>IF(SER_hh_fec!S14=0,0,11630*1000*SER_hh_fec!S14/SER_hh_num!S14)</f>
        <v>371587.27127854701</v>
      </c>
      <c r="T14" s="65">
        <f>IF(SER_hh_fec!T14=0,0,11630*1000*SER_hh_fec!T14/SER_hh_num!T14)</f>
        <v>319589.7159372216</v>
      </c>
      <c r="U14" s="65">
        <f>IF(SER_hh_fec!U14=0,0,11630*1000*SER_hh_fec!U14/SER_hh_num!U14)</f>
        <v>376139.6763124328</v>
      </c>
      <c r="V14" s="65">
        <f>IF(SER_hh_fec!V14=0,0,11630*1000*SER_hh_fec!V14/SER_hh_num!V14)</f>
        <v>349826.96479626454</v>
      </c>
      <c r="W14" s="65">
        <f>IF(SER_hh_fec!W14=0,0,11630*1000*SER_hh_fec!W14/SER_hh_num!W14)</f>
        <v>402061.04797084967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4234.6393787978932</v>
      </c>
      <c r="C15" s="135">
        <f>IF(SER_hh_fec!C15=0,0,11630*1000*SER_hh_fec!C15/SER_hh_num!C15)</f>
        <v>3467.6467681559911</v>
      </c>
      <c r="D15" s="135">
        <f>IF(SER_hh_fec!D15=0,0,11630*1000*SER_hh_fec!D15/SER_hh_num!D15)</f>
        <v>3296.2537481163586</v>
      </c>
      <c r="E15" s="135">
        <f>IF(SER_hh_fec!E15=0,0,11630*1000*SER_hh_fec!E15/SER_hh_num!E15)</f>
        <v>3386.9677485594875</v>
      </c>
      <c r="F15" s="135">
        <f>IF(SER_hh_fec!F15=0,0,11630*1000*SER_hh_fec!F15/SER_hh_num!F15)</f>
        <v>3038.9381924927593</v>
      </c>
      <c r="G15" s="135">
        <f>IF(SER_hh_fec!G15=0,0,11630*1000*SER_hh_fec!G15/SER_hh_num!G15)</f>
        <v>2701.9428257998547</v>
      </c>
      <c r="H15" s="135">
        <f>IF(SER_hh_fec!H15=0,0,11630*1000*SER_hh_fec!H15/SER_hh_num!H15)</f>
        <v>2826.6497687736623</v>
      </c>
      <c r="I15" s="135">
        <f>IF(SER_hh_fec!I15=0,0,11630*1000*SER_hh_fec!I15/SER_hh_num!I15)</f>
        <v>2494.5194966732029</v>
      </c>
      <c r="J15" s="135">
        <f>IF(SER_hh_fec!J15=0,0,11630*1000*SER_hh_fec!J15/SER_hh_num!J15)</f>
        <v>2914.3615362937549</v>
      </c>
      <c r="K15" s="135">
        <f>IF(SER_hh_fec!K15=0,0,11630*1000*SER_hh_fec!K15/SER_hh_num!K15)</f>
        <v>2871.7094457670692</v>
      </c>
      <c r="L15" s="135">
        <f>IF(SER_hh_fec!L15=0,0,11630*1000*SER_hh_fec!L15/SER_hh_num!L15)</f>
        <v>3542.8249185233603</v>
      </c>
      <c r="M15" s="135">
        <f>IF(SER_hh_fec!M15=0,0,11630*1000*SER_hh_fec!M15/SER_hh_num!M15)</f>
        <v>1938.3479802850054</v>
      </c>
      <c r="N15" s="135">
        <f>IF(SER_hh_fec!N15=0,0,11630*1000*SER_hh_fec!N15/SER_hh_num!N15)</f>
        <v>2715.4549137892286</v>
      </c>
      <c r="O15" s="135">
        <f>IF(SER_hh_fec!O15=0,0,11630*1000*SER_hh_fec!O15/SER_hh_num!O15)</f>
        <v>2839.2859098207018</v>
      </c>
      <c r="P15" s="135">
        <f>IF(SER_hh_fec!P15=0,0,11630*1000*SER_hh_fec!P15/SER_hh_num!P15)</f>
        <v>2211.1900285195511</v>
      </c>
      <c r="Q15" s="135">
        <f>IF(SER_hh_fec!Q15=0,0,11630*1000*SER_hh_fec!Q15/SER_hh_num!Q15)</f>
        <v>2729.6994510242125</v>
      </c>
      <c r="R15" s="135">
        <f>IF(SER_hh_fec!R15=0,0,11630*1000*SER_hh_fec!R15/SER_hh_num!R15)</f>
        <v>2882.9400671858898</v>
      </c>
      <c r="S15" s="135">
        <f>IF(SER_hh_fec!S15=0,0,11630*1000*SER_hh_fec!S15/SER_hh_num!S15)</f>
        <v>2932.4388611909872</v>
      </c>
      <c r="T15" s="135">
        <f>IF(SER_hh_fec!T15=0,0,11630*1000*SER_hh_fec!T15/SER_hh_num!T15)</f>
        <v>3088.7295372237659</v>
      </c>
      <c r="U15" s="135">
        <f>IF(SER_hh_fec!U15=0,0,11630*1000*SER_hh_fec!U15/SER_hh_num!U15)</f>
        <v>3549.1411084028996</v>
      </c>
      <c r="V15" s="135">
        <f>IF(SER_hh_fec!V15=0,0,11630*1000*SER_hh_fec!V15/SER_hh_num!V15)</f>
        <v>3036.3621029705841</v>
      </c>
      <c r="W15" s="135">
        <f>IF(SER_hh_fec!W15=0,0,11630*1000*SER_hh_fec!W15/SER_hh_num!W15)</f>
        <v>3456.3603661437442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18547.84966623037</v>
      </c>
      <c r="C16" s="131">
        <f>IF(SER_hh_fec!C16=0,0,11630*1000*SER_hh_fec!C16/SER_hh_num!C16)</f>
        <v>17515.426260438235</v>
      </c>
      <c r="D16" s="131">
        <f>IF(SER_hh_fec!D16=0,0,11630*1000*SER_hh_fec!D16/SER_hh_num!D16)</f>
        <v>16639.942411500801</v>
      </c>
      <c r="E16" s="131">
        <f>IF(SER_hh_fec!E16=0,0,11630*1000*SER_hh_fec!E16/SER_hh_num!E16)</f>
        <v>20377.011964156958</v>
      </c>
      <c r="F16" s="131">
        <f>IF(SER_hh_fec!F16=0,0,11630*1000*SER_hh_fec!F16/SER_hh_num!F16)</f>
        <v>14910.180746056474</v>
      </c>
      <c r="G16" s="131">
        <f>IF(SER_hh_fec!G16=0,0,11630*1000*SER_hh_fec!G16/SER_hh_num!G16)</f>
        <v>14640.434898620488</v>
      </c>
      <c r="H16" s="131">
        <f>IF(SER_hh_fec!H16=0,0,11630*1000*SER_hh_fec!H16/SER_hh_num!H16)</f>
        <v>16599.140605525125</v>
      </c>
      <c r="I16" s="131">
        <f>IF(SER_hh_fec!I16=0,0,11630*1000*SER_hh_fec!I16/SER_hh_num!I16)</f>
        <v>13297.887158957341</v>
      </c>
      <c r="J16" s="131">
        <f>IF(SER_hh_fec!J16=0,0,11630*1000*SER_hh_fec!J16/SER_hh_num!J16)</f>
        <v>12812.854524157028</v>
      </c>
      <c r="K16" s="131">
        <f>IF(SER_hh_fec!K16=0,0,11630*1000*SER_hh_fec!K16/SER_hh_num!K16)</f>
        <v>12732.445612515839</v>
      </c>
      <c r="L16" s="131">
        <f>IF(SER_hh_fec!L16=0,0,11630*1000*SER_hh_fec!L16/SER_hh_num!L16)</f>
        <v>13336.966314481864</v>
      </c>
      <c r="M16" s="131">
        <f>IF(SER_hh_fec!M16=0,0,11630*1000*SER_hh_fec!M16/SER_hh_num!M16)</f>
        <v>12146.085640578684</v>
      </c>
      <c r="N16" s="131">
        <f>IF(SER_hh_fec!N16=0,0,11630*1000*SER_hh_fec!N16/SER_hh_num!N16)</f>
        <v>12159.396233105128</v>
      </c>
      <c r="O16" s="131">
        <f>IF(SER_hh_fec!O16=0,0,11630*1000*SER_hh_fec!O16/SER_hh_num!O16)</f>
        <v>12086.241731426286</v>
      </c>
      <c r="P16" s="131">
        <f>IF(SER_hh_fec!P16=0,0,11630*1000*SER_hh_fec!P16/SER_hh_num!P16)</f>
        <v>11317.003003528003</v>
      </c>
      <c r="Q16" s="131">
        <f>IF(SER_hh_fec!Q16=0,0,11630*1000*SER_hh_fec!Q16/SER_hh_num!Q16)</f>
        <v>12426.550272869013</v>
      </c>
      <c r="R16" s="131">
        <f>IF(SER_hh_fec!R16=0,0,11630*1000*SER_hh_fec!R16/SER_hh_num!R16)</f>
        <v>11067.750150847849</v>
      </c>
      <c r="S16" s="131">
        <f>IF(SER_hh_fec!S16=0,0,11630*1000*SER_hh_fec!S16/SER_hh_num!S16)</f>
        <v>10746.420224168705</v>
      </c>
      <c r="T16" s="131">
        <f>IF(SER_hh_fec!T16=0,0,11630*1000*SER_hh_fec!T16/SER_hh_num!T16)</f>
        <v>11725.195256025258</v>
      </c>
      <c r="U16" s="131">
        <f>IF(SER_hh_fec!U16=0,0,11630*1000*SER_hh_fec!U16/SER_hh_num!U16)</f>
        <v>11514.06289556314</v>
      </c>
      <c r="V16" s="131">
        <f>IF(SER_hh_fec!V16=0,0,11630*1000*SER_hh_fec!V16/SER_hh_num!V16)</f>
        <v>11319.907734705423</v>
      </c>
      <c r="W16" s="131">
        <f>IF(SER_hh_fec!W16=0,0,11630*1000*SER_hh_fec!W16/SER_hh_num!W16)</f>
        <v>9643.9491681773889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27184.366536017242</v>
      </c>
      <c r="C17" s="133">
        <f>IF(SER_hh_fec!C17=0,0,11630*1000*SER_hh_fec!C17/SER_hh_num!C17)</f>
        <v>27370.268419737342</v>
      </c>
      <c r="D17" s="133">
        <f>IF(SER_hh_fec!D17=0,0,11630*1000*SER_hh_fec!D17/SER_hh_num!D17)</f>
        <v>27475.983843661463</v>
      </c>
      <c r="E17" s="133">
        <f>IF(SER_hh_fec!E17=0,0,11630*1000*SER_hh_fec!E17/SER_hh_num!E17)</f>
        <v>35170.681330150946</v>
      </c>
      <c r="F17" s="133">
        <f>IF(SER_hh_fec!F17=0,0,11630*1000*SER_hh_fec!F17/SER_hh_num!F17)</f>
        <v>26617.968449519107</v>
      </c>
      <c r="G17" s="133">
        <f>IF(SER_hh_fec!G17=0,0,11630*1000*SER_hh_fec!G17/SER_hh_num!G17)</f>
        <v>27404.66615701099</v>
      </c>
      <c r="H17" s="133">
        <f>IF(SER_hh_fec!H17=0,0,11630*1000*SER_hh_fec!H17/SER_hh_num!H17)</f>
        <v>32178.922384961297</v>
      </c>
      <c r="I17" s="133">
        <f>IF(SER_hh_fec!I17=0,0,11630*1000*SER_hh_fec!I17/SER_hh_num!I17)</f>
        <v>26710.135966698312</v>
      </c>
      <c r="J17" s="133">
        <f>IF(SER_hh_fec!J17=0,0,11630*1000*SER_hh_fec!J17/SER_hh_num!J17)</f>
        <v>26655.306414995528</v>
      </c>
      <c r="K17" s="133">
        <f>IF(SER_hh_fec!K17=0,0,11630*1000*SER_hh_fec!K17/SER_hh_num!K17)</f>
        <v>31628.437273544772</v>
      </c>
      <c r="L17" s="133">
        <f>IF(SER_hh_fec!L17=0,0,11630*1000*SER_hh_fec!L17/SER_hh_num!L17)</f>
        <v>28865.242732567629</v>
      </c>
      <c r="M17" s="133">
        <f>IF(SER_hh_fec!M17=0,0,11630*1000*SER_hh_fec!M17/SER_hh_num!M17)</f>
        <v>27003.150264819615</v>
      </c>
      <c r="N17" s="133">
        <f>IF(SER_hh_fec!N17=0,0,11630*1000*SER_hh_fec!N17/SER_hh_num!N17)</f>
        <v>27714.975640447505</v>
      </c>
      <c r="O17" s="133">
        <f>IF(SER_hh_fec!O17=0,0,11630*1000*SER_hh_fec!O17/SER_hh_num!O17)</f>
        <v>28031.964409961176</v>
      </c>
      <c r="P17" s="133">
        <f>IF(SER_hh_fec!P17=0,0,11630*1000*SER_hh_fec!P17/SER_hh_num!P17)</f>
        <v>26523.329241797524</v>
      </c>
      <c r="Q17" s="133">
        <f>IF(SER_hh_fec!Q17=0,0,11630*1000*SER_hh_fec!Q17/SER_hh_num!Q17)</f>
        <v>29631.021951921408</v>
      </c>
      <c r="R17" s="133">
        <f>IF(SER_hh_fec!R17=0,0,11630*1000*SER_hh_fec!R17/SER_hh_num!R17)</f>
        <v>26380.481582606535</v>
      </c>
      <c r="S17" s="133">
        <f>IF(SER_hh_fec!S17=0,0,11630*1000*SER_hh_fec!S17/SER_hh_num!S17)</f>
        <v>26892.022552358758</v>
      </c>
      <c r="T17" s="133">
        <f>IF(SER_hh_fec!T17=0,0,11630*1000*SER_hh_fec!T17/SER_hh_num!T17)</f>
        <v>29014.040197128037</v>
      </c>
      <c r="U17" s="133">
        <f>IF(SER_hh_fec!U17=0,0,11630*1000*SER_hh_fec!U17/SER_hh_num!U17)</f>
        <v>28740.105408490024</v>
      </c>
      <c r="V17" s="133">
        <f>IF(SER_hh_fec!V17=0,0,11630*1000*SER_hh_fec!V17/SER_hh_num!V17)</f>
        <v>28383.298003101758</v>
      </c>
      <c r="W17" s="133">
        <f>IF(SER_hh_fec!W17=0,0,11630*1000*SER_hh_fec!W17/SER_hh_num!W17)</f>
        <v>27852.292224172921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18509.945549524607</v>
      </c>
      <c r="C18" s="133">
        <f>IF(SER_hh_fec!C18=0,0,11630*1000*SER_hh_fec!C18/SER_hh_num!C18)</f>
        <v>17468.98577611678</v>
      </c>
      <c r="D18" s="133">
        <f>IF(SER_hh_fec!D18=0,0,11630*1000*SER_hh_fec!D18/SER_hh_num!D18)</f>
        <v>16577.877831621805</v>
      </c>
      <c r="E18" s="133">
        <f>IF(SER_hh_fec!E18=0,0,11630*1000*SER_hh_fec!E18/SER_hh_num!E18)</f>
        <v>20318.561324575032</v>
      </c>
      <c r="F18" s="133">
        <f>IF(SER_hh_fec!F18=0,0,11630*1000*SER_hh_fec!F18/SER_hh_num!F18)</f>
        <v>14828.800801278241</v>
      </c>
      <c r="G18" s="133">
        <f>IF(SER_hh_fec!G18=0,0,11630*1000*SER_hh_fec!G18/SER_hh_num!G18)</f>
        <v>14558.122026803894</v>
      </c>
      <c r="H18" s="133">
        <f>IF(SER_hh_fec!H18=0,0,11630*1000*SER_hh_fec!H18/SER_hh_num!H18)</f>
        <v>16493.380619976724</v>
      </c>
      <c r="I18" s="133">
        <f>IF(SER_hh_fec!I18=0,0,11630*1000*SER_hh_fec!I18/SER_hh_num!I18)</f>
        <v>13182.174467335153</v>
      </c>
      <c r="J18" s="133">
        <f>IF(SER_hh_fec!J18=0,0,11630*1000*SER_hh_fec!J18/SER_hh_num!J18)</f>
        <v>12693.512049139372</v>
      </c>
      <c r="K18" s="133">
        <f>IF(SER_hh_fec!K18=0,0,11630*1000*SER_hh_fec!K18/SER_hh_num!K18)</f>
        <v>12561.966309008196</v>
      </c>
      <c r="L18" s="133">
        <f>IF(SER_hh_fec!L18=0,0,11630*1000*SER_hh_fec!L18/SER_hh_num!L18)</f>
        <v>13196.145456738537</v>
      </c>
      <c r="M18" s="133">
        <f>IF(SER_hh_fec!M18=0,0,11630*1000*SER_hh_fec!M18/SER_hh_num!M18)</f>
        <v>12000.673849979159</v>
      </c>
      <c r="N18" s="133">
        <f>IF(SER_hh_fec!N18=0,0,11630*1000*SER_hh_fec!N18/SER_hh_num!N18)</f>
        <v>11999.004169773129</v>
      </c>
      <c r="O18" s="133">
        <f>IF(SER_hh_fec!O18=0,0,11630*1000*SER_hh_fec!O18/SER_hh_num!O18)</f>
        <v>11894.314831608031</v>
      </c>
      <c r="P18" s="133">
        <f>IF(SER_hh_fec!P18=0,0,11630*1000*SER_hh_fec!P18/SER_hh_num!P18)</f>
        <v>11071.417598026705</v>
      </c>
      <c r="Q18" s="133">
        <f>IF(SER_hh_fec!Q18=0,0,11630*1000*SER_hh_fec!Q18/SER_hh_num!Q18)</f>
        <v>12096.785107036032</v>
      </c>
      <c r="R18" s="133">
        <f>IF(SER_hh_fec!R18=0,0,11630*1000*SER_hh_fec!R18/SER_hh_num!R18)</f>
        <v>10657.095000435545</v>
      </c>
      <c r="S18" s="133">
        <f>IF(SER_hh_fec!S18=0,0,11630*1000*SER_hh_fec!S18/SER_hh_num!S18)</f>
        <v>10256.055501040926</v>
      </c>
      <c r="T18" s="133">
        <f>IF(SER_hh_fec!T18=0,0,11630*1000*SER_hh_fec!T18/SER_hh_num!T18)</f>
        <v>11193.859539105775</v>
      </c>
      <c r="U18" s="133">
        <f>IF(SER_hh_fec!U18=0,0,11630*1000*SER_hh_fec!U18/SER_hh_num!U18)</f>
        <v>10939.951062076922</v>
      </c>
      <c r="V18" s="133">
        <f>IF(SER_hh_fec!V18=0,0,11630*1000*SER_hh_fec!V18/SER_hh_num!V18)</f>
        <v>10700.388778091887</v>
      </c>
      <c r="W18" s="133">
        <f>IF(SER_hh_fec!W18=0,0,11630*1000*SER_hh_fec!W18/SER_hh_num!W18)</f>
        <v>8948.0421050303121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45578.051699206168</v>
      </c>
      <c r="C19" s="131">
        <f>IF(SER_hh_fec!C19=0,0,11630*1000*SER_hh_fec!C19/SER_hh_num!C19)</f>
        <v>45604.725178701279</v>
      </c>
      <c r="D19" s="131">
        <f>IF(SER_hh_fec!D19=0,0,11630*1000*SER_hh_fec!D19/SER_hh_num!D19)</f>
        <v>44948.707006081997</v>
      </c>
      <c r="E19" s="131">
        <f>IF(SER_hh_fec!E19=0,0,11630*1000*SER_hh_fec!E19/SER_hh_num!E19)</f>
        <v>43951.621721339579</v>
      </c>
      <c r="F19" s="131">
        <f>IF(SER_hh_fec!F19=0,0,11630*1000*SER_hh_fec!F19/SER_hh_num!F19)</f>
        <v>43899.029061351284</v>
      </c>
      <c r="G19" s="131">
        <f>IF(SER_hh_fec!G19=0,0,11630*1000*SER_hh_fec!G19/SER_hh_num!G19)</f>
        <v>43514.225529051102</v>
      </c>
      <c r="H19" s="131">
        <f>IF(SER_hh_fec!H19=0,0,11630*1000*SER_hh_fec!H19/SER_hh_num!H19)</f>
        <v>42508.676323169377</v>
      </c>
      <c r="I19" s="131">
        <f>IF(SER_hh_fec!I19=0,0,11630*1000*SER_hh_fec!I19/SER_hh_num!I19)</f>
        <v>42077.368498558018</v>
      </c>
      <c r="J19" s="131">
        <f>IF(SER_hh_fec!J19=0,0,11630*1000*SER_hh_fec!J19/SER_hh_num!J19)</f>
        <v>42260.460623525745</v>
      </c>
      <c r="K19" s="131">
        <f>IF(SER_hh_fec!K19=0,0,11630*1000*SER_hh_fec!K19/SER_hh_num!K19)</f>
        <v>42155.084449980219</v>
      </c>
      <c r="L19" s="131">
        <f>IF(SER_hh_fec!L19=0,0,11630*1000*SER_hh_fec!L19/SER_hh_num!L19)</f>
        <v>42680.268072870487</v>
      </c>
      <c r="M19" s="131">
        <f>IF(SER_hh_fec!M19=0,0,11630*1000*SER_hh_fec!M19/SER_hh_num!M19)</f>
        <v>41126.412817518758</v>
      </c>
      <c r="N19" s="131">
        <f>IF(SER_hh_fec!N19=0,0,11630*1000*SER_hh_fec!N19/SER_hh_num!N19)</f>
        <v>41212.966034239871</v>
      </c>
      <c r="O19" s="131">
        <f>IF(SER_hh_fec!O19=0,0,11630*1000*SER_hh_fec!O19/SER_hh_num!O19)</f>
        <v>40925.168188465133</v>
      </c>
      <c r="P19" s="131">
        <f>IF(SER_hh_fec!P19=0,0,11630*1000*SER_hh_fec!P19/SER_hh_num!P19)</f>
        <v>41188.543292520495</v>
      </c>
      <c r="Q19" s="131">
        <f>IF(SER_hh_fec!Q19=0,0,11630*1000*SER_hh_fec!Q19/SER_hh_num!Q19)</f>
        <v>41310.376725643837</v>
      </c>
      <c r="R19" s="131">
        <f>IF(SER_hh_fec!R19=0,0,11630*1000*SER_hh_fec!R19/SER_hh_num!R19)</f>
        <v>40587.15417374883</v>
      </c>
      <c r="S19" s="131">
        <f>IF(SER_hh_fec!S19=0,0,11630*1000*SER_hh_fec!S19/SER_hh_num!S19)</f>
        <v>40275.168456886837</v>
      </c>
      <c r="T19" s="131">
        <f>IF(SER_hh_fec!T19=0,0,11630*1000*SER_hh_fec!T19/SER_hh_num!T19)</f>
        <v>39706.928446562961</v>
      </c>
      <c r="U19" s="131">
        <f>IF(SER_hh_fec!U19=0,0,11630*1000*SER_hh_fec!U19/SER_hh_num!U19)</f>
        <v>39222.459555251749</v>
      </c>
      <c r="V19" s="131">
        <f>IF(SER_hh_fec!V19=0,0,11630*1000*SER_hh_fec!V19/SER_hh_num!V19)</f>
        <v>34402.722839904098</v>
      </c>
      <c r="W19" s="131">
        <f>IF(SER_hh_fec!W19=0,0,11630*1000*SER_hh_fec!W19/SER_hh_num!W19)</f>
        <v>35947.581260541563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53684.942432523647</v>
      </c>
      <c r="C22" s="133">
        <f>IF(SER_hh_fec!C22=0,0,11630*1000*SER_hh_fec!C22/SER_hh_num!C22)</f>
        <v>52904.398034748308</v>
      </c>
      <c r="D22" s="133">
        <f>IF(SER_hh_fec!D22=0,0,11630*1000*SER_hh_fec!D22/SER_hh_num!D22)</f>
        <v>53755.431383539661</v>
      </c>
      <c r="E22" s="133">
        <f>IF(SER_hh_fec!E22=0,0,11630*1000*SER_hh_fec!E22/SER_hh_num!E22)</f>
        <v>53757.118097459417</v>
      </c>
      <c r="F22" s="133">
        <f>IF(SER_hh_fec!F22=0,0,11630*1000*SER_hh_fec!F22/SER_hh_num!F22)</f>
        <v>55535.056709544013</v>
      </c>
      <c r="G22" s="133">
        <f>IF(SER_hh_fec!G22=0,0,11630*1000*SER_hh_fec!G22/SER_hh_num!G22)</f>
        <v>58158.276833806114</v>
      </c>
      <c r="H22" s="133">
        <f>IF(SER_hh_fec!H22=0,0,11630*1000*SER_hh_fec!H22/SER_hh_num!H22)</f>
        <v>48353.734296154966</v>
      </c>
      <c r="I22" s="133">
        <f>IF(SER_hh_fec!I22=0,0,11630*1000*SER_hh_fec!I22/SER_hh_num!I22)</f>
        <v>52870.299865681205</v>
      </c>
      <c r="J22" s="133">
        <f>IF(SER_hh_fec!J22=0,0,11630*1000*SER_hh_fec!J22/SER_hh_num!J22)</f>
        <v>43582.544022591392</v>
      </c>
      <c r="K22" s="133">
        <f>IF(SER_hh_fec!K22=0,0,11630*1000*SER_hh_fec!K22/SER_hh_num!K22)</f>
        <v>46408.178745505822</v>
      </c>
      <c r="L22" s="133">
        <f>IF(SER_hh_fec!L22=0,0,11630*1000*SER_hh_fec!L22/SER_hh_num!L22)</f>
        <v>62281.862867146607</v>
      </c>
      <c r="M22" s="133">
        <f>IF(SER_hh_fec!M22=0,0,11630*1000*SER_hh_fec!M22/SER_hh_num!M22)</f>
        <v>41213.738909595595</v>
      </c>
      <c r="N22" s="133">
        <f>IF(SER_hh_fec!N22=0,0,11630*1000*SER_hh_fec!N22/SER_hh_num!N22)</f>
        <v>53603.526628142499</v>
      </c>
      <c r="O22" s="133">
        <f>IF(SER_hh_fec!O22=0,0,11630*1000*SER_hh_fec!O22/SER_hh_num!O22)</f>
        <v>49560.651737991371</v>
      </c>
      <c r="P22" s="133">
        <f>IF(SER_hh_fec!P22=0,0,11630*1000*SER_hh_fec!P22/SER_hh_num!P22)</f>
        <v>50009.284872942204</v>
      </c>
      <c r="Q22" s="133">
        <f>IF(SER_hh_fec!Q22=0,0,11630*1000*SER_hh_fec!Q22/SER_hh_num!Q22)</f>
        <v>45536.41910797952</v>
      </c>
      <c r="R22" s="133">
        <f>IF(SER_hh_fec!R22=0,0,11630*1000*SER_hh_fec!R22/SER_hh_num!R22)</f>
        <v>38048.18805443083</v>
      </c>
      <c r="S22" s="133">
        <f>IF(SER_hh_fec!S22=0,0,11630*1000*SER_hh_fec!S22/SER_hh_num!S22)</f>
        <v>47858.063708522917</v>
      </c>
      <c r="T22" s="133">
        <f>IF(SER_hh_fec!T22=0,0,11630*1000*SER_hh_fec!T22/SER_hh_num!T22)</f>
        <v>44483.887578933216</v>
      </c>
      <c r="U22" s="133">
        <f>IF(SER_hh_fec!U22=0,0,11630*1000*SER_hh_fec!U22/SER_hh_num!U22)</f>
        <v>45062.423651224315</v>
      </c>
      <c r="V22" s="133">
        <f>IF(SER_hh_fec!V22=0,0,11630*1000*SER_hh_fec!V22/SER_hh_num!V22)</f>
        <v>35606.555558927692</v>
      </c>
      <c r="W22" s="133">
        <f>IF(SER_hh_fec!W22=0,0,11630*1000*SER_hh_fec!W22/SER_hh_num!W22)</f>
        <v>40397.661173927219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51563.163063264452</v>
      </c>
      <c r="C23" s="133">
        <f>IF(SER_hh_fec!C23=0,0,11630*1000*SER_hh_fec!C23/SER_hh_num!C23)</f>
        <v>51802.510280299684</v>
      </c>
      <c r="D23" s="133">
        <f>IF(SER_hh_fec!D23=0,0,11630*1000*SER_hh_fec!D23/SER_hh_num!D23)</f>
        <v>50480.978363605835</v>
      </c>
      <c r="E23" s="133">
        <f>IF(SER_hh_fec!E23=0,0,11630*1000*SER_hh_fec!E23/SER_hh_num!E23)</f>
        <v>51990.081257299309</v>
      </c>
      <c r="F23" s="133">
        <f>IF(SER_hh_fec!F23=0,0,11630*1000*SER_hh_fec!F23/SER_hh_num!F23)</f>
        <v>50169.460753421947</v>
      </c>
      <c r="G23" s="133">
        <f>IF(SER_hh_fec!G23=0,0,11630*1000*SER_hh_fec!G23/SER_hh_num!G23)</f>
        <v>49861.160175781937</v>
      </c>
      <c r="H23" s="133">
        <f>IF(SER_hh_fec!H23=0,0,11630*1000*SER_hh_fec!H23/SER_hh_num!H23)</f>
        <v>48070.987118322068</v>
      </c>
      <c r="I23" s="133">
        <f>IF(SER_hh_fec!I23=0,0,11630*1000*SER_hh_fec!I23/SER_hh_num!I23)</f>
        <v>46142.261233381607</v>
      </c>
      <c r="J23" s="133">
        <f>IF(SER_hh_fec!J23=0,0,11630*1000*SER_hh_fec!J23/SER_hh_num!J23)</f>
        <v>50811.419923421068</v>
      </c>
      <c r="K23" s="133">
        <f>IF(SER_hh_fec!K23=0,0,11630*1000*SER_hh_fec!K23/SER_hh_num!K23)</f>
        <v>45394.532839938118</v>
      </c>
      <c r="L23" s="133">
        <f>IF(SER_hh_fec!L23=0,0,11630*1000*SER_hh_fec!L23/SER_hh_num!L23)</f>
        <v>49338.449785342309</v>
      </c>
      <c r="M23" s="133">
        <f>IF(SER_hh_fec!M23=0,0,11630*1000*SER_hh_fec!M23/SER_hh_num!M23)</f>
        <v>46316.739050448385</v>
      </c>
      <c r="N23" s="133">
        <f>IF(SER_hh_fec!N23=0,0,11630*1000*SER_hh_fec!N23/SER_hh_num!N23)</f>
        <v>43582.259146467652</v>
      </c>
      <c r="O23" s="133">
        <f>IF(SER_hh_fec!O23=0,0,11630*1000*SER_hh_fec!O23/SER_hh_num!O23)</f>
        <v>43306.233154612317</v>
      </c>
      <c r="P23" s="133">
        <f>IF(SER_hh_fec!P23=0,0,11630*1000*SER_hh_fec!P23/SER_hh_num!P23)</f>
        <v>44914.883283647767</v>
      </c>
      <c r="Q23" s="133">
        <f>IF(SER_hh_fec!Q23=0,0,11630*1000*SER_hh_fec!Q23/SER_hh_num!Q23)</f>
        <v>50062.262328358731</v>
      </c>
      <c r="R23" s="133">
        <f>IF(SER_hh_fec!R23=0,0,11630*1000*SER_hh_fec!R23/SER_hh_num!R23)</f>
        <v>52798.107865083992</v>
      </c>
      <c r="S23" s="133">
        <f>IF(SER_hh_fec!S23=0,0,11630*1000*SER_hh_fec!S23/SER_hh_num!S23)</f>
        <v>38473.593401923827</v>
      </c>
      <c r="T23" s="133">
        <f>IF(SER_hh_fec!T23=0,0,11630*1000*SER_hh_fec!T23/SER_hh_num!T23)</f>
        <v>43202.305255935789</v>
      </c>
      <c r="U23" s="133">
        <f>IF(SER_hh_fec!U23=0,0,11630*1000*SER_hh_fec!U23/SER_hh_num!U23)</f>
        <v>44615.939831041534</v>
      </c>
      <c r="V23" s="133">
        <f>IF(SER_hh_fec!V23=0,0,11630*1000*SER_hh_fec!V23/SER_hh_num!V23)</f>
        <v>32102.691856786078</v>
      </c>
      <c r="W23" s="133">
        <f>IF(SER_hh_fec!W23=0,0,11630*1000*SER_hh_fec!W23/SER_hh_num!W23)</f>
        <v>47847.266486564666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32624.017645177883</v>
      </c>
      <c r="C25" s="133">
        <f>IF(SER_hh_fec!C25=0,0,11630*1000*SER_hh_fec!C25/SER_hh_num!C25)</f>
        <v>29029.094586376974</v>
      </c>
      <c r="D25" s="133">
        <f>IF(SER_hh_fec!D25=0,0,11630*1000*SER_hh_fec!D25/SER_hh_num!D25)</f>
        <v>31950.367394291658</v>
      </c>
      <c r="E25" s="133">
        <f>IF(SER_hh_fec!E25=0,0,11630*1000*SER_hh_fec!E25/SER_hh_num!E25)</f>
        <v>39507.234002325473</v>
      </c>
      <c r="F25" s="133">
        <f>IF(SER_hh_fec!F25=0,0,11630*1000*SER_hh_fec!F25/SER_hh_num!F25)</f>
        <v>35726.772492701501</v>
      </c>
      <c r="G25" s="133">
        <f>IF(SER_hh_fec!G25=0,0,11630*1000*SER_hh_fec!G25/SER_hh_num!G25)</f>
        <v>34346.265637382792</v>
      </c>
      <c r="H25" s="133">
        <f>IF(SER_hh_fec!H25=0,0,11630*1000*SER_hh_fec!H25/SER_hh_num!H25)</f>
        <v>34261.130024975369</v>
      </c>
      <c r="I25" s="133">
        <f>IF(SER_hh_fec!I25=0,0,11630*1000*SER_hh_fec!I25/SER_hh_num!I25)</f>
        <v>34105.977730080165</v>
      </c>
      <c r="J25" s="133">
        <f>IF(SER_hh_fec!J25=0,0,11630*1000*SER_hh_fec!J25/SER_hh_num!J25)</f>
        <v>34145.399281117912</v>
      </c>
      <c r="K25" s="133">
        <f>IF(SER_hh_fec!K25=0,0,11630*1000*SER_hh_fec!K25/SER_hh_num!K25)</f>
        <v>35265.334108359966</v>
      </c>
      <c r="L25" s="133">
        <f>IF(SER_hh_fec!L25=0,0,11630*1000*SER_hh_fec!L25/SER_hh_num!L25)</f>
        <v>33433.017329700793</v>
      </c>
      <c r="M25" s="133">
        <f>IF(SER_hh_fec!M25=0,0,11630*1000*SER_hh_fec!M25/SER_hh_num!M25)</f>
        <v>33841.398425173371</v>
      </c>
      <c r="N25" s="133">
        <f>IF(SER_hh_fec!N25=0,0,11630*1000*SER_hh_fec!N25/SER_hh_num!N25)</f>
        <v>34236.628648924241</v>
      </c>
      <c r="O25" s="133">
        <f>IF(SER_hh_fec!O25=0,0,11630*1000*SER_hh_fec!O25/SER_hh_num!O25)</f>
        <v>34457.261552644479</v>
      </c>
      <c r="P25" s="133">
        <f>IF(SER_hh_fec!P25=0,0,11630*1000*SER_hh_fec!P25/SER_hh_num!P25)</f>
        <v>33969.106683367412</v>
      </c>
      <c r="Q25" s="133">
        <f>IF(SER_hh_fec!Q25=0,0,11630*1000*SER_hh_fec!Q25/SER_hh_num!Q25)</f>
        <v>33992.639735549761</v>
      </c>
      <c r="R25" s="133">
        <f>IF(SER_hh_fec!R25=0,0,11630*1000*SER_hh_fec!R25/SER_hh_num!R25)</f>
        <v>33840.755832424664</v>
      </c>
      <c r="S25" s="133">
        <f>IF(SER_hh_fec!S25=0,0,11630*1000*SER_hh_fec!S25/SER_hh_num!S25)</f>
        <v>35221.404356363215</v>
      </c>
      <c r="T25" s="133">
        <f>IF(SER_hh_fec!T25=0,0,11630*1000*SER_hh_fec!T25/SER_hh_num!T25)</f>
        <v>31588.492118586531</v>
      </c>
      <c r="U25" s="133">
        <f>IF(SER_hh_fec!U25=0,0,11630*1000*SER_hh_fec!U25/SER_hh_num!U25)</f>
        <v>33503.138413614251</v>
      </c>
      <c r="V25" s="133">
        <f>IF(SER_hh_fec!V25=0,0,11630*1000*SER_hh_fec!V25/SER_hh_num!V25)</f>
        <v>31985.356416900548</v>
      </c>
      <c r="W25" s="133">
        <f>IF(SER_hh_fec!W25=0,0,11630*1000*SER_hh_fec!W25/SER_hh_num!W25)</f>
        <v>27780.625692468522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42654.787256044183</v>
      </c>
      <c r="C26" s="65">
        <f>IF(SER_hh_fec!C26=0,0,11630*1000*SER_hh_fec!C26/SER_hh_num!C26)</f>
        <v>43861.074037465078</v>
      </c>
      <c r="D26" s="65">
        <f>IF(SER_hh_fec!D26=0,0,11630*1000*SER_hh_fec!D26/SER_hh_num!D26)</f>
        <v>43656.15004296066</v>
      </c>
      <c r="E26" s="65">
        <f>IF(SER_hh_fec!E26=0,0,11630*1000*SER_hh_fec!E26/SER_hh_num!E26)</f>
        <v>37983.175199266159</v>
      </c>
      <c r="F26" s="65">
        <f>IF(SER_hh_fec!F26=0,0,11630*1000*SER_hh_fec!F26/SER_hh_num!F26)</f>
        <v>40643.414786983092</v>
      </c>
      <c r="G26" s="65">
        <f>IF(SER_hh_fec!G26=0,0,11630*1000*SER_hh_fec!G26/SER_hh_num!G26)</f>
        <v>40499.823500084691</v>
      </c>
      <c r="H26" s="65">
        <f>IF(SER_hh_fec!H26=0,0,11630*1000*SER_hh_fec!H26/SER_hh_num!H26)</f>
        <v>43205.837233941493</v>
      </c>
      <c r="I26" s="65">
        <f>IF(SER_hh_fec!I26=0,0,11630*1000*SER_hh_fec!I26/SER_hh_num!I26)</f>
        <v>42428.056139941262</v>
      </c>
      <c r="J26" s="65">
        <f>IF(SER_hh_fec!J26=0,0,11630*1000*SER_hh_fec!J26/SER_hh_num!J26)</f>
        <v>42039.562418378264</v>
      </c>
      <c r="K26" s="65">
        <f>IF(SER_hh_fec!K26=0,0,11630*1000*SER_hh_fec!K26/SER_hh_num!K26)</f>
        <v>43679.514235944371</v>
      </c>
      <c r="L26" s="65">
        <f>IF(SER_hh_fec!L26=0,0,11630*1000*SER_hh_fec!L26/SER_hh_num!L26)</f>
        <v>39265.574419592653</v>
      </c>
      <c r="M26" s="65">
        <f>IF(SER_hh_fec!M26=0,0,11630*1000*SER_hh_fec!M26/SER_hh_num!M26)</f>
        <v>42213.121986594095</v>
      </c>
      <c r="N26" s="65">
        <f>IF(SER_hh_fec!N26=0,0,11630*1000*SER_hh_fec!N26/SER_hh_num!N26)</f>
        <v>40287.140488926736</v>
      </c>
      <c r="O26" s="65">
        <f>IF(SER_hh_fec!O26=0,0,11630*1000*SER_hh_fec!O26/SER_hh_num!O26)</f>
        <v>40538.169002299153</v>
      </c>
      <c r="P26" s="65">
        <f>IF(SER_hh_fec!P26=0,0,11630*1000*SER_hh_fec!P26/SER_hh_num!P26)</f>
        <v>39850.890262413974</v>
      </c>
      <c r="Q26" s="65">
        <f>IF(SER_hh_fec!Q26=0,0,11630*1000*SER_hh_fec!Q26/SER_hh_num!Q26)</f>
        <v>37378.594575456918</v>
      </c>
      <c r="R26" s="65">
        <f>IF(SER_hh_fec!R26=0,0,11630*1000*SER_hh_fec!R26/SER_hh_num!R26)</f>
        <v>36134.378914726534</v>
      </c>
      <c r="S26" s="65">
        <f>IF(SER_hh_fec!S26=0,0,11630*1000*SER_hh_fec!S26/SER_hh_num!S26)</f>
        <v>41015.131375287478</v>
      </c>
      <c r="T26" s="65">
        <f>IF(SER_hh_fec!T26=0,0,11630*1000*SER_hh_fec!T26/SER_hh_num!T26)</f>
        <v>39768.319765713793</v>
      </c>
      <c r="U26" s="65">
        <f>IF(SER_hh_fec!U26=0,0,11630*1000*SER_hh_fec!U26/SER_hh_num!U26)</f>
        <v>35645.537035525638</v>
      </c>
      <c r="V26" s="65">
        <f>IF(SER_hh_fec!V26=0,0,11630*1000*SER_hh_fec!V26/SER_hh_num!V26)</f>
        <v>36590.616024299678</v>
      </c>
      <c r="W26" s="65">
        <f>IF(SER_hh_fec!W26=0,0,11630*1000*SER_hh_fec!W26/SER_hh_num!W26)</f>
        <v>32538.316204787046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47195.663686554639</v>
      </c>
      <c r="C29" s="131">
        <f>IF(SER_hh_fec!C29=0,0,11630*1000*SER_hh_fec!C29/SER_hh_num!C29)</f>
        <v>49624.101919974608</v>
      </c>
      <c r="D29" s="131">
        <f>IF(SER_hh_fec!D29=0,0,11630*1000*SER_hh_fec!D29/SER_hh_num!D29)</f>
        <v>49292.97584613724</v>
      </c>
      <c r="E29" s="131">
        <f>IF(SER_hh_fec!E29=0,0,11630*1000*SER_hh_fec!E29/SER_hh_num!E29)</f>
        <v>49217.560166540206</v>
      </c>
      <c r="F29" s="131">
        <f>IF(SER_hh_fec!F29=0,0,11630*1000*SER_hh_fec!F29/SER_hh_num!F29)</f>
        <v>49219.368951673729</v>
      </c>
      <c r="G29" s="131">
        <f>IF(SER_hh_fec!G29=0,0,11630*1000*SER_hh_fec!G29/SER_hh_num!G29)</f>
        <v>49370.885968317882</v>
      </c>
      <c r="H29" s="131">
        <f>IF(SER_hh_fec!H29=0,0,11630*1000*SER_hh_fec!H29/SER_hh_num!H29)</f>
        <v>50166.675821690427</v>
      </c>
      <c r="I29" s="131">
        <f>IF(SER_hh_fec!I29=0,0,11630*1000*SER_hh_fec!I29/SER_hh_num!I29)</f>
        <v>49979.971259067133</v>
      </c>
      <c r="J29" s="131">
        <f>IF(SER_hh_fec!J29=0,0,11630*1000*SER_hh_fec!J29/SER_hh_num!J29)</f>
        <v>50273.072371190101</v>
      </c>
      <c r="K29" s="131">
        <f>IF(SER_hh_fec!K29=0,0,11630*1000*SER_hh_fec!K29/SER_hh_num!K29)</f>
        <v>53016.488372666739</v>
      </c>
      <c r="L29" s="131">
        <f>IF(SER_hh_fec!L29=0,0,11630*1000*SER_hh_fec!L29/SER_hh_num!L29)</f>
        <v>53620.644999172808</v>
      </c>
      <c r="M29" s="131">
        <f>IF(SER_hh_fec!M29=0,0,11630*1000*SER_hh_fec!M29/SER_hh_num!M29)</f>
        <v>53630.210324297434</v>
      </c>
      <c r="N29" s="131">
        <f>IF(SER_hh_fec!N29=0,0,11630*1000*SER_hh_fec!N29/SER_hh_num!N29)</f>
        <v>53860.319559905976</v>
      </c>
      <c r="O29" s="131">
        <f>IF(SER_hh_fec!O29=0,0,11630*1000*SER_hh_fec!O29/SER_hh_num!O29)</f>
        <v>53587.572155736212</v>
      </c>
      <c r="P29" s="131">
        <f>IF(SER_hh_fec!P29=0,0,11630*1000*SER_hh_fec!P29/SER_hh_num!P29)</f>
        <v>52886.799573309807</v>
      </c>
      <c r="Q29" s="131">
        <f>IF(SER_hh_fec!Q29=0,0,11630*1000*SER_hh_fec!Q29/SER_hh_num!Q29)</f>
        <v>53267.247394934224</v>
      </c>
      <c r="R29" s="131">
        <f>IF(SER_hh_fec!R29=0,0,11630*1000*SER_hh_fec!R29/SER_hh_num!R29)</f>
        <v>53127.423130536707</v>
      </c>
      <c r="S29" s="131">
        <f>IF(SER_hh_fec!S29=0,0,11630*1000*SER_hh_fec!S29/SER_hh_num!S29)</f>
        <v>52436.313254722671</v>
      </c>
      <c r="T29" s="131">
        <f>IF(SER_hh_fec!T29=0,0,11630*1000*SER_hh_fec!T29/SER_hh_num!T29)</f>
        <v>52081.075189056937</v>
      </c>
      <c r="U29" s="131">
        <f>IF(SER_hh_fec!U29=0,0,11630*1000*SER_hh_fec!U29/SER_hh_num!U29)</f>
        <v>52708.792474073576</v>
      </c>
      <c r="V29" s="131">
        <f>IF(SER_hh_fec!V29=0,0,11630*1000*SER_hh_fec!V29/SER_hh_num!V29)</f>
        <v>47739.509982816853</v>
      </c>
      <c r="W29" s="131">
        <f>IF(SER_hh_fec!W29=0,0,11630*1000*SER_hh_fec!W29/SER_hh_num!W29)</f>
        <v>54222.852723029326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37097.300385126757</v>
      </c>
      <c r="C30" s="133">
        <f>IF(SER_hh_fec!C30=0,0,11630*1000*SER_hh_fec!C30/SER_hh_num!C30)</f>
        <v>77394.159176445144</v>
      </c>
      <c r="D30" s="133">
        <f>IF(SER_hh_fec!D30=0,0,11630*1000*SER_hh_fec!D30/SER_hh_num!D30)</f>
        <v>57415.603429527757</v>
      </c>
      <c r="E30" s="133">
        <f>IF(SER_hh_fec!E30=0,0,11630*1000*SER_hh_fec!E30/SER_hh_num!E30)</f>
        <v>27535.212833658479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84175.373814619088</v>
      </c>
      <c r="L30" s="133">
        <f>IF(SER_hh_fec!L30=0,0,11630*1000*SER_hh_fec!L30/SER_hh_num!L30)</f>
        <v>68625.505989324753</v>
      </c>
      <c r="M30" s="133">
        <f>IF(SER_hh_fec!M30=0,0,11630*1000*SER_hh_fec!M30/SER_hh_num!M30)</f>
        <v>62122.884238824401</v>
      </c>
      <c r="N30" s="133">
        <f>IF(SER_hh_fec!N30=0,0,11630*1000*SER_hh_fec!N30/SER_hh_num!N30)</f>
        <v>62555.321911249041</v>
      </c>
      <c r="O30" s="133">
        <f>IF(SER_hh_fec!O30=0,0,11630*1000*SER_hh_fec!O30/SER_hh_num!O30)</f>
        <v>64845.730463930682</v>
      </c>
      <c r="P30" s="133">
        <f>IF(SER_hh_fec!P30=0,0,11630*1000*SER_hh_fec!P30/SER_hh_num!P30)</f>
        <v>58910.93505899256</v>
      </c>
      <c r="Q30" s="133">
        <f>IF(SER_hh_fec!Q30=0,0,11630*1000*SER_hh_fec!Q30/SER_hh_num!Q30)</f>
        <v>63975.10014430045</v>
      </c>
      <c r="R30" s="133">
        <f>IF(SER_hh_fec!R30=0,0,11630*1000*SER_hh_fec!R30/SER_hh_num!R30)</f>
        <v>69247.913156148759</v>
      </c>
      <c r="S30" s="133">
        <f>IF(SER_hh_fec!S30=0,0,11630*1000*SER_hh_fec!S30/SER_hh_num!S30)</f>
        <v>63276.585511435725</v>
      </c>
      <c r="T30" s="133">
        <f>IF(SER_hh_fec!T30=0,0,11630*1000*SER_hh_fec!T30/SER_hh_num!T30)</f>
        <v>55728.090679800465</v>
      </c>
      <c r="U30" s="133">
        <f>IF(SER_hh_fec!U30=0,0,11630*1000*SER_hh_fec!U30/SER_hh_num!U30)</f>
        <v>69608.450643709584</v>
      </c>
      <c r="V30" s="133">
        <f>IF(SER_hh_fec!V30=0,0,11630*1000*SER_hh_fec!V30/SER_hh_num!V30)</f>
        <v>53705.732976307561</v>
      </c>
      <c r="W30" s="133">
        <f>IF(SER_hh_fec!W30=0,0,11630*1000*SER_hh_fec!W30/SER_hh_num!W30)</f>
        <v>84665.550169309077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52826.304753466087</v>
      </c>
      <c r="C31" s="133">
        <f>IF(SER_hh_fec!C31=0,0,11630*1000*SER_hh_fec!C31/SER_hh_num!C31)</f>
        <v>53395.068886841895</v>
      </c>
      <c r="D31" s="133">
        <f>IF(SER_hh_fec!D31=0,0,11630*1000*SER_hh_fec!D31/SER_hh_num!D31)</f>
        <v>55519.768280049495</v>
      </c>
      <c r="E31" s="133">
        <f>IF(SER_hh_fec!E31=0,0,11630*1000*SER_hh_fec!E31/SER_hh_num!E31)</f>
        <v>56426.65072489396</v>
      </c>
      <c r="F31" s="133">
        <f>IF(SER_hh_fec!F31=0,0,11630*1000*SER_hh_fec!F31/SER_hh_num!F31)</f>
        <v>57909.544096255355</v>
      </c>
      <c r="G31" s="133">
        <f>IF(SER_hh_fec!G31=0,0,11630*1000*SER_hh_fec!G31/SER_hh_num!G31)</f>
        <v>56746.462804031064</v>
      </c>
      <c r="H31" s="133">
        <f>IF(SER_hh_fec!H31=0,0,11630*1000*SER_hh_fec!H31/SER_hh_num!H31)</f>
        <v>59450.736769078663</v>
      </c>
      <c r="I31" s="133">
        <f>IF(SER_hh_fec!I31=0,0,11630*1000*SER_hh_fec!I31/SER_hh_num!I31)</f>
        <v>59749.622890480976</v>
      </c>
      <c r="J31" s="133">
        <f>IF(SER_hh_fec!J31=0,0,11630*1000*SER_hh_fec!J31/SER_hh_num!J31)</f>
        <v>60832.903590289512</v>
      </c>
      <c r="K31" s="133">
        <f>IF(SER_hh_fec!K31=0,0,11630*1000*SER_hh_fec!K31/SER_hh_num!K31)</f>
        <v>58093.614239858747</v>
      </c>
      <c r="L31" s="133">
        <f>IF(SER_hh_fec!L31=0,0,11630*1000*SER_hh_fec!L31/SER_hh_num!L31)</f>
        <v>59582.890018993872</v>
      </c>
      <c r="M31" s="133">
        <f>IF(SER_hh_fec!M31=0,0,11630*1000*SER_hh_fec!M31/SER_hh_num!M31)</f>
        <v>62691.468198971983</v>
      </c>
      <c r="N31" s="133">
        <f>IF(SER_hh_fec!N31=0,0,11630*1000*SER_hh_fec!N31/SER_hh_num!N31)</f>
        <v>63469.548116615435</v>
      </c>
      <c r="O31" s="133">
        <f>IF(SER_hh_fec!O31=0,0,11630*1000*SER_hh_fec!O31/SER_hh_num!O31)</f>
        <v>62125.268278384057</v>
      </c>
      <c r="P31" s="133">
        <f>IF(SER_hh_fec!P31=0,0,11630*1000*SER_hh_fec!P31/SER_hh_num!P31)</f>
        <v>61797.21626590607</v>
      </c>
      <c r="Q31" s="133">
        <f>IF(SER_hh_fec!Q31=0,0,11630*1000*SER_hh_fec!Q31/SER_hh_num!Q31)</f>
        <v>63089.644774930654</v>
      </c>
      <c r="R31" s="133">
        <f>IF(SER_hh_fec!R31=0,0,11630*1000*SER_hh_fec!R31/SER_hh_num!R31)</f>
        <v>64237.798129873278</v>
      </c>
      <c r="S31" s="133">
        <f>IF(SER_hh_fec!S31=0,0,11630*1000*SER_hh_fec!S31/SER_hh_num!S31)</f>
        <v>62059.779313135878</v>
      </c>
      <c r="T31" s="133">
        <f>IF(SER_hh_fec!T31=0,0,11630*1000*SER_hh_fec!T31/SER_hh_num!T31)</f>
        <v>66239.6748834522</v>
      </c>
      <c r="U31" s="133">
        <f>IF(SER_hh_fec!U31=0,0,11630*1000*SER_hh_fec!U31/SER_hh_num!U31)</f>
        <v>65307.866863419687</v>
      </c>
      <c r="V31" s="133">
        <f>IF(SER_hh_fec!V31=0,0,11630*1000*SER_hh_fec!V31/SER_hh_num!V31)</f>
        <v>55355.994537359729</v>
      </c>
      <c r="W31" s="133">
        <f>IF(SER_hh_fec!W31=0,0,11630*1000*SER_hh_fec!W31/SER_hh_num!W31)</f>
        <v>91934.535080590213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45305.912519891746</v>
      </c>
      <c r="C33" s="68">
        <f>IF(SER_hh_fec!C33=0,0,11630*1000*SER_hh_fec!C33/SER_hh_num!C33)</f>
        <v>33801.214969407549</v>
      </c>
      <c r="D33" s="68">
        <f>IF(SER_hh_fec!D33=0,0,11630*1000*SER_hh_fec!D33/SER_hh_num!D33)</f>
        <v>41267.690739489204</v>
      </c>
      <c r="E33" s="68">
        <f>IF(SER_hh_fec!E33=0,0,11630*1000*SER_hh_fec!E33/SER_hh_num!E33)</f>
        <v>45538.780558098726</v>
      </c>
      <c r="F33" s="68">
        <f>IF(SER_hh_fec!F33=0,0,11630*1000*SER_hh_fec!F33/SER_hh_num!F33)</f>
        <v>42854.802363168608</v>
      </c>
      <c r="G33" s="68">
        <f>IF(SER_hh_fec!G33=0,0,11630*1000*SER_hh_fec!G33/SER_hh_num!G33)</f>
        <v>44354.316976983187</v>
      </c>
      <c r="H33" s="68">
        <f>IF(SER_hh_fec!H33=0,0,11630*1000*SER_hh_fec!H33/SER_hh_num!H33)</f>
        <v>44224.858737683688</v>
      </c>
      <c r="I33" s="68">
        <f>IF(SER_hh_fec!I33=0,0,11630*1000*SER_hh_fec!I33/SER_hh_num!I33)</f>
        <v>44315.881977738572</v>
      </c>
      <c r="J33" s="68">
        <f>IF(SER_hh_fec!J33=0,0,11630*1000*SER_hh_fec!J33/SER_hh_num!J33)</f>
        <v>44822.850408795566</v>
      </c>
      <c r="K33" s="68">
        <f>IF(SER_hh_fec!K33=0,0,11630*1000*SER_hh_fec!K33/SER_hh_num!K33)</f>
        <v>42716.789208315131</v>
      </c>
      <c r="L33" s="68">
        <f>IF(SER_hh_fec!L33=0,0,11630*1000*SER_hh_fec!L33/SER_hh_num!L33)</f>
        <v>45465.270165864975</v>
      </c>
      <c r="M33" s="68">
        <f>IF(SER_hh_fec!M33=0,0,11630*1000*SER_hh_fec!M33/SER_hh_num!M33)</f>
        <v>45847.073532942559</v>
      </c>
      <c r="N33" s="68">
        <f>IF(SER_hh_fec!N33=0,0,11630*1000*SER_hh_fec!N33/SER_hh_num!N33)</f>
        <v>46382.28002449873</v>
      </c>
      <c r="O33" s="68">
        <f>IF(SER_hh_fec!O33=0,0,11630*1000*SER_hh_fec!O33/SER_hh_num!O33)</f>
        <v>46538.508986881716</v>
      </c>
      <c r="P33" s="68">
        <f>IF(SER_hh_fec!P33=0,0,11630*1000*SER_hh_fec!P33/SER_hh_num!P33)</f>
        <v>48143.779814195601</v>
      </c>
      <c r="Q33" s="68">
        <f>IF(SER_hh_fec!Q33=0,0,11630*1000*SER_hh_fec!Q33/SER_hh_num!Q33)</f>
        <v>47491.804209696231</v>
      </c>
      <c r="R33" s="68">
        <f>IF(SER_hh_fec!R33=0,0,11630*1000*SER_hh_fec!R33/SER_hh_num!R33)</f>
        <v>46272.834349431068</v>
      </c>
      <c r="S33" s="68">
        <f>IF(SER_hh_fec!S33=0,0,11630*1000*SER_hh_fec!S33/SER_hh_num!S33)</f>
        <v>48023.488705578624</v>
      </c>
      <c r="T33" s="68">
        <f>IF(SER_hh_fec!T33=0,0,11630*1000*SER_hh_fec!T33/SER_hh_num!T33)</f>
        <v>48939.818085943007</v>
      </c>
      <c r="U33" s="68">
        <f>IF(SER_hh_fec!U33=0,0,11630*1000*SER_hh_fec!U33/SER_hh_num!U33)</f>
        <v>47633.583599450809</v>
      </c>
      <c r="V33" s="68">
        <f>IF(SER_hh_fec!V33=0,0,11630*1000*SER_hh_fec!V33/SER_hh_num!V33)</f>
        <v>45775.006038473555</v>
      </c>
      <c r="W33" s="68">
        <f>IF(SER_hh_fec!W33=0,0,11630*1000*SER_hh_fec!W33/SER_hh_num!W33)</f>
        <v>46183.681660153728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276618.97420771129</v>
      </c>
      <c r="C3" s="126">
        <f>IF(SER_hh_tes!C3=0,0,11630*1000*SER_hh_tes!C3/SER_hh_num!C3)</f>
        <v>287270.74107258581</v>
      </c>
      <c r="D3" s="126">
        <f>IF(SER_hh_tes!D3=0,0,11630*1000*SER_hh_tes!D3/SER_hh_num!D3)</f>
        <v>263262.38085021544</v>
      </c>
      <c r="E3" s="126">
        <f>IF(SER_hh_tes!E3=0,0,11630*1000*SER_hh_tes!E3/SER_hh_num!E3)</f>
        <v>310956.87214679993</v>
      </c>
      <c r="F3" s="126">
        <f>IF(SER_hh_tes!F3=0,0,11630*1000*SER_hh_tes!F3/SER_hh_num!F3)</f>
        <v>291806.49428340473</v>
      </c>
      <c r="G3" s="126">
        <f>IF(SER_hh_tes!G3=0,0,11630*1000*SER_hh_tes!G3/SER_hh_num!G3)</f>
        <v>291380.79444848507</v>
      </c>
      <c r="H3" s="126">
        <f>IF(SER_hh_tes!H3=0,0,11630*1000*SER_hh_tes!H3/SER_hh_num!H3)</f>
        <v>296460.70025664195</v>
      </c>
      <c r="I3" s="126">
        <f>IF(SER_hh_tes!I3=0,0,11630*1000*SER_hh_tes!I3/SER_hh_num!I3)</f>
        <v>295611.7131035346</v>
      </c>
      <c r="J3" s="126">
        <f>IF(SER_hh_tes!J3=0,0,11630*1000*SER_hh_tes!J3/SER_hh_num!J3)</f>
        <v>314806.06914855097</v>
      </c>
      <c r="K3" s="126">
        <f>IF(SER_hh_tes!K3=0,0,11630*1000*SER_hh_tes!K3/SER_hh_num!K3)</f>
        <v>301370.95961988391</v>
      </c>
      <c r="L3" s="126">
        <f>IF(SER_hh_tes!L3=0,0,11630*1000*SER_hh_tes!L3/SER_hh_num!L3)</f>
        <v>344385.77054415847</v>
      </c>
      <c r="M3" s="126">
        <f>IF(SER_hh_tes!M3=0,0,11630*1000*SER_hh_tes!M3/SER_hh_num!M3)</f>
        <v>272134.89175234252</v>
      </c>
      <c r="N3" s="126">
        <f>IF(SER_hh_tes!N3=0,0,11630*1000*SER_hh_tes!N3/SER_hh_num!N3)</f>
        <v>307785.60290632868</v>
      </c>
      <c r="O3" s="126">
        <f>IF(SER_hh_tes!O3=0,0,11630*1000*SER_hh_tes!O3/SER_hh_num!O3)</f>
        <v>318095.53433083126</v>
      </c>
      <c r="P3" s="126">
        <f>IF(SER_hh_tes!P3=0,0,11630*1000*SER_hh_tes!P3/SER_hh_num!P3)</f>
        <v>265246.91709667118</v>
      </c>
      <c r="Q3" s="126">
        <f>IF(SER_hh_tes!Q3=0,0,11630*1000*SER_hh_tes!Q3/SER_hh_num!Q3)</f>
        <v>300424.24928276794</v>
      </c>
      <c r="R3" s="126">
        <f>IF(SER_hh_tes!R3=0,0,11630*1000*SER_hh_tes!R3/SER_hh_num!R3)</f>
        <v>298526.79660638701</v>
      </c>
      <c r="S3" s="126">
        <f>IF(SER_hh_tes!S3=0,0,11630*1000*SER_hh_tes!S3/SER_hh_num!S3)</f>
        <v>333402.19951903191</v>
      </c>
      <c r="T3" s="126">
        <f>IF(SER_hh_tes!T3=0,0,11630*1000*SER_hh_tes!T3/SER_hh_num!T3)</f>
        <v>342393.61296984786</v>
      </c>
      <c r="U3" s="126">
        <f>IF(SER_hh_tes!U3=0,0,11630*1000*SER_hh_tes!U3/SER_hh_num!U3)</f>
        <v>388340.07029791176</v>
      </c>
      <c r="V3" s="126">
        <f>IF(SER_hh_tes!V3=0,0,11630*1000*SER_hh_tes!V3/SER_hh_num!V3)</f>
        <v>376665.32064154127</v>
      </c>
      <c r="W3" s="126">
        <f>IF(SER_hh_tes!W3=0,0,11630*1000*SER_hh_tes!W3/SER_hh_num!W3)</f>
        <v>415631.05460819759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213739.94586926306</v>
      </c>
      <c r="C4" s="131">
        <f>IF(SER_hh_tes!C4=0,0,11630*1000*SER_hh_tes!C4/SER_hh_num!C4)</f>
        <v>222574.09760870948</v>
      </c>
      <c r="D4" s="131">
        <f>IF(SER_hh_tes!D4=0,0,11630*1000*SER_hh_tes!D4/SER_hh_num!D4)</f>
        <v>196548.39689973937</v>
      </c>
      <c r="E4" s="131">
        <f>IF(SER_hh_tes!E4=0,0,11630*1000*SER_hh_tes!E4/SER_hh_num!E4)</f>
        <v>241039.12392811678</v>
      </c>
      <c r="F4" s="131">
        <f>IF(SER_hh_tes!F4=0,0,11630*1000*SER_hh_tes!F4/SER_hh_num!F4)</f>
        <v>222231.59164156517</v>
      </c>
      <c r="G4" s="131">
        <f>IF(SER_hh_tes!G4=0,0,11630*1000*SER_hh_tes!G4/SER_hh_num!G4)</f>
        <v>219699.72695869827</v>
      </c>
      <c r="H4" s="131">
        <f>IF(SER_hh_tes!H4=0,0,11630*1000*SER_hh_tes!H4/SER_hh_num!H4)</f>
        <v>221439.36556088884</v>
      </c>
      <c r="I4" s="131">
        <f>IF(SER_hh_tes!I4=0,0,11630*1000*SER_hh_tes!I4/SER_hh_num!I4)</f>
        <v>220776.03798725907</v>
      </c>
      <c r="J4" s="131">
        <f>IF(SER_hh_tes!J4=0,0,11630*1000*SER_hh_tes!J4/SER_hh_num!J4)</f>
        <v>237851.27286335622</v>
      </c>
      <c r="K4" s="131">
        <f>IF(SER_hh_tes!K4=0,0,11630*1000*SER_hh_tes!K4/SER_hh_num!K4)</f>
        <v>222330.00223782714</v>
      </c>
      <c r="L4" s="131">
        <f>IF(SER_hh_tes!L4=0,0,11630*1000*SER_hh_tes!L4/SER_hh_num!L4)</f>
        <v>262801.17259712773</v>
      </c>
      <c r="M4" s="131">
        <f>IF(SER_hh_tes!M4=0,0,11630*1000*SER_hh_tes!M4/SER_hh_num!M4)</f>
        <v>191058.14859827809</v>
      </c>
      <c r="N4" s="131">
        <f>IF(SER_hh_tes!N4=0,0,11630*1000*SER_hh_tes!N4/SER_hh_num!N4)</f>
        <v>224991.05791200604</v>
      </c>
      <c r="O4" s="131">
        <f>IF(SER_hh_tes!O4=0,0,11630*1000*SER_hh_tes!O4/SER_hh_num!O4)</f>
        <v>234344.3702908979</v>
      </c>
      <c r="P4" s="131">
        <f>IF(SER_hh_tes!P4=0,0,11630*1000*SER_hh_tes!P4/SER_hh_num!P4)</f>
        <v>181301.2564823284</v>
      </c>
      <c r="Q4" s="131">
        <f>IF(SER_hh_tes!Q4=0,0,11630*1000*SER_hh_tes!Q4/SER_hh_num!Q4)</f>
        <v>213138.10121327493</v>
      </c>
      <c r="R4" s="131">
        <f>IF(SER_hh_tes!R4=0,0,11630*1000*SER_hh_tes!R4/SER_hh_num!R4)</f>
        <v>212942.34839984649</v>
      </c>
      <c r="S4" s="131">
        <f>IF(SER_hh_tes!S4=0,0,11630*1000*SER_hh_tes!S4/SER_hh_num!S4)</f>
        <v>246987.91989846982</v>
      </c>
      <c r="T4" s="131">
        <f>IF(SER_hh_tes!T4=0,0,11630*1000*SER_hh_tes!T4/SER_hh_num!T4)</f>
        <v>252960.26906012135</v>
      </c>
      <c r="U4" s="131">
        <f>IF(SER_hh_tes!U4=0,0,11630*1000*SER_hh_tes!U4/SER_hh_num!U4)</f>
        <v>297761.08508707443</v>
      </c>
      <c r="V4" s="131">
        <f>IF(SER_hh_tes!V4=0,0,11630*1000*SER_hh_tes!V4/SER_hh_num!V4)</f>
        <v>292181.43855667283</v>
      </c>
      <c r="W4" s="131">
        <f>IF(SER_hh_tes!W4=0,0,11630*1000*SER_hh_tes!W4/SER_hh_num!W4)</f>
        <v>328014.03679845674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171737.99388426598</v>
      </c>
      <c r="C7" s="133">
        <f>IF(SER_hh_tes!C7=0,0,11630*1000*SER_hh_tes!C7/SER_hh_num!C7)</f>
        <v>226291.57055238509</v>
      </c>
      <c r="D7" s="133">
        <f>IF(SER_hh_tes!D7=0,0,11630*1000*SER_hh_tes!D7/SER_hh_num!D7)</f>
        <v>215045.74798463209</v>
      </c>
      <c r="E7" s="133">
        <f>IF(SER_hh_tes!E7=0,0,11630*1000*SER_hh_tes!E7/SER_hh_num!E7)</f>
        <v>210412.5612217664</v>
      </c>
      <c r="F7" s="133">
        <f>IF(SER_hh_tes!F7=0,0,11630*1000*SER_hh_tes!F7/SER_hh_num!F7)</f>
        <v>230635.94380252005</v>
      </c>
      <c r="G7" s="133">
        <f>IF(SER_hh_tes!G7=0,0,11630*1000*SER_hh_tes!G7/SER_hh_num!G7)</f>
        <v>241821.84067901166</v>
      </c>
      <c r="H7" s="133">
        <f>IF(SER_hh_tes!H7=0,0,11630*1000*SER_hh_tes!H7/SER_hh_num!H7)</f>
        <v>181432.65933331076</v>
      </c>
      <c r="I7" s="133">
        <f>IF(SER_hh_tes!I7=0,0,11630*1000*SER_hh_tes!I7/SER_hh_num!I7)</f>
        <v>214029.94214318917</v>
      </c>
      <c r="J7" s="133">
        <f>IF(SER_hh_tes!J7=0,0,11630*1000*SER_hh_tes!J7/SER_hh_num!J7)</f>
        <v>191846.14709067607</v>
      </c>
      <c r="K7" s="133">
        <f>IF(SER_hh_tes!K7=0,0,11630*1000*SER_hh_tes!K7/SER_hh_num!K7)</f>
        <v>166561.76422946705</v>
      </c>
      <c r="L7" s="133">
        <f>IF(SER_hh_tes!L7=0,0,11630*1000*SER_hh_tes!L7/SER_hh_num!L7)</f>
        <v>294530.30110670131</v>
      </c>
      <c r="M7" s="133">
        <f>IF(SER_hh_tes!M7=0,0,11630*1000*SER_hh_tes!M7/SER_hh_num!M7)</f>
        <v>200668.71417060139</v>
      </c>
      <c r="N7" s="133">
        <f>IF(SER_hh_tes!N7=0,0,11630*1000*SER_hh_tes!N7/SER_hh_num!N7)</f>
        <v>199137.83691863751</v>
      </c>
      <c r="O7" s="133">
        <f>IF(SER_hh_tes!O7=0,0,11630*1000*SER_hh_tes!O7/SER_hh_num!O7)</f>
        <v>222735.34402130463</v>
      </c>
      <c r="P7" s="133">
        <f>IF(SER_hh_tes!P7=0,0,11630*1000*SER_hh_tes!P7/SER_hh_num!P7)</f>
        <v>172191.83064044418</v>
      </c>
      <c r="Q7" s="133">
        <f>IF(SER_hh_tes!Q7=0,0,11630*1000*SER_hh_tes!Q7/SER_hh_num!Q7)</f>
        <v>222208.87087219511</v>
      </c>
      <c r="R7" s="133">
        <f>IF(SER_hh_tes!R7=0,0,11630*1000*SER_hh_tes!R7/SER_hh_num!R7)</f>
        <v>195745.41359520267</v>
      </c>
      <c r="S7" s="133">
        <f>IF(SER_hh_tes!S7=0,0,11630*1000*SER_hh_tes!S7/SER_hh_num!S7)</f>
        <v>262828.04071956722</v>
      </c>
      <c r="T7" s="133">
        <f>IF(SER_hh_tes!T7=0,0,11630*1000*SER_hh_tes!T7/SER_hh_num!T7)</f>
        <v>250620.03020932156</v>
      </c>
      <c r="U7" s="133">
        <f>IF(SER_hh_tes!U7=0,0,11630*1000*SER_hh_tes!U7/SER_hh_num!U7)</f>
        <v>307848.69006998593</v>
      </c>
      <c r="V7" s="133">
        <f>IF(SER_hh_tes!V7=0,0,11630*1000*SER_hh_tes!V7/SER_hh_num!V7)</f>
        <v>287083.96178906487</v>
      </c>
      <c r="W7" s="133">
        <f>IF(SER_hh_tes!W7=0,0,11630*1000*SER_hh_tes!W7/SER_hh_num!W7)</f>
        <v>267533.55312716466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263423.00827029935</v>
      </c>
      <c r="C9" s="133">
        <f>IF(SER_hh_tes!C9=0,0,11630*1000*SER_hh_tes!C9/SER_hh_num!C9)</f>
        <v>180192.19985491538</v>
      </c>
      <c r="D9" s="133">
        <f>IF(SER_hh_tes!D9=0,0,11630*1000*SER_hh_tes!D9/SER_hh_num!D9)</f>
        <v>205749.96763320174</v>
      </c>
      <c r="E9" s="133">
        <f>IF(SER_hh_tes!E9=0,0,11630*1000*SER_hh_tes!E9/SER_hh_num!E9)</f>
        <v>243089.91568882254</v>
      </c>
      <c r="F9" s="133">
        <f>IF(SER_hh_tes!F9=0,0,11630*1000*SER_hh_tes!F9/SER_hh_num!F9)</f>
        <v>223113.88141209903</v>
      </c>
      <c r="G9" s="133">
        <f>IF(SER_hh_tes!G9=0,0,11630*1000*SER_hh_tes!G9/SER_hh_num!G9)</f>
        <v>192655.54724139287</v>
      </c>
      <c r="H9" s="133">
        <f>IF(SER_hh_tes!H9=0,0,11630*1000*SER_hh_tes!H9/SER_hh_num!H9)</f>
        <v>238505.4486816625</v>
      </c>
      <c r="I9" s="133">
        <f>IF(SER_hh_tes!I9=0,0,11630*1000*SER_hh_tes!I9/SER_hh_num!I9)</f>
        <v>192434.13189315188</v>
      </c>
      <c r="J9" s="133">
        <f>IF(SER_hh_tes!J9=0,0,11630*1000*SER_hh_tes!J9/SER_hh_num!J9)</f>
        <v>235363.23152258561</v>
      </c>
      <c r="K9" s="133">
        <f>IF(SER_hh_tes!K9=0,0,11630*1000*SER_hh_tes!K9/SER_hh_num!K9)</f>
        <v>246173.49731593087</v>
      </c>
      <c r="L9" s="133">
        <f>IF(SER_hh_tes!L9=0,0,11630*1000*SER_hh_tes!L9/SER_hh_num!L9)</f>
        <v>295547.3404830923</v>
      </c>
      <c r="M9" s="133">
        <f>IF(SER_hh_tes!M9=0,0,11630*1000*SER_hh_tes!M9/SER_hh_num!M9)</f>
        <v>125272.45054343193</v>
      </c>
      <c r="N9" s="133">
        <f>IF(SER_hh_tes!N9=0,0,11630*1000*SER_hh_tes!N9/SER_hh_num!N9)</f>
        <v>231154.31168123335</v>
      </c>
      <c r="O9" s="133">
        <f>IF(SER_hh_tes!O9=0,0,11630*1000*SER_hh_tes!O9/SER_hh_num!O9)</f>
        <v>227277.74606815964</v>
      </c>
      <c r="P9" s="133">
        <f>IF(SER_hh_tes!P9=0,0,11630*1000*SER_hh_tes!P9/SER_hh_num!P9)</f>
        <v>176775.74676005048</v>
      </c>
      <c r="Q9" s="133">
        <f>IF(SER_hh_tes!Q9=0,0,11630*1000*SER_hh_tes!Q9/SER_hh_num!Q9)</f>
        <v>209610.2107446802</v>
      </c>
      <c r="R9" s="133">
        <f>IF(SER_hh_tes!R9=0,0,11630*1000*SER_hh_tes!R9/SER_hh_num!R9)</f>
        <v>251386.31243494852</v>
      </c>
      <c r="S9" s="133">
        <f>IF(SER_hh_tes!S9=0,0,11630*1000*SER_hh_tes!S9/SER_hh_num!S9)</f>
        <v>204552.11908683728</v>
      </c>
      <c r="T9" s="133">
        <f>IF(SER_hh_tes!T9=0,0,11630*1000*SER_hh_tes!T9/SER_hh_num!T9)</f>
        <v>258304.87252507536</v>
      </c>
      <c r="U9" s="133">
        <f>IF(SER_hh_tes!U9=0,0,11630*1000*SER_hh_tes!U9/SER_hh_num!U9)</f>
        <v>308624.90819562902</v>
      </c>
      <c r="V9" s="133">
        <f>IF(SER_hh_tes!V9=0,0,11630*1000*SER_hh_tes!V9/SER_hh_num!V9)</f>
        <v>250799.77570172449</v>
      </c>
      <c r="W9" s="133">
        <f>IF(SER_hh_tes!W9=0,0,11630*1000*SER_hh_tes!W9/SER_hh_num!W9)</f>
        <v>406173.91652975354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127865.72823006703</v>
      </c>
      <c r="C10" s="133">
        <f>IF(SER_hh_tes!C10=0,0,11630*1000*SER_hh_tes!C10/SER_hh_num!C10)</f>
        <v>207653.35472180013</v>
      </c>
      <c r="D10" s="133">
        <f>IF(SER_hh_tes!D10=0,0,11630*1000*SER_hh_tes!D10/SER_hh_num!D10)</f>
        <v>282565.22735259176</v>
      </c>
      <c r="E10" s="133">
        <f>IF(SER_hh_tes!E10=0,0,11630*1000*SER_hh_tes!E10/SER_hh_num!E10)</f>
        <v>182687.57821322398</v>
      </c>
      <c r="F10" s="133">
        <f>IF(SER_hh_tes!F10=0,0,11630*1000*SER_hh_tes!F10/SER_hh_num!F10)</f>
        <v>244470.89852382671</v>
      </c>
      <c r="G10" s="133">
        <f>IF(SER_hh_tes!G10=0,0,11630*1000*SER_hh_tes!G10/SER_hh_num!G10)</f>
        <v>255797.86172866111</v>
      </c>
      <c r="H10" s="133">
        <f>IF(SER_hh_tes!H10=0,0,11630*1000*SER_hh_tes!H10/SER_hh_num!H10)</f>
        <v>130758.45005631774</v>
      </c>
      <c r="I10" s="133">
        <f>IF(SER_hh_tes!I10=0,0,11630*1000*SER_hh_tes!I10/SER_hh_num!I10)</f>
        <v>117311.73169109406</v>
      </c>
      <c r="J10" s="133">
        <f>IF(SER_hh_tes!J10=0,0,11630*1000*SER_hh_tes!J10/SER_hh_num!J10)</f>
        <v>214992.34990914655</v>
      </c>
      <c r="K10" s="133">
        <f>IF(SER_hh_tes!K10=0,0,11630*1000*SER_hh_tes!K10/SER_hh_num!K10)</f>
        <v>326691.48699760012</v>
      </c>
      <c r="L10" s="133">
        <f>IF(SER_hh_tes!L10=0,0,11630*1000*SER_hh_tes!L10/SER_hh_num!L10)</f>
        <v>238254.38767914113</v>
      </c>
      <c r="M10" s="133">
        <f>IF(SER_hh_tes!M10=0,0,11630*1000*SER_hh_tes!M10/SER_hh_num!M10)</f>
        <v>95519.97393651912</v>
      </c>
      <c r="N10" s="133">
        <f>IF(SER_hh_tes!N10=0,0,11630*1000*SER_hh_tes!N10/SER_hh_num!N10)</f>
        <v>172538.70956139243</v>
      </c>
      <c r="O10" s="133">
        <f>IF(SER_hh_tes!O10=0,0,11630*1000*SER_hh_tes!O10/SER_hh_num!O10)</f>
        <v>245763.3478194247</v>
      </c>
      <c r="P10" s="133">
        <f>IF(SER_hh_tes!P10=0,0,11630*1000*SER_hh_tes!P10/SER_hh_num!P10)</f>
        <v>317401.78718924162</v>
      </c>
      <c r="Q10" s="133">
        <f>IF(SER_hh_tes!Q10=0,0,11630*1000*SER_hh_tes!Q10/SER_hh_num!Q10)</f>
        <v>132316.89638916153</v>
      </c>
      <c r="R10" s="133">
        <f>IF(SER_hh_tes!R10=0,0,11630*1000*SER_hh_tes!R10/SER_hh_num!R10)</f>
        <v>339467.42282654101</v>
      </c>
      <c r="S10" s="133">
        <f>IF(SER_hh_tes!S10=0,0,11630*1000*SER_hh_tes!S10/SER_hh_num!S10)</f>
        <v>27499.191870148563</v>
      </c>
      <c r="T10" s="133">
        <f>IF(SER_hh_tes!T10=0,0,11630*1000*SER_hh_tes!T10/SER_hh_num!T10)</f>
        <v>76223.964994893497</v>
      </c>
      <c r="U10" s="133">
        <f>IF(SER_hh_tes!U10=0,0,11630*1000*SER_hh_tes!U10/SER_hh_num!U10)</f>
        <v>107235.99411431767</v>
      </c>
      <c r="V10" s="133">
        <f>IF(SER_hh_tes!V10=0,0,11630*1000*SER_hh_tes!V10/SER_hh_num!V10)</f>
        <v>678578.97848181135</v>
      </c>
      <c r="W10" s="133">
        <f>IF(SER_hh_tes!W10=0,0,11630*1000*SER_hh_tes!W10/SER_hh_num!W10)</f>
        <v>1724639.4674117833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199127.43304955325</v>
      </c>
      <c r="C12" s="133">
        <f>IF(SER_hh_tes!C12=0,0,11630*1000*SER_hh_tes!C12/SER_hh_num!C12)</f>
        <v>184679.1220207166</v>
      </c>
      <c r="D12" s="133">
        <f>IF(SER_hh_tes!D12=0,0,11630*1000*SER_hh_tes!D12/SER_hh_num!D12)</f>
        <v>170590.17237048782</v>
      </c>
      <c r="E12" s="133">
        <f>IF(SER_hh_tes!E12=0,0,11630*1000*SER_hh_tes!E12/SER_hh_num!E12)</f>
        <v>275675.87259259837</v>
      </c>
      <c r="F12" s="133">
        <f>IF(SER_hh_tes!F12=0,0,11630*1000*SER_hh_tes!F12/SER_hh_num!F12)</f>
        <v>237076.97591552683</v>
      </c>
      <c r="G12" s="133">
        <f>IF(SER_hh_tes!G12=0,0,11630*1000*SER_hh_tes!G12/SER_hh_num!G12)</f>
        <v>226915.39448744722</v>
      </c>
      <c r="H12" s="133">
        <f>IF(SER_hh_tes!H12=0,0,11630*1000*SER_hh_tes!H12/SER_hh_num!H12)</f>
        <v>234054.7796567225</v>
      </c>
      <c r="I12" s="133">
        <f>IF(SER_hh_tes!I12=0,0,11630*1000*SER_hh_tes!I12/SER_hh_num!I12)</f>
        <v>199619.27112878169</v>
      </c>
      <c r="J12" s="133">
        <f>IF(SER_hh_tes!J12=0,0,11630*1000*SER_hh_tes!J12/SER_hh_num!J12)</f>
        <v>244942.27427936668</v>
      </c>
      <c r="K12" s="133">
        <f>IF(SER_hh_tes!K12=0,0,11630*1000*SER_hh_tes!K12/SER_hh_num!K12)</f>
        <v>201171.57583848215</v>
      </c>
      <c r="L12" s="133">
        <f>IF(SER_hh_tes!L12=0,0,11630*1000*SER_hh_tes!L12/SER_hh_num!L12)</f>
        <v>234718.01668663995</v>
      </c>
      <c r="M12" s="133">
        <f>IF(SER_hh_tes!M12=0,0,11630*1000*SER_hh_tes!M12/SER_hh_num!M12)</f>
        <v>249017.81512115008</v>
      </c>
      <c r="N12" s="133">
        <f>IF(SER_hh_tes!N12=0,0,11630*1000*SER_hh_tes!N12/SER_hh_num!N12)</f>
        <v>226563.07429559034</v>
      </c>
      <c r="O12" s="133">
        <f>IF(SER_hh_tes!O12=0,0,11630*1000*SER_hh_tes!O12/SER_hh_num!O12)</f>
        <v>248474.53213144068</v>
      </c>
      <c r="P12" s="133">
        <f>IF(SER_hh_tes!P12=0,0,11630*1000*SER_hh_tes!P12/SER_hh_num!P12)</f>
        <v>168667.18717445078</v>
      </c>
      <c r="Q12" s="133">
        <f>IF(SER_hh_tes!Q12=0,0,11630*1000*SER_hh_tes!Q12/SER_hh_num!Q12)</f>
        <v>210923.14107548379</v>
      </c>
      <c r="R12" s="133">
        <f>IF(SER_hh_tes!R12=0,0,11630*1000*SER_hh_tes!R12/SER_hh_num!R12)</f>
        <v>213736.81102249541</v>
      </c>
      <c r="S12" s="133">
        <f>IF(SER_hh_tes!S12=0,0,11630*1000*SER_hh_tes!S12/SER_hh_num!S12)</f>
        <v>233915.95451115601</v>
      </c>
      <c r="T12" s="133">
        <f>IF(SER_hh_tes!T12=0,0,11630*1000*SER_hh_tes!T12/SER_hh_num!T12)</f>
        <v>240883.64089336881</v>
      </c>
      <c r="U12" s="133">
        <f>IF(SER_hh_tes!U12=0,0,11630*1000*SER_hh_tes!U12/SER_hh_num!U12)</f>
        <v>267379.84931773273</v>
      </c>
      <c r="V12" s="133">
        <f>IF(SER_hh_tes!V12=0,0,11630*1000*SER_hh_tes!V12/SER_hh_num!V12)</f>
        <v>319742.31419183494</v>
      </c>
      <c r="W12" s="133">
        <f>IF(SER_hh_tes!W12=0,0,11630*1000*SER_hh_tes!W12/SER_hh_num!W12)</f>
        <v>319706.04254541785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183405.91326642261</v>
      </c>
      <c r="C14" s="65">
        <f>IF(SER_hh_tes!C14=0,0,11630*1000*SER_hh_tes!C14/SER_hh_num!C14)</f>
        <v>267307.56576270441</v>
      </c>
      <c r="D14" s="65">
        <f>IF(SER_hh_tes!D14=0,0,11630*1000*SER_hh_tes!D14/SER_hh_num!D14)</f>
        <v>178432.71530020857</v>
      </c>
      <c r="E14" s="65">
        <f>IF(SER_hh_tes!E14=0,0,11630*1000*SER_hh_tes!E14/SER_hh_num!E14)</f>
        <v>221517.23676652924</v>
      </c>
      <c r="F14" s="65">
        <f>IF(SER_hh_tes!F14=0,0,11630*1000*SER_hh_tes!F14/SER_hh_num!F14)</f>
        <v>192490.87272133859</v>
      </c>
      <c r="G14" s="65">
        <f>IF(SER_hh_tes!G14=0,0,11630*1000*SER_hh_tes!G14/SER_hh_num!G14)</f>
        <v>222705.41828156376</v>
      </c>
      <c r="H14" s="65">
        <f>IF(SER_hh_tes!H14=0,0,11630*1000*SER_hh_tes!H14/SER_hh_num!H14)</f>
        <v>200578.78460461475</v>
      </c>
      <c r="I14" s="65">
        <f>IF(SER_hh_tes!I14=0,0,11630*1000*SER_hh_tes!I14/SER_hh_num!I14)</f>
        <v>262498.38489374524</v>
      </c>
      <c r="J14" s="65">
        <f>IF(SER_hh_tes!J14=0,0,11630*1000*SER_hh_tes!J14/SER_hh_num!J14)</f>
        <v>240382.56220177782</v>
      </c>
      <c r="K14" s="65">
        <f>IF(SER_hh_tes!K14=0,0,11630*1000*SER_hh_tes!K14/SER_hh_num!K14)</f>
        <v>220267.03901744584</v>
      </c>
      <c r="L14" s="65">
        <f>IF(SER_hh_tes!L14=0,0,11630*1000*SER_hh_tes!L14/SER_hh_num!L14)</f>
        <v>232173.97008960284</v>
      </c>
      <c r="M14" s="65">
        <f>IF(SER_hh_tes!M14=0,0,11630*1000*SER_hh_tes!M14/SER_hh_num!M14)</f>
        <v>204843.73901895052</v>
      </c>
      <c r="N14" s="65">
        <f>IF(SER_hh_tes!N14=0,0,11630*1000*SER_hh_tes!N14/SER_hh_num!N14)</f>
        <v>222353.02364322671</v>
      </c>
      <c r="O14" s="65">
        <f>IF(SER_hh_tes!O14=0,0,11630*1000*SER_hh_tes!O14/SER_hh_num!O14)</f>
        <v>229618.63241451542</v>
      </c>
      <c r="P14" s="65">
        <f>IF(SER_hh_tes!P14=0,0,11630*1000*SER_hh_tes!P14/SER_hh_num!P14)</f>
        <v>198562.09778049149</v>
      </c>
      <c r="Q14" s="65">
        <f>IF(SER_hh_tes!Q14=0,0,11630*1000*SER_hh_tes!Q14/SER_hh_num!Q14)</f>
        <v>202636.12787151805</v>
      </c>
      <c r="R14" s="65">
        <f>IF(SER_hh_tes!R14=0,0,11630*1000*SER_hh_tes!R14/SER_hh_num!R14)</f>
        <v>161685.09729969964</v>
      </c>
      <c r="S14" s="65">
        <f>IF(SER_hh_tes!S14=0,0,11630*1000*SER_hh_tes!S14/SER_hh_num!S14)</f>
        <v>290651.68541057757</v>
      </c>
      <c r="T14" s="65">
        <f>IF(SER_hh_tes!T14=0,0,11630*1000*SER_hh_tes!T14/SER_hh_num!T14)</f>
        <v>252053.06805883776</v>
      </c>
      <c r="U14" s="65">
        <f>IF(SER_hh_tes!U14=0,0,11630*1000*SER_hh_tes!U14/SER_hh_num!U14)</f>
        <v>299544.08093998162</v>
      </c>
      <c r="V14" s="65">
        <f>IF(SER_hh_tes!V14=0,0,11630*1000*SER_hh_tes!V14/SER_hh_num!V14)</f>
        <v>281340.569544242</v>
      </c>
      <c r="W14" s="65">
        <f>IF(SER_hh_tes!W14=0,0,11630*1000*SER_hh_tes!W14/SER_hh_num!W14)</f>
        <v>328859.84388382192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4234.6393787978932</v>
      </c>
      <c r="C15" s="135">
        <f>IF(SER_hh_tes!C15=0,0,11630*1000*SER_hh_tes!C15/SER_hh_num!C15)</f>
        <v>3467.6467681559911</v>
      </c>
      <c r="D15" s="135">
        <f>IF(SER_hh_tes!D15=0,0,11630*1000*SER_hh_tes!D15/SER_hh_num!D15)</f>
        <v>3296.2537481163586</v>
      </c>
      <c r="E15" s="135">
        <f>IF(SER_hh_tes!E15=0,0,11630*1000*SER_hh_tes!E15/SER_hh_num!E15)</f>
        <v>3386.9677485594875</v>
      </c>
      <c r="F15" s="135">
        <f>IF(SER_hh_tes!F15=0,0,11630*1000*SER_hh_tes!F15/SER_hh_num!F15)</f>
        <v>3038.9381924927593</v>
      </c>
      <c r="G15" s="135">
        <f>IF(SER_hh_tes!G15=0,0,11630*1000*SER_hh_tes!G15/SER_hh_num!G15)</f>
        <v>2701.9428257998547</v>
      </c>
      <c r="H15" s="135">
        <f>IF(SER_hh_tes!H15=0,0,11630*1000*SER_hh_tes!H15/SER_hh_num!H15)</f>
        <v>2826.6497687736623</v>
      </c>
      <c r="I15" s="135">
        <f>IF(SER_hh_tes!I15=0,0,11630*1000*SER_hh_tes!I15/SER_hh_num!I15)</f>
        <v>2494.5194966732029</v>
      </c>
      <c r="J15" s="135">
        <f>IF(SER_hh_tes!J15=0,0,11630*1000*SER_hh_tes!J15/SER_hh_num!J15)</f>
        <v>2914.3615362937549</v>
      </c>
      <c r="K15" s="135">
        <f>IF(SER_hh_tes!K15=0,0,11630*1000*SER_hh_tes!K15/SER_hh_num!K15)</f>
        <v>2871.7094457670692</v>
      </c>
      <c r="L15" s="135">
        <f>IF(SER_hh_tes!L15=0,0,11630*1000*SER_hh_tes!L15/SER_hh_num!L15)</f>
        <v>3542.8249185233603</v>
      </c>
      <c r="M15" s="135">
        <f>IF(SER_hh_tes!M15=0,0,11630*1000*SER_hh_tes!M15/SER_hh_num!M15)</f>
        <v>1938.3479802850054</v>
      </c>
      <c r="N15" s="135">
        <f>IF(SER_hh_tes!N15=0,0,11630*1000*SER_hh_tes!N15/SER_hh_num!N15)</f>
        <v>2715.4549137892286</v>
      </c>
      <c r="O15" s="135">
        <f>IF(SER_hh_tes!O15=0,0,11630*1000*SER_hh_tes!O15/SER_hh_num!O15)</f>
        <v>2839.2859098207018</v>
      </c>
      <c r="P15" s="135">
        <f>IF(SER_hh_tes!P15=0,0,11630*1000*SER_hh_tes!P15/SER_hh_num!P15)</f>
        <v>2211.1900285195511</v>
      </c>
      <c r="Q15" s="135">
        <f>IF(SER_hh_tes!Q15=0,0,11630*1000*SER_hh_tes!Q15/SER_hh_num!Q15)</f>
        <v>2729.6994510242125</v>
      </c>
      <c r="R15" s="135">
        <f>IF(SER_hh_tes!R15=0,0,11630*1000*SER_hh_tes!R15/SER_hh_num!R15)</f>
        <v>2882.9400671858898</v>
      </c>
      <c r="S15" s="135">
        <f>IF(SER_hh_tes!S15=0,0,11630*1000*SER_hh_tes!S15/SER_hh_num!S15)</f>
        <v>2932.4388611909872</v>
      </c>
      <c r="T15" s="135">
        <f>IF(SER_hh_tes!T15=0,0,11630*1000*SER_hh_tes!T15/SER_hh_num!T15)</f>
        <v>3088.7295372237659</v>
      </c>
      <c r="U15" s="135">
        <f>IF(SER_hh_tes!U15=0,0,11630*1000*SER_hh_tes!U15/SER_hh_num!U15)</f>
        <v>3549.1411084028996</v>
      </c>
      <c r="V15" s="135">
        <f>IF(SER_hh_tes!V15=0,0,11630*1000*SER_hh_tes!V15/SER_hh_num!V15)</f>
        <v>3036.3621029705841</v>
      </c>
      <c r="W15" s="135">
        <f>IF(SER_hh_tes!W15=0,0,11630*1000*SER_hh_tes!W15/SER_hh_num!W15)</f>
        <v>3456.3603661437442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34482.49827432452</v>
      </c>
      <c r="C16" s="131">
        <f>IF(SER_hh_tes!C16=0,0,11630*1000*SER_hh_tes!C16/SER_hh_num!C16)</f>
        <v>35139.442365143281</v>
      </c>
      <c r="D16" s="131">
        <f>IF(SER_hh_tes!D16=0,0,11630*1000*SER_hh_tes!D16/SER_hh_num!D16)</f>
        <v>35675.153942101933</v>
      </c>
      <c r="E16" s="131">
        <f>IF(SER_hh_tes!E16=0,0,11630*1000*SER_hh_tes!E16/SER_hh_num!E16)</f>
        <v>45733.228987316776</v>
      </c>
      <c r="F16" s="131">
        <f>IF(SER_hh_tes!F16=0,0,11630*1000*SER_hh_tes!F16/SER_hh_num!F16)</f>
        <v>34959.419947037175</v>
      </c>
      <c r="G16" s="131">
        <f>IF(SER_hh_tes!G16=0,0,11630*1000*SER_hh_tes!G16/SER_hh_num!G16)</f>
        <v>36097.409747680635</v>
      </c>
      <c r="H16" s="131">
        <f>IF(SER_hh_tes!H16=0,0,11630*1000*SER_hh_tes!H16/SER_hh_num!H16)</f>
        <v>42514.976485584019</v>
      </c>
      <c r="I16" s="131">
        <f>IF(SER_hh_tes!I16=0,0,11630*1000*SER_hh_tes!I16/SER_hh_num!I16)</f>
        <v>35429.466738096118</v>
      </c>
      <c r="J16" s="131">
        <f>IF(SER_hh_tes!J16=0,0,11630*1000*SER_hh_tes!J16/SER_hh_num!J16)</f>
        <v>35422.489659041232</v>
      </c>
      <c r="K16" s="131">
        <f>IF(SER_hh_tes!K16=0,0,11630*1000*SER_hh_tes!K16/SER_hh_num!K16)</f>
        <v>35827.637847149621</v>
      </c>
      <c r="L16" s="131">
        <f>IF(SER_hh_tes!L16=0,0,11630*1000*SER_hh_tes!L16/SER_hh_num!L16)</f>
        <v>38464.145180017047</v>
      </c>
      <c r="M16" s="131">
        <f>IF(SER_hh_tes!M16=0,0,11630*1000*SER_hh_tes!M16/SER_hh_num!M16)</f>
        <v>36083.897035955481</v>
      </c>
      <c r="N16" s="131">
        <f>IF(SER_hh_tes!N16=0,0,11630*1000*SER_hh_tes!N16/SER_hh_num!N16)</f>
        <v>37179.705512567351</v>
      </c>
      <c r="O16" s="131">
        <f>IF(SER_hh_tes!O16=0,0,11630*1000*SER_hh_tes!O16/SER_hh_num!O16)</f>
        <v>37911.23942962171</v>
      </c>
      <c r="P16" s="131">
        <f>IF(SER_hh_tes!P16=0,0,11630*1000*SER_hh_tes!P16/SER_hh_num!P16)</f>
        <v>36511.344510315161</v>
      </c>
      <c r="Q16" s="131">
        <f>IF(SER_hh_tes!Q16=0,0,11630*1000*SER_hh_tes!Q16/SER_hh_num!Q16)</f>
        <v>41385.744680264172</v>
      </c>
      <c r="R16" s="131">
        <f>IF(SER_hh_tes!R16=0,0,11630*1000*SER_hh_tes!R16/SER_hh_num!R16)</f>
        <v>37672.74142348054</v>
      </c>
      <c r="S16" s="131">
        <f>IF(SER_hh_tes!S16=0,0,11630*1000*SER_hh_tes!S16/SER_hh_num!S16)</f>
        <v>37621.285510258771</v>
      </c>
      <c r="T16" s="131">
        <f>IF(SER_hh_tes!T16=0,0,11630*1000*SER_hh_tes!T16/SER_hh_num!T16)</f>
        <v>42415.742144024574</v>
      </c>
      <c r="U16" s="131">
        <f>IF(SER_hh_tes!U16=0,0,11630*1000*SER_hh_tes!U16/SER_hh_num!U16)</f>
        <v>42638.981816307001</v>
      </c>
      <c r="V16" s="131">
        <f>IF(SER_hh_tes!V16=0,0,11630*1000*SER_hh_tes!V16/SER_hh_num!V16)</f>
        <v>42728.44838262206</v>
      </c>
      <c r="W16" s="131">
        <f>IF(SER_hh_tes!W16=0,0,11630*1000*SER_hh_tes!W16/SER_hh_num!W16)</f>
        <v>36843.858689757006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34482.49827432452</v>
      </c>
      <c r="C17" s="133">
        <f>IF(SER_hh_tes!C17=0,0,11630*1000*SER_hh_tes!C17/SER_hh_num!C17)</f>
        <v>35139.449733044508</v>
      </c>
      <c r="D17" s="133">
        <f>IF(SER_hh_tes!D17=0,0,11630*1000*SER_hh_tes!D17/SER_hh_num!D17)</f>
        <v>35675.152598583001</v>
      </c>
      <c r="E17" s="133">
        <f>IF(SER_hh_tes!E17=0,0,11630*1000*SER_hh_tes!E17/SER_hh_num!E17)</f>
        <v>45733.22566491046</v>
      </c>
      <c r="F17" s="133">
        <f>IF(SER_hh_tes!F17=0,0,11630*1000*SER_hh_tes!F17/SER_hh_num!F17)</f>
        <v>34959.417963622043</v>
      </c>
      <c r="G17" s="133">
        <f>IF(SER_hh_tes!G17=0,0,11630*1000*SER_hh_tes!G17/SER_hh_num!G17)</f>
        <v>36097.408947686847</v>
      </c>
      <c r="H17" s="133">
        <f>IF(SER_hh_tes!H17=0,0,11630*1000*SER_hh_tes!H17/SER_hh_num!H17)</f>
        <v>42514.976484052713</v>
      </c>
      <c r="I17" s="133">
        <f>IF(SER_hh_tes!I17=0,0,11630*1000*SER_hh_tes!I17/SER_hh_num!I17)</f>
        <v>35429.46727724735</v>
      </c>
      <c r="J17" s="133">
        <f>IF(SER_hh_tes!J17=0,0,11630*1000*SER_hh_tes!J17/SER_hh_num!J17)</f>
        <v>35422.490444933253</v>
      </c>
      <c r="K17" s="133">
        <f>IF(SER_hh_tes!K17=0,0,11630*1000*SER_hh_tes!K17/SER_hh_num!K17)</f>
        <v>42089.652272839754</v>
      </c>
      <c r="L17" s="133">
        <f>IF(SER_hh_tes!L17=0,0,11630*1000*SER_hh_tes!L17/SER_hh_num!L17)</f>
        <v>38464.146454907444</v>
      </c>
      <c r="M17" s="133">
        <f>IF(SER_hh_tes!M17=0,0,11630*1000*SER_hh_tes!M17/SER_hh_num!M17)</f>
        <v>36083.89821845496</v>
      </c>
      <c r="N17" s="133">
        <f>IF(SER_hh_tes!N17=0,0,11630*1000*SER_hh_tes!N17/SER_hh_num!N17)</f>
        <v>37179.703243693693</v>
      </c>
      <c r="O17" s="133">
        <f>IF(SER_hh_tes!O17=0,0,11630*1000*SER_hh_tes!O17/SER_hh_num!O17)</f>
        <v>37911.235909061485</v>
      </c>
      <c r="P17" s="133">
        <f>IF(SER_hh_tes!P17=0,0,11630*1000*SER_hh_tes!P17/SER_hh_num!P17)</f>
        <v>36511.341537917113</v>
      </c>
      <c r="Q17" s="133">
        <f>IF(SER_hh_tes!Q17=0,0,11630*1000*SER_hh_tes!Q17/SER_hh_num!Q17)</f>
        <v>41385.74336666664</v>
      </c>
      <c r="R17" s="133">
        <f>IF(SER_hh_tes!R17=0,0,11630*1000*SER_hh_tes!R17/SER_hh_num!R17)</f>
        <v>37672.742456172484</v>
      </c>
      <c r="S17" s="133">
        <f>IF(SER_hh_tes!S17=0,0,11630*1000*SER_hh_tes!S17/SER_hh_num!S17)</f>
        <v>38948.43173941339</v>
      </c>
      <c r="T17" s="133">
        <f>IF(SER_hh_tes!T17=0,0,11630*1000*SER_hh_tes!T17/SER_hh_num!T17)</f>
        <v>42415.746806983967</v>
      </c>
      <c r="U17" s="133">
        <f>IF(SER_hh_tes!U17=0,0,11630*1000*SER_hh_tes!U17/SER_hh_num!U17)</f>
        <v>42638.986314856462</v>
      </c>
      <c r="V17" s="133">
        <f>IF(SER_hh_tes!V17=0,0,11630*1000*SER_hh_tes!V17/SER_hh_num!V17)</f>
        <v>42728.451855148123</v>
      </c>
      <c r="W17" s="133">
        <f>IF(SER_hh_tes!W17=0,0,11630*1000*SER_hh_tes!W17/SER_hh_num!W17)</f>
        <v>42625.753436646439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34482.49827432452</v>
      </c>
      <c r="C18" s="133">
        <f>IF(SER_hh_tes!C18=0,0,11630*1000*SER_hh_tes!C18/SER_hh_num!C18)</f>
        <v>35139.442330422389</v>
      </c>
      <c r="D18" s="133">
        <f>IF(SER_hh_tes!D18=0,0,11630*1000*SER_hh_tes!D18/SER_hh_num!D18)</f>
        <v>35675.153949797081</v>
      </c>
      <c r="E18" s="133">
        <f>IF(SER_hh_tes!E18=0,0,11630*1000*SER_hh_tes!E18/SER_hh_num!E18)</f>
        <v>45733.229000443789</v>
      </c>
      <c r="F18" s="133">
        <f>IF(SER_hh_tes!F18=0,0,11630*1000*SER_hh_tes!F18/SER_hh_num!F18)</f>
        <v>34959.419960823747</v>
      </c>
      <c r="G18" s="133">
        <f>IF(SER_hh_tes!G18=0,0,11630*1000*SER_hh_tes!G18/SER_hh_num!G18)</f>
        <v>36097.409752839558</v>
      </c>
      <c r="H18" s="133">
        <f>IF(SER_hh_tes!H18=0,0,11630*1000*SER_hh_tes!H18/SER_hh_num!H18)</f>
        <v>42514.976485594416</v>
      </c>
      <c r="I18" s="133">
        <f>IF(SER_hh_tes!I18=0,0,11630*1000*SER_hh_tes!I18/SER_hh_num!I18)</f>
        <v>35429.466733444649</v>
      </c>
      <c r="J18" s="133">
        <f>IF(SER_hh_tes!J18=0,0,11630*1000*SER_hh_tes!J18/SER_hh_num!J18)</f>
        <v>35422.489652265678</v>
      </c>
      <c r="K18" s="133">
        <f>IF(SER_hh_tes!K18=0,0,11630*1000*SER_hh_tes!K18/SER_hh_num!K18)</f>
        <v>35771.142063440726</v>
      </c>
      <c r="L18" s="133">
        <f>IF(SER_hh_tes!L18=0,0,11630*1000*SER_hh_tes!L18/SER_hh_num!L18)</f>
        <v>38464.145168455485</v>
      </c>
      <c r="M18" s="133">
        <f>IF(SER_hh_tes!M18=0,0,11630*1000*SER_hh_tes!M18/SER_hh_num!M18)</f>
        <v>36083.897024381913</v>
      </c>
      <c r="N18" s="133">
        <f>IF(SER_hh_tes!N18=0,0,11630*1000*SER_hh_tes!N18/SER_hh_num!N18)</f>
        <v>37179.70553596149</v>
      </c>
      <c r="O18" s="133">
        <f>IF(SER_hh_tes!O18=0,0,11630*1000*SER_hh_tes!O18/SER_hh_num!O18)</f>
        <v>37911.239471996094</v>
      </c>
      <c r="P18" s="133">
        <f>IF(SER_hh_tes!P18=0,0,11630*1000*SER_hh_tes!P18/SER_hh_num!P18)</f>
        <v>36511.344558320015</v>
      </c>
      <c r="Q18" s="133">
        <f>IF(SER_hh_tes!Q18=0,0,11630*1000*SER_hh_tes!Q18/SER_hh_num!Q18)</f>
        <v>41385.744705442426</v>
      </c>
      <c r="R18" s="133">
        <f>IF(SER_hh_tes!R18=0,0,11630*1000*SER_hh_tes!R18/SER_hh_num!R18)</f>
        <v>37672.741395785924</v>
      </c>
      <c r="S18" s="133">
        <f>IF(SER_hh_tes!S18=0,0,11630*1000*SER_hh_tes!S18/SER_hh_num!S18)</f>
        <v>37580.978206760206</v>
      </c>
      <c r="T18" s="133">
        <f>IF(SER_hh_tes!T18=0,0,11630*1000*SER_hh_tes!T18/SER_hh_num!T18)</f>
        <v>42415.742000718477</v>
      </c>
      <c r="U18" s="133">
        <f>IF(SER_hh_tes!U18=0,0,11630*1000*SER_hh_tes!U18/SER_hh_num!U18)</f>
        <v>42638.98166637875</v>
      </c>
      <c r="V18" s="133">
        <f>IF(SER_hh_tes!V18=0,0,11630*1000*SER_hh_tes!V18/SER_hh_num!V18)</f>
        <v>42728.448256545373</v>
      </c>
      <c r="W18" s="133">
        <f>IF(SER_hh_tes!W18=0,0,11630*1000*SER_hh_tes!W18/SER_hh_num!W18)</f>
        <v>36622.879692362265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28445.221474378181</v>
      </c>
      <c r="C19" s="131">
        <f>IF(SER_hh_tes!C19=0,0,11630*1000*SER_hh_tes!C19/SER_hh_num!C19)</f>
        <v>28640.017887350416</v>
      </c>
      <c r="D19" s="131">
        <f>IF(SER_hh_tes!D19=0,0,11630*1000*SER_hh_tes!D19/SER_hh_num!D19)</f>
        <v>28647.619650816054</v>
      </c>
      <c r="E19" s="131">
        <f>IF(SER_hh_tes!E19=0,0,11630*1000*SER_hh_tes!E19/SER_hh_num!E19)</f>
        <v>28594.599963615357</v>
      </c>
      <c r="F19" s="131">
        <f>IF(SER_hh_tes!F19=0,0,11630*1000*SER_hh_tes!F19/SER_hh_num!F19)</f>
        <v>28756.666753933911</v>
      </c>
      <c r="G19" s="131">
        <f>IF(SER_hh_tes!G19=0,0,11630*1000*SER_hh_tes!G19/SER_hh_num!G19)</f>
        <v>28697.696966503019</v>
      </c>
      <c r="H19" s="131">
        <f>IF(SER_hh_tes!H19=0,0,11630*1000*SER_hh_tes!H19/SER_hh_num!H19)</f>
        <v>28616.127778484904</v>
      </c>
      <c r="I19" s="131">
        <f>IF(SER_hh_tes!I19=0,0,11630*1000*SER_hh_tes!I19/SER_hh_num!I19)</f>
        <v>28595.398950708492</v>
      </c>
      <c r="J19" s="131">
        <f>IF(SER_hh_tes!J19=0,0,11630*1000*SER_hh_tes!J19/SER_hh_num!J19)</f>
        <v>28957.251247838885</v>
      </c>
      <c r="K19" s="131">
        <f>IF(SER_hh_tes!K19=0,0,11630*1000*SER_hh_tes!K19/SER_hh_num!K19)</f>
        <v>29164.187421580267</v>
      </c>
      <c r="L19" s="131">
        <f>IF(SER_hh_tes!L19=0,0,11630*1000*SER_hh_tes!L19/SER_hh_num!L19)</f>
        <v>29233.960123815916</v>
      </c>
      <c r="M19" s="131">
        <f>IF(SER_hh_tes!M19=0,0,11630*1000*SER_hh_tes!M19/SER_hh_num!M19)</f>
        <v>28755.720549159527</v>
      </c>
      <c r="N19" s="131">
        <f>IF(SER_hh_tes!N19=0,0,11630*1000*SER_hh_tes!N19/SER_hh_num!N19)</f>
        <v>28938.641107534357</v>
      </c>
      <c r="O19" s="131">
        <f>IF(SER_hh_tes!O19=0,0,11630*1000*SER_hh_tes!O19/SER_hh_num!O19)</f>
        <v>29120.384572957882</v>
      </c>
      <c r="P19" s="131">
        <f>IF(SER_hh_tes!P19=0,0,11630*1000*SER_hh_tes!P19/SER_hh_num!P19)</f>
        <v>29377.697522431034</v>
      </c>
      <c r="Q19" s="131">
        <f>IF(SER_hh_tes!Q19=0,0,11630*1000*SER_hh_tes!Q19/SER_hh_num!Q19)</f>
        <v>29654.069107292882</v>
      </c>
      <c r="R19" s="131">
        <f>IF(SER_hh_tes!R19=0,0,11630*1000*SER_hh_tes!R19/SER_hh_num!R19)</f>
        <v>29473.874671589801</v>
      </c>
      <c r="S19" s="131">
        <f>IF(SER_hh_tes!S19=0,0,11630*1000*SER_hh_tes!S19/SER_hh_num!S19)</f>
        <v>29702.226242573139</v>
      </c>
      <c r="T19" s="131">
        <f>IF(SER_hh_tes!T19=0,0,11630*1000*SER_hh_tes!T19/SER_hh_num!T19)</f>
        <v>29578.421611603757</v>
      </c>
      <c r="U19" s="131">
        <f>IF(SER_hh_tes!U19=0,0,11630*1000*SER_hh_tes!U19/SER_hh_num!U19)</f>
        <v>29686.107716809998</v>
      </c>
      <c r="V19" s="131">
        <f>IF(SER_hh_tes!V19=0,0,11630*1000*SER_hh_tes!V19/SER_hh_num!V19)</f>
        <v>26741.908812811886</v>
      </c>
      <c r="W19" s="131">
        <f>IF(SER_hh_tes!W19=0,0,11630*1000*SER_hh_tes!W19/SER_hh_num!W19)</f>
        <v>28013.945212933511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28657.012563112305</v>
      </c>
      <c r="C22" s="133">
        <f>IF(SER_hh_tes!C22=0,0,11630*1000*SER_hh_tes!C22/SER_hh_num!C22)</f>
        <v>28312.615243270557</v>
      </c>
      <c r="D22" s="133">
        <f>IF(SER_hh_tes!D22=0,0,11630*1000*SER_hh_tes!D22/SER_hh_num!D22)</f>
        <v>28858.023183252084</v>
      </c>
      <c r="E22" s="133">
        <f>IF(SER_hh_tes!E22=0,0,11630*1000*SER_hh_tes!E22/SER_hh_num!E22)</f>
        <v>28947.506105425775</v>
      </c>
      <c r="F22" s="133">
        <f>IF(SER_hh_tes!F22=0,0,11630*1000*SER_hh_tes!F22/SER_hh_num!F22)</f>
        <v>29965.167964793232</v>
      </c>
      <c r="G22" s="133">
        <f>IF(SER_hh_tes!G22=0,0,11630*1000*SER_hh_tes!G22/SER_hh_num!G22)</f>
        <v>31410.047762219412</v>
      </c>
      <c r="H22" s="133">
        <f>IF(SER_hh_tes!H22=0,0,11630*1000*SER_hh_tes!H22/SER_hh_num!H22)</f>
        <v>26141.953412435203</v>
      </c>
      <c r="I22" s="133">
        <f>IF(SER_hh_tes!I22=0,0,11630*1000*SER_hh_tes!I22/SER_hh_num!I22)</f>
        <v>28591.50420554731</v>
      </c>
      <c r="J22" s="133">
        <f>IF(SER_hh_tes!J22=0,0,11630*1000*SER_hh_tes!J22/SER_hh_num!J22)</f>
        <v>23571.39220349288</v>
      </c>
      <c r="K22" s="133">
        <f>IF(SER_hh_tes!K22=0,0,11630*1000*SER_hh_tes!K22/SER_hh_num!K22)</f>
        <v>25201.772010994246</v>
      </c>
      <c r="L22" s="133">
        <f>IF(SER_hh_tes!L22=0,0,11630*1000*SER_hh_tes!L22/SER_hh_num!L22)</f>
        <v>34583.177640320268</v>
      </c>
      <c r="M22" s="133">
        <f>IF(SER_hh_tes!M22=0,0,11630*1000*SER_hh_tes!M22/SER_hh_num!M22)</f>
        <v>23317.306849466164</v>
      </c>
      <c r="N22" s="133">
        <f>IF(SER_hh_tes!N22=0,0,11630*1000*SER_hh_tes!N22/SER_hh_num!N22)</f>
        <v>31229.71584992779</v>
      </c>
      <c r="O22" s="133">
        <f>IF(SER_hh_tes!O22=0,0,11630*1000*SER_hh_tes!O22/SER_hh_num!O22)</f>
        <v>29578.522702501996</v>
      </c>
      <c r="P22" s="133">
        <f>IF(SER_hh_tes!P22=0,0,11630*1000*SER_hh_tes!P22/SER_hh_num!P22)</f>
        <v>30205.296434936325</v>
      </c>
      <c r="Q22" s="133">
        <f>IF(SER_hh_tes!Q22=0,0,11630*1000*SER_hh_tes!Q22/SER_hh_num!Q22)</f>
        <v>28040.611500125873</v>
      </c>
      <c r="R22" s="133">
        <f>IF(SER_hh_tes!R22=0,0,11630*1000*SER_hh_tes!R22/SER_hh_num!R22)</f>
        <v>24208.104106963976</v>
      </c>
      <c r="S22" s="133">
        <f>IF(SER_hh_tes!S22=0,0,11630*1000*SER_hh_tes!S22/SER_hh_num!S22)</f>
        <v>31966.519017469534</v>
      </c>
      <c r="T22" s="133">
        <f>IF(SER_hh_tes!T22=0,0,11630*1000*SER_hh_tes!T22/SER_hh_num!T22)</f>
        <v>30641.570715545058</v>
      </c>
      <c r="U22" s="133">
        <f>IF(SER_hh_tes!U22=0,0,11630*1000*SER_hh_tes!U22/SER_hh_num!U22)</f>
        <v>31737.921161481234</v>
      </c>
      <c r="V22" s="133">
        <f>IF(SER_hh_tes!V22=0,0,11630*1000*SER_hh_tes!V22/SER_hh_num!V22)</f>
        <v>25329.830375471895</v>
      </c>
      <c r="W22" s="133">
        <f>IF(SER_hh_tes!W22=0,0,11630*1000*SER_hh_tes!W22/SER_hh_num!W22)</f>
        <v>29038.34968964857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28119.59701128105</v>
      </c>
      <c r="C23" s="133">
        <f>IF(SER_hh_tes!C23=0,0,11630*1000*SER_hh_tes!C23/SER_hh_num!C23)</f>
        <v>28527.661437959381</v>
      </c>
      <c r="D23" s="133">
        <f>IF(SER_hh_tes!D23=0,0,11630*1000*SER_hh_tes!D23/SER_hh_num!D23)</f>
        <v>28169.133678156406</v>
      </c>
      <c r="E23" s="133">
        <f>IF(SER_hh_tes!E23=0,0,11630*1000*SER_hh_tes!E23/SER_hh_num!E23)</f>
        <v>29397.919880676316</v>
      </c>
      <c r="F23" s="133">
        <f>IF(SER_hh_tes!F23=0,0,11630*1000*SER_hh_tes!F23/SER_hh_num!F23)</f>
        <v>28697.928593163495</v>
      </c>
      <c r="G23" s="133">
        <f>IF(SER_hh_tes!G23=0,0,11630*1000*SER_hh_tes!G23/SER_hh_num!G23)</f>
        <v>28851.786189239709</v>
      </c>
      <c r="H23" s="133">
        <f>IF(SER_hh_tes!H23=0,0,11630*1000*SER_hh_tes!H23/SER_hh_num!H23)</f>
        <v>28163.534270285701</v>
      </c>
      <c r="I23" s="133">
        <f>IF(SER_hh_tes!I23=0,0,11630*1000*SER_hh_tes!I23/SER_hh_num!I23)</f>
        <v>27391.952026474923</v>
      </c>
      <c r="J23" s="133">
        <f>IF(SER_hh_tes!J23=0,0,11630*1000*SER_hh_tes!J23/SER_hh_num!J23)</f>
        <v>30648.267765068929</v>
      </c>
      <c r="K23" s="133">
        <f>IF(SER_hh_tes!K23=0,0,11630*1000*SER_hh_tes!K23/SER_hh_num!K23)</f>
        <v>27743.614061028955</v>
      </c>
      <c r="L23" s="133">
        <f>IF(SER_hh_tes!L23=0,0,11630*1000*SER_hh_tes!L23/SER_hh_num!L23)</f>
        <v>30613.319420973756</v>
      </c>
      <c r="M23" s="133">
        <f>IF(SER_hh_tes!M23=0,0,11630*1000*SER_hh_tes!M23/SER_hh_num!M23)</f>
        <v>29127.791605280509</v>
      </c>
      <c r="N23" s="133">
        <f>IF(SER_hh_tes!N23=0,0,11630*1000*SER_hh_tes!N23/SER_hh_num!N23)</f>
        <v>27856.530018597117</v>
      </c>
      <c r="O23" s="133">
        <f>IF(SER_hh_tes!O23=0,0,11630*1000*SER_hh_tes!O23/SER_hh_num!O23)</f>
        <v>28236.134316198386</v>
      </c>
      <c r="P23" s="133">
        <f>IF(SER_hh_tes!P23=0,0,11630*1000*SER_hh_tes!P23/SER_hh_num!P23)</f>
        <v>29647.305064737931</v>
      </c>
      <c r="Q23" s="133">
        <f>IF(SER_hh_tes!Q23=0,0,11630*1000*SER_hh_tes!Q23/SER_hh_num!Q23)</f>
        <v>33494.48824962473</v>
      </c>
      <c r="R23" s="133">
        <f>IF(SER_hh_tes!R23=0,0,11630*1000*SER_hh_tes!R23/SER_hh_num!R23)</f>
        <v>35813.72421177449</v>
      </c>
      <c r="S23" s="133">
        <f>IF(SER_hh_tes!S23=0,0,11630*1000*SER_hh_tes!S23/SER_hh_num!S23)</f>
        <v>26408.879749824566</v>
      </c>
      <c r="T23" s="133">
        <f>IF(SER_hh_tes!T23=0,0,11630*1000*SER_hh_tes!T23/SER_hh_num!T23)</f>
        <v>29870.396191527096</v>
      </c>
      <c r="U23" s="133">
        <f>IF(SER_hh_tes!U23=0,0,11630*1000*SER_hh_tes!U23/SER_hh_num!U23)</f>
        <v>31097.190279976636</v>
      </c>
      <c r="V23" s="133">
        <f>IF(SER_hh_tes!V23=0,0,11630*1000*SER_hh_tes!V23/SER_hh_num!V23)</f>
        <v>22547.127664908636</v>
      </c>
      <c r="W23" s="133">
        <f>IF(SER_hh_tes!W23=0,0,11630*1000*SER_hh_tes!W23/SER_hh_num!W23)</f>
        <v>34217.379922030355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26631.519544515144</v>
      </c>
      <c r="C25" s="133">
        <f>IF(SER_hh_tes!C25=0,0,11630*1000*SER_hh_tes!C25/SER_hh_num!C25)</f>
        <v>23939.512286393947</v>
      </c>
      <c r="D25" s="133">
        <f>IF(SER_hh_tes!D25=0,0,11630*1000*SER_hh_tes!D25/SER_hh_num!D25)</f>
        <v>26658.859099275356</v>
      </c>
      <c r="E25" s="133">
        <f>IF(SER_hh_tes!E25=0,0,11630*1000*SER_hh_tes!E25/SER_hh_num!E25)</f>
        <v>33136.617865677224</v>
      </c>
      <c r="F25" s="133">
        <f>IF(SER_hh_tes!F25=0,0,11630*1000*SER_hh_tes!F25/SER_hh_num!F25)</f>
        <v>30043.133149203291</v>
      </c>
      <c r="G25" s="133">
        <f>IF(SER_hh_tes!G25=0,0,11630*1000*SER_hh_tes!G25/SER_hh_num!G25)</f>
        <v>28929.565719798131</v>
      </c>
      <c r="H25" s="133">
        <f>IF(SER_hh_tes!H25=0,0,11630*1000*SER_hh_tes!H25/SER_hh_num!H25)</f>
        <v>28890.210095184415</v>
      </c>
      <c r="I25" s="133">
        <f>IF(SER_hh_tes!I25=0,0,11630*1000*SER_hh_tes!I25/SER_hh_num!I25)</f>
        <v>28790.682287874763</v>
      </c>
      <c r="J25" s="133">
        <f>IF(SER_hh_tes!J25=0,0,11630*1000*SER_hh_tes!J25/SER_hh_num!J25)</f>
        <v>28853.064948486706</v>
      </c>
      <c r="K25" s="133">
        <f>IF(SER_hh_tes!K25=0,0,11630*1000*SER_hh_tes!K25/SER_hh_num!K25)</f>
        <v>29835.774842404378</v>
      </c>
      <c r="L25" s="133">
        <f>IF(SER_hh_tes!L25=0,0,11630*1000*SER_hh_tes!L25/SER_hh_num!L25)</f>
        <v>28320.69173142048</v>
      </c>
      <c r="M25" s="133">
        <f>IF(SER_hh_tes!M25=0,0,11630*1000*SER_hh_tes!M25/SER_hh_num!M25)</f>
        <v>28726.861117160381</v>
      </c>
      <c r="N25" s="133">
        <f>IF(SER_hh_tes!N25=0,0,11630*1000*SER_hh_tes!N25/SER_hh_num!N25)</f>
        <v>29140.697749637649</v>
      </c>
      <c r="O25" s="133">
        <f>IF(SER_hh_tes!O25=0,0,11630*1000*SER_hh_tes!O25/SER_hh_num!O25)</f>
        <v>29427.155990492025</v>
      </c>
      <c r="P25" s="133">
        <f>IF(SER_hh_tes!P25=0,0,11630*1000*SER_hh_tes!P25/SER_hh_num!P25)</f>
        <v>29099.046481810718</v>
      </c>
      <c r="Q25" s="133">
        <f>IF(SER_hh_tes!Q25=0,0,11630*1000*SER_hh_tes!Q25/SER_hh_num!Q25)</f>
        <v>29261.664008511558</v>
      </c>
      <c r="R25" s="133">
        <f>IF(SER_hh_tes!R25=0,0,11630*1000*SER_hh_tes!R25/SER_hh_num!R25)</f>
        <v>29321.253382341944</v>
      </c>
      <c r="S25" s="133">
        <f>IF(SER_hh_tes!S25=0,0,11630*1000*SER_hh_tes!S25/SER_hh_num!S25)</f>
        <v>30785.147987139077</v>
      </c>
      <c r="T25" s="133">
        <f>IF(SER_hh_tes!T25=0,0,11630*1000*SER_hh_tes!T25/SER_hh_num!T25)</f>
        <v>27857.383282873572</v>
      </c>
      <c r="U25" s="133">
        <f>IF(SER_hh_tes!U25=0,0,11630*1000*SER_hh_tes!U25/SER_hh_num!U25)</f>
        <v>29770.549694403886</v>
      </c>
      <c r="V25" s="133">
        <f>IF(SER_hh_tes!V25=0,0,11630*1000*SER_hh_tes!V25/SER_hh_num!V25)</f>
        <v>28581.200859238816</v>
      </c>
      <c r="W25" s="133">
        <f>IF(SER_hh_tes!W25=0,0,11630*1000*SER_hh_tes!W25/SER_hh_num!W25)</f>
        <v>24914.200164854443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28691.279095919166</v>
      </c>
      <c r="C26" s="65">
        <f>IF(SER_hh_tes!C26=0,0,11630*1000*SER_hh_tes!C26/SER_hh_num!C26)</f>
        <v>29550.201204849473</v>
      </c>
      <c r="D26" s="65">
        <f>IF(SER_hh_tes!D26=0,0,11630*1000*SER_hh_tes!D26/SER_hh_num!D26)</f>
        <v>29416.302536832289</v>
      </c>
      <c r="E26" s="65">
        <f>IF(SER_hh_tes!E26=0,0,11630*1000*SER_hh_tes!E26/SER_hh_num!E26)</f>
        <v>25595.613488690055</v>
      </c>
      <c r="F26" s="65">
        <f>IF(SER_hh_tes!F26=0,0,11630*1000*SER_hh_tes!F26/SER_hh_num!F26)</f>
        <v>27388.261520806926</v>
      </c>
      <c r="G26" s="65">
        <f>IF(SER_hh_tes!G26=0,0,11630*1000*SER_hh_tes!G26/SER_hh_num!G26)</f>
        <v>27354.785708908683</v>
      </c>
      <c r="H26" s="65">
        <f>IF(SER_hh_tes!H26=0,0,11630*1000*SER_hh_tes!H26/SER_hh_num!H26)</f>
        <v>29442.206189969034</v>
      </c>
      <c r="I26" s="65">
        <f>IF(SER_hh_tes!I26=0,0,11630*1000*SER_hh_tes!I26/SER_hh_num!I26)</f>
        <v>29150.322667913671</v>
      </c>
      <c r="J26" s="65">
        <f>IF(SER_hh_tes!J26=0,0,11630*1000*SER_hh_tes!J26/SER_hh_num!J26)</f>
        <v>29088.952157248572</v>
      </c>
      <c r="K26" s="65">
        <f>IF(SER_hh_tes!K26=0,0,11630*1000*SER_hh_tes!K26/SER_hh_num!K26)</f>
        <v>30440.582875199016</v>
      </c>
      <c r="L26" s="65">
        <f>IF(SER_hh_tes!L26=0,0,11630*1000*SER_hh_tes!L26/SER_hh_num!L26)</f>
        <v>27542.413627479855</v>
      </c>
      <c r="M26" s="65">
        <f>IF(SER_hh_tes!M26=0,0,11630*1000*SER_hh_tes!M26/SER_hh_num!M26)</f>
        <v>29920.368416260575</v>
      </c>
      <c r="N26" s="65">
        <f>IF(SER_hh_tes!N26=0,0,11630*1000*SER_hh_tes!N26/SER_hh_num!N26)</f>
        <v>28884.814238455889</v>
      </c>
      <c r="O26" s="65">
        <f>IF(SER_hh_tes!O26=0,0,11630*1000*SER_hh_tes!O26/SER_hh_num!O26)</f>
        <v>29443.730696749375</v>
      </c>
      <c r="P26" s="65">
        <f>IF(SER_hh_tes!P26=0,0,11630*1000*SER_hh_tes!P26/SER_hh_num!P26)</f>
        <v>29053.491848518312</v>
      </c>
      <c r="Q26" s="65">
        <f>IF(SER_hh_tes!Q26=0,0,11630*1000*SER_hh_tes!Q26/SER_hh_num!Q26)</f>
        <v>27384.524950780356</v>
      </c>
      <c r="R26" s="65">
        <f>IF(SER_hh_tes!R26=0,0,11630*1000*SER_hh_tes!R26/SER_hh_num!R26)</f>
        <v>26641.900996422584</v>
      </c>
      <c r="S26" s="65">
        <f>IF(SER_hh_tes!S26=0,0,11630*1000*SER_hh_tes!S26/SER_hh_num!S26)</f>
        <v>30356.65671526848</v>
      </c>
      <c r="T26" s="65">
        <f>IF(SER_hh_tes!T26=0,0,11630*1000*SER_hh_tes!T26/SER_hh_num!T26)</f>
        <v>29889.445388075452</v>
      </c>
      <c r="U26" s="65">
        <f>IF(SER_hh_tes!U26=0,0,11630*1000*SER_hh_tes!U26/SER_hh_num!U26)</f>
        <v>27254.509844031025</v>
      </c>
      <c r="V26" s="65">
        <f>IF(SER_hh_tes!V26=0,0,11630*1000*SER_hh_tes!V26/SER_hh_num!V26)</f>
        <v>28753.82562351158</v>
      </c>
      <c r="W26" s="65">
        <f>IF(SER_hh_tes!W26=0,0,11630*1000*SER_hh_tes!W26/SER_hh_num!W26)</f>
        <v>26285.335488051402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31278.652017231336</v>
      </c>
      <c r="C29" s="131">
        <f>IF(SER_hh_tes!C29=0,0,11630*1000*SER_hh_tes!C29/SER_hh_num!C29)</f>
        <v>31995.533794889852</v>
      </c>
      <c r="D29" s="131">
        <f>IF(SER_hh_tes!D29=0,0,11630*1000*SER_hh_tes!D29/SER_hh_num!D29)</f>
        <v>32864.753369989448</v>
      </c>
      <c r="E29" s="131">
        <f>IF(SER_hh_tes!E29=0,0,11630*1000*SER_hh_tes!E29/SER_hh_num!E29)</f>
        <v>33768.523091984716</v>
      </c>
      <c r="F29" s="131">
        <f>IF(SER_hh_tes!F29=0,0,11630*1000*SER_hh_tes!F29/SER_hh_num!F29)</f>
        <v>34136.457125032437</v>
      </c>
      <c r="G29" s="131">
        <f>IF(SER_hh_tes!G29=0,0,11630*1000*SER_hh_tes!G29/SER_hh_num!G29)</f>
        <v>34599.907145185345</v>
      </c>
      <c r="H29" s="131">
        <f>IF(SER_hh_tes!H29=0,0,11630*1000*SER_hh_tes!H29/SER_hh_num!H29)</f>
        <v>35246.897848771623</v>
      </c>
      <c r="I29" s="131">
        <f>IF(SER_hh_tes!I29=0,0,11630*1000*SER_hh_tes!I29/SER_hh_num!I29)</f>
        <v>35408.829992290222</v>
      </c>
      <c r="J29" s="131">
        <f>IF(SER_hh_tes!J29=0,0,11630*1000*SER_hh_tes!J29/SER_hh_num!J29)</f>
        <v>35947.525886426716</v>
      </c>
      <c r="K29" s="131">
        <f>IF(SER_hh_tes!K29=0,0,11630*1000*SER_hh_tes!K29/SER_hh_num!K29)</f>
        <v>36538.169620292087</v>
      </c>
      <c r="L29" s="131">
        <f>IF(SER_hh_tes!L29=0,0,11630*1000*SER_hh_tes!L29/SER_hh_num!L29)</f>
        <v>37044.244844882647</v>
      </c>
      <c r="M29" s="131">
        <f>IF(SER_hh_tes!M29=0,0,11630*1000*SER_hh_tes!M29/SER_hh_num!M29)</f>
        <v>37085.90816242421</v>
      </c>
      <c r="N29" s="131">
        <f>IF(SER_hh_tes!N29=0,0,11630*1000*SER_hh_tes!N29/SER_hh_num!N29)</f>
        <v>37513.360156912873</v>
      </c>
      <c r="O29" s="131">
        <f>IF(SER_hh_tes!O29=0,0,11630*1000*SER_hh_tes!O29/SER_hh_num!O29)</f>
        <v>37701.165782936034</v>
      </c>
      <c r="P29" s="131">
        <f>IF(SER_hh_tes!P29=0,0,11630*1000*SER_hh_tes!P29/SER_hh_num!P29)</f>
        <v>37886.291299706631</v>
      </c>
      <c r="Q29" s="131">
        <f>IF(SER_hh_tes!Q29=0,0,11630*1000*SER_hh_tes!Q29/SER_hh_num!Q29)</f>
        <v>38387.138086216888</v>
      </c>
      <c r="R29" s="131">
        <f>IF(SER_hh_tes!R29=0,0,11630*1000*SER_hh_tes!R29/SER_hh_num!R29)</f>
        <v>38525.291628595733</v>
      </c>
      <c r="S29" s="131">
        <f>IF(SER_hh_tes!S29=0,0,11630*1000*SER_hh_tes!S29/SER_hh_num!S29)</f>
        <v>38832.006063476889</v>
      </c>
      <c r="T29" s="131">
        <f>IF(SER_hh_tes!T29=0,0,11630*1000*SER_hh_tes!T29/SER_hh_num!T29)</f>
        <v>39153.339884468864</v>
      </c>
      <c r="U29" s="131">
        <f>IF(SER_hh_tes!U29=0,0,11630*1000*SER_hh_tes!U29/SER_hh_num!U29)</f>
        <v>39830.708317358236</v>
      </c>
      <c r="V29" s="131">
        <f>IF(SER_hh_tes!V29=0,0,11630*1000*SER_hh_tes!V29/SER_hh_num!V29)</f>
        <v>36920.083030844486</v>
      </c>
      <c r="W29" s="131">
        <f>IF(SER_hh_tes!W29=0,0,11630*1000*SER_hh_tes!W29/SER_hh_num!W29)</f>
        <v>41505.883243253287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21994.82076056597</v>
      </c>
      <c r="C30" s="133">
        <f>IF(SER_hh_tes!C30=0,0,11630*1000*SER_hh_tes!C30/SER_hh_num!C30)</f>
        <v>45918.741030163605</v>
      </c>
      <c r="D30" s="133">
        <f>IF(SER_hh_tes!D30=0,0,11630*1000*SER_hh_tes!D30/SER_hh_num!D30)</f>
        <v>34068.151478244712</v>
      </c>
      <c r="E30" s="133">
        <f>IF(SER_hh_tes!E30=0,0,11630*1000*SER_hh_tes!E30/SER_hh_num!E30)</f>
        <v>16338.307807810161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50704.66471766527</v>
      </c>
      <c r="L30" s="133">
        <f>IF(SER_hh_tes!L30=0,0,11630*1000*SER_hh_tes!L30/SER_hh_num!L30)</f>
        <v>41343.561653330034</v>
      </c>
      <c r="M30" s="133">
        <f>IF(SER_hh_tes!M30=0,0,11630*1000*SER_hh_tes!M30/SER_hh_num!M30)</f>
        <v>37429.3505986362</v>
      </c>
      <c r="N30" s="133">
        <f>IF(SER_hh_tes!N30=0,0,11630*1000*SER_hh_tes!N30/SER_hh_num!N30)</f>
        <v>37690.280085306258</v>
      </c>
      <c r="O30" s="133">
        <f>IF(SER_hh_tes!O30=0,0,11630*1000*SER_hh_tes!O30/SER_hh_num!O30)</f>
        <v>39070.780926323903</v>
      </c>
      <c r="P30" s="133">
        <f>IF(SER_hh_tes!P30=0,0,11630*1000*SER_hh_tes!P30/SER_hh_num!P30)</f>
        <v>35495.341803152412</v>
      </c>
      <c r="Q30" s="133">
        <f>IF(SER_hh_tes!Q30=0,0,11630*1000*SER_hh_tes!Q30/SER_hh_num!Q30)</f>
        <v>38548.134539760686</v>
      </c>
      <c r="R30" s="133">
        <f>IF(SER_hh_tes!R30=0,0,11630*1000*SER_hh_tes!R30/SER_hh_num!R30)</f>
        <v>41731.543597598109</v>
      </c>
      <c r="S30" s="133">
        <f>IF(SER_hh_tes!S30=0,0,11630*1000*SER_hh_tes!S30/SER_hh_num!S30)</f>
        <v>38143.637679433363</v>
      </c>
      <c r="T30" s="133">
        <f>IF(SER_hh_tes!T30=0,0,11630*1000*SER_hh_tes!T30/SER_hh_num!T30)</f>
        <v>33633.349067341864</v>
      </c>
      <c r="U30" s="133">
        <f>IF(SER_hh_tes!U30=0,0,11630*1000*SER_hh_tes!U30/SER_hh_num!U30)</f>
        <v>42077.672347367559</v>
      </c>
      <c r="V30" s="133">
        <f>IF(SER_hh_tes!V30=0,0,11630*1000*SER_hh_tes!V30/SER_hh_num!V30)</f>
        <v>32574.983343892905</v>
      </c>
      <c r="W30" s="133">
        <f>IF(SER_hh_tes!W30=0,0,11630*1000*SER_hh_tes!W30/SER_hh_num!W30)</f>
        <v>51585.110466936785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31474.191549503666</v>
      </c>
      <c r="C31" s="133">
        <f>IF(SER_hh_tes!C31=0,0,11630*1000*SER_hh_tes!C31/SER_hh_num!C31)</f>
        <v>31851.840050344363</v>
      </c>
      <c r="D31" s="133">
        <f>IF(SER_hh_tes!D31=0,0,11630*1000*SER_hh_tes!D31/SER_hh_num!D31)</f>
        <v>33160.795258954167</v>
      </c>
      <c r="E31" s="133">
        <f>IF(SER_hh_tes!E31=0,0,11630*1000*SER_hh_tes!E31/SER_hh_num!E31)</f>
        <v>33743.689288423782</v>
      </c>
      <c r="F31" s="133">
        <f>IF(SER_hh_tes!F31=0,0,11630*1000*SER_hh_tes!F31/SER_hh_num!F31)</f>
        <v>34675.705575963453</v>
      </c>
      <c r="G31" s="133">
        <f>IF(SER_hh_tes!G31=0,0,11630*1000*SER_hh_tes!G31/SER_hh_num!G31)</f>
        <v>34022.955866946308</v>
      </c>
      <c r="H31" s="133">
        <f>IF(SER_hh_tes!H31=0,0,11630*1000*SER_hh_tes!H31/SER_hh_num!H31)</f>
        <v>35697.609221609586</v>
      </c>
      <c r="I31" s="133">
        <f>IF(SER_hh_tes!I31=0,0,11630*1000*SER_hh_tes!I31/SER_hh_num!I31)</f>
        <v>35932.158985238202</v>
      </c>
      <c r="J31" s="133">
        <f>IF(SER_hh_tes!J31=0,0,11630*1000*SER_hh_tes!J31/SER_hh_num!J31)</f>
        <v>36647.706332545276</v>
      </c>
      <c r="K31" s="133">
        <f>IF(SER_hh_tes!K31=0,0,11630*1000*SER_hh_tes!K31/SER_hh_num!K31)</f>
        <v>35070.891088557051</v>
      </c>
      <c r="L31" s="133">
        <f>IF(SER_hh_tes!L31=0,0,11630*1000*SER_hh_tes!L31/SER_hh_num!L31)</f>
        <v>36030.595894939644</v>
      </c>
      <c r="M31" s="133">
        <f>IF(SER_hh_tes!M31=0,0,11630*1000*SER_hh_tes!M31/SER_hh_num!M31)</f>
        <v>37924.020475136494</v>
      </c>
      <c r="N31" s="133">
        <f>IF(SER_hh_tes!N31=0,0,11630*1000*SER_hh_tes!N31/SER_hh_num!N31)</f>
        <v>38414.783730780233</v>
      </c>
      <c r="O31" s="133">
        <f>IF(SER_hh_tes!O31=0,0,11630*1000*SER_hh_tes!O31/SER_hh_num!O31)</f>
        <v>37628.030709776453</v>
      </c>
      <c r="P31" s="133">
        <f>IF(SER_hh_tes!P31=0,0,11630*1000*SER_hh_tes!P31/SER_hh_num!P31)</f>
        <v>37451.984145262475</v>
      </c>
      <c r="Q31" s="133">
        <f>IF(SER_hh_tes!Q31=0,0,11630*1000*SER_hh_tes!Q31/SER_hh_num!Q31)</f>
        <v>38254.979535585895</v>
      </c>
      <c r="R31" s="133">
        <f>IF(SER_hh_tes!R31=0,0,11630*1000*SER_hh_tes!R31/SER_hh_num!R31)</f>
        <v>38974.846962957803</v>
      </c>
      <c r="S31" s="133">
        <f>IF(SER_hh_tes!S31=0,0,11630*1000*SER_hh_tes!S31/SER_hh_num!S31)</f>
        <v>37678.559485580954</v>
      </c>
      <c r="T31" s="133">
        <f>IF(SER_hh_tes!T31=0,0,11630*1000*SER_hh_tes!T31/SER_hh_num!T31)</f>
        <v>40255.621366624517</v>
      </c>
      <c r="U31" s="133">
        <f>IF(SER_hh_tes!U31=0,0,11630*1000*SER_hh_tes!U31/SER_hh_num!U31)</f>
        <v>39727.366518351824</v>
      </c>
      <c r="V31" s="133">
        <f>IF(SER_hh_tes!V31=0,0,11630*1000*SER_hh_tes!V31/SER_hh_num!V31)</f>
        <v>33701.285289207131</v>
      </c>
      <c r="W31" s="133">
        <f>IF(SER_hh_tes!W31=0,0,11630*1000*SER_hh_tes!W31/SER_hh_num!W31)</f>
        <v>56005.738322191042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35217.106613064476</v>
      </c>
      <c r="C33" s="68">
        <f>IF(SER_hh_tes!C33=0,0,11630*1000*SER_hh_tes!C33/SER_hh_num!C33)</f>
        <v>26336.22545399173</v>
      </c>
      <c r="D33" s="68">
        <f>IF(SER_hh_tes!D33=0,0,11630*1000*SER_hh_tes!D33/SER_hh_num!D33)</f>
        <v>32283.887740381375</v>
      </c>
      <c r="E33" s="68">
        <f>IF(SER_hh_tes!E33=0,0,11630*1000*SER_hh_tes!E33/SER_hh_num!E33)</f>
        <v>35744.503696022774</v>
      </c>
      <c r="F33" s="68">
        <f>IF(SER_hh_tes!F33=0,0,11630*1000*SER_hh_tes!F33/SER_hh_num!F33)</f>
        <v>33741.518862385492</v>
      </c>
      <c r="G33" s="68">
        <f>IF(SER_hh_tes!G33=0,0,11630*1000*SER_hh_tes!G33/SER_hh_num!G33)</f>
        <v>34992.326064599249</v>
      </c>
      <c r="H33" s="68">
        <f>IF(SER_hh_tes!H33=0,0,11630*1000*SER_hh_tes!H33/SER_hh_num!H33)</f>
        <v>34958.441692542045</v>
      </c>
      <c r="I33" s="68">
        <f>IF(SER_hh_tes!I33=0,0,11630*1000*SER_hh_tes!I33/SER_hh_num!I33)</f>
        <v>35105.42284417514</v>
      </c>
      <c r="J33" s="68">
        <f>IF(SER_hh_tes!J33=0,0,11630*1000*SER_hh_tes!J33/SER_hh_num!J33)</f>
        <v>35586.143325863406</v>
      </c>
      <c r="K33" s="68">
        <f>IF(SER_hh_tes!K33=0,0,11630*1000*SER_hh_tes!K33/SER_hh_num!K33)</f>
        <v>33960.562682487092</v>
      </c>
      <c r="L33" s="68">
        <f>IF(SER_hh_tes!L33=0,0,11630*1000*SER_hh_tes!L33/SER_hh_num!L33)</f>
        <v>36186.802990593125</v>
      </c>
      <c r="M33" s="68">
        <f>IF(SER_hh_tes!M33=0,0,11630*1000*SER_hh_tes!M33/SER_hh_num!M33)</f>
        <v>36528.31155628393</v>
      </c>
      <c r="N33" s="68">
        <f>IF(SER_hh_tes!N33=0,0,11630*1000*SER_hh_tes!N33/SER_hh_num!N33)</f>
        <v>37035.130421792834</v>
      </c>
      <c r="O33" s="68">
        <f>IF(SER_hh_tes!O33=0,0,11630*1000*SER_hh_tes!O33/SER_hh_num!O33)</f>
        <v>37284.78654684178</v>
      </c>
      <c r="P33" s="68">
        <f>IF(SER_hh_tes!P33=0,0,11630*1000*SER_hh_tes!P33/SER_hh_num!P33)</f>
        <v>38735.895728824755</v>
      </c>
      <c r="Q33" s="68">
        <f>IF(SER_hh_tes!Q33=0,0,11630*1000*SER_hh_tes!Q33/SER_hh_num!Q33)</f>
        <v>38379.358822216287</v>
      </c>
      <c r="R33" s="68">
        <f>IF(SER_hh_tes!R33=0,0,11630*1000*SER_hh_tes!R33/SER_hh_num!R33)</f>
        <v>37582.025979235557</v>
      </c>
      <c r="S33" s="68">
        <f>IF(SER_hh_tes!S33=0,0,11630*1000*SER_hh_tes!S33/SER_hh_num!S33)</f>
        <v>39218.86498859807</v>
      </c>
      <c r="T33" s="68">
        <f>IF(SER_hh_tes!T33=0,0,11630*1000*SER_hh_tes!T33/SER_hh_num!T33)</f>
        <v>40199.359565351093</v>
      </c>
      <c r="U33" s="68">
        <f>IF(SER_hh_tes!U33=0,0,11630*1000*SER_hh_tes!U33/SER_hh_num!U33)</f>
        <v>39394.357376860127</v>
      </c>
      <c r="V33" s="68">
        <f>IF(SER_hh_tes!V33=0,0,11630*1000*SER_hh_tes!V33/SER_hh_num!V33)</f>
        <v>38100.685743136739</v>
      </c>
      <c r="W33" s="68">
        <f>IF(SER_hh_tes!W33=0,0,11630*1000*SER_hh_tes!W33/SER_hh_num!W33)</f>
        <v>38695.58709289469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69051.166870685483</v>
      </c>
      <c r="C3" s="126">
        <f>IF(SER_hh_emi!C3=0,0,1000000*SER_hh_emi!C3/SER_hh_num!C3)</f>
        <v>63777.221086460057</v>
      </c>
      <c r="D3" s="126">
        <f>IF(SER_hh_emi!D3=0,0,1000000*SER_hh_emi!D3/SER_hh_num!D3)</f>
        <v>62425.547886074994</v>
      </c>
      <c r="E3" s="126">
        <f>IF(SER_hh_emi!E3=0,0,1000000*SER_hh_emi!E3/SER_hh_num!E3)</f>
        <v>60965.804540918078</v>
      </c>
      <c r="F3" s="126">
        <f>IF(SER_hh_emi!F3=0,0,1000000*SER_hh_emi!F3/SER_hh_num!F3)</f>
        <v>55945.682729106564</v>
      </c>
      <c r="G3" s="126">
        <f>IF(SER_hh_emi!G3=0,0,1000000*SER_hh_emi!G3/SER_hh_num!G3)</f>
        <v>49318.222058998785</v>
      </c>
      <c r="H3" s="126">
        <f>IF(SER_hh_emi!H3=0,0,1000000*SER_hh_emi!H3/SER_hh_num!H3)</f>
        <v>46193.893413820566</v>
      </c>
      <c r="I3" s="126">
        <f>IF(SER_hh_emi!I3=0,0,1000000*SER_hh_emi!I3/SER_hh_num!I3)</f>
        <v>40768.235740359436</v>
      </c>
      <c r="J3" s="126">
        <f>IF(SER_hh_emi!J3=0,0,1000000*SER_hh_emi!J3/SER_hh_num!J3)</f>
        <v>43890.224512770888</v>
      </c>
      <c r="K3" s="126">
        <f>IF(SER_hh_emi!K3=0,0,1000000*SER_hh_emi!K3/SER_hh_num!K3)</f>
        <v>46106.229907157991</v>
      </c>
      <c r="L3" s="126">
        <f>IF(SER_hh_emi!L3=0,0,1000000*SER_hh_emi!L3/SER_hh_num!L3)</f>
        <v>58034.558779980536</v>
      </c>
      <c r="M3" s="126">
        <f>IF(SER_hh_emi!M3=0,0,1000000*SER_hh_emi!M3/SER_hh_num!M3)</f>
        <v>34610.620310307888</v>
      </c>
      <c r="N3" s="126">
        <f>IF(SER_hh_emi!N3=0,0,1000000*SER_hh_emi!N3/SER_hh_num!N3)</f>
        <v>45729.166648361548</v>
      </c>
      <c r="O3" s="126">
        <f>IF(SER_hh_emi!O3=0,0,1000000*SER_hh_emi!O3/SER_hh_num!O3)</f>
        <v>47823.126037385489</v>
      </c>
      <c r="P3" s="126">
        <f>IF(SER_hh_emi!P3=0,0,1000000*SER_hh_emi!P3/SER_hh_num!P3)</f>
        <v>40757.161432010507</v>
      </c>
      <c r="Q3" s="126">
        <f>IF(SER_hh_emi!Q3=0,0,1000000*SER_hh_emi!Q3/SER_hh_num!Q3)</f>
        <v>50719.372925996518</v>
      </c>
      <c r="R3" s="126">
        <f>IF(SER_hh_emi!R3=0,0,1000000*SER_hh_emi!R3/SER_hh_num!R3)</f>
        <v>52526.900074796889</v>
      </c>
      <c r="S3" s="126">
        <f>IF(SER_hh_emi!S3=0,0,1000000*SER_hh_emi!S3/SER_hh_num!S3)</f>
        <v>55119.049957889845</v>
      </c>
      <c r="T3" s="126">
        <f>IF(SER_hh_emi!T3=0,0,1000000*SER_hh_emi!T3/SER_hh_num!T3)</f>
        <v>56414.252743599282</v>
      </c>
      <c r="U3" s="126">
        <f>IF(SER_hh_emi!U3=0,0,1000000*SER_hh_emi!U3/SER_hh_num!U3)</f>
        <v>64262.261095905837</v>
      </c>
      <c r="V3" s="126">
        <f>IF(SER_hh_emi!V3=0,0,1000000*SER_hh_emi!V3/SER_hh_num!V3)</f>
        <v>52135.371574001969</v>
      </c>
      <c r="W3" s="126">
        <f>IF(SER_hh_emi!W3=0,0,1000000*SER_hh_emi!W3/SER_hh_num!W3)</f>
        <v>58414.375466084399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58449.174707580518</v>
      </c>
      <c r="C4" s="131">
        <f>IF(SER_hh_emi!C4=0,0,1000000*SER_hh_emi!C4/SER_hh_num!C4)</f>
        <v>51716.512387463976</v>
      </c>
      <c r="D4" s="131">
        <f>IF(SER_hh_emi!D4=0,0,1000000*SER_hh_emi!D4/SER_hh_num!D4)</f>
        <v>51579.518412147714</v>
      </c>
      <c r="E4" s="131">
        <f>IF(SER_hh_emi!E4=0,0,1000000*SER_hh_emi!E4/SER_hh_num!E4)</f>
        <v>51037.769912506315</v>
      </c>
      <c r="F4" s="131">
        <f>IF(SER_hh_emi!F4=0,0,1000000*SER_hh_emi!F4/SER_hh_num!F4)</f>
        <v>46431.522032151392</v>
      </c>
      <c r="G4" s="131">
        <f>IF(SER_hh_emi!G4=0,0,1000000*SER_hh_emi!G4/SER_hh_num!G4)</f>
        <v>40233.534081837985</v>
      </c>
      <c r="H4" s="131">
        <f>IF(SER_hh_emi!H4=0,0,1000000*SER_hh_emi!H4/SER_hh_num!H4)</f>
        <v>37834.572009347401</v>
      </c>
      <c r="I4" s="131">
        <f>IF(SER_hh_emi!I4=0,0,1000000*SER_hh_emi!I4/SER_hh_num!I4)</f>
        <v>32844.248675802199</v>
      </c>
      <c r="J4" s="131">
        <f>IF(SER_hh_emi!J4=0,0,1000000*SER_hh_emi!J4/SER_hh_num!J4)</f>
        <v>36226.653093429886</v>
      </c>
      <c r="K4" s="131">
        <f>IF(SER_hh_emi!K4=0,0,1000000*SER_hh_emi!K4/SER_hh_num!K4)</f>
        <v>36571.203432906019</v>
      </c>
      <c r="L4" s="131">
        <f>IF(SER_hh_emi!L4=0,0,1000000*SER_hh_emi!L4/SER_hh_num!L4)</f>
        <v>47561.223803238012</v>
      </c>
      <c r="M4" s="131">
        <f>IF(SER_hh_emi!M4=0,0,1000000*SER_hh_emi!M4/SER_hh_num!M4)</f>
        <v>24833.707079489795</v>
      </c>
      <c r="N4" s="131">
        <f>IF(SER_hh_emi!N4=0,0,1000000*SER_hh_emi!N4/SER_hh_num!N4)</f>
        <v>35716.297211208352</v>
      </c>
      <c r="O4" s="131">
        <f>IF(SER_hh_emi!O4=0,0,1000000*SER_hh_emi!O4/SER_hh_num!O4)</f>
        <v>38140.9247583674</v>
      </c>
      <c r="P4" s="131">
        <f>IF(SER_hh_emi!P4=0,0,1000000*SER_hh_emi!P4/SER_hh_num!P4)</f>
        <v>31538.476358314398</v>
      </c>
      <c r="Q4" s="131">
        <f>IF(SER_hh_emi!Q4=0,0,1000000*SER_hh_emi!Q4/SER_hh_num!Q4)</f>
        <v>41295.412122648493</v>
      </c>
      <c r="R4" s="131">
        <f>IF(SER_hh_emi!R4=0,0,1000000*SER_hh_emi!R4/SER_hh_num!R4)</f>
        <v>43206.863274384763</v>
      </c>
      <c r="S4" s="131">
        <f>IF(SER_hh_emi!S4=0,0,1000000*SER_hh_emi!S4/SER_hh_num!S4)</f>
        <v>46601.254989134446</v>
      </c>
      <c r="T4" s="131">
        <f>IF(SER_hh_emi!T4=0,0,1000000*SER_hh_emi!T4/SER_hh_num!T4)</f>
        <v>48185.044787012004</v>
      </c>
      <c r="U4" s="131">
        <f>IF(SER_hh_emi!U4=0,0,1000000*SER_hh_emi!U4/SER_hh_num!U4)</f>
        <v>55828.794673875898</v>
      </c>
      <c r="V4" s="131">
        <f>IF(SER_hh_emi!V4=0,0,1000000*SER_hh_emi!V4/SER_hh_num!V4)</f>
        <v>45929.075675438944</v>
      </c>
      <c r="W4" s="131">
        <f>IF(SER_hh_emi!W4=0,0,1000000*SER_hh_emi!W4/SER_hh_num!W4)</f>
        <v>50363.635044028473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97088.962842831213</v>
      </c>
      <c r="C7" s="133">
        <f>IF(SER_hh_emi!C7=0,0,1000000*SER_hh_emi!C7/SER_hh_num!C7)</f>
        <v>127060.90148755054</v>
      </c>
      <c r="D7" s="133">
        <f>IF(SER_hh_emi!D7=0,0,1000000*SER_hh_emi!D7/SER_hh_num!D7)</f>
        <v>119900.6877286938</v>
      </c>
      <c r="E7" s="133">
        <f>IF(SER_hh_emi!E7=0,0,1000000*SER_hh_emi!E7/SER_hh_num!E7)</f>
        <v>117167.12424060192</v>
      </c>
      <c r="F7" s="133">
        <f>IF(SER_hh_emi!F7=0,0,1000000*SER_hh_emi!F7/SER_hh_num!F7)</f>
        <v>128135.96771063519</v>
      </c>
      <c r="G7" s="133">
        <f>IF(SER_hh_emi!G7=0,0,1000000*SER_hh_emi!G7/SER_hh_num!G7)</f>
        <v>134112.03537538432</v>
      </c>
      <c r="H7" s="133">
        <f>IF(SER_hh_emi!H7=0,0,1000000*SER_hh_emi!H7/SER_hh_num!H7)</f>
        <v>100449.75115177667</v>
      </c>
      <c r="I7" s="133">
        <f>IF(SER_hh_emi!I7=0,0,1000000*SER_hh_emi!I7/SER_hh_num!I7)</f>
        <v>118485.88778312286</v>
      </c>
      <c r="J7" s="133">
        <f>IF(SER_hh_emi!J7=0,0,1000000*SER_hh_emi!J7/SER_hh_num!J7)</f>
        <v>106196.88301124125</v>
      </c>
      <c r="K7" s="133">
        <f>IF(SER_hh_emi!K7=0,0,1000000*SER_hh_emi!K7/SER_hh_num!K7)</f>
        <v>89606.767980982535</v>
      </c>
      <c r="L7" s="133">
        <f>IF(SER_hh_emi!L7=0,0,1000000*SER_hh_emi!L7/SER_hh_num!L7)</f>
        <v>148326.75077938198</v>
      </c>
      <c r="M7" s="133">
        <f>IF(SER_hh_emi!M7=0,0,1000000*SER_hh_emi!M7/SER_hh_num!M7)</f>
        <v>96288.959884309181</v>
      </c>
      <c r="N7" s="133">
        <f>IF(SER_hh_emi!N7=0,0,1000000*SER_hh_emi!N7/SER_hh_num!N7)</f>
        <v>91570.003213890843</v>
      </c>
      <c r="O7" s="133">
        <f>IF(SER_hh_emi!O7=0,0,1000000*SER_hh_emi!O7/SER_hh_num!O7)</f>
        <v>98382.061433299154</v>
      </c>
      <c r="P7" s="133">
        <f>IF(SER_hh_emi!P7=0,0,1000000*SER_hh_emi!P7/SER_hh_num!P7)</f>
        <v>74892.303106879554</v>
      </c>
      <c r="Q7" s="133">
        <f>IF(SER_hh_emi!Q7=0,0,1000000*SER_hh_emi!Q7/SER_hh_num!Q7)</f>
        <v>94496.206385319994</v>
      </c>
      <c r="R7" s="133">
        <f>IF(SER_hh_emi!R7=0,0,1000000*SER_hh_emi!R7/SER_hh_num!R7)</f>
        <v>81965.409001615961</v>
      </c>
      <c r="S7" s="133">
        <f>IF(SER_hh_emi!S7=0,0,1000000*SER_hh_emi!S7/SER_hh_num!S7)</f>
        <v>108152.46376146869</v>
      </c>
      <c r="T7" s="133">
        <f>IF(SER_hh_emi!T7=0,0,1000000*SER_hh_emi!T7/SER_hh_num!T7)</f>
        <v>102283.27977749617</v>
      </c>
      <c r="U7" s="133">
        <f>IF(SER_hh_emi!U7=0,0,1000000*SER_hh_emi!U7/SER_hh_num!U7)</f>
        <v>125087.91255306308</v>
      </c>
      <c r="V7" s="133">
        <f>IF(SER_hh_emi!V7=0,0,1000000*SER_hh_emi!V7/SER_hh_num!V7)</f>
        <v>116154.92346165812</v>
      </c>
      <c r="W7" s="133">
        <f>IF(SER_hh_emi!W7=0,0,1000000*SER_hh_emi!W7/SER_hh_num!W7)</f>
        <v>107805.48119568825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102343.21130279607</v>
      </c>
      <c r="C9" s="133">
        <f>IF(SER_hh_emi!C9=0,0,1000000*SER_hh_emi!C9/SER_hh_num!C9)</f>
        <v>69019.988580833146</v>
      </c>
      <c r="D9" s="133">
        <f>IF(SER_hh_emi!D9=0,0,1000000*SER_hh_emi!D9/SER_hh_num!D9)</f>
        <v>78086.791043480654</v>
      </c>
      <c r="E9" s="133">
        <f>IF(SER_hh_emi!E9=0,0,1000000*SER_hh_emi!E9/SER_hh_num!E9)</f>
        <v>92029.731848198935</v>
      </c>
      <c r="F9" s="133">
        <f>IF(SER_hh_emi!F9=0,0,1000000*SER_hh_emi!F9/SER_hh_num!F9)</f>
        <v>83936.73314445978</v>
      </c>
      <c r="G9" s="133">
        <f>IF(SER_hh_emi!G9=0,0,1000000*SER_hh_emi!G9/SER_hh_num!G9)</f>
        <v>70922.833701592695</v>
      </c>
      <c r="H9" s="133">
        <f>IF(SER_hh_emi!H9=0,0,1000000*SER_hh_emi!H9/SER_hh_num!H9)</f>
        <v>85240.202075654699</v>
      </c>
      <c r="I9" s="133">
        <f>IF(SER_hh_emi!I9=0,0,1000000*SER_hh_emi!I9/SER_hh_num!I9)</f>
        <v>66649.681664717908</v>
      </c>
      <c r="J9" s="133">
        <f>IF(SER_hh_emi!J9=0,0,1000000*SER_hh_emi!J9/SER_hh_num!J9)</f>
        <v>79292.845768810934</v>
      </c>
      <c r="K9" s="133">
        <f>IF(SER_hh_emi!K9=0,0,1000000*SER_hh_emi!K9/SER_hh_num!K9)</f>
        <v>80961.336377491461</v>
      </c>
      <c r="L9" s="133">
        <f>IF(SER_hh_emi!L9=0,0,1000000*SER_hh_emi!L9/SER_hh_num!L9)</f>
        <v>95825.913354893928</v>
      </c>
      <c r="M9" s="133">
        <f>IF(SER_hh_emi!M9=0,0,1000000*SER_hh_emi!M9/SER_hh_num!M9)</f>
        <v>39253.968222066491</v>
      </c>
      <c r="N9" s="133">
        <f>IF(SER_hh_emi!N9=0,0,1000000*SER_hh_emi!N9/SER_hh_num!N9)</f>
        <v>70448.575410654958</v>
      </c>
      <c r="O9" s="133">
        <f>IF(SER_hh_emi!O9=0,0,1000000*SER_hh_emi!O9/SER_hh_num!O9)</f>
        <v>67086.727455951448</v>
      </c>
      <c r="P9" s="133">
        <f>IF(SER_hh_emi!P9=0,0,1000000*SER_hh_emi!P9/SER_hh_num!P9)</f>
        <v>51598.303159310286</v>
      </c>
      <c r="Q9" s="133">
        <f>IF(SER_hh_emi!Q9=0,0,1000000*SER_hh_emi!Q9/SER_hh_num!Q9)</f>
        <v>60815.800604033357</v>
      </c>
      <c r="R9" s="133">
        <f>IF(SER_hh_emi!R9=0,0,1000000*SER_hh_emi!R9/SER_hh_num!R9)</f>
        <v>72277.948679795212</v>
      </c>
      <c r="S9" s="133">
        <f>IF(SER_hh_emi!S9=0,0,1000000*SER_hh_emi!S9/SER_hh_num!S9)</f>
        <v>58505.613209461248</v>
      </c>
      <c r="T9" s="133">
        <f>IF(SER_hh_emi!T9=0,0,1000000*SER_hh_emi!T9/SER_hh_num!T9)</f>
        <v>73767.369129759536</v>
      </c>
      <c r="U9" s="133">
        <f>IF(SER_hh_emi!U9=0,0,1000000*SER_hh_emi!U9/SER_hh_num!U9)</f>
        <v>87743.761932526424</v>
      </c>
      <c r="V9" s="133">
        <f>IF(SER_hh_emi!V9=0,0,1000000*SER_hh_emi!V9/SER_hh_num!V9)</f>
        <v>70851.276798133928</v>
      </c>
      <c r="W9" s="133">
        <f>IF(SER_hh_emi!W9=0,0,1000000*SER_hh_emi!W9/SER_hh_num!W9)</f>
        <v>113427.32868520067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23.931006314492791</v>
      </c>
      <c r="C16" s="131">
        <f>IF(SER_hh_emi!C16=0,0,1000000*SER_hh_emi!C16/SER_hh_num!C16)</f>
        <v>25.801824161592702</v>
      </c>
      <c r="D16" s="131">
        <f>IF(SER_hh_emi!D16=0,0,1000000*SER_hh_emi!D16/SER_hh_num!D16)</f>
        <v>31.468241294184285</v>
      </c>
      <c r="E16" s="131">
        <f>IF(SER_hh_emi!E16=0,0,1000000*SER_hh_emi!E16/SER_hh_num!E16)</f>
        <v>27.819753716633734</v>
      </c>
      <c r="F16" s="131">
        <f>IF(SER_hh_emi!F16=0,0,1000000*SER_hh_emi!F16/SER_hh_num!F16)</f>
        <v>36.922862429824491</v>
      </c>
      <c r="G16" s="131">
        <f>IF(SER_hh_emi!G16=0,0,1000000*SER_hh_emi!G16/SER_hh_num!G16)</f>
        <v>35.266863501966085</v>
      </c>
      <c r="H16" s="131">
        <f>IF(SER_hh_emi!H16=0,0,1000000*SER_hh_emi!H16/SER_hh_num!H16)</f>
        <v>43.606195472667615</v>
      </c>
      <c r="I16" s="131">
        <f>IF(SER_hh_emi!I16=0,0,1000000*SER_hh_emi!I16/SER_hh_num!I16)</f>
        <v>45.890922063361224</v>
      </c>
      <c r="J16" s="131">
        <f>IF(SER_hh_emi!J16=0,0,1000000*SER_hh_emi!J16/SER_hh_num!J16)</f>
        <v>45.780553975064038</v>
      </c>
      <c r="K16" s="131">
        <f>IF(SER_hh_emi!K16=0,0,1000000*SER_hh_emi!K16/SER_hh_num!K16)</f>
        <v>56.78329158900366</v>
      </c>
      <c r="L16" s="131">
        <f>IF(SER_hh_emi!L16=0,0,1000000*SER_hh_emi!L16/SER_hh_num!L16)</f>
        <v>52.136702711439114</v>
      </c>
      <c r="M16" s="131">
        <f>IF(SER_hh_emi!M16=0,0,1000000*SER_hh_emi!M16/SER_hh_num!M16)</f>
        <v>52.259310198788853</v>
      </c>
      <c r="N16" s="131">
        <f>IF(SER_hh_emi!N16=0,0,1000000*SER_hh_emi!N16/SER_hh_num!N16)</f>
        <v>56.73626308787059</v>
      </c>
      <c r="O16" s="131">
        <f>IF(SER_hh_emi!O16=0,0,1000000*SER_hh_emi!O16/SER_hh_num!O16)</f>
        <v>66.784369715771021</v>
      </c>
      <c r="P16" s="131">
        <f>IF(SER_hh_emi!P16=0,0,1000000*SER_hh_emi!P16/SER_hh_num!P16)</f>
        <v>84.29604066108746</v>
      </c>
      <c r="Q16" s="131">
        <f>IF(SER_hh_emi!Q16=0,0,1000000*SER_hh_emi!Q16/SER_hh_num!Q16)</f>
        <v>111.56584745558943</v>
      </c>
      <c r="R16" s="131">
        <f>IF(SER_hh_emi!R16=0,0,1000000*SER_hh_emi!R16/SER_hh_num!R16)</f>
        <v>137.58083105097526</v>
      </c>
      <c r="S16" s="131">
        <f>IF(SER_hh_emi!S16=0,0,1000000*SER_hh_emi!S16/SER_hh_num!S16)</f>
        <v>158.21225031749458</v>
      </c>
      <c r="T16" s="131">
        <f>IF(SER_hh_emi!T16=0,0,1000000*SER_hh_emi!T16/SER_hh_num!T16)</f>
        <v>173.12231757693431</v>
      </c>
      <c r="U16" s="131">
        <f>IF(SER_hh_emi!U16=0,0,1000000*SER_hh_emi!U16/SER_hh_num!U16)</f>
        <v>185.44296320808007</v>
      </c>
      <c r="V16" s="131">
        <f>IF(SER_hh_emi!V16=0,0,1000000*SER_hh_emi!V16/SER_hh_num!V16)</f>
        <v>198.80670953588</v>
      </c>
      <c r="W16" s="131">
        <f>IF(SER_hh_emi!W16=0,0,1000000*SER_hh_emi!W16/SER_hh_num!W16)</f>
        <v>206.10101316982406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5476.6511250946751</v>
      </c>
      <c r="C17" s="133">
        <f>IF(SER_hh_emi!C17=0,0,1000000*SER_hh_emi!C17/SER_hh_num!C17)</f>
        <v>5501.0441315935113</v>
      </c>
      <c r="D17" s="133">
        <f>IF(SER_hh_emi!D17=0,0,1000000*SER_hh_emi!D17/SER_hh_num!D17)</f>
        <v>5525.6030139105387</v>
      </c>
      <c r="E17" s="133">
        <f>IF(SER_hh_emi!E17=0,0,1000000*SER_hh_emi!E17/SER_hh_num!E17)</f>
        <v>7068.9101724179764</v>
      </c>
      <c r="F17" s="133">
        <f>IF(SER_hh_emi!F17=0,0,1000000*SER_hh_emi!F17/SER_hh_num!F17)</f>
        <v>5348.858572272683</v>
      </c>
      <c r="G17" s="133">
        <f>IF(SER_hh_emi!G17=0,0,1000000*SER_hh_emi!G17/SER_hh_num!G17)</f>
        <v>5504.0883438192468</v>
      </c>
      <c r="H17" s="133">
        <f>IF(SER_hh_emi!H17=0,0,1000000*SER_hh_emi!H17/SER_hh_num!H17)</f>
        <v>6467.349600625721</v>
      </c>
      <c r="I17" s="133">
        <f>IF(SER_hh_emi!I17=0,0,1000000*SER_hh_emi!I17/SER_hh_num!I17)</f>
        <v>5365.1040187573763</v>
      </c>
      <c r="J17" s="133">
        <f>IF(SER_hh_emi!J17=0,0,1000000*SER_hh_emi!J17/SER_hh_num!J17)</f>
        <v>5355.8356357219827</v>
      </c>
      <c r="K17" s="133">
        <f>IF(SER_hh_emi!K17=0,0,1000000*SER_hh_emi!K17/SER_hh_num!K17)</f>
        <v>6350.6652014449546</v>
      </c>
      <c r="L17" s="133">
        <f>IF(SER_hh_emi!L17=0,0,1000000*SER_hh_emi!L17/SER_hh_num!L17)</f>
        <v>5801.2362622839455</v>
      </c>
      <c r="M17" s="133">
        <f>IF(SER_hh_emi!M17=0,0,1000000*SER_hh_emi!M17/SER_hh_num!M17)</f>
        <v>5391.7159363810342</v>
      </c>
      <c r="N17" s="133">
        <f>IF(SER_hh_emi!N17=0,0,1000000*SER_hh_emi!N17/SER_hh_num!N17)</f>
        <v>5559.2868719194894</v>
      </c>
      <c r="O17" s="133">
        <f>IF(SER_hh_emi!O17=0,0,1000000*SER_hh_emi!O17/SER_hh_num!O17)</f>
        <v>5615.3814645308039</v>
      </c>
      <c r="P17" s="133">
        <f>IF(SER_hh_emi!P17=0,0,1000000*SER_hh_emi!P17/SER_hh_num!P17)</f>
        <v>5303.7963292487202</v>
      </c>
      <c r="Q17" s="133">
        <f>IF(SER_hh_emi!Q17=0,0,1000000*SER_hh_emi!Q17/SER_hh_num!Q17)</f>
        <v>5932.1668744037215</v>
      </c>
      <c r="R17" s="133">
        <f>IF(SER_hh_emi!R17=0,0,1000000*SER_hh_emi!R17/SER_hh_num!R17)</f>
        <v>5267.7692967905632</v>
      </c>
      <c r="S17" s="133">
        <f>IF(SER_hh_emi!S17=0,0,1000000*SER_hh_emi!S17/SER_hh_num!S17)</f>
        <v>5367.4615225346088</v>
      </c>
      <c r="T17" s="133">
        <f>IF(SER_hh_emi!T17=0,0,1000000*SER_hh_emi!T17/SER_hh_num!T17)</f>
        <v>5806.2555874142017</v>
      </c>
      <c r="U17" s="133">
        <f>IF(SER_hh_emi!U17=0,0,1000000*SER_hh_emi!U17/SER_hh_num!U17)</f>
        <v>5749.5999473058528</v>
      </c>
      <c r="V17" s="133">
        <f>IF(SER_hh_emi!V17=0,0,1000000*SER_hh_emi!V17/SER_hh_num!V17)</f>
        <v>5674.5333787080053</v>
      </c>
      <c r="W17" s="133">
        <f>IF(SER_hh_emi!W17=0,0,1000000*SER_hh_emi!W17/SER_hh_num!W17)</f>
        <v>5598.7146978383471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4453.7056292894604</v>
      </c>
      <c r="C19" s="131">
        <f>IF(SER_hh_emi!C19=0,0,1000000*SER_hh_emi!C19/SER_hh_num!C19)</f>
        <v>4429.1729396016217</v>
      </c>
      <c r="D19" s="131">
        <f>IF(SER_hh_emi!D19=0,0,1000000*SER_hh_emi!D19/SER_hh_num!D19)</f>
        <v>4511.0941062603624</v>
      </c>
      <c r="E19" s="131">
        <f>IF(SER_hh_emi!E19=0,0,1000000*SER_hh_emi!E19/SER_hh_num!E19)</f>
        <v>4660.3231081712174</v>
      </c>
      <c r="F19" s="131">
        <f>IF(SER_hh_emi!F19=0,0,1000000*SER_hh_emi!F19/SER_hh_num!F19)</f>
        <v>4587.4800032483436</v>
      </c>
      <c r="G19" s="131">
        <f>IF(SER_hh_emi!G19=0,0,1000000*SER_hh_emi!G19/SER_hh_num!G19)</f>
        <v>4462.6848155426069</v>
      </c>
      <c r="H19" s="131">
        <f>IF(SER_hh_emi!H19=0,0,1000000*SER_hh_emi!H19/SER_hh_num!H19)</f>
        <v>3685.0527920314812</v>
      </c>
      <c r="I19" s="131">
        <f>IF(SER_hh_emi!I19=0,0,1000000*SER_hh_emi!I19/SER_hh_num!I19)</f>
        <v>3505.462560713785</v>
      </c>
      <c r="J19" s="131">
        <f>IF(SER_hh_emi!J19=0,0,1000000*SER_hh_emi!J19/SER_hh_num!J19)</f>
        <v>3486.942162505055</v>
      </c>
      <c r="K19" s="131">
        <f>IF(SER_hh_emi!K19=0,0,1000000*SER_hh_emi!K19/SER_hh_num!K19)</f>
        <v>3344.9495801432686</v>
      </c>
      <c r="L19" s="131">
        <f>IF(SER_hh_emi!L19=0,0,1000000*SER_hh_emi!L19/SER_hh_num!L19)</f>
        <v>4245.1611814075704</v>
      </c>
      <c r="M19" s="131">
        <f>IF(SER_hh_emi!M19=0,0,1000000*SER_hh_emi!M19/SER_hh_num!M19)</f>
        <v>3577.5402912108038</v>
      </c>
      <c r="N19" s="131">
        <f>IF(SER_hh_emi!N19=0,0,1000000*SER_hh_emi!N19/SER_hh_num!N19)</f>
        <v>3999.4603849859241</v>
      </c>
      <c r="O19" s="131">
        <f>IF(SER_hh_emi!O19=0,0,1000000*SER_hh_emi!O19/SER_hh_num!O19)</f>
        <v>4002.7851908240104</v>
      </c>
      <c r="P19" s="131">
        <f>IF(SER_hh_emi!P19=0,0,1000000*SER_hh_emi!P19/SER_hh_num!P19)</f>
        <v>4228.5455270363063</v>
      </c>
      <c r="Q19" s="131">
        <f>IF(SER_hh_emi!Q19=0,0,1000000*SER_hh_emi!Q19/SER_hh_num!Q19)</f>
        <v>4482.8353827354777</v>
      </c>
      <c r="R19" s="131">
        <f>IF(SER_hh_emi!R19=0,0,1000000*SER_hh_emi!R19/SER_hh_num!R19)</f>
        <v>4478.7709803441658</v>
      </c>
      <c r="S19" s="131">
        <f>IF(SER_hh_emi!S19=0,0,1000000*SER_hh_emi!S19/SER_hh_num!S19)</f>
        <v>4399.7767876470907</v>
      </c>
      <c r="T19" s="131">
        <f>IF(SER_hh_emi!T19=0,0,1000000*SER_hh_emi!T19/SER_hh_num!T19)</f>
        <v>4542.0968801318722</v>
      </c>
      <c r="U19" s="131">
        <f>IF(SER_hh_emi!U19=0,0,1000000*SER_hh_emi!U19/SER_hh_num!U19)</f>
        <v>4655.0350691562244</v>
      </c>
      <c r="V19" s="131">
        <f>IF(SER_hh_emi!V19=0,0,1000000*SER_hh_emi!V19/SER_hh_num!V19)</f>
        <v>3390.9247552067122</v>
      </c>
      <c r="W19" s="131">
        <f>IF(SER_hh_emi!W19=0,0,1000000*SER_hh_emi!W19/SER_hh_num!W19)</f>
        <v>4191.2869855711633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14317.424261125134</v>
      </c>
      <c r="C22" s="133">
        <f>IF(SER_hh_emi!C22=0,0,1000000*SER_hh_emi!C22/SER_hh_num!C22)</f>
        <v>14110.391307141354</v>
      </c>
      <c r="D22" s="133">
        <f>IF(SER_hh_emi!D22=0,0,1000000*SER_hh_emi!D22/SER_hh_num!D22)</f>
        <v>14337.000575082531</v>
      </c>
      <c r="E22" s="133">
        <f>IF(SER_hh_emi!E22=0,0,1000000*SER_hh_emi!E22/SER_hh_num!E22)</f>
        <v>14336.922669207324</v>
      </c>
      <c r="F22" s="133">
        <f>IF(SER_hh_emi!F22=0,0,1000000*SER_hh_emi!F22/SER_hh_num!F22)</f>
        <v>14811.875295819409</v>
      </c>
      <c r="G22" s="133">
        <f>IF(SER_hh_emi!G22=0,0,1000000*SER_hh_emi!G22/SER_hh_num!G22)</f>
        <v>15512.053172787641</v>
      </c>
      <c r="H22" s="133">
        <f>IF(SER_hh_emi!H22=0,0,1000000*SER_hh_emi!H22/SER_hh_num!H22)</f>
        <v>12895.269789087057</v>
      </c>
      <c r="I22" s="133">
        <f>IF(SER_hh_emi!I22=0,0,1000000*SER_hh_emi!I22/SER_hh_num!I22)</f>
        <v>14098.4341600847</v>
      </c>
      <c r="J22" s="133">
        <f>IF(SER_hh_emi!J22=0,0,1000000*SER_hh_emi!J22/SER_hh_num!J22)</f>
        <v>11620.860288850685</v>
      </c>
      <c r="K22" s="133">
        <f>IF(SER_hh_emi!K22=0,0,1000000*SER_hh_emi!K22/SER_hh_num!K22)</f>
        <v>12367.561622037083</v>
      </c>
      <c r="L22" s="133">
        <f>IF(SER_hh_emi!L22=0,0,1000000*SER_hh_emi!L22/SER_hh_num!L22)</f>
        <v>16607.448763547611</v>
      </c>
      <c r="M22" s="133">
        <f>IF(SER_hh_emi!M22=0,0,1000000*SER_hh_emi!M22/SER_hh_num!M22)</f>
        <v>10989.441675581415</v>
      </c>
      <c r="N22" s="133">
        <f>IF(SER_hh_emi!N22=0,0,1000000*SER_hh_emi!N22/SER_hh_num!N22)</f>
        <v>14295.634478229647</v>
      </c>
      <c r="O22" s="133">
        <f>IF(SER_hh_emi!O22=0,0,1000000*SER_hh_emi!O22/SER_hh_num!O22)</f>
        <v>13217.782095510584</v>
      </c>
      <c r="P22" s="133">
        <f>IF(SER_hh_emi!P22=0,0,1000000*SER_hh_emi!P22/SER_hh_num!P22)</f>
        <v>13337.417192985466</v>
      </c>
      <c r="Q22" s="133">
        <f>IF(SER_hh_emi!Q22=0,0,1000000*SER_hh_emi!Q22/SER_hh_num!Q22)</f>
        <v>12145.021861601857</v>
      </c>
      <c r="R22" s="133">
        <f>IF(SER_hh_emi!R22=0,0,1000000*SER_hh_emi!R22/SER_hh_num!R22)</f>
        <v>10147.769933506986</v>
      </c>
      <c r="S22" s="133">
        <f>IF(SER_hh_emi!S22=0,0,1000000*SER_hh_emi!S22/SER_hh_num!S22)</f>
        <v>12764.985227334451</v>
      </c>
      <c r="T22" s="133">
        <f>IF(SER_hh_emi!T22=0,0,1000000*SER_hh_emi!T22/SER_hh_num!T22)</f>
        <v>11864.910292625158</v>
      </c>
      <c r="U22" s="133">
        <f>IF(SER_hh_emi!U22=0,0,1000000*SER_hh_emi!U22/SER_hh_num!U22)</f>
        <v>12019.674469384472</v>
      </c>
      <c r="V22" s="133">
        <f>IF(SER_hh_emi!V22=0,0,1000000*SER_hh_emi!V22/SER_hh_num!V22)</f>
        <v>9497.4945452611155</v>
      </c>
      <c r="W22" s="133">
        <f>IF(SER_hh_emi!W22=0,0,1000000*SER_hh_emi!W22/SER_hh_num!W22)</f>
        <v>10775.06084983509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10388.082967823339</v>
      </c>
      <c r="C23" s="133">
        <f>IF(SER_hh_emi!C23=0,0,1000000*SER_hh_emi!C23/SER_hh_num!C23)</f>
        <v>10411.585696169426</v>
      </c>
      <c r="D23" s="133">
        <f>IF(SER_hh_emi!D23=0,0,1000000*SER_hh_emi!D23/SER_hh_num!D23)</f>
        <v>10152.060351259899</v>
      </c>
      <c r="E23" s="133">
        <f>IF(SER_hh_emi!E23=0,0,1000000*SER_hh_emi!E23/SER_hh_num!E23)</f>
        <v>10449.41981119656</v>
      </c>
      <c r="F23" s="133">
        <f>IF(SER_hh_emi!F23=0,0,1000000*SER_hh_emi!F23/SER_hh_num!F23)</f>
        <v>10081.511319173836</v>
      </c>
      <c r="G23" s="133">
        <f>IF(SER_hh_emi!G23=0,0,1000000*SER_hh_emi!G23/SER_hh_num!G23)</f>
        <v>10014.361385045198</v>
      </c>
      <c r="H23" s="133">
        <f>IF(SER_hh_emi!H23=0,0,1000000*SER_hh_emi!H23/SER_hh_num!H23)</f>
        <v>9661.3514779058787</v>
      </c>
      <c r="I23" s="133">
        <f>IF(SER_hh_emi!I23=0,0,1000000*SER_hh_emi!I23/SER_hh_num!I23)</f>
        <v>9268.3178957388682</v>
      </c>
      <c r="J23" s="133">
        <f>IF(SER_hh_emi!J23=0,0,1000000*SER_hh_emi!J23/SER_hh_num!J23)</f>
        <v>10209.509854833088</v>
      </c>
      <c r="K23" s="133">
        <f>IF(SER_hh_emi!K23=0,0,1000000*SER_hh_emi!K23/SER_hh_num!K23)</f>
        <v>9114.755735452607</v>
      </c>
      <c r="L23" s="133">
        <f>IF(SER_hh_emi!L23=0,0,1000000*SER_hh_emi!L23/SER_hh_num!L23)</f>
        <v>9915.8703313680071</v>
      </c>
      <c r="M23" s="133">
        <f>IF(SER_hh_emi!M23=0,0,1000000*SER_hh_emi!M23/SER_hh_num!M23)</f>
        <v>9248.0580084337253</v>
      </c>
      <c r="N23" s="133">
        <f>IF(SER_hh_emi!N23=0,0,1000000*SER_hh_emi!N23/SER_hh_num!N23)</f>
        <v>8742.070866840515</v>
      </c>
      <c r="O23" s="133">
        <f>IF(SER_hh_emi!O23=0,0,1000000*SER_hh_emi!O23/SER_hh_num!O23)</f>
        <v>8675.1329802860637</v>
      </c>
      <c r="P23" s="133">
        <f>IF(SER_hh_emi!P23=0,0,1000000*SER_hh_emi!P23/SER_hh_num!P23)</f>
        <v>8981.5042039685231</v>
      </c>
      <c r="Q23" s="133">
        <f>IF(SER_hh_emi!Q23=0,0,1000000*SER_hh_emi!Q23/SER_hh_num!Q23)</f>
        <v>10022.526213367461</v>
      </c>
      <c r="R23" s="133">
        <f>IF(SER_hh_emi!R23=0,0,1000000*SER_hh_emi!R23/SER_hh_num!R23)</f>
        <v>10542.955808801624</v>
      </c>
      <c r="S23" s="133">
        <f>IF(SER_hh_emi!S23=0,0,1000000*SER_hh_emi!S23/SER_hh_num!S23)</f>
        <v>7679.0628825482108</v>
      </c>
      <c r="T23" s="133">
        <f>IF(SER_hh_emi!T23=0,0,1000000*SER_hh_emi!T23/SER_hh_num!T23)</f>
        <v>8645.594497600543</v>
      </c>
      <c r="U23" s="133">
        <f>IF(SER_hh_emi!U23=0,0,1000000*SER_hh_emi!U23/SER_hh_num!U23)</f>
        <v>8925.6389862014439</v>
      </c>
      <c r="V23" s="133">
        <f>IF(SER_hh_emi!V23=0,0,1000000*SER_hh_emi!V23/SER_hh_num!V23)</f>
        <v>6418.1335258433592</v>
      </c>
      <c r="W23" s="133">
        <f>IF(SER_hh_emi!W23=0,0,1000000*SER_hh_emi!W23/SER_hh_num!W23)</f>
        <v>9617.9945253203532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6146.0968423969143</v>
      </c>
      <c r="C29" s="131">
        <f>IF(SER_hh_emi!C29=0,0,1000000*SER_hh_emi!C29/SER_hh_num!C29)</f>
        <v>7628.5538231712026</v>
      </c>
      <c r="D29" s="131">
        <f>IF(SER_hh_emi!D29=0,0,1000000*SER_hh_emi!D29/SER_hh_num!D29)</f>
        <v>6330.3471450591387</v>
      </c>
      <c r="E29" s="131">
        <f>IF(SER_hh_emi!E29=0,0,1000000*SER_hh_emi!E29/SER_hh_num!E29)</f>
        <v>5263.1160036738675</v>
      </c>
      <c r="F29" s="131">
        <f>IF(SER_hh_emi!F29=0,0,1000000*SER_hh_emi!F29/SER_hh_num!F29)</f>
        <v>4919.6236430343124</v>
      </c>
      <c r="G29" s="131">
        <f>IF(SER_hh_emi!G29=0,0,1000000*SER_hh_emi!G29/SER_hh_num!G29)</f>
        <v>4613.8125889234761</v>
      </c>
      <c r="H29" s="131">
        <f>IF(SER_hh_emi!H29=0,0,1000000*SER_hh_emi!H29/SER_hh_num!H29)</f>
        <v>4662.8239064437794</v>
      </c>
      <c r="I29" s="131">
        <f>IF(SER_hh_emi!I29=0,0,1000000*SER_hh_emi!I29/SER_hh_num!I29)</f>
        <v>4404.4947964294088</v>
      </c>
      <c r="J29" s="131">
        <f>IF(SER_hh_emi!J29=0,0,1000000*SER_hh_emi!J29/SER_hh_num!J29)</f>
        <v>4161.0556323547335</v>
      </c>
      <c r="K29" s="131">
        <f>IF(SER_hh_emi!K29=0,0,1000000*SER_hh_emi!K29/SER_hh_num!K29)</f>
        <v>6168.9365209772959</v>
      </c>
      <c r="L29" s="131">
        <f>IF(SER_hh_emi!L29=0,0,1000000*SER_hh_emi!L29/SER_hh_num!L29)</f>
        <v>6207.4265551048456</v>
      </c>
      <c r="M29" s="131">
        <f>IF(SER_hh_emi!M29=0,0,1000000*SER_hh_emi!M29/SER_hh_num!M29)</f>
        <v>6177.3083446781293</v>
      </c>
      <c r="N29" s="131">
        <f>IF(SER_hh_emi!N29=0,0,1000000*SER_hh_emi!N29/SER_hh_num!N29)</f>
        <v>5988.4703161606094</v>
      </c>
      <c r="O29" s="131">
        <f>IF(SER_hh_emi!O29=0,0,1000000*SER_hh_emi!O29/SER_hh_num!O29)</f>
        <v>5649.5929118371241</v>
      </c>
      <c r="P29" s="131">
        <f>IF(SER_hh_emi!P29=0,0,1000000*SER_hh_emi!P29/SER_hh_num!P29)</f>
        <v>4951.6255203331857</v>
      </c>
      <c r="Q29" s="131">
        <f>IF(SER_hh_emi!Q29=0,0,1000000*SER_hh_emi!Q29/SER_hh_num!Q29)</f>
        <v>4889.2457660442933</v>
      </c>
      <c r="R29" s="131">
        <f>IF(SER_hh_emi!R29=0,0,1000000*SER_hh_emi!R29/SER_hh_num!R29)</f>
        <v>4777.0443801747097</v>
      </c>
      <c r="S29" s="131">
        <f>IF(SER_hh_emi!S29=0,0,1000000*SER_hh_emi!S29/SER_hh_num!S29)</f>
        <v>4042.8255745015831</v>
      </c>
      <c r="T29" s="131">
        <f>IF(SER_hh_emi!T29=0,0,1000000*SER_hh_emi!T29/SER_hh_num!T29)</f>
        <v>3602.6163642612341</v>
      </c>
      <c r="U29" s="131">
        <f>IF(SER_hh_emi!U29=0,0,1000000*SER_hh_emi!U29/SER_hh_num!U29)</f>
        <v>3686.8289998780983</v>
      </c>
      <c r="V29" s="131">
        <f>IF(SER_hh_emi!V29=0,0,1000000*SER_hh_emi!V29/SER_hh_num!V29)</f>
        <v>2718.4911572612391</v>
      </c>
      <c r="W29" s="131">
        <f>IF(SER_hh_emi!W29=0,0,1000000*SER_hh_emi!W29/SER_hh_num!W29)</f>
        <v>3758.2194942774468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8427.0227554853955</v>
      </c>
      <c r="C30" s="133">
        <f>IF(SER_hh_emi!C30=0,0,1000000*SER_hh_emi!C30/SER_hh_num!C30)</f>
        <v>17580.857198521284</v>
      </c>
      <c r="D30" s="133">
        <f>IF(SER_hh_emi!D30=0,0,1000000*SER_hh_emi!D30/SER_hh_num!D30)</f>
        <v>13042.528475051526</v>
      </c>
      <c r="E30" s="133">
        <f>IF(SER_hh_emi!E30=0,0,1000000*SER_hh_emi!E30/SER_hh_num!E30)</f>
        <v>6254.898947293862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19121.277915728875</v>
      </c>
      <c r="L30" s="133">
        <f>IF(SER_hh_emi!L30=0,0,1000000*SER_hh_emi!L30/SER_hh_num!L30)</f>
        <v>15588.969940535015</v>
      </c>
      <c r="M30" s="133">
        <f>IF(SER_hh_emi!M30=0,0,1000000*SER_hh_emi!M30/SER_hh_num!M30)</f>
        <v>14111.834383691354</v>
      </c>
      <c r="N30" s="133">
        <f>IF(SER_hh_emi!N30=0,0,1000000*SER_hh_emi!N30/SER_hh_num!N30)</f>
        <v>14210.066925359331</v>
      </c>
      <c r="O30" s="133">
        <f>IF(SER_hh_emi!O30=0,0,1000000*SER_hh_emi!O30/SER_hh_num!O30)</f>
        <v>14730.356132186496</v>
      </c>
      <c r="P30" s="133">
        <f>IF(SER_hh_emi!P30=0,0,1000000*SER_hh_emi!P30/SER_hh_num!P30)</f>
        <v>13382.208008000753</v>
      </c>
      <c r="Q30" s="133">
        <f>IF(SER_hh_emi!Q30=0,0,1000000*SER_hh_emi!Q30/SER_hh_num!Q30)</f>
        <v>14532.583748779294</v>
      </c>
      <c r="R30" s="133">
        <f>IF(SER_hh_emi!R30=0,0,1000000*SER_hh_emi!R30/SER_hh_num!R30)</f>
        <v>15730.355952550755</v>
      </c>
      <c r="S30" s="133">
        <f>IF(SER_hh_emi!S30=0,0,1000000*SER_hh_emi!S30/SER_hh_num!S30)</f>
        <v>14373.909164777739</v>
      </c>
      <c r="T30" s="133">
        <f>IF(SER_hh_emi!T30=0,0,1000000*SER_hh_emi!T30/SER_hh_num!T30)</f>
        <v>12659.193078823475</v>
      </c>
      <c r="U30" s="133">
        <f>IF(SER_hh_emi!U30=0,0,1000000*SER_hh_emi!U30/SER_hh_num!U30)</f>
        <v>15812.255648225071</v>
      </c>
      <c r="V30" s="133">
        <f>IF(SER_hh_emi!V30=0,0,1000000*SER_hh_emi!V30/SER_hh_num!V30)</f>
        <v>12199.794302898028</v>
      </c>
      <c r="W30" s="133">
        <f>IF(SER_hh_emi!W30=0,0,1000000*SER_hh_emi!W30/SER_hh_num!W30)</f>
        <v>19232.626376460252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10642.559611582214</v>
      </c>
      <c r="C31" s="133">
        <f>IF(SER_hh_emi!C31=0,0,1000000*SER_hh_emi!C31/SER_hh_num!C31)</f>
        <v>10731.667875941555</v>
      </c>
      <c r="D31" s="133">
        <f>IF(SER_hh_emi!D31=0,0,1000000*SER_hh_emi!D31/SER_hh_num!D31)</f>
        <v>11165.394501810657</v>
      </c>
      <c r="E31" s="133">
        <f>IF(SER_hh_emi!E31=0,0,1000000*SER_hh_emi!E31/SER_hh_num!E31)</f>
        <v>11341.120223415564</v>
      </c>
      <c r="F31" s="133">
        <f>IF(SER_hh_emi!F31=0,0,1000000*SER_hh_emi!F31/SER_hh_num!F31)</f>
        <v>11636.874615096873</v>
      </c>
      <c r="G31" s="133">
        <f>IF(SER_hh_emi!G31=0,0,1000000*SER_hh_emi!G31/SER_hh_num!G31)</f>
        <v>11397.23953151438</v>
      </c>
      <c r="H31" s="133">
        <f>IF(SER_hh_emi!H31=0,0,1000000*SER_hh_emi!H31/SER_hh_num!H31)</f>
        <v>11948.464094002578</v>
      </c>
      <c r="I31" s="133">
        <f>IF(SER_hh_emi!I31=0,0,1000000*SER_hh_emi!I31/SER_hh_num!I31)</f>
        <v>12001.546614686988</v>
      </c>
      <c r="J31" s="133">
        <f>IF(SER_hh_emi!J31=0,0,1000000*SER_hh_emi!J31/SER_hh_num!J31)</f>
        <v>12223.120897609348</v>
      </c>
      <c r="K31" s="133">
        <f>IF(SER_hh_emi!K31=0,0,1000000*SER_hh_emi!K31/SER_hh_num!K31)</f>
        <v>11664.600789107837</v>
      </c>
      <c r="L31" s="133">
        <f>IF(SER_hh_emi!L31=0,0,1000000*SER_hh_emi!L31/SER_hh_num!L31)</f>
        <v>11974.762360126417</v>
      </c>
      <c r="M31" s="133">
        <f>IF(SER_hh_emi!M31=0,0,1000000*SER_hh_emi!M31/SER_hh_num!M31)</f>
        <v>12517.598311627216</v>
      </c>
      <c r="N31" s="133">
        <f>IF(SER_hh_emi!N31=0,0,1000000*SER_hh_emi!N31/SER_hh_num!N31)</f>
        <v>12731.219041607832</v>
      </c>
      <c r="O31" s="133">
        <f>IF(SER_hh_emi!O31=0,0,1000000*SER_hh_emi!O31/SER_hh_num!O31)</f>
        <v>12444.97441804238</v>
      </c>
      <c r="P31" s="133">
        <f>IF(SER_hh_emi!P31=0,0,1000000*SER_hh_emi!P31/SER_hh_num!P31)</f>
        <v>12357.417343837533</v>
      </c>
      <c r="Q31" s="133">
        <f>IF(SER_hh_emi!Q31=0,0,1000000*SER_hh_emi!Q31/SER_hh_num!Q31)</f>
        <v>12630.624129636975</v>
      </c>
      <c r="R31" s="133">
        <f>IF(SER_hh_emi!R31=0,0,1000000*SER_hh_emi!R31/SER_hh_num!R31)</f>
        <v>12827.282914542682</v>
      </c>
      <c r="S31" s="133">
        <f>IF(SER_hh_emi!S31=0,0,1000000*SER_hh_emi!S31/SER_hh_num!S31)</f>
        <v>12386.702298486245</v>
      </c>
      <c r="T31" s="133">
        <f>IF(SER_hh_emi!T31=0,0,1000000*SER_hh_emi!T31/SER_hh_num!T31)</f>
        <v>13255.805802551235</v>
      </c>
      <c r="U31" s="133">
        <f>IF(SER_hh_emi!U31=0,0,1000000*SER_hh_emi!U31/SER_hh_num!U31)</f>
        <v>13065.161123788084</v>
      </c>
      <c r="V31" s="133">
        <f>IF(SER_hh_emi!V31=0,0,1000000*SER_hh_emi!V31/SER_hh_num!V31)</f>
        <v>11067.052133247465</v>
      </c>
      <c r="W31" s="133">
        <f>IF(SER_hh_emi!W31=0,0,1000000*SER_hh_emi!W31/SER_hh_num!W31)</f>
        <v>18480.174940427914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520.01982253872438</v>
      </c>
      <c r="C3" s="126">
        <f>IF(SER_hh_fech!C3=0,0,SER_hh_fech!C3/SER_summary!C$26)</f>
        <v>523.44814404056251</v>
      </c>
      <c r="D3" s="126">
        <f>IF(SER_hh_fech!D3=0,0,SER_hh_fech!D3/SER_summary!D$26)</f>
        <v>478.46975531427364</v>
      </c>
      <c r="E3" s="126">
        <f>IF(SER_hh_fech!E3=0,0,SER_hh_fech!E3/SER_summary!E$26)</f>
        <v>538.57560439334168</v>
      </c>
      <c r="F3" s="126">
        <f>IF(SER_hh_fech!F3=0,0,SER_hh_fech!F3/SER_summary!F$26)</f>
        <v>500.84832576047864</v>
      </c>
      <c r="G3" s="126">
        <f>IF(SER_hh_fech!G3=0,0,SER_hh_fech!G3/SER_summary!G$26)</f>
        <v>485.71142685828164</v>
      </c>
      <c r="H3" s="126">
        <f>IF(SER_hh_fech!H3=0,0,SER_hh_fech!H3/SER_summary!H$26)</f>
        <v>481.10322160704806</v>
      </c>
      <c r="I3" s="126">
        <f>IF(SER_hh_fech!I3=0,0,SER_hh_fech!I3/SER_summary!I$26)</f>
        <v>470.914247757439</v>
      </c>
      <c r="J3" s="126">
        <f>IF(SER_hh_fech!J3=0,0,SER_hh_fech!J3/SER_summary!J$26)</f>
        <v>495.04161593891661</v>
      </c>
      <c r="K3" s="126">
        <f>IF(SER_hh_fech!K3=0,0,SER_hh_fech!K3/SER_summary!K$26)</f>
        <v>472.9477209045674</v>
      </c>
      <c r="L3" s="126">
        <f>IF(SER_hh_fech!L3=0,0,SER_hh_fech!L3/SER_summary!L$26)</f>
        <v>541.31866309403006</v>
      </c>
      <c r="M3" s="126">
        <f>IF(SER_hh_fech!M3=0,0,SER_hh_fech!M3/SER_summary!M$26)</f>
        <v>406.00928840685077</v>
      </c>
      <c r="N3" s="126">
        <f>IF(SER_hh_fech!N3=0,0,SER_hh_fech!N3/SER_summary!N$26)</f>
        <v>460.48257683094761</v>
      </c>
      <c r="O3" s="126">
        <f>IF(SER_hh_fech!O3=0,0,SER_hh_fech!O3/SER_summary!O$26)</f>
        <v>469.58353726181707</v>
      </c>
      <c r="P3" s="126">
        <f>IF(SER_hh_fech!P3=0,0,SER_hh_fech!P3/SER_summary!P$26)</f>
        <v>388.73448770856925</v>
      </c>
      <c r="Q3" s="126">
        <f>IF(SER_hh_fech!Q3=0,0,SER_hh_fech!Q3/SER_summary!Q$26)</f>
        <v>439.70333460938485</v>
      </c>
      <c r="R3" s="126">
        <f>IF(SER_hh_fech!R3=0,0,SER_hh_fech!R3/SER_summary!R$26)</f>
        <v>436.57247551909467</v>
      </c>
      <c r="S3" s="126">
        <f>IF(SER_hh_fech!S3=0,0,SER_hh_fech!S3/SER_summary!S$26)</f>
        <v>483.50365100073583</v>
      </c>
      <c r="T3" s="126">
        <f>IF(SER_hh_fech!T3=0,0,SER_hh_fech!T3/SER_summary!T$26)</f>
        <v>488.86448670550345</v>
      </c>
      <c r="U3" s="126">
        <f>IF(SER_hh_fech!U3=0,0,SER_hh_fech!U3/SER_summary!U$26)</f>
        <v>552.73377631344317</v>
      </c>
      <c r="V3" s="126">
        <f>IF(SER_hh_fech!V3=0,0,SER_hh_fech!V3/SER_summary!V$26)</f>
        <v>520.69213019693768</v>
      </c>
      <c r="W3" s="126">
        <f>IF(SER_hh_fech!W3=0,0,SER_hh_fech!W3/SER_summary!W$26)</f>
        <v>575.73898755365531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415.05221476695482</v>
      </c>
      <c r="C4" s="131">
        <f>IF(SER_hh_fech!C4=0,0,SER_hh_fech!C4/SER_summary!C$26)</f>
        <v>415.38914616888576</v>
      </c>
      <c r="D4" s="131">
        <f>IF(SER_hh_fech!D4=0,0,SER_hh_fech!D4/SER_summary!D$26)</f>
        <v>371.06101378728687</v>
      </c>
      <c r="E4" s="131">
        <f>IF(SER_hh_fech!E4=0,0,SER_hh_fech!E4/SER_summary!E$26)</f>
        <v>431.31422707944591</v>
      </c>
      <c r="F4" s="131">
        <f>IF(SER_hh_fech!F4=0,0,SER_hh_fech!F4/SER_summary!F$26)</f>
        <v>394.21702088455106</v>
      </c>
      <c r="G4" s="131">
        <f>IF(SER_hh_fech!G4=0,0,SER_hh_fech!G4/SER_summary!G$26)</f>
        <v>378.72777397490023</v>
      </c>
      <c r="H4" s="131">
        <f>IF(SER_hh_fech!H4=0,0,SER_hh_fech!H4/SER_summary!H$26)</f>
        <v>373.29000431045552</v>
      </c>
      <c r="I4" s="131">
        <f>IF(SER_hh_fech!I4=0,0,SER_hh_fech!I4/SER_summary!I$26)</f>
        <v>364.11119119764663</v>
      </c>
      <c r="J4" s="131">
        <f>IF(SER_hh_fech!J4=0,0,SER_hh_fech!J4/SER_summary!J$26)</f>
        <v>387.38360635704794</v>
      </c>
      <c r="K4" s="131">
        <f>IF(SER_hh_fech!K4=0,0,SER_hh_fech!K4/SER_summary!K$26)</f>
        <v>361.93455208645275</v>
      </c>
      <c r="L4" s="131">
        <f>IF(SER_hh_fech!L4=0,0,SER_hh_fech!L4/SER_summary!L$26)</f>
        <v>428.42064597449934</v>
      </c>
      <c r="M4" s="131">
        <f>IF(SER_hh_fech!M4=0,0,SER_hh_fech!M4/SER_summary!M$26)</f>
        <v>295.02610342377551</v>
      </c>
      <c r="N4" s="131">
        <f>IF(SER_hh_fech!N4=0,0,SER_hh_fech!N4/SER_summary!N$26)</f>
        <v>348.90700462921484</v>
      </c>
      <c r="O4" s="131">
        <f>IF(SER_hh_fech!O4=0,0,SER_hh_fech!O4/SER_summary!O$26)</f>
        <v>358.57246717254412</v>
      </c>
      <c r="P4" s="131">
        <f>IF(SER_hh_fech!P4=0,0,SER_hh_fech!P4/SER_summary!P$26)</f>
        <v>278.46118828232699</v>
      </c>
      <c r="Q4" s="131">
        <f>IF(SER_hh_fech!Q4=0,0,SER_hh_fech!Q4/SER_summary!Q$26)</f>
        <v>328.1965112467488</v>
      </c>
      <c r="R4" s="131">
        <f>IF(SER_hh_fech!R4=0,0,SER_hh_fech!R4/SER_summary!R$26)</f>
        <v>326.70480981257248</v>
      </c>
      <c r="S4" s="131">
        <f>IF(SER_hh_fech!S4=0,0,SER_hh_fech!S4/SER_summary!S$26)</f>
        <v>374.81601799049156</v>
      </c>
      <c r="T4" s="131">
        <f>IF(SER_hh_fech!T4=0,0,SER_hh_fech!T4/SER_summary!T$26)</f>
        <v>380.51932519059801</v>
      </c>
      <c r="U4" s="131">
        <f>IF(SER_hh_fech!U4=0,0,SER_hh_fech!U4/SER_summary!U$26)</f>
        <v>444.26844594775986</v>
      </c>
      <c r="V4" s="131">
        <f>IF(SER_hh_fech!V4=0,0,SER_hh_fech!V4/SER_summary!V$26)</f>
        <v>423.29378804711126</v>
      </c>
      <c r="W4" s="131">
        <f>IF(SER_hh_fech!W4=0,0,SER_hh_fech!W4/SER_summary!W$26)</f>
        <v>470.28631281433127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404.49666907717165</v>
      </c>
      <c r="C7" s="133">
        <f>IF(SER_hh_fech!C7=0,0,SER_hh_fech!C7/SER_summary!C$26)</f>
        <v>529.32467842170513</v>
      </c>
      <c r="D7" s="133">
        <f>IF(SER_hh_fech!D7=0,0,SER_hh_fech!D7/SER_summary!D$26)</f>
        <v>499.50888017065927</v>
      </c>
      <c r="E7" s="133">
        <f>IF(SER_hh_fech!E7=0,0,SER_hh_fech!E7/SER_summary!E$26)</f>
        <v>488.13876359408124</v>
      </c>
      <c r="F7" s="133">
        <f>IF(SER_hh_fech!F7=0,0,SER_hh_fech!F7/SER_summary!F$26)</f>
        <v>533.808784522368</v>
      </c>
      <c r="G7" s="133">
        <f>IF(SER_hh_fech!G7=0,0,SER_hh_fech!G7/SER_summary!G$26)</f>
        <v>558.6856157184659</v>
      </c>
      <c r="H7" s="133">
        <f>IF(SER_hh_fech!H7=0,0,SER_hh_fech!H7/SER_summary!H$26)</f>
        <v>418.51009941803579</v>
      </c>
      <c r="I7" s="133">
        <f>IF(SER_hh_fech!I7=0,0,SER_hh_fech!I7/SER_summary!I$26)</f>
        <v>493.70214102537244</v>
      </c>
      <c r="J7" s="133">
        <f>IF(SER_hh_fech!J7=0,0,SER_hh_fech!J7/SER_summary!J$26)</f>
        <v>442.53085627977072</v>
      </c>
      <c r="K7" s="133">
        <f>IF(SER_hh_fech!K7=0,0,SER_hh_fech!K7/SER_summary!K$26)</f>
        <v>373.60161582868557</v>
      </c>
      <c r="L7" s="133">
        <f>IF(SER_hh_fech!L7=0,0,SER_hh_fech!L7/SER_summary!L$26)</f>
        <v>618.0671284647965</v>
      </c>
      <c r="M7" s="133">
        <f>IF(SER_hh_fech!M7=0,0,SER_hh_fech!M7/SER_summary!M$26)</f>
        <v>401.23644430719611</v>
      </c>
      <c r="N7" s="133">
        <f>IF(SER_hh_fech!N7=0,0,SER_hh_fech!N7/SER_summary!N$26)</f>
        <v>381.50536352664136</v>
      </c>
      <c r="O7" s="133">
        <f>IF(SER_hh_fech!O7=0,0,SER_hh_fech!O7/SER_summary!O$26)</f>
        <v>409.87537753886056</v>
      </c>
      <c r="P7" s="133">
        <f>IF(SER_hh_fech!P7=0,0,SER_hh_fech!P7/SER_summary!P$26)</f>
        <v>312.01364357714556</v>
      </c>
      <c r="Q7" s="133">
        <f>IF(SER_hh_fech!Q7=0,0,SER_hh_fech!Q7/SER_summary!Q$26)</f>
        <v>393.67010772085609</v>
      </c>
      <c r="R7" s="133">
        <f>IF(SER_hh_fech!R7=0,0,SER_hh_fech!R7/SER_summary!R$26)</f>
        <v>341.4691455568402</v>
      </c>
      <c r="S7" s="133">
        <f>IF(SER_hh_fech!S7=0,0,SER_hh_fech!S7/SER_summary!S$26)</f>
        <v>450.53518657571919</v>
      </c>
      <c r="T7" s="133">
        <f>IF(SER_hh_fech!T7=0,0,SER_hh_fech!T7/SER_summary!T$26)</f>
        <v>426.08908740242947</v>
      </c>
      <c r="U7" s="133">
        <f>IF(SER_hh_fech!U7=0,0,SER_hh_fech!U7/SER_summary!U$26)</f>
        <v>521.06832782746994</v>
      </c>
      <c r="V7" s="133">
        <f>IF(SER_hh_fech!V7=0,0,SER_hh_fech!V7/SER_summary!V$26)</f>
        <v>483.85588149598038</v>
      </c>
      <c r="W7" s="133">
        <f>IF(SER_hh_fech!W7=0,0,SER_hh_fech!W7/SER_summary!W$26)</f>
        <v>449.09148828119578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564.44375403473032</v>
      </c>
      <c r="C9" s="133">
        <f>IF(SER_hh_fech!C9=0,0,SER_hh_fech!C9/SER_summary!C$26)</f>
        <v>381.56304080027792</v>
      </c>
      <c r="D9" s="133">
        <f>IF(SER_hh_fech!D9=0,0,SER_hh_fech!D9/SER_summary!D$26)</f>
        <v>431.42830921455453</v>
      </c>
      <c r="E9" s="133">
        <f>IF(SER_hh_fech!E9=0,0,SER_hh_fech!E9/SER_summary!E$26)</f>
        <v>508.76117986831412</v>
      </c>
      <c r="F9" s="133">
        <f>IF(SER_hh_fech!F9=0,0,SER_hh_fech!F9/SER_summary!F$26)</f>
        <v>464.11258369042446</v>
      </c>
      <c r="G9" s="133">
        <f>IF(SER_hh_fech!G9=0,0,SER_hh_fech!G9/SER_summary!G$26)</f>
        <v>392.35816059527968</v>
      </c>
      <c r="H9" s="133">
        <f>IF(SER_hh_fech!H9=0,0,SER_hh_fech!H9/SER_summary!H$26)</f>
        <v>471.24539521233925</v>
      </c>
      <c r="I9" s="133">
        <f>IF(SER_hh_fech!I9=0,0,SER_hh_fech!I9/SER_summary!I$26)</f>
        <v>368.68334770973388</v>
      </c>
      <c r="J9" s="133">
        <f>IF(SER_hh_fech!J9=0,0,SER_hh_fech!J9/SER_summary!J$26)</f>
        <v>438.4781270457508</v>
      </c>
      <c r="K9" s="133">
        <f>IF(SER_hh_fech!K9=0,0,SER_hh_fech!K9/SER_summary!K$26)</f>
        <v>448.0161557835653</v>
      </c>
      <c r="L9" s="133">
        <f>IF(SER_hh_fech!L9=0,0,SER_hh_fech!L9/SER_summary!L$26)</f>
        <v>529.77946308944126</v>
      </c>
      <c r="M9" s="133">
        <f>IF(SER_hh_fech!M9=0,0,SER_hh_fech!M9/SER_summary!M$26)</f>
        <v>218.43814863353828</v>
      </c>
      <c r="N9" s="133">
        <f>IF(SER_hh_fech!N9=0,0,SER_hh_fech!N9/SER_summary!N$26)</f>
        <v>390.2340147004395</v>
      </c>
      <c r="O9" s="133">
        <f>IF(SER_hh_fech!O9=0,0,SER_hh_fech!O9/SER_summary!O$26)</f>
        <v>372.10745131317009</v>
      </c>
      <c r="P9" s="133">
        <f>IF(SER_hh_fech!P9=0,0,SER_hh_fech!P9/SER_summary!P$26)</f>
        <v>286.70423515852627</v>
      </c>
      <c r="Q9" s="133">
        <f>IF(SER_hh_fech!Q9=0,0,SER_hh_fech!Q9/SER_summary!Q$26)</f>
        <v>337.52596664452784</v>
      </c>
      <c r="R9" s="133">
        <f>IF(SER_hh_fech!R9=0,0,SER_hh_fech!R9/SER_summary!R$26)</f>
        <v>402.17889976009576</v>
      </c>
      <c r="S9" s="133">
        <f>IF(SER_hh_fech!S9=0,0,SER_hh_fech!S9/SER_summary!S$26)</f>
        <v>325.69384641199474</v>
      </c>
      <c r="T9" s="133">
        <f>IF(SER_hh_fech!T9=0,0,SER_hh_fech!T9/SER_summary!T$26)</f>
        <v>409.57538161399856</v>
      </c>
      <c r="U9" s="133">
        <f>IF(SER_hh_fech!U9=0,0,SER_hh_fech!U9/SER_summary!U$26)</f>
        <v>487.3314839273512</v>
      </c>
      <c r="V9" s="133">
        <f>IF(SER_hh_fech!V9=0,0,SER_hh_fech!V9/SER_summary!V$26)</f>
        <v>393.76569138948179</v>
      </c>
      <c r="W9" s="133">
        <f>IF(SER_hh_fech!W9=0,0,SER_hh_fech!W9/SER_summary!W$26)</f>
        <v>626.97150154585904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228.85275978938662</v>
      </c>
      <c r="C10" s="133">
        <f>IF(SER_hh_fech!C10=0,0,SER_hh_fech!C10/SER_summary!C$26)</f>
        <v>361.02129072170362</v>
      </c>
      <c r="D10" s="133">
        <f>IF(SER_hh_fech!D10=0,0,SER_hh_fech!D10/SER_summary!D$26)</f>
        <v>487.67952556822434</v>
      </c>
      <c r="E10" s="133">
        <f>IF(SER_hh_fech!E10=0,0,SER_hh_fech!E10/SER_summary!E$26)</f>
        <v>314.90270321163877</v>
      </c>
      <c r="F10" s="133">
        <f>IF(SER_hh_fech!F10=0,0,SER_hh_fech!F10/SER_summary!F$26)</f>
        <v>421.03031094256016</v>
      </c>
      <c r="G10" s="133">
        <f>IF(SER_hh_fech!G10=0,0,SER_hh_fech!G10/SER_summary!G$26)</f>
        <v>440.07889645637238</v>
      </c>
      <c r="H10" s="133">
        <f>IF(SER_hh_fech!H10=0,0,SER_hh_fech!H10/SER_summary!H$26)</f>
        <v>224.95901261352262</v>
      </c>
      <c r="I10" s="133">
        <f>IF(SER_hh_fech!I10=0,0,SER_hh_fech!I10/SER_summary!I$26)</f>
        <v>201.07247761859472</v>
      </c>
      <c r="J10" s="133">
        <f>IF(SER_hh_fech!J10=0,0,SER_hh_fech!J10/SER_summary!J$26)</f>
        <v>366.17303929485968</v>
      </c>
      <c r="K10" s="133">
        <f>IF(SER_hh_fech!K10=0,0,SER_hh_fech!K10/SER_summary!K$26)</f>
        <v>553.87135861724175</v>
      </c>
      <c r="L10" s="133">
        <f>IF(SER_hh_fech!L10=0,0,SER_hh_fech!L10/SER_summary!L$26)</f>
        <v>403.28370459535086</v>
      </c>
      <c r="M10" s="133">
        <f>IF(SER_hh_fech!M10=0,0,SER_hh_fech!M10/SER_summary!M$26)</f>
        <v>161.31059065233049</v>
      </c>
      <c r="N10" s="133">
        <f>IF(SER_hh_fech!N10=0,0,SER_hh_fech!N10/SER_summary!N$26)</f>
        <v>290.60564844022912</v>
      </c>
      <c r="O10" s="133">
        <f>IF(SER_hh_fech!O10=0,0,SER_hh_fech!O10/SER_summary!O$26)</f>
        <v>413.45180698061552</v>
      </c>
      <c r="P10" s="133">
        <f>IF(SER_hh_fech!P10=0,0,SER_hh_fech!P10/SER_summary!P$26)</f>
        <v>533.86682307565798</v>
      </c>
      <c r="Q10" s="133">
        <f>IF(SER_hh_fech!Q10=0,0,SER_hh_fech!Q10/SER_summary!Q$26)</f>
        <v>222.53118423872988</v>
      </c>
      <c r="R10" s="133">
        <f>IF(SER_hh_fech!R10=0,0,SER_hh_fech!R10/SER_summary!R$26)</f>
        <v>570.84835924175036</v>
      </c>
      <c r="S10" s="133">
        <f>IF(SER_hh_fech!S10=0,0,SER_hh_fech!S10/SER_summary!S$26)</f>
        <v>46.236448533910774</v>
      </c>
      <c r="T10" s="133">
        <f>IF(SER_hh_fech!T10=0,0,SER_hh_fech!T10/SER_summary!T$26)</f>
        <v>128.15433840062403</v>
      </c>
      <c r="U10" s="133">
        <f>IF(SER_hh_fech!U10=0,0,SER_hh_fech!U10/SER_summary!U$26)</f>
        <v>180.29445043136016</v>
      </c>
      <c r="V10" s="133">
        <f>IF(SER_hh_fech!V10=0,0,SER_hh_fech!V10/SER_summary!V$26)</f>
        <v>1140.8858099383006</v>
      </c>
      <c r="W10" s="133">
        <f>IF(SER_hh_fech!W10=0,0,SER_hh_fech!W10/SER_summary!W$26)</f>
        <v>2898.5628021037842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274.37785862663151</v>
      </c>
      <c r="C12" s="133">
        <f>IF(SER_hh_fech!C12=0,0,SER_hh_fech!C12/SER_summary!C$26)</f>
        <v>251.91472719366766</v>
      </c>
      <c r="D12" s="133">
        <f>IF(SER_hh_fech!D12=0,0,SER_hh_fech!D12/SER_summary!D$26)</f>
        <v>229.87787073658259</v>
      </c>
      <c r="E12" s="133">
        <f>IF(SER_hh_fech!E12=0,0,SER_hh_fech!E12/SER_summary!E$26)</f>
        <v>369.58760328080552</v>
      </c>
      <c r="F12" s="133">
        <f>IF(SER_hh_fech!F12=0,0,SER_hh_fech!F12/SER_summary!F$26)</f>
        <v>317.05624180218587</v>
      </c>
      <c r="G12" s="133">
        <f>IF(SER_hh_fech!G12=0,0,SER_hh_fech!G12/SER_summary!G$26)</f>
        <v>303.09295288046661</v>
      </c>
      <c r="H12" s="133">
        <f>IF(SER_hh_fech!H12=0,0,SER_hh_fech!H12/SER_summary!H$26)</f>
        <v>312.46043141704536</v>
      </c>
      <c r="I12" s="133">
        <f>IF(SER_hh_fech!I12=0,0,SER_hh_fech!I12/SER_summary!I$26)</f>
        <v>266.34666026143975</v>
      </c>
      <c r="J12" s="133">
        <f>IF(SER_hh_fech!J12=0,0,SER_hh_fech!J12/SER_summary!J$26)</f>
        <v>326.68667765986635</v>
      </c>
      <c r="K12" s="133">
        <f>IF(SER_hh_fech!K12=0,0,SER_hh_fech!K12/SER_summary!K$26)</f>
        <v>268.08243443673649</v>
      </c>
      <c r="L12" s="133">
        <f>IF(SER_hh_fech!L12=0,0,SER_hh_fech!L12/SER_summary!L$26)</f>
        <v>312.08695560693178</v>
      </c>
      <c r="M12" s="133">
        <f>IF(SER_hh_fech!M12=0,0,SER_hh_fech!M12/SER_summary!M$26)</f>
        <v>330.42532430267886</v>
      </c>
      <c r="N12" s="133">
        <f>IF(SER_hh_fech!N12=0,0,SER_hh_fech!N12/SER_summary!N$26)</f>
        <v>299.91249086157433</v>
      </c>
      <c r="O12" s="133">
        <f>IF(SER_hh_fech!O12=0,0,SER_hh_fech!O12/SER_summary!O$26)</f>
        <v>328.24904915231048</v>
      </c>
      <c r="P12" s="133">
        <f>IF(SER_hh_fech!P12=0,0,SER_hh_fech!P12/SER_summary!P$26)</f>
        <v>222.37702637034835</v>
      </c>
      <c r="Q12" s="133">
        <f>IF(SER_hh_fech!Q12=0,0,SER_hh_fech!Q12/SER_summary!Q$26)</f>
        <v>276.99408975735673</v>
      </c>
      <c r="R12" s="133">
        <f>IF(SER_hh_fech!R12=0,0,SER_hh_fech!R12/SER_summary!R$26)</f>
        <v>279.0496662459347</v>
      </c>
      <c r="S12" s="133">
        <f>IF(SER_hh_fech!S12=0,0,SER_hh_fech!S12/SER_summary!S$26)</f>
        <v>302.89105446681867</v>
      </c>
      <c r="T12" s="133">
        <f>IF(SER_hh_fech!T12=0,0,SER_hh_fech!T12/SER_summary!T$26)</f>
        <v>308.68749749709252</v>
      </c>
      <c r="U12" s="133">
        <f>IF(SER_hh_fech!U12=0,0,SER_hh_fech!U12/SER_summary!U$26)</f>
        <v>339.88224024948909</v>
      </c>
      <c r="V12" s="133">
        <f>IF(SER_hh_fech!V12=0,0,SER_hh_fech!V12/SER_summary!V$26)</f>
        <v>403.8659467250489</v>
      </c>
      <c r="W12" s="133">
        <f>IF(SER_hh_fech!W12=0,0,SER_hh_fech!W12/SER_summary!W$26)</f>
        <v>402.68118387363774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284.43223933504783</v>
      </c>
      <c r="C14" s="65">
        <f>IF(SER_hh_fech!C14=0,0,SER_hh_fech!C14/SER_summary!C$26)</f>
        <v>413.39258890450276</v>
      </c>
      <c r="D14" s="65">
        <f>IF(SER_hh_fech!D14=0,0,SER_hh_fech!D14/SER_summary!D$26)</f>
        <v>275.88016678076002</v>
      </c>
      <c r="E14" s="65">
        <f>IF(SER_hh_fech!E14=0,0,SER_hh_fech!E14/SER_summary!E$26)</f>
        <v>342.46872299964559</v>
      </c>
      <c r="F14" s="65">
        <f>IF(SER_hh_fech!F14=0,0,SER_hh_fech!F14/SER_summary!F$26)</f>
        <v>296.77632603824895</v>
      </c>
      <c r="G14" s="65">
        <f>IF(SER_hh_fech!G14=0,0,SER_hh_fech!G14/SER_summary!G$26)</f>
        <v>340.08254580990445</v>
      </c>
      <c r="H14" s="65">
        <f>IF(SER_hh_fech!H14=0,0,SER_hh_fech!H14/SER_summary!H$26)</f>
        <v>303.08376950622022</v>
      </c>
      <c r="I14" s="65">
        <f>IF(SER_hh_fech!I14=0,0,SER_hh_fech!I14/SER_summary!I$26)</f>
        <v>392.71239114325215</v>
      </c>
      <c r="J14" s="65">
        <f>IF(SER_hh_fech!J14=0,0,SER_hh_fech!J14/SER_summary!J$26)</f>
        <v>357.16578443635638</v>
      </c>
      <c r="K14" s="65">
        <f>IF(SER_hh_fech!K14=0,0,SER_hh_fech!K14/SER_summary!K$26)</f>
        <v>325.40230624376363</v>
      </c>
      <c r="L14" s="65">
        <f>IF(SER_hh_fech!L14=0,0,SER_hh_fech!L14/SER_summary!L$26)</f>
        <v>340.70973999954953</v>
      </c>
      <c r="M14" s="65">
        <f>IF(SER_hh_fech!M14=0,0,SER_hh_fech!M14/SER_summary!M$26)</f>
        <v>298.44757554628234</v>
      </c>
      <c r="N14" s="65">
        <f>IF(SER_hh_fech!N14=0,0,SER_hh_fech!N14/SER_summary!N$26)</f>
        <v>321.18332282486773</v>
      </c>
      <c r="O14" s="65">
        <f>IF(SER_hh_fech!O14=0,0,SER_hh_fech!O14/SER_summary!O$26)</f>
        <v>328.97893215413387</v>
      </c>
      <c r="P14" s="65">
        <f>IF(SER_hh_fech!P14=0,0,SER_hh_fech!P14/SER_summary!P$26)</f>
        <v>284.35551695219175</v>
      </c>
      <c r="Q14" s="65">
        <f>IF(SER_hh_fech!Q14=0,0,SER_hh_fech!Q14/SER_summary!Q$26)</f>
        <v>290.05233993109726</v>
      </c>
      <c r="R14" s="65">
        <f>IF(SER_hh_fech!R14=0,0,SER_hh_fech!R14/SER_summary!R$26)</f>
        <v>231.07653683446571</v>
      </c>
      <c r="S14" s="65">
        <f>IF(SER_hh_fech!S14=0,0,SER_hh_fech!S14/SER_summary!S$26)</f>
        <v>412.8747458650522</v>
      </c>
      <c r="T14" s="65">
        <f>IF(SER_hh_fech!T14=0,0,SER_hh_fech!T14/SER_summary!T$26)</f>
        <v>355.09968437469064</v>
      </c>
      <c r="U14" s="65">
        <f>IF(SER_hh_fech!U14=0,0,SER_hh_fech!U14/SER_summary!U$26)</f>
        <v>417.93297368048087</v>
      </c>
      <c r="V14" s="65">
        <f>IF(SER_hh_fech!V14=0,0,SER_hh_fech!V14/SER_summary!V$26)</f>
        <v>388.69662755140507</v>
      </c>
      <c r="W14" s="65">
        <f>IF(SER_hh_fech!W14=0,0,SER_hh_fech!W14/SER_summary!W$26)</f>
        <v>446.73449774538858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4.705154865330992</v>
      </c>
      <c r="C15" s="135">
        <f>IF(SER_hh_fech!C15=0,0,SER_hh_fech!C15/SER_summary!C$26)</f>
        <v>3.8529408535066572</v>
      </c>
      <c r="D15" s="135">
        <f>IF(SER_hh_fech!D15=0,0,SER_hh_fech!D15/SER_summary!D$26)</f>
        <v>3.6625041645737322</v>
      </c>
      <c r="E15" s="135">
        <f>IF(SER_hh_fech!E15=0,0,SER_hh_fech!E15/SER_summary!E$26)</f>
        <v>3.7632974983994307</v>
      </c>
      <c r="F15" s="135">
        <f>IF(SER_hh_fech!F15=0,0,SER_hh_fech!F15/SER_summary!F$26)</f>
        <v>3.3765979916586208</v>
      </c>
      <c r="G15" s="135">
        <f>IF(SER_hh_fech!G15=0,0,SER_hh_fech!G15/SER_summary!G$26)</f>
        <v>3.002158695333172</v>
      </c>
      <c r="H15" s="135">
        <f>IF(SER_hh_fech!H15=0,0,SER_hh_fech!H15/SER_summary!H$26)</f>
        <v>3.1407219653040697</v>
      </c>
      <c r="I15" s="135">
        <f>IF(SER_hh_fech!I15=0,0,SER_hh_fech!I15/SER_summary!I$26)</f>
        <v>2.7716883296368917</v>
      </c>
      <c r="J15" s="135">
        <f>IF(SER_hh_fech!J15=0,0,SER_hh_fech!J15/SER_summary!J$26)</f>
        <v>3.2381794847708387</v>
      </c>
      <c r="K15" s="135">
        <f>IF(SER_hh_fech!K15=0,0,SER_hh_fech!K15/SER_summary!K$26)</f>
        <v>3.1907882730745207</v>
      </c>
      <c r="L15" s="135">
        <f>IF(SER_hh_fech!L15=0,0,SER_hh_fech!L15/SER_summary!L$26)</f>
        <v>3.9364721316926228</v>
      </c>
      <c r="M15" s="135">
        <f>IF(SER_hh_fech!M15=0,0,SER_hh_fech!M15/SER_summary!M$26)</f>
        <v>2.1537199780944505</v>
      </c>
      <c r="N15" s="135">
        <f>IF(SER_hh_fech!N15=0,0,SER_hh_fech!N15/SER_summary!N$26)</f>
        <v>3.017172126432476</v>
      </c>
      <c r="O15" s="135">
        <f>IF(SER_hh_fech!O15=0,0,SER_hh_fech!O15/SER_summary!O$26)</f>
        <v>3.1547621220230022</v>
      </c>
      <c r="P15" s="135">
        <f>IF(SER_hh_fech!P15=0,0,SER_hh_fech!P15/SER_summary!P$26)</f>
        <v>2.4568778094661679</v>
      </c>
      <c r="Q15" s="135">
        <f>IF(SER_hh_fech!Q15=0,0,SER_hh_fech!Q15/SER_summary!Q$26)</f>
        <v>3.0329993900269026</v>
      </c>
      <c r="R15" s="135">
        <f>IF(SER_hh_fech!R15=0,0,SER_hh_fech!R15/SER_summary!R$26)</f>
        <v>3.2032667413176554</v>
      </c>
      <c r="S15" s="135">
        <f>IF(SER_hh_fech!S15=0,0,SER_hh_fech!S15/SER_summary!S$26)</f>
        <v>3.2582654013233188</v>
      </c>
      <c r="T15" s="135">
        <f>IF(SER_hh_fech!T15=0,0,SER_hh_fech!T15/SER_summary!T$26)</f>
        <v>3.4319217080264064</v>
      </c>
      <c r="U15" s="135">
        <f>IF(SER_hh_fech!U15=0,0,SER_hh_fech!U15/SER_summary!U$26)</f>
        <v>3.9434901204476662</v>
      </c>
      <c r="V15" s="135">
        <f>IF(SER_hh_fech!V15=0,0,SER_hh_fech!V15/SER_summary!V$26)</f>
        <v>3.3737356699673158</v>
      </c>
      <c r="W15" s="135">
        <f>IF(SER_hh_fech!W15=0,0,SER_hh_fech!W15/SER_summary!W$26)</f>
        <v>3.8404004068263831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20.608721851367079</v>
      </c>
      <c r="C16" s="131">
        <f>IF(SER_hh_fech!C16=0,0,SER_hh_fech!C16/SER_summary!C$26)</f>
        <v>19.461584733820263</v>
      </c>
      <c r="D16" s="131">
        <f>IF(SER_hh_fech!D16=0,0,SER_hh_fech!D16/SER_summary!D$26)</f>
        <v>18.488824901667559</v>
      </c>
      <c r="E16" s="131">
        <f>IF(SER_hh_fech!E16=0,0,SER_hh_fech!E16/SER_summary!E$26)</f>
        <v>22.641124404618843</v>
      </c>
      <c r="F16" s="131">
        <f>IF(SER_hh_fech!F16=0,0,SER_hh_fech!F16/SER_summary!F$26)</f>
        <v>16.566867495618304</v>
      </c>
      <c r="G16" s="131">
        <f>IF(SER_hh_fech!G16=0,0,SER_hh_fech!G16/SER_summary!G$26)</f>
        <v>16.267149887356098</v>
      </c>
      <c r="H16" s="131">
        <f>IF(SER_hh_fech!H16=0,0,SER_hh_fech!H16/SER_summary!H$26)</f>
        <v>18.443489561694584</v>
      </c>
      <c r="I16" s="131">
        <f>IF(SER_hh_fech!I16=0,0,SER_hh_fech!I16/SER_summary!I$26)</f>
        <v>14.775430176619265</v>
      </c>
      <c r="J16" s="131">
        <f>IF(SER_hh_fech!J16=0,0,SER_hh_fech!J16/SER_summary!J$26)</f>
        <v>14.236505026841142</v>
      </c>
      <c r="K16" s="131">
        <f>IF(SER_hh_fech!K16=0,0,SER_hh_fech!K16/SER_summary!K$26)</f>
        <v>14.147161791684264</v>
      </c>
      <c r="L16" s="131">
        <f>IF(SER_hh_fech!L16=0,0,SER_hh_fech!L16/SER_summary!L$26)</f>
        <v>14.818851460535404</v>
      </c>
      <c r="M16" s="131">
        <f>IF(SER_hh_fech!M16=0,0,SER_hh_fech!M16/SER_summary!M$26)</f>
        <v>13.495650711754093</v>
      </c>
      <c r="N16" s="131">
        <f>IF(SER_hh_fech!N16=0,0,SER_hh_fech!N16/SER_summary!N$26)</f>
        <v>13.510440259005696</v>
      </c>
      <c r="O16" s="131">
        <f>IF(SER_hh_fech!O16=0,0,SER_hh_fech!O16/SER_summary!O$26)</f>
        <v>13.429157479362539</v>
      </c>
      <c r="P16" s="131">
        <f>IF(SER_hh_fech!P16=0,0,SER_hh_fech!P16/SER_summary!P$26)</f>
        <v>12.574447781697781</v>
      </c>
      <c r="Q16" s="131">
        <f>IF(SER_hh_fech!Q16=0,0,SER_hh_fech!Q16/SER_summary!Q$26)</f>
        <v>13.807278080965569</v>
      </c>
      <c r="R16" s="131">
        <f>IF(SER_hh_fech!R16=0,0,SER_hh_fech!R16/SER_summary!R$26)</f>
        <v>12.297500167608721</v>
      </c>
      <c r="S16" s="131">
        <f>IF(SER_hh_fech!S16=0,0,SER_hh_fech!S16/SER_summary!S$26)</f>
        <v>11.940466915743004</v>
      </c>
      <c r="T16" s="131">
        <f>IF(SER_hh_fech!T16=0,0,SER_hh_fech!T16/SER_summary!T$26)</f>
        <v>13.027994728916953</v>
      </c>
      <c r="U16" s="131">
        <f>IF(SER_hh_fech!U16=0,0,SER_hh_fech!U16/SER_summary!U$26)</f>
        <v>12.793403217292378</v>
      </c>
      <c r="V16" s="131">
        <f>IF(SER_hh_fech!V16=0,0,SER_hh_fech!V16/SER_summary!V$26)</f>
        <v>12.577675260783803</v>
      </c>
      <c r="W16" s="131">
        <f>IF(SER_hh_fech!W16=0,0,SER_hh_fech!W16/SER_summary!W$26)</f>
        <v>10.715499075752655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30.204851706685822</v>
      </c>
      <c r="C17" s="133">
        <f>IF(SER_hh_fech!C17=0,0,SER_hh_fech!C17/SER_summary!C$26)</f>
        <v>30.411409355263718</v>
      </c>
      <c r="D17" s="133">
        <f>IF(SER_hh_fech!D17=0,0,SER_hh_fech!D17/SER_summary!D$26)</f>
        <v>30.528870937401628</v>
      </c>
      <c r="E17" s="133">
        <f>IF(SER_hh_fech!E17=0,0,SER_hh_fech!E17/SER_summary!E$26)</f>
        <v>39.078534811278828</v>
      </c>
      <c r="F17" s="133">
        <f>IF(SER_hh_fech!F17=0,0,SER_hh_fech!F17/SER_summary!F$26)</f>
        <v>29.575520499465672</v>
      </c>
      <c r="G17" s="133">
        <f>IF(SER_hh_fech!G17=0,0,SER_hh_fech!G17/SER_summary!G$26)</f>
        <v>30.449629063345544</v>
      </c>
      <c r="H17" s="133">
        <f>IF(SER_hh_fech!H17=0,0,SER_hh_fech!H17/SER_summary!H$26)</f>
        <v>35.75435820551256</v>
      </c>
      <c r="I17" s="133">
        <f>IF(SER_hh_fech!I17=0,0,SER_hh_fech!I17/SER_summary!I$26)</f>
        <v>29.67792885188701</v>
      </c>
      <c r="J17" s="133">
        <f>IF(SER_hh_fech!J17=0,0,SER_hh_fech!J17/SER_summary!J$26)</f>
        <v>29.617007127772808</v>
      </c>
      <c r="K17" s="133">
        <f>IF(SER_hh_fech!K17=0,0,SER_hh_fech!K17/SER_summary!K$26)</f>
        <v>35.142708081716407</v>
      </c>
      <c r="L17" s="133">
        <f>IF(SER_hh_fech!L17=0,0,SER_hh_fech!L17/SER_summary!L$26)</f>
        <v>32.072491925075141</v>
      </c>
      <c r="M17" s="133">
        <f>IF(SER_hh_fech!M17=0,0,SER_hh_fech!M17/SER_summary!M$26)</f>
        <v>30.003500294244017</v>
      </c>
      <c r="N17" s="133">
        <f>IF(SER_hh_fech!N17=0,0,SER_hh_fech!N17/SER_summary!N$26)</f>
        <v>30.794417378275</v>
      </c>
      <c r="O17" s="133">
        <f>IF(SER_hh_fech!O17=0,0,SER_hh_fech!O17/SER_summary!O$26)</f>
        <v>31.146627122179083</v>
      </c>
      <c r="P17" s="133">
        <f>IF(SER_hh_fech!P17=0,0,SER_hh_fech!P17/SER_summary!P$26)</f>
        <v>29.470365824219471</v>
      </c>
      <c r="Q17" s="133">
        <f>IF(SER_hh_fech!Q17=0,0,SER_hh_fech!Q17/SER_summary!Q$26)</f>
        <v>32.923357724357118</v>
      </c>
      <c r="R17" s="133">
        <f>IF(SER_hh_fech!R17=0,0,SER_hh_fech!R17/SER_summary!R$26)</f>
        <v>29.311646202896149</v>
      </c>
      <c r="S17" s="133">
        <f>IF(SER_hh_fech!S17=0,0,SER_hh_fech!S17/SER_summary!S$26)</f>
        <v>29.880025058176393</v>
      </c>
      <c r="T17" s="133">
        <f>IF(SER_hh_fech!T17=0,0,SER_hh_fech!T17/SER_summary!T$26)</f>
        <v>32.237822441253371</v>
      </c>
      <c r="U17" s="133">
        <f>IF(SER_hh_fech!U17=0,0,SER_hh_fech!U17/SER_summary!U$26)</f>
        <v>31.933450453877803</v>
      </c>
      <c r="V17" s="133">
        <f>IF(SER_hh_fech!V17=0,0,SER_hh_fech!V17/SER_summary!V$26)</f>
        <v>31.536997781224176</v>
      </c>
      <c r="W17" s="133">
        <f>IF(SER_hh_fech!W17=0,0,SER_hh_fech!W17/SER_summary!W$26)</f>
        <v>30.94699136019214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20.566606166138452</v>
      </c>
      <c r="C18" s="133">
        <f>IF(SER_hh_fech!C18=0,0,SER_hh_fech!C18/SER_summary!C$26)</f>
        <v>19.409984195685315</v>
      </c>
      <c r="D18" s="133">
        <f>IF(SER_hh_fech!D18=0,0,SER_hh_fech!D18/SER_summary!D$26)</f>
        <v>18.419864257357563</v>
      </c>
      <c r="E18" s="133">
        <f>IF(SER_hh_fech!E18=0,0,SER_hh_fech!E18/SER_summary!E$26)</f>
        <v>22.576179249527812</v>
      </c>
      <c r="F18" s="133">
        <f>IF(SER_hh_fech!F18=0,0,SER_hh_fech!F18/SER_summary!F$26)</f>
        <v>16.476445334753599</v>
      </c>
      <c r="G18" s="133">
        <f>IF(SER_hh_fech!G18=0,0,SER_hh_fech!G18/SER_summary!G$26)</f>
        <v>16.175691140893214</v>
      </c>
      <c r="H18" s="133">
        <f>IF(SER_hh_fech!H18=0,0,SER_hh_fech!H18/SER_summary!H$26)</f>
        <v>18.325978466640805</v>
      </c>
      <c r="I18" s="133">
        <f>IF(SER_hh_fech!I18=0,0,SER_hh_fech!I18/SER_summary!I$26)</f>
        <v>14.64686051926128</v>
      </c>
      <c r="J18" s="133">
        <f>IF(SER_hh_fech!J18=0,0,SER_hh_fech!J18/SER_summary!J$26)</f>
        <v>14.103902276821524</v>
      </c>
      <c r="K18" s="133">
        <f>IF(SER_hh_fech!K18=0,0,SER_hh_fech!K18/SER_summary!K$26)</f>
        <v>13.957740343342438</v>
      </c>
      <c r="L18" s="133">
        <f>IF(SER_hh_fech!L18=0,0,SER_hh_fech!L18/SER_summary!L$26)</f>
        <v>14.662383840820597</v>
      </c>
      <c r="M18" s="133">
        <f>IF(SER_hh_fech!M18=0,0,SER_hh_fech!M18/SER_summary!M$26)</f>
        <v>13.334082055532399</v>
      </c>
      <c r="N18" s="133">
        <f>IF(SER_hh_fech!N18=0,0,SER_hh_fech!N18/SER_summary!N$26)</f>
        <v>13.332226855303475</v>
      </c>
      <c r="O18" s="133">
        <f>IF(SER_hh_fech!O18=0,0,SER_hh_fech!O18/SER_summary!O$26)</f>
        <v>13.215905368453368</v>
      </c>
      <c r="P18" s="133">
        <f>IF(SER_hh_fech!P18=0,0,SER_hh_fech!P18/SER_summary!P$26)</f>
        <v>12.301575108918561</v>
      </c>
      <c r="Q18" s="133">
        <f>IF(SER_hh_fech!Q18=0,0,SER_hh_fech!Q18/SER_summary!Q$26)</f>
        <v>13.440872341151145</v>
      </c>
      <c r="R18" s="133">
        <f>IF(SER_hh_fech!R18=0,0,SER_hh_fech!R18/SER_summary!R$26)</f>
        <v>11.841216667150606</v>
      </c>
      <c r="S18" s="133">
        <f>IF(SER_hh_fech!S18=0,0,SER_hh_fech!S18/SER_summary!S$26)</f>
        <v>11.395617223378805</v>
      </c>
      <c r="T18" s="133">
        <f>IF(SER_hh_fech!T18=0,0,SER_hh_fech!T18/SER_summary!T$26)</f>
        <v>12.437621710117527</v>
      </c>
      <c r="U18" s="133">
        <f>IF(SER_hh_fech!U18=0,0,SER_hh_fech!U18/SER_summary!U$26)</f>
        <v>12.155501180085468</v>
      </c>
      <c r="V18" s="133">
        <f>IF(SER_hh_fech!V18=0,0,SER_hh_fech!V18/SER_summary!V$26)</f>
        <v>11.889320864546541</v>
      </c>
      <c r="W18" s="133">
        <f>IF(SER_hh_fech!W18=0,0,SER_hh_fech!W18/SER_summary!W$26)</f>
        <v>9.9422690055892371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50.642279665784628</v>
      </c>
      <c r="C19" s="131">
        <f>IF(SER_hh_fech!C19=0,0,SER_hh_fech!C19/SER_summary!C$26)</f>
        <v>50.67191686522365</v>
      </c>
      <c r="D19" s="131">
        <f>IF(SER_hh_fech!D19=0,0,SER_hh_fech!D19/SER_summary!D$26)</f>
        <v>49.94300778453556</v>
      </c>
      <c r="E19" s="131">
        <f>IF(SER_hh_fech!E19=0,0,SER_hh_fech!E19/SER_summary!E$26)</f>
        <v>48.835135245932868</v>
      </c>
      <c r="F19" s="131">
        <f>IF(SER_hh_fech!F19=0,0,SER_hh_fech!F19/SER_summary!F$26)</f>
        <v>48.776698957056979</v>
      </c>
      <c r="G19" s="131">
        <f>IF(SER_hh_fech!G19=0,0,SER_hh_fech!G19/SER_summary!G$26)</f>
        <v>48.349139476723444</v>
      </c>
      <c r="H19" s="131">
        <f>IF(SER_hh_fech!H19=0,0,SER_hh_fech!H19/SER_summary!H$26)</f>
        <v>47.23186258129931</v>
      </c>
      <c r="I19" s="131">
        <f>IF(SER_hh_fech!I19=0,0,SER_hh_fech!I19/SER_summary!I$26)</f>
        <v>46.752631665064456</v>
      </c>
      <c r="J19" s="131">
        <f>IF(SER_hh_fech!J19=0,0,SER_hh_fech!J19/SER_summary!J$26)</f>
        <v>46.956067359473053</v>
      </c>
      <c r="K19" s="131">
        <f>IF(SER_hh_fech!K19=0,0,SER_hh_fech!K19/SER_summary!K$26)</f>
        <v>46.838982722200235</v>
      </c>
      <c r="L19" s="131">
        <f>IF(SER_hh_fech!L19=0,0,SER_hh_fech!L19/SER_summary!L$26)</f>
        <v>47.42252008096721</v>
      </c>
      <c r="M19" s="131">
        <f>IF(SER_hh_fech!M19=0,0,SER_hh_fech!M19/SER_summary!M$26)</f>
        <v>45.696014241687507</v>
      </c>
      <c r="N19" s="131">
        <f>IF(SER_hh_fech!N19=0,0,SER_hh_fech!N19/SER_summary!N$26)</f>
        <v>45.792184482488743</v>
      </c>
      <c r="O19" s="131">
        <f>IF(SER_hh_fech!O19=0,0,SER_hh_fech!O19/SER_summary!O$26)</f>
        <v>45.472409098294591</v>
      </c>
      <c r="P19" s="131">
        <f>IF(SER_hh_fech!P19=0,0,SER_hh_fech!P19/SER_summary!P$26)</f>
        <v>45.765048102800549</v>
      </c>
      <c r="Q19" s="131">
        <f>IF(SER_hh_fech!Q19=0,0,SER_hh_fech!Q19/SER_summary!Q$26)</f>
        <v>45.900418584048701</v>
      </c>
      <c r="R19" s="131">
        <f>IF(SER_hh_fech!R19=0,0,SER_hh_fech!R19/SER_summary!R$26)</f>
        <v>45.096837970832034</v>
      </c>
      <c r="S19" s="131">
        <f>IF(SER_hh_fech!S19=0,0,SER_hh_fech!S19/SER_summary!S$26)</f>
        <v>44.750187174318704</v>
      </c>
      <c r="T19" s="131">
        <f>IF(SER_hh_fech!T19=0,0,SER_hh_fech!T19/SER_summary!T$26)</f>
        <v>44.118809385069959</v>
      </c>
      <c r="U19" s="131">
        <f>IF(SER_hh_fech!U19=0,0,SER_hh_fech!U19/SER_summary!U$26)</f>
        <v>43.580510616946391</v>
      </c>
      <c r="V19" s="131">
        <f>IF(SER_hh_fech!V19=0,0,SER_hh_fech!V19/SER_summary!V$26)</f>
        <v>38.225247599893443</v>
      </c>
      <c r="W19" s="131">
        <f>IF(SER_hh_fech!W19=0,0,SER_hh_fech!W19/SER_summary!W$26)</f>
        <v>39.941756956157299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59.649936036137383</v>
      </c>
      <c r="C22" s="133">
        <f>IF(SER_hh_fech!C22=0,0,SER_hh_fech!C22/SER_summary!C$26)</f>
        <v>58.782664483053686</v>
      </c>
      <c r="D22" s="133">
        <f>IF(SER_hh_fech!D22=0,0,SER_hh_fech!D22/SER_summary!D$26)</f>
        <v>59.728257092821856</v>
      </c>
      <c r="E22" s="133">
        <f>IF(SER_hh_fech!E22=0,0,SER_hh_fech!E22/SER_summary!E$26)</f>
        <v>59.730131219399354</v>
      </c>
      <c r="F22" s="133">
        <f>IF(SER_hh_fech!F22=0,0,SER_hh_fech!F22/SER_summary!F$26)</f>
        <v>61.705618566160005</v>
      </c>
      <c r="G22" s="133">
        <f>IF(SER_hh_fech!G22=0,0,SER_hh_fech!G22/SER_summary!G$26)</f>
        <v>64.6203075931179</v>
      </c>
      <c r="H22" s="133">
        <f>IF(SER_hh_fech!H22=0,0,SER_hh_fech!H22/SER_summary!H$26)</f>
        <v>53.726371440172194</v>
      </c>
      <c r="I22" s="133">
        <f>IF(SER_hh_fech!I22=0,0,SER_hh_fech!I22/SER_summary!I$26)</f>
        <v>58.744777628534663</v>
      </c>
      <c r="J22" s="133">
        <f>IF(SER_hh_fech!J22=0,0,SER_hh_fech!J22/SER_summary!J$26)</f>
        <v>48.425048913990437</v>
      </c>
      <c r="K22" s="133">
        <f>IF(SER_hh_fech!K22=0,0,SER_hh_fech!K22/SER_summary!K$26)</f>
        <v>51.564643050562019</v>
      </c>
      <c r="L22" s="133">
        <f>IF(SER_hh_fech!L22=0,0,SER_hh_fech!L22/SER_summary!L$26)</f>
        <v>69.202069852385122</v>
      </c>
      <c r="M22" s="133">
        <f>IF(SER_hh_fech!M22=0,0,SER_hh_fech!M22/SER_summary!M$26)</f>
        <v>45.793043232883996</v>
      </c>
      <c r="N22" s="133">
        <f>IF(SER_hh_fech!N22=0,0,SER_hh_fech!N22/SER_summary!N$26)</f>
        <v>59.559474031269438</v>
      </c>
      <c r="O22" s="133">
        <f>IF(SER_hh_fech!O22=0,0,SER_hh_fech!O22/SER_summary!O$26)</f>
        <v>55.067390819990415</v>
      </c>
      <c r="P22" s="133">
        <f>IF(SER_hh_fech!P22=0,0,SER_hh_fech!P22/SER_summary!P$26)</f>
        <v>55.565872081046891</v>
      </c>
      <c r="Q22" s="133">
        <f>IF(SER_hh_fech!Q22=0,0,SER_hh_fech!Q22/SER_summary!Q$26)</f>
        <v>50.596021231088351</v>
      </c>
      <c r="R22" s="133">
        <f>IF(SER_hh_fech!R22=0,0,SER_hh_fech!R22/SER_summary!R$26)</f>
        <v>42.275764504923146</v>
      </c>
      <c r="S22" s="133">
        <f>IF(SER_hh_fech!S22=0,0,SER_hh_fech!S22/SER_summary!S$26)</f>
        <v>53.175626342803234</v>
      </c>
      <c r="T22" s="133">
        <f>IF(SER_hh_fech!T22=0,0,SER_hh_fech!T22/SER_summary!T$26)</f>
        <v>49.426541754370241</v>
      </c>
      <c r="U22" s="133">
        <f>IF(SER_hh_fech!U22=0,0,SER_hh_fech!U22/SER_summary!U$26)</f>
        <v>50.069359612471459</v>
      </c>
      <c r="V22" s="133">
        <f>IF(SER_hh_fech!V22=0,0,SER_hh_fech!V22/SER_summary!V$26)</f>
        <v>39.562839509919655</v>
      </c>
      <c r="W22" s="133">
        <f>IF(SER_hh_fech!W22=0,0,SER_hh_fech!W22/SER_summary!W$26)</f>
        <v>44.886290193252471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57.292403403627169</v>
      </c>
      <c r="C23" s="133">
        <f>IF(SER_hh_fech!C23=0,0,SER_hh_fech!C23/SER_summary!C$26)</f>
        <v>57.558344755888548</v>
      </c>
      <c r="D23" s="133">
        <f>IF(SER_hh_fech!D23=0,0,SER_hh_fech!D23/SER_summary!D$26)</f>
        <v>56.089975959562047</v>
      </c>
      <c r="E23" s="133">
        <f>IF(SER_hh_fech!E23=0,0,SER_hh_fech!E23/SER_summary!E$26)</f>
        <v>57.766756952554786</v>
      </c>
      <c r="F23" s="133">
        <f>IF(SER_hh_fech!F23=0,0,SER_hh_fech!F23/SER_summary!F$26)</f>
        <v>55.743845281579937</v>
      </c>
      <c r="G23" s="133">
        <f>IF(SER_hh_fech!G23=0,0,SER_hh_fech!G23/SER_summary!G$26)</f>
        <v>55.401289084202155</v>
      </c>
      <c r="H23" s="133">
        <f>IF(SER_hh_fech!H23=0,0,SER_hh_fech!H23/SER_summary!H$26)</f>
        <v>53.412207909246746</v>
      </c>
      <c r="I23" s="133">
        <f>IF(SER_hh_fech!I23=0,0,SER_hh_fech!I23/SER_summary!I$26)</f>
        <v>51.269179148201779</v>
      </c>
      <c r="J23" s="133">
        <f>IF(SER_hh_fech!J23=0,0,SER_hh_fech!J23/SER_summary!J$26)</f>
        <v>56.457133248245633</v>
      </c>
      <c r="K23" s="133">
        <f>IF(SER_hh_fech!K23=0,0,SER_hh_fech!K23/SER_summary!K$26)</f>
        <v>50.438369822153454</v>
      </c>
      <c r="L23" s="133">
        <f>IF(SER_hh_fech!L23=0,0,SER_hh_fech!L23/SER_summary!L$26)</f>
        <v>54.820499761491455</v>
      </c>
      <c r="M23" s="133">
        <f>IF(SER_hh_fech!M23=0,0,SER_hh_fech!M23/SER_summary!M$26)</f>
        <v>51.463043389387096</v>
      </c>
      <c r="N23" s="133">
        <f>IF(SER_hh_fech!N23=0,0,SER_hh_fech!N23/SER_summary!N$26)</f>
        <v>48.424732384964052</v>
      </c>
      <c r="O23" s="133">
        <f>IF(SER_hh_fech!O23=0,0,SER_hh_fech!O23/SER_summary!O$26)</f>
        <v>48.118036838458131</v>
      </c>
      <c r="P23" s="133">
        <f>IF(SER_hh_fech!P23=0,0,SER_hh_fech!P23/SER_summary!P$26)</f>
        <v>49.905425870719739</v>
      </c>
      <c r="Q23" s="133">
        <f>IF(SER_hh_fech!Q23=0,0,SER_hh_fech!Q23/SER_summary!Q$26)</f>
        <v>55.624735920398585</v>
      </c>
      <c r="R23" s="133">
        <f>IF(SER_hh_fech!R23=0,0,SER_hh_fech!R23/SER_summary!R$26)</f>
        <v>58.664564294537769</v>
      </c>
      <c r="S23" s="133">
        <f>IF(SER_hh_fech!S23=0,0,SER_hh_fech!S23/SER_summary!S$26)</f>
        <v>42.748437113248691</v>
      </c>
      <c r="T23" s="133">
        <f>IF(SER_hh_fech!T23=0,0,SER_hh_fech!T23/SER_summary!T$26)</f>
        <v>48.002561395484207</v>
      </c>
      <c r="U23" s="133">
        <f>IF(SER_hh_fech!U23=0,0,SER_hh_fech!U23/SER_summary!U$26)</f>
        <v>49.573266478935039</v>
      </c>
      <c r="V23" s="133">
        <f>IF(SER_hh_fech!V23=0,0,SER_hh_fech!V23/SER_summary!V$26)</f>
        <v>35.6696576186512</v>
      </c>
      <c r="W23" s="133">
        <f>IF(SER_hh_fech!W23=0,0,SER_hh_fech!W23/SER_summary!W$26)</f>
        <v>53.163629429516305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36.248908494642095</v>
      </c>
      <c r="C25" s="133">
        <f>IF(SER_hh_fech!C25=0,0,SER_hh_fech!C25/SER_summary!C$26)</f>
        <v>32.254549540418864</v>
      </c>
      <c r="D25" s="133">
        <f>IF(SER_hh_fech!D25=0,0,SER_hh_fech!D25/SER_summary!D$26)</f>
        <v>35.500408215879624</v>
      </c>
      <c r="E25" s="133">
        <f>IF(SER_hh_fech!E25=0,0,SER_hh_fech!E25/SER_summary!E$26)</f>
        <v>43.896926669250526</v>
      </c>
      <c r="F25" s="133">
        <f>IF(SER_hh_fech!F25=0,0,SER_hh_fech!F25/SER_summary!F$26)</f>
        <v>39.696413880779438</v>
      </c>
      <c r="G25" s="133">
        <f>IF(SER_hh_fech!G25=0,0,SER_hh_fech!G25/SER_summary!G$26)</f>
        <v>38.162517374869772</v>
      </c>
      <c r="H25" s="133">
        <f>IF(SER_hh_fech!H25=0,0,SER_hh_fech!H25/SER_summary!H$26)</f>
        <v>38.067922249972639</v>
      </c>
      <c r="I25" s="133">
        <f>IF(SER_hh_fech!I25=0,0,SER_hh_fech!I25/SER_summary!I$26)</f>
        <v>37.895530811200182</v>
      </c>
      <c r="J25" s="133">
        <f>IF(SER_hh_fech!J25=0,0,SER_hh_fech!J25/SER_summary!J$26)</f>
        <v>37.939332534575456</v>
      </c>
      <c r="K25" s="133">
        <f>IF(SER_hh_fech!K25=0,0,SER_hh_fech!K25/SER_summary!K$26)</f>
        <v>39.183704564844405</v>
      </c>
      <c r="L25" s="133">
        <f>IF(SER_hh_fech!L25=0,0,SER_hh_fech!L25/SER_summary!L$26)</f>
        <v>37.147797033000884</v>
      </c>
      <c r="M25" s="133">
        <f>IF(SER_hh_fech!M25=0,0,SER_hh_fech!M25/SER_summary!M$26)</f>
        <v>37.601553805748189</v>
      </c>
      <c r="N25" s="133">
        <f>IF(SER_hh_fech!N25=0,0,SER_hh_fech!N25/SER_summary!N$26)</f>
        <v>38.040698498804709</v>
      </c>
      <c r="O25" s="133">
        <f>IF(SER_hh_fech!O25=0,0,SER_hh_fech!O25/SER_summary!O$26)</f>
        <v>38.285846169604973</v>
      </c>
      <c r="P25" s="133">
        <f>IF(SER_hh_fech!P25=0,0,SER_hh_fech!P25/SER_summary!P$26)</f>
        <v>37.743451870408236</v>
      </c>
      <c r="Q25" s="133">
        <f>IF(SER_hh_fech!Q25=0,0,SER_hh_fech!Q25/SER_summary!Q$26)</f>
        <v>37.769599706166396</v>
      </c>
      <c r="R25" s="133">
        <f>IF(SER_hh_fech!R25=0,0,SER_hh_fech!R25/SER_summary!R$26)</f>
        <v>37.60083981380518</v>
      </c>
      <c r="S25" s="133">
        <f>IF(SER_hh_fech!S25=0,0,SER_hh_fech!S25/SER_summary!S$26)</f>
        <v>39.134893729292457</v>
      </c>
      <c r="T25" s="133">
        <f>IF(SER_hh_fech!T25=0,0,SER_hh_fech!T25/SER_summary!T$26)</f>
        <v>35.098324576207254</v>
      </c>
      <c r="U25" s="133">
        <f>IF(SER_hh_fech!U25=0,0,SER_hh_fech!U25/SER_summary!U$26)</f>
        <v>37.225709348460278</v>
      </c>
      <c r="V25" s="133">
        <f>IF(SER_hh_fech!V25=0,0,SER_hh_fech!V25/SER_summary!V$26)</f>
        <v>35.539284907667273</v>
      </c>
      <c r="W25" s="133">
        <f>IF(SER_hh_fech!W25=0,0,SER_hh_fech!W25/SER_summary!W$26)</f>
        <v>30.867361880520583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47.394208062271318</v>
      </c>
      <c r="C26" s="65">
        <f>IF(SER_hh_fech!C26=0,0,SER_hh_fech!C26/SER_summary!C$26)</f>
        <v>48.734526708294538</v>
      </c>
      <c r="D26" s="65">
        <f>IF(SER_hh_fech!D26=0,0,SER_hh_fech!D26/SER_summary!D$26)</f>
        <v>48.506833381067409</v>
      </c>
      <c r="E26" s="65">
        <f>IF(SER_hh_fech!E26=0,0,SER_hh_fech!E26/SER_summary!E$26)</f>
        <v>42.203527999184622</v>
      </c>
      <c r="F26" s="65">
        <f>IF(SER_hh_fech!F26=0,0,SER_hh_fech!F26/SER_summary!F$26)</f>
        <v>45.159349763314545</v>
      </c>
      <c r="G26" s="65">
        <f>IF(SER_hh_fech!G26=0,0,SER_hh_fech!G26/SER_summary!G$26)</f>
        <v>44.999803888982989</v>
      </c>
      <c r="H26" s="65">
        <f>IF(SER_hh_fech!H26=0,0,SER_hh_fech!H26/SER_summary!H$26)</f>
        <v>48.006485815490556</v>
      </c>
      <c r="I26" s="65">
        <f>IF(SER_hh_fech!I26=0,0,SER_hh_fech!I26/SER_summary!I$26)</f>
        <v>47.142284599934726</v>
      </c>
      <c r="J26" s="65">
        <f>IF(SER_hh_fech!J26=0,0,SER_hh_fech!J26/SER_summary!J$26)</f>
        <v>46.710624909309182</v>
      </c>
      <c r="K26" s="65">
        <f>IF(SER_hh_fech!K26=0,0,SER_hh_fech!K26/SER_summary!K$26)</f>
        <v>48.532793595493736</v>
      </c>
      <c r="L26" s="65">
        <f>IF(SER_hh_fech!L26=0,0,SER_hh_fech!L26/SER_summary!L$26)</f>
        <v>43.628416021769617</v>
      </c>
      <c r="M26" s="65">
        <f>IF(SER_hh_fech!M26=0,0,SER_hh_fech!M26/SER_summary!M$26)</f>
        <v>46.90346887399344</v>
      </c>
      <c r="N26" s="65">
        <f>IF(SER_hh_fech!N26=0,0,SER_hh_fech!N26/SER_summary!N$26)</f>
        <v>44.763489432140815</v>
      </c>
      <c r="O26" s="65">
        <f>IF(SER_hh_fech!O26=0,0,SER_hh_fech!O26/SER_summary!O$26)</f>
        <v>45.042410002554618</v>
      </c>
      <c r="P26" s="65">
        <f>IF(SER_hh_fech!P26=0,0,SER_hh_fech!P26/SER_summary!P$26)</f>
        <v>44.278766958237746</v>
      </c>
      <c r="Q26" s="65">
        <f>IF(SER_hh_fech!Q26=0,0,SER_hh_fech!Q26/SER_summary!Q$26)</f>
        <v>41.53177175050768</v>
      </c>
      <c r="R26" s="65">
        <f>IF(SER_hh_fech!R26=0,0,SER_hh_fech!R26/SER_summary!R$26)</f>
        <v>40.149309905251705</v>
      </c>
      <c r="S26" s="65">
        <f>IF(SER_hh_fech!S26=0,0,SER_hh_fech!S26/SER_summary!S$26)</f>
        <v>45.572368194763861</v>
      </c>
      <c r="T26" s="65">
        <f>IF(SER_hh_fech!T26=0,0,SER_hh_fech!T26/SER_summary!T$26)</f>
        <v>44.187021961904215</v>
      </c>
      <c r="U26" s="65">
        <f>IF(SER_hh_fech!U26=0,0,SER_hh_fech!U26/SER_summary!U$26)</f>
        <v>39.606152261695151</v>
      </c>
      <c r="V26" s="65">
        <f>IF(SER_hh_fech!V26=0,0,SER_hh_fech!V26/SER_summary!V$26)</f>
        <v>40.65624002699964</v>
      </c>
      <c r="W26" s="65">
        <f>IF(SER_hh_fech!W26=0,0,SER_hh_fech!W26/SER_summary!W$26)</f>
        <v>36.153684671985609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52.439626318394041</v>
      </c>
      <c r="C29" s="131">
        <f>IF(SER_hh_fech!C29=0,0,SER_hh_fech!C29/SER_summary!C$26)</f>
        <v>55.137891022194019</v>
      </c>
      <c r="D29" s="131">
        <f>IF(SER_hh_fech!D29=0,0,SER_hh_fech!D29/SER_summary!D$26)</f>
        <v>54.769973162374718</v>
      </c>
      <c r="E29" s="131">
        <f>IF(SER_hh_fech!E29=0,0,SER_hh_fech!E29/SER_summary!E$26)</f>
        <v>54.686177962822448</v>
      </c>
      <c r="F29" s="131">
        <f>IF(SER_hh_fech!F29=0,0,SER_hh_fech!F29/SER_summary!F$26)</f>
        <v>54.688187724081914</v>
      </c>
      <c r="G29" s="131">
        <f>IF(SER_hh_fech!G29=0,0,SER_hh_fech!G29/SER_summary!G$26)</f>
        <v>54.856539964797648</v>
      </c>
      <c r="H29" s="131">
        <f>IF(SER_hh_fech!H29=0,0,SER_hh_fech!H29/SER_summary!H$26)</f>
        <v>55.74075091298937</v>
      </c>
      <c r="I29" s="131">
        <f>IF(SER_hh_fech!I29=0,0,SER_hh_fech!I29/SER_summary!I$26)</f>
        <v>55.533301398963474</v>
      </c>
      <c r="J29" s="131">
        <f>IF(SER_hh_fech!J29=0,0,SER_hh_fech!J29/SER_summary!J$26)</f>
        <v>55.858969301322333</v>
      </c>
      <c r="K29" s="131">
        <f>IF(SER_hh_fech!K29=0,0,SER_hh_fech!K29/SER_summary!K$26)</f>
        <v>58.907209302963039</v>
      </c>
      <c r="L29" s="131">
        <f>IF(SER_hh_fech!L29=0,0,SER_hh_fech!L29/SER_summary!L$26)</f>
        <v>59.578494443525344</v>
      </c>
      <c r="M29" s="131">
        <f>IF(SER_hh_fech!M29=0,0,SER_hh_fech!M29/SER_summary!M$26)</f>
        <v>59.589122582552704</v>
      </c>
      <c r="N29" s="131">
        <f>IF(SER_hh_fech!N29=0,0,SER_hh_fech!N29/SER_summary!N$26)</f>
        <v>59.844799511006634</v>
      </c>
      <c r="O29" s="131">
        <f>IF(SER_hh_fech!O29=0,0,SER_hh_fech!O29/SER_summary!O$26)</f>
        <v>59.541746839706903</v>
      </c>
      <c r="P29" s="131">
        <f>IF(SER_hh_fech!P29=0,0,SER_hh_fech!P29/SER_summary!P$26)</f>
        <v>58.763110637010897</v>
      </c>
      <c r="Q29" s="131">
        <f>IF(SER_hh_fech!Q29=0,0,SER_hh_fech!Q29/SER_summary!Q$26)</f>
        <v>59.185830438815799</v>
      </c>
      <c r="R29" s="131">
        <f>IF(SER_hh_fech!R29=0,0,SER_hh_fech!R29/SER_summary!R$26)</f>
        <v>59.030470145040788</v>
      </c>
      <c r="S29" s="131">
        <f>IF(SER_hh_fech!S29=0,0,SER_hh_fech!S29/SER_summary!S$26)</f>
        <v>58.262570283025184</v>
      </c>
      <c r="T29" s="131">
        <f>IF(SER_hh_fech!T29=0,0,SER_hh_fech!T29/SER_summary!T$26)</f>
        <v>57.867861321174374</v>
      </c>
      <c r="U29" s="131">
        <f>IF(SER_hh_fech!U29=0,0,SER_hh_fech!U29/SER_summary!U$26)</f>
        <v>58.565324971192865</v>
      </c>
      <c r="V29" s="131">
        <f>IF(SER_hh_fech!V29=0,0,SER_hh_fech!V29/SER_summary!V$26)</f>
        <v>53.043899980907618</v>
      </c>
      <c r="W29" s="131">
        <f>IF(SER_hh_fech!W29=0,0,SER_hh_fech!W29/SER_summary!W$26)</f>
        <v>60.247614136699255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41.219222650140843</v>
      </c>
      <c r="C30" s="133">
        <f>IF(SER_hh_fech!C30=0,0,SER_hh_fech!C30/SER_summary!C$26)</f>
        <v>85.993510196050167</v>
      </c>
      <c r="D30" s="133">
        <f>IF(SER_hh_fech!D30=0,0,SER_hh_fech!D30/SER_summary!D$26)</f>
        <v>63.795114921697518</v>
      </c>
      <c r="E30" s="133">
        <f>IF(SER_hh_fech!E30=0,0,SER_hh_fech!E30/SER_summary!E$26)</f>
        <v>30.5946809262872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93.528193127354527</v>
      </c>
      <c r="L30" s="133">
        <f>IF(SER_hh_fech!L30=0,0,SER_hh_fech!L30/SER_summary!L$26)</f>
        <v>76.25056221036084</v>
      </c>
      <c r="M30" s="133">
        <f>IF(SER_hh_fech!M30=0,0,SER_hh_fech!M30/SER_summary!M$26)</f>
        <v>69.025426932027116</v>
      </c>
      <c r="N30" s="133">
        <f>IF(SER_hh_fech!N30=0,0,SER_hh_fech!N30/SER_summary!N$26)</f>
        <v>69.505913234721149</v>
      </c>
      <c r="O30" s="133">
        <f>IF(SER_hh_fech!O30=0,0,SER_hh_fech!O30/SER_summary!O$26)</f>
        <v>72.050811626589649</v>
      </c>
      <c r="P30" s="133">
        <f>IF(SER_hh_fech!P30=0,0,SER_hh_fech!P30/SER_summary!P$26)</f>
        <v>65.456594509991731</v>
      </c>
      <c r="Q30" s="133">
        <f>IF(SER_hh_fech!Q30=0,0,SER_hh_fech!Q30/SER_summary!Q$26)</f>
        <v>71.083444604778265</v>
      </c>
      <c r="R30" s="133">
        <f>IF(SER_hh_fech!R30=0,0,SER_hh_fech!R30/SER_summary!R$26)</f>
        <v>76.942125729054183</v>
      </c>
      <c r="S30" s="133">
        <f>IF(SER_hh_fech!S30=0,0,SER_hh_fech!S30/SER_summary!S$26)</f>
        <v>70.307317234928576</v>
      </c>
      <c r="T30" s="133">
        <f>IF(SER_hh_fech!T30=0,0,SER_hh_fech!T30/SER_summary!T$26)</f>
        <v>61.920100755333848</v>
      </c>
      <c r="U30" s="133">
        <f>IF(SER_hh_fech!U30=0,0,SER_hh_fech!U30/SER_summary!U$26)</f>
        <v>77.342722937455093</v>
      </c>
      <c r="V30" s="133">
        <f>IF(SER_hh_fech!V30=0,0,SER_hh_fech!V30/SER_summary!V$26)</f>
        <v>59.673036640341735</v>
      </c>
      <c r="W30" s="133">
        <f>IF(SER_hh_fech!W30=0,0,SER_hh_fech!W30/SER_summary!W$26)</f>
        <v>94.072833521454541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58.695894170517874</v>
      </c>
      <c r="C31" s="133">
        <f>IF(SER_hh_fech!C31=0,0,SER_hh_fech!C31/SER_summary!C$26)</f>
        <v>59.327854318713221</v>
      </c>
      <c r="D31" s="133">
        <f>IF(SER_hh_fech!D31=0,0,SER_hh_fech!D31/SER_summary!D$26)</f>
        <v>61.688631422277226</v>
      </c>
      <c r="E31" s="133">
        <f>IF(SER_hh_fech!E31=0,0,SER_hh_fech!E31/SER_summary!E$26)</f>
        <v>62.696278583215509</v>
      </c>
      <c r="F31" s="133">
        <f>IF(SER_hh_fech!F31=0,0,SER_hh_fech!F31/SER_summary!F$26)</f>
        <v>64.343937884728163</v>
      </c>
      <c r="G31" s="133">
        <f>IF(SER_hh_fech!G31=0,0,SER_hh_fech!G31/SER_summary!G$26)</f>
        <v>63.05162533781229</v>
      </c>
      <c r="H31" s="133">
        <f>IF(SER_hh_fech!H31=0,0,SER_hh_fech!H31/SER_summary!H$26)</f>
        <v>66.056374187865188</v>
      </c>
      <c r="I31" s="133">
        <f>IF(SER_hh_fech!I31=0,0,SER_hh_fech!I31/SER_summary!I$26)</f>
        <v>66.388469878312193</v>
      </c>
      <c r="J31" s="133">
        <f>IF(SER_hh_fech!J31=0,0,SER_hh_fech!J31/SER_summary!J$26)</f>
        <v>67.592115100321678</v>
      </c>
      <c r="K31" s="133">
        <f>IF(SER_hh_fech!K31=0,0,SER_hh_fech!K31/SER_summary!K$26)</f>
        <v>64.548460266509707</v>
      </c>
      <c r="L31" s="133">
        <f>IF(SER_hh_fech!L31=0,0,SER_hh_fech!L31/SER_summary!L$26)</f>
        <v>66.203211132215415</v>
      </c>
      <c r="M31" s="133">
        <f>IF(SER_hh_fech!M31=0,0,SER_hh_fech!M31/SER_summary!M$26)</f>
        <v>69.657186887746647</v>
      </c>
      <c r="N31" s="133">
        <f>IF(SER_hh_fech!N31=0,0,SER_hh_fech!N31/SER_summary!N$26)</f>
        <v>70.521720129572699</v>
      </c>
      <c r="O31" s="133">
        <f>IF(SER_hh_fech!O31=0,0,SER_hh_fech!O31/SER_summary!O$26)</f>
        <v>69.02807586487117</v>
      </c>
      <c r="P31" s="133">
        <f>IF(SER_hh_fech!P31=0,0,SER_hh_fech!P31/SER_summary!P$26)</f>
        <v>68.663573628784519</v>
      </c>
      <c r="Q31" s="133">
        <f>IF(SER_hh_fech!Q31=0,0,SER_hh_fech!Q31/SER_summary!Q$26)</f>
        <v>70.099605305478491</v>
      </c>
      <c r="R31" s="133">
        <f>IF(SER_hh_fech!R31=0,0,SER_hh_fech!R31/SER_summary!R$26)</f>
        <v>71.37533125541475</v>
      </c>
      <c r="S31" s="133">
        <f>IF(SER_hh_fech!S31=0,0,SER_hh_fech!S31/SER_summary!S$26)</f>
        <v>68.955310347928744</v>
      </c>
      <c r="T31" s="133">
        <f>IF(SER_hh_fech!T31=0,0,SER_hh_fech!T31/SER_summary!T$26)</f>
        <v>73.59963875939134</v>
      </c>
      <c r="U31" s="133">
        <f>IF(SER_hh_fech!U31=0,0,SER_hh_fech!U31/SER_summary!U$26)</f>
        <v>72.564296514910765</v>
      </c>
      <c r="V31" s="133">
        <f>IF(SER_hh_fech!V31=0,0,SER_hh_fech!V31/SER_summary!V$26)</f>
        <v>61.506660597066364</v>
      </c>
      <c r="W31" s="133">
        <f>IF(SER_hh_fech!W31=0,0,SER_hh_fech!W31/SER_summary!W$26)</f>
        <v>102.14948342287802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50.339902799879717</v>
      </c>
      <c r="C33" s="68">
        <f>IF(SER_hh_fech!C33=0,0,SER_hh_fech!C33/SER_summary!C$26)</f>
        <v>37.556905521563948</v>
      </c>
      <c r="D33" s="68">
        <f>IF(SER_hh_fech!D33=0,0,SER_hh_fech!D33/SER_summary!D$26)</f>
        <v>45.852989710543568</v>
      </c>
      <c r="E33" s="68">
        <f>IF(SER_hh_fech!E33=0,0,SER_hh_fech!E33/SER_summary!E$26)</f>
        <v>50.598645064554141</v>
      </c>
      <c r="F33" s="68">
        <f>IF(SER_hh_fech!F33=0,0,SER_hh_fech!F33/SER_summary!F$26)</f>
        <v>47.616447070187334</v>
      </c>
      <c r="G33" s="68">
        <f>IF(SER_hh_fech!G33=0,0,SER_hh_fech!G33/SER_summary!G$26)</f>
        <v>49.282574418870212</v>
      </c>
      <c r="H33" s="68">
        <f>IF(SER_hh_fech!H33=0,0,SER_hh_fech!H33/SER_summary!H$26)</f>
        <v>49.138731930759661</v>
      </c>
      <c r="I33" s="68">
        <f>IF(SER_hh_fech!I33=0,0,SER_hh_fech!I33/SER_summary!I$26)</f>
        <v>49.239868864153962</v>
      </c>
      <c r="J33" s="68">
        <f>IF(SER_hh_fech!J33=0,0,SER_hh_fech!J33/SER_summary!J$26)</f>
        <v>49.803167120883963</v>
      </c>
      <c r="K33" s="68">
        <f>IF(SER_hh_fech!K33=0,0,SER_hh_fech!K33/SER_summary!K$26)</f>
        <v>47.463099120350137</v>
      </c>
      <c r="L33" s="68">
        <f>IF(SER_hh_fech!L33=0,0,SER_hh_fech!L33/SER_summary!L$26)</f>
        <v>50.516966850961083</v>
      </c>
      <c r="M33" s="68">
        <f>IF(SER_hh_fech!M33=0,0,SER_hh_fech!M33/SER_summary!M$26)</f>
        <v>50.941192814380621</v>
      </c>
      <c r="N33" s="68">
        <f>IF(SER_hh_fech!N33=0,0,SER_hh_fech!N33/SER_summary!N$26)</f>
        <v>51.535866693887471</v>
      </c>
      <c r="O33" s="68">
        <f>IF(SER_hh_fech!O33=0,0,SER_hh_fech!O33/SER_summary!O$26)</f>
        <v>51.709454429868572</v>
      </c>
      <c r="P33" s="68">
        <f>IF(SER_hh_fech!P33=0,0,SER_hh_fech!P33/SER_summary!P$26)</f>
        <v>53.493088682439556</v>
      </c>
      <c r="Q33" s="68">
        <f>IF(SER_hh_fech!Q33=0,0,SER_hh_fech!Q33/SER_summary!Q$26)</f>
        <v>52.768671344106913</v>
      </c>
      <c r="R33" s="68">
        <f>IF(SER_hh_fech!R33=0,0,SER_hh_fech!R33/SER_summary!R$26)</f>
        <v>51.414260388256743</v>
      </c>
      <c r="S33" s="68">
        <f>IF(SER_hh_fech!S33=0,0,SER_hh_fech!S33/SER_summary!S$26)</f>
        <v>53.359431895087354</v>
      </c>
      <c r="T33" s="68">
        <f>IF(SER_hh_fech!T33=0,0,SER_hh_fech!T33/SER_summary!T$26)</f>
        <v>54.377575651047785</v>
      </c>
      <c r="U33" s="68">
        <f>IF(SER_hh_fech!U33=0,0,SER_hh_fech!U33/SER_summary!U$26)</f>
        <v>52.926203999389784</v>
      </c>
      <c r="V33" s="68">
        <f>IF(SER_hh_fech!V33=0,0,SER_hh_fech!V33/SER_summary!V$26)</f>
        <v>50.861117820526175</v>
      </c>
      <c r="W33" s="68">
        <f>IF(SER_hh_fech!W33=0,0,SER_hh_fech!W33/SER_summary!W$26)</f>
        <v>51.31520184461526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307.3544157863459</v>
      </c>
      <c r="C3" s="126">
        <f>IF(SER_hh_tesh!C3=0,0,SER_hh_tesh!C3/SER_summary!C$26)</f>
        <v>319.18971230287315</v>
      </c>
      <c r="D3" s="126">
        <f>IF(SER_hh_tesh!D3=0,0,SER_hh_tesh!D3/SER_summary!D$26)</f>
        <v>292.51375650023942</v>
      </c>
      <c r="E3" s="126">
        <f>IF(SER_hh_tesh!E3=0,0,SER_hh_tesh!E3/SER_summary!E$26)</f>
        <v>345.50763571866656</v>
      </c>
      <c r="F3" s="126">
        <f>IF(SER_hh_tesh!F3=0,0,SER_hh_tesh!F3/SER_summary!F$26)</f>
        <v>324.2294380926719</v>
      </c>
      <c r="G3" s="126">
        <f>IF(SER_hh_tesh!G3=0,0,SER_hh_tesh!G3/SER_summary!G$26)</f>
        <v>323.75643827609451</v>
      </c>
      <c r="H3" s="126">
        <f>IF(SER_hh_tesh!H3=0,0,SER_hh_tesh!H3/SER_summary!H$26)</f>
        <v>329.40077806293556</v>
      </c>
      <c r="I3" s="126">
        <f>IF(SER_hh_tesh!I3=0,0,SER_hh_tesh!I3/SER_summary!I$26)</f>
        <v>328.45745900392728</v>
      </c>
      <c r="J3" s="126">
        <f>IF(SER_hh_tesh!J3=0,0,SER_hh_tesh!J3/SER_summary!J$26)</f>
        <v>349.78452127616777</v>
      </c>
      <c r="K3" s="126">
        <f>IF(SER_hh_tesh!K3=0,0,SER_hh_tesh!K3/SER_summary!K$26)</f>
        <v>334.85662179987099</v>
      </c>
      <c r="L3" s="126">
        <f>IF(SER_hh_tesh!L3=0,0,SER_hh_tesh!L3/SER_summary!L$26)</f>
        <v>382.65085616017609</v>
      </c>
      <c r="M3" s="126">
        <f>IF(SER_hh_tesh!M3=0,0,SER_hh_tesh!M3/SER_summary!M$26)</f>
        <v>302.37210194704727</v>
      </c>
      <c r="N3" s="126">
        <f>IF(SER_hh_tesh!N3=0,0,SER_hh_tesh!N3/SER_summary!N$26)</f>
        <v>341.98400322925403</v>
      </c>
      <c r="O3" s="126">
        <f>IF(SER_hh_tesh!O3=0,0,SER_hh_tesh!O3/SER_summary!O$26)</f>
        <v>353.43948258981249</v>
      </c>
      <c r="P3" s="126">
        <f>IF(SER_hh_tesh!P3=0,0,SER_hh_tesh!P3/SER_summary!P$26)</f>
        <v>294.71879677407907</v>
      </c>
      <c r="Q3" s="126">
        <f>IF(SER_hh_tesh!Q3=0,0,SER_hh_tesh!Q3/SER_summary!Q$26)</f>
        <v>333.80472142529766</v>
      </c>
      <c r="R3" s="126">
        <f>IF(SER_hh_tesh!R3=0,0,SER_hh_tesh!R3/SER_summary!R$26)</f>
        <v>331.69644067376333</v>
      </c>
      <c r="S3" s="126">
        <f>IF(SER_hh_tesh!S3=0,0,SER_hh_tesh!S3/SER_summary!S$26)</f>
        <v>370.44688835447988</v>
      </c>
      <c r="T3" s="126">
        <f>IF(SER_hh_tesh!T3=0,0,SER_hh_tesh!T3/SER_summary!T$26)</f>
        <v>380.43734774427543</v>
      </c>
      <c r="U3" s="126">
        <f>IF(SER_hh_tesh!U3=0,0,SER_hh_tesh!U3/SER_summary!U$26)</f>
        <v>431.48896699767971</v>
      </c>
      <c r="V3" s="126">
        <f>IF(SER_hh_tesh!V3=0,0,SER_hh_tesh!V3/SER_summary!V$26)</f>
        <v>418.51702293504587</v>
      </c>
      <c r="W3" s="126">
        <f>IF(SER_hh_tesh!W3=0,0,SER_hh_tesh!W3/SER_summary!W$26)</f>
        <v>461.81228289799736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237.48882874362562</v>
      </c>
      <c r="C4" s="131">
        <f>IF(SER_hh_tesh!C4=0,0,SER_hh_tesh!C4/SER_summary!C$26)</f>
        <v>247.3045528985661</v>
      </c>
      <c r="D4" s="131">
        <f>IF(SER_hh_tesh!D4=0,0,SER_hh_tesh!D4/SER_summary!D$26)</f>
        <v>218.38710766637709</v>
      </c>
      <c r="E4" s="131">
        <f>IF(SER_hh_tesh!E4=0,0,SER_hh_tesh!E4/SER_summary!E$26)</f>
        <v>267.82124880901864</v>
      </c>
      <c r="F4" s="131">
        <f>IF(SER_hh_tesh!F4=0,0,SER_hh_tesh!F4/SER_summary!F$26)</f>
        <v>246.92399071285016</v>
      </c>
      <c r="G4" s="131">
        <f>IF(SER_hh_tesh!G4=0,0,SER_hh_tesh!G4/SER_summary!G$26)</f>
        <v>244.11080773188698</v>
      </c>
      <c r="H4" s="131">
        <f>IF(SER_hh_tesh!H4=0,0,SER_hh_tesh!H4/SER_summary!H$26)</f>
        <v>246.04373951209874</v>
      </c>
      <c r="I4" s="131">
        <f>IF(SER_hh_tesh!I4=0,0,SER_hh_tesh!I4/SER_summary!I$26)</f>
        <v>245.30670887473227</v>
      </c>
      <c r="J4" s="131">
        <f>IF(SER_hh_tesh!J4=0,0,SER_hh_tesh!J4/SER_summary!J$26)</f>
        <v>264.27919207039582</v>
      </c>
      <c r="K4" s="131">
        <f>IF(SER_hh_tesh!K4=0,0,SER_hh_tesh!K4/SER_summary!K$26)</f>
        <v>247.03333581980789</v>
      </c>
      <c r="L4" s="131">
        <f>IF(SER_hh_tesh!L4=0,0,SER_hh_tesh!L4/SER_summary!L$26)</f>
        <v>292.0013028856975</v>
      </c>
      <c r="M4" s="131">
        <f>IF(SER_hh_tesh!M4=0,0,SER_hh_tesh!M4/SER_summary!M$26)</f>
        <v>212.28683177586453</v>
      </c>
      <c r="N4" s="131">
        <f>IF(SER_hh_tesh!N4=0,0,SER_hh_tesh!N4/SER_summary!N$26)</f>
        <v>249.99006434667334</v>
      </c>
      <c r="O4" s="131">
        <f>IF(SER_hh_tesh!O4=0,0,SER_hh_tesh!O4/SER_summary!O$26)</f>
        <v>260.38263365655325</v>
      </c>
      <c r="P4" s="131">
        <f>IF(SER_hh_tesh!P4=0,0,SER_hh_tesh!P4/SER_summary!P$26)</f>
        <v>201.44584053592044</v>
      </c>
      <c r="Q4" s="131">
        <f>IF(SER_hh_tesh!Q4=0,0,SER_hh_tesh!Q4/SER_summary!Q$26)</f>
        <v>236.82011245919435</v>
      </c>
      <c r="R4" s="131">
        <f>IF(SER_hh_tesh!R4=0,0,SER_hh_tesh!R4/SER_summary!R$26)</f>
        <v>236.60260933316277</v>
      </c>
      <c r="S4" s="131">
        <f>IF(SER_hh_tesh!S4=0,0,SER_hh_tesh!S4/SER_summary!S$26)</f>
        <v>274.43102210941089</v>
      </c>
      <c r="T4" s="131">
        <f>IF(SER_hh_tesh!T4=0,0,SER_hh_tesh!T4/SER_summary!T$26)</f>
        <v>281.06696562235709</v>
      </c>
      <c r="U4" s="131">
        <f>IF(SER_hh_tesh!U4=0,0,SER_hh_tesh!U4/SER_summary!U$26)</f>
        <v>330.84565009674935</v>
      </c>
      <c r="V4" s="131">
        <f>IF(SER_hh_tesh!V4=0,0,SER_hh_tesh!V4/SER_summary!V$26)</f>
        <v>324.64604284074761</v>
      </c>
      <c r="W4" s="131">
        <f>IF(SER_hh_tesh!W4=0,0,SER_hh_tesh!W4/SER_summary!W$26)</f>
        <v>364.46004088717422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190.81999320473997</v>
      </c>
      <c r="C7" s="133">
        <f>IF(SER_hh_tesh!C7=0,0,SER_hh_tesh!C7/SER_summary!C$26)</f>
        <v>251.43507839153904</v>
      </c>
      <c r="D7" s="133">
        <f>IF(SER_hh_tesh!D7=0,0,SER_hh_tesh!D7/SER_summary!D$26)</f>
        <v>238.93971998292457</v>
      </c>
      <c r="E7" s="133">
        <f>IF(SER_hh_tesh!E7=0,0,SER_hh_tesh!E7/SER_summary!E$26)</f>
        <v>233.79173469085157</v>
      </c>
      <c r="F7" s="133">
        <f>IF(SER_hh_tesh!F7=0,0,SER_hh_tesh!F7/SER_summary!F$26)</f>
        <v>256.2621597805778</v>
      </c>
      <c r="G7" s="133">
        <f>IF(SER_hh_tesh!G7=0,0,SER_hh_tesh!G7/SER_summary!G$26)</f>
        <v>268.69093408779071</v>
      </c>
      <c r="H7" s="133">
        <f>IF(SER_hh_tesh!H7=0,0,SER_hh_tesh!H7/SER_summary!H$26)</f>
        <v>201.59184370367865</v>
      </c>
      <c r="I7" s="133">
        <f>IF(SER_hh_tesh!I7=0,0,SER_hh_tesh!I7/SER_summary!I$26)</f>
        <v>237.81104682576571</v>
      </c>
      <c r="J7" s="133">
        <f>IF(SER_hh_tesh!J7=0,0,SER_hh_tesh!J7/SER_summary!J$26)</f>
        <v>213.16238565630675</v>
      </c>
      <c r="K7" s="133">
        <f>IF(SER_hh_tesh!K7=0,0,SER_hh_tesh!K7/SER_summary!K$26)</f>
        <v>185.06862692163003</v>
      </c>
      <c r="L7" s="133">
        <f>IF(SER_hh_tesh!L7=0,0,SER_hh_tesh!L7/SER_summary!L$26)</f>
        <v>327.25589011855703</v>
      </c>
      <c r="M7" s="133">
        <f>IF(SER_hh_tesh!M7=0,0,SER_hh_tesh!M7/SER_summary!M$26)</f>
        <v>222.96523796733487</v>
      </c>
      <c r="N7" s="133">
        <f>IF(SER_hh_tesh!N7=0,0,SER_hh_tesh!N7/SER_summary!N$26)</f>
        <v>221.26426324293053</v>
      </c>
      <c r="O7" s="133">
        <f>IF(SER_hh_tesh!O7=0,0,SER_hh_tesh!O7/SER_summary!O$26)</f>
        <v>247.48371557922735</v>
      </c>
      <c r="P7" s="133">
        <f>IF(SER_hh_tesh!P7=0,0,SER_hh_tesh!P7/SER_summary!P$26)</f>
        <v>191.32425626716019</v>
      </c>
      <c r="Q7" s="133">
        <f>IF(SER_hh_tesh!Q7=0,0,SER_hh_tesh!Q7/SER_summary!Q$26)</f>
        <v>246.8987454135501</v>
      </c>
      <c r="R7" s="133">
        <f>IF(SER_hh_tesh!R7=0,0,SER_hh_tesh!R7/SER_summary!R$26)</f>
        <v>217.49490399466964</v>
      </c>
      <c r="S7" s="133">
        <f>IF(SER_hh_tesh!S7=0,0,SER_hh_tesh!S7/SER_summary!S$26)</f>
        <v>292.03115635507464</v>
      </c>
      <c r="T7" s="133">
        <f>IF(SER_hh_tesh!T7=0,0,SER_hh_tesh!T7/SER_summary!T$26)</f>
        <v>278.46670023257951</v>
      </c>
      <c r="U7" s="133">
        <f>IF(SER_hh_tesh!U7=0,0,SER_hh_tesh!U7/SER_summary!U$26)</f>
        <v>342.05410007776214</v>
      </c>
      <c r="V7" s="133">
        <f>IF(SER_hh_tesh!V7=0,0,SER_hh_tesh!V7/SER_summary!V$26)</f>
        <v>318.98217976562762</v>
      </c>
      <c r="W7" s="133">
        <f>IF(SER_hh_tesh!W7=0,0,SER_hh_tesh!W7/SER_summary!W$26)</f>
        <v>297.25950347462742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292.69223141144374</v>
      </c>
      <c r="C9" s="133">
        <f>IF(SER_hh_tesh!C9=0,0,SER_hh_tesh!C9/SER_summary!C$26)</f>
        <v>200.21355539435044</v>
      </c>
      <c r="D9" s="133">
        <f>IF(SER_hh_tesh!D9=0,0,SER_hh_tesh!D9/SER_summary!D$26)</f>
        <v>228.61107514800196</v>
      </c>
      <c r="E9" s="133">
        <f>IF(SER_hh_tesh!E9=0,0,SER_hh_tesh!E9/SER_summary!E$26)</f>
        <v>270.09990632091393</v>
      </c>
      <c r="F9" s="133">
        <f>IF(SER_hh_tesh!F9=0,0,SER_hh_tesh!F9/SER_summary!F$26)</f>
        <v>247.90431268011</v>
      </c>
      <c r="G9" s="133">
        <f>IF(SER_hh_tesh!G9=0,0,SER_hh_tesh!G9/SER_summary!G$26)</f>
        <v>214.0617191571032</v>
      </c>
      <c r="H9" s="133">
        <f>IF(SER_hh_tesh!H9=0,0,SER_hh_tesh!H9/SER_summary!H$26)</f>
        <v>265.00605409073614</v>
      </c>
      <c r="I9" s="133">
        <f>IF(SER_hh_tesh!I9=0,0,SER_hh_tesh!I9/SER_summary!I$26)</f>
        <v>213.81570210350205</v>
      </c>
      <c r="J9" s="133">
        <f>IF(SER_hh_tesh!J9=0,0,SER_hh_tesh!J9/SER_summary!J$26)</f>
        <v>261.51470169176179</v>
      </c>
      <c r="K9" s="133">
        <f>IF(SER_hh_tesh!K9=0,0,SER_hh_tesh!K9/SER_summary!K$26)</f>
        <v>273.52610812881204</v>
      </c>
      <c r="L9" s="133">
        <f>IF(SER_hh_tesh!L9=0,0,SER_hh_tesh!L9/SER_summary!L$26)</f>
        <v>328.38593387010258</v>
      </c>
      <c r="M9" s="133">
        <f>IF(SER_hh_tesh!M9=0,0,SER_hh_tesh!M9/SER_summary!M$26)</f>
        <v>139.19161171492436</v>
      </c>
      <c r="N9" s="133">
        <f>IF(SER_hh_tesh!N9=0,0,SER_hh_tesh!N9/SER_summary!N$26)</f>
        <v>256.83812409025921</v>
      </c>
      <c r="O9" s="133">
        <f>IF(SER_hh_tesh!O9=0,0,SER_hh_tesh!O9/SER_summary!O$26)</f>
        <v>252.53082896462183</v>
      </c>
      <c r="P9" s="133">
        <f>IF(SER_hh_tesh!P9=0,0,SER_hh_tesh!P9/SER_summary!P$26)</f>
        <v>196.41749640005608</v>
      </c>
      <c r="Q9" s="133">
        <f>IF(SER_hh_tesh!Q9=0,0,SER_hh_tesh!Q9/SER_summary!Q$26)</f>
        <v>232.90023416075576</v>
      </c>
      <c r="R9" s="133">
        <f>IF(SER_hh_tesh!R9=0,0,SER_hh_tesh!R9/SER_summary!R$26)</f>
        <v>279.31812492772059</v>
      </c>
      <c r="S9" s="133">
        <f>IF(SER_hh_tesh!S9=0,0,SER_hh_tesh!S9/SER_summary!S$26)</f>
        <v>227.28013231870807</v>
      </c>
      <c r="T9" s="133">
        <f>IF(SER_hh_tesh!T9=0,0,SER_hh_tesh!T9/SER_summary!T$26)</f>
        <v>287.0054139167504</v>
      </c>
      <c r="U9" s="133">
        <f>IF(SER_hh_tesh!U9=0,0,SER_hh_tesh!U9/SER_summary!U$26)</f>
        <v>342.91656466181001</v>
      </c>
      <c r="V9" s="133">
        <f>IF(SER_hh_tesh!V9=0,0,SER_hh_tesh!V9/SER_summary!V$26)</f>
        <v>278.66641744636053</v>
      </c>
      <c r="W9" s="133">
        <f>IF(SER_hh_tesh!W9=0,0,SER_hh_tesh!W9/SER_summary!W$26)</f>
        <v>451.30435169972623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142.07303136674116</v>
      </c>
      <c r="C10" s="133">
        <f>IF(SER_hh_tesh!C10=0,0,SER_hh_tesh!C10/SER_summary!C$26)</f>
        <v>230.72594969088905</v>
      </c>
      <c r="D10" s="133">
        <f>IF(SER_hh_tesh!D10=0,0,SER_hh_tesh!D10/SER_summary!D$26)</f>
        <v>313.96136372510199</v>
      </c>
      <c r="E10" s="133">
        <f>IF(SER_hh_tesh!E10=0,0,SER_hh_tesh!E10/SER_summary!E$26)</f>
        <v>202.98619801469331</v>
      </c>
      <c r="F10" s="133">
        <f>IF(SER_hh_tesh!F10=0,0,SER_hh_tesh!F10/SER_summary!F$26)</f>
        <v>271.63433169314072</v>
      </c>
      <c r="G10" s="133">
        <f>IF(SER_hh_tesh!G10=0,0,SER_hh_tesh!G10/SER_summary!G$26)</f>
        <v>284.21984636517902</v>
      </c>
      <c r="H10" s="133">
        <f>IF(SER_hh_tesh!H10=0,0,SER_hh_tesh!H10/SER_summary!H$26)</f>
        <v>145.28716672924196</v>
      </c>
      <c r="I10" s="133">
        <f>IF(SER_hh_tesh!I10=0,0,SER_hh_tesh!I10/SER_summary!I$26)</f>
        <v>130.34636854566006</v>
      </c>
      <c r="J10" s="133">
        <f>IF(SER_hh_tesh!J10=0,0,SER_hh_tesh!J10/SER_summary!J$26)</f>
        <v>238.8803887879406</v>
      </c>
      <c r="K10" s="133">
        <f>IF(SER_hh_tesh!K10=0,0,SER_hh_tesh!K10/SER_summary!K$26)</f>
        <v>362.99054110844452</v>
      </c>
      <c r="L10" s="133">
        <f>IF(SER_hh_tesh!L10=0,0,SER_hh_tesh!L10/SER_summary!L$26)</f>
        <v>264.7270974212679</v>
      </c>
      <c r="M10" s="133">
        <f>IF(SER_hh_tesh!M10=0,0,SER_hh_tesh!M10/SER_summary!M$26)</f>
        <v>106.13330437391014</v>
      </c>
      <c r="N10" s="133">
        <f>IF(SER_hh_tesh!N10=0,0,SER_hh_tesh!N10/SER_summary!N$26)</f>
        <v>191.70967729043602</v>
      </c>
      <c r="O10" s="133">
        <f>IF(SER_hh_tesh!O10=0,0,SER_hh_tesh!O10/SER_summary!O$26)</f>
        <v>273.07038646602746</v>
      </c>
      <c r="P10" s="133">
        <f>IF(SER_hh_tesh!P10=0,0,SER_hh_tesh!P10/SER_summary!P$26)</f>
        <v>352.66865243249066</v>
      </c>
      <c r="Q10" s="133">
        <f>IF(SER_hh_tesh!Q10=0,0,SER_hh_tesh!Q10/SER_summary!Q$26)</f>
        <v>147.01877376573501</v>
      </c>
      <c r="R10" s="133">
        <f>IF(SER_hh_tesh!R10=0,0,SER_hh_tesh!R10/SER_summary!R$26)</f>
        <v>377.18602536282333</v>
      </c>
      <c r="S10" s="133">
        <f>IF(SER_hh_tesh!S10=0,0,SER_hh_tesh!S10/SER_summary!S$26)</f>
        <v>30.554657633498401</v>
      </c>
      <c r="T10" s="133">
        <f>IF(SER_hh_tesh!T10=0,0,SER_hh_tesh!T10/SER_summary!T$26)</f>
        <v>84.69329443877055</v>
      </c>
      <c r="U10" s="133">
        <f>IF(SER_hh_tesh!U10=0,0,SER_hh_tesh!U10/SER_summary!U$26)</f>
        <v>119.15110457146407</v>
      </c>
      <c r="V10" s="133">
        <f>IF(SER_hh_tesh!V10=0,0,SER_hh_tesh!V10/SER_summary!V$26)</f>
        <v>753.97664275756813</v>
      </c>
      <c r="W10" s="133">
        <f>IF(SER_hh_tesh!W10=0,0,SER_hh_tesh!W10/SER_summary!W$26)</f>
        <v>1916.2660749019817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221.25270338839249</v>
      </c>
      <c r="C12" s="133">
        <f>IF(SER_hh_tesh!C12=0,0,SER_hh_tesh!C12/SER_summary!C$26)</f>
        <v>205.19902446746292</v>
      </c>
      <c r="D12" s="133">
        <f>IF(SER_hh_tesh!D12=0,0,SER_hh_tesh!D12/SER_summary!D$26)</f>
        <v>189.54463596720871</v>
      </c>
      <c r="E12" s="133">
        <f>IF(SER_hh_tesh!E12=0,0,SER_hh_tesh!E12/SER_summary!E$26)</f>
        <v>306.30652510288706</v>
      </c>
      <c r="F12" s="133">
        <f>IF(SER_hh_tesh!F12=0,0,SER_hh_tesh!F12/SER_summary!F$26)</f>
        <v>263.41886212836312</v>
      </c>
      <c r="G12" s="133">
        <f>IF(SER_hh_tesh!G12=0,0,SER_hh_tesh!G12/SER_summary!G$26)</f>
        <v>252.12821609716357</v>
      </c>
      <c r="H12" s="133">
        <f>IF(SER_hh_tesh!H12=0,0,SER_hh_tesh!H12/SER_summary!H$26)</f>
        <v>260.06086628524724</v>
      </c>
      <c r="I12" s="133">
        <f>IF(SER_hh_tesh!I12=0,0,SER_hh_tesh!I12/SER_summary!I$26)</f>
        <v>221.79919014309075</v>
      </c>
      <c r="J12" s="133">
        <f>IF(SER_hh_tesh!J12=0,0,SER_hh_tesh!J12/SER_summary!J$26)</f>
        <v>272.15808253262963</v>
      </c>
      <c r="K12" s="133">
        <f>IF(SER_hh_tesh!K12=0,0,SER_hh_tesh!K12/SER_summary!K$26)</f>
        <v>223.52397315386904</v>
      </c>
      <c r="L12" s="133">
        <f>IF(SER_hh_tesh!L12=0,0,SER_hh_tesh!L12/SER_summary!L$26)</f>
        <v>260.79779631848885</v>
      </c>
      <c r="M12" s="133">
        <f>IF(SER_hh_tesh!M12=0,0,SER_hh_tesh!M12/SER_summary!M$26)</f>
        <v>276.68646124572228</v>
      </c>
      <c r="N12" s="133">
        <f>IF(SER_hh_tesh!N12=0,0,SER_hh_tesh!N12/SER_summary!N$26)</f>
        <v>251.73674921732257</v>
      </c>
      <c r="O12" s="133">
        <f>IF(SER_hh_tesh!O12=0,0,SER_hh_tesh!O12/SER_summary!O$26)</f>
        <v>276.0828134793785</v>
      </c>
      <c r="P12" s="133">
        <f>IF(SER_hh_tesh!P12=0,0,SER_hh_tesh!P12/SER_summary!P$26)</f>
        <v>187.40798574938975</v>
      </c>
      <c r="Q12" s="133">
        <f>IF(SER_hh_tesh!Q12=0,0,SER_hh_tesh!Q12/SER_summary!Q$26)</f>
        <v>234.3590456394264</v>
      </c>
      <c r="R12" s="133">
        <f>IF(SER_hh_tesh!R12=0,0,SER_hh_tesh!R12/SER_summary!R$26)</f>
        <v>237.48534558055047</v>
      </c>
      <c r="S12" s="133">
        <f>IF(SER_hh_tesh!S12=0,0,SER_hh_tesh!S12/SER_summary!S$26)</f>
        <v>259.90661612350664</v>
      </c>
      <c r="T12" s="133">
        <f>IF(SER_hh_tesh!T12=0,0,SER_hh_tesh!T12/SER_summary!T$26)</f>
        <v>267.6484898815209</v>
      </c>
      <c r="U12" s="133">
        <f>IF(SER_hh_tesh!U12=0,0,SER_hh_tesh!U12/SER_summary!U$26)</f>
        <v>297.08872146414745</v>
      </c>
      <c r="V12" s="133">
        <f>IF(SER_hh_tesh!V12=0,0,SER_hh_tesh!V12/SER_summary!V$26)</f>
        <v>355.26923799092771</v>
      </c>
      <c r="W12" s="133">
        <f>IF(SER_hh_tesh!W12=0,0,SER_hh_tesh!W12/SER_summary!W$26)</f>
        <v>355.2289361615754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203.7843480738029</v>
      </c>
      <c r="C14" s="65">
        <f>IF(SER_hh_tesh!C14=0,0,SER_hh_tesh!C14/SER_summary!C$26)</f>
        <v>297.00840640300493</v>
      </c>
      <c r="D14" s="65">
        <f>IF(SER_hh_tesh!D14=0,0,SER_hh_tesh!D14/SER_summary!D$26)</f>
        <v>198.25857255578731</v>
      </c>
      <c r="E14" s="65">
        <f>IF(SER_hh_tesh!E14=0,0,SER_hh_tesh!E14/SER_summary!E$26)</f>
        <v>246.13026307392138</v>
      </c>
      <c r="F14" s="65">
        <f>IF(SER_hh_tesh!F14=0,0,SER_hh_tesh!F14/SER_summary!F$26)</f>
        <v>213.87874746815396</v>
      </c>
      <c r="G14" s="65">
        <f>IF(SER_hh_tesh!G14=0,0,SER_hh_tesh!G14/SER_summary!G$26)</f>
        <v>247.45046475729308</v>
      </c>
      <c r="H14" s="65">
        <f>IF(SER_hh_tesh!H14=0,0,SER_hh_tesh!H14/SER_summary!H$26)</f>
        <v>222.86531622734975</v>
      </c>
      <c r="I14" s="65">
        <f>IF(SER_hh_tesh!I14=0,0,SER_hh_tesh!I14/SER_summary!I$26)</f>
        <v>291.66487210416136</v>
      </c>
      <c r="J14" s="65">
        <f>IF(SER_hh_tesh!J14=0,0,SER_hh_tesh!J14/SER_summary!J$26)</f>
        <v>267.09173577975315</v>
      </c>
      <c r="K14" s="65">
        <f>IF(SER_hh_tesh!K14=0,0,SER_hh_tesh!K14/SER_summary!K$26)</f>
        <v>244.74115446382868</v>
      </c>
      <c r="L14" s="65">
        <f>IF(SER_hh_tesh!L14=0,0,SER_hh_tesh!L14/SER_summary!L$26)</f>
        <v>257.97107787733648</v>
      </c>
      <c r="M14" s="65">
        <f>IF(SER_hh_tesh!M14=0,0,SER_hh_tesh!M14/SER_summary!M$26)</f>
        <v>227.60415446550059</v>
      </c>
      <c r="N14" s="65">
        <f>IF(SER_hh_tesh!N14=0,0,SER_hh_tesh!N14/SER_summary!N$26)</f>
        <v>247.05891515914075</v>
      </c>
      <c r="O14" s="65">
        <f>IF(SER_hh_tesh!O14=0,0,SER_hh_tesh!O14/SER_summary!O$26)</f>
        <v>255.13181379390602</v>
      </c>
      <c r="P14" s="65">
        <f>IF(SER_hh_tesh!P14=0,0,SER_hh_tesh!P14/SER_summary!P$26)</f>
        <v>220.62455308943498</v>
      </c>
      <c r="Q14" s="65">
        <f>IF(SER_hh_tesh!Q14=0,0,SER_hh_tesh!Q14/SER_summary!Q$26)</f>
        <v>225.15125319057557</v>
      </c>
      <c r="R14" s="65">
        <f>IF(SER_hh_tesh!R14=0,0,SER_hh_tesh!R14/SER_summary!R$26)</f>
        <v>179.65010811077738</v>
      </c>
      <c r="S14" s="65">
        <f>IF(SER_hh_tesh!S14=0,0,SER_hh_tesh!S14/SER_summary!S$26)</f>
        <v>322.94631712286395</v>
      </c>
      <c r="T14" s="65">
        <f>IF(SER_hh_tesh!T14=0,0,SER_hh_tesh!T14/SER_summary!T$26)</f>
        <v>280.05896450981976</v>
      </c>
      <c r="U14" s="65">
        <f>IF(SER_hh_tesh!U14=0,0,SER_hh_tesh!U14/SER_summary!U$26)</f>
        <v>332.8267565999796</v>
      </c>
      <c r="V14" s="65">
        <f>IF(SER_hh_tesh!V14=0,0,SER_hh_tesh!V14/SER_summary!V$26)</f>
        <v>312.60063282693557</v>
      </c>
      <c r="W14" s="65">
        <f>IF(SER_hh_tesh!W14=0,0,SER_hh_tesh!W14/SER_summary!W$26)</f>
        <v>365.39982653757994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4.705154865330992</v>
      </c>
      <c r="C15" s="135">
        <f>IF(SER_hh_tesh!C15=0,0,SER_hh_tesh!C15/SER_summary!C$26)</f>
        <v>3.8529408535066572</v>
      </c>
      <c r="D15" s="135">
        <f>IF(SER_hh_tesh!D15=0,0,SER_hh_tesh!D15/SER_summary!D$26)</f>
        <v>3.6625041645737322</v>
      </c>
      <c r="E15" s="135">
        <f>IF(SER_hh_tesh!E15=0,0,SER_hh_tesh!E15/SER_summary!E$26)</f>
        <v>3.7632974983994307</v>
      </c>
      <c r="F15" s="135">
        <f>IF(SER_hh_tesh!F15=0,0,SER_hh_tesh!F15/SER_summary!F$26)</f>
        <v>3.3765979916586208</v>
      </c>
      <c r="G15" s="135">
        <f>IF(SER_hh_tesh!G15=0,0,SER_hh_tesh!G15/SER_summary!G$26)</f>
        <v>3.002158695333172</v>
      </c>
      <c r="H15" s="135">
        <f>IF(SER_hh_tesh!H15=0,0,SER_hh_tesh!H15/SER_summary!H$26)</f>
        <v>3.1407219653040697</v>
      </c>
      <c r="I15" s="135">
        <f>IF(SER_hh_tesh!I15=0,0,SER_hh_tesh!I15/SER_summary!I$26)</f>
        <v>2.7716883296368917</v>
      </c>
      <c r="J15" s="135">
        <f>IF(SER_hh_tesh!J15=0,0,SER_hh_tesh!J15/SER_summary!J$26)</f>
        <v>3.2381794847708387</v>
      </c>
      <c r="K15" s="135">
        <f>IF(SER_hh_tesh!K15=0,0,SER_hh_tesh!K15/SER_summary!K$26)</f>
        <v>3.1907882730745207</v>
      </c>
      <c r="L15" s="135">
        <f>IF(SER_hh_tesh!L15=0,0,SER_hh_tesh!L15/SER_summary!L$26)</f>
        <v>3.9364721316926228</v>
      </c>
      <c r="M15" s="135">
        <f>IF(SER_hh_tesh!M15=0,0,SER_hh_tesh!M15/SER_summary!M$26)</f>
        <v>2.1537199780944505</v>
      </c>
      <c r="N15" s="135">
        <f>IF(SER_hh_tesh!N15=0,0,SER_hh_tesh!N15/SER_summary!N$26)</f>
        <v>3.017172126432476</v>
      </c>
      <c r="O15" s="135">
        <f>IF(SER_hh_tesh!O15=0,0,SER_hh_tesh!O15/SER_summary!O$26)</f>
        <v>3.1547621220230022</v>
      </c>
      <c r="P15" s="135">
        <f>IF(SER_hh_tesh!P15=0,0,SER_hh_tesh!P15/SER_summary!P$26)</f>
        <v>2.4568778094661679</v>
      </c>
      <c r="Q15" s="135">
        <f>IF(SER_hh_tesh!Q15=0,0,SER_hh_tesh!Q15/SER_summary!Q$26)</f>
        <v>3.0329993900269026</v>
      </c>
      <c r="R15" s="135">
        <f>IF(SER_hh_tesh!R15=0,0,SER_hh_tesh!R15/SER_summary!R$26)</f>
        <v>3.2032667413176554</v>
      </c>
      <c r="S15" s="135">
        <f>IF(SER_hh_tesh!S15=0,0,SER_hh_tesh!S15/SER_summary!S$26)</f>
        <v>3.2582654013233188</v>
      </c>
      <c r="T15" s="135">
        <f>IF(SER_hh_tesh!T15=0,0,SER_hh_tesh!T15/SER_summary!T$26)</f>
        <v>3.4319217080264064</v>
      </c>
      <c r="U15" s="135">
        <f>IF(SER_hh_tesh!U15=0,0,SER_hh_tesh!U15/SER_summary!U$26)</f>
        <v>3.9434901204476662</v>
      </c>
      <c r="V15" s="135">
        <f>IF(SER_hh_tesh!V15=0,0,SER_hh_tesh!V15/SER_summary!V$26)</f>
        <v>3.3737356699673158</v>
      </c>
      <c r="W15" s="135">
        <f>IF(SER_hh_tesh!W15=0,0,SER_hh_tesh!W15/SER_summary!W$26)</f>
        <v>3.8404004068263831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38.313886971471689</v>
      </c>
      <c r="C16" s="131">
        <f>IF(SER_hh_tesh!C16=0,0,SER_hh_tesh!C16/SER_summary!C$26)</f>
        <v>39.043824850159204</v>
      </c>
      <c r="D16" s="131">
        <f>IF(SER_hh_tesh!D16=0,0,SER_hh_tesh!D16/SER_summary!D$26)</f>
        <v>39.639059935668818</v>
      </c>
      <c r="E16" s="131">
        <f>IF(SER_hh_tesh!E16=0,0,SER_hh_tesh!E16/SER_summary!E$26)</f>
        <v>50.81469887479642</v>
      </c>
      <c r="F16" s="131">
        <f>IF(SER_hh_tesh!F16=0,0,SER_hh_tesh!F16/SER_summary!F$26)</f>
        <v>38.843799941152412</v>
      </c>
      <c r="G16" s="131">
        <f>IF(SER_hh_tesh!G16=0,0,SER_hh_tesh!G16/SER_summary!G$26)</f>
        <v>40.108233052978484</v>
      </c>
      <c r="H16" s="131">
        <f>IF(SER_hh_tesh!H16=0,0,SER_hh_tesh!H16/SER_summary!H$26)</f>
        <v>47.238862761760025</v>
      </c>
      <c r="I16" s="131">
        <f>IF(SER_hh_tesh!I16=0,0,SER_hh_tesh!I16/SER_summary!I$26)</f>
        <v>39.366074153440124</v>
      </c>
      <c r="J16" s="131">
        <f>IF(SER_hh_tesh!J16=0,0,SER_hh_tesh!J16/SER_summary!J$26)</f>
        <v>39.358321843379144</v>
      </c>
      <c r="K16" s="131">
        <f>IF(SER_hh_tesh!K16=0,0,SER_hh_tesh!K16/SER_summary!K$26)</f>
        <v>39.808486496832906</v>
      </c>
      <c r="L16" s="131">
        <f>IF(SER_hh_tesh!L16=0,0,SER_hh_tesh!L16/SER_summary!L$26)</f>
        <v>42.737939088907829</v>
      </c>
      <c r="M16" s="131">
        <f>IF(SER_hh_tesh!M16=0,0,SER_hh_tesh!M16/SER_summary!M$26)</f>
        <v>40.09321892883942</v>
      </c>
      <c r="N16" s="131">
        <f>IF(SER_hh_tesh!N16=0,0,SER_hh_tesh!N16/SER_summary!N$26)</f>
        <v>41.310783902852606</v>
      </c>
      <c r="O16" s="131">
        <f>IF(SER_hh_tesh!O16=0,0,SER_hh_tesh!O16/SER_summary!O$26)</f>
        <v>42.123599366246346</v>
      </c>
      <c r="P16" s="131">
        <f>IF(SER_hh_tesh!P16=0,0,SER_hh_tesh!P16/SER_summary!P$26)</f>
        <v>40.568160567016847</v>
      </c>
      <c r="Q16" s="131">
        <f>IF(SER_hh_tesh!Q16=0,0,SER_hh_tesh!Q16/SER_summary!Q$26)</f>
        <v>45.984160755849075</v>
      </c>
      <c r="R16" s="131">
        <f>IF(SER_hh_tesh!R16=0,0,SER_hh_tesh!R16/SER_summary!R$26)</f>
        <v>41.858601581645047</v>
      </c>
      <c r="S16" s="131">
        <f>IF(SER_hh_tesh!S16=0,0,SER_hh_tesh!S16/SER_summary!S$26)</f>
        <v>41.80142834473196</v>
      </c>
      <c r="T16" s="131">
        <f>IF(SER_hh_tesh!T16=0,0,SER_hh_tesh!T16/SER_summary!T$26)</f>
        <v>47.128602382249525</v>
      </c>
      <c r="U16" s="131">
        <f>IF(SER_hh_tesh!U16=0,0,SER_hh_tesh!U16/SER_summary!U$26)</f>
        <v>47.376646462563336</v>
      </c>
      <c r="V16" s="131">
        <f>IF(SER_hh_tesh!V16=0,0,SER_hh_tesh!V16/SER_summary!V$26)</f>
        <v>47.476053758468957</v>
      </c>
      <c r="W16" s="131">
        <f>IF(SER_hh_tesh!W16=0,0,SER_hh_tesh!W16/SER_summary!W$26)</f>
        <v>40.937620766396677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38.313886971471689</v>
      </c>
      <c r="C17" s="133">
        <f>IF(SER_hh_tesh!C17=0,0,SER_hh_tesh!C17/SER_summary!C$26)</f>
        <v>39.043833036716123</v>
      </c>
      <c r="D17" s="133">
        <f>IF(SER_hh_tesh!D17=0,0,SER_hh_tesh!D17/SER_summary!D$26)</f>
        <v>39.639058442870009</v>
      </c>
      <c r="E17" s="133">
        <f>IF(SER_hh_tesh!E17=0,0,SER_hh_tesh!E17/SER_summary!E$26)</f>
        <v>50.814695183233844</v>
      </c>
      <c r="F17" s="133">
        <f>IF(SER_hh_tesh!F17=0,0,SER_hh_tesh!F17/SER_summary!F$26)</f>
        <v>38.843797737357818</v>
      </c>
      <c r="G17" s="133">
        <f>IF(SER_hh_tesh!G17=0,0,SER_hh_tesh!G17/SER_summary!G$26)</f>
        <v>40.108232164096499</v>
      </c>
      <c r="H17" s="133">
        <f>IF(SER_hh_tesh!H17=0,0,SER_hh_tesh!H17/SER_summary!H$26)</f>
        <v>47.238862760058574</v>
      </c>
      <c r="I17" s="133">
        <f>IF(SER_hh_tesh!I17=0,0,SER_hh_tesh!I17/SER_summary!I$26)</f>
        <v>39.366074752497049</v>
      </c>
      <c r="J17" s="133">
        <f>IF(SER_hh_tesh!J17=0,0,SER_hh_tesh!J17/SER_summary!J$26)</f>
        <v>39.358322716592504</v>
      </c>
      <c r="K17" s="133">
        <f>IF(SER_hh_tesh!K17=0,0,SER_hh_tesh!K17/SER_summary!K$26)</f>
        <v>46.766280303155277</v>
      </c>
      <c r="L17" s="133">
        <f>IF(SER_hh_tesh!L17=0,0,SER_hh_tesh!L17/SER_summary!L$26)</f>
        <v>42.737940505452713</v>
      </c>
      <c r="M17" s="133">
        <f>IF(SER_hh_tesh!M17=0,0,SER_hh_tesh!M17/SER_summary!M$26)</f>
        <v>40.093220242727732</v>
      </c>
      <c r="N17" s="133">
        <f>IF(SER_hh_tesh!N17=0,0,SER_hh_tesh!N17/SER_summary!N$26)</f>
        <v>41.310781381881874</v>
      </c>
      <c r="O17" s="133">
        <f>IF(SER_hh_tesh!O17=0,0,SER_hh_tesh!O17/SER_summary!O$26)</f>
        <v>42.12359545451276</v>
      </c>
      <c r="P17" s="133">
        <f>IF(SER_hh_tesh!P17=0,0,SER_hh_tesh!P17/SER_summary!P$26)</f>
        <v>40.568157264352351</v>
      </c>
      <c r="Q17" s="133">
        <f>IF(SER_hh_tesh!Q17=0,0,SER_hh_tesh!Q17/SER_summary!Q$26)</f>
        <v>45.984159296296262</v>
      </c>
      <c r="R17" s="133">
        <f>IF(SER_hh_tesh!R17=0,0,SER_hh_tesh!R17/SER_summary!R$26)</f>
        <v>41.858602729080538</v>
      </c>
      <c r="S17" s="133">
        <f>IF(SER_hh_tesh!S17=0,0,SER_hh_tesh!S17/SER_summary!S$26)</f>
        <v>43.276035266014873</v>
      </c>
      <c r="T17" s="133">
        <f>IF(SER_hh_tesh!T17=0,0,SER_hh_tesh!T17/SER_summary!T$26)</f>
        <v>47.128607563315519</v>
      </c>
      <c r="U17" s="133">
        <f>IF(SER_hh_tesh!U17=0,0,SER_hh_tesh!U17/SER_summary!U$26)</f>
        <v>47.376651460951621</v>
      </c>
      <c r="V17" s="133">
        <f>IF(SER_hh_tesh!V17=0,0,SER_hh_tesh!V17/SER_summary!V$26)</f>
        <v>47.476057616831248</v>
      </c>
      <c r="W17" s="133">
        <f>IF(SER_hh_tesh!W17=0,0,SER_hh_tesh!W17/SER_summary!W$26)</f>
        <v>47.361948262940494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38.313886971471689</v>
      </c>
      <c r="C18" s="133">
        <f>IF(SER_hh_tesh!C18=0,0,SER_hh_tesh!C18/SER_summary!C$26)</f>
        <v>39.043824811580436</v>
      </c>
      <c r="D18" s="133">
        <f>IF(SER_hh_tesh!D18=0,0,SER_hh_tesh!D18/SER_summary!D$26)</f>
        <v>39.639059944218985</v>
      </c>
      <c r="E18" s="133">
        <f>IF(SER_hh_tesh!E18=0,0,SER_hh_tesh!E18/SER_summary!E$26)</f>
        <v>50.814698889381987</v>
      </c>
      <c r="F18" s="133">
        <f>IF(SER_hh_tesh!F18=0,0,SER_hh_tesh!F18/SER_summary!F$26)</f>
        <v>38.843799956470825</v>
      </c>
      <c r="G18" s="133">
        <f>IF(SER_hh_tesh!G18=0,0,SER_hh_tesh!G18/SER_summary!G$26)</f>
        <v>40.108233058710617</v>
      </c>
      <c r="H18" s="133">
        <f>IF(SER_hh_tesh!H18=0,0,SER_hh_tesh!H18/SER_summary!H$26)</f>
        <v>47.238862761771578</v>
      </c>
      <c r="I18" s="133">
        <f>IF(SER_hh_tesh!I18=0,0,SER_hh_tesh!I18/SER_summary!I$26)</f>
        <v>39.366074148271828</v>
      </c>
      <c r="J18" s="133">
        <f>IF(SER_hh_tesh!J18=0,0,SER_hh_tesh!J18/SER_summary!J$26)</f>
        <v>39.358321835850752</v>
      </c>
      <c r="K18" s="133">
        <f>IF(SER_hh_tesh!K18=0,0,SER_hh_tesh!K18/SER_summary!K$26)</f>
        <v>39.745713403823025</v>
      </c>
      <c r="L18" s="133">
        <f>IF(SER_hh_tesh!L18=0,0,SER_hh_tesh!L18/SER_summary!L$26)</f>
        <v>42.73793907606165</v>
      </c>
      <c r="M18" s="133">
        <f>IF(SER_hh_tesh!M18=0,0,SER_hh_tesh!M18/SER_summary!M$26)</f>
        <v>40.093218915979904</v>
      </c>
      <c r="N18" s="133">
        <f>IF(SER_hh_tesh!N18=0,0,SER_hh_tesh!N18/SER_summary!N$26)</f>
        <v>41.310783928846092</v>
      </c>
      <c r="O18" s="133">
        <f>IF(SER_hh_tesh!O18=0,0,SER_hh_tesh!O18/SER_summary!O$26)</f>
        <v>42.123599413328996</v>
      </c>
      <c r="P18" s="133">
        <f>IF(SER_hh_tesh!P18=0,0,SER_hh_tesh!P18/SER_summary!P$26)</f>
        <v>40.56816062035557</v>
      </c>
      <c r="Q18" s="133">
        <f>IF(SER_hh_tesh!Q18=0,0,SER_hh_tesh!Q18/SER_summary!Q$26)</f>
        <v>45.984160783824912</v>
      </c>
      <c r="R18" s="133">
        <f>IF(SER_hh_tesh!R18=0,0,SER_hh_tesh!R18/SER_summary!R$26)</f>
        <v>41.858601550873246</v>
      </c>
      <c r="S18" s="133">
        <f>IF(SER_hh_tesh!S18=0,0,SER_hh_tesh!S18/SER_summary!S$26)</f>
        <v>41.756642451955777</v>
      </c>
      <c r="T18" s="133">
        <f>IF(SER_hh_tesh!T18=0,0,SER_hh_tesh!T18/SER_summary!T$26)</f>
        <v>47.128602223020529</v>
      </c>
      <c r="U18" s="133">
        <f>IF(SER_hh_tesh!U18=0,0,SER_hh_tesh!U18/SER_summary!U$26)</f>
        <v>47.376646295976386</v>
      </c>
      <c r="V18" s="133">
        <f>IF(SER_hh_tesh!V18=0,0,SER_hh_tesh!V18/SER_summary!V$26)</f>
        <v>47.476053618383744</v>
      </c>
      <c r="W18" s="133">
        <f>IF(SER_hh_tesh!W18=0,0,SER_hh_tesh!W18/SER_summary!W$26)</f>
        <v>40.69208854706919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31.605801638197978</v>
      </c>
      <c r="C19" s="131">
        <f>IF(SER_hh_tesh!C19=0,0,SER_hh_tesh!C19/SER_summary!C$26)</f>
        <v>31.822242097056023</v>
      </c>
      <c r="D19" s="131">
        <f>IF(SER_hh_tesh!D19=0,0,SER_hh_tesh!D19/SER_summary!D$26)</f>
        <v>31.830688500906732</v>
      </c>
      <c r="E19" s="131">
        <f>IF(SER_hh_tesh!E19=0,0,SER_hh_tesh!E19/SER_summary!E$26)</f>
        <v>31.771777737350398</v>
      </c>
      <c r="F19" s="131">
        <f>IF(SER_hh_tesh!F19=0,0,SER_hh_tesh!F19/SER_summary!F$26)</f>
        <v>31.951851948815452</v>
      </c>
      <c r="G19" s="131">
        <f>IF(SER_hh_tesh!G19=0,0,SER_hh_tesh!G19/SER_summary!G$26)</f>
        <v>31.886329962781133</v>
      </c>
      <c r="H19" s="131">
        <f>IF(SER_hh_tesh!H19=0,0,SER_hh_tesh!H19/SER_summary!H$26)</f>
        <v>31.795697531649896</v>
      </c>
      <c r="I19" s="131">
        <f>IF(SER_hh_tesh!I19=0,0,SER_hh_tesh!I19/SER_summary!I$26)</f>
        <v>31.772665500787209</v>
      </c>
      <c r="J19" s="131">
        <f>IF(SER_hh_tesh!J19=0,0,SER_hh_tesh!J19/SER_summary!J$26)</f>
        <v>32.174723608709876</v>
      </c>
      <c r="K19" s="131">
        <f>IF(SER_hh_tesh!K19=0,0,SER_hh_tesh!K19/SER_summary!K$26)</f>
        <v>32.404652690644738</v>
      </c>
      <c r="L19" s="131">
        <f>IF(SER_hh_tesh!L19=0,0,SER_hh_tesh!L19/SER_summary!L$26)</f>
        <v>32.482177915351016</v>
      </c>
      <c r="M19" s="131">
        <f>IF(SER_hh_tesh!M19=0,0,SER_hh_tesh!M19/SER_summary!M$26)</f>
        <v>31.950800610177254</v>
      </c>
      <c r="N19" s="131">
        <f>IF(SER_hh_tesh!N19=0,0,SER_hh_tesh!N19/SER_summary!N$26)</f>
        <v>32.154045675038169</v>
      </c>
      <c r="O19" s="131">
        <f>IF(SER_hh_tesh!O19=0,0,SER_hh_tesh!O19/SER_summary!O$26)</f>
        <v>32.35598285884209</v>
      </c>
      <c r="P19" s="131">
        <f>IF(SER_hh_tesh!P19=0,0,SER_hh_tesh!P19/SER_summary!P$26)</f>
        <v>32.641886136034479</v>
      </c>
      <c r="Q19" s="131">
        <f>IF(SER_hh_tesh!Q19=0,0,SER_hh_tesh!Q19/SER_summary!Q$26)</f>
        <v>32.948965674769866</v>
      </c>
      <c r="R19" s="131">
        <f>IF(SER_hh_tesh!R19=0,0,SER_hh_tesh!R19/SER_summary!R$26)</f>
        <v>32.748749635099777</v>
      </c>
      <c r="S19" s="131">
        <f>IF(SER_hh_tesh!S19=0,0,SER_hh_tesh!S19/SER_summary!S$26)</f>
        <v>33.002473602859041</v>
      </c>
      <c r="T19" s="131">
        <f>IF(SER_hh_tesh!T19=0,0,SER_hh_tesh!T19/SER_summary!T$26)</f>
        <v>32.864912901781949</v>
      </c>
      <c r="U19" s="131">
        <f>IF(SER_hh_tesh!U19=0,0,SER_hh_tesh!U19/SER_summary!U$26)</f>
        <v>32.984564129788886</v>
      </c>
      <c r="V19" s="131">
        <f>IF(SER_hh_tesh!V19=0,0,SER_hh_tesh!V19/SER_summary!V$26)</f>
        <v>29.713232014235427</v>
      </c>
      <c r="W19" s="131">
        <f>IF(SER_hh_tesh!W19=0,0,SER_hh_tesh!W19/SER_summary!W$26)</f>
        <v>31.12660579214835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31.841125070124782</v>
      </c>
      <c r="C22" s="133">
        <f>IF(SER_hh_tesh!C22=0,0,SER_hh_tesh!C22/SER_summary!C$26)</f>
        <v>31.458461381411734</v>
      </c>
      <c r="D22" s="133">
        <f>IF(SER_hh_tesh!D22=0,0,SER_hh_tesh!D22/SER_summary!D$26)</f>
        <v>32.064470203613432</v>
      </c>
      <c r="E22" s="133">
        <f>IF(SER_hh_tesh!E22=0,0,SER_hh_tesh!E22/SER_summary!E$26)</f>
        <v>32.163895672695304</v>
      </c>
      <c r="F22" s="133">
        <f>IF(SER_hh_tesh!F22=0,0,SER_hh_tesh!F22/SER_summary!F$26)</f>
        <v>33.294631071992477</v>
      </c>
      <c r="G22" s="133">
        <f>IF(SER_hh_tesh!G22=0,0,SER_hh_tesh!G22/SER_summary!G$26)</f>
        <v>34.900053069132682</v>
      </c>
      <c r="H22" s="133">
        <f>IF(SER_hh_tesh!H22=0,0,SER_hh_tesh!H22/SER_summary!H$26)</f>
        <v>29.046614902705784</v>
      </c>
      <c r="I22" s="133">
        <f>IF(SER_hh_tesh!I22=0,0,SER_hh_tesh!I22/SER_summary!I$26)</f>
        <v>31.768338006163674</v>
      </c>
      <c r="J22" s="133">
        <f>IF(SER_hh_tesh!J22=0,0,SER_hh_tesh!J22/SER_summary!J$26)</f>
        <v>26.190435781658756</v>
      </c>
      <c r="K22" s="133">
        <f>IF(SER_hh_tesh!K22=0,0,SER_hh_tesh!K22/SER_summary!K$26)</f>
        <v>28.001968901104714</v>
      </c>
      <c r="L22" s="133">
        <f>IF(SER_hh_tesh!L22=0,0,SER_hh_tesh!L22/SER_summary!L$26)</f>
        <v>38.425752933689189</v>
      </c>
      <c r="M22" s="133">
        <f>IF(SER_hh_tesh!M22=0,0,SER_hh_tesh!M22/SER_summary!M$26)</f>
        <v>25.908118721629069</v>
      </c>
      <c r="N22" s="133">
        <f>IF(SER_hh_tesh!N22=0,0,SER_hh_tesh!N22/SER_summary!N$26)</f>
        <v>34.699684277697543</v>
      </c>
      <c r="O22" s="133">
        <f>IF(SER_hh_tesh!O22=0,0,SER_hh_tesh!O22/SER_summary!O$26)</f>
        <v>32.865025225002221</v>
      </c>
      <c r="P22" s="133">
        <f>IF(SER_hh_tesh!P22=0,0,SER_hh_tesh!P22/SER_summary!P$26)</f>
        <v>33.561440483262579</v>
      </c>
      <c r="Q22" s="133">
        <f>IF(SER_hh_tesh!Q22=0,0,SER_hh_tesh!Q22/SER_summary!Q$26)</f>
        <v>31.156235000139855</v>
      </c>
      <c r="R22" s="133">
        <f>IF(SER_hh_tesh!R22=0,0,SER_hh_tesh!R22/SER_summary!R$26)</f>
        <v>26.897893452182196</v>
      </c>
      <c r="S22" s="133">
        <f>IF(SER_hh_tesh!S22=0,0,SER_hh_tesh!S22/SER_summary!S$26)</f>
        <v>35.518354463855033</v>
      </c>
      <c r="T22" s="133">
        <f>IF(SER_hh_tesh!T22=0,0,SER_hh_tesh!T22/SER_summary!T$26)</f>
        <v>34.046189683938955</v>
      </c>
      <c r="U22" s="133">
        <f>IF(SER_hh_tesh!U22=0,0,SER_hh_tesh!U22/SER_summary!U$26)</f>
        <v>35.264356846090259</v>
      </c>
      <c r="V22" s="133">
        <f>IF(SER_hh_tesh!V22=0,0,SER_hh_tesh!V22/SER_summary!V$26)</f>
        <v>28.144255972746549</v>
      </c>
      <c r="W22" s="133">
        <f>IF(SER_hh_tesh!W22=0,0,SER_hh_tesh!W22/SER_summary!W$26)</f>
        <v>32.264832988498412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31.243996679201167</v>
      </c>
      <c r="C23" s="133">
        <f>IF(SER_hh_tesh!C23=0,0,SER_hh_tesh!C23/SER_summary!C$26)</f>
        <v>31.69740159773265</v>
      </c>
      <c r="D23" s="133">
        <f>IF(SER_hh_tesh!D23=0,0,SER_hh_tesh!D23/SER_summary!D$26)</f>
        <v>31.299037420173789</v>
      </c>
      <c r="E23" s="133">
        <f>IF(SER_hh_tesh!E23=0,0,SER_hh_tesh!E23/SER_summary!E$26)</f>
        <v>32.664355422973685</v>
      </c>
      <c r="F23" s="133">
        <f>IF(SER_hh_tesh!F23=0,0,SER_hh_tesh!F23/SER_summary!F$26)</f>
        <v>31.886587325737214</v>
      </c>
      <c r="G23" s="133">
        <f>IF(SER_hh_tesh!G23=0,0,SER_hh_tesh!G23/SER_summary!G$26)</f>
        <v>32.057540210266346</v>
      </c>
      <c r="H23" s="133">
        <f>IF(SER_hh_tesh!H23=0,0,SER_hh_tesh!H23/SER_summary!H$26)</f>
        <v>31.292815855873005</v>
      </c>
      <c r="I23" s="133">
        <f>IF(SER_hh_tesh!I23=0,0,SER_hh_tesh!I23/SER_summary!I$26)</f>
        <v>30.435502251638798</v>
      </c>
      <c r="J23" s="133">
        <f>IF(SER_hh_tesh!J23=0,0,SER_hh_tesh!J23/SER_summary!J$26)</f>
        <v>34.053630850076587</v>
      </c>
      <c r="K23" s="133">
        <f>IF(SER_hh_tesh!K23=0,0,SER_hh_tesh!K23/SER_summary!K$26)</f>
        <v>30.826237845587723</v>
      </c>
      <c r="L23" s="133">
        <f>IF(SER_hh_tesh!L23=0,0,SER_hh_tesh!L23/SER_summary!L$26)</f>
        <v>34.014799356637504</v>
      </c>
      <c r="M23" s="133">
        <f>IF(SER_hh_tesh!M23=0,0,SER_hh_tesh!M23/SER_summary!M$26)</f>
        <v>32.364212894756122</v>
      </c>
      <c r="N23" s="133">
        <f>IF(SER_hh_tesh!N23=0,0,SER_hh_tesh!N23/SER_summary!N$26)</f>
        <v>30.951700020663459</v>
      </c>
      <c r="O23" s="133">
        <f>IF(SER_hh_tesh!O23=0,0,SER_hh_tesh!O23/SER_summary!O$26)</f>
        <v>31.373482573553762</v>
      </c>
      <c r="P23" s="133">
        <f>IF(SER_hh_tesh!P23=0,0,SER_hh_tesh!P23/SER_summary!P$26)</f>
        <v>32.941450071931037</v>
      </c>
      <c r="Q23" s="133">
        <f>IF(SER_hh_tesh!Q23=0,0,SER_hh_tesh!Q23/SER_summary!Q$26)</f>
        <v>37.216098055138588</v>
      </c>
      <c r="R23" s="133">
        <f>IF(SER_hh_tesh!R23=0,0,SER_hh_tesh!R23/SER_summary!R$26)</f>
        <v>39.793026901971658</v>
      </c>
      <c r="S23" s="133">
        <f>IF(SER_hh_tesh!S23=0,0,SER_hh_tesh!S23/SER_summary!S$26)</f>
        <v>29.343199722027293</v>
      </c>
      <c r="T23" s="133">
        <f>IF(SER_hh_tesh!T23=0,0,SER_hh_tesh!T23/SER_summary!T$26)</f>
        <v>33.189329101696771</v>
      </c>
      <c r="U23" s="133">
        <f>IF(SER_hh_tesh!U23=0,0,SER_hh_tesh!U23/SER_summary!U$26)</f>
        <v>34.552433644418485</v>
      </c>
      <c r="V23" s="133">
        <f>IF(SER_hh_tesh!V23=0,0,SER_hh_tesh!V23/SER_summary!V$26)</f>
        <v>25.052364072120707</v>
      </c>
      <c r="W23" s="133">
        <f>IF(SER_hh_tesh!W23=0,0,SER_hh_tesh!W23/SER_summary!W$26)</f>
        <v>38.019311024478178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29.590577271683493</v>
      </c>
      <c r="C25" s="133">
        <f>IF(SER_hh_tesh!C25=0,0,SER_hh_tesh!C25/SER_summary!C$26)</f>
        <v>26.599458095993278</v>
      </c>
      <c r="D25" s="133">
        <f>IF(SER_hh_tesh!D25=0,0,SER_hh_tesh!D25/SER_summary!D$26)</f>
        <v>29.620954554750398</v>
      </c>
      <c r="E25" s="133">
        <f>IF(SER_hh_tesh!E25=0,0,SER_hh_tesh!E25/SER_summary!E$26)</f>
        <v>36.818464295196918</v>
      </c>
      <c r="F25" s="133">
        <f>IF(SER_hh_tesh!F25=0,0,SER_hh_tesh!F25/SER_summary!F$26)</f>
        <v>33.381259054670316</v>
      </c>
      <c r="G25" s="133">
        <f>IF(SER_hh_tesh!G25=0,0,SER_hh_tesh!G25/SER_summary!G$26)</f>
        <v>32.143961910886809</v>
      </c>
      <c r="H25" s="133">
        <f>IF(SER_hh_tesh!H25=0,0,SER_hh_tesh!H25/SER_summary!H$26)</f>
        <v>32.100233439093799</v>
      </c>
      <c r="I25" s="133">
        <f>IF(SER_hh_tesh!I25=0,0,SER_hh_tesh!I25/SER_summary!I$26)</f>
        <v>31.989646986527511</v>
      </c>
      <c r="J25" s="133">
        <f>IF(SER_hh_tesh!J25=0,0,SER_hh_tesh!J25/SER_summary!J$26)</f>
        <v>32.058961053874121</v>
      </c>
      <c r="K25" s="133">
        <f>IF(SER_hh_tesh!K25=0,0,SER_hh_tesh!K25/SER_summary!K$26)</f>
        <v>33.150860936004861</v>
      </c>
      <c r="L25" s="133">
        <f>IF(SER_hh_tesh!L25=0,0,SER_hh_tesh!L25/SER_summary!L$26)</f>
        <v>31.467435257133868</v>
      </c>
      <c r="M25" s="133">
        <f>IF(SER_hh_tesh!M25=0,0,SER_hh_tesh!M25/SER_summary!M$26)</f>
        <v>31.918734574622647</v>
      </c>
      <c r="N25" s="133">
        <f>IF(SER_hh_tesh!N25=0,0,SER_hh_tesh!N25/SER_summary!N$26)</f>
        <v>32.378553055152942</v>
      </c>
      <c r="O25" s="133">
        <f>IF(SER_hh_tesh!O25=0,0,SER_hh_tesh!O25/SER_summary!O$26)</f>
        <v>32.696839989435581</v>
      </c>
      <c r="P25" s="133">
        <f>IF(SER_hh_tesh!P25=0,0,SER_hh_tesh!P25/SER_summary!P$26)</f>
        <v>32.332273868678577</v>
      </c>
      <c r="Q25" s="133">
        <f>IF(SER_hh_tesh!Q25=0,0,SER_hh_tesh!Q25/SER_summary!Q$26)</f>
        <v>32.512960009457281</v>
      </c>
      <c r="R25" s="133">
        <f>IF(SER_hh_tesh!R25=0,0,SER_hh_tesh!R25/SER_summary!R$26)</f>
        <v>32.579170424824383</v>
      </c>
      <c r="S25" s="133">
        <f>IF(SER_hh_tesh!S25=0,0,SER_hh_tesh!S25/SER_summary!S$26)</f>
        <v>34.205719985710083</v>
      </c>
      <c r="T25" s="133">
        <f>IF(SER_hh_tesh!T25=0,0,SER_hh_tesh!T25/SER_summary!T$26)</f>
        <v>30.952648092081748</v>
      </c>
      <c r="U25" s="133">
        <f>IF(SER_hh_tesh!U25=0,0,SER_hh_tesh!U25/SER_summary!U$26)</f>
        <v>33.078388549337653</v>
      </c>
      <c r="V25" s="133">
        <f>IF(SER_hh_tesh!V25=0,0,SER_hh_tesh!V25/SER_summary!V$26)</f>
        <v>31.756889843598685</v>
      </c>
      <c r="W25" s="133">
        <f>IF(SER_hh_tesh!W25=0,0,SER_hh_tesh!W25/SER_summary!W$26)</f>
        <v>27.68244462761605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31.879198995465739</v>
      </c>
      <c r="C26" s="65">
        <f>IF(SER_hh_tesh!C26=0,0,SER_hh_tesh!C26/SER_summary!C$26)</f>
        <v>32.833556894277194</v>
      </c>
      <c r="D26" s="65">
        <f>IF(SER_hh_tesh!D26=0,0,SER_hh_tesh!D26/SER_summary!D$26)</f>
        <v>32.684780596480323</v>
      </c>
      <c r="E26" s="65">
        <f>IF(SER_hh_tesh!E26=0,0,SER_hh_tesh!E26/SER_summary!E$26)</f>
        <v>28.43957054298895</v>
      </c>
      <c r="F26" s="65">
        <f>IF(SER_hh_tesh!F26=0,0,SER_hh_tesh!F26/SER_summary!F$26)</f>
        <v>30.431401689785471</v>
      </c>
      <c r="G26" s="65">
        <f>IF(SER_hh_tesh!G26=0,0,SER_hh_tesh!G26/SER_summary!G$26)</f>
        <v>30.394206343231868</v>
      </c>
      <c r="H26" s="65">
        <f>IF(SER_hh_tesh!H26=0,0,SER_hh_tesh!H26/SER_summary!H$26)</f>
        <v>32.713562433298932</v>
      </c>
      <c r="I26" s="65">
        <f>IF(SER_hh_tesh!I26=0,0,SER_hh_tesh!I26/SER_summary!I$26)</f>
        <v>32.389247408792961</v>
      </c>
      <c r="J26" s="65">
        <f>IF(SER_hh_tesh!J26=0,0,SER_hh_tesh!J26/SER_summary!J$26)</f>
        <v>32.321057952498414</v>
      </c>
      <c r="K26" s="65">
        <f>IF(SER_hh_tesh!K26=0,0,SER_hh_tesh!K26/SER_summary!K$26)</f>
        <v>33.822869861332236</v>
      </c>
      <c r="L26" s="65">
        <f>IF(SER_hh_tesh!L26=0,0,SER_hh_tesh!L26/SER_summary!L$26)</f>
        <v>30.602681808310951</v>
      </c>
      <c r="M26" s="65">
        <f>IF(SER_hh_tesh!M26=0,0,SER_hh_tesh!M26/SER_summary!M$26)</f>
        <v>33.244853795845081</v>
      </c>
      <c r="N26" s="65">
        <f>IF(SER_hh_tesh!N26=0,0,SER_hh_tesh!N26/SER_summary!N$26)</f>
        <v>32.094238042728762</v>
      </c>
      <c r="O26" s="65">
        <f>IF(SER_hh_tesh!O26=0,0,SER_hh_tesh!O26/SER_summary!O$26)</f>
        <v>32.715256329721527</v>
      </c>
      <c r="P26" s="65">
        <f>IF(SER_hh_tesh!P26=0,0,SER_hh_tesh!P26/SER_summary!P$26)</f>
        <v>32.281657609464787</v>
      </c>
      <c r="Q26" s="65">
        <f>IF(SER_hh_tesh!Q26=0,0,SER_hh_tesh!Q26/SER_summary!Q$26)</f>
        <v>30.427249945311502</v>
      </c>
      <c r="R26" s="65">
        <f>IF(SER_hh_tesh!R26=0,0,SER_hh_tesh!R26/SER_summary!R$26)</f>
        <v>29.602112218247317</v>
      </c>
      <c r="S26" s="65">
        <f>IF(SER_hh_tesh!S26=0,0,SER_hh_tesh!S26/SER_summary!S$26)</f>
        <v>33.729618572520529</v>
      </c>
      <c r="T26" s="65">
        <f>IF(SER_hh_tesh!T26=0,0,SER_hh_tesh!T26/SER_summary!T$26)</f>
        <v>33.210494875639391</v>
      </c>
      <c r="U26" s="65">
        <f>IF(SER_hh_tesh!U26=0,0,SER_hh_tesh!U26/SER_summary!U$26)</f>
        <v>30.282788715590026</v>
      </c>
      <c r="V26" s="65">
        <f>IF(SER_hh_tesh!V26=0,0,SER_hh_tesh!V26/SER_summary!V$26)</f>
        <v>31.948695137235088</v>
      </c>
      <c r="W26" s="65">
        <f>IF(SER_hh_tesh!W26=0,0,SER_hh_tesh!W26/SER_summary!W$26)</f>
        <v>29.205928320057115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34.754057796923703</v>
      </c>
      <c r="C29" s="131">
        <f>IF(SER_hh_tesh!C29=0,0,SER_hh_tesh!C29/SER_summary!C$26)</f>
        <v>35.550593105433173</v>
      </c>
      <c r="D29" s="131">
        <f>IF(SER_hh_tesh!D29=0,0,SER_hh_tesh!D29/SER_summary!D$26)</f>
        <v>36.516392633321615</v>
      </c>
      <c r="E29" s="131">
        <f>IF(SER_hh_tesh!E29=0,0,SER_hh_tesh!E29/SER_summary!E$26)</f>
        <v>37.520581213316355</v>
      </c>
      <c r="F29" s="131">
        <f>IF(SER_hh_tesh!F29=0,0,SER_hh_tesh!F29/SER_summary!F$26)</f>
        <v>37.929396805591594</v>
      </c>
      <c r="G29" s="131">
        <f>IF(SER_hh_tesh!G29=0,0,SER_hh_tesh!G29/SER_summary!G$26)</f>
        <v>38.444341272428161</v>
      </c>
      <c r="H29" s="131">
        <f>IF(SER_hh_tesh!H29=0,0,SER_hh_tesh!H29/SER_summary!H$26)</f>
        <v>39.163219831968476</v>
      </c>
      <c r="I29" s="131">
        <f>IF(SER_hh_tesh!I29=0,0,SER_hh_tesh!I29/SER_summary!I$26)</f>
        <v>39.343144435878017</v>
      </c>
      <c r="J29" s="131">
        <f>IF(SER_hh_tesh!J29=0,0,SER_hh_tesh!J29/SER_summary!J$26)</f>
        <v>39.941695429363016</v>
      </c>
      <c r="K29" s="131">
        <f>IF(SER_hh_tesh!K29=0,0,SER_hh_tesh!K29/SER_summary!K$26)</f>
        <v>40.597966244768983</v>
      </c>
      <c r="L29" s="131">
        <f>IF(SER_hh_tesh!L29=0,0,SER_hh_tesh!L29/SER_summary!L$26)</f>
        <v>41.160272049869604</v>
      </c>
      <c r="M29" s="131">
        <f>IF(SER_hh_tesh!M29=0,0,SER_hh_tesh!M29/SER_summary!M$26)</f>
        <v>41.206564624915792</v>
      </c>
      <c r="N29" s="131">
        <f>IF(SER_hh_tesh!N29=0,0,SER_hh_tesh!N29/SER_summary!N$26)</f>
        <v>41.68151128545874</v>
      </c>
      <c r="O29" s="131">
        <f>IF(SER_hh_tesh!O29=0,0,SER_hh_tesh!O29/SER_summary!O$26)</f>
        <v>41.890184203262258</v>
      </c>
      <c r="P29" s="131">
        <f>IF(SER_hh_tesh!P29=0,0,SER_hh_tesh!P29/SER_summary!P$26)</f>
        <v>42.095879221896254</v>
      </c>
      <c r="Q29" s="131">
        <f>IF(SER_hh_tesh!Q29=0,0,SER_hh_tesh!Q29/SER_summary!Q$26)</f>
        <v>42.652375651352095</v>
      </c>
      <c r="R29" s="131">
        <f>IF(SER_hh_tesh!R29=0,0,SER_hh_tesh!R29/SER_summary!R$26)</f>
        <v>42.80587958732859</v>
      </c>
      <c r="S29" s="131">
        <f>IF(SER_hh_tesh!S29=0,0,SER_hh_tesh!S29/SER_summary!S$26)</f>
        <v>43.146673403863204</v>
      </c>
      <c r="T29" s="131">
        <f>IF(SER_hh_tesh!T29=0,0,SER_hh_tesh!T29/SER_summary!T$26)</f>
        <v>43.503710982743179</v>
      </c>
      <c r="U29" s="131">
        <f>IF(SER_hh_tesh!U29=0,0,SER_hh_tesh!U29/SER_summary!U$26)</f>
        <v>44.256342574842485</v>
      </c>
      <c r="V29" s="131">
        <f>IF(SER_hh_tesh!V29=0,0,SER_hh_tesh!V29/SER_summary!V$26)</f>
        <v>41.022314478716098</v>
      </c>
      <c r="W29" s="131">
        <f>IF(SER_hh_tesh!W29=0,0,SER_hh_tesh!W29/SER_summary!W$26)</f>
        <v>46.117648048059216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24.438689733962189</v>
      </c>
      <c r="C30" s="133">
        <f>IF(SER_hh_tesh!C30=0,0,SER_hh_tesh!C30/SER_summary!C$26)</f>
        <v>51.020823366848454</v>
      </c>
      <c r="D30" s="133">
        <f>IF(SER_hh_tesh!D30=0,0,SER_hh_tesh!D30/SER_summary!D$26)</f>
        <v>37.85350164249413</v>
      </c>
      <c r="E30" s="133">
        <f>IF(SER_hh_tesh!E30=0,0,SER_hh_tesh!E30/SER_summary!E$26)</f>
        <v>18.15367534201129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56.338516352961406</v>
      </c>
      <c r="L30" s="133">
        <f>IF(SER_hh_tesh!L30=0,0,SER_hh_tesh!L30/SER_summary!L$26)</f>
        <v>45.93729072592226</v>
      </c>
      <c r="M30" s="133">
        <f>IF(SER_hh_tesh!M30=0,0,SER_hh_tesh!M30/SER_summary!M$26)</f>
        <v>41.588167331817999</v>
      </c>
      <c r="N30" s="133">
        <f>IF(SER_hh_tesh!N30=0,0,SER_hh_tesh!N30/SER_summary!N$26)</f>
        <v>41.878088983673614</v>
      </c>
      <c r="O30" s="133">
        <f>IF(SER_hh_tesh!O30=0,0,SER_hh_tesh!O30/SER_summary!O$26)</f>
        <v>43.411978807026557</v>
      </c>
      <c r="P30" s="133">
        <f>IF(SER_hh_tesh!P30=0,0,SER_hh_tesh!P30/SER_summary!P$26)</f>
        <v>39.439268670169348</v>
      </c>
      <c r="Q30" s="133">
        <f>IF(SER_hh_tesh!Q30=0,0,SER_hh_tesh!Q30/SER_summary!Q$26)</f>
        <v>42.831260599734087</v>
      </c>
      <c r="R30" s="133">
        <f>IF(SER_hh_tesh!R30=0,0,SER_hh_tesh!R30/SER_summary!R$26)</f>
        <v>46.368381775109007</v>
      </c>
      <c r="S30" s="133">
        <f>IF(SER_hh_tesh!S30=0,0,SER_hh_tesh!S30/SER_summary!S$26)</f>
        <v>42.381819643814843</v>
      </c>
      <c r="T30" s="133">
        <f>IF(SER_hh_tesh!T30=0,0,SER_hh_tesh!T30/SER_summary!T$26)</f>
        <v>37.370387852602072</v>
      </c>
      <c r="U30" s="133">
        <f>IF(SER_hh_tesh!U30=0,0,SER_hh_tesh!U30/SER_summary!U$26)</f>
        <v>46.752969274852845</v>
      </c>
      <c r="V30" s="133">
        <f>IF(SER_hh_tesh!V30=0,0,SER_hh_tesh!V30/SER_summary!V$26)</f>
        <v>36.194425937658785</v>
      </c>
      <c r="W30" s="133">
        <f>IF(SER_hh_tesh!W30=0,0,SER_hh_tesh!W30/SER_summary!W$26)</f>
        <v>57.316789407707546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34.971323943892962</v>
      </c>
      <c r="C31" s="133">
        <f>IF(SER_hh_tesh!C31=0,0,SER_hh_tesh!C31/SER_summary!C$26)</f>
        <v>35.390933389271517</v>
      </c>
      <c r="D31" s="133">
        <f>IF(SER_hh_tesh!D31=0,0,SER_hh_tesh!D31/SER_summary!D$26)</f>
        <v>36.845328065504638</v>
      </c>
      <c r="E31" s="133">
        <f>IF(SER_hh_tesh!E31=0,0,SER_hh_tesh!E31/SER_summary!E$26)</f>
        <v>37.492988098248645</v>
      </c>
      <c r="F31" s="133">
        <f>IF(SER_hh_tesh!F31=0,0,SER_hh_tesh!F31/SER_summary!F$26)</f>
        <v>38.528561751070498</v>
      </c>
      <c r="G31" s="133">
        <f>IF(SER_hh_tesh!G31=0,0,SER_hh_tesh!G31/SER_summary!G$26)</f>
        <v>37.803284296607011</v>
      </c>
      <c r="H31" s="133">
        <f>IF(SER_hh_tesh!H31=0,0,SER_hh_tesh!H31/SER_summary!H$26)</f>
        <v>39.664010246232877</v>
      </c>
      <c r="I31" s="133">
        <f>IF(SER_hh_tesh!I31=0,0,SER_hh_tesh!I31/SER_summary!I$26)</f>
        <v>39.92462109470911</v>
      </c>
      <c r="J31" s="133">
        <f>IF(SER_hh_tesh!J31=0,0,SER_hh_tesh!J31/SER_summary!J$26)</f>
        <v>40.719673702828082</v>
      </c>
      <c r="K31" s="133">
        <f>IF(SER_hh_tesh!K31=0,0,SER_hh_tesh!K31/SER_summary!K$26)</f>
        <v>38.967656765063388</v>
      </c>
      <c r="L31" s="133">
        <f>IF(SER_hh_tesh!L31=0,0,SER_hh_tesh!L31/SER_summary!L$26)</f>
        <v>40.033995438821826</v>
      </c>
      <c r="M31" s="133">
        <f>IF(SER_hh_tesh!M31=0,0,SER_hh_tesh!M31/SER_summary!M$26)</f>
        <v>42.137800527929436</v>
      </c>
      <c r="N31" s="133">
        <f>IF(SER_hh_tesh!N31=0,0,SER_hh_tesh!N31/SER_summary!N$26)</f>
        <v>42.683093034200255</v>
      </c>
      <c r="O31" s="133">
        <f>IF(SER_hh_tesh!O31=0,0,SER_hh_tesh!O31/SER_summary!O$26)</f>
        <v>41.808923010862728</v>
      </c>
      <c r="P31" s="133">
        <f>IF(SER_hh_tesh!P31=0,0,SER_hh_tesh!P31/SER_summary!P$26)</f>
        <v>41.613315716958304</v>
      </c>
      <c r="Q31" s="133">
        <f>IF(SER_hh_tesh!Q31=0,0,SER_hh_tesh!Q31/SER_summary!Q$26)</f>
        <v>42.505532817317658</v>
      </c>
      <c r="R31" s="133">
        <f>IF(SER_hh_tesh!R31=0,0,SER_hh_tesh!R31/SER_summary!R$26)</f>
        <v>43.305385514397557</v>
      </c>
      <c r="S31" s="133">
        <f>IF(SER_hh_tesh!S31=0,0,SER_hh_tesh!S31/SER_summary!S$26)</f>
        <v>41.865066095089944</v>
      </c>
      <c r="T31" s="133">
        <f>IF(SER_hh_tesh!T31=0,0,SER_hh_tesh!T31/SER_summary!T$26)</f>
        <v>44.728468185138354</v>
      </c>
      <c r="U31" s="133">
        <f>IF(SER_hh_tesh!U31=0,0,SER_hh_tesh!U31/SER_summary!U$26)</f>
        <v>44.141518353724251</v>
      </c>
      <c r="V31" s="133">
        <f>IF(SER_hh_tesh!V31=0,0,SER_hh_tesh!V31/SER_summary!V$26)</f>
        <v>37.445872543563482</v>
      </c>
      <c r="W31" s="133">
        <f>IF(SER_hh_tesh!W31=0,0,SER_hh_tesh!W31/SER_summary!W$26)</f>
        <v>62.228598135767832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39.130118458960531</v>
      </c>
      <c r="C33" s="68">
        <f>IF(SER_hh_tesh!C33=0,0,SER_hh_tesh!C33/SER_summary!C$26)</f>
        <v>29.262472726657482</v>
      </c>
      <c r="D33" s="68">
        <f>IF(SER_hh_tesh!D33=0,0,SER_hh_tesh!D33/SER_summary!D$26)</f>
        <v>35.870986378201529</v>
      </c>
      <c r="E33" s="68">
        <f>IF(SER_hh_tesh!E33=0,0,SER_hh_tesh!E33/SER_summary!E$26)</f>
        <v>39.716115217803079</v>
      </c>
      <c r="F33" s="68">
        <f>IF(SER_hh_tesh!F33=0,0,SER_hh_tesh!F33/SER_summary!F$26)</f>
        <v>37.490576513761653</v>
      </c>
      <c r="G33" s="68">
        <f>IF(SER_hh_tesh!G33=0,0,SER_hh_tesh!G33/SER_summary!G$26)</f>
        <v>38.880362293999163</v>
      </c>
      <c r="H33" s="68">
        <f>IF(SER_hh_tesh!H33=0,0,SER_hh_tesh!H33/SER_summary!H$26)</f>
        <v>38.842712991713391</v>
      </c>
      <c r="I33" s="68">
        <f>IF(SER_hh_tesh!I33=0,0,SER_hh_tesh!I33/SER_summary!I$26)</f>
        <v>39.006025382416816</v>
      </c>
      <c r="J33" s="68">
        <f>IF(SER_hh_tesh!J33=0,0,SER_hh_tesh!J33/SER_summary!J$26)</f>
        <v>39.540159250959341</v>
      </c>
      <c r="K33" s="68">
        <f>IF(SER_hh_tesh!K33=0,0,SER_hh_tesh!K33/SER_summary!K$26)</f>
        <v>37.733958536096765</v>
      </c>
      <c r="L33" s="68">
        <f>IF(SER_hh_tesh!L33=0,0,SER_hh_tesh!L33/SER_summary!L$26)</f>
        <v>40.207558878436807</v>
      </c>
      <c r="M33" s="68">
        <f>IF(SER_hh_tesh!M33=0,0,SER_hh_tesh!M33/SER_summary!M$26)</f>
        <v>40.587012840315481</v>
      </c>
      <c r="N33" s="68">
        <f>IF(SER_hh_tesh!N33=0,0,SER_hh_tesh!N33/SER_summary!N$26)</f>
        <v>41.150144913103141</v>
      </c>
      <c r="O33" s="68">
        <f>IF(SER_hh_tesh!O33=0,0,SER_hh_tesh!O33/SER_summary!O$26)</f>
        <v>41.427540607601976</v>
      </c>
      <c r="P33" s="68">
        <f>IF(SER_hh_tesh!P33=0,0,SER_hh_tesh!P33/SER_summary!P$26)</f>
        <v>43.039884143138615</v>
      </c>
      <c r="Q33" s="68">
        <f>IF(SER_hh_tesh!Q33=0,0,SER_hh_tesh!Q33/SER_summary!Q$26)</f>
        <v>42.643732024684759</v>
      </c>
      <c r="R33" s="68">
        <f>IF(SER_hh_tesh!R33=0,0,SER_hh_tesh!R33/SER_summary!R$26)</f>
        <v>41.75780664359506</v>
      </c>
      <c r="S33" s="68">
        <f>IF(SER_hh_tesh!S33=0,0,SER_hh_tesh!S33/SER_summary!S$26)</f>
        <v>43.576516653997849</v>
      </c>
      <c r="T33" s="68">
        <f>IF(SER_hh_tesh!T33=0,0,SER_hh_tesh!T33/SER_summary!T$26)</f>
        <v>44.665955072612327</v>
      </c>
      <c r="U33" s="68">
        <f>IF(SER_hh_tesh!U33=0,0,SER_hh_tesh!U33/SER_summary!U$26)</f>
        <v>43.771508196511256</v>
      </c>
      <c r="V33" s="68">
        <f>IF(SER_hh_tesh!V33=0,0,SER_hh_tesh!V33/SER_summary!V$26)</f>
        <v>42.334095270151934</v>
      </c>
      <c r="W33" s="68">
        <f>IF(SER_hh_tesh!W33=0,0,SER_hh_tesh!W33/SER_summary!W$26)</f>
        <v>42.995096769882991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76.723518745206093</v>
      </c>
      <c r="C3" s="126">
        <f>IF(SER_hh_emih!C3=0,0,SER_hh_emih!C3/SER_summary!C$26)</f>
        <v>70.863578984955623</v>
      </c>
      <c r="D3" s="126">
        <f>IF(SER_hh_emih!D3=0,0,SER_hh_emih!D3/SER_summary!D$26)</f>
        <v>69.361719873416675</v>
      </c>
      <c r="E3" s="126">
        <f>IF(SER_hh_emih!E3=0,0,SER_hh_emih!E3/SER_summary!E$26)</f>
        <v>67.739782823242308</v>
      </c>
      <c r="F3" s="126">
        <f>IF(SER_hh_emih!F3=0,0,SER_hh_emih!F3/SER_summary!F$26)</f>
        <v>62.161869699007283</v>
      </c>
      <c r="G3" s="126">
        <f>IF(SER_hh_emih!G3=0,0,SER_hh_emih!G3/SER_summary!G$26)</f>
        <v>54.798024509998648</v>
      </c>
      <c r="H3" s="126">
        <f>IF(SER_hh_emih!H3=0,0,SER_hh_emih!H3/SER_summary!H$26)</f>
        <v>51.326548237578415</v>
      </c>
      <c r="I3" s="126">
        <f>IF(SER_hh_emih!I3=0,0,SER_hh_emih!I3/SER_summary!I$26)</f>
        <v>45.298039711510476</v>
      </c>
      <c r="J3" s="126">
        <f>IF(SER_hh_emih!J3=0,0,SER_hh_emih!J3/SER_summary!J$26)</f>
        <v>48.766916125300988</v>
      </c>
      <c r="K3" s="126">
        <f>IF(SER_hh_emih!K3=0,0,SER_hh_emih!K3/SER_summary!K$26)</f>
        <v>51.229144341286649</v>
      </c>
      <c r="L3" s="126">
        <f>IF(SER_hh_emih!L3=0,0,SER_hh_emih!L3/SER_summary!L$26)</f>
        <v>64.482843088867256</v>
      </c>
      <c r="M3" s="126">
        <f>IF(SER_hh_emih!M3=0,0,SER_hh_emih!M3/SER_summary!M$26)</f>
        <v>38.456244789230986</v>
      </c>
      <c r="N3" s="126">
        <f>IF(SER_hh_emih!N3=0,0,SER_hh_emih!N3/SER_summary!N$26)</f>
        <v>50.81018516484616</v>
      </c>
      <c r="O3" s="126">
        <f>IF(SER_hh_emih!O3=0,0,SER_hh_emih!O3/SER_summary!O$26)</f>
        <v>53.136806708206102</v>
      </c>
      <c r="P3" s="126">
        <f>IF(SER_hh_emih!P3=0,0,SER_hh_emih!P3/SER_summary!P$26)</f>
        <v>45.285734924456122</v>
      </c>
      <c r="Q3" s="126">
        <f>IF(SER_hh_emih!Q3=0,0,SER_hh_emih!Q3/SER_summary!Q$26)</f>
        <v>56.35485880666279</v>
      </c>
      <c r="R3" s="126">
        <f>IF(SER_hh_emih!R3=0,0,SER_hh_emih!R3/SER_summary!R$26)</f>
        <v>58.363222305329877</v>
      </c>
      <c r="S3" s="126">
        <f>IF(SER_hh_emih!S3=0,0,SER_hh_emih!S3/SER_summary!S$26)</f>
        <v>61.243388842099819</v>
      </c>
      <c r="T3" s="126">
        <f>IF(SER_hh_emih!T3=0,0,SER_hh_emih!T3/SER_summary!T$26)</f>
        <v>62.68250304844365</v>
      </c>
      <c r="U3" s="126">
        <f>IF(SER_hh_emih!U3=0,0,SER_hh_emih!U3/SER_summary!U$26)</f>
        <v>71.402512328784269</v>
      </c>
      <c r="V3" s="126">
        <f>IF(SER_hh_emih!V3=0,0,SER_hh_emih!V3/SER_summary!V$26)</f>
        <v>57.928190637779963</v>
      </c>
      <c r="W3" s="126">
        <f>IF(SER_hh_emih!W3=0,0,SER_hh_emih!W3/SER_summary!W$26)</f>
        <v>64.904861628982673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64.943527452867244</v>
      </c>
      <c r="C4" s="131">
        <f>IF(SER_hh_emih!C4=0,0,SER_hh_emih!C4/SER_summary!C$26)</f>
        <v>57.46279154162665</v>
      </c>
      <c r="D4" s="131">
        <f>IF(SER_hh_emih!D4=0,0,SER_hh_emih!D4/SER_summary!D$26)</f>
        <v>57.310576013497467</v>
      </c>
      <c r="E4" s="131">
        <f>IF(SER_hh_emih!E4=0,0,SER_hh_emih!E4/SER_summary!E$26)</f>
        <v>56.708633236118125</v>
      </c>
      <c r="F4" s="131">
        <f>IF(SER_hh_emih!F4=0,0,SER_hh_emih!F4/SER_summary!F$26)</f>
        <v>51.590580035723761</v>
      </c>
      <c r="G4" s="131">
        <f>IF(SER_hh_emih!G4=0,0,SER_hh_emih!G4/SER_summary!G$26)</f>
        <v>44.703926757597763</v>
      </c>
      <c r="H4" s="131">
        <f>IF(SER_hh_emih!H4=0,0,SER_hh_emih!H4/SER_summary!H$26)</f>
        <v>42.038413343719341</v>
      </c>
      <c r="I4" s="131">
        <f>IF(SER_hh_emih!I4=0,0,SER_hh_emih!I4/SER_summary!I$26)</f>
        <v>36.493609639780217</v>
      </c>
      <c r="J4" s="131">
        <f>IF(SER_hh_emih!J4=0,0,SER_hh_emih!J4/SER_summary!J$26)</f>
        <v>40.251836770477652</v>
      </c>
      <c r="K4" s="131">
        <f>IF(SER_hh_emih!K4=0,0,SER_hh_emih!K4/SER_summary!K$26)</f>
        <v>40.63467048100668</v>
      </c>
      <c r="L4" s="131">
        <f>IF(SER_hh_emih!L4=0,0,SER_hh_emih!L4/SER_summary!L$26)</f>
        <v>52.845804225820011</v>
      </c>
      <c r="M4" s="131">
        <f>IF(SER_hh_emih!M4=0,0,SER_hh_emih!M4/SER_summary!M$26)</f>
        <v>27.593007866099772</v>
      </c>
      <c r="N4" s="131">
        <f>IF(SER_hh_emih!N4=0,0,SER_hh_emih!N4/SER_summary!N$26)</f>
        <v>39.684774679120387</v>
      </c>
      <c r="O4" s="131">
        <f>IF(SER_hh_emih!O4=0,0,SER_hh_emih!O4/SER_summary!O$26)</f>
        <v>42.37880528707489</v>
      </c>
      <c r="P4" s="131">
        <f>IF(SER_hh_emih!P4=0,0,SER_hh_emih!P4/SER_summary!P$26)</f>
        <v>35.042751509238222</v>
      </c>
      <c r="Q4" s="131">
        <f>IF(SER_hh_emih!Q4=0,0,SER_hh_emih!Q4/SER_summary!Q$26)</f>
        <v>45.883791247387208</v>
      </c>
      <c r="R4" s="131">
        <f>IF(SER_hh_emih!R4=0,0,SER_hh_emih!R4/SER_summary!R$26)</f>
        <v>48.007625860427517</v>
      </c>
      <c r="S4" s="131">
        <f>IF(SER_hh_emih!S4=0,0,SER_hh_emih!S4/SER_summary!S$26)</f>
        <v>51.779172210149376</v>
      </c>
      <c r="T4" s="131">
        <f>IF(SER_hh_emih!T4=0,0,SER_hh_emih!T4/SER_summary!T$26)</f>
        <v>53.538938652235558</v>
      </c>
      <c r="U4" s="131">
        <f>IF(SER_hh_emih!U4=0,0,SER_hh_emih!U4/SER_summary!U$26)</f>
        <v>62.031994082084331</v>
      </c>
      <c r="V4" s="131">
        <f>IF(SER_hh_emih!V4=0,0,SER_hh_emih!V4/SER_summary!V$26)</f>
        <v>51.032306306043274</v>
      </c>
      <c r="W4" s="131">
        <f>IF(SER_hh_emih!W4=0,0,SER_hh_emih!W4/SER_summary!W$26)</f>
        <v>55.959594493364975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107.87662538092357</v>
      </c>
      <c r="C7" s="133">
        <f>IF(SER_hh_emih!C7=0,0,SER_hh_emih!C7/SER_summary!C$26)</f>
        <v>141.17877943061174</v>
      </c>
      <c r="D7" s="133">
        <f>IF(SER_hh_emih!D7=0,0,SER_hh_emih!D7/SER_summary!D$26)</f>
        <v>133.22298636521535</v>
      </c>
      <c r="E7" s="133">
        <f>IF(SER_hh_emih!E7=0,0,SER_hh_emih!E7/SER_summary!E$26)</f>
        <v>130.1856936006688</v>
      </c>
      <c r="F7" s="133">
        <f>IF(SER_hh_emih!F7=0,0,SER_hh_emih!F7/SER_summary!F$26)</f>
        <v>142.3732974562613</v>
      </c>
      <c r="G7" s="133">
        <f>IF(SER_hh_emih!G7=0,0,SER_hh_emih!G7/SER_summary!G$26)</f>
        <v>149.01337263931592</v>
      </c>
      <c r="H7" s="133">
        <f>IF(SER_hh_emih!H7=0,0,SER_hh_emih!H7/SER_summary!H$26)</f>
        <v>111.6108346130852</v>
      </c>
      <c r="I7" s="133">
        <f>IF(SER_hh_emih!I7=0,0,SER_hh_emih!I7/SER_summary!I$26)</f>
        <v>131.65098642569205</v>
      </c>
      <c r="J7" s="133">
        <f>IF(SER_hh_emih!J7=0,0,SER_hh_emih!J7/SER_summary!J$26)</f>
        <v>117.99653667915695</v>
      </c>
      <c r="K7" s="133">
        <f>IF(SER_hh_emih!K7=0,0,SER_hh_emih!K7/SER_summary!K$26)</f>
        <v>99.563075534425025</v>
      </c>
      <c r="L7" s="133">
        <f>IF(SER_hh_emih!L7=0,0,SER_hh_emih!L7/SER_summary!L$26)</f>
        <v>164.80750086597999</v>
      </c>
      <c r="M7" s="133">
        <f>IF(SER_hh_emih!M7=0,0,SER_hh_emih!M7/SER_summary!M$26)</f>
        <v>106.98773320478797</v>
      </c>
      <c r="N7" s="133">
        <f>IF(SER_hh_emih!N7=0,0,SER_hh_emih!N7/SER_summary!N$26)</f>
        <v>101.74444801543426</v>
      </c>
      <c r="O7" s="133">
        <f>IF(SER_hh_emih!O7=0,0,SER_hh_emih!O7/SER_summary!O$26)</f>
        <v>109.31340159255461</v>
      </c>
      <c r="P7" s="133">
        <f>IF(SER_hh_emih!P7=0,0,SER_hh_emih!P7/SER_summary!P$26)</f>
        <v>83.213670118755061</v>
      </c>
      <c r="Q7" s="133">
        <f>IF(SER_hh_emih!Q7=0,0,SER_hh_emih!Q7/SER_summary!Q$26)</f>
        <v>104.99578487257776</v>
      </c>
      <c r="R7" s="133">
        <f>IF(SER_hh_emih!R7=0,0,SER_hh_emih!R7/SER_summary!R$26)</f>
        <v>91.072676668462179</v>
      </c>
      <c r="S7" s="133">
        <f>IF(SER_hh_emih!S7=0,0,SER_hh_emih!S7/SER_summary!S$26)</f>
        <v>120.16940417940964</v>
      </c>
      <c r="T7" s="133">
        <f>IF(SER_hh_emih!T7=0,0,SER_hh_emih!T7/SER_summary!T$26)</f>
        <v>113.64808864166241</v>
      </c>
      <c r="U7" s="133">
        <f>IF(SER_hh_emih!U7=0,0,SER_hh_emih!U7/SER_summary!U$26)</f>
        <v>138.98656950340342</v>
      </c>
      <c r="V7" s="133">
        <f>IF(SER_hh_emih!V7=0,0,SER_hh_emih!V7/SER_summary!V$26)</f>
        <v>129.06102606850902</v>
      </c>
      <c r="W7" s="133">
        <f>IF(SER_hh_emih!W7=0,0,SER_hh_emih!W7/SER_summary!W$26)</f>
        <v>119.78386799520918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113.71467922532896</v>
      </c>
      <c r="C9" s="133">
        <f>IF(SER_hh_emih!C9=0,0,SER_hh_emih!C9/SER_summary!C$26)</f>
        <v>76.688876200925733</v>
      </c>
      <c r="D9" s="133">
        <f>IF(SER_hh_emih!D9=0,0,SER_hh_emih!D9/SER_summary!D$26)</f>
        <v>86.763101159422959</v>
      </c>
      <c r="E9" s="133">
        <f>IF(SER_hh_emih!E9=0,0,SER_hh_emih!E9/SER_summary!E$26)</f>
        <v>102.25525760910993</v>
      </c>
      <c r="F9" s="133">
        <f>IF(SER_hh_emih!F9=0,0,SER_hh_emih!F9/SER_summary!F$26)</f>
        <v>93.263036827177515</v>
      </c>
      <c r="G9" s="133">
        <f>IF(SER_hh_emih!G9=0,0,SER_hh_emih!G9/SER_summary!G$26)</f>
        <v>78.803148557325216</v>
      </c>
      <c r="H9" s="133">
        <f>IF(SER_hh_emih!H9=0,0,SER_hh_emih!H9/SER_summary!H$26)</f>
        <v>94.711335639616351</v>
      </c>
      <c r="I9" s="133">
        <f>IF(SER_hh_emih!I9=0,0,SER_hh_emih!I9/SER_summary!I$26)</f>
        <v>74.055201849686554</v>
      </c>
      <c r="J9" s="133">
        <f>IF(SER_hh_emih!J9=0,0,SER_hh_emih!J9/SER_summary!J$26)</f>
        <v>88.103161965345478</v>
      </c>
      <c r="K9" s="133">
        <f>IF(SER_hh_emih!K9=0,0,SER_hh_emih!K9/SER_summary!K$26)</f>
        <v>89.957040419434946</v>
      </c>
      <c r="L9" s="133">
        <f>IF(SER_hh_emih!L9=0,0,SER_hh_emih!L9/SER_summary!L$26)</f>
        <v>106.47323706099326</v>
      </c>
      <c r="M9" s="133">
        <f>IF(SER_hh_emih!M9=0,0,SER_hh_emih!M9/SER_summary!M$26)</f>
        <v>43.615520246740545</v>
      </c>
      <c r="N9" s="133">
        <f>IF(SER_hh_emih!N9=0,0,SER_hh_emih!N9/SER_summary!N$26)</f>
        <v>78.276194900727717</v>
      </c>
      <c r="O9" s="133">
        <f>IF(SER_hh_emih!O9=0,0,SER_hh_emih!O9/SER_summary!O$26)</f>
        <v>74.540808284390494</v>
      </c>
      <c r="P9" s="133">
        <f>IF(SER_hh_emih!P9=0,0,SER_hh_emih!P9/SER_summary!P$26)</f>
        <v>57.331447954789205</v>
      </c>
      <c r="Q9" s="133">
        <f>IF(SER_hh_emih!Q9=0,0,SER_hh_emih!Q9/SER_summary!Q$26)</f>
        <v>67.573111782259275</v>
      </c>
      <c r="R9" s="133">
        <f>IF(SER_hh_emih!R9=0,0,SER_hh_emih!R9/SER_summary!R$26)</f>
        <v>80.308831866439121</v>
      </c>
      <c r="S9" s="133">
        <f>IF(SER_hh_emih!S9=0,0,SER_hh_emih!S9/SER_summary!S$26)</f>
        <v>65.006236899401372</v>
      </c>
      <c r="T9" s="133">
        <f>IF(SER_hh_emih!T9=0,0,SER_hh_emih!T9/SER_summary!T$26)</f>
        <v>81.96374347751059</v>
      </c>
      <c r="U9" s="133">
        <f>IF(SER_hh_emih!U9=0,0,SER_hh_emih!U9/SER_summary!U$26)</f>
        <v>97.493068813918242</v>
      </c>
      <c r="V9" s="133">
        <f>IF(SER_hh_emih!V9=0,0,SER_hh_emih!V9/SER_summary!V$26)</f>
        <v>78.723640886815474</v>
      </c>
      <c r="W9" s="133">
        <f>IF(SER_hh_emih!W9=0,0,SER_hh_emih!W9/SER_summary!W$26)</f>
        <v>126.03036520577854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2.65900070161031E-2</v>
      </c>
      <c r="C16" s="131">
        <f>IF(SER_hh_emih!C16=0,0,SER_hh_emih!C16/SER_summary!C$26)</f>
        <v>2.8668693512880785E-2</v>
      </c>
      <c r="D16" s="131">
        <f>IF(SER_hh_emih!D16=0,0,SER_hh_emih!D16/SER_summary!D$26)</f>
        <v>3.4964712549093654E-2</v>
      </c>
      <c r="E16" s="131">
        <f>IF(SER_hh_emih!E16=0,0,SER_hh_emih!E16/SER_summary!E$26)</f>
        <v>3.0910837462926371E-2</v>
      </c>
      <c r="F16" s="131">
        <f>IF(SER_hh_emih!F16=0,0,SER_hh_emih!F16/SER_summary!F$26)</f>
        <v>4.1025402699804987E-2</v>
      </c>
      <c r="G16" s="131">
        <f>IF(SER_hh_emih!G16=0,0,SER_hh_emih!G16/SER_summary!G$26)</f>
        <v>3.9185403891073431E-2</v>
      </c>
      <c r="H16" s="131">
        <f>IF(SER_hh_emih!H16=0,0,SER_hh_emih!H16/SER_summary!H$26)</f>
        <v>4.8451328302964024E-2</v>
      </c>
      <c r="I16" s="131">
        <f>IF(SER_hh_emih!I16=0,0,SER_hh_emih!I16/SER_summary!I$26)</f>
        <v>5.0989913403734689E-2</v>
      </c>
      <c r="J16" s="131">
        <f>IF(SER_hh_emih!J16=0,0,SER_hh_emih!J16/SER_summary!J$26)</f>
        <v>5.0867282194515598E-2</v>
      </c>
      <c r="K16" s="131">
        <f>IF(SER_hh_emih!K16=0,0,SER_hh_emih!K16/SER_summary!K$26)</f>
        <v>6.3092546210004055E-2</v>
      </c>
      <c r="L16" s="131">
        <f>IF(SER_hh_emih!L16=0,0,SER_hh_emih!L16/SER_summary!L$26)</f>
        <v>5.7929669679376794E-2</v>
      </c>
      <c r="M16" s="131">
        <f>IF(SER_hh_emih!M16=0,0,SER_hh_emih!M16/SER_summary!M$26)</f>
        <v>5.8065900220876501E-2</v>
      </c>
      <c r="N16" s="131">
        <f>IF(SER_hh_emih!N16=0,0,SER_hh_emih!N16/SER_summary!N$26)</f>
        <v>6.3040292319856209E-2</v>
      </c>
      <c r="O16" s="131">
        <f>IF(SER_hh_emih!O16=0,0,SER_hh_emih!O16/SER_summary!O$26)</f>
        <v>7.4204855239745585E-2</v>
      </c>
      <c r="P16" s="131">
        <f>IF(SER_hh_emih!P16=0,0,SER_hh_emih!P16/SER_summary!P$26)</f>
        <v>9.3662267401208282E-2</v>
      </c>
      <c r="Q16" s="131">
        <f>IF(SER_hh_emih!Q16=0,0,SER_hh_emih!Q16/SER_summary!Q$26)</f>
        <v>0.12396205272843269</v>
      </c>
      <c r="R16" s="131">
        <f>IF(SER_hh_emih!R16=0,0,SER_hh_emih!R16/SER_summary!R$26)</f>
        <v>0.15286759005663919</v>
      </c>
      <c r="S16" s="131">
        <f>IF(SER_hh_emih!S16=0,0,SER_hh_emih!S16/SER_summary!S$26)</f>
        <v>0.17579138924166063</v>
      </c>
      <c r="T16" s="131">
        <f>IF(SER_hh_emih!T16=0,0,SER_hh_emih!T16/SER_summary!T$26)</f>
        <v>0.19235813064103813</v>
      </c>
      <c r="U16" s="131">
        <f>IF(SER_hh_emih!U16=0,0,SER_hh_emih!U16/SER_summary!U$26)</f>
        <v>0.20604773689786673</v>
      </c>
      <c r="V16" s="131">
        <f>IF(SER_hh_emih!V16=0,0,SER_hh_emih!V16/SER_summary!V$26)</f>
        <v>0.22089634392875557</v>
      </c>
      <c r="W16" s="131">
        <f>IF(SER_hh_emih!W16=0,0,SER_hh_emih!W16/SER_summary!W$26)</f>
        <v>0.22900112574424897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6.0851679167718613</v>
      </c>
      <c r="C17" s="133">
        <f>IF(SER_hh_emih!C17=0,0,SER_hh_emih!C17/SER_summary!C$26)</f>
        <v>6.1122712573261246</v>
      </c>
      <c r="D17" s="133">
        <f>IF(SER_hh_emih!D17=0,0,SER_hh_emih!D17/SER_summary!D$26)</f>
        <v>6.1395589043450434</v>
      </c>
      <c r="E17" s="133">
        <f>IF(SER_hh_emih!E17=0,0,SER_hh_emih!E17/SER_summary!E$26)</f>
        <v>7.8543446360199738</v>
      </c>
      <c r="F17" s="133">
        <f>IF(SER_hh_emih!F17=0,0,SER_hh_emih!F17/SER_summary!F$26)</f>
        <v>5.943176191414091</v>
      </c>
      <c r="G17" s="133">
        <f>IF(SER_hh_emih!G17=0,0,SER_hh_emih!G17/SER_summary!G$26)</f>
        <v>6.1156537153547186</v>
      </c>
      <c r="H17" s="133">
        <f>IF(SER_hh_emih!H17=0,0,SER_hh_emih!H17/SER_summary!H$26)</f>
        <v>7.1859440006952466</v>
      </c>
      <c r="I17" s="133">
        <f>IF(SER_hh_emih!I17=0,0,SER_hh_emih!I17/SER_summary!I$26)</f>
        <v>5.9612266875081952</v>
      </c>
      <c r="J17" s="133">
        <f>IF(SER_hh_emih!J17=0,0,SER_hh_emih!J17/SER_summary!J$26)</f>
        <v>5.9509284841355363</v>
      </c>
      <c r="K17" s="133">
        <f>IF(SER_hh_emih!K17=0,0,SER_hh_emih!K17/SER_summary!K$26)</f>
        <v>7.0562946682721712</v>
      </c>
      <c r="L17" s="133">
        <f>IF(SER_hh_emih!L17=0,0,SER_hh_emih!L17/SER_summary!L$26)</f>
        <v>6.4458180692043836</v>
      </c>
      <c r="M17" s="133">
        <f>IF(SER_hh_emih!M17=0,0,SER_hh_emih!M17/SER_summary!M$26)</f>
        <v>5.9907954848678155</v>
      </c>
      <c r="N17" s="133">
        <f>IF(SER_hh_emih!N17=0,0,SER_hh_emih!N17/SER_summary!N$26)</f>
        <v>6.1769854132438766</v>
      </c>
      <c r="O17" s="133">
        <f>IF(SER_hh_emih!O17=0,0,SER_hh_emih!O17/SER_summary!O$26)</f>
        <v>6.23931273836756</v>
      </c>
      <c r="P17" s="133">
        <f>IF(SER_hh_emih!P17=0,0,SER_hh_emih!P17/SER_summary!P$26)</f>
        <v>5.8931070324985777</v>
      </c>
      <c r="Q17" s="133">
        <f>IF(SER_hh_emih!Q17=0,0,SER_hh_emih!Q17/SER_summary!Q$26)</f>
        <v>6.5912965271152455</v>
      </c>
      <c r="R17" s="133">
        <f>IF(SER_hh_emih!R17=0,0,SER_hh_emih!R17/SER_summary!R$26)</f>
        <v>5.8530769964339591</v>
      </c>
      <c r="S17" s="133">
        <f>IF(SER_hh_emih!S17=0,0,SER_hh_emih!S17/SER_summary!S$26)</f>
        <v>5.9638461361495647</v>
      </c>
      <c r="T17" s="133">
        <f>IF(SER_hh_emih!T17=0,0,SER_hh_emih!T17/SER_summary!T$26)</f>
        <v>6.4513950971268912</v>
      </c>
      <c r="U17" s="133">
        <f>IF(SER_hh_emih!U17=0,0,SER_hh_emih!U17/SER_summary!U$26)</f>
        <v>6.3884443858953919</v>
      </c>
      <c r="V17" s="133">
        <f>IF(SER_hh_emih!V17=0,0,SER_hh_emih!V17/SER_summary!V$26)</f>
        <v>6.3050370874533392</v>
      </c>
      <c r="W17" s="133">
        <f>IF(SER_hh_emih!W17=0,0,SER_hh_emih!W17/SER_summary!W$26)</f>
        <v>6.2207941087092751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4.9485618103216229</v>
      </c>
      <c r="C19" s="131">
        <f>IF(SER_hh_emih!C19=0,0,SER_hh_emih!C19/SER_summary!C$26)</f>
        <v>4.921303266224025</v>
      </c>
      <c r="D19" s="131">
        <f>IF(SER_hh_emih!D19=0,0,SER_hh_emih!D19/SER_summary!D$26)</f>
        <v>5.0123267847337365</v>
      </c>
      <c r="E19" s="131">
        <f>IF(SER_hh_emih!E19=0,0,SER_hh_emih!E19/SER_summary!E$26)</f>
        <v>5.1781367868569079</v>
      </c>
      <c r="F19" s="131">
        <f>IF(SER_hh_emih!F19=0,0,SER_hh_emih!F19/SER_summary!F$26)</f>
        <v>5.0972000036092702</v>
      </c>
      <c r="G19" s="131">
        <f>IF(SER_hh_emih!G19=0,0,SER_hh_emih!G19/SER_summary!G$26)</f>
        <v>4.9585386839362302</v>
      </c>
      <c r="H19" s="131">
        <f>IF(SER_hh_emih!H19=0,0,SER_hh_emih!H19/SER_summary!H$26)</f>
        <v>4.0945031022572023</v>
      </c>
      <c r="I19" s="131">
        <f>IF(SER_hh_emih!I19=0,0,SER_hh_emih!I19/SER_summary!I$26)</f>
        <v>3.8949584007930942</v>
      </c>
      <c r="J19" s="131">
        <f>IF(SER_hh_emih!J19=0,0,SER_hh_emih!J19/SER_summary!J$26)</f>
        <v>3.8743801805611722</v>
      </c>
      <c r="K19" s="131">
        <f>IF(SER_hh_emih!K19=0,0,SER_hh_emih!K19/SER_summary!K$26)</f>
        <v>3.7166106446036311</v>
      </c>
      <c r="L19" s="131">
        <f>IF(SER_hh_emih!L19=0,0,SER_hh_emih!L19/SER_summary!L$26)</f>
        <v>4.7168457571195228</v>
      </c>
      <c r="M19" s="131">
        <f>IF(SER_hh_emih!M19=0,0,SER_hh_emih!M19/SER_summary!M$26)</f>
        <v>3.9750447680120042</v>
      </c>
      <c r="N19" s="131">
        <f>IF(SER_hh_emih!N19=0,0,SER_hh_emih!N19/SER_summary!N$26)</f>
        <v>4.443844872206582</v>
      </c>
      <c r="O19" s="131">
        <f>IF(SER_hh_emih!O19=0,0,SER_hh_emih!O19/SER_summary!O$26)</f>
        <v>4.4475391009155674</v>
      </c>
      <c r="P19" s="131">
        <f>IF(SER_hh_emih!P19=0,0,SER_hh_emih!P19/SER_summary!P$26)</f>
        <v>4.6983839189292294</v>
      </c>
      <c r="Q19" s="131">
        <f>IF(SER_hh_emih!Q19=0,0,SER_hh_emih!Q19/SER_summary!Q$26)</f>
        <v>4.9809282030394186</v>
      </c>
      <c r="R19" s="131">
        <f>IF(SER_hh_emih!R19=0,0,SER_hh_emih!R19/SER_summary!R$26)</f>
        <v>4.9764122003824065</v>
      </c>
      <c r="S19" s="131">
        <f>IF(SER_hh_emih!S19=0,0,SER_hh_emih!S19/SER_summary!S$26)</f>
        <v>4.8886408751634338</v>
      </c>
      <c r="T19" s="131">
        <f>IF(SER_hh_emih!T19=0,0,SER_hh_emih!T19/SER_summary!T$26)</f>
        <v>5.0467743112576358</v>
      </c>
      <c r="U19" s="131">
        <f>IF(SER_hh_emih!U19=0,0,SER_hh_emih!U19/SER_summary!U$26)</f>
        <v>5.17226118795136</v>
      </c>
      <c r="V19" s="131">
        <f>IF(SER_hh_emih!V19=0,0,SER_hh_emih!V19/SER_summary!V$26)</f>
        <v>3.7676941724519026</v>
      </c>
      <c r="W19" s="131">
        <f>IF(SER_hh_emih!W19=0,0,SER_hh_emih!W19/SER_summary!W$26)</f>
        <v>4.6569855395235153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15.908249179027926</v>
      </c>
      <c r="C22" s="133">
        <f>IF(SER_hh_emih!C22=0,0,SER_hh_emih!C22/SER_summary!C$26)</f>
        <v>15.678212563490394</v>
      </c>
      <c r="D22" s="133">
        <f>IF(SER_hh_emih!D22=0,0,SER_hh_emih!D22/SER_summary!D$26)</f>
        <v>15.930000638980593</v>
      </c>
      <c r="E22" s="133">
        <f>IF(SER_hh_emih!E22=0,0,SER_hh_emih!E22/SER_summary!E$26)</f>
        <v>15.929914076897028</v>
      </c>
      <c r="F22" s="133">
        <f>IF(SER_hh_emih!F22=0,0,SER_hh_emih!F22/SER_summary!F$26)</f>
        <v>16.457639217577118</v>
      </c>
      <c r="G22" s="133">
        <f>IF(SER_hh_emih!G22=0,0,SER_hh_emih!G22/SER_summary!G$26)</f>
        <v>17.235614636430711</v>
      </c>
      <c r="H22" s="133">
        <f>IF(SER_hh_emih!H22=0,0,SER_hh_emih!H22/SER_summary!H$26)</f>
        <v>14.328077543430064</v>
      </c>
      <c r="I22" s="133">
        <f>IF(SER_hh_emih!I22=0,0,SER_hh_emih!I22/SER_summary!I$26)</f>
        <v>15.664926844538554</v>
      </c>
      <c r="J22" s="133">
        <f>IF(SER_hh_emih!J22=0,0,SER_hh_emih!J22/SER_summary!J$26)</f>
        <v>12.912066987611873</v>
      </c>
      <c r="K22" s="133">
        <f>IF(SER_hh_emih!K22=0,0,SER_hh_emih!K22/SER_summary!K$26)</f>
        <v>13.741735135596757</v>
      </c>
      <c r="L22" s="133">
        <f>IF(SER_hh_emih!L22=0,0,SER_hh_emih!L22/SER_summary!L$26)</f>
        <v>18.452720848386235</v>
      </c>
      <c r="M22" s="133">
        <f>IF(SER_hh_emih!M22=0,0,SER_hh_emih!M22/SER_summary!M$26)</f>
        <v>12.210490750646017</v>
      </c>
      <c r="N22" s="133">
        <f>IF(SER_hh_emih!N22=0,0,SER_hh_emih!N22/SER_summary!N$26)</f>
        <v>15.884038309144051</v>
      </c>
      <c r="O22" s="133">
        <f>IF(SER_hh_emih!O22=0,0,SER_hh_emih!O22/SER_summary!O$26)</f>
        <v>14.686424550567315</v>
      </c>
      <c r="P22" s="133">
        <f>IF(SER_hh_emih!P22=0,0,SER_hh_emih!P22/SER_summary!P$26)</f>
        <v>14.819352436650517</v>
      </c>
      <c r="Q22" s="133">
        <f>IF(SER_hh_emih!Q22=0,0,SER_hh_emih!Q22/SER_summary!Q$26)</f>
        <v>13.494468735113173</v>
      </c>
      <c r="R22" s="133">
        <f>IF(SER_hh_emih!R22=0,0,SER_hh_emih!R22/SER_summary!R$26)</f>
        <v>11.275299926118874</v>
      </c>
      <c r="S22" s="133">
        <f>IF(SER_hh_emih!S22=0,0,SER_hh_emih!S22/SER_summary!S$26)</f>
        <v>14.1833169192605</v>
      </c>
      <c r="T22" s="133">
        <f>IF(SER_hh_emih!T22=0,0,SER_hh_emih!T22/SER_summary!T$26)</f>
        <v>13.183233658472398</v>
      </c>
      <c r="U22" s="133">
        <f>IF(SER_hh_emih!U22=0,0,SER_hh_emih!U22/SER_summary!U$26)</f>
        <v>13.355193854871636</v>
      </c>
      <c r="V22" s="133">
        <f>IF(SER_hh_emih!V22=0,0,SER_hh_emih!V22/SER_summary!V$26)</f>
        <v>10.552771716956794</v>
      </c>
      <c r="W22" s="133">
        <f>IF(SER_hh_emih!W22=0,0,SER_hh_emih!W22/SER_summary!W$26)</f>
        <v>11.972289833150102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11.542314408692599</v>
      </c>
      <c r="C23" s="133">
        <f>IF(SER_hh_emih!C23=0,0,SER_hh_emih!C23/SER_summary!C$26)</f>
        <v>11.568428551299364</v>
      </c>
      <c r="D23" s="133">
        <f>IF(SER_hh_emih!D23=0,0,SER_hh_emih!D23/SER_summary!D$26)</f>
        <v>11.280067056955446</v>
      </c>
      <c r="E23" s="133">
        <f>IF(SER_hh_emih!E23=0,0,SER_hh_emih!E23/SER_summary!E$26)</f>
        <v>11.610466456885066</v>
      </c>
      <c r="F23" s="133">
        <f>IF(SER_hh_emih!F23=0,0,SER_hh_emih!F23/SER_summary!F$26)</f>
        <v>11.201679243526483</v>
      </c>
      <c r="G23" s="133">
        <f>IF(SER_hh_emih!G23=0,0,SER_hh_emih!G23/SER_summary!G$26)</f>
        <v>11.127068205605775</v>
      </c>
      <c r="H23" s="133">
        <f>IF(SER_hh_emih!H23=0,0,SER_hh_emih!H23/SER_summary!H$26)</f>
        <v>10.734834975450978</v>
      </c>
      <c r="I23" s="133">
        <f>IF(SER_hh_emih!I23=0,0,SER_hh_emih!I23/SER_summary!I$26)</f>
        <v>10.298130995265408</v>
      </c>
      <c r="J23" s="133">
        <f>IF(SER_hh_emih!J23=0,0,SER_hh_emih!J23/SER_summary!J$26)</f>
        <v>11.343899838703431</v>
      </c>
      <c r="K23" s="133">
        <f>IF(SER_hh_emih!K23=0,0,SER_hh_emih!K23/SER_summary!K$26)</f>
        <v>10.127506372725117</v>
      </c>
      <c r="L23" s="133">
        <f>IF(SER_hh_emih!L23=0,0,SER_hh_emih!L23/SER_summary!L$26)</f>
        <v>11.017633701520008</v>
      </c>
      <c r="M23" s="133">
        <f>IF(SER_hh_emih!M23=0,0,SER_hh_emih!M23/SER_summary!M$26)</f>
        <v>10.275620009370806</v>
      </c>
      <c r="N23" s="133">
        <f>IF(SER_hh_emih!N23=0,0,SER_hh_emih!N23/SER_summary!N$26)</f>
        <v>9.7134120742672376</v>
      </c>
      <c r="O23" s="133">
        <f>IF(SER_hh_emih!O23=0,0,SER_hh_emih!O23/SER_summary!O$26)</f>
        <v>9.6390366447622924</v>
      </c>
      <c r="P23" s="133">
        <f>IF(SER_hh_emih!P23=0,0,SER_hh_emih!P23/SER_summary!P$26)</f>
        <v>9.9794491155205804</v>
      </c>
      <c r="Q23" s="133">
        <f>IF(SER_hh_emih!Q23=0,0,SER_hh_emih!Q23/SER_summary!Q$26)</f>
        <v>11.136140237074954</v>
      </c>
      <c r="R23" s="133">
        <f>IF(SER_hh_emih!R23=0,0,SER_hh_emih!R23/SER_summary!R$26)</f>
        <v>11.714395343112916</v>
      </c>
      <c r="S23" s="133">
        <f>IF(SER_hh_emih!S23=0,0,SER_hh_emih!S23/SER_summary!S$26)</f>
        <v>8.5322920917202332</v>
      </c>
      <c r="T23" s="133">
        <f>IF(SER_hh_emih!T23=0,0,SER_hh_emih!T23/SER_summary!T$26)</f>
        <v>9.6062161084450484</v>
      </c>
      <c r="U23" s="133">
        <f>IF(SER_hh_emih!U23=0,0,SER_hh_emih!U23/SER_summary!U$26)</f>
        <v>9.9173766513349371</v>
      </c>
      <c r="V23" s="133">
        <f>IF(SER_hh_emih!V23=0,0,SER_hh_emih!V23/SER_summary!V$26)</f>
        <v>7.1312594731592878</v>
      </c>
      <c r="W23" s="133">
        <f>IF(SER_hh_emih!W23=0,0,SER_hh_emih!W23/SER_summary!W$26)</f>
        <v>10.686660583689283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6.8289964915521271</v>
      </c>
      <c r="C29" s="131">
        <f>IF(SER_hh_emih!C29=0,0,SER_hh_emih!C29/SER_summary!C$26)</f>
        <v>8.47617091463467</v>
      </c>
      <c r="D29" s="131">
        <f>IF(SER_hh_emih!D29=0,0,SER_hh_emih!D29/SER_summary!D$26)</f>
        <v>7.0337190500657103</v>
      </c>
      <c r="E29" s="131">
        <f>IF(SER_hh_emih!E29=0,0,SER_hh_emih!E29/SER_summary!E$26)</f>
        <v>5.8479066707487419</v>
      </c>
      <c r="F29" s="131">
        <f>IF(SER_hh_emih!F29=0,0,SER_hh_emih!F29/SER_summary!F$26)</f>
        <v>5.4662484922603465</v>
      </c>
      <c r="G29" s="131">
        <f>IF(SER_hh_emih!G29=0,0,SER_hh_emih!G29/SER_summary!G$26)</f>
        <v>5.1264584321371958</v>
      </c>
      <c r="H29" s="131">
        <f>IF(SER_hh_emih!H29=0,0,SER_hh_emih!H29/SER_summary!H$26)</f>
        <v>5.1809154516042</v>
      </c>
      <c r="I29" s="131">
        <f>IF(SER_hh_emih!I29=0,0,SER_hh_emih!I29/SER_summary!I$26)</f>
        <v>4.8938831071437869</v>
      </c>
      <c r="J29" s="131">
        <f>IF(SER_hh_emih!J29=0,0,SER_hh_emih!J29/SER_summary!J$26)</f>
        <v>4.6233951470608146</v>
      </c>
      <c r="K29" s="131">
        <f>IF(SER_hh_emih!K29=0,0,SER_hh_emih!K29/SER_summary!K$26)</f>
        <v>6.8543739121969942</v>
      </c>
      <c r="L29" s="131">
        <f>IF(SER_hh_emih!L29=0,0,SER_hh_emih!L29/SER_summary!L$26)</f>
        <v>6.8971406167831617</v>
      </c>
      <c r="M29" s="131">
        <f>IF(SER_hh_emih!M29=0,0,SER_hh_emih!M29/SER_summary!M$26)</f>
        <v>6.8636759385312551</v>
      </c>
      <c r="N29" s="131">
        <f>IF(SER_hh_emih!N29=0,0,SER_hh_emih!N29/SER_summary!N$26)</f>
        <v>6.6538559068451208</v>
      </c>
      <c r="O29" s="131">
        <f>IF(SER_hh_emih!O29=0,0,SER_hh_emih!O29/SER_summary!O$26)</f>
        <v>6.2773254575968043</v>
      </c>
      <c r="P29" s="131">
        <f>IF(SER_hh_emih!P29=0,0,SER_hh_emih!P29/SER_summary!P$26)</f>
        <v>5.50180613370354</v>
      </c>
      <c r="Q29" s="131">
        <f>IF(SER_hh_emih!Q29=0,0,SER_hh_emih!Q29/SER_summary!Q$26)</f>
        <v>5.4324952956047694</v>
      </c>
      <c r="R29" s="131">
        <f>IF(SER_hh_emih!R29=0,0,SER_hh_emih!R29/SER_summary!R$26)</f>
        <v>5.3078270890830108</v>
      </c>
      <c r="S29" s="131">
        <f>IF(SER_hh_emih!S29=0,0,SER_hh_emih!S29/SER_summary!S$26)</f>
        <v>4.4920284161128698</v>
      </c>
      <c r="T29" s="131">
        <f>IF(SER_hh_emih!T29=0,0,SER_hh_emih!T29/SER_summary!T$26)</f>
        <v>4.0029070714013715</v>
      </c>
      <c r="U29" s="131">
        <f>IF(SER_hh_emih!U29=0,0,SER_hh_emih!U29/SER_summary!U$26)</f>
        <v>4.0964766665312204</v>
      </c>
      <c r="V29" s="131">
        <f>IF(SER_hh_emih!V29=0,0,SER_hh_emih!V29/SER_summary!V$26)</f>
        <v>3.0205457302902659</v>
      </c>
      <c r="W29" s="131">
        <f>IF(SER_hh_emih!W29=0,0,SER_hh_emih!W29/SER_summary!W$26)</f>
        <v>4.1757994380860524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9.3633586172059946</v>
      </c>
      <c r="C30" s="133">
        <f>IF(SER_hh_emih!C30=0,0,SER_hh_emih!C30/SER_summary!C$26)</f>
        <v>19.534285776134762</v>
      </c>
      <c r="D30" s="133">
        <f>IF(SER_hh_emih!D30=0,0,SER_hh_emih!D30/SER_summary!D$26)</f>
        <v>14.491698305612807</v>
      </c>
      <c r="E30" s="133">
        <f>IF(SER_hh_emih!E30=0,0,SER_hh_emih!E30/SER_summary!E$26)</f>
        <v>6.9498877192154023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21.245864350809857</v>
      </c>
      <c r="L30" s="133">
        <f>IF(SER_hh_emih!L30=0,0,SER_hh_emih!L30/SER_summary!L$26)</f>
        <v>17.321077711705573</v>
      </c>
      <c r="M30" s="133">
        <f>IF(SER_hh_emih!M30=0,0,SER_hh_emih!M30/SER_summary!M$26)</f>
        <v>15.679815981879281</v>
      </c>
      <c r="N30" s="133">
        <f>IF(SER_hh_emih!N30=0,0,SER_hh_emih!N30/SER_summary!N$26)</f>
        <v>15.788963250399256</v>
      </c>
      <c r="O30" s="133">
        <f>IF(SER_hh_emih!O30=0,0,SER_hh_emih!O30/SER_summary!O$26)</f>
        <v>16.367062369096107</v>
      </c>
      <c r="P30" s="133">
        <f>IF(SER_hh_emih!P30=0,0,SER_hh_emih!P30/SER_summary!P$26)</f>
        <v>14.869120008889725</v>
      </c>
      <c r="Q30" s="133">
        <f>IF(SER_hh_emih!Q30=0,0,SER_hh_emih!Q30/SER_summary!Q$26)</f>
        <v>16.147315276421438</v>
      </c>
      <c r="R30" s="133">
        <f>IF(SER_hh_emih!R30=0,0,SER_hh_emih!R30/SER_summary!R$26)</f>
        <v>17.478173280611951</v>
      </c>
      <c r="S30" s="133">
        <f>IF(SER_hh_emih!S30=0,0,SER_hh_emih!S30/SER_summary!S$26)</f>
        <v>15.971010183086374</v>
      </c>
      <c r="T30" s="133">
        <f>IF(SER_hh_emih!T30=0,0,SER_hh_emih!T30/SER_summary!T$26)</f>
        <v>14.065770087581638</v>
      </c>
      <c r="U30" s="133">
        <f>IF(SER_hh_emih!U30=0,0,SER_hh_emih!U30/SER_summary!U$26)</f>
        <v>17.569172942472303</v>
      </c>
      <c r="V30" s="133">
        <f>IF(SER_hh_emih!V30=0,0,SER_hh_emih!V30/SER_summary!V$26)</f>
        <v>13.555327003220031</v>
      </c>
      <c r="W30" s="133">
        <f>IF(SER_hh_emih!W30=0,0,SER_hh_emih!W30/SER_summary!W$26)</f>
        <v>21.369584862733614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11.825066235091349</v>
      </c>
      <c r="C31" s="133">
        <f>IF(SER_hh_emih!C31=0,0,SER_hh_emih!C31/SER_summary!C$26)</f>
        <v>11.924075417712841</v>
      </c>
      <c r="D31" s="133">
        <f>IF(SER_hh_emih!D31=0,0,SER_hh_emih!D31/SER_summary!D$26)</f>
        <v>12.405993890900731</v>
      </c>
      <c r="E31" s="133">
        <f>IF(SER_hh_emih!E31=0,0,SER_hh_emih!E31/SER_summary!E$26)</f>
        <v>12.601244692683961</v>
      </c>
      <c r="F31" s="133">
        <f>IF(SER_hh_emih!F31=0,0,SER_hh_emih!F31/SER_summary!F$26)</f>
        <v>12.929860683440968</v>
      </c>
      <c r="G31" s="133">
        <f>IF(SER_hh_emih!G31=0,0,SER_hh_emih!G31/SER_summary!G$26)</f>
        <v>12.663599479460423</v>
      </c>
      <c r="H31" s="133">
        <f>IF(SER_hh_emih!H31=0,0,SER_hh_emih!H31/SER_summary!H$26)</f>
        <v>13.276071215558423</v>
      </c>
      <c r="I31" s="133">
        <f>IF(SER_hh_emih!I31=0,0,SER_hh_emih!I31/SER_summary!I$26)</f>
        <v>13.335051794096652</v>
      </c>
      <c r="J31" s="133">
        <f>IF(SER_hh_emih!J31=0,0,SER_hh_emih!J31/SER_summary!J$26)</f>
        <v>13.581245441788164</v>
      </c>
      <c r="K31" s="133">
        <f>IF(SER_hh_emih!K31=0,0,SER_hh_emih!K31/SER_summary!K$26)</f>
        <v>12.96066754345315</v>
      </c>
      <c r="L31" s="133">
        <f>IF(SER_hh_emih!L31=0,0,SER_hh_emih!L31/SER_summary!L$26)</f>
        <v>13.305291511251575</v>
      </c>
      <c r="M31" s="133">
        <f>IF(SER_hh_emih!M31=0,0,SER_hh_emih!M31/SER_summary!M$26)</f>
        <v>13.908442568474685</v>
      </c>
      <c r="N31" s="133">
        <f>IF(SER_hh_emih!N31=0,0,SER_hh_emih!N31/SER_summary!N$26)</f>
        <v>14.145798935119812</v>
      </c>
      <c r="O31" s="133">
        <f>IF(SER_hh_emih!O31=0,0,SER_hh_emih!O31/SER_summary!O$26)</f>
        <v>13.827749353380423</v>
      </c>
      <c r="P31" s="133">
        <f>IF(SER_hh_emih!P31=0,0,SER_hh_emih!P31/SER_summary!P$26)</f>
        <v>13.730463715375036</v>
      </c>
      <c r="Q31" s="133">
        <f>IF(SER_hh_emih!Q31=0,0,SER_hh_emih!Q31/SER_summary!Q$26)</f>
        <v>14.034026810707749</v>
      </c>
      <c r="R31" s="133">
        <f>IF(SER_hh_emih!R31=0,0,SER_hh_emih!R31/SER_summary!R$26)</f>
        <v>14.252536571714092</v>
      </c>
      <c r="S31" s="133">
        <f>IF(SER_hh_emih!S31=0,0,SER_hh_emih!S31/SER_summary!S$26)</f>
        <v>13.763002553873603</v>
      </c>
      <c r="T31" s="133">
        <f>IF(SER_hh_emih!T31=0,0,SER_hh_emih!T31/SER_summary!T$26)</f>
        <v>14.728673113945817</v>
      </c>
      <c r="U31" s="133">
        <f>IF(SER_hh_emih!U31=0,0,SER_hh_emih!U31/SER_summary!U$26)</f>
        <v>14.516845693097871</v>
      </c>
      <c r="V31" s="133">
        <f>IF(SER_hh_emih!V31=0,0,SER_hh_emih!V31/SER_summary!V$26)</f>
        <v>12.296724592497183</v>
      </c>
      <c r="W31" s="133">
        <f>IF(SER_hh_emih!W31=0,0,SER_hh_emih!W31/SER_summary!W$26)</f>
        <v>20.533527711586576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90.01191351154398</v>
      </c>
      <c r="D3" s="125">
        <f t="shared" si="0"/>
        <v>102.45704484217241</v>
      </c>
      <c r="E3" s="125">
        <f t="shared" si="0"/>
        <v>58.210960517751616</v>
      </c>
      <c r="F3" s="125">
        <f t="shared" si="0"/>
        <v>104.23019235905187</v>
      </c>
      <c r="G3" s="125">
        <f t="shared" si="0"/>
        <v>122.44196009085994</v>
      </c>
      <c r="H3" s="125">
        <f t="shared" si="0"/>
        <v>94.026983806567245</v>
      </c>
      <c r="I3" s="125">
        <f t="shared" si="0"/>
        <v>102.06422964686644</v>
      </c>
      <c r="J3" s="125">
        <f t="shared" si="0"/>
        <v>87.600498397584857</v>
      </c>
      <c r="K3" s="125">
        <f t="shared" si="0"/>
        <v>82.976984529320191</v>
      </c>
      <c r="L3" s="125">
        <f t="shared" si="0"/>
        <v>69.60738940661227</v>
      </c>
      <c r="M3" s="125">
        <f t="shared" si="0"/>
        <v>175.04604930579143</v>
      </c>
      <c r="N3" s="125">
        <f t="shared" si="0"/>
        <v>177.85421914015166</v>
      </c>
      <c r="O3" s="125">
        <f t="shared" si="0"/>
        <v>224.27454599059826</v>
      </c>
      <c r="P3" s="125">
        <f t="shared" si="0"/>
        <v>251.2759170395646</v>
      </c>
      <c r="Q3" s="125">
        <f t="shared" si="0"/>
        <v>221.60350930175775</v>
      </c>
      <c r="R3" s="125">
        <f t="shared" si="0"/>
        <v>250.35669673456104</v>
      </c>
      <c r="S3" s="125">
        <f t="shared" si="0"/>
        <v>240.74874234415427</v>
      </c>
      <c r="T3" s="125">
        <f t="shared" si="0"/>
        <v>242.10797494074129</v>
      </c>
      <c r="U3" s="125">
        <f t="shared" si="0"/>
        <v>242.11082602582013</v>
      </c>
      <c r="V3" s="125">
        <f t="shared" si="0"/>
        <v>240.35589195706535</v>
      </c>
      <c r="W3" s="125">
        <f t="shared" si="0"/>
        <v>238.05026643808981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90.01191351154398</v>
      </c>
      <c r="D4" s="140">
        <f t="shared" si="1"/>
        <v>102.45704484217241</v>
      </c>
      <c r="E4" s="140">
        <f t="shared" si="1"/>
        <v>58.210960517751616</v>
      </c>
      <c r="F4" s="140">
        <f t="shared" si="1"/>
        <v>104.23019235905187</v>
      </c>
      <c r="G4" s="140">
        <f t="shared" si="1"/>
        <v>122.44196009085994</v>
      </c>
      <c r="H4" s="140">
        <f t="shared" si="1"/>
        <v>94.026983806567245</v>
      </c>
      <c r="I4" s="140">
        <f t="shared" si="1"/>
        <v>102.06422964686644</v>
      </c>
      <c r="J4" s="140">
        <f t="shared" si="1"/>
        <v>87.600498397584857</v>
      </c>
      <c r="K4" s="140">
        <f t="shared" si="1"/>
        <v>82.976984529320191</v>
      </c>
      <c r="L4" s="140">
        <f t="shared" si="1"/>
        <v>69.60738940661227</v>
      </c>
      <c r="M4" s="140">
        <f t="shared" si="1"/>
        <v>175.04604930579143</v>
      </c>
      <c r="N4" s="140">
        <f t="shared" si="1"/>
        <v>177.85421914015166</v>
      </c>
      <c r="O4" s="140">
        <f t="shared" si="1"/>
        <v>224.27454599059826</v>
      </c>
      <c r="P4" s="140">
        <f t="shared" si="1"/>
        <v>251.2759170395646</v>
      </c>
      <c r="Q4" s="140">
        <f t="shared" si="1"/>
        <v>221.60350930175775</v>
      </c>
      <c r="R4" s="140">
        <f t="shared" ref="R4:W4" si="2">SUM(R5:R14)</f>
        <v>250.35669673456104</v>
      </c>
      <c r="S4" s="140">
        <f t="shared" si="2"/>
        <v>240.74874234415427</v>
      </c>
      <c r="T4" s="140">
        <f t="shared" si="2"/>
        <v>242.10797494074129</v>
      </c>
      <c r="U4" s="140">
        <f t="shared" si="2"/>
        <v>242.11082602582013</v>
      </c>
      <c r="V4" s="140">
        <f t="shared" si="2"/>
        <v>240.35589195706535</v>
      </c>
      <c r="W4" s="140">
        <f t="shared" si="2"/>
        <v>238.05026643808981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12.637691214293914</v>
      </c>
      <c r="D7" s="141">
        <v>10.019981723869533</v>
      </c>
      <c r="E7" s="141">
        <v>0</v>
      </c>
      <c r="F7" s="141">
        <v>1.6561294543786442</v>
      </c>
      <c r="G7" s="141">
        <v>0</v>
      </c>
      <c r="H7" s="141">
        <v>0</v>
      </c>
      <c r="I7" s="141">
        <v>0</v>
      </c>
      <c r="J7" s="141">
        <v>0</v>
      </c>
      <c r="K7" s="141">
        <v>15.798705389641333</v>
      </c>
      <c r="L7" s="141">
        <v>31.821294890948209</v>
      </c>
      <c r="M7" s="141">
        <v>56.952924593480908</v>
      </c>
      <c r="N7" s="141">
        <v>47.533449821727302</v>
      </c>
      <c r="O7" s="141">
        <v>75.464835307554878</v>
      </c>
      <c r="P7" s="141">
        <v>105.58620338135232</v>
      </c>
      <c r="Q7" s="141">
        <v>118.73561564946176</v>
      </c>
      <c r="R7" s="141">
        <v>106.72656253935314</v>
      </c>
      <c r="S7" s="141">
        <v>103.59133276223415</v>
      </c>
      <c r="T7" s="141">
        <v>47.196470948066199</v>
      </c>
      <c r="U7" s="141">
        <v>25.385430866294662</v>
      </c>
      <c r="V7" s="141">
        <v>16.839299820625275</v>
      </c>
      <c r="W7" s="141">
        <v>12.245205739017694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28.566368340524551</v>
      </c>
      <c r="D9" s="141">
        <v>18.50433129581328</v>
      </c>
      <c r="E9" s="141">
        <v>0</v>
      </c>
      <c r="F9" s="141">
        <v>10.241469546140474</v>
      </c>
      <c r="G9" s="141">
        <v>40.263775061771526</v>
      </c>
      <c r="H9" s="141">
        <v>44.788394831761096</v>
      </c>
      <c r="I9" s="141">
        <v>49.769575272193492</v>
      </c>
      <c r="J9" s="141">
        <v>52.855049097680094</v>
      </c>
      <c r="K9" s="141">
        <v>40.909911596870963</v>
      </c>
      <c r="L9" s="141">
        <v>2.0227448343919803</v>
      </c>
      <c r="M9" s="141">
        <v>55.540212484461975</v>
      </c>
      <c r="N9" s="141">
        <v>66.036693385115413</v>
      </c>
      <c r="O9" s="141">
        <v>89.63670796979936</v>
      </c>
      <c r="P9" s="141">
        <v>102.35103918311437</v>
      </c>
      <c r="Q9" s="141">
        <v>42.64264948294808</v>
      </c>
      <c r="R9" s="141">
        <v>31.44298501369467</v>
      </c>
      <c r="S9" s="141">
        <v>0</v>
      </c>
      <c r="T9" s="141">
        <v>0</v>
      </c>
      <c r="U9" s="141">
        <v>0.94724973101642806</v>
      </c>
      <c r="V9" s="141">
        <v>0</v>
      </c>
      <c r="W9" s="141">
        <v>50.045189935160408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0.17472730270197995</v>
      </c>
      <c r="D10" s="141">
        <v>8.3564540505566443E-2</v>
      </c>
      <c r="E10" s="141">
        <v>0</v>
      </c>
      <c r="F10" s="141">
        <v>0</v>
      </c>
      <c r="G10" s="141">
        <v>0</v>
      </c>
      <c r="H10" s="141">
        <v>0</v>
      </c>
      <c r="I10" s="141">
        <v>4.5767896763578633E-2</v>
      </c>
      <c r="J10" s="141">
        <v>0.14058478513185432</v>
      </c>
      <c r="K10" s="141">
        <v>0.17608752364764749</v>
      </c>
      <c r="L10" s="141">
        <v>1.5725183961707134E-2</v>
      </c>
      <c r="M10" s="141">
        <v>0.18432253707062241</v>
      </c>
      <c r="N10" s="141">
        <v>0.68523513772398392</v>
      </c>
      <c r="O10" s="141">
        <v>0.96852574036558448</v>
      </c>
      <c r="P10" s="141">
        <v>0.52655743477966155</v>
      </c>
      <c r="Q10" s="141">
        <v>3.3087423463067575E-2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1.6112583401885774E-2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28.191742053252998</v>
      </c>
      <c r="D12" s="141">
        <v>73.849167281984023</v>
      </c>
      <c r="E12" s="141">
        <v>58.210960517751616</v>
      </c>
      <c r="F12" s="141">
        <v>74.426884456251642</v>
      </c>
      <c r="G12" s="141">
        <v>26.194529884752932</v>
      </c>
      <c r="H12" s="141">
        <v>0.38162642447771022</v>
      </c>
      <c r="I12" s="141">
        <v>0</v>
      </c>
      <c r="J12" s="141">
        <v>0</v>
      </c>
      <c r="K12" s="141">
        <v>4.6399867336504483</v>
      </c>
      <c r="L12" s="141">
        <v>18.571042102442576</v>
      </c>
      <c r="M12" s="141">
        <v>31.010916690379815</v>
      </c>
      <c r="N12" s="141">
        <v>30.277985400392438</v>
      </c>
      <c r="O12" s="141">
        <v>23.172654617557704</v>
      </c>
      <c r="P12" s="141">
        <v>42.812117040318235</v>
      </c>
      <c r="Q12" s="141">
        <v>60.192156745884851</v>
      </c>
      <c r="R12" s="141">
        <v>99.788176820480786</v>
      </c>
      <c r="S12" s="141">
        <v>101.16981089363644</v>
      </c>
      <c r="T12" s="141">
        <v>150.53787589870311</v>
      </c>
      <c r="U12" s="141">
        <v>168.94771579705846</v>
      </c>
      <c r="V12" s="141">
        <v>195.06891508817307</v>
      </c>
      <c r="W12" s="141">
        <v>113.8445476719933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20.441384600770533</v>
      </c>
      <c r="D14" s="142">
        <v>0</v>
      </c>
      <c r="E14" s="142">
        <v>0</v>
      </c>
      <c r="F14" s="142">
        <v>17.905708902281113</v>
      </c>
      <c r="G14" s="142">
        <v>55.983655144335472</v>
      </c>
      <c r="H14" s="142">
        <v>48.856962550328447</v>
      </c>
      <c r="I14" s="142">
        <v>52.248886477909373</v>
      </c>
      <c r="J14" s="142">
        <v>34.604864514772913</v>
      </c>
      <c r="K14" s="142">
        <v>21.452293285509811</v>
      </c>
      <c r="L14" s="142">
        <v>17.176582394867804</v>
      </c>
      <c r="M14" s="142">
        <v>31.357673000398094</v>
      </c>
      <c r="N14" s="142">
        <v>33.320855395192517</v>
      </c>
      <c r="O14" s="142">
        <v>35.031822355320756</v>
      </c>
      <c r="P14" s="142">
        <v>0</v>
      </c>
      <c r="Q14" s="142">
        <v>0</v>
      </c>
      <c r="R14" s="142">
        <v>12.398972361032424</v>
      </c>
      <c r="S14" s="142">
        <v>35.987598688283683</v>
      </c>
      <c r="T14" s="142">
        <v>44.37362809397198</v>
      </c>
      <c r="U14" s="142">
        <v>46.830429631450578</v>
      </c>
      <c r="V14" s="142">
        <v>28.447677048266996</v>
      </c>
      <c r="W14" s="142">
        <v>61.899210508516504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69.570528910773447</v>
      </c>
      <c r="D15" s="144">
        <f t="shared" si="3"/>
        <v>102.45704484217241</v>
      </c>
      <c r="E15" s="144">
        <f t="shared" si="3"/>
        <v>58.210960517751616</v>
      </c>
      <c r="F15" s="144">
        <f t="shared" si="3"/>
        <v>86.324483456770764</v>
      </c>
      <c r="G15" s="144">
        <f t="shared" si="3"/>
        <v>66.458304946524464</v>
      </c>
      <c r="H15" s="144">
        <f t="shared" si="3"/>
        <v>45.170021256238805</v>
      </c>
      <c r="I15" s="144">
        <f t="shared" si="3"/>
        <v>49.815343168957071</v>
      </c>
      <c r="J15" s="144">
        <f t="shared" si="3"/>
        <v>52.995633882811951</v>
      </c>
      <c r="K15" s="144">
        <f t="shared" si="3"/>
        <v>61.524691243810388</v>
      </c>
      <c r="L15" s="144">
        <f t="shared" si="3"/>
        <v>52.43080701174447</v>
      </c>
      <c r="M15" s="144">
        <f t="shared" si="3"/>
        <v>143.68837630539332</v>
      </c>
      <c r="N15" s="144">
        <f t="shared" si="3"/>
        <v>144.53336374495913</v>
      </c>
      <c r="O15" s="144">
        <f t="shared" si="3"/>
        <v>189.24272363527751</v>
      </c>
      <c r="P15" s="144">
        <f t="shared" si="3"/>
        <v>251.2759170395646</v>
      </c>
      <c r="Q15" s="144">
        <f t="shared" si="3"/>
        <v>221.60350930175775</v>
      </c>
      <c r="R15" s="144">
        <f t="shared" ref="R15:W15" si="4">SUM(R5:R12)</f>
        <v>237.95772437352861</v>
      </c>
      <c r="S15" s="144">
        <f t="shared" si="4"/>
        <v>204.76114365587057</v>
      </c>
      <c r="T15" s="144">
        <f t="shared" si="4"/>
        <v>197.73434684676931</v>
      </c>
      <c r="U15" s="144">
        <f t="shared" si="4"/>
        <v>195.28039639436955</v>
      </c>
      <c r="V15" s="144">
        <f t="shared" si="4"/>
        <v>211.90821490879836</v>
      </c>
      <c r="W15" s="144">
        <f t="shared" si="4"/>
        <v>176.15105592957329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90.011913511543966</v>
      </c>
      <c r="D16" s="140">
        <f t="shared" si="5"/>
        <v>102.45704484217241</v>
      </c>
      <c r="E16" s="140">
        <f t="shared" si="5"/>
        <v>58.210960517751616</v>
      </c>
      <c r="F16" s="140">
        <f t="shared" si="5"/>
        <v>104.23019235905188</v>
      </c>
      <c r="G16" s="140">
        <f t="shared" si="5"/>
        <v>122.44196009085992</v>
      </c>
      <c r="H16" s="140">
        <f t="shared" si="5"/>
        <v>94.026983806567245</v>
      </c>
      <c r="I16" s="140">
        <f t="shared" si="5"/>
        <v>102.06422964686644</v>
      </c>
      <c r="J16" s="140">
        <f t="shared" si="5"/>
        <v>87.600498397584857</v>
      </c>
      <c r="K16" s="140">
        <f t="shared" si="5"/>
        <v>82.976984529320205</v>
      </c>
      <c r="L16" s="140">
        <f t="shared" si="5"/>
        <v>69.60738940661227</v>
      </c>
      <c r="M16" s="140">
        <f t="shared" si="5"/>
        <v>175.04604930579143</v>
      </c>
      <c r="N16" s="140">
        <f t="shared" si="5"/>
        <v>177.85421914015168</v>
      </c>
      <c r="O16" s="140">
        <f t="shared" si="5"/>
        <v>224.27454599059826</v>
      </c>
      <c r="P16" s="140">
        <f t="shared" si="5"/>
        <v>251.2759170395646</v>
      </c>
      <c r="Q16" s="140">
        <f t="shared" si="5"/>
        <v>221.60350930175781</v>
      </c>
      <c r="R16" s="140">
        <f t="shared" ref="R16:W16" si="6">SUM(R17:R18)</f>
        <v>250.35669673456098</v>
      </c>
      <c r="S16" s="140">
        <f t="shared" si="6"/>
        <v>240.74874234415427</v>
      </c>
      <c r="T16" s="140">
        <f t="shared" si="6"/>
        <v>242.10797494074126</v>
      </c>
      <c r="U16" s="140">
        <f t="shared" si="6"/>
        <v>242.11082602582013</v>
      </c>
      <c r="V16" s="140">
        <f t="shared" si="6"/>
        <v>240.35589195706532</v>
      </c>
      <c r="W16" s="140">
        <f t="shared" si="6"/>
        <v>238.05026643808978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0.48576054519088435</v>
      </c>
      <c r="D17" s="141">
        <v>0.82477746466692081</v>
      </c>
      <c r="E17" s="141">
        <v>0</v>
      </c>
      <c r="F17" s="141">
        <v>1.8062415557898861</v>
      </c>
      <c r="G17" s="141">
        <v>0.50219431560954297</v>
      </c>
      <c r="H17" s="141">
        <v>0.68507691481529587</v>
      </c>
      <c r="I17" s="141">
        <v>1.4805570827144912</v>
      </c>
      <c r="J17" s="141">
        <v>0.62741109942611595</v>
      </c>
      <c r="K17" s="141">
        <v>0.88819759415361776</v>
      </c>
      <c r="L17" s="141">
        <v>0.58219730281935445</v>
      </c>
      <c r="M17" s="141">
        <v>2.1637576783857266</v>
      </c>
      <c r="N17" s="141">
        <v>2.1608169948952938</v>
      </c>
      <c r="O17" s="141">
        <v>4.8836230080117273</v>
      </c>
      <c r="P17" s="141">
        <v>9.4929182793818683</v>
      </c>
      <c r="Q17" s="141">
        <v>6.7670291455277924</v>
      </c>
      <c r="R17" s="141">
        <v>16.870373930319122</v>
      </c>
      <c r="S17" s="141">
        <v>9.2374328455235855</v>
      </c>
      <c r="T17" s="141">
        <v>4.8244196171616656</v>
      </c>
      <c r="U17" s="141">
        <v>9.0104410947841806</v>
      </c>
      <c r="V17" s="141">
        <v>10.549815743508958</v>
      </c>
      <c r="W17" s="141">
        <v>9.15897250436322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89.526152966353081</v>
      </c>
      <c r="D18" s="141">
        <v>101.63226737750549</v>
      </c>
      <c r="E18" s="141">
        <v>58.210960517751616</v>
      </c>
      <c r="F18" s="141">
        <v>102.423950803262</v>
      </c>
      <c r="G18" s="141">
        <v>121.93976577525038</v>
      </c>
      <c r="H18" s="141">
        <v>93.341906891751947</v>
      </c>
      <c r="I18" s="141">
        <v>100.58367256415194</v>
      </c>
      <c r="J18" s="141">
        <v>86.973087298158745</v>
      </c>
      <c r="K18" s="141">
        <v>82.088786935166581</v>
      </c>
      <c r="L18" s="141">
        <v>69.025192103792918</v>
      </c>
      <c r="M18" s="141">
        <v>172.88229162740569</v>
      </c>
      <c r="N18" s="141">
        <v>175.69340214525639</v>
      </c>
      <c r="O18" s="141">
        <v>219.39092298258652</v>
      </c>
      <c r="P18" s="141">
        <v>241.78299876018272</v>
      </c>
      <c r="Q18" s="141">
        <v>214.83648015623001</v>
      </c>
      <c r="R18" s="141">
        <v>233.48632280424187</v>
      </c>
      <c r="S18" s="141">
        <v>231.51130949863068</v>
      </c>
      <c r="T18" s="141">
        <v>237.28355532357961</v>
      </c>
      <c r="U18" s="141">
        <v>233.10038493103596</v>
      </c>
      <c r="V18" s="141">
        <v>229.80607621355637</v>
      </c>
      <c r="W18" s="141">
        <v>228.89129393372656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90.01191351154398</v>
      </c>
      <c r="D19" s="140">
        <f t="shared" si="7"/>
        <v>102.45704484217242</v>
      </c>
      <c r="E19" s="140">
        <f t="shared" si="7"/>
        <v>58.210960517751616</v>
      </c>
      <c r="F19" s="140">
        <f t="shared" si="7"/>
        <v>104.23019235905188</v>
      </c>
      <c r="G19" s="140">
        <f t="shared" si="7"/>
        <v>122.44196009085992</v>
      </c>
      <c r="H19" s="140">
        <f t="shared" si="7"/>
        <v>94.026983806567245</v>
      </c>
      <c r="I19" s="140">
        <f t="shared" si="7"/>
        <v>102.06422964686644</v>
      </c>
      <c r="J19" s="140">
        <f t="shared" si="7"/>
        <v>87.600498397584857</v>
      </c>
      <c r="K19" s="140">
        <f t="shared" si="7"/>
        <v>82.976984529320205</v>
      </c>
      <c r="L19" s="140">
        <f t="shared" si="7"/>
        <v>69.60738940661227</v>
      </c>
      <c r="M19" s="140">
        <f t="shared" si="7"/>
        <v>175.04604930579143</v>
      </c>
      <c r="N19" s="140">
        <f t="shared" si="7"/>
        <v>177.85421914015166</v>
      </c>
      <c r="O19" s="140">
        <f t="shared" si="7"/>
        <v>224.27454599059826</v>
      </c>
      <c r="P19" s="140">
        <f t="shared" si="7"/>
        <v>251.2759170395646</v>
      </c>
      <c r="Q19" s="140">
        <f t="shared" si="7"/>
        <v>221.60350930175778</v>
      </c>
      <c r="R19" s="140">
        <f t="shared" ref="R19:W19" si="8">SUM(R20:R26)</f>
        <v>250.35669673456101</v>
      </c>
      <c r="S19" s="140">
        <f t="shared" si="8"/>
        <v>240.74874234415424</v>
      </c>
      <c r="T19" s="140">
        <f t="shared" si="8"/>
        <v>242.10797494074126</v>
      </c>
      <c r="U19" s="140">
        <f t="shared" si="8"/>
        <v>242.1108260258201</v>
      </c>
      <c r="V19" s="140">
        <f t="shared" si="8"/>
        <v>240.35589195706532</v>
      </c>
      <c r="W19" s="140">
        <f t="shared" si="8"/>
        <v>238.05026643808981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14.249137272101345</v>
      </c>
      <c r="D22" s="141">
        <v>13.481462533598608</v>
      </c>
      <c r="E22" s="141">
        <v>7.0013932566158799</v>
      </c>
      <c r="F22" s="141">
        <v>8.7580541042073747</v>
      </c>
      <c r="G22" s="141">
        <v>0</v>
      </c>
      <c r="H22" s="141">
        <v>0</v>
      </c>
      <c r="I22" s="141">
        <v>0</v>
      </c>
      <c r="J22" s="141">
        <v>0</v>
      </c>
      <c r="K22" s="141">
        <v>4.4598441452244444</v>
      </c>
      <c r="L22" s="141">
        <v>20.338392416290841</v>
      </c>
      <c r="M22" s="141">
        <v>31.126263514261833</v>
      </c>
      <c r="N22" s="141">
        <v>48.243721304438331</v>
      </c>
      <c r="O22" s="141">
        <v>39.348602549124053</v>
      </c>
      <c r="P22" s="141">
        <v>40.807825778760368</v>
      </c>
      <c r="Q22" s="141">
        <v>43.145040581437478</v>
      </c>
      <c r="R22" s="141">
        <v>73.473051055386364</v>
      </c>
      <c r="S22" s="141">
        <v>117.11289897646094</v>
      </c>
      <c r="T22" s="141">
        <v>87.183893302552391</v>
      </c>
      <c r="U22" s="141">
        <v>76.288544857655154</v>
      </c>
      <c r="V22" s="141">
        <v>28.612630963589815</v>
      </c>
      <c r="W22" s="141">
        <v>30.818746898010094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19.799912066697171</v>
      </c>
      <c r="D23" s="141">
        <v>22.991732511523544</v>
      </c>
      <c r="E23" s="141">
        <v>14.291165319297169</v>
      </c>
      <c r="F23" s="141">
        <v>33.173054842796347</v>
      </c>
      <c r="G23" s="141">
        <v>41.738702506225202</v>
      </c>
      <c r="H23" s="141">
        <v>21.571798866793177</v>
      </c>
      <c r="I23" s="141">
        <v>26.734261961944512</v>
      </c>
      <c r="J23" s="141">
        <v>34.341358801504917</v>
      </c>
      <c r="K23" s="141">
        <v>26.752000920608026</v>
      </c>
      <c r="L23" s="141">
        <v>24.774854066065583</v>
      </c>
      <c r="M23" s="141">
        <v>36.549991762834559</v>
      </c>
      <c r="N23" s="141">
        <v>39.416863629902679</v>
      </c>
      <c r="O23" s="141">
        <v>66.734156415811782</v>
      </c>
      <c r="P23" s="141">
        <v>92.613097028207861</v>
      </c>
      <c r="Q23" s="141">
        <v>66.530377886273328</v>
      </c>
      <c r="R23" s="141">
        <v>53.562743729782994</v>
      </c>
      <c r="S23" s="141">
        <v>24.935982614613312</v>
      </c>
      <c r="T23" s="141">
        <v>0</v>
      </c>
      <c r="U23" s="141">
        <v>2.4940733131215227</v>
      </c>
      <c r="V23" s="141">
        <v>0</v>
      </c>
      <c r="W23" s="141">
        <v>31.621562451297525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30.041396673280108</v>
      </c>
      <c r="D25" s="141">
        <v>65.983849797050269</v>
      </c>
      <c r="E25" s="141">
        <v>36.918401941838567</v>
      </c>
      <c r="F25" s="141">
        <v>62.299083412048162</v>
      </c>
      <c r="G25" s="141">
        <v>46.333366041416951</v>
      </c>
      <c r="H25" s="141">
        <v>10.54913733143052</v>
      </c>
      <c r="I25" s="141">
        <v>10.059696671880497</v>
      </c>
      <c r="J25" s="141">
        <v>6.6655756635536472</v>
      </c>
      <c r="K25" s="141">
        <v>9.0195801800740636</v>
      </c>
      <c r="L25" s="141">
        <v>5.5805864238990601</v>
      </c>
      <c r="M25" s="141">
        <v>25.159312205251855</v>
      </c>
      <c r="N25" s="141">
        <v>27.757974231846791</v>
      </c>
      <c r="O25" s="141">
        <v>40.292003589288001</v>
      </c>
      <c r="P25" s="141">
        <v>65.06474830537789</v>
      </c>
      <c r="Q25" s="141">
        <v>71.460925923585279</v>
      </c>
      <c r="R25" s="141">
        <v>81.335652134502723</v>
      </c>
      <c r="S25" s="141">
        <v>87.247627158010957</v>
      </c>
      <c r="T25" s="141">
        <v>81.392302281849737</v>
      </c>
      <c r="U25" s="141">
        <v>82.349219274060971</v>
      </c>
      <c r="V25" s="141">
        <v>72.774355180806126</v>
      </c>
      <c r="W25" s="141">
        <v>44.931208340883153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25.921467499465358</v>
      </c>
      <c r="D26" s="142">
        <v>0</v>
      </c>
      <c r="E26" s="142">
        <v>0</v>
      </c>
      <c r="F26" s="142">
        <v>0</v>
      </c>
      <c r="G26" s="142">
        <v>34.369891543217776</v>
      </c>
      <c r="H26" s="142">
        <v>61.906047608343556</v>
      </c>
      <c r="I26" s="142">
        <v>65.270271013041423</v>
      </c>
      <c r="J26" s="142">
        <v>46.593563932526287</v>
      </c>
      <c r="K26" s="142">
        <v>42.74555928341367</v>
      </c>
      <c r="L26" s="142">
        <v>18.913556500356794</v>
      </c>
      <c r="M26" s="142">
        <v>82.210481823443189</v>
      </c>
      <c r="N26" s="142">
        <v>62.435659973963865</v>
      </c>
      <c r="O26" s="142">
        <v>77.899783436374435</v>
      </c>
      <c r="P26" s="142">
        <v>52.790245927218479</v>
      </c>
      <c r="Q26" s="142">
        <v>40.467164910461698</v>
      </c>
      <c r="R26" s="142">
        <v>41.985249814888938</v>
      </c>
      <c r="S26" s="142">
        <v>11.452233595069043</v>
      </c>
      <c r="T26" s="142">
        <v>73.531779356339129</v>
      </c>
      <c r="U26" s="142">
        <v>80.978988580982474</v>
      </c>
      <c r="V26" s="142">
        <v>138.96890581266939</v>
      </c>
      <c r="W26" s="142">
        <v>130.67874874789902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90.01191351154398</v>
      </c>
      <c r="D29" s="140">
        <f t="shared" si="9"/>
        <v>102.45704484217241</v>
      </c>
      <c r="E29" s="140">
        <f t="shared" si="9"/>
        <v>58.21096051775163</v>
      </c>
      <c r="F29" s="140">
        <f t="shared" si="9"/>
        <v>104.23019235905188</v>
      </c>
      <c r="G29" s="140">
        <f t="shared" si="9"/>
        <v>122.44196009085994</v>
      </c>
      <c r="H29" s="140">
        <f t="shared" si="9"/>
        <v>94.026983806567245</v>
      </c>
      <c r="I29" s="140">
        <f t="shared" si="9"/>
        <v>102.06422964686645</v>
      </c>
      <c r="J29" s="140">
        <f t="shared" si="9"/>
        <v>87.600498397584857</v>
      </c>
      <c r="K29" s="140">
        <f t="shared" si="9"/>
        <v>82.976984529320205</v>
      </c>
      <c r="L29" s="140">
        <f t="shared" si="9"/>
        <v>69.607389406612285</v>
      </c>
      <c r="M29" s="140">
        <f t="shared" si="9"/>
        <v>175.04604930579143</v>
      </c>
      <c r="N29" s="140">
        <f t="shared" si="9"/>
        <v>177.85421914015166</v>
      </c>
      <c r="O29" s="140">
        <f t="shared" si="9"/>
        <v>224.27454599059823</v>
      </c>
      <c r="P29" s="140">
        <f t="shared" si="9"/>
        <v>251.2759170395646</v>
      </c>
      <c r="Q29" s="140">
        <f t="shared" si="9"/>
        <v>221.60350930175778</v>
      </c>
      <c r="R29" s="140">
        <f t="shared" ref="R29:W29" si="10">SUM(R30:R33)</f>
        <v>250.35669673456101</v>
      </c>
      <c r="S29" s="140">
        <f t="shared" si="10"/>
        <v>240.74874234415429</v>
      </c>
      <c r="T29" s="140">
        <f t="shared" si="10"/>
        <v>242.10797494074126</v>
      </c>
      <c r="U29" s="140">
        <f t="shared" si="10"/>
        <v>242.11082602582013</v>
      </c>
      <c r="V29" s="140">
        <f t="shared" si="10"/>
        <v>240.35589195706532</v>
      </c>
      <c r="W29" s="140">
        <f t="shared" si="10"/>
        <v>238.05026643808981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8.78529995433572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68.987457897276329</v>
      </c>
      <c r="L30" s="141">
        <v>37.875004561637716</v>
      </c>
      <c r="M30" s="141">
        <v>53.656955634431114</v>
      </c>
      <c r="N30" s="141">
        <v>4.7329782143401005</v>
      </c>
      <c r="O30" s="141">
        <v>5.4463576968703302</v>
      </c>
      <c r="P30" s="141">
        <v>3.8864466769128128</v>
      </c>
      <c r="Q30" s="141">
        <v>17.369021846980431</v>
      </c>
      <c r="R30" s="141">
        <v>20.319269904220665</v>
      </c>
      <c r="S30" s="141">
        <v>16.430662768198996</v>
      </c>
      <c r="T30" s="141">
        <v>44.393358462880613</v>
      </c>
      <c r="U30" s="141">
        <v>37.345530739958328</v>
      </c>
      <c r="V30" s="141">
        <v>64.587056748403441</v>
      </c>
      <c r="W30" s="141">
        <v>58.346074128290404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39.999624634426084</v>
      </c>
      <c r="D31" s="141">
        <v>32.474664035864976</v>
      </c>
      <c r="E31" s="141">
        <v>16.88428646071576</v>
      </c>
      <c r="F31" s="141">
        <v>27.190004917140943</v>
      </c>
      <c r="G31" s="141">
        <v>40.572601359404345</v>
      </c>
      <c r="H31" s="141">
        <v>33.943053008192607</v>
      </c>
      <c r="I31" s="141">
        <v>28.114748445468564</v>
      </c>
      <c r="J31" s="141">
        <v>21.597196877080645</v>
      </c>
      <c r="K31" s="141">
        <v>13.989526632043876</v>
      </c>
      <c r="L31" s="141">
        <v>21.814870193524161</v>
      </c>
      <c r="M31" s="141">
        <v>24.513058710052906</v>
      </c>
      <c r="N31" s="141">
        <v>27.334679151332058</v>
      </c>
      <c r="O31" s="141">
        <v>30.291385646011562</v>
      </c>
      <c r="P31" s="141">
        <v>23.308844668278986</v>
      </c>
      <c r="Q31" s="141">
        <v>17.727991514466467</v>
      </c>
      <c r="R31" s="141">
        <v>19.29552429900043</v>
      </c>
      <c r="S31" s="141">
        <v>12.650018896327083</v>
      </c>
      <c r="T31" s="141">
        <v>13.178095302796795</v>
      </c>
      <c r="U31" s="141">
        <v>7.2322158060227775</v>
      </c>
      <c r="V31" s="141">
        <v>2.6573824495901426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41.226988922782169</v>
      </c>
      <c r="D33" s="153">
        <v>69.982380806307432</v>
      </c>
      <c r="E33" s="153">
        <v>41.326674057035866</v>
      </c>
      <c r="F33" s="153">
        <v>77.040187441910945</v>
      </c>
      <c r="G33" s="153">
        <v>81.869358731455591</v>
      </c>
      <c r="H33" s="153">
        <v>60.083930798374638</v>
      </c>
      <c r="I33" s="153">
        <v>73.949481201397887</v>
      </c>
      <c r="J33" s="153">
        <v>66.003301520504209</v>
      </c>
      <c r="K33" s="153">
        <v>0</v>
      </c>
      <c r="L33" s="153">
        <v>9.9175146514503982</v>
      </c>
      <c r="M33" s="153">
        <v>96.876034961307411</v>
      </c>
      <c r="N33" s="153">
        <v>145.78656177447951</v>
      </c>
      <c r="O33" s="153">
        <v>188.53680264771634</v>
      </c>
      <c r="P33" s="153">
        <v>224.0806256943728</v>
      </c>
      <c r="Q33" s="153">
        <v>186.50649594031088</v>
      </c>
      <c r="R33" s="153">
        <v>210.74190253133992</v>
      </c>
      <c r="S33" s="153">
        <v>211.66806067962821</v>
      </c>
      <c r="T33" s="153">
        <v>184.53652117506385</v>
      </c>
      <c r="U33" s="153">
        <v>197.53307947983902</v>
      </c>
      <c r="V33" s="153">
        <v>173.11145275907174</v>
      </c>
      <c r="W33" s="153">
        <v>179.7041923097994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3.113591124150457</v>
      </c>
      <c r="D3" s="126">
        <f t="shared" si="0"/>
        <v>2.9888208754578223</v>
      </c>
      <c r="E3" s="126">
        <f t="shared" si="0"/>
        <v>2.1418655936713646</v>
      </c>
      <c r="F3" s="126">
        <f t="shared" si="0"/>
        <v>3.3423798137079892</v>
      </c>
      <c r="G3" s="126">
        <f t="shared" si="0"/>
        <v>3.9000616306724272</v>
      </c>
      <c r="H3" s="126">
        <f t="shared" si="0"/>
        <v>3.1520098828206855</v>
      </c>
      <c r="I3" s="126">
        <f t="shared" si="0"/>
        <v>3.3697608803738199</v>
      </c>
      <c r="J3" s="126">
        <f t="shared" si="0"/>
        <v>2.9808927605142865</v>
      </c>
      <c r="K3" s="126">
        <f t="shared" si="0"/>
        <v>2.8920971740125321</v>
      </c>
      <c r="L3" s="126">
        <f t="shared" si="0"/>
        <v>2.6358557535597043</v>
      </c>
      <c r="M3" s="126">
        <f t="shared" si="0"/>
        <v>4.7171945690059331</v>
      </c>
      <c r="N3" s="126">
        <f t="shared" si="0"/>
        <v>5.1188757121813637</v>
      </c>
      <c r="O3" s="126">
        <f t="shared" si="0"/>
        <v>6.4060701321360947</v>
      </c>
      <c r="P3" s="126">
        <f t="shared" si="0"/>
        <v>5.7193311280489025</v>
      </c>
      <c r="Q3" s="126">
        <f t="shared" si="0"/>
        <v>5.5717365740050706</v>
      </c>
      <c r="R3" s="126">
        <f t="shared" ref="R3:W3" si="1">SUM(R4,R16,R19,R29)</f>
        <v>5.6135850628861004</v>
      </c>
      <c r="S3" s="126">
        <f t="shared" si="1"/>
        <v>5.87645749095359</v>
      </c>
      <c r="T3" s="126">
        <f t="shared" si="1"/>
        <v>5.181127781327544</v>
      </c>
      <c r="U3" s="126">
        <f t="shared" si="1"/>
        <v>5.1714909955194353</v>
      </c>
      <c r="V3" s="126">
        <f t="shared" si="1"/>
        <v>4.9291526373614172</v>
      </c>
      <c r="W3" s="126">
        <f t="shared" si="1"/>
        <v>4.142910924397925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2.3344149664509728</v>
      </c>
      <c r="D4" s="131">
        <f t="shared" si="2"/>
        <v>2.1373988599152689</v>
      </c>
      <c r="E4" s="131">
        <f t="shared" si="2"/>
        <v>1.6024485646521178</v>
      </c>
      <c r="F4" s="131">
        <f t="shared" si="2"/>
        <v>2.4545515009214665</v>
      </c>
      <c r="G4" s="131">
        <f t="shared" si="2"/>
        <v>2.8539806514543589</v>
      </c>
      <c r="H4" s="131">
        <f t="shared" si="2"/>
        <v>2.311558522555949</v>
      </c>
      <c r="I4" s="131">
        <f t="shared" si="2"/>
        <v>2.4983466144235318</v>
      </c>
      <c r="J4" s="131">
        <f t="shared" si="2"/>
        <v>2.2220174084111299</v>
      </c>
      <c r="K4" s="131">
        <f t="shared" si="2"/>
        <v>1.9619957325333601</v>
      </c>
      <c r="L4" s="131">
        <f t="shared" si="2"/>
        <v>1.9303249936914926</v>
      </c>
      <c r="M4" s="131">
        <f t="shared" si="2"/>
        <v>3.2037645681684523</v>
      </c>
      <c r="N4" s="131">
        <f t="shared" si="2"/>
        <v>3.6260417701995329</v>
      </c>
      <c r="O4" s="131">
        <f t="shared" si="2"/>
        <v>4.5842372947872603</v>
      </c>
      <c r="P4" s="131">
        <f t="shared" si="2"/>
        <v>3.7108752642335947</v>
      </c>
      <c r="Q4" s="131">
        <f t="shared" si="2"/>
        <v>3.8033306825841353</v>
      </c>
      <c r="R4" s="131">
        <f t="shared" ref="R4:W4" si="3">SUM(R5:R15)</f>
        <v>3.6926594868363272</v>
      </c>
      <c r="S4" s="131">
        <f t="shared" si="3"/>
        <v>4.0026755573712487</v>
      </c>
      <c r="T4" s="131">
        <f t="shared" si="3"/>
        <v>3.3348434180682771</v>
      </c>
      <c r="U4" s="131">
        <f t="shared" si="3"/>
        <v>3.3441385187830748</v>
      </c>
      <c r="V4" s="131">
        <f t="shared" si="3"/>
        <v>3.2523136541051825</v>
      </c>
      <c r="W4" s="131">
        <f t="shared" si="3"/>
        <v>2.3943215936023128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0.45312217873766286</v>
      </c>
      <c r="D7" s="133">
        <v>0.33419240458151811</v>
      </c>
      <c r="E7" s="133">
        <v>0</v>
      </c>
      <c r="F7" s="133">
        <v>5.6408342455276407E-2</v>
      </c>
      <c r="G7" s="133">
        <v>0</v>
      </c>
      <c r="H7" s="133">
        <v>0</v>
      </c>
      <c r="I7" s="133">
        <v>0</v>
      </c>
      <c r="J7" s="133">
        <v>0</v>
      </c>
      <c r="K7" s="133">
        <v>0.32954597580677153</v>
      </c>
      <c r="L7" s="133">
        <v>1.128561117449554</v>
      </c>
      <c r="M7" s="133">
        <v>1.3141697169202431</v>
      </c>
      <c r="N7" s="133">
        <v>1.0236418857488876</v>
      </c>
      <c r="O7" s="133">
        <v>1.6908645652749785</v>
      </c>
      <c r="P7" s="133">
        <v>1.6908778811364868</v>
      </c>
      <c r="Q7" s="133">
        <v>2.2645675677224921</v>
      </c>
      <c r="R7" s="133">
        <v>1.6656324037717003</v>
      </c>
      <c r="S7" s="133">
        <v>1.9958009211602314</v>
      </c>
      <c r="T7" s="133">
        <v>0.78436241013532604</v>
      </c>
      <c r="U7" s="133">
        <v>0.45987723371649364</v>
      </c>
      <c r="V7" s="133">
        <v>0.24590197578478876</v>
      </c>
      <c r="W7" s="133">
        <v>0.11381329130067314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0.71184673686198263</v>
      </c>
      <c r="D9" s="133">
        <v>0.51342693323948974</v>
      </c>
      <c r="E9" s="133">
        <v>0</v>
      </c>
      <c r="F9" s="133">
        <v>0.29153137254159411</v>
      </c>
      <c r="G9" s="133">
        <v>0.96084377772377261</v>
      </c>
      <c r="H9" s="133">
        <v>1.282212936800982</v>
      </c>
      <c r="I9" s="133">
        <v>1.1117075813549009</v>
      </c>
      <c r="J9" s="133">
        <v>1.3927898675795654</v>
      </c>
      <c r="K9" s="133">
        <v>1.0837965083233052</v>
      </c>
      <c r="L9" s="133">
        <v>6.1533562182269255E-2</v>
      </c>
      <c r="M9" s="133">
        <v>0.68212536024108816</v>
      </c>
      <c r="N9" s="133">
        <v>1.4143373861177992</v>
      </c>
      <c r="O9" s="133">
        <v>1.7702465142388417</v>
      </c>
      <c r="P9" s="133">
        <v>1.4642847521020199</v>
      </c>
      <c r="Q9" s="133">
        <v>0.66855915013804657</v>
      </c>
      <c r="R9" s="133">
        <v>0.54660846455245282</v>
      </c>
      <c r="S9" s="133">
        <v>0</v>
      </c>
      <c r="T9" s="133">
        <v>0</v>
      </c>
      <c r="U9" s="133">
        <v>1.4783998728611107E-2</v>
      </c>
      <c r="V9" s="133">
        <v>0</v>
      </c>
      <c r="W9" s="133">
        <v>0.61660110873768426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4.7014976234415308E-3</v>
      </c>
      <c r="D10" s="133">
        <v>3.0236220299609635E-3</v>
      </c>
      <c r="E10" s="133">
        <v>0</v>
      </c>
      <c r="F10" s="133">
        <v>0</v>
      </c>
      <c r="G10" s="133">
        <v>0</v>
      </c>
      <c r="H10" s="133">
        <v>0</v>
      </c>
      <c r="I10" s="133">
        <v>6.2803553932175901E-4</v>
      </c>
      <c r="J10" s="133">
        <v>3.4601662513044505E-3</v>
      </c>
      <c r="K10" s="133">
        <v>6.4212975903155571E-3</v>
      </c>
      <c r="L10" s="133">
        <v>4.0481008958408903E-4</v>
      </c>
      <c r="M10" s="133">
        <v>1.8431010811920214E-3</v>
      </c>
      <c r="N10" s="133">
        <v>1.2012427129417242E-2</v>
      </c>
      <c r="O10" s="133">
        <v>2.3354827645729086E-2</v>
      </c>
      <c r="P10" s="133">
        <v>1.5684964884457454E-2</v>
      </c>
      <c r="Q10" s="133">
        <v>3.8695958526761457E-4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1.0223209828982486E-3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0.53243437850199327</v>
      </c>
      <c r="D12" s="133">
        <v>1.2720845838604344</v>
      </c>
      <c r="E12" s="133">
        <v>1.5961977068964077</v>
      </c>
      <c r="F12" s="133">
        <v>1.7266212709631457</v>
      </c>
      <c r="G12" s="133">
        <v>0.57049973737609261</v>
      </c>
      <c r="H12" s="133">
        <v>8.3846447618433871E-3</v>
      </c>
      <c r="I12" s="133">
        <v>0</v>
      </c>
      <c r="J12" s="133">
        <v>0</v>
      </c>
      <c r="K12" s="133">
        <v>8.0588372605691044E-2</v>
      </c>
      <c r="L12" s="133">
        <v>0.36384521519411267</v>
      </c>
      <c r="M12" s="133">
        <v>0.62096531025836033</v>
      </c>
      <c r="N12" s="133">
        <v>0.52843839997362496</v>
      </c>
      <c r="O12" s="133">
        <v>0.42199319166791771</v>
      </c>
      <c r="P12" s="133">
        <v>0.50164043495318689</v>
      </c>
      <c r="Q12" s="133">
        <v>0.83316513065016551</v>
      </c>
      <c r="R12" s="133">
        <v>1.3227595197384281</v>
      </c>
      <c r="S12" s="133">
        <v>1.3724672469279342</v>
      </c>
      <c r="T12" s="133">
        <v>1.9486471979968238</v>
      </c>
      <c r="U12" s="133">
        <v>2.2021469718793885</v>
      </c>
      <c r="V12" s="133">
        <v>2.6697915110584129</v>
      </c>
      <c r="W12" s="133">
        <v>1.0730753990533066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0.61683135770846353</v>
      </c>
      <c r="D14" s="65">
        <v>0</v>
      </c>
      <c r="E14" s="65">
        <v>0</v>
      </c>
      <c r="F14" s="65">
        <v>0.36929586848867979</v>
      </c>
      <c r="G14" s="65">
        <v>1.3091983996829673</v>
      </c>
      <c r="H14" s="65">
        <v>1.0059396855939642</v>
      </c>
      <c r="I14" s="65">
        <v>1.3730670465746324</v>
      </c>
      <c r="J14" s="65">
        <v>0.80948662132128857</v>
      </c>
      <c r="K14" s="65">
        <v>0.44536450169537672</v>
      </c>
      <c r="L14" s="65">
        <v>0.36263190471172824</v>
      </c>
      <c r="M14" s="65">
        <v>0.56120780908035839</v>
      </c>
      <c r="N14" s="65">
        <v>0.61832683281204293</v>
      </c>
      <c r="O14" s="65">
        <v>0.63685498276028418</v>
      </c>
      <c r="P14" s="65">
        <v>0</v>
      </c>
      <c r="Q14" s="65">
        <v>0</v>
      </c>
      <c r="R14" s="65">
        <v>0.12726545216492247</v>
      </c>
      <c r="S14" s="65">
        <v>0.60686155501309735</v>
      </c>
      <c r="T14" s="65">
        <v>0.58599451194117125</v>
      </c>
      <c r="U14" s="65">
        <v>0.65408123888259573</v>
      </c>
      <c r="V14" s="65">
        <v>0.32433144923603174</v>
      </c>
      <c r="W14" s="65">
        <v>0.57673982981939931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1.5478817017428915E-2</v>
      </c>
      <c r="D15" s="135">
        <v>1.4671316203865446E-2</v>
      </c>
      <c r="E15" s="135">
        <v>6.250857755710112E-3</v>
      </c>
      <c r="F15" s="135">
        <v>1.0694646472770519E-2</v>
      </c>
      <c r="G15" s="135">
        <v>1.3438736671526442E-2</v>
      </c>
      <c r="H15" s="135">
        <v>1.5021255399159109E-2</v>
      </c>
      <c r="I15" s="135">
        <v>1.2943950954676627E-2</v>
      </c>
      <c r="J15" s="135">
        <v>1.6280753258971513E-2</v>
      </c>
      <c r="K15" s="135">
        <v>1.6279076511900113E-2</v>
      </c>
      <c r="L15" s="135">
        <v>1.3348384064244273E-2</v>
      </c>
      <c r="M15" s="135">
        <v>2.3453270587210501E-2</v>
      </c>
      <c r="N15" s="135">
        <v>2.9284838417760993E-2</v>
      </c>
      <c r="O15" s="135">
        <v>4.0923213199509249E-2</v>
      </c>
      <c r="P15" s="135">
        <v>3.8387231157443545E-2</v>
      </c>
      <c r="Q15" s="135">
        <v>3.6651874488163774E-2</v>
      </c>
      <c r="R15" s="135">
        <v>3.0393646608823644E-2</v>
      </c>
      <c r="S15" s="135">
        <v>2.7545834269985366E-2</v>
      </c>
      <c r="T15" s="135">
        <v>1.5839297994955939E-2</v>
      </c>
      <c r="U15" s="135">
        <v>1.3249075575986145E-2</v>
      </c>
      <c r="V15" s="135">
        <v>1.2288718025948582E-2</v>
      </c>
      <c r="W15" s="135">
        <v>1.3069643708351356E-2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0.11107516292045311</v>
      </c>
      <c r="D16" s="131">
        <f t="shared" si="4"/>
        <v>0.12341672465025827</v>
      </c>
      <c r="E16" s="131">
        <f t="shared" si="4"/>
        <v>8.5467621141315495E-2</v>
      </c>
      <c r="F16" s="131">
        <f t="shared" si="4"/>
        <v>0.11415491706311255</v>
      </c>
      <c r="G16" s="131">
        <f t="shared" si="4"/>
        <v>0.13086640618917283</v>
      </c>
      <c r="H16" s="131">
        <f t="shared" si="4"/>
        <v>0.11364476255664012</v>
      </c>
      <c r="I16" s="131">
        <f t="shared" si="4"/>
        <v>9.9080107311764934E-2</v>
      </c>
      <c r="J16" s="131">
        <f t="shared" si="4"/>
        <v>8.0371170365202582E-2</v>
      </c>
      <c r="K16" s="131">
        <f t="shared" si="4"/>
        <v>7.3832243799225636E-2</v>
      </c>
      <c r="L16" s="131">
        <f t="shared" si="4"/>
        <v>6.2750648299366385E-2</v>
      </c>
      <c r="M16" s="131">
        <f t="shared" si="4"/>
        <v>0.14099721042886937</v>
      </c>
      <c r="N16" s="131">
        <f t="shared" si="4"/>
        <v>0.1386362657140337</v>
      </c>
      <c r="O16" s="131">
        <f t="shared" si="4"/>
        <v>0.16914113447188689</v>
      </c>
      <c r="P16" s="131">
        <f t="shared" si="4"/>
        <v>0.17455608102387463</v>
      </c>
      <c r="Q16" s="131">
        <f t="shared" si="4"/>
        <v>0.16090637461832455</v>
      </c>
      <c r="R16" s="131">
        <f t="shared" ref="R16:W16" si="5">SUM(R17:R18)</f>
        <v>0.16644679378032723</v>
      </c>
      <c r="S16" s="131">
        <f t="shared" si="5"/>
        <v>0.14385715964940263</v>
      </c>
      <c r="T16" s="131">
        <f t="shared" si="5"/>
        <v>0.14774062047837594</v>
      </c>
      <c r="U16" s="131">
        <f t="shared" si="5"/>
        <v>0.14238368862866319</v>
      </c>
      <c r="V16" s="131">
        <f t="shared" si="5"/>
        <v>0.13242741852496395</v>
      </c>
      <c r="W16" s="131">
        <f t="shared" si="5"/>
        <v>9.2666819393525668E-2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1.1104555217897273E-3</v>
      </c>
      <c r="D17" s="133">
        <v>1.8922623666445871E-3</v>
      </c>
      <c r="E17" s="133">
        <v>0</v>
      </c>
      <c r="F17" s="133">
        <v>3.965127736818664E-3</v>
      </c>
      <c r="G17" s="133">
        <v>1.1212343265319404E-3</v>
      </c>
      <c r="H17" s="133">
        <v>1.7726665114223216E-3</v>
      </c>
      <c r="I17" s="133">
        <v>3.1379170818236889E-3</v>
      </c>
      <c r="J17" s="133">
        <v>1.3026292623482085E-3</v>
      </c>
      <c r="K17" s="133">
        <v>2.1431400724663072E-3</v>
      </c>
      <c r="L17" s="133">
        <v>1.2511780302736579E-3</v>
      </c>
      <c r="M17" s="133">
        <v>4.2550436556019113E-3</v>
      </c>
      <c r="N17" s="133">
        <v>4.2321443986879951E-3</v>
      </c>
      <c r="O17" s="133">
        <v>9.4247404024179488E-3</v>
      </c>
      <c r="P17" s="133">
        <v>1.6980878467960109E-2</v>
      </c>
      <c r="Q17" s="133">
        <v>1.2960859934082223E-2</v>
      </c>
      <c r="R17" s="133">
        <v>2.8202000258132891E-2</v>
      </c>
      <c r="S17" s="133">
        <v>1.4951435713397817E-2</v>
      </c>
      <c r="T17" s="133">
        <v>7.8419284925922688E-3</v>
      </c>
      <c r="U17" s="133">
        <v>1.3540209519592955E-2</v>
      </c>
      <c r="V17" s="133">
        <v>1.4569595731484494E-2</v>
      </c>
      <c r="W17" s="133">
        <v>1.0242935936849072E-2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0.10996470739866337</v>
      </c>
      <c r="D18" s="133">
        <v>0.12152446228361369</v>
      </c>
      <c r="E18" s="133">
        <v>8.5467621141315495E-2</v>
      </c>
      <c r="F18" s="133">
        <v>0.11018978932629389</v>
      </c>
      <c r="G18" s="133">
        <v>0.1297451718626409</v>
      </c>
      <c r="H18" s="133">
        <v>0.11187209604521779</v>
      </c>
      <c r="I18" s="133">
        <v>9.5942190229941243E-2</v>
      </c>
      <c r="J18" s="133">
        <v>7.906854110285437E-2</v>
      </c>
      <c r="K18" s="133">
        <v>7.1689103726759323E-2</v>
      </c>
      <c r="L18" s="133">
        <v>6.1499470269092728E-2</v>
      </c>
      <c r="M18" s="133">
        <v>0.13674216677326745</v>
      </c>
      <c r="N18" s="133">
        <v>0.13440412131534571</v>
      </c>
      <c r="O18" s="133">
        <v>0.15971639406946894</v>
      </c>
      <c r="P18" s="133">
        <v>0.15757520255591451</v>
      </c>
      <c r="Q18" s="133">
        <v>0.14794551468424233</v>
      </c>
      <c r="R18" s="133">
        <v>0.13824479352219435</v>
      </c>
      <c r="S18" s="133">
        <v>0.1289057239360048</v>
      </c>
      <c r="T18" s="133">
        <v>0.13989869198578367</v>
      </c>
      <c r="U18" s="133">
        <v>0.12884347910907024</v>
      </c>
      <c r="V18" s="133">
        <v>0.11785782279347946</v>
      </c>
      <c r="W18" s="133">
        <v>8.2423883456676589E-2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0.31045160649958581</v>
      </c>
      <c r="D19" s="131">
        <f t="shared" si="6"/>
        <v>0.32939571619255759</v>
      </c>
      <c r="E19" s="131">
        <f t="shared" si="6"/>
        <v>0.2127721904257327</v>
      </c>
      <c r="F19" s="131">
        <f t="shared" si="6"/>
        <v>0.35827571153300269</v>
      </c>
      <c r="G19" s="131">
        <f t="shared" si="6"/>
        <v>0.4094219625252567</v>
      </c>
      <c r="H19" s="131">
        <f t="shared" si="6"/>
        <v>0.32804612233079689</v>
      </c>
      <c r="I19" s="131">
        <f t="shared" si="6"/>
        <v>0.34927059238541069</v>
      </c>
      <c r="J19" s="131">
        <f t="shared" si="6"/>
        <v>0.31360705199914529</v>
      </c>
      <c r="K19" s="131">
        <f t="shared" si="6"/>
        <v>0.28740924787939071</v>
      </c>
      <c r="L19" s="131">
        <f t="shared" si="6"/>
        <v>0.26959221726615273</v>
      </c>
      <c r="M19" s="131">
        <f t="shared" si="6"/>
        <v>0.57599368444399524</v>
      </c>
      <c r="N19" s="131">
        <f t="shared" si="6"/>
        <v>0.60457586883421177</v>
      </c>
      <c r="O19" s="131">
        <f t="shared" si="6"/>
        <v>0.71487017062878566</v>
      </c>
      <c r="P19" s="131">
        <f t="shared" si="6"/>
        <v>0.77446048192011518</v>
      </c>
      <c r="Q19" s="131">
        <f t="shared" si="6"/>
        <v>0.6658176008527068</v>
      </c>
      <c r="R19" s="131">
        <f t="shared" ref="R19:W19" si="7">SUM(R20:R27)</f>
        <v>0.70545929345453562</v>
      </c>
      <c r="S19" s="131">
        <f t="shared" si="7"/>
        <v>0.7224202168374132</v>
      </c>
      <c r="T19" s="131">
        <f t="shared" si="7"/>
        <v>0.66177243729765634</v>
      </c>
      <c r="U19" s="131">
        <f t="shared" si="7"/>
        <v>0.64466991457419309</v>
      </c>
      <c r="V19" s="131">
        <f t="shared" si="7"/>
        <v>0.58287027115374435</v>
      </c>
      <c r="W19" s="131">
        <f t="shared" si="7"/>
        <v>0.55047651636449613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6.2645464377728152E-2</v>
      </c>
      <c r="D22" s="133">
        <v>6.0041344097911939E-2</v>
      </c>
      <c r="E22" s="133">
        <v>3.1056163133145239E-2</v>
      </c>
      <c r="F22" s="133">
        <v>3.9912901988920488E-2</v>
      </c>
      <c r="G22" s="133">
        <v>0</v>
      </c>
      <c r="H22" s="133">
        <v>0</v>
      </c>
      <c r="I22" s="133">
        <v>0</v>
      </c>
      <c r="J22" s="133">
        <v>0</v>
      </c>
      <c r="K22" s="133">
        <v>1.6196968621217309E-2</v>
      </c>
      <c r="L22" s="133">
        <v>9.9848840236250888E-2</v>
      </c>
      <c r="M22" s="133">
        <v>0.10038815851394979</v>
      </c>
      <c r="N22" s="133">
        <v>0.20035788287279546</v>
      </c>
      <c r="O22" s="133">
        <v>0.14658159330991913</v>
      </c>
      <c r="P22" s="133">
        <v>0.14582441146934358</v>
      </c>
      <c r="Q22" s="133">
        <v>0.1354139982911636</v>
      </c>
      <c r="R22" s="133">
        <v>0.19165226083932377</v>
      </c>
      <c r="S22" s="133">
        <v>0.38894210097750609</v>
      </c>
      <c r="T22" s="133">
        <v>0.26799143390771057</v>
      </c>
      <c r="U22" s="133">
        <v>0.23537510807803769</v>
      </c>
      <c r="V22" s="133">
        <v>6.854133829247977E-2</v>
      </c>
      <c r="W22" s="133">
        <v>8.1806870769778495E-2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8.0428830832254133E-2</v>
      </c>
      <c r="D23" s="133">
        <v>9.1142869710438418E-2</v>
      </c>
      <c r="E23" s="133">
        <v>5.8394107707954709E-2</v>
      </c>
      <c r="F23" s="133">
        <v>0.13065873985548559</v>
      </c>
      <c r="G23" s="133">
        <v>0.16311889683423986</v>
      </c>
      <c r="H23" s="133">
        <v>8.1158841216875735E-2</v>
      </c>
      <c r="I23" s="133">
        <v>9.6418306566561598E-2</v>
      </c>
      <c r="J23" s="133">
        <v>0.13646138879057618</v>
      </c>
      <c r="K23" s="133">
        <v>9.4643108643013313E-2</v>
      </c>
      <c r="L23" s="133">
        <v>9.4997278817054054E-2</v>
      </c>
      <c r="M23" s="133">
        <v>0.1301487310576992</v>
      </c>
      <c r="N23" s="133">
        <v>0.1299820904309599</v>
      </c>
      <c r="O23" s="133">
        <v>0.21426691369740195</v>
      </c>
      <c r="P23" s="133">
        <v>0.29867210808902933</v>
      </c>
      <c r="Q23" s="133">
        <v>0.23287813671900096</v>
      </c>
      <c r="R23" s="133">
        <v>0.19472378500262466</v>
      </c>
      <c r="S23" s="133">
        <v>6.4994053594768356E-2</v>
      </c>
      <c r="T23" s="133">
        <v>0</v>
      </c>
      <c r="U23" s="133">
        <v>7.2686968677487416E-3</v>
      </c>
      <c r="V23" s="133">
        <v>0</v>
      </c>
      <c r="W23" s="133">
        <v>9.6152139213142987E-2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7.3186939120869626E-2</v>
      </c>
      <c r="D25" s="133">
        <v>0.17821150238420722</v>
      </c>
      <c r="E25" s="133">
        <v>0.12332191958463273</v>
      </c>
      <c r="F25" s="133">
        <v>0.1877040696885966</v>
      </c>
      <c r="G25" s="133">
        <v>0.13367500644791624</v>
      </c>
      <c r="H25" s="133">
        <v>3.0205262899476507E-2</v>
      </c>
      <c r="I25" s="133">
        <v>2.8513910013504812E-2</v>
      </c>
      <c r="J25" s="133">
        <v>1.8798129417516372E-2</v>
      </c>
      <c r="K25" s="133">
        <v>2.609914182927978E-2</v>
      </c>
      <c r="L25" s="133">
        <v>1.5198821105673319E-2</v>
      </c>
      <c r="M25" s="133">
        <v>6.8829705238314443E-2</v>
      </c>
      <c r="N25" s="133">
        <v>7.6143465537996627E-2</v>
      </c>
      <c r="O25" s="133">
        <v>0.11011735869016899</v>
      </c>
      <c r="P25" s="133">
        <v>0.17333156208424663</v>
      </c>
      <c r="Q25" s="133">
        <v>0.18874806751264356</v>
      </c>
      <c r="R25" s="133">
        <v>0.21260058004440488</v>
      </c>
      <c r="S25" s="133">
        <v>0.23640856155901219</v>
      </c>
      <c r="T25" s="133">
        <v>0.19693391666263721</v>
      </c>
      <c r="U25" s="133">
        <v>0.20993343851222068</v>
      </c>
      <c r="V25" s="133">
        <v>0.1753473678530752</v>
      </c>
      <c r="W25" s="133">
        <v>9.1512269752115724E-2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9.4190372168733924E-2</v>
      </c>
      <c r="D26" s="65">
        <v>0</v>
      </c>
      <c r="E26" s="65">
        <v>0</v>
      </c>
      <c r="F26" s="65">
        <v>0</v>
      </c>
      <c r="G26" s="65">
        <v>0.1126280592431006</v>
      </c>
      <c r="H26" s="65">
        <v>0.21668201821444466</v>
      </c>
      <c r="I26" s="65">
        <v>0.2243383758053443</v>
      </c>
      <c r="J26" s="65">
        <v>0.15834753379105271</v>
      </c>
      <c r="K26" s="65">
        <v>0.15047002878588034</v>
      </c>
      <c r="L26" s="65">
        <v>5.9547277107174452E-2</v>
      </c>
      <c r="M26" s="65">
        <v>0.27662708963403188</v>
      </c>
      <c r="N26" s="65">
        <v>0.19809242999245974</v>
      </c>
      <c r="O26" s="65">
        <v>0.24390430493129558</v>
      </c>
      <c r="P26" s="65">
        <v>0.15663240027749573</v>
      </c>
      <c r="Q26" s="65">
        <v>0.1087773983298988</v>
      </c>
      <c r="R26" s="65">
        <v>0.10648266756818234</v>
      </c>
      <c r="S26" s="65">
        <v>3.2075500706126601E-2</v>
      </c>
      <c r="T26" s="65">
        <v>0.19684708672730861</v>
      </c>
      <c r="U26" s="65">
        <v>0.192092671116186</v>
      </c>
      <c r="V26" s="65">
        <v>0.33898156500818932</v>
      </c>
      <c r="W26" s="65">
        <v>0.28100523662945892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0.35764938827944526</v>
      </c>
      <c r="D29" s="131">
        <f t="shared" si="8"/>
        <v>0.39860957469973768</v>
      </c>
      <c r="E29" s="131">
        <f t="shared" si="8"/>
        <v>0.24117721745219861</v>
      </c>
      <c r="F29" s="131">
        <f t="shared" si="8"/>
        <v>0.41539768419040757</v>
      </c>
      <c r="G29" s="131">
        <f t="shared" si="8"/>
        <v>0.50579261050363866</v>
      </c>
      <c r="H29" s="131">
        <f t="shared" si="8"/>
        <v>0.39876047537729964</v>
      </c>
      <c r="I29" s="131">
        <f t="shared" si="8"/>
        <v>0.42306356625311231</v>
      </c>
      <c r="J29" s="131">
        <f t="shared" si="8"/>
        <v>0.36489712973880906</v>
      </c>
      <c r="K29" s="131">
        <f t="shared" si="8"/>
        <v>0.56885994980055599</v>
      </c>
      <c r="L29" s="131">
        <f t="shared" si="8"/>
        <v>0.37318789430269261</v>
      </c>
      <c r="M29" s="131">
        <f t="shared" si="8"/>
        <v>0.79643910596461587</v>
      </c>
      <c r="N29" s="131">
        <f t="shared" si="8"/>
        <v>0.74962180743358497</v>
      </c>
      <c r="O29" s="131">
        <f t="shared" si="8"/>
        <v>0.93782153224816223</v>
      </c>
      <c r="P29" s="131">
        <f t="shared" si="8"/>
        <v>1.0594393008713185</v>
      </c>
      <c r="Q29" s="131">
        <f t="shared" si="8"/>
        <v>0.9416819159499038</v>
      </c>
      <c r="R29" s="131">
        <f t="shared" ref="R29:W29" si="9">SUM(R30:R33)</f>
        <v>1.0490194888149098</v>
      </c>
      <c r="S29" s="131">
        <f t="shared" si="9"/>
        <v>1.0075045570955252</v>
      </c>
      <c r="T29" s="131">
        <f t="shared" si="9"/>
        <v>1.0367713054832342</v>
      </c>
      <c r="U29" s="131">
        <f t="shared" si="9"/>
        <v>1.0402988735335044</v>
      </c>
      <c r="V29" s="131">
        <f t="shared" si="9"/>
        <v>0.96154129357752627</v>
      </c>
      <c r="W29" s="131">
        <f t="shared" si="9"/>
        <v>1.1054459950375901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5.788044010556944E-2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0.4993159980243792</v>
      </c>
      <c r="L30" s="133">
        <v>0.22339428139971093</v>
      </c>
      <c r="M30" s="133">
        <v>0.2864293338082961</v>
      </c>
      <c r="N30" s="133">
        <v>2.5441519306125971E-2</v>
      </c>
      <c r="O30" s="133">
        <v>3.0348513593770162E-2</v>
      </c>
      <c r="P30" s="133">
        <v>1.9674479358889326E-2</v>
      </c>
      <c r="Q30" s="133">
        <v>9.5490001471451993E-2</v>
      </c>
      <c r="R30" s="133">
        <v>0.12070265782933907</v>
      </c>
      <c r="S30" s="133">
        <v>8.8932334730665877E-2</v>
      </c>
      <c r="T30" s="133">
        <v>0.21109952338289731</v>
      </c>
      <c r="U30" s="133">
        <v>0.22133781934122757</v>
      </c>
      <c r="V30" s="133">
        <v>0.29531078785559883</v>
      </c>
      <c r="W30" s="133">
        <v>0.42110163245108079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0.18186212492793424</v>
      </c>
      <c r="D31" s="133">
        <v>0.15357569184563991</v>
      </c>
      <c r="E31" s="133">
        <v>8.1177410528933291E-2</v>
      </c>
      <c r="F31" s="133">
        <v>0.13421550012454195</v>
      </c>
      <c r="G31" s="133">
        <v>0.19632999605848656</v>
      </c>
      <c r="H31" s="133">
        <v>0.17218306823090487</v>
      </c>
      <c r="I31" s="133">
        <v>0.14343086122193294</v>
      </c>
      <c r="J31" s="133">
        <v>0.11228051869496555</v>
      </c>
      <c r="K31" s="133">
        <v>6.954395177617681E-2</v>
      </c>
      <c r="L31" s="133">
        <v>0.11132638448336779</v>
      </c>
      <c r="M31" s="133">
        <v>0.13161502133910155</v>
      </c>
      <c r="N31" s="133">
        <v>0.1486640479232664</v>
      </c>
      <c r="O31" s="133">
        <v>0.16137052453254411</v>
      </c>
      <c r="P31" s="133">
        <v>0.12359165826635796</v>
      </c>
      <c r="Q31" s="133">
        <v>9.6015442975679363E-2</v>
      </c>
      <c r="R31" s="133">
        <v>0.10619310233095511</v>
      </c>
      <c r="S31" s="133">
        <v>6.701713200659451E-2</v>
      </c>
      <c r="T31" s="133">
        <v>7.4220765606789196E-2</v>
      </c>
      <c r="U31" s="133">
        <v>3.9993329114371527E-2</v>
      </c>
      <c r="V31" s="133">
        <v>1.2407101204524318E-2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0.11790682324594154</v>
      </c>
      <c r="D33" s="68">
        <v>0.24503388285409777</v>
      </c>
      <c r="E33" s="68">
        <v>0.15999980692326532</v>
      </c>
      <c r="F33" s="68">
        <v>0.28118218406586559</v>
      </c>
      <c r="G33" s="68">
        <v>0.30946261444515211</v>
      </c>
      <c r="H33" s="68">
        <v>0.22657740714639479</v>
      </c>
      <c r="I33" s="68">
        <v>0.27963270503117937</v>
      </c>
      <c r="J33" s="68">
        <v>0.25261661104384348</v>
      </c>
      <c r="K33" s="68">
        <v>0</v>
      </c>
      <c r="L33" s="68">
        <v>3.8467228419613891E-2</v>
      </c>
      <c r="M33" s="68">
        <v>0.37839475081721813</v>
      </c>
      <c r="N33" s="68">
        <v>0.57551624020419256</v>
      </c>
      <c r="O33" s="68">
        <v>0.74610249412184793</v>
      </c>
      <c r="P33" s="68">
        <v>0.91617316324607134</v>
      </c>
      <c r="Q33" s="68">
        <v>0.75017647150277245</v>
      </c>
      <c r="R33" s="68">
        <v>0.82212372865461558</v>
      </c>
      <c r="S33" s="68">
        <v>0.85155509035826482</v>
      </c>
      <c r="T33" s="68">
        <v>0.75145101649354762</v>
      </c>
      <c r="U33" s="68">
        <v>0.77896772507790535</v>
      </c>
      <c r="V33" s="68">
        <v>0.65382340451740317</v>
      </c>
      <c r="W33" s="68">
        <v>0.68434436258650932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2.3269333745370355</v>
      </c>
      <c r="D3" s="126">
        <f t="shared" si="0"/>
        <v>2.4155165735417672</v>
      </c>
      <c r="E3" s="126">
        <f t="shared" si="0"/>
        <v>1.8976692691299446</v>
      </c>
      <c r="F3" s="126">
        <f t="shared" si="0"/>
        <v>2.8267152987475974</v>
      </c>
      <c r="G3" s="126">
        <f t="shared" si="0"/>
        <v>3.1418842763697383</v>
      </c>
      <c r="H3" s="126">
        <f t="shared" si="0"/>
        <v>2.4776190552971329</v>
      </c>
      <c r="I3" s="126">
        <f t="shared" si="0"/>
        <v>2.6575212617284731</v>
      </c>
      <c r="J3" s="126">
        <f t="shared" si="0"/>
        <v>2.3153441117980913</v>
      </c>
      <c r="K3" s="126">
        <f t="shared" si="0"/>
        <v>2.1405769217640156</v>
      </c>
      <c r="L3" s="126">
        <f t="shared" si="0"/>
        <v>1.9265418742646823</v>
      </c>
      <c r="M3" s="126">
        <f t="shared" si="0"/>
        <v>3.6965704365455432</v>
      </c>
      <c r="N3" s="126">
        <f t="shared" si="0"/>
        <v>4.0995972878366613</v>
      </c>
      <c r="O3" s="126">
        <f t="shared" si="0"/>
        <v>5.1653886670316034</v>
      </c>
      <c r="P3" s="126">
        <f t="shared" si="0"/>
        <v>4.7792962580375775</v>
      </c>
      <c r="Q3" s="126">
        <f t="shared" si="0"/>
        <v>4.7161398956714908</v>
      </c>
      <c r="R3" s="126">
        <f t="shared" ref="R3:W3" si="1">SUM(R4,R16,R19,R29)</f>
        <v>4.890371733899455</v>
      </c>
      <c r="S3" s="126">
        <f t="shared" si="1"/>
        <v>5.1221113916320631</v>
      </c>
      <c r="T3" s="126">
        <f t="shared" si="1"/>
        <v>4.7793726774333933</v>
      </c>
      <c r="U3" s="126">
        <f t="shared" si="1"/>
        <v>4.8416235412822282</v>
      </c>
      <c r="V3" s="126">
        <f t="shared" si="1"/>
        <v>4.6721940213121975</v>
      </c>
      <c r="W3" s="126">
        <f t="shared" si="1"/>
        <v>3.7899750580974025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1.6087937572165365</v>
      </c>
      <c r="D4" s="131">
        <f t="shared" si="2"/>
        <v>1.5797462772555777</v>
      </c>
      <c r="E4" s="131">
        <f t="shared" si="2"/>
        <v>1.3407865186723642</v>
      </c>
      <c r="F4" s="131">
        <f t="shared" si="2"/>
        <v>1.9568839084192087</v>
      </c>
      <c r="G4" s="131">
        <f t="shared" si="2"/>
        <v>2.1184919437045702</v>
      </c>
      <c r="H4" s="131">
        <f t="shared" si="2"/>
        <v>1.6381447892020535</v>
      </c>
      <c r="I4" s="131">
        <f t="shared" si="2"/>
        <v>1.8131533606316923</v>
      </c>
      <c r="J4" s="131">
        <f t="shared" si="2"/>
        <v>1.5845917242158982</v>
      </c>
      <c r="K4" s="131">
        <f t="shared" si="2"/>
        <v>1.3673643179510682</v>
      </c>
      <c r="L4" s="131">
        <f t="shared" si="2"/>
        <v>1.3152868210947803</v>
      </c>
      <c r="M4" s="131">
        <f t="shared" si="2"/>
        <v>2.2659392970057524</v>
      </c>
      <c r="N4" s="131">
        <f t="shared" si="2"/>
        <v>2.627798546194926</v>
      </c>
      <c r="O4" s="131">
        <f t="shared" si="2"/>
        <v>3.3171489061819135</v>
      </c>
      <c r="P4" s="131">
        <f t="shared" si="2"/>
        <v>2.7198327114809575</v>
      </c>
      <c r="Q4" s="131">
        <f t="shared" si="2"/>
        <v>2.8443113631118022</v>
      </c>
      <c r="R4" s="131">
        <f t="shared" ref="R4:W4" si="3">SUM(R5:R15)</f>
        <v>2.8924475881320859</v>
      </c>
      <c r="S4" s="131">
        <f t="shared" si="3"/>
        <v>3.1664928031461792</v>
      </c>
      <c r="T4" s="131">
        <f t="shared" si="3"/>
        <v>2.8063534566615362</v>
      </c>
      <c r="U4" s="131">
        <f t="shared" si="3"/>
        <v>2.8851441870427292</v>
      </c>
      <c r="V4" s="131">
        <f t="shared" si="3"/>
        <v>2.8608746037708581</v>
      </c>
      <c r="W4" s="131">
        <f t="shared" si="3"/>
        <v>2.0663637158205743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0.24345799243744232</v>
      </c>
      <c r="D7" s="133">
        <v>0.18130883861264854</v>
      </c>
      <c r="E7" s="133">
        <v>0</v>
      </c>
      <c r="F7" s="133">
        <v>3.1213616301625755E-2</v>
      </c>
      <c r="G7" s="133">
        <v>0</v>
      </c>
      <c r="H7" s="133">
        <v>0</v>
      </c>
      <c r="I7" s="133">
        <v>0</v>
      </c>
      <c r="J7" s="133">
        <v>0</v>
      </c>
      <c r="K7" s="133">
        <v>0.1922404201071371</v>
      </c>
      <c r="L7" s="133">
        <v>0.66647956762472227</v>
      </c>
      <c r="M7" s="133">
        <v>0.79127572257250278</v>
      </c>
      <c r="N7" s="133">
        <v>0.6337653341169307</v>
      </c>
      <c r="O7" s="133">
        <v>1.0859422062272917</v>
      </c>
      <c r="P7" s="133">
        <v>1.1307516897786483</v>
      </c>
      <c r="Q7" s="133">
        <v>1.5640561366130343</v>
      </c>
      <c r="R7" s="133">
        <v>1.1682578148580482</v>
      </c>
      <c r="S7" s="133">
        <v>1.4151504947603715</v>
      </c>
      <c r="T7" s="133">
        <v>0.56057272293033622</v>
      </c>
      <c r="U7" s="133">
        <v>0.33068165847345238</v>
      </c>
      <c r="V7" s="133">
        <v>0.17775380910131383</v>
      </c>
      <c r="W7" s="133">
        <v>8.2551047995600382E-2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0.4382172254240726</v>
      </c>
      <c r="D9" s="133">
        <v>0.32036810738474669</v>
      </c>
      <c r="E9" s="133">
        <v>0</v>
      </c>
      <c r="F9" s="133">
        <v>0.18676362893945708</v>
      </c>
      <c r="G9" s="133">
        <v>0.62348887244081075</v>
      </c>
      <c r="H9" s="133">
        <v>0.84260415915756526</v>
      </c>
      <c r="I9" s="133">
        <v>0.73973932362557882</v>
      </c>
      <c r="J9" s="133">
        <v>0.93843014524396395</v>
      </c>
      <c r="K9" s="133">
        <v>0.7395203709575956</v>
      </c>
      <c r="L9" s="133">
        <v>4.2527643823965781E-2</v>
      </c>
      <c r="M9" s="133">
        <v>0.47909816721121939</v>
      </c>
      <c r="N9" s="133">
        <v>1.0137595858869228</v>
      </c>
      <c r="O9" s="133">
        <v>1.3007642058216968</v>
      </c>
      <c r="P9" s="133">
        <v>1.1052494938778059</v>
      </c>
      <c r="Q9" s="133">
        <v>0.51597675592187853</v>
      </c>
      <c r="R9" s="133">
        <v>0.4271303008303568</v>
      </c>
      <c r="S9" s="133">
        <v>0</v>
      </c>
      <c r="T9" s="133">
        <v>0</v>
      </c>
      <c r="U9" s="133">
        <v>1.1823318351796406E-2</v>
      </c>
      <c r="V9" s="133">
        <v>0</v>
      </c>
      <c r="W9" s="133">
        <v>0.49759289166863513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3.090660445479921E-3</v>
      </c>
      <c r="D10" s="133">
        <v>1.9886588684789263E-3</v>
      </c>
      <c r="E10" s="133">
        <v>0</v>
      </c>
      <c r="F10" s="133">
        <v>0</v>
      </c>
      <c r="G10" s="133">
        <v>0</v>
      </c>
      <c r="H10" s="133">
        <v>0</v>
      </c>
      <c r="I10" s="133">
        <v>4.1412407796529772E-4</v>
      </c>
      <c r="J10" s="133">
        <v>2.282804155188035E-3</v>
      </c>
      <c r="K10" s="133">
        <v>4.2385686268762955E-3</v>
      </c>
      <c r="L10" s="133">
        <v>2.6734432014732275E-4</v>
      </c>
      <c r="M10" s="133">
        <v>1.2177951910882397E-3</v>
      </c>
      <c r="N10" s="133">
        <v>7.9402634026626215E-3</v>
      </c>
      <c r="O10" s="133">
        <v>1.5442896183918996E-2</v>
      </c>
      <c r="P10" s="133">
        <v>1.0374452297299578E-2</v>
      </c>
      <c r="Q10" s="133">
        <v>2.5603622106165624E-4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6.7850243165874856E-4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0.44338170846804298</v>
      </c>
      <c r="D12" s="133">
        <v>1.0614093561858382</v>
      </c>
      <c r="E12" s="133">
        <v>1.3345356609166541</v>
      </c>
      <c r="F12" s="133">
        <v>1.4465003177144828</v>
      </c>
      <c r="G12" s="133">
        <v>0.47893236217935165</v>
      </c>
      <c r="H12" s="133">
        <v>7.0537118397780048E-3</v>
      </c>
      <c r="I12" s="133">
        <v>0</v>
      </c>
      <c r="J12" s="133">
        <v>0</v>
      </c>
      <c r="K12" s="133">
        <v>6.8256661311358588E-2</v>
      </c>
      <c r="L12" s="133">
        <v>0.3089415974709333</v>
      </c>
      <c r="M12" s="133">
        <v>0.5290878117520591</v>
      </c>
      <c r="N12" s="133">
        <v>0.4523523803838605</v>
      </c>
      <c r="O12" s="133">
        <v>0.36343085559898541</v>
      </c>
      <c r="P12" s="133">
        <v>0.43506984436975976</v>
      </c>
      <c r="Q12" s="133">
        <v>0.72737055986766408</v>
      </c>
      <c r="R12" s="133">
        <v>1.1606011680521271</v>
      </c>
      <c r="S12" s="133">
        <v>1.2100741670951585</v>
      </c>
      <c r="T12" s="133">
        <v>1.726110133147897</v>
      </c>
      <c r="U12" s="133">
        <v>1.9593473883311499</v>
      </c>
      <c r="V12" s="133">
        <v>2.3854168437496126</v>
      </c>
      <c r="W12" s="133">
        <v>0.96247322777499422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0.46516735342406995</v>
      </c>
      <c r="D14" s="65">
        <v>0</v>
      </c>
      <c r="E14" s="65">
        <v>0</v>
      </c>
      <c r="F14" s="65">
        <v>0.28171169899087251</v>
      </c>
      <c r="G14" s="65">
        <v>1.0026319724128812</v>
      </c>
      <c r="H14" s="65">
        <v>0.77346566280555118</v>
      </c>
      <c r="I14" s="65">
        <v>1.0600559619734715</v>
      </c>
      <c r="J14" s="65">
        <v>0.62759802155777467</v>
      </c>
      <c r="K14" s="65">
        <v>0.3468292204362004</v>
      </c>
      <c r="L14" s="65">
        <v>0.28372228379076747</v>
      </c>
      <c r="M14" s="65">
        <v>0.44180652969167233</v>
      </c>
      <c r="N14" s="65">
        <v>0.49069614398678801</v>
      </c>
      <c r="O14" s="65">
        <v>0.51064552915051131</v>
      </c>
      <c r="P14" s="65">
        <v>0</v>
      </c>
      <c r="Q14" s="65">
        <v>0</v>
      </c>
      <c r="R14" s="65">
        <v>0.10606465778273035</v>
      </c>
      <c r="S14" s="65">
        <v>0.51372230702066402</v>
      </c>
      <c r="T14" s="65">
        <v>0.5038313025883473</v>
      </c>
      <c r="U14" s="65">
        <v>0.57004274631034457</v>
      </c>
      <c r="V14" s="65">
        <v>0.2854152328939828</v>
      </c>
      <c r="W14" s="65">
        <v>0.50999840224133419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1.5478817017428915E-2</v>
      </c>
      <c r="D15" s="135">
        <v>1.4671316203865446E-2</v>
      </c>
      <c r="E15" s="135">
        <v>6.250857755710112E-3</v>
      </c>
      <c r="F15" s="135">
        <v>1.0694646472770519E-2</v>
      </c>
      <c r="G15" s="135">
        <v>1.3438736671526442E-2</v>
      </c>
      <c r="H15" s="135">
        <v>1.5021255399159109E-2</v>
      </c>
      <c r="I15" s="135">
        <v>1.2943950954676627E-2</v>
      </c>
      <c r="J15" s="135">
        <v>1.6280753258971513E-2</v>
      </c>
      <c r="K15" s="135">
        <v>1.6279076511900113E-2</v>
      </c>
      <c r="L15" s="135">
        <v>1.3348384064244273E-2</v>
      </c>
      <c r="M15" s="135">
        <v>2.3453270587210501E-2</v>
      </c>
      <c r="N15" s="135">
        <v>2.9284838417760993E-2</v>
      </c>
      <c r="O15" s="135">
        <v>4.0923213199509249E-2</v>
      </c>
      <c r="P15" s="135">
        <v>3.8387231157443545E-2</v>
      </c>
      <c r="Q15" s="135">
        <v>3.6651874488163774E-2</v>
      </c>
      <c r="R15" s="135">
        <v>3.0393646608823644E-2</v>
      </c>
      <c r="S15" s="135">
        <v>2.7545834269985366E-2</v>
      </c>
      <c r="T15" s="135">
        <v>1.5839297994955939E-2</v>
      </c>
      <c r="U15" s="135">
        <v>1.3249075575986145E-2</v>
      </c>
      <c r="V15" s="135">
        <v>1.2288718025948582E-2</v>
      </c>
      <c r="W15" s="135">
        <v>1.3069643708351356E-2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0.27000058757813233</v>
      </c>
      <c r="D16" s="131">
        <f t="shared" si="4"/>
        <v>0.30950828116188184</v>
      </c>
      <c r="E16" s="131">
        <f t="shared" si="4"/>
        <v>0.22320172512324177</v>
      </c>
      <c r="F16" s="131">
        <f t="shared" si="4"/>
        <v>0.30241489910729447</v>
      </c>
      <c r="G16" s="131">
        <f t="shared" si="4"/>
        <v>0.36255305712503949</v>
      </c>
      <c r="H16" s="131">
        <f t="shared" si="4"/>
        <v>0.32339377390683277</v>
      </c>
      <c r="I16" s="131">
        <f t="shared" si="4"/>
        <v>0.28791655297284557</v>
      </c>
      <c r="J16" s="131">
        <f t="shared" si="4"/>
        <v>0.24263119300934721</v>
      </c>
      <c r="K16" s="131">
        <f t="shared" si="4"/>
        <v>0.22783560435439032</v>
      </c>
      <c r="L16" s="131">
        <f t="shared" si="4"/>
        <v>0.20044167606962571</v>
      </c>
      <c r="M16" s="131">
        <f t="shared" si="4"/>
        <v>0.46300850034444752</v>
      </c>
      <c r="N16" s="131">
        <f t="shared" si="4"/>
        <v>0.47344009044376062</v>
      </c>
      <c r="O16" s="131">
        <f t="shared" si="4"/>
        <v>0.59467924042174503</v>
      </c>
      <c r="P16" s="131">
        <f t="shared" si="4"/>
        <v>0.62560735675380974</v>
      </c>
      <c r="Q16" s="131">
        <f t="shared" si="4"/>
        <v>0.60592300403074717</v>
      </c>
      <c r="R16" s="131">
        <f t="shared" ref="R16:W16" si="5">SUM(R17:R18)</f>
        <v>0.60357994101203416</v>
      </c>
      <c r="S16" s="131">
        <f t="shared" si="5"/>
        <v>0.55607464912497795</v>
      </c>
      <c r="T16" s="131">
        <f t="shared" si="5"/>
        <v>0.59984781497639084</v>
      </c>
      <c r="U16" s="131">
        <f t="shared" si="5"/>
        <v>0.57012535425017796</v>
      </c>
      <c r="V16" s="131">
        <f t="shared" si="5"/>
        <v>0.53238152173820141</v>
      </c>
      <c r="W16" s="131">
        <f t="shared" si="5"/>
        <v>0.37741762121183886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1.4572628866376535E-3</v>
      </c>
      <c r="D17" s="133">
        <v>2.4930065884751838E-3</v>
      </c>
      <c r="E17" s="133">
        <v>0</v>
      </c>
      <c r="F17" s="133">
        <v>5.2554728033514554E-3</v>
      </c>
      <c r="G17" s="133">
        <v>1.4894360433355259E-3</v>
      </c>
      <c r="H17" s="133">
        <v>2.3593255352327646E-3</v>
      </c>
      <c r="I17" s="133">
        <v>4.1833941150012655E-3</v>
      </c>
      <c r="J17" s="133">
        <v>1.7394513869216292E-3</v>
      </c>
      <c r="K17" s="133">
        <v>2.8671266768282798E-3</v>
      </c>
      <c r="L17" s="133">
        <v>1.677637820131568E-3</v>
      </c>
      <c r="M17" s="133">
        <v>5.7345702301041749E-3</v>
      </c>
      <c r="N17" s="133">
        <v>5.7675194394462559E-3</v>
      </c>
      <c r="O17" s="133">
        <v>1.307847154185517E-2</v>
      </c>
      <c r="P17" s="133">
        <v>2.4143979737579577E-2</v>
      </c>
      <c r="Q17" s="133">
        <v>1.8898448818592348E-2</v>
      </c>
      <c r="R17" s="133">
        <v>4.1963226356578218E-2</v>
      </c>
      <c r="S17" s="133">
        <v>2.2687695507495092E-2</v>
      </c>
      <c r="T17" s="133">
        <v>1.216911452019615E-2</v>
      </c>
      <c r="U17" s="133">
        <v>2.1504417121895287E-2</v>
      </c>
      <c r="V17" s="133">
        <v>2.3652631616092771E-2</v>
      </c>
      <c r="W17" s="133">
        <v>1.6923797828816804E-2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0.26854332469149467</v>
      </c>
      <c r="D18" s="133">
        <v>0.30701527457340666</v>
      </c>
      <c r="E18" s="133">
        <v>0.22320172512324177</v>
      </c>
      <c r="F18" s="133">
        <v>0.29715942630394299</v>
      </c>
      <c r="G18" s="133">
        <v>0.36106362108170398</v>
      </c>
      <c r="H18" s="133">
        <v>0.3210344483716</v>
      </c>
      <c r="I18" s="133">
        <v>0.28373315885784434</v>
      </c>
      <c r="J18" s="133">
        <v>0.24089174162242558</v>
      </c>
      <c r="K18" s="133">
        <v>0.22496847767756203</v>
      </c>
      <c r="L18" s="133">
        <v>0.19876403824949415</v>
      </c>
      <c r="M18" s="133">
        <v>0.45727393011434336</v>
      </c>
      <c r="N18" s="133">
        <v>0.46767257100431436</v>
      </c>
      <c r="O18" s="133">
        <v>0.58160076887988987</v>
      </c>
      <c r="P18" s="133">
        <v>0.60146337701623021</v>
      </c>
      <c r="Q18" s="133">
        <v>0.5870245552121548</v>
      </c>
      <c r="R18" s="133">
        <v>0.56161671465545593</v>
      </c>
      <c r="S18" s="133">
        <v>0.5333869536174829</v>
      </c>
      <c r="T18" s="133">
        <v>0.58767870045619464</v>
      </c>
      <c r="U18" s="133">
        <v>0.54862093712828264</v>
      </c>
      <c r="V18" s="133">
        <v>0.50872889012210865</v>
      </c>
      <c r="W18" s="133">
        <v>0.36049382338302205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0.21054360115555537</v>
      </c>
      <c r="D19" s="131">
        <f t="shared" si="6"/>
        <v>0.23940139509403291</v>
      </c>
      <c r="E19" s="131">
        <f t="shared" si="6"/>
        <v>0.15767590325667907</v>
      </c>
      <c r="F19" s="131">
        <f t="shared" si="6"/>
        <v>0.26283475924785882</v>
      </c>
      <c r="G19" s="131">
        <f t="shared" si="6"/>
        <v>0.29581785499937552</v>
      </c>
      <c r="H19" s="131">
        <f t="shared" si="6"/>
        <v>0.23128888139301426</v>
      </c>
      <c r="I19" s="131">
        <f t="shared" si="6"/>
        <v>0.2463695409308998</v>
      </c>
      <c r="J19" s="131">
        <f t="shared" si="6"/>
        <v>0.21810479933241128</v>
      </c>
      <c r="K19" s="131">
        <f t="shared" si="6"/>
        <v>0.20241817853866698</v>
      </c>
      <c r="L19" s="131">
        <f t="shared" si="6"/>
        <v>0.17772881067671531</v>
      </c>
      <c r="M19" s="131">
        <f t="shared" si="6"/>
        <v>0.41072696143704973</v>
      </c>
      <c r="N19" s="131">
        <f t="shared" si="6"/>
        <v>0.42848183335210832</v>
      </c>
      <c r="O19" s="131">
        <f t="shared" si="6"/>
        <v>0.53282508786605576</v>
      </c>
      <c r="P19" s="131">
        <f t="shared" si="6"/>
        <v>0.60059075679296026</v>
      </c>
      <c r="Q19" s="131">
        <f t="shared" si="6"/>
        <v>0.53454464512895705</v>
      </c>
      <c r="R19" s="131">
        <f t="shared" ref="R19:W19" si="7">SUM(R20:R27)</f>
        <v>0.57576275502624752</v>
      </c>
      <c r="S19" s="131">
        <f t="shared" si="7"/>
        <v>0.59088178707072192</v>
      </c>
      <c r="T19" s="131">
        <f t="shared" si="7"/>
        <v>0.56131932463022205</v>
      </c>
      <c r="U19" s="131">
        <f t="shared" si="7"/>
        <v>0.55742720540972579</v>
      </c>
      <c r="V19" s="131">
        <f t="shared" si="7"/>
        <v>0.52320749494520769</v>
      </c>
      <c r="W19" s="131">
        <f t="shared" si="7"/>
        <v>0.4894828093107268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3.4620074592661178E-2</v>
      </c>
      <c r="D22" s="133">
        <v>3.330953508814824E-2</v>
      </c>
      <c r="E22" s="133">
        <v>1.7306756342545776E-2</v>
      </c>
      <c r="F22" s="133">
        <v>2.2343936798459859E-2</v>
      </c>
      <c r="G22" s="133">
        <v>0</v>
      </c>
      <c r="H22" s="133">
        <v>0</v>
      </c>
      <c r="I22" s="133">
        <v>0</v>
      </c>
      <c r="J22" s="133">
        <v>0</v>
      </c>
      <c r="K22" s="133">
        <v>9.3713990113667017E-3</v>
      </c>
      <c r="L22" s="133">
        <v>5.8369728532191967E-2</v>
      </c>
      <c r="M22" s="133">
        <v>5.9949994959614672E-2</v>
      </c>
      <c r="N22" s="133">
        <v>0.12385941349535981</v>
      </c>
      <c r="O22" s="133">
        <v>9.5147402214589991E-2</v>
      </c>
      <c r="P22" s="133">
        <v>0.10014942113424433</v>
      </c>
      <c r="Q22" s="133">
        <v>9.7631510864792742E-2</v>
      </c>
      <c r="R22" s="133">
        <v>0.14260254254845686</v>
      </c>
      <c r="S22" s="133">
        <v>0.29805162341463898</v>
      </c>
      <c r="T22" s="133">
        <v>0.21076440627031837</v>
      </c>
      <c r="U22" s="133">
        <v>0.18906452046927127</v>
      </c>
      <c r="V22" s="133">
        <v>5.5889923143865129E-2</v>
      </c>
      <c r="W22" s="133">
        <v>6.717526318281114E-2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4.847212135304798E-2</v>
      </c>
      <c r="D23" s="133">
        <v>5.5452735755386333E-2</v>
      </c>
      <c r="E23" s="133">
        <v>3.5877832099111419E-2</v>
      </c>
      <c r="F23" s="133">
        <v>8.1067187753283157E-2</v>
      </c>
      <c r="G23" s="133">
        <v>0.10222952587585275</v>
      </c>
      <c r="H23" s="133">
        <v>5.138884520460698E-2</v>
      </c>
      <c r="I23" s="133">
        <v>6.1698393374942519E-2</v>
      </c>
      <c r="J23" s="133">
        <v>8.8295704751292781E-2</v>
      </c>
      <c r="K23" s="133">
        <v>6.1966546098874725E-2</v>
      </c>
      <c r="L23" s="133">
        <v>6.2987074936413409E-2</v>
      </c>
      <c r="M23" s="133">
        <v>8.792785136657888E-2</v>
      </c>
      <c r="N23" s="133">
        <v>9.0145984927283887E-2</v>
      </c>
      <c r="O23" s="133">
        <v>0.15377165235766144</v>
      </c>
      <c r="P23" s="133">
        <v>0.222735384039669</v>
      </c>
      <c r="Q23" s="133">
        <v>0.17948199702202644</v>
      </c>
      <c r="R23" s="133">
        <v>0.15327173628456392</v>
      </c>
      <c r="S23" s="133">
        <v>5.2131634670735859E-2</v>
      </c>
      <c r="T23" s="133">
        <v>0</v>
      </c>
      <c r="U23" s="133">
        <v>6.0049413653062156E-3</v>
      </c>
      <c r="V23" s="133">
        <v>0</v>
      </c>
      <c r="W23" s="133">
        <v>8.0623777899901342E-2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6.1719537371229705E-2</v>
      </c>
      <c r="D25" s="133">
        <v>0.15063912425049833</v>
      </c>
      <c r="E25" s="133">
        <v>0.10449131481502189</v>
      </c>
      <c r="F25" s="133">
        <v>0.15942363469611581</v>
      </c>
      <c r="G25" s="133">
        <v>0.11381272627543626</v>
      </c>
      <c r="H25" s="133">
        <v>2.5781284747814635E-2</v>
      </c>
      <c r="I25" s="133">
        <v>2.4399718898416762E-2</v>
      </c>
      <c r="J25" s="133">
        <v>1.6128526941539819E-2</v>
      </c>
      <c r="K25" s="133">
        <v>2.2455458327207876E-2</v>
      </c>
      <c r="L25" s="133">
        <v>1.3115628685518126E-2</v>
      </c>
      <c r="M25" s="133">
        <v>5.9638411157324628E-2</v>
      </c>
      <c r="N25" s="133">
        <v>6.6338751026570525E-2</v>
      </c>
      <c r="O25" s="133">
        <v>9.6625854548331946E-2</v>
      </c>
      <c r="P25" s="133">
        <v>0.15335725976414497</v>
      </c>
      <c r="Q25" s="133">
        <v>0.16829394149901161</v>
      </c>
      <c r="R25" s="133">
        <v>0.19068083576779246</v>
      </c>
      <c r="S25" s="133">
        <v>0.21324488343696008</v>
      </c>
      <c r="T25" s="133">
        <v>0.17861169560893064</v>
      </c>
      <c r="U25" s="133">
        <v>0.19139532538723894</v>
      </c>
      <c r="V25" s="133">
        <v>0.1606501539965498</v>
      </c>
      <c r="W25" s="133">
        <v>8.4220178598178652E-2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6.5731867838616509E-2</v>
      </c>
      <c r="D26" s="65">
        <v>0</v>
      </c>
      <c r="E26" s="65">
        <v>0</v>
      </c>
      <c r="F26" s="65">
        <v>0</v>
      </c>
      <c r="G26" s="65">
        <v>7.9775602848086519E-2</v>
      </c>
      <c r="H26" s="65">
        <v>0.15411875144059264</v>
      </c>
      <c r="I26" s="65">
        <v>0.16027142865754052</v>
      </c>
      <c r="J26" s="65">
        <v>0.11368056763957866</v>
      </c>
      <c r="K26" s="65">
        <v>0.10862477510121768</v>
      </c>
      <c r="L26" s="65">
        <v>4.3256378522591829E-2</v>
      </c>
      <c r="M26" s="65">
        <v>0.20321070395353155</v>
      </c>
      <c r="N26" s="65">
        <v>0.14813768390289406</v>
      </c>
      <c r="O26" s="65">
        <v>0.1872801787454724</v>
      </c>
      <c r="P26" s="65">
        <v>0.12434869185490197</v>
      </c>
      <c r="Q26" s="65">
        <v>8.9137195743126271E-2</v>
      </c>
      <c r="R26" s="65">
        <v>8.9207640425434276E-2</v>
      </c>
      <c r="S26" s="65">
        <v>2.7453645548387043E-2</v>
      </c>
      <c r="T26" s="65">
        <v>0.1719432227509731</v>
      </c>
      <c r="U26" s="65">
        <v>0.1709624181879093</v>
      </c>
      <c r="V26" s="65">
        <v>0.30666741780479273</v>
      </c>
      <c r="W26" s="65">
        <v>0.25746358962983568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0.23759542858681129</v>
      </c>
      <c r="D29" s="131">
        <f t="shared" si="8"/>
        <v>0.28686062003027435</v>
      </c>
      <c r="E29" s="131">
        <f t="shared" si="8"/>
        <v>0.17600512207765953</v>
      </c>
      <c r="F29" s="131">
        <f t="shared" si="8"/>
        <v>0.30458173197323574</v>
      </c>
      <c r="G29" s="131">
        <f t="shared" si="8"/>
        <v>0.36502142054075326</v>
      </c>
      <c r="H29" s="131">
        <f t="shared" si="8"/>
        <v>0.28479161079523224</v>
      </c>
      <c r="I29" s="131">
        <f t="shared" si="8"/>
        <v>0.31008180719303591</v>
      </c>
      <c r="J29" s="131">
        <f t="shared" si="8"/>
        <v>0.27001639524043475</v>
      </c>
      <c r="K29" s="131">
        <f t="shared" si="8"/>
        <v>0.34295882091989033</v>
      </c>
      <c r="L29" s="131">
        <f t="shared" si="8"/>
        <v>0.23308456642356085</v>
      </c>
      <c r="M29" s="131">
        <f t="shared" si="8"/>
        <v>0.55689567775829341</v>
      </c>
      <c r="N29" s="131">
        <f t="shared" si="8"/>
        <v>0.56987681784586641</v>
      </c>
      <c r="O29" s="131">
        <f t="shared" si="8"/>
        <v>0.72073543256188888</v>
      </c>
      <c r="P29" s="131">
        <f t="shared" si="8"/>
        <v>0.83326543300984979</v>
      </c>
      <c r="Q29" s="131">
        <f t="shared" si="8"/>
        <v>0.73136088339998462</v>
      </c>
      <c r="R29" s="131">
        <f t="shared" ref="R29:W29" si="9">SUM(R30:R33)</f>
        <v>0.81858144972908664</v>
      </c>
      <c r="S29" s="131">
        <f t="shared" si="9"/>
        <v>0.80866215229018423</v>
      </c>
      <c r="T29" s="131">
        <f t="shared" si="9"/>
        <v>0.81185208116524477</v>
      </c>
      <c r="U29" s="131">
        <f t="shared" si="9"/>
        <v>0.82892679457959506</v>
      </c>
      <c r="V29" s="131">
        <f t="shared" si="9"/>
        <v>0.75573040085793042</v>
      </c>
      <c r="W29" s="131">
        <f t="shared" si="9"/>
        <v>0.85671091175426295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3.4687008897287194E-2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0.3007726502498233</v>
      </c>
      <c r="L30" s="133">
        <v>0.1346420968369926</v>
      </c>
      <c r="M30" s="133">
        <v>0.17268658680108259</v>
      </c>
      <c r="N30" s="133">
        <v>1.5338544672066304E-2</v>
      </c>
      <c r="O30" s="133">
        <v>1.829694311442983E-2</v>
      </c>
      <c r="P30" s="133">
        <v>1.1861629681577482E-2</v>
      </c>
      <c r="Q30" s="133">
        <v>5.7570368957991794E-2</v>
      </c>
      <c r="R30" s="133">
        <v>7.2910962844311866E-2</v>
      </c>
      <c r="S30" s="133">
        <v>5.3888671320992107E-2</v>
      </c>
      <c r="T30" s="133">
        <v>0.1283832606580996</v>
      </c>
      <c r="U30" s="133">
        <v>0.1351171974303102</v>
      </c>
      <c r="V30" s="133">
        <v>0.18090475475583051</v>
      </c>
      <c r="W30" s="133">
        <v>0.25879524326912673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0.10954958262506914</v>
      </c>
      <c r="D31" s="133">
        <v>9.2595501736598515E-2</v>
      </c>
      <c r="E31" s="133">
        <v>4.8988660033287446E-2</v>
      </c>
      <c r="F31" s="133">
        <v>8.1069011617865713E-2</v>
      </c>
      <c r="G31" s="133">
        <v>0.1186930202457627</v>
      </c>
      <c r="H31" s="133">
        <v>0.10418622889723474</v>
      </c>
      <c r="I31" s="133">
        <v>8.6863595096522347E-2</v>
      </c>
      <c r="J31" s="133">
        <v>6.8055694648101087E-2</v>
      </c>
      <c r="K31" s="133">
        <v>4.2186170670067011E-2</v>
      </c>
      <c r="L31" s="133">
        <v>6.758407329694173E-2</v>
      </c>
      <c r="M31" s="133">
        <v>7.993411353639468E-2</v>
      </c>
      <c r="N31" s="133">
        <v>9.0288545825338656E-2</v>
      </c>
      <c r="O31" s="133">
        <v>9.8005605273413968E-2</v>
      </c>
      <c r="P31" s="133">
        <v>7.5061262335405915E-2</v>
      </c>
      <c r="Q31" s="133">
        <v>5.8313323524759722E-2</v>
      </c>
      <c r="R31" s="133">
        <v>6.4663809683884479E-2</v>
      </c>
      <c r="S31" s="133">
        <v>4.0983189121150766E-2</v>
      </c>
      <c r="T31" s="133">
        <v>4.5614137131786858E-2</v>
      </c>
      <c r="U31" s="133">
        <v>2.4704805508657293E-2</v>
      </c>
      <c r="V31" s="133">
        <v>7.7005334528090731E-3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9.3358837064454941E-2</v>
      </c>
      <c r="D33" s="68">
        <v>0.19426511829367582</v>
      </c>
      <c r="E33" s="68">
        <v>0.12701646204437209</v>
      </c>
      <c r="F33" s="68">
        <v>0.22351272035537004</v>
      </c>
      <c r="G33" s="68">
        <v>0.24632840029499056</v>
      </c>
      <c r="H33" s="68">
        <v>0.18060538189799752</v>
      </c>
      <c r="I33" s="68">
        <v>0.22321821209651355</v>
      </c>
      <c r="J33" s="68">
        <v>0.20196070059233365</v>
      </c>
      <c r="K33" s="68">
        <v>0</v>
      </c>
      <c r="L33" s="68">
        <v>3.085839628962651E-2</v>
      </c>
      <c r="M33" s="68">
        <v>0.30427497742081605</v>
      </c>
      <c r="N33" s="68">
        <v>0.46424972734846143</v>
      </c>
      <c r="O33" s="68">
        <v>0.60443288417404506</v>
      </c>
      <c r="P33" s="68">
        <v>0.74634254099286634</v>
      </c>
      <c r="Q33" s="68">
        <v>0.61547719091723307</v>
      </c>
      <c r="R33" s="68">
        <v>0.68100667720089025</v>
      </c>
      <c r="S33" s="68">
        <v>0.71379029184804133</v>
      </c>
      <c r="T33" s="68">
        <v>0.63785468337535833</v>
      </c>
      <c r="U33" s="68">
        <v>0.66910479164062753</v>
      </c>
      <c r="V33" s="68">
        <v>0.56712511264929089</v>
      </c>
      <c r="W33" s="68">
        <v>0.59791566848513622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0.74734712483224308</v>
      </c>
      <c r="D3" s="127">
        <f>IF(SER_hh_tes_in!D3=0,"",SER_hh_tes_in!D3/SER_hh_fec_in!D3)</f>
        <v>0.80818378691622417</v>
      </c>
      <c r="E3" s="127">
        <f>IF(SER_hh_tes_in!E3=0,"",SER_hh_tes_in!E3/SER_hh_fec_in!E3)</f>
        <v>0.88598895968871516</v>
      </c>
      <c r="F3" s="127">
        <f>IF(SER_hh_tes_in!F3=0,"",SER_hh_tes_in!F3/SER_hh_fec_in!F3)</f>
        <v>0.84571935456122782</v>
      </c>
      <c r="G3" s="127">
        <f>IF(SER_hh_tes_in!G3=0,"",SER_hh_tes_in!G3/SER_hh_fec_in!G3)</f>
        <v>0.80559862225254941</v>
      </c>
      <c r="H3" s="127">
        <f>IF(SER_hh_tes_in!H3=0,"",SER_hh_tes_in!H3/SER_hh_fec_in!H3)</f>
        <v>0.7860441900264441</v>
      </c>
      <c r="I3" s="127">
        <f>IF(SER_hh_tes_in!I3=0,"",SER_hh_tes_in!I3/SER_hh_fec_in!I3)</f>
        <v>0.7886379348773449</v>
      </c>
      <c r="J3" s="127">
        <f>IF(SER_hh_tes_in!J3=0,"",SER_hh_tes_in!J3/SER_hh_fec_in!J3)</f>
        <v>0.77672841588525654</v>
      </c>
      <c r="K3" s="127">
        <f>IF(SER_hh_tes_in!K3=0,"",SER_hh_tes_in!K3/SER_hh_fec_in!K3)</f>
        <v>0.74014695667855179</v>
      </c>
      <c r="L3" s="127">
        <f>IF(SER_hh_tes_in!L3=0,"",SER_hh_tes_in!L3/SER_hh_fec_in!L3)</f>
        <v>0.73089806665744184</v>
      </c>
      <c r="M3" s="127">
        <f>IF(SER_hh_tes_in!M3=0,"",SER_hh_tes_in!M3/SER_hh_fec_in!M3)</f>
        <v>0.78363747402612038</v>
      </c>
      <c r="N3" s="127">
        <f>IF(SER_hh_tes_in!N3=0,"",SER_hh_tes_in!N3/SER_hh_fec_in!N3)</f>
        <v>0.80087845815065783</v>
      </c>
      <c r="O3" s="127">
        <f>IF(SER_hh_tes_in!O3=0,"",SER_hh_tes_in!O3/SER_hh_fec_in!O3)</f>
        <v>0.80632721161128029</v>
      </c>
      <c r="P3" s="127">
        <f>IF(SER_hh_tes_in!P3=0,"",SER_hh_tes_in!P3/SER_hh_fec_in!P3)</f>
        <v>0.83563901984951006</v>
      </c>
      <c r="Q3" s="127">
        <f>IF(SER_hh_tes_in!Q3=0,"",SER_hh_tes_in!Q3/SER_hh_fec_in!Q3)</f>
        <v>0.84643985461815174</v>
      </c>
      <c r="R3" s="127">
        <f>IF(SER_hh_tes_in!R3=0,"",SER_hh_tes_in!R3/SER_hh_fec_in!R3)</f>
        <v>0.87116729845814056</v>
      </c>
      <c r="S3" s="127">
        <f>IF(SER_hh_tes_in!S3=0,"",SER_hh_tes_in!S3/SER_hh_fec_in!S3)</f>
        <v>0.87163250981006979</v>
      </c>
      <c r="T3" s="127">
        <f>IF(SER_hh_tes_in!T3=0,"",SER_hh_tes_in!T3/SER_hh_fec_in!T3)</f>
        <v>0.92245798195866724</v>
      </c>
      <c r="U3" s="127">
        <f>IF(SER_hh_tes_in!U3=0,"",SER_hh_tes_in!U3/SER_hh_fec_in!U3)</f>
        <v>0.9362142456550725</v>
      </c>
      <c r="V3" s="127">
        <f>IF(SER_hh_tes_in!V3=0,"",SER_hh_tes_in!V3/SER_hh_fec_in!V3)</f>
        <v>0.94786961675693415</v>
      </c>
      <c r="W3" s="127">
        <f>IF(SER_hh_tes_in!W3=0,"",SER_hh_tes_in!W3/SER_hh_fec_in!W3)</f>
        <v>0.91480968991583778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0.68916357217431512</v>
      </c>
      <c r="D4" s="136">
        <f>IF(SER_hh_tes_in!D4=0,"",SER_hh_tes_in!D4/SER_hh_fec_in!D4)</f>
        <v>0.7390975577287443</v>
      </c>
      <c r="E4" s="136">
        <f>IF(SER_hh_tes_in!E4=0,"",SER_hh_tes_in!E4/SER_hh_fec_in!E4)</f>
        <v>0.83671111088887962</v>
      </c>
      <c r="F4" s="136">
        <f>IF(SER_hh_tes_in!F4=0,"",SER_hh_tes_in!F4/SER_hh_fec_in!F4)</f>
        <v>0.79724703583712642</v>
      </c>
      <c r="G4" s="136">
        <f>IF(SER_hh_tes_in!G4=0,"",SER_hh_tes_in!G4/SER_hh_fec_in!G4)</f>
        <v>0.74229373020626777</v>
      </c>
      <c r="H4" s="136">
        <f>IF(SER_hh_tes_in!H4=0,"",SER_hh_tes_in!H4/SER_hh_fec_in!H4)</f>
        <v>0.70867545563618928</v>
      </c>
      <c r="I4" s="136">
        <f>IF(SER_hh_tes_in!I4=0,"",SER_hh_tes_in!I4/SER_hh_fec_in!I4)</f>
        <v>0.72574131634255201</v>
      </c>
      <c r="J4" s="136">
        <f>IF(SER_hh_tes_in!J4=0,"",SER_hh_tes_in!J4/SER_hh_fec_in!J4)</f>
        <v>0.71313200257462084</v>
      </c>
      <c r="K4" s="136">
        <f>IF(SER_hh_tes_in!K4=0,"",SER_hh_tes_in!K4/SER_hh_fec_in!K4)</f>
        <v>0.69692522530897949</v>
      </c>
      <c r="L4" s="136">
        <f>IF(SER_hh_tes_in!L4=0,"",SER_hh_tes_in!L4/SER_hh_fec_in!L4)</f>
        <v>0.68138102412457879</v>
      </c>
      <c r="M4" s="136">
        <f>IF(SER_hh_tes_in!M4=0,"",SER_hh_tes_in!M4/SER_hh_fec_in!M4)</f>
        <v>0.7072739737243422</v>
      </c>
      <c r="N4" s="136">
        <f>IF(SER_hh_tes_in!N4=0,"",SER_hh_tes_in!N4/SER_hh_fec_in!N4)</f>
        <v>0.72470167547196351</v>
      </c>
      <c r="O4" s="136">
        <f>IF(SER_hh_tes_in!O4=0,"",SER_hh_tes_in!O4/SER_hh_fec_in!O4)</f>
        <v>0.72359886560711983</v>
      </c>
      <c r="P4" s="136">
        <f>IF(SER_hh_tes_in!P4=0,"",SER_hh_tes_in!P4/SER_hh_fec_in!P4)</f>
        <v>0.73293563319021537</v>
      </c>
      <c r="Q4" s="136">
        <f>IF(SER_hh_tes_in!Q4=0,"",SER_hh_tes_in!Q4/SER_hh_fec_in!Q4)</f>
        <v>0.74784750538158917</v>
      </c>
      <c r="R4" s="136">
        <f>IF(SER_hh_tes_in!R4=0,"",SER_hh_tes_in!R4/SER_hh_fec_in!R4)</f>
        <v>0.78329659110003125</v>
      </c>
      <c r="S4" s="136">
        <f>IF(SER_hh_tes_in!S4=0,"",SER_hh_tes_in!S4/SER_hh_fec_in!S4)</f>
        <v>0.79109404640973913</v>
      </c>
      <c r="T4" s="136">
        <f>IF(SER_hh_tes_in!T4=0,"",SER_hh_tes_in!T4/SER_hh_fec_in!T4)</f>
        <v>0.84152480486988768</v>
      </c>
      <c r="U4" s="136">
        <f>IF(SER_hh_tes_in!U4=0,"",SER_hh_tes_in!U4/SER_hh_fec_in!U4)</f>
        <v>0.86274661496157978</v>
      </c>
      <c r="V4" s="136">
        <f>IF(SER_hh_tes_in!V4=0,"",SER_hh_tes_in!V4/SER_hh_fec_in!V4)</f>
        <v>0.87964289672976759</v>
      </c>
      <c r="W4" s="136">
        <f>IF(SER_hh_tes_in!W4=0,"",SER_hh_tes_in!W4/SER_hh_fec_in!W4)</f>
        <v>0.86302680531385167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0.53728994929288909</v>
      </c>
      <c r="D7" s="137">
        <f>IF(SER_hh_tes_in!D7=0,"",SER_hh_tes_in!D7/SER_hh_fec_in!D7)</f>
        <v>0.54252830443494615</v>
      </c>
      <c r="E7" s="137" t="str">
        <f>IF(SER_hh_tes_in!E7=0,"",SER_hh_tes_in!E7/SER_hh_fec_in!E7)</f>
        <v/>
      </c>
      <c r="F7" s="137">
        <f>IF(SER_hh_tes_in!F7=0,"",SER_hh_tes_in!F7/SER_hh_fec_in!F7)</f>
        <v>0.55335106374333909</v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>
        <f>IF(SER_hh_tes_in!K7=0,"",SER_hh_tes_in!K7/SER_hh_fec_in!K7)</f>
        <v>0.58334931760737629</v>
      </c>
      <c r="L7" s="137">
        <f>IF(SER_hh_tes_in!L7=0,"",SER_hh_tes_in!L7/SER_hh_fec_in!L7)</f>
        <v>0.59055691120291809</v>
      </c>
      <c r="M7" s="137">
        <f>IF(SER_hh_tes_in!M7=0,"",SER_hh_tes_in!M7/SER_hh_fec_in!M7)</f>
        <v>0.60211075661281976</v>
      </c>
      <c r="N7" s="137">
        <f>IF(SER_hh_tes_in!N7=0,"",SER_hh_tes_in!N7/SER_hh_fec_in!N7)</f>
        <v>0.61912798112327483</v>
      </c>
      <c r="O7" s="137">
        <f>IF(SER_hh_tes_in!O7=0,"",SER_hh_tes_in!O7/SER_hh_fec_in!O7)</f>
        <v>0.64224079712184945</v>
      </c>
      <c r="P7" s="137">
        <f>IF(SER_hh_tes_in!P7=0,"",SER_hh_tes_in!P7/SER_hh_fec_in!P7)</f>
        <v>0.66873646074229687</v>
      </c>
      <c r="Q7" s="137">
        <f>IF(SER_hh_tes_in!Q7=0,"",SER_hh_tes_in!Q7/SER_hh_fec_in!Q7)</f>
        <v>0.69066437182354767</v>
      </c>
      <c r="R7" s="137">
        <f>IF(SER_hh_tes_in!R7=0,"",SER_hh_tes_in!R7/SER_hh_fec_in!R7)</f>
        <v>0.70138994186989612</v>
      </c>
      <c r="S7" s="137">
        <f>IF(SER_hh_tes_in!S7=0,"",SER_hh_tes_in!S7/SER_hh_fec_in!S7)</f>
        <v>0.70906395510514808</v>
      </c>
      <c r="T7" s="137">
        <f>IF(SER_hh_tes_in!T7=0,"",SER_hh_tes_in!T7/SER_hh_fec_in!T7)</f>
        <v>0.71468585909620608</v>
      </c>
      <c r="U7" s="137">
        <f>IF(SER_hh_tes_in!U7=0,"",SER_hh_tes_in!U7/SER_hh_fec_in!U7)</f>
        <v>0.71906507700120659</v>
      </c>
      <c r="V7" s="137">
        <f>IF(SER_hh_tes_in!V7=0,"",SER_hh_tes_in!V7/SER_hh_fec_in!V7)</f>
        <v>0.72286450132829516</v>
      </c>
      <c r="W7" s="137">
        <f>IF(SER_hh_tes_in!W7=0,"",SER_hh_tes_in!W7/SER_hh_fec_in!W7)</f>
        <v>0.72531992575029014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0.61560614487867904</v>
      </c>
      <c r="D9" s="137">
        <f>IF(SER_hh_tes_in!D9=0,"",SER_hh_tes_in!D9/SER_hh_fec_in!D9)</f>
        <v>0.62397994075489982</v>
      </c>
      <c r="E9" s="137" t="str">
        <f>IF(SER_hh_tes_in!E9=0,"",SER_hh_tes_in!E9/SER_hh_fec_in!E9)</f>
        <v/>
      </c>
      <c r="F9" s="137">
        <f>IF(SER_hh_tes_in!F9=0,"",SER_hh_tes_in!F9/SER_hh_fec_in!F9)</f>
        <v>0.64062960809753211</v>
      </c>
      <c r="G9" s="137">
        <f>IF(SER_hh_tes_in!G9=0,"",SER_hh_tes_in!G9/SER_hh_fec_in!G9)</f>
        <v>0.64889723688261625</v>
      </c>
      <c r="H9" s="137">
        <f>IF(SER_hh_tes_in!H9=0,"",SER_hh_tes_in!H9/SER_hh_fec_in!H9)</f>
        <v>0.6571483838400467</v>
      </c>
      <c r="I9" s="137">
        <f>IF(SER_hh_tes_in!I9=0,"",SER_hh_tes_in!I9/SER_hh_fec_in!I9)</f>
        <v>0.66540818469908847</v>
      </c>
      <c r="J9" s="137">
        <f>IF(SER_hh_tes_in!J9=0,"",SER_hh_tes_in!J9/SER_hh_fec_in!J9)</f>
        <v>0.67377726323842213</v>
      </c>
      <c r="K9" s="137">
        <f>IF(SER_hh_tes_in!K9=0,"",SER_hh_tes_in!K9/SER_hh_fec_in!K9)</f>
        <v>0.68234245569002216</v>
      </c>
      <c r="L9" s="137">
        <f>IF(SER_hh_tes_in!L9=0,"",SER_hh_tes_in!L9/SER_hh_fec_in!L9)</f>
        <v>0.69112923607435839</v>
      </c>
      <c r="M9" s="137">
        <f>IF(SER_hh_tes_in!M9=0,"",SER_hh_tes_in!M9/SER_hh_fec_in!M9)</f>
        <v>0.70236087841960382</v>
      </c>
      <c r="N9" s="137">
        <f>IF(SER_hh_tes_in!N9=0,"",SER_hh_tes_in!N9/SER_hh_fec_in!N9)</f>
        <v>0.71677351941433265</v>
      </c>
      <c r="O9" s="137">
        <f>IF(SER_hh_tes_in!O9=0,"",SER_hh_tes_in!O9/SER_hh_fec_in!O9)</f>
        <v>0.73479269432765437</v>
      </c>
      <c r="P9" s="137">
        <f>IF(SER_hh_tes_in!P9=0,"",SER_hh_tes_in!P9/SER_hh_fec_in!P9)</f>
        <v>0.75480502838753916</v>
      </c>
      <c r="Q9" s="137">
        <f>IF(SER_hh_tes_in!Q9=0,"",SER_hh_tes_in!Q9/SER_hh_fec_in!Q9)</f>
        <v>0.77177427878346705</v>
      </c>
      <c r="R9" s="137">
        <f>IF(SER_hh_tes_in!R9=0,"",SER_hh_tes_in!R9/SER_hh_fec_in!R9)</f>
        <v>0.78141911172209655</v>
      </c>
      <c r="S9" s="137" t="str">
        <f>IF(SER_hh_tes_in!S9=0,"",SER_hh_tes_in!S9/SER_hh_fec_in!S9)</f>
        <v/>
      </c>
      <c r="T9" s="137" t="str">
        <f>IF(SER_hh_tes_in!T9=0,"",SER_hh_tes_in!T9/SER_hh_fec_in!T9)</f>
        <v/>
      </c>
      <c r="U9" s="137">
        <f>IF(SER_hh_tes_in!U9=0,"",SER_hh_tes_in!U9/SER_hh_fec_in!U9)</f>
        <v>0.79973751140244831</v>
      </c>
      <c r="V9" s="137" t="str">
        <f>IF(SER_hh_tes_in!V9=0,"",SER_hh_tes_in!V9/SER_hh_fec_in!V9)</f>
        <v/>
      </c>
      <c r="W9" s="137">
        <f>IF(SER_hh_tes_in!W9=0,"",SER_hh_tes_in!W9/SER_hh_fec_in!W9)</f>
        <v>0.80699318346558824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0.65737785978450303</v>
      </c>
      <c r="D10" s="137">
        <f>IF(SER_hh_tes_in!D10=0,"",SER_hh_tes_in!D10/SER_hh_fec_in!D10)</f>
        <v>0.65770749411579099</v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0.6593959291102014</v>
      </c>
      <c r="J10" s="137">
        <f>IF(SER_hh_tes_in!J10=0,"",SER_hh_tes_in!J10/SER_hh_fec_in!J10)</f>
        <v>0.65973828694717751</v>
      </c>
      <c r="K10" s="137">
        <f>IF(SER_hh_tes_in!K10=0,"",SER_hh_tes_in!K10/SER_hh_fec_in!K10)</f>
        <v>0.66007976849862871</v>
      </c>
      <c r="L10" s="137">
        <f>IF(SER_hh_tes_in!L10=0,"",SER_hh_tes_in!L10/SER_hh_fec_in!L10)</f>
        <v>0.66041911263130404</v>
      </c>
      <c r="M10" s="137">
        <f>IF(SER_hh_tes_in!M10=0,"",SER_hh_tes_in!M10/SER_hh_fec_in!M10)</f>
        <v>0.66073163513128286</v>
      </c>
      <c r="N10" s="137">
        <f>IF(SER_hh_tes_in!N10=0,"",SER_hh_tes_in!N10/SER_hh_fec_in!N10)</f>
        <v>0.66100408494613916</v>
      </c>
      <c r="O10" s="137">
        <f>IF(SER_hh_tes_in!O10=0,"",SER_hh_tes_in!O10/SER_hh_fec_in!O10)</f>
        <v>0.66122929349654391</v>
      </c>
      <c r="P10" s="137">
        <f>IF(SER_hh_tes_in!P10=0,"",SER_hh_tes_in!P10/SER_hh_fec_in!P10)</f>
        <v>0.66142655554044827</v>
      </c>
      <c r="Q10" s="137">
        <f>IF(SER_hh_tes_in!Q10=0,"",SER_hh_tes_in!Q10/SER_hh_fec_in!Q10)</f>
        <v>0.66166140033612553</v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>
        <f>IF(SER_hh_tes_in!W10=0,"",SER_hh_tes_in!W10/SER_hh_fec_in!W10)</f>
        <v>0.66368825741521509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0.83274432750848959</v>
      </c>
      <c r="D12" s="137">
        <f>IF(SER_hh_tes_in!D12=0,"",SER_hh_tes_in!D12/SER_hh_fec_in!D12)</f>
        <v>0.83438583381361831</v>
      </c>
      <c r="E12" s="137">
        <f>IF(SER_hh_tes_in!E12=0,"",SER_hh_tes_in!E12/SER_hh_fec_in!E12)</f>
        <v>0.83607165650643589</v>
      </c>
      <c r="F12" s="137">
        <f>IF(SER_hh_tes_in!F12=0,"",SER_hh_tes_in!F12/SER_hh_fec_in!F12)</f>
        <v>0.8377635223430292</v>
      </c>
      <c r="G12" s="137">
        <f>IF(SER_hh_tes_in!G12=0,"",SER_hh_tes_in!G12/SER_hh_fec_in!G12)</f>
        <v>0.83949620096603716</v>
      </c>
      <c r="H12" s="137">
        <f>IF(SER_hh_tes_in!H12=0,"",SER_hh_tes_in!H12/SER_hh_fec_in!H12)</f>
        <v>0.84126543701384282</v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>
        <f>IF(SER_hh_tes_in!K12=0,"",SER_hh_tes_in!K12/SER_hh_fec_in!K12)</f>
        <v>0.84697902568811012</v>
      </c>
      <c r="L12" s="137">
        <f>IF(SER_hh_tes_in!L12=0,"",SER_hh_tes_in!L12/SER_hh_fec_in!L12)</f>
        <v>0.84910171844945637</v>
      </c>
      <c r="M12" s="137">
        <f>IF(SER_hh_tes_in!M12=0,"",SER_hh_tes_in!M12/SER_hh_fec_in!M12)</f>
        <v>0.85204085157659704</v>
      </c>
      <c r="N12" s="137">
        <f>IF(SER_hh_tes_in!N12=0,"",SER_hh_tes_in!N12/SER_hh_fec_in!N12)</f>
        <v>0.85601723948607444</v>
      </c>
      <c r="O12" s="137">
        <f>IF(SER_hh_tes_in!O12=0,"",SER_hh_tes_in!O12/SER_hh_fec_in!O12)</f>
        <v>0.86122445284610849</v>
      </c>
      <c r="P12" s="137">
        <f>IF(SER_hh_tes_in!P12=0,"",SER_hh_tes_in!P12/SER_hh_fec_in!P12)</f>
        <v>0.86729420926835876</v>
      </c>
      <c r="Q12" s="137">
        <f>IF(SER_hh_tes_in!Q12=0,"",SER_hh_tes_in!Q12/SER_hh_fec_in!Q12)</f>
        <v>0.873020885187617</v>
      </c>
      <c r="R12" s="137">
        <f>IF(SER_hh_tes_in!R12=0,"",SER_hh_tes_in!R12/SER_hh_fec_in!R12)</f>
        <v>0.87740904581176826</v>
      </c>
      <c r="S12" s="137">
        <f>IF(SER_hh_tes_in!S12=0,"",SER_hh_tes_in!S12/SER_hh_fec_in!S12)</f>
        <v>0.88167799253769541</v>
      </c>
      <c r="T12" s="137">
        <f>IF(SER_hh_tes_in!T12=0,"",SER_hh_tes_in!T12/SER_hh_fec_in!T12)</f>
        <v>0.88579920209379548</v>
      </c>
      <c r="U12" s="137">
        <f>IF(SER_hh_tes_in!U12=0,"",SER_hh_tes_in!U12/SER_hh_fec_in!U12)</f>
        <v>0.88974415120847949</v>
      </c>
      <c r="V12" s="137">
        <f>IF(SER_hh_tes_in!V12=0,"",SER_hh_tes_in!V12/SER_hh_fec_in!V12)</f>
        <v>0.8934843166101526</v>
      </c>
      <c r="W12" s="137">
        <f>IF(SER_hh_tes_in!W12=0,"",SER_hh_tes_in!W12/SER_hh_fec_in!W12)</f>
        <v>0.89692972984387831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0.75412403667701444</v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>
        <f>IF(SER_hh_tes_in!F14=0,"",SER_hh_tes_in!F14/SER_hh_fec_in!F14)</f>
        <v>0.76283468900900508</v>
      </c>
      <c r="G14" s="138">
        <f>IF(SER_hh_tes_in!G14=0,"",SER_hh_tes_in!G14/SER_hh_fec_in!G14)</f>
        <v>0.76583653986720146</v>
      </c>
      <c r="H14" s="138">
        <f>IF(SER_hh_tes_in!H14=0,"",SER_hh_tes_in!H14/SER_hh_fec_in!H14)</f>
        <v>0.76889864659117502</v>
      </c>
      <c r="I14" s="138">
        <f>IF(SER_hh_tes_in!I14=0,"",SER_hh_tes_in!I14/SER_hh_fec_in!I14)</f>
        <v>0.77203510536355491</v>
      </c>
      <c r="J14" s="138">
        <f>IF(SER_hh_tes_in!J14=0,"",SER_hh_tes_in!J14/SER_hh_fec_in!J14)</f>
        <v>0.77530376046657157</v>
      </c>
      <c r="K14" s="138">
        <f>IF(SER_hh_tes_in!K14=0,"",SER_hh_tes_in!K14/SER_hh_fec_in!K14)</f>
        <v>0.77875362566149664</v>
      </c>
      <c r="L14" s="138">
        <f>IF(SER_hh_tes_in!L14=0,"",SER_hh_tes_in!L14/SER_hh_fec_in!L14)</f>
        <v>0.78239746725073889</v>
      </c>
      <c r="M14" s="138">
        <f>IF(SER_hh_tes_in!M14=0,"",SER_hh_tes_in!M14/SER_hh_fec_in!M14)</f>
        <v>0.78724230586821864</v>
      </c>
      <c r="N14" s="138">
        <f>IF(SER_hh_tes_in!N14=0,"",SER_hh_tes_in!N14/SER_hh_fec_in!N14)</f>
        <v>0.7935870124788007</v>
      </c>
      <c r="O14" s="138">
        <f>IF(SER_hh_tes_in!O14=0,"",SER_hh_tes_in!O14/SER_hh_fec_in!O14)</f>
        <v>0.80182387352494211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0.83341280747018331</v>
      </c>
      <c r="S14" s="138">
        <f>IF(SER_hh_tes_in!S14=0,"",SER_hh_tes_in!S14/SER_hh_fec_in!S14)</f>
        <v>0.84652307066902077</v>
      </c>
      <c r="T14" s="138">
        <f>IF(SER_hh_tes_in!T14=0,"",SER_hh_tes_in!T14/SER_hh_fec_in!T14)</f>
        <v>0.85978843200997002</v>
      </c>
      <c r="U14" s="138">
        <f>IF(SER_hh_tes_in!U14=0,"",SER_hh_tes_in!U14/SER_hh_fec_in!U14)</f>
        <v>0.87151673587852951</v>
      </c>
      <c r="V14" s="138">
        <f>IF(SER_hh_tes_in!V14=0,"",SER_hh_tes_in!V14/SER_hh_fec_in!V14)</f>
        <v>0.88001096892171027</v>
      </c>
      <c r="W14" s="138">
        <f>IF(SER_hh_tes_in!W14=0,"",SER_hh_tes_in!W14/SER_hh_fec_in!W14)</f>
        <v>0.88427810231354309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2.4307917312846459</v>
      </c>
      <c r="D16" s="136">
        <f>IF(SER_hh_tes_in!D16=0,"",SER_hh_tes_in!D16/SER_hh_fec_in!D16)</f>
        <v>2.5078309446225782</v>
      </c>
      <c r="E16" s="136">
        <f>IF(SER_hh_tes_in!E16=0,"",SER_hh_tes_in!E16/SER_hh_fec_in!E16)</f>
        <v>2.6115354814215705</v>
      </c>
      <c r="F16" s="136">
        <f>IF(SER_hh_tes_in!F16=0,"",SER_hh_tes_in!F16/SER_hh_fec_in!F16)</f>
        <v>2.6491622690251622</v>
      </c>
      <c r="G16" s="136">
        <f>IF(SER_hh_tes_in!G16=0,"",SER_hh_tes_in!G16/SER_hh_fec_in!G16)</f>
        <v>2.7704058488543954</v>
      </c>
      <c r="H16" s="136">
        <f>IF(SER_hh_tes_in!H16=0,"",SER_hh_tes_in!H16/SER_hh_fec_in!H16)</f>
        <v>2.8456548866090907</v>
      </c>
      <c r="I16" s="136">
        <f>IF(SER_hh_tes_in!I16=0,"",SER_hh_tes_in!I16/SER_hh_fec_in!I16)</f>
        <v>2.9058966606373255</v>
      </c>
      <c r="J16" s="136">
        <f>IF(SER_hh_tes_in!J16=0,"",SER_hh_tes_in!J16/SER_hh_fec_in!J16)</f>
        <v>3.0188834118856698</v>
      </c>
      <c r="K16" s="136">
        <f>IF(SER_hh_tes_in!K16=0,"",SER_hh_tes_in!K16/SER_hh_fec_in!K16)</f>
        <v>3.0858550767324764</v>
      </c>
      <c r="L16" s="136">
        <f>IF(SER_hh_tes_in!L16=0,"",SER_hh_tes_in!L16/SER_hh_fec_in!L16)</f>
        <v>3.1942566571324114</v>
      </c>
      <c r="M16" s="136">
        <f>IF(SER_hh_tes_in!M16=0,"",SER_hh_tes_in!M16/SER_hh_fec_in!M16)</f>
        <v>3.2838131969853914</v>
      </c>
      <c r="N16" s="136">
        <f>IF(SER_hh_tes_in!N16=0,"",SER_hh_tes_in!N16/SER_hh_fec_in!N16)</f>
        <v>3.4149801136473905</v>
      </c>
      <c r="O16" s="136">
        <f>IF(SER_hh_tes_in!O16=0,"",SER_hh_tes_in!O16/SER_hh_fec_in!O16)</f>
        <v>3.5158759120217868</v>
      </c>
      <c r="P16" s="136">
        <f>IF(SER_hh_tes_in!P16=0,"",SER_hh_tes_in!P16/SER_hh_fec_in!P16)</f>
        <v>3.5839906182829764</v>
      </c>
      <c r="Q16" s="136">
        <f>IF(SER_hh_tes_in!Q16=0,"",SER_hh_tes_in!Q16/SER_hh_fec_in!Q16)</f>
        <v>3.765686757084779</v>
      </c>
      <c r="R16" s="136">
        <f>IF(SER_hh_tes_in!R16=0,"",SER_hh_tes_in!R16/SER_hh_fec_in!R16)</f>
        <v>3.6262635482701189</v>
      </c>
      <c r="S16" s="136">
        <f>IF(SER_hh_tes_in!S16=0,"",SER_hh_tes_in!S16/SER_hh_fec_in!S16)</f>
        <v>3.8654638426074825</v>
      </c>
      <c r="T16" s="136">
        <f>IF(SER_hh_tes_in!T16=0,"",SER_hh_tes_in!T16/SER_hh_fec_in!T16)</f>
        <v>4.0601414359444066</v>
      </c>
      <c r="U16" s="136">
        <f>IF(SER_hh_tes_in!U16=0,"",SER_hh_tes_in!U16/SER_hh_fec_in!U16)</f>
        <v>4.004147945183985</v>
      </c>
      <c r="V16" s="136">
        <f>IF(SER_hh_tes_in!V16=0,"",SER_hh_tes_in!V16/SER_hh_fec_in!V16)</f>
        <v>4.0201759399081087</v>
      </c>
      <c r="W16" s="136">
        <f>IF(SER_hh_tes_in!W16=0,"",SER_hh_tes_in!W16/SER_hh_fec_in!W16)</f>
        <v>4.0728453148809356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1.3123109012857848</v>
      </c>
      <c r="D17" s="137">
        <f>IF(SER_hh_tes_in!D17=0,"",SER_hh_tes_in!D17/SER_hh_fec_in!D17)</f>
        <v>1.3174740630158244</v>
      </c>
      <c r="E17" s="137" t="str">
        <f>IF(SER_hh_tes_in!E17=0,"",SER_hh_tes_in!E17/SER_hh_fec_in!E17)</f>
        <v/>
      </c>
      <c r="F17" s="137">
        <f>IF(SER_hh_tes_in!F17=0,"",SER_hh_tes_in!F17/SER_hh_fec_in!F17)</f>
        <v>1.325423328623474</v>
      </c>
      <c r="G17" s="137">
        <f>IF(SER_hh_tes_in!G17=0,"",SER_hh_tes_in!G17/SER_hh_fec_in!G17)</f>
        <v>1.328389622125163</v>
      </c>
      <c r="H17" s="137">
        <f>IF(SER_hh_tes_in!H17=0,"",SER_hh_tes_in!H17/SER_hh_fec_in!H17)</f>
        <v>1.3309472030019507</v>
      </c>
      <c r="I17" s="137">
        <f>IF(SER_hh_tes_in!I17=0,"",SER_hh_tes_in!I17/SER_hh_fec_in!I17)</f>
        <v>1.3331754810327774</v>
      </c>
      <c r="J17" s="137">
        <f>IF(SER_hh_tes_in!J17=0,"",SER_hh_tes_in!J17/SER_hh_fec_in!J17)</f>
        <v>1.3353387930085152</v>
      </c>
      <c r="K17" s="137">
        <f>IF(SER_hh_tes_in!K17=0,"",SER_hh_tes_in!K17/SER_hh_fec_in!K17)</f>
        <v>1.3378158122575792</v>
      </c>
      <c r="L17" s="137">
        <f>IF(SER_hh_tes_in!L17=0,"",SER_hh_tes_in!L17/SER_hh_fec_in!L17)</f>
        <v>1.3408466097863265</v>
      </c>
      <c r="M17" s="137">
        <f>IF(SER_hh_tes_in!M17=0,"",SER_hh_tes_in!M17/SER_hh_fec_in!M17)</f>
        <v>1.3477112561593618</v>
      </c>
      <c r="N17" s="137">
        <f>IF(SER_hh_tes_in!N17=0,"",SER_hh_tes_in!N17/SER_hh_fec_in!N17)</f>
        <v>1.3627889070217551</v>
      </c>
      <c r="O17" s="137">
        <f>IF(SER_hh_tes_in!O17=0,"",SER_hh_tes_in!O17/SER_hh_fec_in!O17)</f>
        <v>1.3876744592880079</v>
      </c>
      <c r="P17" s="137">
        <f>IF(SER_hh_tes_in!P17=0,"",SER_hh_tes_in!P17/SER_hh_fec_in!P17)</f>
        <v>1.421833374706436</v>
      </c>
      <c r="Q17" s="137">
        <f>IF(SER_hh_tes_in!Q17=0,"",SER_hh_tes_in!Q17/SER_hh_fec_in!Q17)</f>
        <v>1.4581168930694548</v>
      </c>
      <c r="R17" s="137">
        <f>IF(SER_hh_tes_in!R17=0,"",SER_hh_tes_in!R17/SER_hh_fec_in!R17)</f>
        <v>1.487952130079031</v>
      </c>
      <c r="S17" s="137">
        <f>IF(SER_hh_tes_in!S17=0,"",SER_hh_tes_in!S17/SER_hh_fec_in!S17)</f>
        <v>1.5174258808580434</v>
      </c>
      <c r="T17" s="137">
        <f>IF(SER_hh_tes_in!T17=0,"",SER_hh_tes_in!T17/SER_hh_fec_in!T17)</f>
        <v>1.5518012605816893</v>
      </c>
      <c r="U17" s="137">
        <f>IF(SER_hh_tes_in!U17=0,"",SER_hh_tes_in!U17/SER_hh_fec_in!U17)</f>
        <v>1.5881893918094816</v>
      </c>
      <c r="V17" s="137">
        <f>IF(SER_hh_tes_in!V17=0,"",SER_hh_tes_in!V17/SER_hh_fec_in!V17)</f>
        <v>1.6234240161502962</v>
      </c>
      <c r="W17" s="137">
        <f>IF(SER_hh_tes_in!W17=0,"",SER_hh_tes_in!W17/SER_hh_fec_in!W17)</f>
        <v>1.6522409134604914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2.4420864752354063</v>
      </c>
      <c r="D18" s="137">
        <f>IF(SER_hh_tes_in!D18=0,"",SER_hh_tes_in!D18/SER_hh_fec_in!D18)</f>
        <v>2.5263660402536461</v>
      </c>
      <c r="E18" s="137">
        <f>IF(SER_hh_tes_in!E18=0,"",SER_hh_tes_in!E18/SER_hh_fec_in!E18)</f>
        <v>2.6115354814215705</v>
      </c>
      <c r="F18" s="137">
        <f>IF(SER_hh_tes_in!F18=0,"",SER_hh_tes_in!F18/SER_hh_fec_in!F18)</f>
        <v>2.6967963921230016</v>
      </c>
      <c r="G18" s="137">
        <f>IF(SER_hh_tes_in!G18=0,"",SER_hh_tes_in!G18/SER_hh_fec_in!G18)</f>
        <v>2.7828674924717518</v>
      </c>
      <c r="H18" s="137">
        <f>IF(SER_hh_tes_in!H18=0,"",SER_hh_tes_in!H18/SER_hh_fec_in!H18)</f>
        <v>2.8696561494819983</v>
      </c>
      <c r="I18" s="137">
        <f>IF(SER_hh_tes_in!I18=0,"",SER_hh_tes_in!I18/SER_hh_fec_in!I18)</f>
        <v>2.9573346009490833</v>
      </c>
      <c r="J18" s="137">
        <f>IF(SER_hh_tes_in!J18=0,"",SER_hh_tes_in!J18/SER_hh_fec_in!J18)</f>
        <v>3.0466192781914043</v>
      </c>
      <c r="K18" s="137">
        <f>IF(SER_hh_tes_in!K18=0,"",SER_hh_tes_in!K18/SER_hh_fec_in!K18)</f>
        <v>3.1381125719610337</v>
      </c>
      <c r="L18" s="137">
        <f>IF(SER_hh_tes_in!L18=0,"",SER_hh_tes_in!L18/SER_hh_fec_in!L18)</f>
        <v>3.2319634198440457</v>
      </c>
      <c r="M18" s="137">
        <f>IF(SER_hh_tes_in!M18=0,"",SER_hh_tes_in!M18/SER_hh_fec_in!M18)</f>
        <v>3.344059414186046</v>
      </c>
      <c r="N18" s="137">
        <f>IF(SER_hh_tes_in!N18=0,"",SER_hh_tes_in!N18/SER_hh_fec_in!N18)</f>
        <v>3.479599929134892</v>
      </c>
      <c r="O18" s="137">
        <f>IF(SER_hh_tes_in!O18=0,"",SER_hh_tes_in!O18/SER_hh_fec_in!O18)</f>
        <v>3.6414594273078915</v>
      </c>
      <c r="P18" s="137">
        <f>IF(SER_hh_tes_in!P18=0,"",SER_hh_tes_in!P18/SER_hh_fec_in!P18)</f>
        <v>3.8169925677411389</v>
      </c>
      <c r="Q18" s="137">
        <f>IF(SER_hh_tes_in!Q18=0,"",SER_hh_tes_in!Q18/SER_hh_fec_in!Q18)</f>
        <v>3.9678428674571959</v>
      </c>
      <c r="R18" s="137">
        <f>IF(SER_hh_tes_in!R18=0,"",SER_hh_tes_in!R18/SER_hh_fec_in!R18)</f>
        <v>4.0624800424421901</v>
      </c>
      <c r="S18" s="137">
        <f>IF(SER_hh_tes_in!S18=0,"",SER_hh_tes_in!S18/SER_hh_fec_in!S18)</f>
        <v>4.1378065871014593</v>
      </c>
      <c r="T18" s="137">
        <f>IF(SER_hh_tes_in!T18=0,"",SER_hh_tes_in!T18/SER_hh_fec_in!T18)</f>
        <v>4.20074478263109</v>
      </c>
      <c r="U18" s="137">
        <f>IF(SER_hh_tes_in!U18=0,"",SER_hh_tes_in!U18/SER_hh_fec_in!U18)</f>
        <v>4.2580419352372267</v>
      </c>
      <c r="V18" s="137">
        <f>IF(SER_hh_tes_in!V18=0,"",SER_hh_tes_in!V18/SER_hh_fec_in!V18)</f>
        <v>4.3164626502013945</v>
      </c>
      <c r="W18" s="137">
        <f>IF(SER_hh_tes_in!W18=0,"",SER_hh_tes_in!W18/SER_hh_fec_in!W18)</f>
        <v>4.3736573462048023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0.67818493042920125</v>
      </c>
      <c r="D19" s="136">
        <f>IF(SER_hh_tes_in!D19=0,"",SER_hh_tes_in!D19/SER_hh_fec_in!D19)</f>
        <v>0.72678964335432961</v>
      </c>
      <c r="E19" s="136">
        <f>IF(SER_hh_tes_in!E19=0,"",SER_hh_tes_in!E19/SER_hh_fec_in!E19)</f>
        <v>0.74105503609840984</v>
      </c>
      <c r="F19" s="136">
        <f>IF(SER_hh_tes_in!F19=0,"",SER_hh_tes_in!F19/SER_hh_fec_in!F19)</f>
        <v>0.73361031961455669</v>
      </c>
      <c r="G19" s="136">
        <f>IF(SER_hh_tes_in!G19=0,"",SER_hh_tes_in!G19/SER_hh_fec_in!G19)</f>
        <v>0.72252561434372709</v>
      </c>
      <c r="H19" s="136">
        <f>IF(SER_hh_tes_in!H19=0,"",SER_hh_tes_in!H19/SER_hh_fec_in!H19)</f>
        <v>0.70504988673448166</v>
      </c>
      <c r="I19" s="136">
        <f>IF(SER_hh_tes_in!I19=0,"",SER_hh_tes_in!I19/SER_hh_fec_in!I19)</f>
        <v>0.70538300762246153</v>
      </c>
      <c r="J19" s="136">
        <f>IF(SER_hh_tes_in!J19=0,"",SER_hh_tes_in!J19/SER_hh_fec_in!J19)</f>
        <v>0.69547160353079596</v>
      </c>
      <c r="K19" s="136">
        <f>IF(SER_hh_tes_in!K19=0,"",SER_hh_tes_in!K19/SER_hh_fec_in!K19)</f>
        <v>0.70428554415761302</v>
      </c>
      <c r="L19" s="136">
        <f>IF(SER_hh_tes_in!L19=0,"",SER_hh_tes_in!L19/SER_hh_fec_in!L19)</f>
        <v>0.65925052465907785</v>
      </c>
      <c r="M19" s="136">
        <f>IF(SER_hh_tes_in!M19=0,"",SER_hh_tes_in!M19/SER_hh_fec_in!M19)</f>
        <v>0.71307545990460486</v>
      </c>
      <c r="N19" s="136">
        <f>IF(SER_hh_tes_in!N19=0,"",SER_hh_tes_in!N19/SER_hh_fec_in!N19)</f>
        <v>0.70873128657671847</v>
      </c>
      <c r="O19" s="136">
        <f>IF(SER_hh_tes_in!O19=0,"",SER_hh_tes_in!O19/SER_hh_fec_in!O19)</f>
        <v>0.74534525254759665</v>
      </c>
      <c r="P19" s="136">
        <f>IF(SER_hh_tes_in!P19=0,"",SER_hh_tes_in!P19/SER_hh_fec_in!P19)</f>
        <v>0.77549567836427136</v>
      </c>
      <c r="Q19" s="136">
        <f>IF(SER_hh_tes_in!Q19=0,"",SER_hh_tes_in!Q19/SER_hh_fec_in!Q19)</f>
        <v>0.80283946300664077</v>
      </c>
      <c r="R19" s="136">
        <f>IF(SER_hh_tes_in!R19=0,"",SER_hh_tes_in!R19/SER_hh_fec_in!R19)</f>
        <v>0.81615305144938655</v>
      </c>
      <c r="S19" s="136">
        <f>IF(SER_hh_tes_in!S19=0,"",SER_hh_tes_in!S19/SER_hh_fec_in!S19)</f>
        <v>0.81791978311108771</v>
      </c>
      <c r="T19" s="136">
        <f>IF(SER_hh_tes_in!T19=0,"",SER_hh_tes_in!T19/SER_hh_fec_in!T19)</f>
        <v>0.84820595871651294</v>
      </c>
      <c r="U19" s="136">
        <f>IF(SER_hh_tes_in!U19=0,"",SER_hh_tes_in!U19/SER_hh_fec_in!U19)</f>
        <v>0.86467072963674529</v>
      </c>
      <c r="V19" s="136">
        <f>IF(SER_hh_tes_in!V19=0,"",SER_hh_tes_in!V19/SER_hh_fec_in!V19)</f>
        <v>0.89763969932719501</v>
      </c>
      <c r="W19" s="136">
        <f>IF(SER_hh_tes_in!W19=0,"",SER_hh_tes_in!W19/SER_hh_fec_in!W19)</f>
        <v>0.88919834862967606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0.5526349742403599</v>
      </c>
      <c r="D22" s="137">
        <f>IF(SER_hh_tes_in!D22=0,"",SER_hh_tes_in!D22/SER_hh_fec_in!D22)</f>
        <v>0.55477663914100561</v>
      </c>
      <c r="E22" s="137">
        <f>IF(SER_hh_tes_in!E22=0,"",SER_hh_tes_in!E22/SER_hh_fec_in!E22)</f>
        <v>0.55727284366544416</v>
      </c>
      <c r="F22" s="137">
        <f>IF(SER_hh_tes_in!F22=0,"",SER_hh_tes_in!F22/SER_hh_fec_in!F22)</f>
        <v>0.5598173945022179</v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>
        <f>IF(SER_hh_tes_in!K22=0,"",SER_hh_tes_in!K22/SER_hh_fec_in!K22)</f>
        <v>0.57858968739931904</v>
      </c>
      <c r="L22" s="137">
        <f>IF(SER_hh_tes_in!L22=0,"",SER_hh_tes_in!L22/SER_hh_fec_in!L22)</f>
        <v>0.58458093648443188</v>
      </c>
      <c r="M22" s="137">
        <f>IF(SER_hh_tes_in!M22=0,"",SER_hh_tes_in!M22/SER_hh_fec_in!M22)</f>
        <v>0.59718193706366385</v>
      </c>
      <c r="N22" s="137">
        <f>IF(SER_hh_tes_in!N22=0,"",SER_hh_tes_in!N22/SER_hh_fec_in!N22)</f>
        <v>0.61819086785817401</v>
      </c>
      <c r="O22" s="137">
        <f>IF(SER_hh_tes_in!O22=0,"",SER_hh_tes_in!O22/SER_hh_fec_in!O22)</f>
        <v>0.6491088005396336</v>
      </c>
      <c r="P22" s="137">
        <f>IF(SER_hh_tes_in!P22=0,"",SER_hh_tes_in!P22/SER_hh_fec_in!P22)</f>
        <v>0.68678090400041536</v>
      </c>
      <c r="Q22" s="137">
        <f>IF(SER_hh_tes_in!Q22=0,"",SER_hh_tes_in!Q22/SER_hh_fec_in!Q22)</f>
        <v>0.72098536411921055</v>
      </c>
      <c r="R22" s="137">
        <f>IF(SER_hh_tes_in!R22=0,"",SER_hh_tes_in!R22/SER_hh_fec_in!R22)</f>
        <v>0.74406919033431651</v>
      </c>
      <c r="S22" s="137">
        <f>IF(SER_hh_tes_in!S22=0,"",SER_hh_tes_in!S22/SER_hh_fec_in!S22)</f>
        <v>0.7663136046870801</v>
      </c>
      <c r="T22" s="137">
        <f>IF(SER_hh_tes_in!T22=0,"",SER_hh_tes_in!T22/SER_hh_fec_in!T22)</f>
        <v>0.7864594893839042</v>
      </c>
      <c r="U22" s="137">
        <f>IF(SER_hh_tes_in!U22=0,"",SER_hh_tes_in!U22/SER_hh_fec_in!U22)</f>
        <v>0.80324772663126165</v>
      </c>
      <c r="V22" s="137">
        <f>IF(SER_hh_tes_in!V22=0,"",SER_hh_tes_in!V22/SER_hh_fec_in!V22)</f>
        <v>0.81541919863559575</v>
      </c>
      <c r="W22" s="137">
        <f>IF(SER_hh_tes_in!W22=0,"",SER_hh_tes_in!W22/SER_hh_fec_in!W22)</f>
        <v>0.82114451452196802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0.60267096825196353</v>
      </c>
      <c r="D23" s="137">
        <f>IF(SER_hh_tes_in!D23=0,"",SER_hh_tes_in!D23/SER_hh_fec_in!D23)</f>
        <v>0.60841551216853373</v>
      </c>
      <c r="E23" s="137">
        <f>IF(SER_hh_tes_in!E23=0,"",SER_hh_tes_in!E23/SER_hh_fec_in!E23)</f>
        <v>0.61440843104490106</v>
      </c>
      <c r="F23" s="137">
        <f>IF(SER_hh_tes_in!F23=0,"",SER_hh_tes_in!F23/SER_hh_fec_in!F23)</f>
        <v>0.6204497903695313</v>
      </c>
      <c r="G23" s="137">
        <f>IF(SER_hh_tes_in!G23=0,"",SER_hh_tes_in!G23/SER_hh_fec_in!G23)</f>
        <v>0.62671785954841019</v>
      </c>
      <c r="H23" s="137">
        <f>IF(SER_hh_tes_in!H23=0,"",SER_hh_tes_in!H23/SER_hh_fec_in!H23)</f>
        <v>0.63318850336075838</v>
      </c>
      <c r="I23" s="137">
        <f>IF(SER_hh_tes_in!I23=0,"",SER_hh_tes_in!I23/SER_hh_fec_in!I23)</f>
        <v>0.63990330853145128</v>
      </c>
      <c r="J23" s="137">
        <f>IF(SER_hh_tes_in!J23=0,"",SER_hh_tes_in!J23/SER_hh_fec_in!J23)</f>
        <v>0.64703800491725871</v>
      </c>
      <c r="K23" s="137">
        <f>IF(SER_hh_tes_in!K23=0,"",SER_hh_tes_in!K23/SER_hh_fec_in!K23)</f>
        <v>0.65473912456328831</v>
      </c>
      <c r="L23" s="137">
        <f>IF(SER_hh_tes_in!L23=0,"",SER_hh_tes_in!L23/SER_hh_fec_in!L23)</f>
        <v>0.66304083359812904</v>
      </c>
      <c r="M23" s="137">
        <f>IF(SER_hh_tes_in!M23=0,"",SER_hh_tes_in!M23/SER_hh_fec_in!M23)</f>
        <v>0.67559514911903051</v>
      </c>
      <c r="N23" s="137">
        <f>IF(SER_hh_tes_in!N23=0,"",SER_hh_tes_in!N23/SER_hh_fec_in!N23)</f>
        <v>0.6935261975584629</v>
      </c>
      <c r="O23" s="137">
        <f>IF(SER_hh_tes_in!O23=0,"",SER_hh_tes_in!O23/SER_hh_fec_in!O23)</f>
        <v>0.71766400936182417</v>
      </c>
      <c r="P23" s="137">
        <f>IF(SER_hh_tes_in!P23=0,"",SER_hh_tes_in!P23/SER_hh_fec_in!P23)</f>
        <v>0.74575220788033936</v>
      </c>
      <c r="Q23" s="137">
        <f>IF(SER_hh_tes_in!Q23=0,"",SER_hh_tes_in!Q23/SER_hh_fec_in!Q23)</f>
        <v>0.77071209668168983</v>
      </c>
      <c r="R23" s="137">
        <f>IF(SER_hh_tes_in!R23=0,"",SER_hh_tes_in!R23/SER_hh_fec_in!R23)</f>
        <v>0.78712385486189063</v>
      </c>
      <c r="S23" s="137">
        <f>IF(SER_hh_tes_in!S23=0,"",SER_hh_tes_in!S23/SER_hh_fec_in!S23)</f>
        <v>0.80209852728638165</v>
      </c>
      <c r="T23" s="137" t="str">
        <f>IF(SER_hh_tes_in!T23=0,"",SER_hh_tes_in!T23/SER_hh_fec_in!T23)</f>
        <v/>
      </c>
      <c r="U23" s="137">
        <f>IF(SER_hh_tes_in!U23=0,"",SER_hh_tes_in!U23/SER_hh_fec_in!U23)</f>
        <v>0.82613726704578672</v>
      </c>
      <c r="V23" s="137" t="str">
        <f>IF(SER_hh_tes_in!V23=0,"",SER_hh_tes_in!V23/SER_hh_fec_in!V23)</f>
        <v/>
      </c>
      <c r="W23" s="137">
        <f>IF(SER_hh_tes_in!W23=0,"",SER_hh_tes_in!W23/SER_hh_fec_in!W23)</f>
        <v>0.83850217540329997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0.84331354901041444</v>
      </c>
      <c r="D25" s="137">
        <f>IF(SER_hh_tes_in!D25=0,"",SER_hh_tes_in!D25/SER_hh_fec_in!D25)</f>
        <v>0.84528283660240155</v>
      </c>
      <c r="E25" s="137">
        <f>IF(SER_hh_tes_in!E25=0,"",SER_hh_tes_in!E25/SER_hh_fec_in!E25)</f>
        <v>0.84730528982166975</v>
      </c>
      <c r="F25" s="137">
        <f>IF(SER_hh_tes_in!F25=0,"",SER_hh_tes_in!F25/SER_hh_fec_in!F25)</f>
        <v>0.84933499289920367</v>
      </c>
      <c r="G25" s="137">
        <f>IF(SER_hh_tes_in!G25=0,"",SER_hh_tes_in!G25/SER_hh_fec_in!G25)</f>
        <v>0.85141365839231198</v>
      </c>
      <c r="H25" s="137">
        <f>IF(SER_hh_tes_in!H25=0,"",SER_hh_tes_in!H25/SER_hh_fec_in!H25)</f>
        <v>0.85353618121501118</v>
      </c>
      <c r="I25" s="137">
        <f>IF(SER_hh_tes_in!I25=0,"",SER_hh_tes_in!I25/SER_hh_fec_in!I25)</f>
        <v>0.85571283934264086</v>
      </c>
      <c r="J25" s="137">
        <f>IF(SER_hh_tes_in!J25=0,"",SER_hh_tes_in!J25/SER_hh_fec_in!J25)</f>
        <v>0.85798573801236955</v>
      </c>
      <c r="K25" s="137">
        <f>IF(SER_hh_tes_in!K25=0,"",SER_hh_tes_in!K25/SER_hh_fec_in!K25)</f>
        <v>0.86039067775078437</v>
      </c>
      <c r="L25" s="137">
        <f>IF(SER_hh_tes_in!L25=0,"",SER_hh_tes_in!L25/SER_hh_fec_in!L25)</f>
        <v>0.86293723666649436</v>
      </c>
      <c r="M25" s="137">
        <f>IF(SER_hh_tes_in!M25=0,"",SER_hh_tes_in!M25/SER_hh_fec_in!M25)</f>
        <v>0.86646326540022101</v>
      </c>
      <c r="N25" s="137">
        <f>IF(SER_hh_tes_in!N25=0,"",SER_hh_tes_in!N25/SER_hh_fec_in!N25)</f>
        <v>0.87123367130520979</v>
      </c>
      <c r="O25" s="137">
        <f>IF(SER_hh_tes_in!O25=0,"",SER_hh_tes_in!O25/SER_hh_fec_in!O25)</f>
        <v>0.87748067786662653</v>
      </c>
      <c r="P25" s="137">
        <f>IF(SER_hh_tes_in!P25=0,"",SER_hh_tes_in!P25/SER_hh_fec_in!P25)</f>
        <v>0.88476246287797666</v>
      </c>
      <c r="Q25" s="137">
        <f>IF(SER_hh_tes_in!Q25=0,"",SER_hh_tes_in!Q25/SER_hh_fec_in!Q25)</f>
        <v>0.89163265996213814</v>
      </c>
      <c r="R25" s="137">
        <f>IF(SER_hh_tes_in!R25=0,"",SER_hh_tes_in!R25/SER_hh_fec_in!R25)</f>
        <v>0.89689706268894398</v>
      </c>
      <c r="S25" s="137">
        <f>IF(SER_hh_tes_in!S25=0,"",SER_hh_tes_in!S25/SER_hh_fec_in!S25)</f>
        <v>0.90201844650084717</v>
      </c>
      <c r="T25" s="137">
        <f>IF(SER_hh_tes_in!T25=0,"",SER_hh_tes_in!T25/SER_hh_fec_in!T25)</f>
        <v>0.90696259250714073</v>
      </c>
      <c r="U25" s="137">
        <f>IF(SER_hh_tes_in!U25=0,"",SER_hh_tes_in!U25/SER_hh_fec_in!U25)</f>
        <v>0.91169528181713366</v>
      </c>
      <c r="V25" s="137">
        <f>IF(SER_hh_tes_in!V25=0,"",SER_hh_tes_in!V25/SER_hh_fec_in!V25)</f>
        <v>0.91618229554012875</v>
      </c>
      <c r="W25" s="137">
        <f>IF(SER_hh_tes_in!W25=0,"",SER_hh_tes_in!W25/SER_hh_fec_in!W25)</f>
        <v>0.92031570002919216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0.69786185493421282</v>
      </c>
      <c r="D26" s="138" t="str">
        <f>IF(SER_hh_tes_in!D26=0,"",SER_hh_tes_in!D26/SER_hh_fec_in!D26)</f>
        <v/>
      </c>
      <c r="E26" s="138" t="str">
        <f>IF(SER_hh_tes_in!E26=0,"",SER_hh_tes_in!E26/SER_hh_fec_in!E26)</f>
        <v/>
      </c>
      <c r="F26" s="138" t="str">
        <f>IF(SER_hh_tes_in!F26=0,"",SER_hh_tes_in!F26/SER_hh_fec_in!F26)</f>
        <v/>
      </c>
      <c r="G26" s="138">
        <f>IF(SER_hh_tes_in!G26=0,"",SER_hh_tes_in!G26/SER_hh_fec_in!G26)</f>
        <v>0.70831019715873722</v>
      </c>
      <c r="H26" s="138">
        <f>IF(SER_hh_tes_in!H26=0,"",SER_hh_tes_in!H26/SER_hh_fec_in!H26)</f>
        <v>0.71126691873464665</v>
      </c>
      <c r="I26" s="138">
        <f>IF(SER_hh_tes_in!I26=0,"",SER_hh_tes_in!I26/SER_hh_fec_in!I26)</f>
        <v>0.71441824468144544</v>
      </c>
      <c r="J26" s="138">
        <f>IF(SER_hh_tes_in!J26=0,"",SER_hh_tes_in!J26/SER_hh_fec_in!J26)</f>
        <v>0.71791814446308788</v>
      </c>
      <c r="K26" s="138">
        <f>IF(SER_hh_tes_in!K26=0,"",SER_hh_tes_in!K26/SER_hh_fec_in!K26)</f>
        <v>0.72190306586430786</v>
      </c>
      <c r="L26" s="138">
        <f>IF(SER_hh_tes_in!L26=0,"",SER_hh_tes_in!L26/SER_hh_fec_in!L26)</f>
        <v>0.72642076387032917</v>
      </c>
      <c r="M26" s="138">
        <f>IF(SER_hh_tes_in!M26=0,"",SER_hh_tes_in!M26/SER_hh_fec_in!M26)</f>
        <v>0.73460160471764469</v>
      </c>
      <c r="N26" s="138">
        <f>IF(SER_hh_tes_in!N26=0,"",SER_hh_tes_in!N26/SER_hh_fec_in!N26)</f>
        <v>0.74782102429927699</v>
      </c>
      <c r="O26" s="138">
        <f>IF(SER_hh_tes_in!O26=0,"",SER_hh_tes_in!O26/SER_hh_fec_in!O26)</f>
        <v>0.7678428586909386</v>
      </c>
      <c r="P26" s="138">
        <f>IF(SER_hh_tes_in!P26=0,"",SER_hh_tes_in!P26/SER_hh_fec_in!P26)</f>
        <v>0.79388869502479209</v>
      </c>
      <c r="Q26" s="138">
        <f>IF(SER_hh_tes_in!Q26=0,"",SER_hh_tes_in!Q26/SER_hh_fec_in!Q26)</f>
        <v>0.81944592453656639</v>
      </c>
      <c r="R26" s="138">
        <f>IF(SER_hh_tes_in!R26=0,"",SER_hh_tes_in!R26/SER_hh_fec_in!R26)</f>
        <v>0.83776676958541985</v>
      </c>
      <c r="S26" s="138">
        <f>IF(SER_hh_tes_in!S26=0,"",SER_hh_tes_in!S26/SER_hh_fec_in!S26)</f>
        <v>0.85590699892467281</v>
      </c>
      <c r="T26" s="138">
        <f>IF(SER_hh_tes_in!T26=0,"",SER_hh_tes_in!T26/SER_hh_fec_in!T26)</f>
        <v>0.8734862456418534</v>
      </c>
      <c r="U26" s="138">
        <f>IF(SER_hh_tes_in!U26=0,"",SER_hh_tes_in!U26/SER_hh_fec_in!U26)</f>
        <v>0.88999969230738529</v>
      </c>
      <c r="V26" s="138">
        <f>IF(SER_hh_tes_in!V26=0,"",SER_hh_tes_in!V26/SER_hh_fec_in!V26)</f>
        <v>0.90467284790954361</v>
      </c>
      <c r="W26" s="138">
        <f>IF(SER_hh_tes_in!W26=0,"",SER_hh_tes_in!W26/SER_hh_fec_in!W26)</f>
        <v>0.91622345803232874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0.66432499641567633</v>
      </c>
      <c r="D29" s="136">
        <f>IF(SER_hh_tes_in!D29=0,"",SER_hh_tes_in!D29/SER_hh_fec_in!D29)</f>
        <v>0.71965310980389541</v>
      </c>
      <c r="E29" s="136">
        <f>IF(SER_hh_tes_in!E29=0,"",SER_hh_tes_in!E29/SER_hh_fec_in!E29)</f>
        <v>0.72977507551078613</v>
      </c>
      <c r="F29" s="136">
        <f>IF(SER_hh_tes_in!F29=0,"",SER_hh_tes_in!F29/SER_hh_fec_in!F29)</f>
        <v>0.73322924889880547</v>
      </c>
      <c r="G29" s="136">
        <f>IF(SER_hh_tes_in!G29=0,"",SER_hh_tes_in!G29/SER_hh_fec_in!G29)</f>
        <v>0.72168199566475733</v>
      </c>
      <c r="H29" s="136">
        <f>IF(SER_hh_tes_in!H29=0,"",SER_hh_tes_in!H29/SER_hh_fec_in!H29)</f>
        <v>0.71419217395045931</v>
      </c>
      <c r="I29" s="136">
        <f>IF(SER_hh_tes_in!I29=0,"",SER_hh_tes_in!I29/SER_hh_fec_in!I29)</f>
        <v>0.73294377471284966</v>
      </c>
      <c r="J29" s="136">
        <f>IF(SER_hh_tes_in!J29=0,"",SER_hh_tes_in!J29/SER_hh_fec_in!J29)</f>
        <v>0.73997949897197246</v>
      </c>
      <c r="K29" s="136">
        <f>IF(SER_hh_tes_in!K29=0,"",SER_hh_tes_in!K29/SER_hh_fec_in!K29)</f>
        <v>0.6028879710025864</v>
      </c>
      <c r="L29" s="136">
        <f>IF(SER_hh_tes_in!L29=0,"",SER_hh_tes_in!L29/SER_hh_fec_in!L29)</f>
        <v>0.62457697578610627</v>
      </c>
      <c r="M29" s="136">
        <f>IF(SER_hh_tes_in!M29=0,"",SER_hh_tes_in!M29/SER_hh_fec_in!M29)</f>
        <v>0.69923196084627603</v>
      </c>
      <c r="N29" s="136">
        <f>IF(SER_hh_tes_in!N29=0,"",SER_hh_tes_in!N29/SER_hh_fec_in!N29)</f>
        <v>0.76021910274582882</v>
      </c>
      <c r="O29" s="136">
        <f>IF(SER_hh_tes_in!O29=0,"",SER_hh_tes_in!O29/SER_hh_fec_in!O29)</f>
        <v>0.76852088353540915</v>
      </c>
      <c r="P29" s="136">
        <f>IF(SER_hh_tes_in!P29=0,"",SER_hh_tes_in!P29/SER_hh_fec_in!P29)</f>
        <v>0.78651550147756855</v>
      </c>
      <c r="Q29" s="136">
        <f>IF(SER_hh_tes_in!Q29=0,"",SER_hh_tes_in!Q29/SER_hh_fec_in!Q29)</f>
        <v>0.77665384777219404</v>
      </c>
      <c r="R29" s="136">
        <f>IF(SER_hh_tes_in!R29=0,"",SER_hh_tes_in!R29/SER_hh_fec_in!R29)</f>
        <v>0.7803300686566349</v>
      </c>
      <c r="S29" s="136">
        <f>IF(SER_hh_tes_in!S29=0,"",SER_hh_tes_in!S29/SER_hh_fec_in!S29)</f>
        <v>0.80263870430663664</v>
      </c>
      <c r="T29" s="136">
        <f>IF(SER_hh_tes_in!T29=0,"",SER_hh_tes_in!T29/SER_hh_fec_in!T29)</f>
        <v>0.78305801566030453</v>
      </c>
      <c r="U29" s="136">
        <f>IF(SER_hh_tes_in!U29=0,"",SER_hh_tes_in!U29/SER_hh_fec_in!U29)</f>
        <v>0.79681600708077505</v>
      </c>
      <c r="V29" s="136">
        <f>IF(SER_hh_tes_in!V29=0,"",SER_hh_tes_in!V29/SER_hh_fec_in!V29)</f>
        <v>0.7859573019959939</v>
      </c>
      <c r="W29" s="136">
        <f>IF(SER_hh_tes_in!W29=0,"",SER_hh_tes_in!W29/SER_hh_fec_in!W29)</f>
        <v>0.77499119414253337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0.59928723475531243</v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>
        <f>IF(SER_hh_tes_in!K30=0,"",SER_hh_tes_in!K30/SER_hh_fec_in!K30)</f>
        <v>0.6023693441425404</v>
      </c>
      <c r="L30" s="137">
        <f>IF(SER_hh_tes_in!L30=0,"",SER_hh_tes_in!L30/SER_hh_fec_in!L30)</f>
        <v>0.60271057966825303</v>
      </c>
      <c r="M30" s="137">
        <f>IF(SER_hh_tes_in!M30=0,"",SER_hh_tes_in!M30/SER_hh_fec_in!M30)</f>
        <v>0.60289420955976447</v>
      </c>
      <c r="N30" s="137">
        <f>IF(SER_hh_tes_in!N30=0,"",SER_hh_tes_in!N30/SER_hh_fec_in!N30)</f>
        <v>0.60289420955976447</v>
      </c>
      <c r="O30" s="137">
        <f>IF(SER_hh_tes_in!O30=0,"",SER_hh_tes_in!O30/SER_hh_fec_in!O30)</f>
        <v>0.60289420955976447</v>
      </c>
      <c r="P30" s="137">
        <f>IF(SER_hh_tes_in!P30=0,"",SER_hh_tes_in!P30/SER_hh_fec_in!P30)</f>
        <v>0.60289420955976447</v>
      </c>
      <c r="Q30" s="137">
        <f>IF(SER_hh_tes_in!Q30=0,"",SER_hh_tes_in!Q30/SER_hh_fec_in!Q30)</f>
        <v>0.60289420955976447</v>
      </c>
      <c r="R30" s="137">
        <f>IF(SER_hh_tes_in!R30=0,"",SER_hh_tes_in!R30/SER_hh_fec_in!R30)</f>
        <v>0.60405432784587343</v>
      </c>
      <c r="S30" s="137">
        <f>IF(SER_hh_tes_in!S30=0,"",SER_hh_tes_in!S30/SER_hh_fec_in!S30)</f>
        <v>0.60595138409663363</v>
      </c>
      <c r="T30" s="137">
        <f>IF(SER_hh_tes_in!T30=0,"",SER_hh_tes_in!T30/SER_hh_fec_in!T30)</f>
        <v>0.60816461638918529</v>
      </c>
      <c r="U30" s="137">
        <f>IF(SER_hh_tes_in!U30=0,"",SER_hh_tes_in!U30/SER_hh_fec_in!U30)</f>
        <v>0.61045689269218595</v>
      </c>
      <c r="V30" s="137">
        <f>IF(SER_hh_tes_in!V30=0,"",SER_hh_tes_in!V30/SER_hh_fec_in!V30)</f>
        <v>0.61259108097428994</v>
      </c>
      <c r="W30" s="137">
        <f>IF(SER_hh_tes_in!W30=0,"",SER_hh_tes_in!W30/SER_hh_fec_in!W30)</f>
        <v>0.61456718123549636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0.60237711765701574</v>
      </c>
      <c r="D31" s="137">
        <f>IF(SER_hh_tes_in!D31=0,"",SER_hh_tes_in!D31/SER_hh_fec_in!D31)</f>
        <v>0.60293071529618736</v>
      </c>
      <c r="E31" s="137">
        <f>IF(SER_hh_tes_in!E31=0,"",SER_hh_tes_in!E31/SER_hh_fec_in!E31)</f>
        <v>0.60347650552153154</v>
      </c>
      <c r="F31" s="137">
        <f>IF(SER_hh_tes_in!F31=0,"",SER_hh_tes_in!F31/SER_hh_fec_in!F31)</f>
        <v>0.60402123109953565</v>
      </c>
      <c r="G31" s="137">
        <f>IF(SER_hh_tes_in!G31=0,"",SER_hh_tes_in!G31/SER_hh_fec_in!G31)</f>
        <v>0.60455876650862939</v>
      </c>
      <c r="H31" s="137">
        <f>IF(SER_hh_tes_in!H31=0,"",SER_hh_tes_in!H31/SER_hh_fec_in!H31)</f>
        <v>0.60508986143467103</v>
      </c>
      <c r="I31" s="137">
        <f>IF(SER_hh_tes_in!I31=0,"",SER_hh_tes_in!I31/SER_hh_fec_in!I31)</f>
        <v>0.60561300654896633</v>
      </c>
      <c r="J31" s="137">
        <f>IF(SER_hh_tes_in!J31=0,"",SER_hh_tes_in!J31/SER_hh_fec_in!J31)</f>
        <v>0.6061220186646018</v>
      </c>
      <c r="K31" s="137">
        <f>IF(SER_hh_tes_in!K31=0,"",SER_hh_tes_in!K31/SER_hh_fec_in!K31)</f>
        <v>0.60661164044632898</v>
      </c>
      <c r="L31" s="137">
        <f>IF(SER_hh_tes_in!L31=0,"",SER_hh_tes_in!L31/SER_hh_fec_in!L31)</f>
        <v>0.60708046534142879</v>
      </c>
      <c r="M31" s="137">
        <f>IF(SER_hh_tes_in!M31=0,"",SER_hh_tes_in!M31/SER_hh_fec_in!M31)</f>
        <v>0.60733275520616448</v>
      </c>
      <c r="N31" s="137">
        <f>IF(SER_hh_tes_in!N31=0,"",SER_hh_tes_in!N31/SER_hh_fec_in!N31)</f>
        <v>0.60733275520616448</v>
      </c>
      <c r="O31" s="137">
        <f>IF(SER_hh_tes_in!O31=0,"",SER_hh_tes_in!O31/SER_hh_fec_in!O31)</f>
        <v>0.60733275520616448</v>
      </c>
      <c r="P31" s="137">
        <f>IF(SER_hh_tes_in!P31=0,"",SER_hh_tes_in!P31/SER_hh_fec_in!P31)</f>
        <v>0.60733275520616448</v>
      </c>
      <c r="Q31" s="137">
        <f>IF(SER_hh_tes_in!Q31=0,"",SER_hh_tes_in!Q31/SER_hh_fec_in!Q31)</f>
        <v>0.60733275520616448</v>
      </c>
      <c r="R31" s="137">
        <f>IF(SER_hh_tes_in!R31=0,"",SER_hh_tes_in!R31/SER_hh_fec_in!R31)</f>
        <v>0.60892664650060879</v>
      </c>
      <c r="S31" s="137">
        <f>IF(SER_hh_tes_in!S31=0,"",SER_hh_tes_in!S31/SER_hh_fec_in!S31)</f>
        <v>0.61153301990180664</v>
      </c>
      <c r="T31" s="137">
        <f>IF(SER_hh_tes_in!T31=0,"",SER_hh_tes_in!T31/SER_hh_fec_in!T31)</f>
        <v>0.61457378886986846</v>
      </c>
      <c r="U31" s="137">
        <f>IF(SER_hh_tes_in!U31=0,"",SER_hh_tes_in!U31/SER_hh_fec_in!U31)</f>
        <v>0.61772315672964739</v>
      </c>
      <c r="V31" s="137">
        <f>IF(SER_hh_tes_in!V31=0,"",SER_hh_tes_in!V31/SER_hh_fec_in!V31)</f>
        <v>0.62065532680599322</v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0.7918018185403739</v>
      </c>
      <c r="D33" s="150">
        <f>IF(SER_hh_tes_in!D33=0,"",SER_hh_tes_in!D33/SER_hh_fec_in!D33)</f>
        <v>0.79280920675508559</v>
      </c>
      <c r="E33" s="150">
        <f>IF(SER_hh_tes_in!E33=0,"",SER_hh_tes_in!E33/SER_hh_fec_in!E33)</f>
        <v>0.79385384574425277</v>
      </c>
      <c r="F33" s="150">
        <f>IF(SER_hh_tes_in!F33=0,"",SER_hh_tes_in!F33/SER_hh_fec_in!F33)</f>
        <v>0.79490356438448195</v>
      </c>
      <c r="G33" s="150">
        <f>IF(SER_hh_tes_in!G33=0,"",SER_hh_tes_in!G33/SER_hh_fec_in!G33)</f>
        <v>0.79598758879692977</v>
      </c>
      <c r="H33" s="150">
        <f>IF(SER_hh_tes_in!H33=0,"",SER_hh_tes_in!H33/SER_hh_fec_in!H33)</f>
        <v>0.79710234207643604</v>
      </c>
      <c r="I33" s="150">
        <f>IF(SER_hh_tes_in!I33=0,"",SER_hh_tes_in!I33/SER_hh_fec_in!I33)</f>
        <v>0.79825502554010785</v>
      </c>
      <c r="J33" s="150">
        <f>IF(SER_hh_tes_in!J33=0,"",SER_hh_tes_in!J33/SER_hh_fec_in!J33)</f>
        <v>0.79947514044229606</v>
      </c>
      <c r="K33" s="150" t="str">
        <f>IF(SER_hh_tes_in!K33=0,"",SER_hh_tes_in!K33/SER_hh_fec_in!K33)</f>
        <v/>
      </c>
      <c r="L33" s="150">
        <f>IF(SER_hh_tes_in!L33=0,"",SER_hh_tes_in!L33/SER_hh_fec_in!L33)</f>
        <v>0.80219962699190084</v>
      </c>
      <c r="M33" s="150">
        <f>IF(SER_hh_tes_in!M33=0,"",SER_hh_tes_in!M33/SER_hh_fec_in!M33)</f>
        <v>0.80412050316151107</v>
      </c>
      <c r="N33" s="150">
        <f>IF(SER_hh_tes_in!N33=0,"",SER_hh_tes_in!N33/SER_hh_fec_in!N33)</f>
        <v>0.80666659759895931</v>
      </c>
      <c r="O33" s="150">
        <f>IF(SER_hh_tes_in!O33=0,"",SER_hh_tes_in!O33/SER_hh_fec_in!O33)</f>
        <v>0.81012044449128129</v>
      </c>
      <c r="P33" s="150">
        <f>IF(SER_hh_tes_in!P33=0,"",SER_hh_tes_in!P33/SER_hh_fec_in!P33)</f>
        <v>0.81463043334353724</v>
      </c>
      <c r="Q33" s="150">
        <f>IF(SER_hh_tes_in!Q33=0,"",SER_hh_tes_in!Q33/SER_hh_fec_in!Q33)</f>
        <v>0.82044320809514815</v>
      </c>
      <c r="R33" s="150">
        <f>IF(SER_hh_tes_in!R33=0,"",SER_hh_tes_in!R33/SER_hh_fec_in!R33)</f>
        <v>0.8283505918450258</v>
      </c>
      <c r="S33" s="150">
        <f>IF(SER_hh_tes_in!S33=0,"",SER_hh_tes_in!S33/SER_hh_fec_in!S33)</f>
        <v>0.83821974635573682</v>
      </c>
      <c r="T33" s="150">
        <f>IF(SER_hh_tes_in!T33=0,"",SER_hh_tes_in!T33/SER_hh_fec_in!T33)</f>
        <v>0.84883068806233397</v>
      </c>
      <c r="U33" s="150">
        <f>IF(SER_hh_tes_in!U33=0,"",SER_hh_tes_in!U33/SER_hh_fec_in!U33)</f>
        <v>0.85896343339990078</v>
      </c>
      <c r="V33" s="150">
        <f>IF(SER_hh_tes_in!V33=0,"",SER_hh_tes_in!V33/SER_hh_fec_in!V33)</f>
        <v>0.86739799880350632</v>
      </c>
      <c r="W33" s="150">
        <f>IF(SER_hh_tes_in!W33=0,"",SER_hh_tes_in!W33/SER_hh_fec_in!W33)</f>
        <v>0.87370584339335811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4.0323812910432624</v>
      </c>
      <c r="D3" s="126">
        <f t="shared" si="0"/>
        <v>3.0004692695400133</v>
      </c>
      <c r="E3" s="126">
        <f t="shared" si="0"/>
        <v>0.42257513260190538</v>
      </c>
      <c r="F3" s="126">
        <f t="shared" si="0"/>
        <v>1.6083834213956467</v>
      </c>
      <c r="G3" s="126">
        <f t="shared" si="0"/>
        <v>3.0865937133328281</v>
      </c>
      <c r="H3" s="126">
        <f t="shared" si="0"/>
        <v>3.5933618773450262</v>
      </c>
      <c r="I3" s="126">
        <f t="shared" si="0"/>
        <v>3.1646317673408269</v>
      </c>
      <c r="J3" s="126">
        <f t="shared" si="0"/>
        <v>3.8389907463510178</v>
      </c>
      <c r="K3" s="126">
        <f t="shared" si="0"/>
        <v>5.3099799248698272</v>
      </c>
      <c r="L3" s="126">
        <f t="shared" si="0"/>
        <v>5.0286495999943099</v>
      </c>
      <c r="M3" s="126">
        <f t="shared" si="0"/>
        <v>7.3451132099016085</v>
      </c>
      <c r="N3" s="126">
        <f t="shared" si="0"/>
        <v>7.8229324770468169</v>
      </c>
      <c r="O3" s="126">
        <f t="shared" si="0"/>
        <v>10.800688964475611</v>
      </c>
      <c r="P3" s="126">
        <f t="shared" si="0"/>
        <v>10.175773889477082</v>
      </c>
      <c r="Q3" s="126">
        <f t="shared" si="0"/>
        <v>10.049213365390791</v>
      </c>
      <c r="R3" s="126">
        <f t="shared" ref="R3:W3" si="1">SUM(R4,R16,R19,R29)</f>
        <v>8.1135673167128406</v>
      </c>
      <c r="S3" s="126">
        <f t="shared" si="1"/>
        <v>7.9736131940550976</v>
      </c>
      <c r="T3" s="126">
        <f t="shared" si="1"/>
        <v>4.0130878582283858</v>
      </c>
      <c r="U3" s="126">
        <f t="shared" si="1"/>
        <v>2.9173604167141423</v>
      </c>
      <c r="V3" s="126">
        <f t="shared" si="1"/>
        <v>1.8183386072418748</v>
      </c>
      <c r="W3" s="126">
        <f t="shared" si="1"/>
        <v>3.4095313706574006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3.0694565069023074</v>
      </c>
      <c r="D4" s="131">
        <f t="shared" si="2"/>
        <v>2.2374414886362395</v>
      </c>
      <c r="E4" s="131">
        <f t="shared" si="2"/>
        <v>0</v>
      </c>
      <c r="F4" s="131">
        <f t="shared" si="2"/>
        <v>0.85629105270431571</v>
      </c>
      <c r="G4" s="131">
        <f t="shared" si="2"/>
        <v>2.2443644286799151</v>
      </c>
      <c r="H4" s="131">
        <f t="shared" si="2"/>
        <v>2.9970549850284214</v>
      </c>
      <c r="I4" s="131">
        <f t="shared" si="2"/>
        <v>2.5970022733997102</v>
      </c>
      <c r="J4" s="131">
        <f t="shared" si="2"/>
        <v>3.2546843426001488</v>
      </c>
      <c r="K4" s="131">
        <f t="shared" si="2"/>
        <v>3.5522399459902765</v>
      </c>
      <c r="L4" s="131">
        <f t="shared" si="2"/>
        <v>3.6436492619547471</v>
      </c>
      <c r="M4" s="131">
        <f t="shared" si="2"/>
        <v>5.6593535361851561</v>
      </c>
      <c r="N4" s="131">
        <f t="shared" si="2"/>
        <v>6.4743747603432116</v>
      </c>
      <c r="O4" s="131">
        <f t="shared" si="2"/>
        <v>9.3687678032998853</v>
      </c>
      <c r="P4" s="131">
        <f t="shared" si="2"/>
        <v>8.6499762474669328</v>
      </c>
      <c r="Q4" s="131">
        <f t="shared" si="2"/>
        <v>8.5809553583334601</v>
      </c>
      <c r="R4" s="131">
        <f t="shared" ref="R4:W4" si="3">SUM(R5:R15)</f>
        <v>6.435893677007825</v>
      </c>
      <c r="S4" s="131">
        <f t="shared" si="3"/>
        <v>6.1910188526724621</v>
      </c>
      <c r="T4" s="131">
        <f t="shared" si="3"/>
        <v>2.433090211408186</v>
      </c>
      <c r="U4" s="131">
        <f t="shared" si="3"/>
        <v>1.4609890275436468</v>
      </c>
      <c r="V4" s="131">
        <f t="shared" si="3"/>
        <v>0.76281780612014038</v>
      </c>
      <c r="W4" s="131">
        <f t="shared" si="3"/>
        <v>1.7945392491341645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1.4055371050841408</v>
      </c>
      <c r="D7" s="133">
        <v>1.0366024743571296</v>
      </c>
      <c r="E7" s="133">
        <v>0</v>
      </c>
      <c r="F7" s="133">
        <v>0.17497092199445621</v>
      </c>
      <c r="G7" s="133">
        <v>0</v>
      </c>
      <c r="H7" s="133">
        <v>0</v>
      </c>
      <c r="I7" s="133">
        <v>0</v>
      </c>
      <c r="J7" s="133">
        <v>0</v>
      </c>
      <c r="K7" s="133">
        <v>1.0213751450279445</v>
      </c>
      <c r="L7" s="133">
        <v>3.4998233584322382</v>
      </c>
      <c r="M7" s="133">
        <v>4.0753487811592848</v>
      </c>
      <c r="N7" s="133">
        <v>3.1749569056685898</v>
      </c>
      <c r="O7" s="133">
        <v>5.2445727817825487</v>
      </c>
      <c r="P7" s="133">
        <v>5.2446081995797691</v>
      </c>
      <c r="Q7" s="133">
        <v>7.024322186555203</v>
      </c>
      <c r="R7" s="133">
        <v>5.1664889983177957</v>
      </c>
      <c r="S7" s="133">
        <v>6.1910188526724621</v>
      </c>
      <c r="T7" s="133">
        <v>2.433090211408186</v>
      </c>
      <c r="U7" s="133">
        <v>1.4265920009250594</v>
      </c>
      <c r="V7" s="133">
        <v>0.76281780612014038</v>
      </c>
      <c r="W7" s="133">
        <v>0.35304999238635998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1.6639194018181664</v>
      </c>
      <c r="D9" s="133">
        <v>1.2008390142791097</v>
      </c>
      <c r="E9" s="133">
        <v>0</v>
      </c>
      <c r="F9" s="133">
        <v>0.68132013070985953</v>
      </c>
      <c r="G9" s="133">
        <v>2.2443644286799151</v>
      </c>
      <c r="H9" s="133">
        <v>2.9970549850284214</v>
      </c>
      <c r="I9" s="133">
        <v>2.5970022733997102</v>
      </c>
      <c r="J9" s="133">
        <v>3.2546843426001488</v>
      </c>
      <c r="K9" s="133">
        <v>2.5308648009623318</v>
      </c>
      <c r="L9" s="133">
        <v>0.1438259035225091</v>
      </c>
      <c r="M9" s="133">
        <v>1.5840047550258709</v>
      </c>
      <c r="N9" s="133">
        <v>3.2994178546746222</v>
      </c>
      <c r="O9" s="133">
        <v>4.1241950215173375</v>
      </c>
      <c r="P9" s="133">
        <v>3.4053680478871637</v>
      </c>
      <c r="Q9" s="133">
        <v>1.5566331717782567</v>
      </c>
      <c r="R9" s="133">
        <v>1.2694046786900295</v>
      </c>
      <c r="S9" s="133">
        <v>0</v>
      </c>
      <c r="T9" s="133">
        <v>0</v>
      </c>
      <c r="U9" s="133">
        <v>3.4397026618587415E-2</v>
      </c>
      <c r="V9" s="133">
        <v>0</v>
      </c>
      <c r="W9" s="133">
        <v>1.4414892567478046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2.5956549238495539E-3</v>
      </c>
      <c r="D16" s="131">
        <f t="shared" si="4"/>
        <v>4.4257562819732671E-3</v>
      </c>
      <c r="E16" s="131">
        <f t="shared" si="4"/>
        <v>0</v>
      </c>
      <c r="F16" s="131">
        <f t="shared" si="4"/>
        <v>9.2666573905185578E-3</v>
      </c>
      <c r="G16" s="131">
        <f t="shared" si="4"/>
        <v>2.6190089346726352E-3</v>
      </c>
      <c r="H16" s="131">
        <f t="shared" si="4"/>
        <v>4.143445173861812E-3</v>
      </c>
      <c r="I16" s="131">
        <f t="shared" si="4"/>
        <v>7.3303249270856288E-3</v>
      </c>
      <c r="J16" s="131">
        <f t="shared" si="4"/>
        <v>3.043996200047958E-3</v>
      </c>
      <c r="K16" s="131">
        <f t="shared" si="4"/>
        <v>5.0046274658404931E-3</v>
      </c>
      <c r="L16" s="131">
        <f t="shared" si="4"/>
        <v>2.9244497521301429E-3</v>
      </c>
      <c r="M16" s="131">
        <f t="shared" si="4"/>
        <v>9.8808954719612312E-3</v>
      </c>
      <c r="N16" s="131">
        <f t="shared" si="4"/>
        <v>9.8729008577797331E-3</v>
      </c>
      <c r="O16" s="131">
        <f t="shared" si="4"/>
        <v>2.1957093056871931E-2</v>
      </c>
      <c r="P16" s="131">
        <f t="shared" si="4"/>
        <v>3.9491049044139484E-2</v>
      </c>
      <c r="Q16" s="131">
        <f t="shared" si="4"/>
        <v>3.0177291723549469E-2</v>
      </c>
      <c r="R16" s="131">
        <f t="shared" ref="R16:W16" si="5">SUM(R17:R18)</f>
        <v>6.5494322531948188E-2</v>
      </c>
      <c r="S16" s="131">
        <f t="shared" si="5"/>
        <v>3.4706281548001733E-2</v>
      </c>
      <c r="T16" s="131">
        <f t="shared" si="5"/>
        <v>1.825116256474734E-2</v>
      </c>
      <c r="U16" s="131">
        <f t="shared" si="5"/>
        <v>3.1503178254834993E-2</v>
      </c>
      <c r="V16" s="131">
        <f t="shared" si="5"/>
        <v>3.3876186418074147E-2</v>
      </c>
      <c r="W16" s="131">
        <f t="shared" si="5"/>
        <v>2.394592209013581E-2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2.5956549238495539E-3</v>
      </c>
      <c r="D17" s="133">
        <v>4.4257562819732671E-3</v>
      </c>
      <c r="E17" s="133">
        <v>0</v>
      </c>
      <c r="F17" s="133">
        <v>9.2666573905185578E-3</v>
      </c>
      <c r="G17" s="133">
        <v>2.6190089346726352E-3</v>
      </c>
      <c r="H17" s="133">
        <v>4.143445173861812E-3</v>
      </c>
      <c r="I17" s="133">
        <v>7.3303249270856288E-3</v>
      </c>
      <c r="J17" s="133">
        <v>3.043996200047958E-3</v>
      </c>
      <c r="K17" s="133">
        <v>5.0046274658404931E-3</v>
      </c>
      <c r="L17" s="133">
        <v>2.9244497521301429E-3</v>
      </c>
      <c r="M17" s="133">
        <v>9.8808954719612312E-3</v>
      </c>
      <c r="N17" s="133">
        <v>9.8729008577797331E-3</v>
      </c>
      <c r="O17" s="133">
        <v>2.1957093056871931E-2</v>
      </c>
      <c r="P17" s="133">
        <v>3.9491049044139484E-2</v>
      </c>
      <c r="Q17" s="133">
        <v>3.0177291723549469E-2</v>
      </c>
      <c r="R17" s="133">
        <v>6.5494322531948188E-2</v>
      </c>
      <c r="S17" s="133">
        <v>3.4706281548001733E-2</v>
      </c>
      <c r="T17" s="133">
        <v>1.825116256474734E-2</v>
      </c>
      <c r="U17" s="133">
        <v>3.1503178254834993E-2</v>
      </c>
      <c r="V17" s="133">
        <v>3.3876186418074147E-2</v>
      </c>
      <c r="W17" s="133">
        <v>2.394592209013581E-2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0.38231947643000652</v>
      </c>
      <c r="D19" s="131">
        <f t="shared" si="6"/>
        <v>0.39940839749837198</v>
      </c>
      <c r="E19" s="131">
        <f t="shared" si="6"/>
        <v>0.23282303313235483</v>
      </c>
      <c r="F19" s="131">
        <f t="shared" si="6"/>
        <v>0.42915887918278572</v>
      </c>
      <c r="G19" s="131">
        <f t="shared" si="6"/>
        <v>0.38101745381289676</v>
      </c>
      <c r="H19" s="131">
        <f t="shared" si="6"/>
        <v>0.18970133795017349</v>
      </c>
      <c r="I19" s="131">
        <f t="shared" si="6"/>
        <v>0.22523779233882329</v>
      </c>
      <c r="J19" s="131">
        <f t="shared" si="6"/>
        <v>0.31888424507136759</v>
      </c>
      <c r="K19" s="131">
        <f t="shared" si="6"/>
        <v>0.27120903841625837</v>
      </c>
      <c r="L19" s="131">
        <f t="shared" si="6"/>
        <v>0.53168755310490812</v>
      </c>
      <c r="M19" s="131">
        <f t="shared" si="6"/>
        <v>0.61353824506907695</v>
      </c>
      <c r="N19" s="131">
        <f t="shared" si="6"/>
        <v>0.92466269406520163</v>
      </c>
      <c r="O19" s="131">
        <f t="shared" si="6"/>
        <v>0.9538375908303689</v>
      </c>
      <c r="P19" s="131">
        <f t="shared" si="6"/>
        <v>1.146902084908604</v>
      </c>
      <c r="Q19" s="131">
        <f t="shared" si="6"/>
        <v>0.96225184925697904</v>
      </c>
      <c r="R19" s="131">
        <f t="shared" ref="R19:W19" si="7">SUM(R20:R27)</f>
        <v>1.0466831708070226</v>
      </c>
      <c r="S19" s="131">
        <f t="shared" si="7"/>
        <v>1.357375632192608</v>
      </c>
      <c r="T19" s="131">
        <f t="shared" si="7"/>
        <v>0.83130874982853487</v>
      </c>
      <c r="U19" s="131">
        <f t="shared" si="7"/>
        <v>0.74707225359055196</v>
      </c>
      <c r="V19" s="131">
        <f t="shared" si="7"/>
        <v>0.21262355919647741</v>
      </c>
      <c r="W19" s="131">
        <f t="shared" si="7"/>
        <v>0.47855009282825722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0.19431960910282642</v>
      </c>
      <c r="D22" s="133">
        <v>0.18623704489502144</v>
      </c>
      <c r="E22" s="133">
        <v>9.6326876602624373E-2</v>
      </c>
      <c r="F22" s="133">
        <v>0.12380433383612996</v>
      </c>
      <c r="G22" s="133">
        <v>0</v>
      </c>
      <c r="H22" s="133">
        <v>0</v>
      </c>
      <c r="I22" s="133">
        <v>0</v>
      </c>
      <c r="J22" s="133">
        <v>0</v>
      </c>
      <c r="K22" s="133">
        <v>5.0199918642638647E-2</v>
      </c>
      <c r="L22" s="133">
        <v>0.30964499659613687</v>
      </c>
      <c r="M22" s="133">
        <v>0.31131196692114887</v>
      </c>
      <c r="N22" s="133">
        <v>0.62143573127308571</v>
      </c>
      <c r="O22" s="133">
        <v>0.45465370223693868</v>
      </c>
      <c r="P22" s="133">
        <v>0.45230463572979918</v>
      </c>
      <c r="Q22" s="133">
        <v>0.42003231262531759</v>
      </c>
      <c r="R22" s="133">
        <v>0.59447048153418136</v>
      </c>
      <c r="S22" s="133">
        <v>1.2065070489845997</v>
      </c>
      <c r="T22" s="133">
        <v>0.83130874982853487</v>
      </c>
      <c r="U22" s="133">
        <v>0.73016062066687371</v>
      </c>
      <c r="V22" s="133">
        <v>0.21262355919647741</v>
      </c>
      <c r="W22" s="133">
        <v>0.25376574890644088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0.18799986732718008</v>
      </c>
      <c r="D23" s="133">
        <v>0.21317135260335054</v>
      </c>
      <c r="E23" s="133">
        <v>0.13649615652973046</v>
      </c>
      <c r="F23" s="133">
        <v>0.30535454534665574</v>
      </c>
      <c r="G23" s="133">
        <v>0.38101745381289676</v>
      </c>
      <c r="H23" s="133">
        <v>0.18970133795017349</v>
      </c>
      <c r="I23" s="133">
        <v>0.22523779233882329</v>
      </c>
      <c r="J23" s="133">
        <v>0.31888424507136759</v>
      </c>
      <c r="K23" s="133">
        <v>0.22100911977361973</v>
      </c>
      <c r="L23" s="133">
        <v>0.22204255650877128</v>
      </c>
      <c r="M23" s="133">
        <v>0.30222627814792813</v>
      </c>
      <c r="N23" s="133">
        <v>0.30322696279211597</v>
      </c>
      <c r="O23" s="133">
        <v>0.49918388859343016</v>
      </c>
      <c r="P23" s="133">
        <v>0.69459744917880495</v>
      </c>
      <c r="Q23" s="133">
        <v>0.54221953663166145</v>
      </c>
      <c r="R23" s="133">
        <v>0.45221268927284114</v>
      </c>
      <c r="S23" s="133">
        <v>0.15086858320800825</v>
      </c>
      <c r="T23" s="133">
        <v>0</v>
      </c>
      <c r="U23" s="133">
        <v>1.6911632923678213E-2</v>
      </c>
      <c r="V23" s="133">
        <v>0</v>
      </c>
      <c r="W23" s="133">
        <v>0.22478434392181637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0.5780096527870987</v>
      </c>
      <c r="D29" s="131">
        <f t="shared" si="8"/>
        <v>0.35919362712342817</v>
      </c>
      <c r="E29" s="131">
        <f t="shared" si="8"/>
        <v>0.18975209946955052</v>
      </c>
      <c r="F29" s="131">
        <f t="shared" si="8"/>
        <v>0.31366683211802671</v>
      </c>
      <c r="G29" s="131">
        <f t="shared" si="8"/>
        <v>0.45859282190534317</v>
      </c>
      <c r="H29" s="131">
        <f t="shared" si="8"/>
        <v>0.40246210919256964</v>
      </c>
      <c r="I29" s="131">
        <f t="shared" si="8"/>
        <v>0.33506137667520736</v>
      </c>
      <c r="J29" s="131">
        <f t="shared" si="8"/>
        <v>0.26237816247945345</v>
      </c>
      <c r="K29" s="131">
        <f t="shared" si="8"/>
        <v>1.4815263129974516</v>
      </c>
      <c r="L29" s="131">
        <f t="shared" si="8"/>
        <v>0.85038833518252388</v>
      </c>
      <c r="M29" s="131">
        <f t="shared" si="8"/>
        <v>1.0623405331754137</v>
      </c>
      <c r="N29" s="131">
        <f t="shared" si="8"/>
        <v>0.41402212178062359</v>
      </c>
      <c r="O29" s="131">
        <f t="shared" si="8"/>
        <v>0.4561264772884856</v>
      </c>
      <c r="P29" s="131">
        <f t="shared" si="8"/>
        <v>0.33940450805740674</v>
      </c>
      <c r="Q29" s="131">
        <f t="shared" si="8"/>
        <v>0.47582886607680064</v>
      </c>
      <c r="R29" s="131">
        <f t="shared" ref="R29:W29" si="9">SUM(R30:R33)</f>
        <v>0.56549614636604495</v>
      </c>
      <c r="S29" s="131">
        <f t="shared" si="9"/>
        <v>0.39051242764202643</v>
      </c>
      <c r="T29" s="131">
        <f t="shared" si="9"/>
        <v>0.73043773442691773</v>
      </c>
      <c r="U29" s="131">
        <f t="shared" si="9"/>
        <v>0.67779595732510878</v>
      </c>
      <c r="V29" s="131">
        <f t="shared" si="9"/>
        <v>0.80902105550718273</v>
      </c>
      <c r="W29" s="131">
        <f t="shared" si="9"/>
        <v>1.1124961066048429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0.15291264460605283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1.3191283551534654</v>
      </c>
      <c r="L30" s="133">
        <v>0.59017882891687956</v>
      </c>
      <c r="M30" s="133">
        <v>0.75670929325159042</v>
      </c>
      <c r="N30" s="133">
        <v>6.7213206962490474E-2</v>
      </c>
      <c r="O30" s="133">
        <v>8.0176851886784459E-2</v>
      </c>
      <c r="P30" s="133">
        <v>5.1977432523452438E-2</v>
      </c>
      <c r="Q30" s="133">
        <v>0.25227224657938607</v>
      </c>
      <c r="R30" s="133">
        <v>0.31888082720172234</v>
      </c>
      <c r="S30" s="133">
        <v>0.23494773830077209</v>
      </c>
      <c r="T30" s="133">
        <v>0.55769766671919374</v>
      </c>
      <c r="U30" s="133">
        <v>0.58474592185326446</v>
      </c>
      <c r="V30" s="133">
        <v>0.78017294736070131</v>
      </c>
      <c r="W30" s="133">
        <v>1.1124961066048429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0.42509700818104584</v>
      </c>
      <c r="D31" s="133">
        <v>0.35919362712342817</v>
      </c>
      <c r="E31" s="133">
        <v>0.18975209946955052</v>
      </c>
      <c r="F31" s="133">
        <v>0.31366683211802671</v>
      </c>
      <c r="G31" s="133">
        <v>0.45859282190534317</v>
      </c>
      <c r="H31" s="133">
        <v>0.40246210919256964</v>
      </c>
      <c r="I31" s="133">
        <v>0.33506137667520736</v>
      </c>
      <c r="J31" s="133">
        <v>0.26237816247945345</v>
      </c>
      <c r="K31" s="133">
        <v>0.16239795784398633</v>
      </c>
      <c r="L31" s="133">
        <v>0.26020950626564437</v>
      </c>
      <c r="M31" s="133">
        <v>0.30563123992382318</v>
      </c>
      <c r="N31" s="133">
        <v>0.34680891481813314</v>
      </c>
      <c r="O31" s="133">
        <v>0.37594962540170113</v>
      </c>
      <c r="P31" s="133">
        <v>0.2874270755339543</v>
      </c>
      <c r="Q31" s="133">
        <v>0.22355661949741454</v>
      </c>
      <c r="R31" s="133">
        <v>0.24661531916432264</v>
      </c>
      <c r="S31" s="133">
        <v>0.15556468934125436</v>
      </c>
      <c r="T31" s="133">
        <v>0.17274006770772393</v>
      </c>
      <c r="U31" s="133">
        <v>9.3050035471844303E-2</v>
      </c>
      <c r="V31" s="133">
        <v>2.8848108146481373E-2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402291.91182815772</v>
      </c>
      <c r="D3" s="126">
        <f>IF(SER_hh_fec_in!D3=0,0,11630*1000*SER_hh_fec_in!D3/SER_hh_num_in!D3)</f>
        <v>339263.9992215244</v>
      </c>
      <c r="E3" s="126">
        <f>IF(SER_hh_fec_in!E3=0,0,11630*1000*SER_hh_fec_in!E3/SER_hh_num_in!E3)</f>
        <v>427924.51168713527</v>
      </c>
      <c r="F3" s="126">
        <f>IF(SER_hh_fec_in!F3=0,0,11630*1000*SER_hh_fec_in!F3/SER_hh_num_in!F3)</f>
        <v>372942.58365674102</v>
      </c>
      <c r="G3" s="126">
        <f>IF(SER_hh_fec_in!G3=0,0,11630*1000*SER_hh_fec_in!G3/SER_hh_num_in!G3)</f>
        <v>370442.58954252233</v>
      </c>
      <c r="H3" s="126">
        <f>IF(SER_hh_fec_in!H3=0,0,11630*1000*SER_hh_fec_in!H3/SER_hh_num_in!H3)</f>
        <v>389865.47747418255</v>
      </c>
      <c r="I3" s="126">
        <f>IF(SER_hh_fec_in!I3=0,0,11630*1000*SER_hh_fec_in!I3/SER_hh_num_in!I3)</f>
        <v>383977.02284475864</v>
      </c>
      <c r="J3" s="126">
        <f>IF(SER_hh_fec_in!J3=0,0,11630*1000*SER_hh_fec_in!J3/SER_hh_num_in!J3)</f>
        <v>395748.6936596806</v>
      </c>
      <c r="K3" s="126">
        <f>IF(SER_hh_fec_in!K3=0,0,11630*1000*SER_hh_fec_in!K3/SER_hh_num_in!K3)</f>
        <v>405354.45249737508</v>
      </c>
      <c r="L3" s="126">
        <f>IF(SER_hh_fec_in!L3=0,0,11630*1000*SER_hh_fec_in!L3/SER_hh_num_in!L3)</f>
        <v>440398.68001409812</v>
      </c>
      <c r="M3" s="126">
        <f>IF(SER_hh_fec_in!M3=0,0,11630*1000*SER_hh_fec_in!M3/SER_hh_num_in!M3)</f>
        <v>313408.8033126716</v>
      </c>
      <c r="N3" s="126">
        <f>IF(SER_hh_fec_in!N3=0,0,11630*1000*SER_hh_fec_in!N3/SER_hh_num_in!N3)</f>
        <v>334726.52389402571</v>
      </c>
      <c r="O3" s="126">
        <f>IF(SER_hh_fec_in!O3=0,0,11630*1000*SER_hh_fec_in!O3/SER_hh_num_in!O3)</f>
        <v>332193.71956666891</v>
      </c>
      <c r="P3" s="126">
        <f>IF(SER_hh_fec_in!P3=0,0,11630*1000*SER_hh_fec_in!P3/SER_hh_num_in!P3)</f>
        <v>264712.28044005309</v>
      </c>
      <c r="Q3" s="126">
        <f>IF(SER_hh_fec_in!Q3=0,0,11630*1000*SER_hh_fec_in!Q3/SER_hh_num_in!Q3)</f>
        <v>292410.96659458446</v>
      </c>
      <c r="R3" s="126">
        <f>IF(SER_hh_fec_in!R3=0,0,11630*1000*SER_hh_fec_in!R3/SER_hh_num_in!R3)</f>
        <v>260771.91116874487</v>
      </c>
      <c r="S3" s="126">
        <f>IF(SER_hh_fec_in!S3=0,0,11630*1000*SER_hh_fec_in!S3/SER_hh_num_in!S3)</f>
        <v>283877.70567080483</v>
      </c>
      <c r="T3" s="126">
        <f>IF(SER_hh_fec_in!T3=0,0,11630*1000*SER_hh_fec_in!T3/SER_hh_num_in!T3)</f>
        <v>248882.82226798937</v>
      </c>
      <c r="U3" s="126">
        <f>IF(SER_hh_fec_in!U3=0,0,11630*1000*SER_hh_fec_in!U3/SER_hh_num_in!U3)</f>
        <v>248416.98021168567</v>
      </c>
      <c r="V3" s="126">
        <f>IF(SER_hh_fec_in!V3=0,0,11630*1000*SER_hh_fec_in!V3/SER_hh_num_in!V3)</f>
        <v>238504.84673266677</v>
      </c>
      <c r="W3" s="126">
        <f>IF(SER_hh_fec_in!W3=0,0,11630*1000*SER_hh_fec_in!W3/SER_hh_num_in!W3)</f>
        <v>202402.85705909372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301618.36362186586</v>
      </c>
      <c r="D4" s="131">
        <f>IF(SER_hh_fec_in!D4=0,0,11630*1000*SER_hh_fec_in!D4/SER_hh_num_in!D4)</f>
        <v>242618.24825326976</v>
      </c>
      <c r="E4" s="131">
        <f>IF(SER_hh_fec_in!E4=0,0,11630*1000*SER_hh_fec_in!E4/SER_hh_num_in!E4)</f>
        <v>320154.08509228908</v>
      </c>
      <c r="F4" s="131">
        <f>IF(SER_hh_fec_in!F4=0,0,11630*1000*SER_hh_fec_in!F4/SER_hh_num_in!F4)</f>
        <v>273878.74194244965</v>
      </c>
      <c r="G4" s="131">
        <f>IF(SER_hh_fec_in!G4=0,0,11630*1000*SER_hh_fec_in!G4/SER_hh_num_in!G4)</f>
        <v>271081.86565931898</v>
      </c>
      <c r="H4" s="131">
        <f>IF(SER_hh_fec_in!H4=0,0,11630*1000*SER_hh_fec_in!H4/SER_hh_num_in!H4)</f>
        <v>285911.81519371498</v>
      </c>
      <c r="I4" s="131">
        <f>IF(SER_hh_fec_in!I4=0,0,11630*1000*SER_hh_fec_in!I4/SER_hh_num_in!I4)</f>
        <v>284681.23676900496</v>
      </c>
      <c r="J4" s="131">
        <f>IF(SER_hh_fec_in!J4=0,0,11630*1000*SER_hh_fec_in!J4/SER_hh_num_in!J4)</f>
        <v>294999.03462345945</v>
      </c>
      <c r="K4" s="131">
        <f>IF(SER_hh_fec_in!K4=0,0,11630*1000*SER_hh_fec_in!K4/SER_hh_num_in!K4)</f>
        <v>274992.0414533763</v>
      </c>
      <c r="L4" s="131">
        <f>IF(SER_hh_fec_in!L4=0,0,11630*1000*SER_hh_fec_in!L4/SER_hh_num_in!L4)</f>
        <v>322518.62723211793</v>
      </c>
      <c r="M4" s="131">
        <f>IF(SER_hh_fec_in!M4=0,0,11630*1000*SER_hh_fec_in!M4/SER_hh_num_in!M4)</f>
        <v>212857.0286251319</v>
      </c>
      <c r="N4" s="131">
        <f>IF(SER_hh_fec_in!N4=0,0,11630*1000*SER_hh_fec_in!N4/SER_hh_num_in!N4)</f>
        <v>237109.16722301274</v>
      </c>
      <c r="O4" s="131">
        <f>IF(SER_hh_fec_in!O4=0,0,11630*1000*SER_hh_fec_in!O4/SER_hh_num_in!O4)</f>
        <v>237720.60044928515</v>
      </c>
      <c r="P4" s="131">
        <f>IF(SER_hh_fec_in!P4=0,0,11630*1000*SER_hh_fec_in!P4/SER_hh_num_in!P4)</f>
        <v>171753.34521310832</v>
      </c>
      <c r="Q4" s="131">
        <f>IF(SER_hh_fec_in!Q4=0,0,11630*1000*SER_hh_fec_in!Q4/SER_hh_num_in!Q4)</f>
        <v>199603.04770364321</v>
      </c>
      <c r="R4" s="131">
        <f>IF(SER_hh_fec_in!R4=0,0,11630*1000*SER_hh_fec_in!R4/SER_hh_num_in!R4)</f>
        <v>171537.77147586865</v>
      </c>
      <c r="S4" s="131">
        <f>IF(SER_hh_fec_in!S4=0,0,11630*1000*SER_hh_fec_in!S4/SER_hh_num_in!S4)</f>
        <v>193359.75041432216</v>
      </c>
      <c r="T4" s="131">
        <f>IF(SER_hh_fec_in!T4=0,0,11630*1000*SER_hh_fec_in!T4/SER_hh_num_in!T4)</f>
        <v>160193.93397357914</v>
      </c>
      <c r="U4" s="131">
        <f>IF(SER_hh_fec_in!U4=0,0,11630*1000*SER_hh_fec_in!U4/SER_hh_num_in!U4)</f>
        <v>160638.54562744522</v>
      </c>
      <c r="V4" s="131">
        <f>IF(SER_hh_fec_in!V4=0,0,11630*1000*SER_hh_fec_in!V4/SER_hh_num_in!V4)</f>
        <v>157368.34029431586</v>
      </c>
      <c r="W4" s="131">
        <f>IF(SER_hh_fec_in!W4=0,0,11630*1000*SER_hh_fec_in!W4/SER_hh_num_in!W4)</f>
        <v>116975.12693537291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416991.58884010214</v>
      </c>
      <c r="D7" s="133">
        <f>IF(SER_hh_fec_in!D7=0,0,11630*1000*SER_hh_fec_in!D7/SER_hh_num_in!D7)</f>
        <v>387890.69405429013</v>
      </c>
      <c r="E7" s="133">
        <f>IF(SER_hh_fec_in!E7=0,0,11630*1000*SER_hh_fec_in!E7/SER_hh_num_in!E7)</f>
        <v>0</v>
      </c>
      <c r="F7" s="133">
        <f>IF(SER_hh_fec_in!F7=0,0,11630*1000*SER_hh_fec_in!F7/SER_hh_num_in!F7)</f>
        <v>396121.82551333058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242590.74424830213</v>
      </c>
      <c r="L7" s="133">
        <f>IF(SER_hh_fec_in!L7=0,0,11630*1000*SER_hh_fec_in!L7/SER_hh_num_in!L7)</f>
        <v>412464.8554032243</v>
      </c>
      <c r="M7" s="133">
        <f>IF(SER_hh_fec_in!M7=0,0,11630*1000*SER_hh_fec_in!M7/SER_hh_num_in!M7)</f>
        <v>268358.36643816321</v>
      </c>
      <c r="N7" s="133">
        <f>IF(SER_hh_fec_in!N7=0,0,11630*1000*SER_hh_fec_in!N7/SER_hh_num_in!N7)</f>
        <v>250454.26275409674</v>
      </c>
      <c r="O7" s="133">
        <f>IF(SER_hh_fec_in!O7=0,0,11630*1000*SER_hh_fec_in!O7/SER_hh_num_in!O7)</f>
        <v>260581.69760796305</v>
      </c>
      <c r="P7" s="133">
        <f>IF(SER_hh_fec_in!P7=0,0,11630*1000*SER_hh_fec_in!P7/SER_hh_num_in!P7)</f>
        <v>186245.0692217084</v>
      </c>
      <c r="Q7" s="133">
        <f>IF(SER_hh_fec_in!Q7=0,0,11630*1000*SER_hh_fec_in!Q7/SER_hh_num_in!Q7)</f>
        <v>221811.46464398669</v>
      </c>
      <c r="R7" s="133">
        <f>IF(SER_hh_fec_in!R7=0,0,11630*1000*SER_hh_fec_in!R7/SER_hh_num_in!R7)</f>
        <v>181504.0641707365</v>
      </c>
      <c r="S7" s="133">
        <f>IF(SER_hh_fec_in!S7=0,0,11630*1000*SER_hh_fec_in!S7/SER_hh_num_in!S7)</f>
        <v>224064.73682859587</v>
      </c>
      <c r="T7" s="133">
        <f>IF(SER_hh_fec_in!T7=0,0,11630*1000*SER_hh_fec_in!T7/SER_hh_num_in!T7)</f>
        <v>193280.01959959266</v>
      </c>
      <c r="U7" s="133">
        <f>IF(SER_hh_fec_in!U7=0,0,11630*1000*SER_hh_fec_in!U7/SER_hh_num_in!U7)</f>
        <v>210686.68309365143</v>
      </c>
      <c r="V7" s="133">
        <f>IF(SER_hh_fec_in!V7=0,0,11630*1000*SER_hh_fec_in!V7/SER_hh_num_in!V7)</f>
        <v>169831.28804882232</v>
      </c>
      <c r="W7" s="133">
        <f>IF(SER_hh_fec_in!W7=0,0,11630*1000*SER_hh_fec_in!W7/SER_hh_num_in!W7)</f>
        <v>108095.2501769081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289808.54167452909</v>
      </c>
      <c r="D9" s="133">
        <f>IF(SER_hh_fec_in!D9=0,0,11630*1000*SER_hh_fec_in!D9/SER_hh_num_in!D9)</f>
        <v>322689.59834967268</v>
      </c>
      <c r="E9" s="133">
        <f>IF(SER_hh_fec_in!E9=0,0,11630*1000*SER_hh_fec_in!E9/SER_hh_num_in!E9)</f>
        <v>0</v>
      </c>
      <c r="F9" s="133">
        <f>IF(SER_hh_fec_in!F9=0,0,11630*1000*SER_hh_fec_in!F9/SER_hh_num_in!F9)</f>
        <v>331056.96866876516</v>
      </c>
      <c r="G9" s="133">
        <f>IF(SER_hh_fec_in!G9=0,0,11630*1000*SER_hh_fec_in!G9/SER_hh_num_in!G9)</f>
        <v>277535.15704336483</v>
      </c>
      <c r="H9" s="133">
        <f>IF(SER_hh_fec_in!H9=0,0,11630*1000*SER_hh_fec_in!H9/SER_hh_num_in!H9)</f>
        <v>332946.4364822621</v>
      </c>
      <c r="I9" s="133">
        <f>IF(SER_hh_fec_in!I9=0,0,11630*1000*SER_hh_fec_in!I9/SER_hh_num_in!I9)</f>
        <v>259780.37988966089</v>
      </c>
      <c r="J9" s="133">
        <f>IF(SER_hh_fec_in!J9=0,0,11630*1000*SER_hh_fec_in!J9/SER_hh_num_in!J9)</f>
        <v>306463.55336866603</v>
      </c>
      <c r="K9" s="133">
        <f>IF(SER_hh_fec_in!K9=0,0,11630*1000*SER_hh_fec_in!K9/SER_hh_num_in!K9)</f>
        <v>308105.12415685866</v>
      </c>
      <c r="L9" s="133">
        <f>IF(SER_hh_fec_in!L9=0,0,11630*1000*SER_hh_fec_in!L9/SER_hh_num_in!L9)</f>
        <v>353794.16919628682</v>
      </c>
      <c r="M9" s="133">
        <f>IF(SER_hh_fec_in!M9=0,0,11630*1000*SER_hh_fec_in!M9/SER_hh_num_in!M9)</f>
        <v>142835.57056651948</v>
      </c>
      <c r="N9" s="133">
        <f>IF(SER_hh_fec_in!N9=0,0,11630*1000*SER_hh_fec_in!N9/SER_hh_num_in!N9)</f>
        <v>249084.90957631034</v>
      </c>
      <c r="O9" s="133">
        <f>IF(SER_hh_fec_in!O9=0,0,11630*1000*SER_hh_fec_in!O9/SER_hh_num_in!O9)</f>
        <v>229682.31907327834</v>
      </c>
      <c r="P9" s="133">
        <f>IF(SER_hh_fec_in!P9=0,0,11630*1000*SER_hh_fec_in!P9/SER_hh_num_in!P9)</f>
        <v>166384.55068813803</v>
      </c>
      <c r="Q9" s="133">
        <f>IF(SER_hh_fec_in!Q9=0,0,11630*1000*SER_hh_fec_in!Q9/SER_hh_num_in!Q9)</f>
        <v>182337.23772756386</v>
      </c>
      <c r="R9" s="133">
        <f>IF(SER_hh_fec_in!R9=0,0,11630*1000*SER_hh_fec_in!R9/SER_hh_num_in!R9)</f>
        <v>202177.25638886623</v>
      </c>
      <c r="S9" s="133">
        <f>IF(SER_hh_fec_in!S9=0,0,11630*1000*SER_hh_fec_in!S9/SER_hh_num_in!S9)</f>
        <v>0</v>
      </c>
      <c r="T9" s="133">
        <f>IF(SER_hh_fec_in!T9=0,0,11630*1000*SER_hh_fec_in!T9/SER_hh_num_in!T9)</f>
        <v>0</v>
      </c>
      <c r="U9" s="133">
        <f>IF(SER_hh_fec_in!U9=0,0,11630*1000*SER_hh_fec_in!U9/SER_hh_num_in!U9)</f>
        <v>181512.75168930637</v>
      </c>
      <c r="V9" s="133">
        <f>IF(SER_hh_fec_in!V9=0,0,11630*1000*SER_hh_fec_in!V9/SER_hh_num_in!V9)</f>
        <v>0</v>
      </c>
      <c r="W9" s="133">
        <f>IF(SER_hh_fec_in!W9=0,0,11630*1000*SER_hh_fec_in!W9/SER_hh_num_in!W9)</f>
        <v>143291.91084917964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312935.7376613667</v>
      </c>
      <c r="D10" s="133">
        <f>IF(SER_hh_fec_in!D10=0,0,11630*1000*SER_hh_fec_in!D10/SER_hh_num_in!D10)</f>
        <v>420809.16134641581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159589.00973847037</v>
      </c>
      <c r="J10" s="133">
        <f>IF(SER_hh_fec_in!J10=0,0,11630*1000*SER_hh_fec_in!J10/SER_hh_num_in!J10)</f>
        <v>286245.29649441136</v>
      </c>
      <c r="K10" s="133">
        <f>IF(SER_hh_fec_in!K10=0,0,11630*1000*SER_hh_fec_in!K10/SER_hh_num_in!K10)</f>
        <v>424105.52109759109</v>
      </c>
      <c r="L10" s="133">
        <f>IF(SER_hh_fec_in!L10=0,0,11630*1000*SER_hh_fec_in!L10/SER_hh_num_in!L10)</f>
        <v>299388.63375636202</v>
      </c>
      <c r="M10" s="133">
        <f>IF(SER_hh_fec_in!M10=0,0,11630*1000*SER_hh_fec_in!M10/SER_hh_num_in!M10)</f>
        <v>116292.15783879091</v>
      </c>
      <c r="N10" s="133">
        <f>IF(SER_hh_fec_in!N10=0,0,11630*1000*SER_hh_fec_in!N10/SER_hh_num_in!N10)</f>
        <v>203878.23073281479</v>
      </c>
      <c r="O10" s="133">
        <f>IF(SER_hh_fec_in!O10=0,0,11630*1000*SER_hh_fec_in!O10/SER_hh_num_in!O10)</f>
        <v>280443.39370609145</v>
      </c>
      <c r="P10" s="133">
        <f>IF(SER_hh_fec_in!P10=0,0,11630*1000*SER_hh_fec_in!P10/SER_hh_num_in!P10)</f>
        <v>346431.61326280085</v>
      </c>
      <c r="Q10" s="133">
        <f>IF(SER_hh_fec_in!Q10=0,0,11630*1000*SER_hh_fec_in!Q10/SER_hh_num_in!Q10)</f>
        <v>136013.61199023761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737907.30726117478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219646.29962495249</v>
      </c>
      <c r="D12" s="133">
        <f>IF(SER_hh_fec_in!D12=0,0,11630*1000*SER_hh_fec_in!D12/SER_hh_num_in!D12)</f>
        <v>200331.89614456258</v>
      </c>
      <c r="E12" s="133">
        <f>IF(SER_hh_fec_in!E12=0,0,11630*1000*SER_hh_fec_in!E12/SER_hh_num_in!E12)</f>
        <v>318905.22276374634</v>
      </c>
      <c r="F12" s="133">
        <f>IF(SER_hh_fec_in!F12=0,0,11630*1000*SER_hh_fec_in!F12/SER_hh_num_in!F12)</f>
        <v>269803.11654862872</v>
      </c>
      <c r="G12" s="133">
        <f>IF(SER_hh_fec_in!G12=0,0,11630*1000*SER_hh_fec_in!G12/SER_hh_num_in!G12)</f>
        <v>253293.7974025617</v>
      </c>
      <c r="H12" s="133">
        <f>IF(SER_hh_fec_in!H12=0,0,11630*1000*SER_hh_fec_in!H12/SER_hh_num_in!H12)</f>
        <v>255520.61473126343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201992.55454914275</v>
      </c>
      <c r="L12" s="133">
        <f>IF(SER_hh_fec_in!L12=0,0,11630*1000*SER_hh_fec_in!L12/SER_hh_num_in!L12)</f>
        <v>227855.81064139504</v>
      </c>
      <c r="M12" s="133">
        <f>IF(SER_hh_fec_in!M12=0,0,11630*1000*SER_hh_fec_in!M12/SER_hh_num_in!M12)</f>
        <v>232880.13799814828</v>
      </c>
      <c r="N12" s="133">
        <f>IF(SER_hh_fec_in!N12=0,0,11630*1000*SER_hh_fec_in!N12/SER_hh_num_in!N12)</f>
        <v>202977.1304273633</v>
      </c>
      <c r="O12" s="133">
        <f>IF(SER_hh_fec_in!O12=0,0,11630*1000*SER_hh_fec_in!O12/SER_hh_num_in!O12)</f>
        <v>211791.91163447037</v>
      </c>
      <c r="P12" s="133">
        <f>IF(SER_hh_fec_in!P12=0,0,11630*1000*SER_hh_fec_in!P12/SER_hh_num_in!P12)</f>
        <v>136271.66003053132</v>
      </c>
      <c r="Q12" s="133">
        <f>IF(SER_hh_fec_in!Q12=0,0,11630*1000*SER_hh_fec_in!Q12/SER_hh_num_in!Q12)</f>
        <v>160979.61916149282</v>
      </c>
      <c r="R12" s="133">
        <f>IF(SER_hh_fec_in!R12=0,0,11630*1000*SER_hh_fec_in!R12/SER_hh_num_in!R12)</f>
        <v>154163.4861435862</v>
      </c>
      <c r="S12" s="133">
        <f>IF(SER_hh_fec_in!S12=0,0,11630*1000*SER_hh_fec_in!S12/SER_hh_num_in!S12)</f>
        <v>157772.30322742322</v>
      </c>
      <c r="T12" s="133">
        <f>IF(SER_hh_fec_in!T12=0,0,11630*1000*SER_hh_fec_in!T12/SER_hh_num_in!T12)</f>
        <v>150545.28156058764</v>
      </c>
      <c r="U12" s="133">
        <f>IF(SER_hh_fec_in!U12=0,0,11630*1000*SER_hh_fec_in!U12/SER_hh_num_in!U12)</f>
        <v>151591.09528134385</v>
      </c>
      <c r="V12" s="133">
        <f>IF(SER_hh_fec_in!V12=0,0,11630*1000*SER_hh_fec_in!V12/SER_hh_num_in!V12)</f>
        <v>159172.8505773182</v>
      </c>
      <c r="W12" s="133">
        <f>IF(SER_hh_fec_in!W12=0,0,11630*1000*SER_hh_fec_in!W12/SER_hh_num_in!W12)</f>
        <v>109621.99899943128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350942.40582308784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239862.6591084697</v>
      </c>
      <c r="G14" s="65">
        <f>IF(SER_hh_fec_in!G14=0,0,11630*1000*SER_hh_fec_in!G14/SER_hh_num_in!G14)</f>
        <v>271971.83444092254</v>
      </c>
      <c r="H14" s="65">
        <f>IF(SER_hh_fec_in!H14=0,0,11630*1000*SER_hh_fec_in!H14/SER_hh_num_in!H14)</f>
        <v>239455.70769788176</v>
      </c>
      <c r="I14" s="65">
        <f>IF(SER_hh_fec_in!I14=0,0,11630*1000*SER_hh_fec_in!I14/SER_hh_num_in!I14)</f>
        <v>305628.90097982297</v>
      </c>
      <c r="J14" s="65">
        <f>IF(SER_hh_fec_in!J14=0,0,11630*1000*SER_hh_fec_in!J14/SER_hh_num_in!J14)</f>
        <v>272052.1966484678</v>
      </c>
      <c r="K14" s="65">
        <f>IF(SER_hh_fec_in!K14=0,0,11630*1000*SER_hh_fec_in!K14/SER_hh_num_in!K14)</f>
        <v>241446.87403727797</v>
      </c>
      <c r="L14" s="65">
        <f>IF(SER_hh_fec_in!L14=0,0,11630*1000*SER_hh_fec_in!L14/SER_hh_num_in!L14)</f>
        <v>245532.4903897949</v>
      </c>
      <c r="M14" s="65">
        <f>IF(SER_hh_fec_in!M14=0,0,11630*1000*SER_hh_fec_in!M14/SER_hh_num_in!M14)</f>
        <v>208141.93768529024</v>
      </c>
      <c r="N14" s="65">
        <f>IF(SER_hh_fec_in!N14=0,0,11630*1000*SER_hh_fec_in!N14/SER_hh_num_in!N14)</f>
        <v>215815.01976211529</v>
      </c>
      <c r="O14" s="65">
        <f>IF(SER_hh_fec_in!O14=0,0,11630*1000*SER_hh_fec_in!O14/SER_hh_num_in!O14)</f>
        <v>211425.5825568595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119372.57101481313</v>
      </c>
      <c r="S14" s="65">
        <f>IF(SER_hh_fec_in!S14=0,0,11630*1000*SER_hh_fec_in!S14/SER_hh_num_in!S14)</f>
        <v>196117.55554838109</v>
      </c>
      <c r="T14" s="65">
        <f>IF(SER_hh_fec_in!T14=0,0,11630*1000*SER_hh_fec_in!T14/SER_hh_num_in!T14)</f>
        <v>153584.83104972058</v>
      </c>
      <c r="U14" s="65">
        <f>IF(SER_hh_fec_in!U14=0,0,11630*1000*SER_hh_fec_in!U14/SER_hh_num_in!U14)</f>
        <v>162436.36601394473</v>
      </c>
      <c r="V14" s="65">
        <f>IF(SER_hh_fec_in!V14=0,0,11630*1000*SER_hh_fec_in!V14/SER_hh_num_in!V14)</f>
        <v>132593.4187250215</v>
      </c>
      <c r="W14" s="65">
        <f>IF(SER_hh_fec_in!W14=0,0,11630*1000*SER_hh_fec_in!W14/SER_hh_num_in!W14)</f>
        <v>108361.38564120706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2587.5704084926288</v>
      </c>
      <c r="D15" s="135">
        <f>IF(SER_hh_fec_in!D15=0,0,11630*1000*SER_hh_fec_in!D15/SER_hh_num_in!D15)</f>
        <v>1665.3555420595449</v>
      </c>
      <c r="E15" s="135">
        <f>IF(SER_hh_fec_in!E15=0,0,11630*1000*SER_hh_fec_in!E15/SER_hh_num_in!E15)</f>
        <v>1248.8623285427368</v>
      </c>
      <c r="F15" s="135">
        <f>IF(SER_hh_fec_in!F15=0,0,11630*1000*SER_hh_fec_in!F15/SER_hh_num_in!F15)</f>
        <v>1440.828065198989</v>
      </c>
      <c r="G15" s="135">
        <f>IF(SER_hh_fec_in!G15=0,0,11630*1000*SER_hh_fec_in!G15/SER_hh_num_in!G15)</f>
        <v>2351.7377943300385</v>
      </c>
      <c r="H15" s="135">
        <f>IF(SER_hh_fec_in!H15=0,0,11630*1000*SER_hh_fec_in!H15/SER_hh_num_in!H15)</f>
        <v>3867.547444824183</v>
      </c>
      <c r="I15" s="135">
        <f>IF(SER_hh_fec_in!I15=0,0,11630*1000*SER_hh_fec_in!I15/SER_hh_num_in!I15)</f>
        <v>3021.9233679132522</v>
      </c>
      <c r="J15" s="135">
        <f>IF(SER_hh_fec_in!J15=0,0,11630*1000*SER_hh_fec_in!J15/SER_hh_num_in!J15)</f>
        <v>3572.8445256553277</v>
      </c>
      <c r="K15" s="135">
        <f>IF(SER_hh_fec_in!K15=0,0,11630*1000*SER_hh_fec_in!K15/SER_hh_num_in!K15)</f>
        <v>3077.2305558290009</v>
      </c>
      <c r="L15" s="135">
        <f>IF(SER_hh_fec_in!L15=0,0,11630*1000*SER_hh_fec_in!L15/SER_hh_num_in!L15)</f>
        <v>2960.8872248025255</v>
      </c>
      <c r="M15" s="135">
        <f>IF(SER_hh_fec_in!M15=0,0,11630*1000*SER_hh_fec_in!M15/SER_hh_num_in!M15)</f>
        <v>1898.2853306765364</v>
      </c>
      <c r="N15" s="135">
        <f>IF(SER_hh_fec_in!N15=0,0,11630*1000*SER_hh_fec_in!N15/SER_hh_num_in!N15)</f>
        <v>2356.4294220644183</v>
      </c>
      <c r="O15" s="135">
        <f>IF(SER_hh_fec_in!O15=0,0,11630*1000*SER_hh_fec_in!O15/SER_hh_num_in!O15)</f>
        <v>2514.9551875376369</v>
      </c>
      <c r="P15" s="135">
        <f>IF(SER_hh_fec_in!P15=0,0,11630*1000*SER_hh_fec_in!P15/SER_hh_num_in!P15)</f>
        <v>1776.7062742060305</v>
      </c>
      <c r="Q15" s="135">
        <f>IF(SER_hh_fec_in!Q15=0,0,11630*1000*SER_hh_fec_in!Q15/SER_hh_num_in!Q15)</f>
        <v>1923.5313630205385</v>
      </c>
      <c r="R15" s="135">
        <f>IF(SER_hh_fec_in!R15=0,0,11630*1000*SER_hh_fec_in!R15/SER_hh_num_in!R15)</f>
        <v>1485.4660044813461</v>
      </c>
      <c r="S15" s="135">
        <f>IF(SER_hh_fec_in!S15=0,0,11630*1000*SER_hh_fec_in!S15/SER_hh_num_in!S15)</f>
        <v>1564.5451419158696</v>
      </c>
      <c r="T15" s="135">
        <f>IF(SER_hh_fec_in!T15=0,0,11630*1000*SER_hh_fec_in!T15/SER_hh_num_in!T15)</f>
        <v>931.60868922832424</v>
      </c>
      <c r="U15" s="135">
        <f>IF(SER_hh_fec_in!U15=0,0,11630*1000*SER_hh_fec_in!U15/SER_hh_num_in!U15)</f>
        <v>789.05385176267282</v>
      </c>
      <c r="V15" s="135">
        <f>IF(SER_hh_fec_in!V15=0,0,11630*1000*SER_hh_fec_in!V15/SER_hh_num_in!V15)</f>
        <v>674.43251647082855</v>
      </c>
      <c r="W15" s="135">
        <f>IF(SER_hh_fec_in!W15=0,0,11630*1000*SER_hh_fec_in!W15/SER_hh_num_in!W15)</f>
        <v>862.89551615800212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14351.479647182445</v>
      </c>
      <c r="D16" s="131">
        <f>IF(SER_hh_fec_in!D16=0,0,11630*1000*SER_hh_fec_in!D16/SER_hh_num_in!D16)</f>
        <v>14009.153883888948</v>
      </c>
      <c r="E16" s="131">
        <f>IF(SER_hh_fec_in!E16=0,0,11630*1000*SER_hh_fec_in!E16/SER_hh_num_in!E16)</f>
        <v>17075.623302425654</v>
      </c>
      <c r="F16" s="131">
        <f>IF(SER_hh_fec_in!F16=0,0,11630*1000*SER_hh_fec_in!F16/SER_hh_num_in!F16)</f>
        <v>12737.400319387414</v>
      </c>
      <c r="G16" s="131">
        <f>IF(SER_hh_fec_in!G16=0,0,11630*1000*SER_hh_fec_in!G16/SER_hh_num_in!G16)</f>
        <v>12430.18572106061</v>
      </c>
      <c r="H16" s="131">
        <f>IF(SER_hh_fec_in!H16=0,0,11630*1000*SER_hh_fec_in!H16/SER_hh_num_in!H16)</f>
        <v>14056.481820715515</v>
      </c>
      <c r="I16" s="131">
        <f>IF(SER_hh_fec_in!I16=0,0,11630*1000*SER_hh_fec_in!I16/SER_hh_num_in!I16)</f>
        <v>11289.965662041363</v>
      </c>
      <c r="J16" s="131">
        <f>IF(SER_hh_fec_in!J16=0,0,11630*1000*SER_hh_fec_in!J16/SER_hh_num_in!J16)</f>
        <v>10670.221385099747</v>
      </c>
      <c r="K16" s="131">
        <f>IF(SER_hh_fec_in!K16=0,0,11630*1000*SER_hh_fec_in!K16/SER_hh_num_in!K16)</f>
        <v>10348.279107221359</v>
      </c>
      <c r="L16" s="131">
        <f>IF(SER_hh_fec_in!L16=0,0,11630*1000*SER_hh_fec_in!L16/SER_hh_num_in!L16)</f>
        <v>10484.375954089517</v>
      </c>
      <c r="M16" s="131">
        <f>IF(SER_hh_fec_in!M16=0,0,11630*1000*SER_hh_fec_in!M16/SER_hh_num_in!M16)</f>
        <v>9367.8067216653126</v>
      </c>
      <c r="N16" s="131">
        <f>IF(SER_hh_fec_in!N16=0,0,11630*1000*SER_hh_fec_in!N16/SER_hh_num_in!N16)</f>
        <v>9065.5131941720483</v>
      </c>
      <c r="O16" s="131">
        <f>IF(SER_hh_fec_in!O16=0,0,11630*1000*SER_hh_fec_in!O16/SER_hh_num_in!O16)</f>
        <v>8770.9971063346056</v>
      </c>
      <c r="P16" s="131">
        <f>IF(SER_hh_fec_in!P16=0,0,11630*1000*SER_hh_fec_in!P16/SER_hh_num_in!P16)</f>
        <v>8079.1157633622925</v>
      </c>
      <c r="Q16" s="131">
        <f>IF(SER_hh_fec_in!Q16=0,0,11630*1000*SER_hh_fec_in!Q16/SER_hh_num_in!Q16)</f>
        <v>8444.5464907458063</v>
      </c>
      <c r="R16" s="131">
        <f>IF(SER_hh_fec_in!R16=0,0,11630*1000*SER_hh_fec_in!R16/SER_hh_num_in!R16)</f>
        <v>7732.0728261469258</v>
      </c>
      <c r="S16" s="131">
        <f>IF(SER_hh_fec_in!S16=0,0,11630*1000*SER_hh_fec_in!S16/SER_hh_num_in!S16)</f>
        <v>6949.3977431910635</v>
      </c>
      <c r="T16" s="131">
        <f>IF(SER_hh_fec_in!T16=0,0,11630*1000*SER_hh_fec_in!T16/SER_hh_num_in!T16)</f>
        <v>7096.930270818495</v>
      </c>
      <c r="U16" s="131">
        <f>IF(SER_hh_fec_in!U16=0,0,11630*1000*SER_hh_fec_in!U16/SER_hh_num_in!U16)</f>
        <v>6839.5219079330036</v>
      </c>
      <c r="V16" s="131">
        <f>IF(SER_hh_fec_in!V16=0,0,11630*1000*SER_hh_fec_in!V16/SER_hh_num_in!V16)</f>
        <v>6407.7101039838199</v>
      </c>
      <c r="W16" s="131">
        <f>IF(SER_hh_fec_in!W16=0,0,11630*1000*SER_hh_fec_in!W16/SER_hh_num_in!W16)</f>
        <v>4527.2585730417031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26586.345569378449</v>
      </c>
      <c r="D17" s="133">
        <f>IF(SER_hh_fec_in!D17=0,0,11630*1000*SER_hh_fec_in!D17/SER_hh_num_in!D17)</f>
        <v>26682.362536376873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25530.602721093299</v>
      </c>
      <c r="G17" s="133">
        <f>IF(SER_hh_fec_in!G17=0,0,11630*1000*SER_hh_fec_in!G17/SER_hh_num_in!G17)</f>
        <v>25965.955432488521</v>
      </c>
      <c r="H17" s="133">
        <f>IF(SER_hh_fec_in!H17=0,0,11630*1000*SER_hh_fec_in!H17/SER_hh_num_in!H17)</f>
        <v>30093.134189757257</v>
      </c>
      <c r="I17" s="133">
        <f>IF(SER_hh_fec_in!I17=0,0,11630*1000*SER_hh_fec_in!I17/SER_hh_num_in!I17)</f>
        <v>24648.813671338168</v>
      </c>
      <c r="J17" s="133">
        <f>IF(SER_hh_fec_in!J17=0,0,11630*1000*SER_hh_fec_in!J17/SER_hh_num_in!J17)</f>
        <v>24146.175187156823</v>
      </c>
      <c r="K17" s="133">
        <f>IF(SER_hh_fec_in!K17=0,0,11630*1000*SER_hh_fec_in!K17/SER_hh_num_in!K17)</f>
        <v>28062.133028557055</v>
      </c>
      <c r="L17" s="133">
        <f>IF(SER_hh_fec_in!L17=0,0,11630*1000*SER_hh_fec_in!L17/SER_hh_num_in!L17)</f>
        <v>24993.58966731184</v>
      </c>
      <c r="M17" s="133">
        <f>IF(SER_hh_fec_in!M17=0,0,11630*1000*SER_hh_fec_in!M17/SER_hh_num_in!M17)</f>
        <v>22870.471221883508</v>
      </c>
      <c r="N17" s="133">
        <f>IF(SER_hh_fec_in!N17=0,0,11630*1000*SER_hh_fec_in!N17/SER_hh_num_in!N17)</f>
        <v>22778.347020140136</v>
      </c>
      <c r="O17" s="133">
        <f>IF(SER_hh_fec_in!O17=0,0,11630*1000*SER_hh_fec_in!O17/SER_hh_num_in!O17)</f>
        <v>22444.347301235732</v>
      </c>
      <c r="P17" s="133">
        <f>IF(SER_hh_fec_in!P17=0,0,11630*1000*SER_hh_fec_in!P17/SER_hh_num_in!P17)</f>
        <v>20803.678149353615</v>
      </c>
      <c r="Q17" s="133">
        <f>IF(SER_hh_fec_in!Q17=0,0,11630*1000*SER_hh_fec_in!Q17/SER_hh_num_in!Q17)</f>
        <v>22274.885742585306</v>
      </c>
      <c r="R17" s="133">
        <f>IF(SER_hh_fec_in!R17=0,0,11630*1000*SER_hh_fec_in!R17/SER_hh_num_in!R17)</f>
        <v>19441.730477154942</v>
      </c>
      <c r="S17" s="133">
        <f>IF(SER_hh_fec_in!S17=0,0,11630*1000*SER_hh_fec_in!S17/SER_hh_num_in!S17)</f>
        <v>18823.974177098407</v>
      </c>
      <c r="T17" s="133">
        <f>IF(SER_hh_fec_in!T17=0,0,11630*1000*SER_hh_fec_in!T17/SER_hh_num_in!T17)</f>
        <v>18904.165807721434</v>
      </c>
      <c r="U17" s="133">
        <f>IF(SER_hh_fec_in!U17=0,0,11630*1000*SER_hh_fec_in!U17/SER_hh_num_in!U17)</f>
        <v>17476.684554768497</v>
      </c>
      <c r="V17" s="133">
        <f>IF(SER_hh_fec_in!V17=0,0,11630*1000*SER_hh_fec_in!V17/SER_hh_num_in!V17)</f>
        <v>16061.360925798124</v>
      </c>
      <c r="W17" s="133">
        <f>IF(SER_hh_fec_in!W17=0,0,11630*1000*SER_hh_fec_in!W17/SER_hh_num_in!W17)</f>
        <v>13006.409276674309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14285.094407296876</v>
      </c>
      <c r="D18" s="133">
        <f>IF(SER_hh_fec_in!D18=0,0,11630*1000*SER_hh_fec_in!D18/SER_hh_num_in!D18)</f>
        <v>13906.306853400407</v>
      </c>
      <c r="E18" s="133">
        <f>IF(SER_hh_fec_in!E18=0,0,11630*1000*SER_hh_fec_in!E18/SER_hh_num_in!E18)</f>
        <v>17075.623302425654</v>
      </c>
      <c r="F18" s="133">
        <f>IF(SER_hh_fec_in!F18=0,0,11630*1000*SER_hh_fec_in!F18/SER_hh_num_in!F18)</f>
        <v>12511.79279665108</v>
      </c>
      <c r="G18" s="133">
        <f>IF(SER_hh_fec_in!G18=0,0,11630*1000*SER_hh_fec_in!G18/SER_hh_num_in!G18)</f>
        <v>12374.440275239371</v>
      </c>
      <c r="H18" s="133">
        <f>IF(SER_hh_fec_in!H18=0,0,11630*1000*SER_hh_fec_in!H18/SER_hh_num_in!H18)</f>
        <v>13938.781843344264</v>
      </c>
      <c r="I18" s="133">
        <f>IF(SER_hh_fec_in!I18=0,0,11630*1000*SER_hh_fec_in!I18/SER_hh_num_in!I18)</f>
        <v>11093.32801168657</v>
      </c>
      <c r="J18" s="133">
        <f>IF(SER_hh_fec_in!J18=0,0,11630*1000*SER_hh_fec_in!J18/SER_hh_num_in!J18)</f>
        <v>10573.007830270088</v>
      </c>
      <c r="K18" s="133">
        <f>IF(SER_hh_fec_in!K18=0,0,11630*1000*SER_hh_fec_in!K18/SER_hh_num_in!K18)</f>
        <v>10156.615872527134</v>
      </c>
      <c r="L18" s="133">
        <f>IF(SER_hh_fec_in!L18=0,0,11630*1000*SER_hh_fec_in!L18/SER_hh_num_in!L18)</f>
        <v>10361.997082949752</v>
      </c>
      <c r="M18" s="133">
        <f>IF(SER_hh_fec_in!M18=0,0,11630*1000*SER_hh_fec_in!M18/SER_hh_num_in!M18)</f>
        <v>9198.8102691311196</v>
      </c>
      <c r="N18" s="133">
        <f>IF(SER_hh_fec_in!N18=0,0,11630*1000*SER_hh_fec_in!N18/SER_hh_num_in!N18)</f>
        <v>8896.861873077878</v>
      </c>
      <c r="O18" s="133">
        <f>IF(SER_hh_fec_in!O18=0,0,11630*1000*SER_hh_fec_in!O18/SER_hh_num_in!O18)</f>
        <v>8466.6295112644984</v>
      </c>
      <c r="P18" s="133">
        <f>IF(SER_hh_fec_in!P18=0,0,11630*1000*SER_hh_fec_in!P18/SER_hh_num_in!P18)</f>
        <v>7579.5221960291174</v>
      </c>
      <c r="Q18" s="133">
        <f>IF(SER_hh_fec_in!Q18=0,0,11630*1000*SER_hh_fec_in!Q18/SER_hh_num_in!Q18)</f>
        <v>8008.9114033450278</v>
      </c>
      <c r="R18" s="133">
        <f>IF(SER_hh_fec_in!R18=0,0,11630*1000*SER_hh_fec_in!R18/SER_hh_num_in!R18)</f>
        <v>6886.0005560630234</v>
      </c>
      <c r="S18" s="133">
        <f>IF(SER_hh_fec_in!S18=0,0,11630*1000*SER_hh_fec_in!S18/SER_hh_num_in!S18)</f>
        <v>6475.5953936868173</v>
      </c>
      <c r="T18" s="133">
        <f>IF(SER_hh_fec_in!T18=0,0,11630*1000*SER_hh_fec_in!T18/SER_hh_num_in!T18)</f>
        <v>6856.8670322556563</v>
      </c>
      <c r="U18" s="133">
        <f>IF(SER_hh_fec_in!U18=0,0,11630*1000*SER_hh_fec_in!U18/SER_hh_num_in!U18)</f>
        <v>6428.3448630160419</v>
      </c>
      <c r="V18" s="133">
        <f>IF(SER_hh_fec_in!V18=0,0,11630*1000*SER_hh_fec_in!V18/SER_hh_num_in!V18)</f>
        <v>5964.535410344859</v>
      </c>
      <c r="W18" s="133">
        <f>IF(SER_hh_fec_in!W18=0,0,11630*1000*SER_hh_fec_in!W18/SER_hh_num_in!W18)</f>
        <v>4187.9695296698346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40111.936772982073</v>
      </c>
      <c r="D19" s="131">
        <f>IF(SER_hh_fec_in!D19=0,0,11630*1000*SER_hh_fec_in!D19/SER_hh_num_in!D19)</f>
        <v>37390.031941879868</v>
      </c>
      <c r="E19" s="131">
        <f>IF(SER_hh_fec_in!E19=0,0,11630*1000*SER_hh_fec_in!E19/SER_hh_num_in!E19)</f>
        <v>42509.873615582277</v>
      </c>
      <c r="F19" s="131">
        <f>IF(SER_hh_fec_in!F19=0,0,11630*1000*SER_hh_fec_in!F19/SER_hh_num_in!F19)</f>
        <v>39976.387175562566</v>
      </c>
      <c r="G19" s="131">
        <f>IF(SER_hh_fec_in!G19=0,0,11630*1000*SER_hh_fec_in!G19/SER_hh_num_in!G19)</f>
        <v>38888.444946775882</v>
      </c>
      <c r="H19" s="131">
        <f>IF(SER_hh_fec_in!H19=0,0,11630*1000*SER_hh_fec_in!H19/SER_hh_num_in!H19)</f>
        <v>40575.335379849756</v>
      </c>
      <c r="I19" s="131">
        <f>IF(SER_hh_fec_in!I19=0,0,11630*1000*SER_hh_fec_in!I19/SER_hh_num_in!I19)</f>
        <v>39798.634678344803</v>
      </c>
      <c r="J19" s="131">
        <f>IF(SER_hh_fec_in!J19=0,0,11630*1000*SER_hh_fec_in!J19/SER_hh_num_in!J19)</f>
        <v>41635.037259680867</v>
      </c>
      <c r="K19" s="131">
        <f>IF(SER_hh_fec_in!K19=0,0,11630*1000*SER_hh_fec_in!K19/SER_hh_num_in!K19)</f>
        <v>40283.092616558097</v>
      </c>
      <c r="L19" s="131">
        <f>IF(SER_hh_fec_in!L19=0,0,11630*1000*SER_hh_fec_in!L19/SER_hh_num_in!L19)</f>
        <v>45043.457505497492</v>
      </c>
      <c r="M19" s="131">
        <f>IF(SER_hh_fec_in!M19=0,0,11630*1000*SER_hh_fec_in!M19/SER_hh_num_in!M19)</f>
        <v>38268.824555882355</v>
      </c>
      <c r="N19" s="131">
        <f>IF(SER_hh_fec_in!N19=0,0,11630*1000*SER_hh_fec_in!N19/SER_hh_num_in!N19)</f>
        <v>39533.598857169556</v>
      </c>
      <c r="O19" s="131">
        <f>IF(SER_hh_fec_in!O19=0,0,11630*1000*SER_hh_fec_in!O19/SER_hh_num_in!O19)</f>
        <v>37070.368586372271</v>
      </c>
      <c r="P19" s="131">
        <f>IF(SER_hh_fec_in!P19=0,0,11630*1000*SER_hh_fec_in!P19/SER_hh_num_in!P19)</f>
        <v>35844.960833682875</v>
      </c>
      <c r="Q19" s="131">
        <f>IF(SER_hh_fec_in!Q19=0,0,11630*1000*SER_hh_fec_in!Q19/SER_hh_num_in!Q19)</f>
        <v>34942.852314548421</v>
      </c>
      <c r="R19" s="131">
        <f>IF(SER_hh_fec_in!R19=0,0,11630*1000*SER_hh_fec_in!R19/SER_hh_num_in!R19)</f>
        <v>32771.208798840344</v>
      </c>
      <c r="S19" s="131">
        <f>IF(SER_hh_fec_in!S19=0,0,11630*1000*SER_hh_fec_in!S19/SER_hh_num_in!S19)</f>
        <v>34898.405034277115</v>
      </c>
      <c r="T19" s="131">
        <f>IF(SER_hh_fec_in!T19=0,0,11630*1000*SER_hh_fec_in!T19/SER_hh_num_in!T19)</f>
        <v>31789.177732189659</v>
      </c>
      <c r="U19" s="131">
        <f>IF(SER_hh_fec_in!U19=0,0,11630*1000*SER_hh_fec_in!U19/SER_hh_num_in!U19)</f>
        <v>30967.269120375015</v>
      </c>
      <c r="V19" s="131">
        <f>IF(SER_hh_fec_in!V19=0,0,11630*1000*SER_hh_fec_in!V19/SER_hh_num_in!V19)</f>
        <v>28203.099987783688</v>
      </c>
      <c r="W19" s="131">
        <f>IF(SER_hh_fec_in!W19=0,0,11630*1000*SER_hh_fec_in!W19/SER_hh_num_in!W19)</f>
        <v>26893.655617831795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51130.586841875192</v>
      </c>
      <c r="D22" s="133">
        <f>IF(SER_hh_fec_in!D22=0,0,11630*1000*SER_hh_fec_in!D22/SER_hh_num_in!D22)</f>
        <v>51795.629006753152</v>
      </c>
      <c r="E22" s="133">
        <f>IF(SER_hh_fec_in!E22=0,0,11630*1000*SER_hh_fec_in!E22/SER_hh_num_in!E22)</f>
        <v>51587.328978726277</v>
      </c>
      <c r="F22" s="133">
        <f>IF(SER_hh_fec_in!F22=0,0,11630*1000*SER_hh_fec_in!F22/SER_hh_num_in!F22)</f>
        <v>53001.162656456931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42237.069038940019</v>
      </c>
      <c r="L22" s="133">
        <f>IF(SER_hh_fec_in!L22=0,0,11630*1000*SER_hh_fec_in!L22/SER_hh_num_in!L22)</f>
        <v>57096.056963551113</v>
      </c>
      <c r="M22" s="133">
        <f>IF(SER_hh_fec_in!M22=0,0,11630*1000*SER_hh_fec_in!M22/SER_hh_num_in!M22)</f>
        <v>37508.976398091902</v>
      </c>
      <c r="N22" s="133">
        <f>IF(SER_hh_fec_in!N22=0,0,11630*1000*SER_hh_fec_in!N22/SER_hh_num_in!N22)</f>
        <v>48299.801814754297</v>
      </c>
      <c r="O22" s="133">
        <f>IF(SER_hh_fec_in!O22=0,0,11630*1000*SER_hh_fec_in!O22/SER_hh_num_in!O22)</f>
        <v>43324.128933577827</v>
      </c>
      <c r="P22" s="133">
        <f>IF(SER_hh_fec_in!P22=0,0,11630*1000*SER_hh_fec_in!P22/SER_hh_num_in!P22)</f>
        <v>41559.134137236164</v>
      </c>
      <c r="Q22" s="133">
        <f>IF(SER_hh_fec_in!Q22=0,0,11630*1000*SER_hh_fec_in!Q22/SER_hh_num_in!Q22)</f>
        <v>36501.641414698199</v>
      </c>
      <c r="R22" s="133">
        <f>IF(SER_hh_fec_in!R22=0,0,11630*1000*SER_hh_fec_in!R22/SER_hh_num_in!R22)</f>
        <v>30336.507897039784</v>
      </c>
      <c r="S22" s="133">
        <f>IF(SER_hh_fec_in!S22=0,0,11630*1000*SER_hh_fec_in!S22/SER_hh_num_in!S22)</f>
        <v>38624.239293039565</v>
      </c>
      <c r="T22" s="133">
        <f>IF(SER_hh_fec_in!T22=0,0,11630*1000*SER_hh_fec_in!T22/SER_hh_num_in!T22)</f>
        <v>35749.038707536456</v>
      </c>
      <c r="U22" s="133">
        <f>IF(SER_hh_fec_in!U22=0,0,11630*1000*SER_hh_fec_in!U22/SER_hh_num_in!U22)</f>
        <v>35882.353137751496</v>
      </c>
      <c r="V22" s="133">
        <f>IF(SER_hh_fec_in!V22=0,0,11630*1000*SER_hh_fec_in!V22/SER_hh_num_in!V22)</f>
        <v>27859.575910929409</v>
      </c>
      <c r="W22" s="133">
        <f>IF(SER_hh_fec_in!W22=0,0,11630*1000*SER_hh_fec_in!W22/SER_hh_num_in!W22)</f>
        <v>30871.271638690632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47241.992763816743</v>
      </c>
      <c r="D23" s="133">
        <f>IF(SER_hh_fec_in!D23=0,0,11630*1000*SER_hh_fec_in!D23/SER_hh_num_in!D23)</f>
        <v>46103.162265006649</v>
      </c>
      <c r="E23" s="133">
        <f>IF(SER_hh_fec_in!E23=0,0,11630*1000*SER_hh_fec_in!E23/SER_hh_num_in!E23)</f>
        <v>47520.510572115621</v>
      </c>
      <c r="F23" s="133">
        <f>IF(SER_hh_fec_in!F23=0,0,11630*1000*SER_hh_fec_in!F23/SER_hh_num_in!F23)</f>
        <v>45807.091077995065</v>
      </c>
      <c r="G23" s="133">
        <f>IF(SER_hh_fec_in!G23=0,0,11630*1000*SER_hh_fec_in!G23/SER_hh_num_in!G23)</f>
        <v>45451.167771668675</v>
      </c>
      <c r="H23" s="133">
        <f>IF(SER_hh_fec_in!H23=0,0,11630*1000*SER_hh_fec_in!H23/SER_hh_num_in!H23)</f>
        <v>43755.151305681531</v>
      </c>
      <c r="I23" s="133">
        <f>IF(SER_hh_fec_in!I23=0,0,11630*1000*SER_hh_fec_in!I23/SER_hh_num_in!I23)</f>
        <v>41944.113024900973</v>
      </c>
      <c r="J23" s="133">
        <f>IF(SER_hh_fec_in!J23=0,0,11630*1000*SER_hh_fec_in!J23/SER_hh_num_in!J23)</f>
        <v>46213.836814309543</v>
      </c>
      <c r="K23" s="133">
        <f>IF(SER_hh_fec_in!K23=0,0,11630*1000*SER_hh_fec_in!K23/SER_hh_num_in!K23)</f>
        <v>41144.561738944045</v>
      </c>
      <c r="L23" s="133">
        <f>IF(SER_hh_fec_in!L23=0,0,11630*1000*SER_hh_fec_in!L23/SER_hh_num_in!L23)</f>
        <v>44594.343510407263</v>
      </c>
      <c r="M23" s="133">
        <f>IF(SER_hh_fec_in!M23=0,0,11630*1000*SER_hh_fec_in!M23/SER_hh_num_in!M23)</f>
        <v>41412.587779025402</v>
      </c>
      <c r="N23" s="133">
        <f>IF(SER_hh_fec_in!N23=0,0,11630*1000*SER_hh_fec_in!N23/SER_hh_num_in!N23)</f>
        <v>38351.395126355368</v>
      </c>
      <c r="O23" s="133">
        <f>IF(SER_hh_fec_in!O23=0,0,11630*1000*SER_hh_fec_in!O23/SER_hh_num_in!O23)</f>
        <v>37341.061011904181</v>
      </c>
      <c r="P23" s="133">
        <f>IF(SER_hh_fec_in!P23=0,0,11630*1000*SER_hh_fec_in!P23/SER_hh_num_in!P23)</f>
        <v>37506.105815870127</v>
      </c>
      <c r="Q23" s="133">
        <f>IF(SER_hh_fec_in!Q23=0,0,11630*1000*SER_hh_fec_in!Q23/SER_hh_num_in!Q23)</f>
        <v>40708.813268303675</v>
      </c>
      <c r="R23" s="133">
        <f>IF(SER_hh_fec_in!R23=0,0,11630*1000*SER_hh_fec_in!R23/SER_hh_num_in!R23)</f>
        <v>42280.089888698087</v>
      </c>
      <c r="S23" s="133">
        <f>IF(SER_hh_fec_in!S23=0,0,11630*1000*SER_hh_fec_in!S23/SER_hh_num_in!S23)</f>
        <v>30312.855722965767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33894.330261733943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35363.508073680525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28333.040278808658</v>
      </c>
      <c r="D25" s="133">
        <f>IF(SER_hh_fec_in!D25=0,0,11630*1000*SER_hh_fec_in!D25/SER_hh_num_in!D25)</f>
        <v>31410.713062410359</v>
      </c>
      <c r="E25" s="133">
        <f>IF(SER_hh_fec_in!E25=0,0,11630*1000*SER_hh_fec_in!E25/SER_hh_num_in!E25)</f>
        <v>38848.754261595015</v>
      </c>
      <c r="F25" s="133">
        <f>IF(SER_hh_fec_in!F25=0,0,11630*1000*SER_hh_fec_in!F25/SER_hh_num_in!F25)</f>
        <v>35040.617147445919</v>
      </c>
      <c r="G25" s="133">
        <f>IF(SER_hh_fec_in!G25=0,0,11630*1000*SER_hh_fec_in!G25/SER_hh_num_in!G25)</f>
        <v>33553.364622798785</v>
      </c>
      <c r="H25" s="133">
        <f>IF(SER_hh_fec_in!H25=0,0,11630*1000*SER_hh_fec_in!H25/SER_hh_num_in!H25)</f>
        <v>33300.088574472589</v>
      </c>
      <c r="I25" s="133">
        <f>IF(SER_hh_fec_in!I25=0,0,11630*1000*SER_hh_fec_in!I25/SER_hh_num_in!I25)</f>
        <v>32964.887935837789</v>
      </c>
      <c r="J25" s="133">
        <f>IF(SER_hh_fec_in!J25=0,0,11630*1000*SER_hh_fec_in!J25/SER_hh_num_in!J25)</f>
        <v>32798.704292130169</v>
      </c>
      <c r="K25" s="133">
        <f>IF(SER_hh_fec_in!K25=0,0,11630*1000*SER_hh_fec_in!K25/SER_hh_num_in!K25)</f>
        <v>33652.677110746787</v>
      </c>
      <c r="L25" s="133">
        <f>IF(SER_hh_fec_in!L25=0,0,11630*1000*SER_hh_fec_in!L25/SER_hh_num_in!L25)</f>
        <v>31674.500855678874</v>
      </c>
      <c r="M25" s="133">
        <f>IF(SER_hh_fec_in!M25=0,0,11630*1000*SER_hh_fec_in!M25/SER_hh_num_in!M25)</f>
        <v>31816.826524951648</v>
      </c>
      <c r="N25" s="133">
        <f>IF(SER_hh_fec_in!N25=0,0,11630*1000*SER_hh_fec_in!N25/SER_hh_num_in!N25)</f>
        <v>31902.490319012861</v>
      </c>
      <c r="O25" s="133">
        <f>IF(SER_hh_fec_in!O25=0,0,11630*1000*SER_hh_fec_in!O25/SER_hh_num_in!O25)</f>
        <v>31784.591667889701</v>
      </c>
      <c r="P25" s="133">
        <f>IF(SER_hh_fec_in!P25=0,0,11630*1000*SER_hh_fec_in!P25/SER_hh_num_in!P25)</f>
        <v>30982.154231635897</v>
      </c>
      <c r="Q25" s="133">
        <f>IF(SER_hh_fec_in!Q25=0,0,11630*1000*SER_hh_fec_in!Q25/SER_hh_num_in!Q25)</f>
        <v>30718.04621618471</v>
      </c>
      <c r="R25" s="133">
        <f>IF(SER_hh_fec_in!R25=0,0,11630*1000*SER_hh_fec_in!R25/SER_hh_num_in!R25)</f>
        <v>30399.273639899558</v>
      </c>
      <c r="S25" s="133">
        <f>IF(SER_hh_fec_in!S25=0,0,11630*1000*SER_hh_fec_in!S25/SER_hh_num_in!S25)</f>
        <v>31512.96671887612</v>
      </c>
      <c r="T25" s="133">
        <f>IF(SER_hh_fec_in!T25=0,0,11630*1000*SER_hh_fec_in!T25/SER_hh_num_in!T25)</f>
        <v>28139.533918764831</v>
      </c>
      <c r="U25" s="133">
        <f>IF(SER_hh_fec_in!U25=0,0,11630*1000*SER_hh_fec_in!U25/SER_hh_num_in!U25)</f>
        <v>29648.440038898807</v>
      </c>
      <c r="V25" s="133">
        <f>IF(SER_hh_fec_in!V25=0,0,11630*1000*SER_hh_fec_in!V25/SER_hh_num_in!V25)</f>
        <v>28022.094913307006</v>
      </c>
      <c r="W25" s="133">
        <f>IF(SER_hh_fec_in!W25=0,0,11630*1000*SER_hh_fec_in!W25/SER_hh_num_in!W25)</f>
        <v>23687.04819025988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42259.722692975214</v>
      </c>
      <c r="D26" s="65">
        <f>IF(SER_hh_fec_in!D26=0,0,11630*1000*SER_hh_fec_in!D26/SER_hh_num_in!D26)</f>
        <v>0</v>
      </c>
      <c r="E26" s="65">
        <f>IF(SER_hh_fec_in!E26=0,0,11630*1000*SER_hh_fec_in!E26/SER_hh_num_in!E26)</f>
        <v>0</v>
      </c>
      <c r="F26" s="65">
        <f>IF(SER_hh_fec_in!F26=0,0,11630*1000*SER_hh_fec_in!F26/SER_hh_num_in!F26)</f>
        <v>0</v>
      </c>
      <c r="G26" s="65">
        <f>IF(SER_hh_fec_in!G26=0,0,11630*1000*SER_hh_fec_in!G26/SER_hh_num_in!G26)</f>
        <v>38110.807750155269</v>
      </c>
      <c r="H26" s="65">
        <f>IF(SER_hh_fec_in!H26=0,0,11630*1000*SER_hh_fec_in!H26/SER_hh_num_in!H26)</f>
        <v>40707.038636631514</v>
      </c>
      <c r="I26" s="65">
        <f>IF(SER_hh_fec_in!I26=0,0,11630*1000*SER_hh_fec_in!I26/SER_hh_num_in!I26)</f>
        <v>39973.103682913286</v>
      </c>
      <c r="J26" s="65">
        <f>IF(SER_hh_fec_in!J26=0,0,11630*1000*SER_hh_fec_in!J26/SER_hh_num_in!J26)</f>
        <v>39524.381965217341</v>
      </c>
      <c r="K26" s="65">
        <f>IF(SER_hh_fec_in!K26=0,0,11630*1000*SER_hh_fec_in!K26/SER_hh_num_in!K26)</f>
        <v>40939.13997421525</v>
      </c>
      <c r="L26" s="65">
        <f>IF(SER_hh_fec_in!L26=0,0,11630*1000*SER_hh_fec_in!L26/SER_hh_num_in!L26)</f>
        <v>36615.791046140614</v>
      </c>
      <c r="M26" s="65">
        <f>IF(SER_hh_fec_in!M26=0,0,11630*1000*SER_hh_fec_in!M26/SER_hh_num_in!M26)</f>
        <v>39133.36816773624</v>
      </c>
      <c r="N26" s="65">
        <f>IF(SER_hh_fec_in!N26=0,0,11630*1000*SER_hh_fec_in!N26/SER_hh_num_in!N26)</f>
        <v>36899.024720376387</v>
      </c>
      <c r="O26" s="65">
        <f>IF(SER_hh_fec_in!O26=0,0,11630*1000*SER_hh_fec_in!O26/SER_hh_num_in!O26)</f>
        <v>36413.5423902404</v>
      </c>
      <c r="P26" s="65">
        <f>IF(SER_hh_fec_in!P26=0,0,11630*1000*SER_hh_fec_in!P26/SER_hh_num_in!P26)</f>
        <v>34507.03407858243</v>
      </c>
      <c r="Q26" s="65">
        <f>IF(SER_hh_fec_in!Q26=0,0,11630*1000*SER_hh_fec_in!Q26/SER_hh_num_in!Q26)</f>
        <v>31261.916800345716</v>
      </c>
      <c r="R26" s="65">
        <f>IF(SER_hh_fec_in!R26=0,0,11630*1000*SER_hh_fec_in!R26/SER_hh_num_in!R26)</f>
        <v>29495.916524921991</v>
      </c>
      <c r="S26" s="65">
        <f>IF(SER_hh_fec_in!S26=0,0,11630*1000*SER_hh_fec_in!S26/SER_hh_num_in!S26)</f>
        <v>32573.390170182203</v>
      </c>
      <c r="T26" s="65">
        <f>IF(SER_hh_fec_in!T26=0,0,11630*1000*SER_hh_fec_in!T26/SER_hh_num_in!T26)</f>
        <v>31133.907525131002</v>
      </c>
      <c r="U26" s="65">
        <f>IF(SER_hh_fec_in!U26=0,0,11630*1000*SER_hh_fec_in!U26/SER_hh_num_in!U26)</f>
        <v>27587.869448963407</v>
      </c>
      <c r="V26" s="65">
        <f>IF(SER_hh_fec_in!V26=0,0,11630*1000*SER_hh_fec_in!V26/SER_hh_num_in!V26)</f>
        <v>28368.616547643775</v>
      </c>
      <c r="W26" s="65">
        <f>IF(SER_hh_fec_in!W26=0,0,11630*1000*SER_hh_fec_in!W26/SER_hh_num_in!W26)</f>
        <v>25008.587343496049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46210.131786127393</v>
      </c>
      <c r="D29" s="131">
        <f>IF(SER_hh_fec_in!D29=0,0,11630*1000*SER_hh_fec_in!D29/SER_hh_num_in!D29)</f>
        <v>45246.565142485866</v>
      </c>
      <c r="E29" s="131">
        <f>IF(SER_hh_fec_in!E29=0,0,11630*1000*SER_hh_fec_in!E29/SER_hh_num_in!E29)</f>
        <v>48184.929676838241</v>
      </c>
      <c r="F29" s="131">
        <f>IF(SER_hh_fec_in!F29=0,0,11630*1000*SER_hh_fec_in!F29/SER_hh_num_in!F29)</f>
        <v>46350.054219341415</v>
      </c>
      <c r="G29" s="131">
        <f>IF(SER_hh_fec_in!G29=0,0,11630*1000*SER_hh_fec_in!G29/SER_hh_num_in!G29)</f>
        <v>48042.093215366825</v>
      </c>
      <c r="H29" s="131">
        <f>IF(SER_hh_fec_in!H29=0,0,11630*1000*SER_hh_fec_in!H29/SER_hh_num_in!H29)</f>
        <v>49321.845079902334</v>
      </c>
      <c r="I29" s="131">
        <f>IF(SER_hh_fec_in!I29=0,0,11630*1000*SER_hh_fec_in!I29/SER_hh_num_in!I29)</f>
        <v>48207.18573536753</v>
      </c>
      <c r="J29" s="131">
        <f>IF(SER_hh_fec_in!J29=0,0,11630*1000*SER_hh_fec_in!J29/SER_hh_num_in!J29)</f>
        <v>48444.400391440577</v>
      </c>
      <c r="K29" s="131">
        <f>IF(SER_hh_fec_in!K29=0,0,11630*1000*SER_hh_fec_in!K29/SER_hh_num_in!K29)</f>
        <v>79731.039320219395</v>
      </c>
      <c r="L29" s="131">
        <f>IF(SER_hh_fec_in!L29=0,0,11630*1000*SER_hh_fec_in!L29/SER_hh_num_in!L29)</f>
        <v>62352.219322393154</v>
      </c>
      <c r="M29" s="131">
        <f>IF(SER_hh_fec_in!M29=0,0,11630*1000*SER_hh_fec_in!M29/SER_hh_num_in!M29)</f>
        <v>52915.143409991993</v>
      </c>
      <c r="N29" s="131">
        <f>IF(SER_hh_fec_in!N29=0,0,11630*1000*SER_hh_fec_in!N29/SER_hh_num_in!N29)</f>
        <v>49018.244619671386</v>
      </c>
      <c r="O29" s="131">
        <f>IF(SER_hh_fec_in!O29=0,0,11630*1000*SER_hh_fec_in!O29/SER_hh_num_in!O29)</f>
        <v>48631.753424676877</v>
      </c>
      <c r="P29" s="131">
        <f>IF(SER_hh_fec_in!P29=0,0,11630*1000*SER_hh_fec_in!P29/SER_hh_num_in!P29)</f>
        <v>49034.858629899616</v>
      </c>
      <c r="Q29" s="131">
        <f>IF(SER_hh_fec_in!Q29=0,0,11630*1000*SER_hh_fec_in!Q29/SER_hh_num_in!Q29)</f>
        <v>49420.520085646989</v>
      </c>
      <c r="R29" s="131">
        <f>IF(SER_hh_fec_in!R29=0,0,11630*1000*SER_hh_fec_in!R29/SER_hh_num_in!R29)</f>
        <v>48730.858067888912</v>
      </c>
      <c r="S29" s="131">
        <f>IF(SER_hh_fec_in!S29=0,0,11630*1000*SER_hh_fec_in!S29/SER_hh_num_in!S29)</f>
        <v>48670.152479014476</v>
      </c>
      <c r="T29" s="131">
        <f>IF(SER_hh_fec_in!T29=0,0,11630*1000*SER_hh_fec_in!T29/SER_hh_num_in!T29)</f>
        <v>49802.780291402065</v>
      </c>
      <c r="U29" s="131">
        <f>IF(SER_hh_fec_in!U29=0,0,11630*1000*SER_hh_fec_in!U29/SER_hh_num_in!U29)</f>
        <v>49971.643555932445</v>
      </c>
      <c r="V29" s="131">
        <f>IF(SER_hh_fec_in!V29=0,0,11630*1000*SER_hh_fec_in!V29/SER_hh_num_in!V29)</f>
        <v>46525.696346583412</v>
      </c>
      <c r="W29" s="131">
        <f>IF(SER_hh_fec_in!W29=0,0,11630*1000*SER_hh_fec_in!W29/SER_hh_num_in!W29)</f>
        <v>54006.815932847298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76622.257854219293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84175.373814619074</v>
      </c>
      <c r="L30" s="133">
        <f>IF(SER_hh_fec_in!L30=0,0,11630*1000*SER_hh_fec_in!L30/SER_hh_num_in!L30)</f>
        <v>68596.044350319076</v>
      </c>
      <c r="M30" s="133">
        <f>IF(SER_hh_fec_in!M30=0,0,11630*1000*SER_hh_fec_in!M30/SER_hh_num_in!M30)</f>
        <v>62082.783355917869</v>
      </c>
      <c r="N30" s="133">
        <f>IF(SER_hh_fec_in!N30=0,0,11630*1000*SER_hh_fec_in!N30/SER_hh_num_in!N30)</f>
        <v>62515.57816889276</v>
      </c>
      <c r="O30" s="133">
        <f>IF(SER_hh_fec_in!O30=0,0,11630*1000*SER_hh_fec_in!O30/SER_hh_num_in!O30)</f>
        <v>64805.36768607144</v>
      </c>
      <c r="P30" s="133">
        <f>IF(SER_hh_fec_in!P30=0,0,11630*1000*SER_hh_fec_in!P30/SER_hh_num_in!P30)</f>
        <v>58874.909130527616</v>
      </c>
      <c r="Q30" s="133">
        <f>IF(SER_hh_fec_in!Q30=0,0,11630*1000*SER_hh_fec_in!Q30/SER_hh_num_in!Q30)</f>
        <v>63938.472004746385</v>
      </c>
      <c r="R30" s="133">
        <f>IF(SER_hh_fec_in!R30=0,0,11630*1000*SER_hh_fec_in!R30/SER_hh_num_in!R30)</f>
        <v>69085.745559372968</v>
      </c>
      <c r="S30" s="133">
        <f>IF(SER_hh_fec_in!S30=0,0,11630*1000*SER_hh_fec_in!S30/SER_hh_num_in!S30)</f>
        <v>62948.346485417787</v>
      </c>
      <c r="T30" s="133">
        <f>IF(SER_hh_fec_in!T30=0,0,11630*1000*SER_hh_fec_in!T30/SER_hh_num_in!T30)</f>
        <v>55303.035002317076</v>
      </c>
      <c r="U30" s="133">
        <f>IF(SER_hh_fec_in!U30=0,0,11630*1000*SER_hh_fec_in!U30/SER_hh_num_in!U30)</f>
        <v>68928.163234917491</v>
      </c>
      <c r="V30" s="133">
        <f>IF(SER_hh_fec_in!V30=0,0,11630*1000*SER_hh_fec_in!V30/SER_hh_num_in!V30)</f>
        <v>53175.738850269139</v>
      </c>
      <c r="W30" s="133">
        <f>IF(SER_hh_fec_in!W30=0,0,11630*1000*SER_hh_fec_in!W30/SER_hh_num_in!W30)</f>
        <v>83937.300985113747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52876.909027079477</v>
      </c>
      <c r="D31" s="133">
        <f>IF(SER_hh_fec_in!D31=0,0,11630*1000*SER_hh_fec_in!D31/SER_hh_num_in!D31)</f>
        <v>54999.346388687554</v>
      </c>
      <c r="E31" s="133">
        <f>IF(SER_hh_fec_in!E31=0,0,11630*1000*SER_hh_fec_in!E31/SER_hh_num_in!E31)</f>
        <v>55915.497918617533</v>
      </c>
      <c r="F31" s="133">
        <f>IF(SER_hh_fec_in!F31=0,0,11630*1000*SER_hh_fec_in!F31/SER_hh_num_in!F31)</f>
        <v>57408.090627611251</v>
      </c>
      <c r="G31" s="133">
        <f>IF(SER_hh_fec_in!G31=0,0,11630*1000*SER_hh_fec_in!G31/SER_hh_num_in!G31)</f>
        <v>56277.334399485015</v>
      </c>
      <c r="H31" s="133">
        <f>IF(SER_hh_fec_in!H31=0,0,11630*1000*SER_hh_fec_in!H31/SER_hh_num_in!H31)</f>
        <v>58995.550077422216</v>
      </c>
      <c r="I31" s="133">
        <f>IF(SER_hh_fec_in!I31=0,0,11630*1000*SER_hh_fec_in!I31/SER_hh_num_in!I31)</f>
        <v>59331.881245408716</v>
      </c>
      <c r="J31" s="133">
        <f>IF(SER_hh_fec_in!J31=0,0,11630*1000*SER_hh_fec_in!J31/SER_hh_num_in!J31)</f>
        <v>60462.588726419999</v>
      </c>
      <c r="K31" s="133">
        <f>IF(SER_hh_fec_in!K31=0,0,11630*1000*SER_hh_fec_in!K31/SER_hh_num_in!K31)</f>
        <v>57814.405049584646</v>
      </c>
      <c r="L31" s="133">
        <f>IF(SER_hh_fec_in!L31=0,0,11630*1000*SER_hh_fec_in!L31/SER_hh_num_in!L31)</f>
        <v>59350.6099305561</v>
      </c>
      <c r="M31" s="133">
        <f>IF(SER_hh_fec_in!M31=0,0,11630*1000*SER_hh_fec_in!M31/SER_hh_num_in!M31)</f>
        <v>62443.561869576559</v>
      </c>
      <c r="N31" s="133">
        <f>IF(SER_hh_fec_in!N31=0,0,11630*1000*SER_hh_fec_in!N31/SER_hh_num_in!N31)</f>
        <v>63251.625079467362</v>
      </c>
      <c r="O31" s="133">
        <f>IF(SER_hh_fec_in!O31=0,0,11630*1000*SER_hh_fec_in!O31/SER_hh_num_in!O31)</f>
        <v>61956.201748089938</v>
      </c>
      <c r="P31" s="133">
        <f>IF(SER_hh_fec_in!P31=0,0,11630*1000*SER_hh_fec_in!P31/SER_hh_num_in!P31)</f>
        <v>61666.333363740741</v>
      </c>
      <c r="Q31" s="133">
        <f>IF(SER_hh_fec_in!Q31=0,0,11630*1000*SER_hh_fec_in!Q31/SER_hh_num_in!Q31)</f>
        <v>62988.500468083475</v>
      </c>
      <c r="R31" s="133">
        <f>IF(SER_hh_fec_in!R31=0,0,11630*1000*SER_hh_fec_in!R31/SER_hh_num_in!R31)</f>
        <v>64005.81611420562</v>
      </c>
      <c r="S31" s="133">
        <f>IF(SER_hh_fec_in!S31=0,0,11630*1000*SER_hh_fec_in!S31/SER_hh_num_in!S31)</f>
        <v>61613.287033349385</v>
      </c>
      <c r="T31" s="133">
        <f>IF(SER_hh_fec_in!T31=0,0,11630*1000*SER_hh_fec_in!T31/SER_hh_num_in!T31)</f>
        <v>65501.689293729993</v>
      </c>
      <c r="U31" s="133">
        <f>IF(SER_hh_fec_in!U31=0,0,11630*1000*SER_hh_fec_in!U31/SER_hh_num_in!U31)</f>
        <v>64312.574468920095</v>
      </c>
      <c r="V31" s="133">
        <f>IF(SER_hh_fec_in!V31=0,0,11630*1000*SER_hh_fec_in!V31/SER_hh_num_in!V31)</f>
        <v>54299.518321449315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33261.132820508734</v>
      </c>
      <c r="D33" s="68">
        <f>IF(SER_hh_fec_in!D33=0,0,11630*1000*SER_hh_fec_in!D33/SER_hh_num_in!D33)</f>
        <v>40720.878952096369</v>
      </c>
      <c r="E33" s="68">
        <f>IF(SER_hh_fec_in!E33=0,0,11630*1000*SER_hh_fec_in!E33/SER_hh_num_in!E33)</f>
        <v>45026.55480935744</v>
      </c>
      <c r="F33" s="68">
        <f>IF(SER_hh_fec_in!F33=0,0,11630*1000*SER_hh_fec_in!F33/SER_hh_num_in!F33)</f>
        <v>42447.311062836401</v>
      </c>
      <c r="G33" s="68">
        <f>IF(SER_hh_fec_in!G33=0,0,11630*1000*SER_hh_fec_in!G33/SER_hh_num_in!G33)</f>
        <v>43960.894060530896</v>
      </c>
      <c r="H33" s="68">
        <f>IF(SER_hh_fec_in!H33=0,0,11630*1000*SER_hh_fec_in!H33/SER_hh_num_in!H33)</f>
        <v>43856.905001026578</v>
      </c>
      <c r="I33" s="68">
        <f>IF(SER_hh_fec_in!I33=0,0,11630*1000*SER_hh_fec_in!I33/SER_hh_num_in!I33)</f>
        <v>43977.703517021291</v>
      </c>
      <c r="J33" s="68">
        <f>IF(SER_hh_fec_in!J33=0,0,11630*1000*SER_hh_fec_in!J33/SER_hh_num_in!J33)</f>
        <v>44511.882265877546</v>
      </c>
      <c r="K33" s="68">
        <f>IF(SER_hh_fec_in!K33=0,0,11630*1000*SER_hh_fec_in!K33/SER_hh_num_in!K33)</f>
        <v>0</v>
      </c>
      <c r="L33" s="68">
        <f>IF(SER_hh_fec_in!L33=0,0,11630*1000*SER_hh_fec_in!L33/SER_hh_num_in!L33)</f>
        <v>45109.47371826497</v>
      </c>
      <c r="M33" s="68">
        <f>IF(SER_hh_fec_in!M33=0,0,11630*1000*SER_hh_fec_in!M33/SER_hh_num_in!M33)</f>
        <v>45426.414837910241</v>
      </c>
      <c r="N33" s="68">
        <f>IF(SER_hh_fec_in!N33=0,0,11630*1000*SER_hh_fec_in!N33/SER_hh_num_in!N33)</f>
        <v>45911.322635680946</v>
      </c>
      <c r="O33" s="68">
        <f>IF(SER_hh_fec_in!O33=0,0,11630*1000*SER_hh_fec_in!O33/SER_hh_num_in!O33)</f>
        <v>46023.757084978832</v>
      </c>
      <c r="P33" s="68">
        <f>IF(SER_hh_fec_in!P33=0,0,11630*1000*SER_hh_fec_in!P33/SER_hh_num_in!P33)</f>
        <v>47550.268371190934</v>
      </c>
      <c r="Q33" s="68">
        <f>IF(SER_hh_fec_in!Q33=0,0,11630*1000*SER_hh_fec_in!Q33/SER_hh_num_in!Q33)</f>
        <v>46778.812285280554</v>
      </c>
      <c r="R33" s="68">
        <f>IF(SER_hh_fec_in!R33=0,0,11630*1000*SER_hh_fec_in!R33/SER_hh_num_in!R33)</f>
        <v>45369.709817587398</v>
      </c>
      <c r="S33" s="68">
        <f>IF(SER_hh_fec_in!S33=0,0,11630*1000*SER_hh_fec_in!S33/SER_hh_num_in!S33)</f>
        <v>46788.285719952175</v>
      </c>
      <c r="T33" s="68">
        <f>IF(SER_hh_fec_in!T33=0,0,11630*1000*SER_hh_fec_in!T33/SER_hh_num_in!T33)</f>
        <v>47358.513459399161</v>
      </c>
      <c r="U33" s="68">
        <f>IF(SER_hh_fec_in!U33=0,0,11630*1000*SER_hh_fec_in!U33/SER_hh_num_in!U33)</f>
        <v>45862.671034704726</v>
      </c>
      <c r="V33" s="68">
        <f>IF(SER_hh_fec_in!V33=0,0,11630*1000*SER_hh_fec_in!V33/SER_hh_num_in!V33)</f>
        <v>43925.263599516067</v>
      </c>
      <c r="W33" s="68">
        <f>IF(SER_hh_fec_in!W33=0,0,11630*1000*SER_hh_fec_in!W33/SER_hh_num_in!W33)</f>
        <v>44289.033186050481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300651.70364803995</v>
      </c>
      <c r="D3" s="126">
        <f>IF(SER_hh_tes_in!D3=0,0,11630*1000*SER_hh_tes_in!D3/SER_hh_num_in!D3)</f>
        <v>274187.66365519451</v>
      </c>
      <c r="E3" s="126">
        <f>IF(SER_hh_tes_in!E3=0,0,11630*1000*SER_hh_tes_in!E3/SER_hh_num_in!E3)</f>
        <v>379136.39293498639</v>
      </c>
      <c r="F3" s="126">
        <f>IF(SER_hh_tes_in!F3=0,0,11630*1000*SER_hh_tes_in!F3/SER_hh_num_in!F3)</f>
        <v>315404.76113857573</v>
      </c>
      <c r="G3" s="126">
        <f>IF(SER_hh_tes_in!G3=0,0,11630*1000*SER_hh_tes_in!G3/SER_hh_num_in!G3)</f>
        <v>298428.03975912259</v>
      </c>
      <c r="H3" s="126">
        <f>IF(SER_hh_tes_in!H3=0,0,11630*1000*SER_hh_tes_in!H3/SER_hh_num_in!H3)</f>
        <v>306451.49346046674</v>
      </c>
      <c r="I3" s="126">
        <f>IF(SER_hh_tes_in!I3=0,0,11630*1000*SER_hh_tes_in!I3/SER_hh_num_in!I3)</f>
        <v>302818.84633664158</v>
      </c>
      <c r="J3" s="126">
        <f>IF(SER_hh_tes_in!J3=0,0,11630*1000*SER_hh_tes_in!J3/SER_hh_num_in!J3)</f>
        <v>307389.25591494341</v>
      </c>
      <c r="K3" s="126">
        <f>IF(SER_hh_tes_in!K3=0,0,11630*1000*SER_hh_tes_in!K3/SER_hh_num_in!K3)</f>
        <v>300021.86439203273</v>
      </c>
      <c r="L3" s="126">
        <f>IF(SER_hh_tes_in!L3=0,0,11630*1000*SER_hh_tes_in!L3/SER_hh_num_in!L3)</f>
        <v>321886.54378079367</v>
      </c>
      <c r="M3" s="126">
        <f>IF(SER_hh_tes_in!M3=0,0,11630*1000*SER_hh_tes_in!M3/SER_hh_num_in!M3)</f>
        <v>245598.88296549118</v>
      </c>
      <c r="N3" s="126">
        <f>IF(SER_hh_tes_in!N3=0,0,11630*1000*SER_hh_tes_in!N3/SER_hh_num_in!N3)</f>
        <v>268075.26235837664</v>
      </c>
      <c r="O3" s="126">
        <f>IF(SER_hh_tes_in!O3=0,0,11630*1000*SER_hh_tes_in!O3/SER_hh_num_in!O3)</f>
        <v>267856.83561297174</v>
      </c>
      <c r="P3" s="126">
        <f>IF(SER_hh_tes_in!P3=0,0,11630*1000*SER_hh_tes_in!P3/SER_hh_num_in!P3)</f>
        <v>221203.9105690546</v>
      </c>
      <c r="Q3" s="126">
        <f>IF(SER_hh_tes_in!Q3=0,0,11630*1000*SER_hh_tes_in!Q3/SER_hh_num_in!Q3)</f>
        <v>247508.29605307328</v>
      </c>
      <c r="R3" s="126">
        <f>IF(SER_hh_tes_in!R3=0,0,11630*1000*SER_hh_tes_in!R3/SER_hh_num_in!R3)</f>
        <v>227175.96136664166</v>
      </c>
      <c r="S3" s="126">
        <f>IF(SER_hh_tes_in!S3=0,0,11630*1000*SER_hh_tes_in!S3/SER_hh_num_in!S3)</f>
        <v>247437.03707296788</v>
      </c>
      <c r="T3" s="126">
        <f>IF(SER_hh_tes_in!T3=0,0,11630*1000*SER_hh_tes_in!T3/SER_hh_num_in!T3)</f>
        <v>229583.94597350713</v>
      </c>
      <c r="U3" s="126">
        <f>IF(SER_hh_tes_in!U3=0,0,11630*1000*SER_hh_tes_in!U3/SER_hh_num_in!U3)</f>
        <v>232571.51573679439</v>
      </c>
      <c r="V3" s="126">
        <f>IF(SER_hh_tes_in!V3=0,0,11630*1000*SER_hh_tes_in!V3/SER_hh_num_in!V3)</f>
        <v>226071.49766716413</v>
      </c>
      <c r="W3" s="126">
        <f>IF(SER_hh_tes_in!W3=0,0,11630*1000*SER_hh_tes_in!W3/SER_hh_num_in!W3)</f>
        <v>185160.09490430917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207864.3889070166</v>
      </c>
      <c r="D4" s="131">
        <f>IF(SER_hh_tes_in!D4=0,0,11630*1000*SER_hh_tes_in!D4/SER_hh_num_in!D4)</f>
        <v>179318.55474441787</v>
      </c>
      <c r="E4" s="131">
        <f>IF(SER_hh_tes_in!E4=0,0,11630*1000*SER_hh_tes_in!E4/SER_hh_num_in!E4)</f>
        <v>267876.48019318213</v>
      </c>
      <c r="F4" s="131">
        <f>IF(SER_hh_tes_in!F4=0,0,11630*1000*SER_hh_tes_in!F4/SER_hh_num_in!F4)</f>
        <v>218349.01519241923</v>
      </c>
      <c r="G4" s="131">
        <f>IF(SER_hh_tes_in!G4=0,0,11630*1000*SER_hh_tes_in!G4/SER_hh_num_in!G4)</f>
        <v>201222.36925153027</v>
      </c>
      <c r="H4" s="131">
        <f>IF(SER_hh_tes_in!H4=0,0,11630*1000*SER_hh_tes_in!H4/SER_hh_num_in!H4)</f>
        <v>202618.68590417592</v>
      </c>
      <c r="I4" s="131">
        <f>IF(SER_hh_tes_in!I4=0,0,11630*1000*SER_hh_tes_in!I4/SER_hh_num_in!I4)</f>
        <v>206604.93551076335</v>
      </c>
      <c r="J4" s="131">
        <f>IF(SER_hh_tes_in!J4=0,0,11630*1000*SER_hh_tes_in!J4/SER_hh_num_in!J4)</f>
        <v>210373.25231860756</v>
      </c>
      <c r="K4" s="131">
        <f>IF(SER_hh_tes_in!K4=0,0,11630*1000*SER_hh_tes_in!K4/SER_hh_num_in!K4)</f>
        <v>191648.89044807048</v>
      </c>
      <c r="L4" s="131">
        <f>IF(SER_hh_tes_in!L4=0,0,11630*1000*SER_hh_tes_in!L4/SER_hh_num_in!L4)</f>
        <v>219758.07252267381</v>
      </c>
      <c r="M4" s="131">
        <f>IF(SER_hh_tes_in!M4=0,0,11630*1000*SER_hh_tes_in!M4/SER_hh_num_in!M4)</f>
        <v>150548.23647085309</v>
      </c>
      <c r="N4" s="131">
        <f>IF(SER_hh_tes_in!N4=0,0,11630*1000*SER_hh_tes_in!N4/SER_hh_num_in!N4)</f>
        <v>171833.41075627931</v>
      </c>
      <c r="O4" s="131">
        <f>IF(SER_hh_tes_in!O4=0,0,11630*1000*SER_hh_tes_in!O4/SER_hh_num_in!O4)</f>
        <v>172014.35681654612</v>
      </c>
      <c r="P4" s="131">
        <f>IF(SER_hh_tes_in!P4=0,0,11630*1000*SER_hh_tes_in!P4/SER_hh_num_in!P4)</f>
        <v>125884.14682630719</v>
      </c>
      <c r="Q4" s="131">
        <f>IF(SER_hh_tes_in!Q4=0,0,11630*1000*SER_hh_tes_in!Q4/SER_hh_num_in!Q4)</f>
        <v>149272.64129173191</v>
      </c>
      <c r="R4" s="131">
        <f>IF(SER_hh_tes_in!R4=0,0,11630*1000*SER_hh_tes_in!R4/SER_hh_num_in!R4)</f>
        <v>134364.95164194412</v>
      </c>
      <c r="S4" s="131">
        <f>IF(SER_hh_tes_in!S4=0,0,11630*1000*SER_hh_tes_in!S4/SER_hh_num_in!S4)</f>
        <v>152965.74736804335</v>
      </c>
      <c r="T4" s="131">
        <f>IF(SER_hh_tes_in!T4=0,0,11630*1000*SER_hh_tes_in!T4/SER_hh_num_in!T4)</f>
        <v>134807.16902845586</v>
      </c>
      <c r="U4" s="131">
        <f>IF(SER_hh_tes_in!U4=0,0,11630*1000*SER_hh_tes_in!U4/SER_hh_num_in!U4)</f>
        <v>138590.36147242965</v>
      </c>
      <c r="V4" s="131">
        <f>IF(SER_hh_tes_in!V4=0,0,11630*1000*SER_hh_tes_in!V4/SER_hh_num_in!V4)</f>
        <v>138427.94271004779</v>
      </c>
      <c r="W4" s="131">
        <f>IF(SER_hh_tes_in!W4=0,0,11630*1000*SER_hh_tes_in!W4/SER_hh_num_in!W4)</f>
        <v>100952.67010021718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224045.38962345975</v>
      </c>
      <c r="D7" s="133">
        <f>IF(SER_hh_tes_in!D7=0,0,11630*1000*SER_hh_tes_in!D7/SER_hh_num_in!D7)</f>
        <v>210441.68055136848</v>
      </c>
      <c r="E7" s="133">
        <f>IF(SER_hh_tes_in!E7=0,0,11630*1000*SER_hh_tes_in!E7/SER_hh_num_in!E7)</f>
        <v>0</v>
      </c>
      <c r="F7" s="133">
        <f>IF(SER_hh_tes_in!F7=0,0,11630*1000*SER_hh_tes_in!F7/SER_hh_num_in!F7)</f>
        <v>219194.43351975479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141515.14511511259</v>
      </c>
      <c r="L7" s="133">
        <f>IF(SER_hh_tes_in!L7=0,0,11630*1000*SER_hh_tes_in!L7/SER_hh_num_in!L7)</f>
        <v>243583.97098668636</v>
      </c>
      <c r="M7" s="133">
        <f>IF(SER_hh_tes_in!M7=0,0,11630*1000*SER_hh_tes_in!M7/SER_hh_num_in!M7)</f>
        <v>161581.4590594628</v>
      </c>
      <c r="N7" s="133">
        <f>IF(SER_hh_tes_in!N7=0,0,11630*1000*SER_hh_tes_in!N7/SER_hh_num_in!N7)</f>
        <v>155063.24206266212</v>
      </c>
      <c r="O7" s="133">
        <f>IF(SER_hh_tes_in!O7=0,0,11630*1000*SER_hh_tes_in!O7/SER_hh_num_in!O7)</f>
        <v>167356.19718710295</v>
      </c>
      <c r="P7" s="133">
        <f>IF(SER_hh_tes_in!P7=0,0,11630*1000*SER_hh_tes_in!P7/SER_hh_num_in!P7)</f>
        <v>124548.86842202934</v>
      </c>
      <c r="Q7" s="133">
        <f>IF(SER_hh_tes_in!Q7=0,0,11630*1000*SER_hh_tes_in!Q7/SER_hh_num_in!Q7)</f>
        <v>153197.27589160015</v>
      </c>
      <c r="R7" s="133">
        <f>IF(SER_hh_tes_in!R7=0,0,11630*1000*SER_hh_tes_in!R7/SER_hh_num_in!R7)</f>
        <v>127305.12501786277</v>
      </c>
      <c r="S7" s="133">
        <f>IF(SER_hh_tes_in!S7=0,0,11630*1000*SER_hh_tes_in!S7/SER_hh_num_in!S7)</f>
        <v>158876.22849527828</v>
      </c>
      <c r="T7" s="133">
        <f>IF(SER_hh_tes_in!T7=0,0,11630*1000*SER_hh_tes_in!T7/SER_hh_num_in!T7)</f>
        <v>138134.49685366644</v>
      </c>
      <c r="U7" s="133">
        <f>IF(SER_hh_tes_in!U7=0,0,11630*1000*SER_hh_tes_in!U7/SER_hh_num_in!U7)</f>
        <v>151497.43600186528</v>
      </c>
      <c r="V7" s="133">
        <f>IF(SER_hh_tes_in!V7=0,0,11630*1000*SER_hh_tes_in!V7/SER_hh_num_in!V7)</f>
        <v>122765.009345354</v>
      </c>
      <c r="W7" s="133">
        <f>IF(SER_hh_tes_in!W7=0,0,11630*1000*SER_hh_tes_in!W7/SER_hh_num_in!W7)</f>
        <v>78403.638832274039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178407.91909316884</v>
      </c>
      <c r="D9" s="133">
        <f>IF(SER_hh_tes_in!D9=0,0,11630*1000*SER_hh_tes_in!D9/SER_hh_num_in!D9)</f>
        <v>201351.83646045119</v>
      </c>
      <c r="E9" s="133">
        <f>IF(SER_hh_tes_in!E9=0,0,11630*1000*SER_hh_tes_in!E9/SER_hh_num_in!E9)</f>
        <v>0</v>
      </c>
      <c r="F9" s="133">
        <f>IF(SER_hh_tes_in!F9=0,0,11630*1000*SER_hh_tes_in!F9/SER_hh_num_in!F9)</f>
        <v>212084.89609622801</v>
      </c>
      <c r="G9" s="133">
        <f>IF(SER_hh_tes_in!G9=0,0,11630*1000*SER_hh_tes_in!G9/SER_hh_num_in!G9)</f>
        <v>180091.79654322239</v>
      </c>
      <c r="H9" s="133">
        <f>IF(SER_hh_tes_in!H9=0,0,11630*1000*SER_hh_tes_in!H9/SER_hh_num_in!H9)</f>
        <v>218795.21263962128</v>
      </c>
      <c r="I9" s="133">
        <f>IF(SER_hh_tes_in!I9=0,0,11630*1000*SER_hh_tes_in!I9/SER_hh_num_in!I9)</f>
        <v>172859.99100281886</v>
      </c>
      <c r="J9" s="133">
        <f>IF(SER_hh_tes_in!J9=0,0,11630*1000*SER_hh_tes_in!J9/SER_hh_num_in!J9)</f>
        <v>206488.17427106193</v>
      </c>
      <c r="K9" s="133">
        <f>IF(SER_hh_tes_in!K9=0,0,11630*1000*SER_hh_tes_in!K9/SER_hh_num_in!K9)</f>
        <v>210233.20702787008</v>
      </c>
      <c r="L9" s="133">
        <f>IF(SER_hh_tes_in!L9=0,0,11630*1000*SER_hh_tes_in!L9/SER_hh_num_in!L9)</f>
        <v>244517.49388419202</v>
      </c>
      <c r="M9" s="133">
        <f>IF(SER_hh_tes_in!M9=0,0,11630*1000*SER_hh_tes_in!M9/SER_hh_num_in!M9)</f>
        <v>100322.11681266595</v>
      </c>
      <c r="N9" s="133">
        <f>IF(SER_hh_tes_in!N9=0,0,11630*1000*SER_hh_tes_in!N9/SER_hh_num_in!N9)</f>
        <v>178537.46727001277</v>
      </c>
      <c r="O9" s="133">
        <f>IF(SER_hh_tes_in!O9=0,0,11630*1000*SER_hh_tes_in!O9/SER_hh_num_in!O9)</f>
        <v>168768.89007127818</v>
      </c>
      <c r="P9" s="133">
        <f>IF(SER_hh_tes_in!P9=0,0,11630*1000*SER_hh_tes_in!P9/SER_hh_num_in!P9)</f>
        <v>125587.89550540796</v>
      </c>
      <c r="Q9" s="133">
        <f>IF(SER_hh_tes_in!Q9=0,0,11630*1000*SER_hh_tes_in!Q9/SER_hh_num_in!Q9)</f>
        <v>140723.19014256014</v>
      </c>
      <c r="R9" s="133">
        <f>IF(SER_hh_tes_in!R9=0,0,11630*1000*SER_hh_tes_in!R9/SER_hh_num_in!R9)</f>
        <v>157985.17209779844</v>
      </c>
      <c r="S9" s="133">
        <f>IF(SER_hh_tes_in!S9=0,0,11630*1000*SER_hh_tes_in!S9/SER_hh_num_in!S9)</f>
        <v>0</v>
      </c>
      <c r="T9" s="133">
        <f>IF(SER_hh_tes_in!T9=0,0,11630*1000*SER_hh_tes_in!T9/SER_hh_num_in!T9)</f>
        <v>0</v>
      </c>
      <c r="U9" s="133">
        <f>IF(SER_hh_tes_in!U9=0,0,11630*1000*SER_hh_tes_in!U9/SER_hh_num_in!U9)</f>
        <v>145162.55632381645</v>
      </c>
      <c r="V9" s="133">
        <f>IF(SER_hh_tes_in!V9=0,0,11630*1000*SER_hh_tes_in!V9/SER_hh_num_in!V9)</f>
        <v>0</v>
      </c>
      <c r="W9" s="133">
        <f>IF(SER_hh_tes_in!W9=0,0,11630*1000*SER_hh_tes_in!W9/SER_hh_num_in!W9)</f>
        <v>115635.59530104675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205717.02547391396</v>
      </c>
      <c r="D10" s="133">
        <f>IF(SER_hh_tes_in!D10=0,0,11630*1000*SER_hh_tes_in!D10/SER_hh_num_in!D10)</f>
        <v>276769.33901011868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105232.34335227564</v>
      </c>
      <c r="J10" s="133">
        <f>IF(SER_hh_tes_in!J10=0,0,11630*1000*SER_hh_tes_in!J10/SER_hh_num_in!J10)</f>
        <v>188846.98155590988</v>
      </c>
      <c r="K10" s="133">
        <f>IF(SER_hh_tes_in!K10=0,0,11630*1000*SER_hh_tes_in!K10/SER_hh_num_in!K10)</f>
        <v>279943.47418508824</v>
      </c>
      <c r="L10" s="133">
        <f>IF(SER_hh_tes_in!L10=0,0,11630*1000*SER_hh_tes_in!L10/SER_hh_num_in!L10)</f>
        <v>197721.97583727507</v>
      </c>
      <c r="M10" s="133">
        <f>IF(SER_hh_tes_in!M10=0,0,11630*1000*SER_hh_tes_in!M10/SER_hh_num_in!M10)</f>
        <v>76837.907601769548</v>
      </c>
      <c r="N10" s="133">
        <f>IF(SER_hh_tes_in!N10=0,0,11630*1000*SER_hh_tes_in!N10/SER_hh_num_in!N10)</f>
        <v>134764.34334598208</v>
      </c>
      <c r="O10" s="133">
        <f>IF(SER_hh_tes_in!O10=0,0,11630*1000*SER_hh_tes_in!O10/SER_hh_num_in!O10)</f>
        <v>185437.38708605192</v>
      </c>
      <c r="P10" s="133">
        <f>IF(SER_hh_tes_in!P10=0,0,11630*1000*SER_hh_tes_in!P10/SER_hh_num_in!P10)</f>
        <v>229139.06869073503</v>
      </c>
      <c r="Q10" s="133">
        <f>IF(SER_hh_tes_in!Q10=0,0,11630*1000*SER_hh_tes_in!Q10/SER_hh_num_in!Q10)</f>
        <v>89994.956974235058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489740.41489012277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182909.21007090929</v>
      </c>
      <c r="D12" s="133">
        <f>IF(SER_hh_tes_in!D12=0,0,11630*1000*SER_hh_tes_in!D12/SER_hh_num_in!D12)</f>
        <v>167154.09620404404</v>
      </c>
      <c r="E12" s="133">
        <f>IF(SER_hh_tes_in!E12=0,0,11630*1000*SER_hh_tes_in!E12/SER_hh_num_in!E12)</f>
        <v>266627.61786463938</v>
      </c>
      <c r="F12" s="133">
        <f>IF(SER_hh_tes_in!F12=0,0,11630*1000*SER_hh_tes_in!F12/SER_hh_num_in!F12)</f>
        <v>226031.20925890602</v>
      </c>
      <c r="G12" s="133">
        <f>IF(SER_hh_tes_in!G12=0,0,11630*1000*SER_hh_tes_in!G12/SER_hh_num_in!G12)</f>
        <v>212639.18064771162</v>
      </c>
      <c r="H12" s="133">
        <f>IF(SER_hh_tes_in!H12=0,0,11630*1000*SER_hh_tes_in!H12/SER_hh_num_in!H12)</f>
        <v>214960.6616179421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171083.45704828537</v>
      </c>
      <c r="L12" s="133">
        <f>IF(SER_hh_tes_in!L12=0,0,11630*1000*SER_hh_tes_in!L12/SER_hh_num_in!L12)</f>
        <v>193472.76037430245</v>
      </c>
      <c r="M12" s="133">
        <f>IF(SER_hh_tes_in!M12=0,0,11630*1000*SER_hh_tes_in!M12/SER_hh_num_in!M12)</f>
        <v>198423.39109521767</v>
      </c>
      <c r="N12" s="133">
        <f>IF(SER_hh_tes_in!N12=0,0,11630*1000*SER_hh_tes_in!N12/SER_hh_num_in!N12)</f>
        <v>173751.92286723643</v>
      </c>
      <c r="O12" s="133">
        <f>IF(SER_hh_tes_in!O12=0,0,11630*1000*SER_hh_tes_in!O12/SER_hh_num_in!O12)</f>
        <v>182400.37321462811</v>
      </c>
      <c r="P12" s="133">
        <f>IF(SER_hh_tes_in!P12=0,0,11630*1000*SER_hh_tes_in!P12/SER_hh_num_in!P12)</f>
        <v>118187.62163186626</v>
      </c>
      <c r="Q12" s="133">
        <f>IF(SER_hh_tes_in!Q12=0,0,11630*1000*SER_hh_tes_in!Q12/SER_hh_num_in!Q12)</f>
        <v>140538.56961753196</v>
      </c>
      <c r="R12" s="133">
        <f>IF(SER_hh_tes_in!R12=0,0,11630*1000*SER_hh_tes_in!R12/SER_hh_num_in!R12)</f>
        <v>135264.43727625973</v>
      </c>
      <c r="S12" s="133">
        <f>IF(SER_hh_tes_in!S12=0,0,11630*1000*SER_hh_tes_in!S12/SER_hh_num_in!S12)</f>
        <v>139104.36758760308</v>
      </c>
      <c r="T12" s="133">
        <f>IF(SER_hh_tes_in!T12=0,0,11630*1000*SER_hh_tes_in!T12/SER_hh_num_in!T12)</f>
        <v>133352.89028535434</v>
      </c>
      <c r="U12" s="133">
        <f>IF(SER_hh_tes_in!U12=0,0,11630*1000*SER_hh_tes_in!U12/SER_hh_num_in!U12)</f>
        <v>134877.29040186299</v>
      </c>
      <c r="V12" s="133">
        <f>IF(SER_hh_tes_in!V12=0,0,11630*1000*SER_hh_tes_in!V12/SER_hh_num_in!V12)</f>
        <v>142218.44562096507</v>
      </c>
      <c r="W12" s="133">
        <f>IF(SER_hh_tes_in!W12=0,0,11630*1000*SER_hh_tes_in!W12/SER_hh_num_in!W12)</f>
        <v>98323.229947505795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264654.10372044996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182975.55696588251</v>
      </c>
      <c r="G14" s="65">
        <f>IF(SER_hh_tes_in!G14=0,0,11630*1000*SER_hh_tes_in!G14/SER_hh_num_in!G14)</f>
        <v>208285.96862957149</v>
      </c>
      <c r="H14" s="65">
        <f>IF(SER_hh_tes_in!H14=0,0,11630*1000*SER_hh_tes_in!H14/SER_hh_num_in!H14)</f>
        <v>184117.1695674333</v>
      </c>
      <c r="I14" s="65">
        <f>IF(SER_hh_tes_in!I14=0,0,11630*1000*SER_hh_tes_in!I14/SER_hh_num_in!I14)</f>
        <v>235956.24077010513</v>
      </c>
      <c r="J14" s="65">
        <f>IF(SER_hh_tes_in!J14=0,0,11630*1000*SER_hh_tes_in!J14/SER_hh_num_in!J14)</f>
        <v>210923.09110474831</v>
      </c>
      <c r="K14" s="65">
        <f>IF(SER_hh_tes_in!K14=0,0,11630*1000*SER_hh_tes_in!K14/SER_hh_num_in!K14)</f>
        <v>188027.62856116489</v>
      </c>
      <c r="L14" s="65">
        <f>IF(SER_hh_tes_in!L14=0,0,11630*1000*SER_hh_tes_in!L14/SER_hh_num_in!L14)</f>
        <v>192103.99860874191</v>
      </c>
      <c r="M14" s="65">
        <f>IF(SER_hh_tes_in!M14=0,0,11630*1000*SER_hh_tes_in!M14/SER_hh_num_in!M14)</f>
        <v>163858.13897124695</v>
      </c>
      <c r="N14" s="65">
        <f>IF(SER_hh_tes_in!N14=0,0,11630*1000*SER_hh_tes_in!N14/SER_hh_num_in!N14)</f>
        <v>171267.99678107043</v>
      </c>
      <c r="O14" s="65">
        <f>IF(SER_hh_tes_in!O14=0,0,11630*1000*SER_hh_tes_in!O14/SER_hh_num_in!O14)</f>
        <v>169526.07956800854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99486.629544389245</v>
      </c>
      <c r="S14" s="65">
        <f>IF(SER_hh_tes_in!S14=0,0,11630*1000*SER_hh_tes_in!S14/SER_hh_num_in!S14)</f>
        <v>166018.03533491783</v>
      </c>
      <c r="T14" s="65">
        <f>IF(SER_hh_tes_in!T14=0,0,11630*1000*SER_hh_tes_in!T14/SER_hh_num_in!T14)</f>
        <v>132050.46106875542</v>
      </c>
      <c r="U14" s="65">
        <f>IF(SER_hh_tes_in!U14=0,0,11630*1000*SER_hh_tes_in!U14/SER_hh_num_in!U14)</f>
        <v>141566.01149644321</v>
      </c>
      <c r="V14" s="65">
        <f>IF(SER_hh_tes_in!V14=0,0,11630*1000*SER_hh_tes_in!V14/SER_hh_num_in!V14)</f>
        <v>116683.66288484822</v>
      </c>
      <c r="W14" s="65">
        <f>IF(SER_hh_tes_in!W14=0,0,11630*1000*SER_hh_tes_in!W14/SER_hh_num_in!W14)</f>
        <v>95821.600458872606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2587.5704084926288</v>
      </c>
      <c r="D15" s="135">
        <f>IF(SER_hh_tes_in!D15=0,0,11630*1000*SER_hh_tes_in!D15/SER_hh_num_in!D15)</f>
        <v>1665.3555420595449</v>
      </c>
      <c r="E15" s="135">
        <f>IF(SER_hh_tes_in!E15=0,0,11630*1000*SER_hh_tes_in!E15/SER_hh_num_in!E15)</f>
        <v>1248.8623285427368</v>
      </c>
      <c r="F15" s="135">
        <f>IF(SER_hh_tes_in!F15=0,0,11630*1000*SER_hh_tes_in!F15/SER_hh_num_in!F15)</f>
        <v>1440.828065198989</v>
      </c>
      <c r="G15" s="135">
        <f>IF(SER_hh_tes_in!G15=0,0,11630*1000*SER_hh_tes_in!G15/SER_hh_num_in!G15)</f>
        <v>2351.7377943300385</v>
      </c>
      <c r="H15" s="135">
        <f>IF(SER_hh_tes_in!H15=0,0,11630*1000*SER_hh_tes_in!H15/SER_hh_num_in!H15)</f>
        <v>3867.547444824183</v>
      </c>
      <c r="I15" s="135">
        <f>IF(SER_hh_tes_in!I15=0,0,11630*1000*SER_hh_tes_in!I15/SER_hh_num_in!I15)</f>
        <v>3021.9233679132522</v>
      </c>
      <c r="J15" s="135">
        <f>IF(SER_hh_tes_in!J15=0,0,11630*1000*SER_hh_tes_in!J15/SER_hh_num_in!J15)</f>
        <v>3572.8445256553277</v>
      </c>
      <c r="K15" s="135">
        <f>IF(SER_hh_tes_in!K15=0,0,11630*1000*SER_hh_tes_in!K15/SER_hh_num_in!K15)</f>
        <v>3077.2305558290009</v>
      </c>
      <c r="L15" s="135">
        <f>IF(SER_hh_tes_in!L15=0,0,11630*1000*SER_hh_tes_in!L15/SER_hh_num_in!L15)</f>
        <v>2960.8872248025255</v>
      </c>
      <c r="M15" s="135">
        <f>IF(SER_hh_tes_in!M15=0,0,11630*1000*SER_hh_tes_in!M15/SER_hh_num_in!M15)</f>
        <v>1898.2853306765364</v>
      </c>
      <c r="N15" s="135">
        <f>IF(SER_hh_tes_in!N15=0,0,11630*1000*SER_hh_tes_in!N15/SER_hh_num_in!N15)</f>
        <v>2356.4294220644183</v>
      </c>
      <c r="O15" s="135">
        <f>IF(SER_hh_tes_in!O15=0,0,11630*1000*SER_hh_tes_in!O15/SER_hh_num_in!O15)</f>
        <v>2514.9551875376369</v>
      </c>
      <c r="P15" s="135">
        <f>IF(SER_hh_tes_in!P15=0,0,11630*1000*SER_hh_tes_in!P15/SER_hh_num_in!P15)</f>
        <v>1776.7062742060305</v>
      </c>
      <c r="Q15" s="135">
        <f>IF(SER_hh_tes_in!Q15=0,0,11630*1000*SER_hh_tes_in!Q15/SER_hh_num_in!Q15)</f>
        <v>1923.5313630205385</v>
      </c>
      <c r="R15" s="135">
        <f>IF(SER_hh_tes_in!R15=0,0,11630*1000*SER_hh_tes_in!R15/SER_hh_num_in!R15)</f>
        <v>1485.4660044813461</v>
      </c>
      <c r="S15" s="135">
        <f>IF(SER_hh_tes_in!S15=0,0,11630*1000*SER_hh_tes_in!S15/SER_hh_num_in!S15)</f>
        <v>1564.5451419158696</v>
      </c>
      <c r="T15" s="135">
        <f>IF(SER_hh_tes_in!T15=0,0,11630*1000*SER_hh_tes_in!T15/SER_hh_num_in!T15)</f>
        <v>931.60868922832424</v>
      </c>
      <c r="U15" s="135">
        <f>IF(SER_hh_tes_in!U15=0,0,11630*1000*SER_hh_tes_in!U15/SER_hh_num_in!U15)</f>
        <v>789.05385176267282</v>
      </c>
      <c r="V15" s="135">
        <f>IF(SER_hh_tes_in!V15=0,0,11630*1000*SER_hh_tes_in!V15/SER_hh_num_in!V15)</f>
        <v>674.43251647082855</v>
      </c>
      <c r="W15" s="135">
        <f>IF(SER_hh_tes_in!W15=0,0,11630*1000*SER_hh_tes_in!W15/SER_hh_num_in!W15)</f>
        <v>862.89551615800212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34885.458058070973</v>
      </c>
      <c r="D16" s="131">
        <f>IF(SER_hh_tes_in!D16=0,0,11630*1000*SER_hh_tes_in!D16/SER_hh_num_in!D16)</f>
        <v>35132.58961799628</v>
      </c>
      <c r="E16" s="131">
        <f>IF(SER_hh_tes_in!E16=0,0,11630*1000*SER_hh_tes_in!E16/SER_hh_num_in!E16)</f>
        <v>44593.596121673567</v>
      </c>
      <c r="F16" s="131">
        <f>IF(SER_hh_tes_in!F16=0,0,11630*1000*SER_hh_tes_in!F16/SER_hh_num_in!F16)</f>
        <v>33743.440331590187</v>
      </c>
      <c r="G16" s="131">
        <f>IF(SER_hh_tes_in!G16=0,0,11630*1000*SER_hh_tes_in!G16/SER_hh_num_in!G16)</f>
        <v>34436.659223972703</v>
      </c>
      <c r="H16" s="131">
        <f>IF(SER_hh_tes_in!H16=0,0,11630*1000*SER_hh_tes_in!H16/SER_hh_num_in!H16)</f>
        <v>39999.896181650955</v>
      </c>
      <c r="I16" s="131">
        <f>IF(SER_hh_tes_in!I16=0,0,11630*1000*SER_hh_tes_in!I16/SER_hh_num_in!I16)</f>
        <v>32807.473516036072</v>
      </c>
      <c r="J16" s="131">
        <f>IF(SER_hh_tes_in!J16=0,0,11630*1000*SER_hh_tes_in!J16/SER_hh_num_in!J16)</f>
        <v>32212.154340625362</v>
      </c>
      <c r="K16" s="131">
        <f>IF(SER_hh_tes_in!K16=0,0,11630*1000*SER_hh_tes_in!K16/SER_hh_num_in!K16)</f>
        <v>31933.289618463645</v>
      </c>
      <c r="L16" s="131">
        <f>IF(SER_hh_tes_in!L16=0,0,11630*1000*SER_hh_tes_in!L16/SER_hh_num_in!L16)</f>
        <v>33489.787687229422</v>
      </c>
      <c r="M16" s="131">
        <f>IF(SER_hh_tes_in!M16=0,0,11630*1000*SER_hh_tes_in!M16/SER_hh_num_in!M16)</f>
        <v>30762.127339413011</v>
      </c>
      <c r="N16" s="131">
        <f>IF(SER_hh_tes_in!N16=0,0,11630*1000*SER_hh_tes_in!N16/SER_hh_num_in!N16)</f>
        <v>30958.54727810558</v>
      </c>
      <c r="O16" s="131">
        <f>IF(SER_hh_tes_in!O16=0,0,11630*1000*SER_hh_tes_in!O16/SER_hh_num_in!O16)</f>
        <v>30837.73745057463</v>
      </c>
      <c r="P16" s="131">
        <f>IF(SER_hh_tes_in!P16=0,0,11630*1000*SER_hh_tes_in!P16/SER_hh_num_in!P16)</f>
        <v>28955.475099912561</v>
      </c>
      <c r="Q16" s="131">
        <f>IF(SER_hh_tes_in!Q16=0,0,11630*1000*SER_hh_tes_in!Q16/SER_hh_num_in!Q16)</f>
        <v>31799.516889788225</v>
      </c>
      <c r="R16" s="131">
        <f>IF(SER_hh_tes_in!R16=0,0,11630*1000*SER_hh_tes_in!R16/SER_hh_num_in!R16)</f>
        <v>28038.533842026514</v>
      </c>
      <c r="S16" s="131">
        <f>IF(SER_hh_tes_in!S16=0,0,11630*1000*SER_hh_tes_in!S16/SER_hh_num_in!S16)</f>
        <v>26862.645704203096</v>
      </c>
      <c r="T16" s="131">
        <f>IF(SER_hh_tes_in!T16=0,0,11630*1000*SER_hh_tes_in!T16/SER_hh_num_in!T16)</f>
        <v>28814.540660558327</v>
      </c>
      <c r="U16" s="131">
        <f>IF(SER_hh_tes_in!U16=0,0,11630*1000*SER_hh_tes_in!U16/SER_hh_num_in!U16)</f>
        <v>27386.457593690782</v>
      </c>
      <c r="V16" s="131">
        <f>IF(SER_hh_tes_in!V16=0,0,11630*1000*SER_hh_tes_in!V16/SER_hh_num_in!V16)</f>
        <v>25760.121989941836</v>
      </c>
      <c r="W16" s="131">
        <f>IF(SER_hh_tes_in!W16=0,0,11630*1000*SER_hh_tes_in!W16/SER_hh_num_in!W16)</f>
        <v>18438.823868467451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34889.551116046365</v>
      </c>
      <c r="D17" s="133">
        <f>IF(SER_hh_tes_in!D17=0,0,11630*1000*SER_hh_tes_in!D17/SER_hh_num_in!D17)</f>
        <v>35153.320581661654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33838.856440355004</v>
      </c>
      <c r="G17" s="133">
        <f>IF(SER_hh_tes_in!G17=0,0,11630*1000*SER_hh_tes_in!G17/SER_hh_num_in!G17)</f>
        <v>34492.905725082252</v>
      </c>
      <c r="H17" s="133">
        <f>IF(SER_hh_tes_in!H17=0,0,11630*1000*SER_hh_tes_in!H17/SER_hh_num_in!H17)</f>
        <v>40052.372779419798</v>
      </c>
      <c r="I17" s="133">
        <f>IF(SER_hh_tes_in!I17=0,0,11630*1000*SER_hh_tes_in!I17/SER_hh_num_in!I17)</f>
        <v>32861.194023173557</v>
      </c>
      <c r="J17" s="133">
        <f>IF(SER_hh_tes_in!J17=0,0,11630*1000*SER_hh_tes_in!J17/SER_hh_num_in!J17)</f>
        <v>32243.324430190158</v>
      </c>
      <c r="K17" s="133">
        <f>IF(SER_hh_tes_in!K17=0,0,11630*1000*SER_hh_tes_in!K17/SER_hh_num_in!K17)</f>
        <v>37541.965291279295</v>
      </c>
      <c r="L17" s="133">
        <f>IF(SER_hh_tes_in!L17=0,0,11630*1000*SER_hh_tes_in!L17/SER_hh_num_in!L17)</f>
        <v>33512.569971805649</v>
      </c>
      <c r="M17" s="133">
        <f>IF(SER_hh_tes_in!M17=0,0,11630*1000*SER_hh_tes_in!M17/SER_hh_num_in!M17)</f>
        <v>30822.791499401152</v>
      </c>
      <c r="N17" s="133">
        <f>IF(SER_hh_tes_in!N17=0,0,11630*1000*SER_hh_tes_in!N17/SER_hh_num_in!N17)</f>
        <v>31042.078639339034</v>
      </c>
      <c r="O17" s="133">
        <f>IF(SER_hh_tes_in!O17=0,0,11630*1000*SER_hh_tes_in!O17/SER_hh_num_in!O17)</f>
        <v>31145.447505314558</v>
      </c>
      <c r="P17" s="133">
        <f>IF(SER_hh_tes_in!P17=0,0,11630*1000*SER_hh_tes_in!P17/SER_hh_num_in!P17)</f>
        <v>29579.363909401993</v>
      </c>
      <c r="Q17" s="133">
        <f>IF(SER_hh_tes_in!Q17=0,0,11630*1000*SER_hh_tes_in!Q17/SER_hh_num_in!Q17)</f>
        <v>32479.387192455582</v>
      </c>
      <c r="R17" s="133">
        <f>IF(SER_hh_tes_in!R17=0,0,11630*1000*SER_hh_tes_in!R17/SER_hh_num_in!R17)</f>
        <v>28928.364275905118</v>
      </c>
      <c r="S17" s="133">
        <f>IF(SER_hh_tes_in!S17=0,0,11630*1000*SER_hh_tes_in!S17/SER_hh_num_in!S17)</f>
        <v>28563.985596932613</v>
      </c>
      <c r="T17" s="133">
        <f>IF(SER_hh_tes_in!T17=0,0,11630*1000*SER_hh_tes_in!T17/SER_hh_num_in!T17)</f>
        <v>29335.508330667391</v>
      </c>
      <c r="U17" s="133">
        <f>IF(SER_hh_tes_in!U17=0,0,11630*1000*SER_hh_tes_in!U17/SER_hh_num_in!U17)</f>
        <v>27756.285013883946</v>
      </c>
      <c r="V17" s="133">
        <f>IF(SER_hh_tes_in!V17=0,0,11630*1000*SER_hh_tes_in!V17/SER_hh_num_in!V17)</f>
        <v>26074.399058998632</v>
      </c>
      <c r="W17" s="133">
        <f>IF(SER_hh_tes_in!W17=0,0,11630*1000*SER_hh_tes_in!W17/SER_hh_num_in!W17)</f>
        <v>21489.721544133368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34885.435849520647</v>
      </c>
      <c r="D18" s="133">
        <f>IF(SER_hh_tes_in!D18=0,0,11630*1000*SER_hh_tes_in!D18/SER_hh_num_in!D18)</f>
        <v>35132.421379777326</v>
      </c>
      <c r="E18" s="133">
        <f>IF(SER_hh_tes_in!E18=0,0,11630*1000*SER_hh_tes_in!E18/SER_hh_num_in!E18)</f>
        <v>44593.596121673567</v>
      </c>
      <c r="F18" s="133">
        <f>IF(SER_hh_tes_in!F18=0,0,11630*1000*SER_hh_tes_in!F18/SER_hh_num_in!F18)</f>
        <v>33741.757672999192</v>
      </c>
      <c r="G18" s="133">
        <f>IF(SER_hh_tes_in!G18=0,0,11630*1000*SER_hh_tes_in!G18/SER_hh_num_in!G18)</f>
        <v>34436.427579496842</v>
      </c>
      <c r="H18" s="133">
        <f>IF(SER_hh_tes_in!H18=0,0,11630*1000*SER_hh_tes_in!H18/SER_hh_num_in!H18)</f>
        <v>39999.511033040901</v>
      </c>
      <c r="I18" s="133">
        <f>IF(SER_hh_tes_in!I18=0,0,11630*1000*SER_hh_tes_in!I18/SER_hh_num_in!I18)</f>
        <v>32806.682768638391</v>
      </c>
      <c r="J18" s="133">
        <f>IF(SER_hh_tes_in!J18=0,0,11630*1000*SER_hh_tes_in!J18/SER_hh_num_in!J18)</f>
        <v>32211.929484169523</v>
      </c>
      <c r="K18" s="133">
        <f>IF(SER_hh_tes_in!K18=0,0,11630*1000*SER_hh_tes_in!K18/SER_hh_num_in!K18)</f>
        <v>31872.603958156382</v>
      </c>
      <c r="L18" s="133">
        <f>IF(SER_hh_tes_in!L18=0,0,11630*1000*SER_hh_tes_in!L18/SER_hh_num_in!L18)</f>
        <v>33489.595528624304</v>
      </c>
      <c r="M18" s="133">
        <f>IF(SER_hh_tes_in!M18=0,0,11630*1000*SER_hh_tes_in!M18/SER_hh_num_in!M18)</f>
        <v>30761.368079799195</v>
      </c>
      <c r="N18" s="133">
        <f>IF(SER_hh_tes_in!N18=0,0,11630*1000*SER_hh_tes_in!N18/SER_hh_num_in!N18)</f>
        <v>30957.51994308471</v>
      </c>
      <c r="O18" s="133">
        <f>IF(SER_hh_tes_in!O18=0,0,11630*1000*SER_hh_tes_in!O18/SER_hh_num_in!O18)</f>
        <v>30830.887851317311</v>
      </c>
      <c r="P18" s="133">
        <f>IF(SER_hh_tes_in!P18=0,0,11630*1000*SER_hh_tes_in!P18/SER_hh_num_in!P18)</f>
        <v>28930.979889272141</v>
      </c>
      <c r="Q18" s="133">
        <f>IF(SER_hh_tes_in!Q18=0,0,11630*1000*SER_hh_tes_in!Q18/SER_hh_num_in!Q18)</f>
        <v>31778.101987859172</v>
      </c>
      <c r="R18" s="133">
        <f>IF(SER_hh_tes_in!R18=0,0,11630*1000*SER_hh_tes_in!R18/SER_hh_num_in!R18)</f>
        <v>27974.239831251864</v>
      </c>
      <c r="S18" s="133">
        <f>IF(SER_hh_tes_in!S18=0,0,11630*1000*SER_hh_tes_in!S18/SER_hh_num_in!S18)</f>
        <v>26794.761275401175</v>
      </c>
      <c r="T18" s="133">
        <f>IF(SER_hh_tes_in!T18=0,0,11630*1000*SER_hh_tes_in!T18/SER_hh_num_in!T18)</f>
        <v>28803.948410943074</v>
      </c>
      <c r="U18" s="133">
        <f>IF(SER_hh_tes_in!U18=0,0,11630*1000*SER_hh_tes_in!U18/SER_hh_num_in!U18)</f>
        <v>27372.162000889111</v>
      </c>
      <c r="V18" s="133">
        <f>IF(SER_hh_tes_in!V18=0,0,11630*1000*SER_hh_tes_in!V18/SER_hh_num_in!V18)</f>
        <v>25745.694324557226</v>
      </c>
      <c r="W18" s="133">
        <f>IF(SER_hh_tes_in!W18=0,0,11630*1000*SER_hh_tes_in!W18/SER_hh_num_in!W18)</f>
        <v>18316.743699122344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27203.311049765369</v>
      </c>
      <c r="D19" s="131">
        <f>IF(SER_hh_tes_in!D19=0,0,11630*1000*SER_hh_tes_in!D19/SER_hh_num_in!D19)</f>
        <v>27174.687980045863</v>
      </c>
      <c r="E19" s="131">
        <f>IF(SER_hh_tes_in!E19=0,0,11630*1000*SER_hh_tes_in!E19/SER_hh_num_in!E19)</f>
        <v>31502.155926734165</v>
      </c>
      <c r="F19" s="131">
        <f>IF(SER_hh_tes_in!F19=0,0,11630*1000*SER_hh_tes_in!F19/SER_hh_num_in!F19)</f>
        <v>29327.09017289972</v>
      </c>
      <c r="G19" s="131">
        <f>IF(SER_hh_tes_in!G19=0,0,11630*1000*SER_hh_tes_in!G19/SER_hh_num_in!G19)</f>
        <v>28097.897576041454</v>
      </c>
      <c r="H19" s="131">
        <f>IF(SER_hh_tes_in!H19=0,0,11630*1000*SER_hh_tes_in!H19/SER_hh_num_in!H19)</f>
        <v>28607.635613776678</v>
      </c>
      <c r="I19" s="131">
        <f>IF(SER_hh_tes_in!I19=0,0,11630*1000*SER_hh_tes_in!I19/SER_hh_num_in!I19)</f>
        <v>28073.280628678454</v>
      </c>
      <c r="J19" s="131">
        <f>IF(SER_hh_tes_in!J19=0,0,11630*1000*SER_hh_tes_in!J19/SER_hh_num_in!J19)</f>
        <v>28955.98612605469</v>
      </c>
      <c r="K19" s="131">
        <f>IF(SER_hh_tes_in!K19=0,0,11630*1000*SER_hh_tes_in!K19/SER_hh_num_in!K19)</f>
        <v>28370.799803804144</v>
      </c>
      <c r="L19" s="131">
        <f>IF(SER_hh_tes_in!L19=0,0,11630*1000*SER_hh_tes_in!L19/SER_hh_num_in!L19)</f>
        <v>29694.922992958102</v>
      </c>
      <c r="M19" s="131">
        <f>IF(SER_hh_tes_in!M19=0,0,11630*1000*SER_hh_tes_in!M19/SER_hh_num_in!M19)</f>
        <v>27288.559670194445</v>
      </c>
      <c r="N19" s="131">
        <f>IF(SER_hh_tes_in!N19=0,0,11630*1000*SER_hh_tes_in!N19/SER_hh_num_in!N19)</f>
        <v>28018.698381049668</v>
      </c>
      <c r="O19" s="131">
        <f>IF(SER_hh_tes_in!O19=0,0,11630*1000*SER_hh_tes_in!O19/SER_hh_num_in!O19)</f>
        <v>27630.223236042137</v>
      </c>
      <c r="P19" s="131">
        <f>IF(SER_hh_tes_in!P19=0,0,11630*1000*SER_hh_tes_in!P19/SER_hh_num_in!P19)</f>
        <v>27797.612217657635</v>
      </c>
      <c r="Q19" s="131">
        <f>IF(SER_hh_tes_in!Q19=0,0,11630*1000*SER_hh_tes_in!Q19/SER_hh_num_in!Q19)</f>
        <v>28053.500788132413</v>
      </c>
      <c r="R19" s="131">
        <f>IF(SER_hh_tes_in!R19=0,0,11630*1000*SER_hh_tes_in!R19/SER_hh_num_in!R19)</f>
        <v>26746.322060858532</v>
      </c>
      <c r="S19" s="131">
        <f>IF(SER_hh_tes_in!S19=0,0,11630*1000*SER_hh_tes_in!S19/SER_hh_num_in!S19)</f>
        <v>28544.095876558826</v>
      </c>
      <c r="T19" s="131">
        <f>IF(SER_hh_tes_in!T19=0,0,11630*1000*SER_hh_tes_in!T19/SER_hh_num_in!T19)</f>
        <v>26963.769975141553</v>
      </c>
      <c r="U19" s="131">
        <f>IF(SER_hh_tes_in!U19=0,0,11630*1000*SER_hh_tes_in!U19/SER_hh_num_in!U19)</f>
        <v>26776.491185172112</v>
      </c>
      <c r="V19" s="131">
        <f>IF(SER_hh_tes_in!V19=0,0,11630*1000*SER_hh_tes_in!V19/SER_hh_num_in!V19)</f>
        <v>25316.222193128968</v>
      </c>
      <c r="W19" s="131">
        <f>IF(SER_hh_tes_in!W19=0,0,11630*1000*SER_hh_tes_in!W19/SER_hh_num_in!W19)</f>
        <v>23913.794163991242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28256.550542254179</v>
      </c>
      <c r="D22" s="133">
        <f>IF(SER_hh_tes_in!D22=0,0,11630*1000*SER_hh_tes_in!D22/SER_hh_num_in!D22)</f>
        <v>28735.004982560898</v>
      </c>
      <c r="E22" s="133">
        <f>IF(SER_hh_tes_in!E22=0,0,11630*1000*SER_hh_tes_in!E22/SER_hh_num_in!E22)</f>
        <v>28748.217517079564</v>
      </c>
      <c r="F22" s="133">
        <f>IF(SER_hh_tes_in!F22=0,0,11630*1000*SER_hh_tes_in!F22/SER_hh_num_in!F22)</f>
        <v>29670.972783925972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24437.932571903762</v>
      </c>
      <c r="L22" s="133">
        <f>IF(SER_hh_tes_in!L22=0,0,11630*1000*SER_hh_tes_in!L22/SER_hh_num_in!L22)</f>
        <v>33377.266449321178</v>
      </c>
      <c r="M22" s="133">
        <f>IF(SER_hh_tes_in!M22=0,0,11630*1000*SER_hh_tes_in!M22/SER_hh_num_in!M22)</f>
        <v>22399.683182687768</v>
      </c>
      <c r="N22" s="133">
        <f>IF(SER_hh_tes_in!N22=0,0,11630*1000*SER_hh_tes_in!N22/SER_hh_num_in!N22)</f>
        <v>29858.496401240769</v>
      </c>
      <c r="O22" s="133">
        <f>IF(SER_hh_tes_in!O22=0,0,11630*1000*SER_hh_tes_in!O22/SER_hh_num_in!O22)</f>
        <v>28122.073366499139</v>
      </c>
      <c r="P22" s="133">
        <f>IF(SER_hh_tes_in!P22=0,0,11630*1000*SER_hh_tes_in!P22/SER_hh_num_in!P22)</f>
        <v>28542.019712245572</v>
      </c>
      <c r="Q22" s="133">
        <f>IF(SER_hh_tes_in!Q22=0,0,11630*1000*SER_hh_tes_in!Q22/SER_hh_num_in!Q22)</f>
        <v>26317.149226325033</v>
      </c>
      <c r="R22" s="133">
        <f>IF(SER_hh_tes_in!R22=0,0,11630*1000*SER_hh_tes_in!R22/SER_hh_num_in!R22)</f>
        <v>22572.460868520986</v>
      </c>
      <c r="S22" s="133">
        <f>IF(SER_hh_tes_in!S22=0,0,11630*1000*SER_hh_tes_in!S22/SER_hh_num_in!S22)</f>
        <v>29598.280040945509</v>
      </c>
      <c r="T22" s="133">
        <f>IF(SER_hh_tes_in!T22=0,0,11630*1000*SER_hh_tes_in!T22/SER_hh_num_in!T22)</f>
        <v>28115.170727894547</v>
      </c>
      <c r="U22" s="133">
        <f>IF(SER_hh_tes_in!U22=0,0,11630*1000*SER_hh_tes_in!U22/SER_hh_num_in!U22)</f>
        <v>28822.418584079005</v>
      </c>
      <c r="V22" s="133">
        <f>IF(SER_hh_tes_in!V22=0,0,11630*1000*SER_hh_tes_in!V22/SER_hh_num_in!V22)</f>
        <v>22717.233063617605</v>
      </c>
      <c r="W22" s="133">
        <f>IF(SER_hh_tes_in!W22=0,0,11630*1000*SER_hh_tes_in!W22/SER_hh_num_in!W22)</f>
        <v>25349.77536242842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28471.377521121693</v>
      </c>
      <c r="D23" s="133">
        <f>IF(SER_hh_tes_in!D23=0,0,11630*1000*SER_hh_tes_in!D23/SER_hh_num_in!D23)</f>
        <v>28049.879082053038</v>
      </c>
      <c r="E23" s="133">
        <f>IF(SER_hh_tes_in!E23=0,0,11630*1000*SER_hh_tes_in!E23/SER_hh_num_in!E23)</f>
        <v>29197.002343066193</v>
      </c>
      <c r="F23" s="133">
        <f>IF(SER_hh_tes_in!F23=0,0,11630*1000*SER_hh_tes_in!F23/SER_hh_num_in!F23)</f>
        <v>28421.000056780063</v>
      </c>
      <c r="G23" s="133">
        <f>IF(SER_hh_tes_in!G23=0,0,11630*1000*SER_hh_tes_in!G23/SER_hh_num_in!G23)</f>
        <v>28485.058579835881</v>
      </c>
      <c r="H23" s="133">
        <f>IF(SER_hh_tes_in!H23=0,0,11630*1000*SER_hh_tes_in!H23/SER_hh_num_in!H23)</f>
        <v>27705.258769568023</v>
      </c>
      <c r="I23" s="133">
        <f>IF(SER_hh_tes_in!I23=0,0,11630*1000*SER_hh_tes_in!I23/SER_hh_num_in!I23)</f>
        <v>26840.176698051269</v>
      </c>
      <c r="J23" s="133">
        <f>IF(SER_hh_tes_in!J23=0,0,11630*1000*SER_hh_tes_in!J23/SER_hh_num_in!J23)</f>
        <v>29902.108771902607</v>
      </c>
      <c r="K23" s="133">
        <f>IF(SER_hh_tes_in!K23=0,0,11630*1000*SER_hh_tes_in!K23/SER_hh_num_in!K23)</f>
        <v>26938.954333496393</v>
      </c>
      <c r="L23" s="133">
        <f>IF(SER_hh_tes_in!L23=0,0,11630*1000*SER_hh_tes_in!L23/SER_hh_num_in!L23)</f>
        <v>29567.870694901747</v>
      </c>
      <c r="M23" s="133">
        <f>IF(SER_hh_tes_in!M23=0,0,11630*1000*SER_hh_tes_in!M23/SER_hh_num_in!M23)</f>
        <v>27978.143415975606</v>
      </c>
      <c r="N23" s="133">
        <f>IF(SER_hh_tes_in!N23=0,0,11630*1000*SER_hh_tes_in!N23/SER_hh_num_in!N23)</f>
        <v>26597.697233043404</v>
      </c>
      <c r="O23" s="133">
        <f>IF(SER_hh_tes_in!O23=0,0,11630*1000*SER_hh_tes_in!O23/SER_hh_num_in!O23)</f>
        <v>26798.335559627649</v>
      </c>
      <c r="P23" s="133">
        <f>IF(SER_hh_tes_in!P23=0,0,11630*1000*SER_hh_tes_in!P23/SER_hh_num_in!P23)</f>
        <v>27970.261221178782</v>
      </c>
      <c r="Q23" s="133">
        <f>IF(SER_hh_tes_in!Q23=0,0,11630*1000*SER_hh_tes_in!Q23/SER_hh_num_in!Q23)</f>
        <v>31374.774827437719</v>
      </c>
      <c r="R23" s="133">
        <f>IF(SER_hh_tes_in!R23=0,0,11630*1000*SER_hh_tes_in!R23/SER_hh_num_in!R23)</f>
        <v>33279.667337099279</v>
      </c>
      <c r="S23" s="133">
        <f>IF(SER_hh_tes_in!S23=0,0,11630*1000*SER_hh_tes_in!S23/SER_hh_num_in!S23)</f>
        <v>24313.896933235406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28001.369370776185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29652.378449673281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23893.63675177715</v>
      </c>
      <c r="D25" s="133">
        <f>IF(SER_hh_tes_in!D25=0,0,11630*1000*SER_hh_tes_in!D25/SER_hh_num_in!D25)</f>
        <v>26550.936637098337</v>
      </c>
      <c r="E25" s="133">
        <f>IF(SER_hh_tes_in!E25=0,0,11630*1000*SER_hh_tes_in!E25/SER_hh_num_in!E25)</f>
        <v>32916.754988831584</v>
      </c>
      <c r="F25" s="133">
        <f>IF(SER_hh_tes_in!F25=0,0,11630*1000*SER_hh_tes_in!F25/SER_hh_num_in!F25)</f>
        <v>29761.222316109692</v>
      </c>
      <c r="G25" s="133">
        <f>IF(SER_hh_tes_in!G25=0,0,11630*1000*SER_hh_tes_in!G25/SER_hh_num_in!G25)</f>
        <v>28567.792924868285</v>
      </c>
      <c r="H25" s="133">
        <f>IF(SER_hh_tes_in!H25=0,0,11630*1000*SER_hh_tes_in!H25/SER_hh_num_in!H25)</f>
        <v>28422.830435976965</v>
      </c>
      <c r="I25" s="133">
        <f>IF(SER_hh_tes_in!I25=0,0,11630*1000*SER_hh_tes_in!I25/SER_hh_num_in!I25)</f>
        <v>28208.477854187724</v>
      </c>
      <c r="J25" s="133">
        <f>IF(SER_hh_tes_in!J25=0,0,11630*1000*SER_hh_tes_in!J25/SER_hh_num_in!J25)</f>
        <v>28140.820507932774</v>
      </c>
      <c r="K25" s="133">
        <f>IF(SER_hh_tes_in!K25=0,0,11630*1000*SER_hh_tes_in!K25/SER_hh_num_in!K25)</f>
        <v>28954.44966744374</v>
      </c>
      <c r="L25" s="133">
        <f>IF(SER_hh_tes_in!L25=0,0,11630*1000*SER_hh_tes_in!L25/SER_hh_num_in!L25)</f>
        <v>27333.106241190038</v>
      </c>
      <c r="M25" s="133">
        <f>IF(SER_hh_tes_in!M25=0,0,11630*1000*SER_hh_tes_in!M25/SER_hh_num_in!M25)</f>
        <v>27568.111405481974</v>
      </c>
      <c r="N25" s="133">
        <f>IF(SER_hh_tes_in!N25=0,0,11630*1000*SER_hh_tes_in!N25/SER_hh_num_in!N25)</f>
        <v>27794.52376441249</v>
      </c>
      <c r="O25" s="133">
        <f>IF(SER_hh_tes_in!O25=0,0,11630*1000*SER_hh_tes_in!O25/SER_hh_num_in!O25)</f>
        <v>27890.365042453785</v>
      </c>
      <c r="P25" s="133">
        <f>IF(SER_hh_tes_in!P25=0,0,11630*1000*SER_hh_tes_in!P25/SER_hh_num_in!P25)</f>
        <v>27411.847083247503</v>
      </c>
      <c r="Q25" s="133">
        <f>IF(SER_hh_tes_in!Q25=0,0,11630*1000*SER_hh_tes_in!Q25/SER_hh_num_in!Q25)</f>
        <v>27389.213256576666</v>
      </c>
      <c r="R25" s="133">
        <f>IF(SER_hh_tes_in!R25=0,0,11630*1000*SER_hh_tes_in!R25/SER_hh_num_in!R25)</f>
        <v>27265.019235503354</v>
      </c>
      <c r="S25" s="133">
        <f>IF(SER_hh_tes_in!S25=0,0,11630*1000*SER_hh_tes_in!S25/SER_hh_num_in!S25)</f>
        <v>28425.277284393542</v>
      </c>
      <c r="T25" s="133">
        <f>IF(SER_hh_tes_in!T25=0,0,11630*1000*SER_hh_tes_in!T25/SER_hh_num_in!T25)</f>
        <v>25521.50463490557</v>
      </c>
      <c r="U25" s="133">
        <f>IF(SER_hh_tes_in!U25=0,0,11630*1000*SER_hh_tes_in!U25/SER_hh_num_in!U25)</f>
        <v>27030.342896702237</v>
      </c>
      <c r="V25" s="133">
        <f>IF(SER_hh_tes_in!V25=0,0,11630*1000*SER_hh_tes_in!V25/SER_hh_num_in!V25)</f>
        <v>25673.347243516975</v>
      </c>
      <c r="W25" s="133">
        <f>IF(SER_hh_tes_in!W25=0,0,11630*1000*SER_hh_tes_in!W25/SER_hh_num_in!W25)</f>
        <v>21799.562336844232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29491.448467525126</v>
      </c>
      <c r="D26" s="65">
        <f>IF(SER_hh_tes_in!D26=0,0,11630*1000*SER_hh_tes_in!D26/SER_hh_num_in!D26)</f>
        <v>0</v>
      </c>
      <c r="E26" s="65">
        <f>IF(SER_hh_tes_in!E26=0,0,11630*1000*SER_hh_tes_in!E26/SER_hh_num_in!E26)</f>
        <v>0</v>
      </c>
      <c r="F26" s="65">
        <f>IF(SER_hh_tes_in!F26=0,0,11630*1000*SER_hh_tes_in!F26/SER_hh_num_in!F26)</f>
        <v>0</v>
      </c>
      <c r="G26" s="65">
        <f>IF(SER_hh_tes_in!G26=0,0,11630*1000*SER_hh_tes_in!G26/SER_hh_num_in!G26)</f>
        <v>26994.273751391207</v>
      </c>
      <c r="H26" s="65">
        <f>IF(SER_hh_tes_in!H26=0,0,11630*1000*SER_hh_tes_in!H26/SER_hh_num_in!H26)</f>
        <v>28953.569941889113</v>
      </c>
      <c r="I26" s="65">
        <f>IF(SER_hh_tes_in!I26=0,0,11630*1000*SER_hh_tes_in!I26/SER_hh_num_in!I26)</f>
        <v>28557.51456761633</v>
      </c>
      <c r="J26" s="65">
        <f>IF(SER_hh_tes_in!J26=0,0,11630*1000*SER_hh_tes_in!J26/SER_hh_num_in!J26)</f>
        <v>28375.270961519163</v>
      </c>
      <c r="K26" s="65">
        <f>IF(SER_hh_tes_in!K26=0,0,11630*1000*SER_hh_tes_in!K26/SER_hh_num_in!K26)</f>
        <v>29554.090661234033</v>
      </c>
      <c r="L26" s="65">
        <f>IF(SER_hh_tes_in!L26=0,0,11630*1000*SER_hh_tes_in!L26/SER_hh_num_in!L26)</f>
        <v>26598.47090145382</v>
      </c>
      <c r="M26" s="65">
        <f>IF(SER_hh_tes_in!M26=0,0,11630*1000*SER_hh_tes_in!M26/SER_hh_num_in!M26)</f>
        <v>28747.435054025442</v>
      </c>
      <c r="N26" s="65">
        <f>IF(SER_hh_tes_in!N26=0,0,11630*1000*SER_hh_tes_in!N26/SER_hh_num_in!N26)</f>
        <v>27593.866462036207</v>
      </c>
      <c r="O26" s="65">
        <f>IF(SER_hh_tes_in!O26=0,0,11630*1000*SER_hh_tes_in!O26/SER_hh_num_in!O26)</f>
        <v>27959.878483985864</v>
      </c>
      <c r="P26" s="65">
        <f>IF(SER_hh_tes_in!P26=0,0,11630*1000*SER_hh_tes_in!P26/SER_hh_num_in!P26)</f>
        <v>27394.744253821835</v>
      </c>
      <c r="Q26" s="65">
        <f>IF(SER_hh_tes_in!Q26=0,0,11630*1000*SER_hh_tes_in!Q26/SER_hh_num_in!Q26)</f>
        <v>25617.45031524451</v>
      </c>
      <c r="R26" s="65">
        <f>IF(SER_hh_tes_in!R26=0,0,11630*1000*SER_hh_tes_in!R26/SER_hh_num_in!R26)</f>
        <v>24710.698703045102</v>
      </c>
      <c r="S26" s="65">
        <f>IF(SER_hh_tes_in!S26=0,0,11630*1000*SER_hh_tes_in!S26/SER_hh_num_in!S26)</f>
        <v>27879.79262536309</v>
      </c>
      <c r="T26" s="65">
        <f>IF(SER_hh_tes_in!T26=0,0,11630*1000*SER_hh_tes_in!T26/SER_hh_num_in!T26)</f>
        <v>27195.039996287323</v>
      </c>
      <c r="U26" s="65">
        <f>IF(SER_hh_tes_in!U26=0,0,11630*1000*SER_hh_tes_in!U26/SER_hh_num_in!U26)</f>
        <v>24553.195320993749</v>
      </c>
      <c r="V26" s="65">
        <f>IF(SER_hh_tes_in!V26=0,0,11630*1000*SER_hh_tes_in!V26/SER_hh_num_in!V26)</f>
        <v>25664.317123410696</v>
      </c>
      <c r="W26" s="65">
        <f>IF(SER_hh_tes_in!W26=0,0,11630*1000*SER_hh_tes_in!W26/SER_hh_num_in!W26)</f>
        <v>22913.454376361478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30698.545633187008</v>
      </c>
      <c r="D29" s="131">
        <f>IF(SER_hh_tes_in!D29=0,0,11630*1000*SER_hh_tes_in!D29/SER_hh_num_in!D29)</f>
        <v>32561.831312734485</v>
      </c>
      <c r="E29" s="131">
        <f>IF(SER_hh_tes_in!E29=0,0,11630*1000*SER_hh_tes_in!E29/SER_hh_num_in!E29)</f>
        <v>35164.160693396552</v>
      </c>
      <c r="F29" s="131">
        <f>IF(SER_hh_tes_in!F29=0,0,11630*1000*SER_hh_tes_in!F29/SER_hh_num_in!F29)</f>
        <v>33985.215441666609</v>
      </c>
      <c r="G29" s="131">
        <f>IF(SER_hh_tes_in!G29=0,0,11630*1000*SER_hh_tes_in!G29/SER_hh_num_in!G29)</f>
        <v>34671.113707578232</v>
      </c>
      <c r="H29" s="131">
        <f>IF(SER_hh_tes_in!H29=0,0,11630*1000*SER_hh_tes_in!H29/SER_hh_num_in!H29)</f>
        <v>35225.275760863216</v>
      </c>
      <c r="I29" s="131">
        <f>IF(SER_hh_tes_in!I29=0,0,11630*1000*SER_hh_tes_in!I29/SER_hh_num_in!I29)</f>
        <v>35333.156681163717</v>
      </c>
      <c r="J29" s="131">
        <f>IF(SER_hh_tes_in!J29=0,0,11630*1000*SER_hh_tes_in!J29/SER_hh_num_in!J29)</f>
        <v>35847.863129655816</v>
      </c>
      <c r="K29" s="131">
        <f>IF(SER_hh_tes_in!K29=0,0,11630*1000*SER_hh_tes_in!K29/SER_hh_num_in!K29)</f>
        <v>48068.884521694505</v>
      </c>
      <c r="L29" s="131">
        <f>IF(SER_hh_tes_in!L29=0,0,11630*1000*SER_hh_tes_in!L29/SER_hh_num_in!L29)</f>
        <v>38943.760577932335</v>
      </c>
      <c r="M29" s="131">
        <f>IF(SER_hh_tes_in!M29=0,0,11630*1000*SER_hh_tes_in!M29/SER_hh_num_in!M29)</f>
        <v>36999.959485030602</v>
      </c>
      <c r="N29" s="131">
        <f>IF(SER_hh_tes_in!N29=0,0,11630*1000*SER_hh_tes_in!N29/SER_hh_num_in!N29)</f>
        <v>37264.605942942129</v>
      </c>
      <c r="O29" s="131">
        <f>IF(SER_hh_tes_in!O29=0,0,11630*1000*SER_hh_tes_in!O29/SER_hh_num_in!O29)</f>
        <v>37374.518109808836</v>
      </c>
      <c r="P29" s="131">
        <f>IF(SER_hh_tes_in!P29=0,0,11630*1000*SER_hh_tes_in!P29/SER_hh_num_in!P29)</f>
        <v>38566.676425177182</v>
      </c>
      <c r="Q29" s="131">
        <f>IF(SER_hh_tes_in!Q29=0,0,11630*1000*SER_hh_tes_in!Q29/SER_hh_num_in!Q29)</f>
        <v>38382.637083420741</v>
      </c>
      <c r="R29" s="131">
        <f>IF(SER_hh_tes_in!R29=0,0,11630*1000*SER_hh_tes_in!R29/SER_hh_num_in!R29)</f>
        <v>38026.153821812492</v>
      </c>
      <c r="S29" s="131">
        <f>IF(SER_hh_tes_in!S29=0,0,11630*1000*SER_hh_tes_in!S29/SER_hh_num_in!S29)</f>
        <v>39064.548124162618</v>
      </c>
      <c r="T29" s="131">
        <f>IF(SER_hh_tes_in!T29=0,0,11630*1000*SER_hh_tes_in!T29/SER_hh_num_in!T29)</f>
        <v>38998.466309351425</v>
      </c>
      <c r="U29" s="131">
        <f>IF(SER_hh_tes_in!U29=0,0,11630*1000*SER_hh_tes_in!U29/SER_hh_num_in!U29)</f>
        <v>39818.205485501829</v>
      </c>
      <c r="V29" s="131">
        <f>IF(SER_hh_tes_in!V29=0,0,11630*1000*SER_hh_tes_in!V29/SER_hh_num_in!V29)</f>
        <v>36567.210774045569</v>
      </c>
      <c r="W29" s="131">
        <f>IF(SER_hh_tes_in!W29=0,0,11630*1000*SER_hh_tes_in!W29/SER_hh_num_in!W29)</f>
        <v>41854.806771633324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45918.741030163605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50704.664717665262</v>
      </c>
      <c r="L30" s="133">
        <f>IF(SER_hh_tes_in!L30=0,0,11630*1000*SER_hh_tes_in!L30/SER_hh_num_in!L30)</f>
        <v>41343.561653329998</v>
      </c>
      <c r="M30" s="133">
        <f>IF(SER_hh_tes_in!M30=0,0,11630*1000*SER_hh_tes_in!M30/SER_hh_num_in!M30)</f>
        <v>37429.350598636207</v>
      </c>
      <c r="N30" s="133">
        <f>IF(SER_hh_tes_in!N30=0,0,11630*1000*SER_hh_tes_in!N30/SER_hh_num_in!N30)</f>
        <v>37690.280085306273</v>
      </c>
      <c r="O30" s="133">
        <f>IF(SER_hh_tes_in!O30=0,0,11630*1000*SER_hh_tes_in!O30/SER_hh_num_in!O30)</f>
        <v>39070.780926323947</v>
      </c>
      <c r="P30" s="133">
        <f>IF(SER_hh_tes_in!P30=0,0,11630*1000*SER_hh_tes_in!P30/SER_hh_num_in!P30)</f>
        <v>35495.341803152405</v>
      </c>
      <c r="Q30" s="133">
        <f>IF(SER_hh_tes_in!Q30=0,0,11630*1000*SER_hh_tes_in!Q30/SER_hh_num_in!Q30)</f>
        <v>38548.1345397607</v>
      </c>
      <c r="R30" s="133">
        <f>IF(SER_hh_tes_in!R30=0,0,11630*1000*SER_hh_tes_in!R30/SER_hh_num_in!R30)</f>
        <v>41731.543597598065</v>
      </c>
      <c r="S30" s="133">
        <f>IF(SER_hh_tes_in!S30=0,0,11630*1000*SER_hh_tes_in!S30/SER_hh_num_in!S30)</f>
        <v>38143.63767943337</v>
      </c>
      <c r="T30" s="133">
        <f>IF(SER_hh_tes_in!T30=0,0,11630*1000*SER_hh_tes_in!T30/SER_hh_num_in!T30)</f>
        <v>33633.349067341856</v>
      </c>
      <c r="U30" s="133">
        <f>IF(SER_hh_tes_in!U30=0,0,11630*1000*SER_hh_tes_in!U30/SER_hh_num_in!U30)</f>
        <v>42077.672347367501</v>
      </c>
      <c r="V30" s="133">
        <f>IF(SER_hh_tes_in!V30=0,0,11630*1000*SER_hh_tes_in!V30/SER_hh_num_in!V30)</f>
        <v>32574.983343892916</v>
      </c>
      <c r="W30" s="133">
        <f>IF(SER_hh_tes_in!W30=0,0,11630*1000*SER_hh_tes_in!W30/SER_hh_num_in!W30)</f>
        <v>51585.110466936807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31851.84005034437</v>
      </c>
      <c r="D31" s="133">
        <f>IF(SER_hh_tes_in!D31=0,0,11630*1000*SER_hh_tes_in!D31/SER_hh_num_in!D31)</f>
        <v>33160.795258954167</v>
      </c>
      <c r="E31" s="133">
        <f>IF(SER_hh_tes_in!E31=0,0,11630*1000*SER_hh_tes_in!E31/SER_hh_num_in!E31)</f>
        <v>33743.689288423775</v>
      </c>
      <c r="F31" s="133">
        <f>IF(SER_hh_tes_in!F31=0,0,11630*1000*SER_hh_tes_in!F31/SER_hh_num_in!F31)</f>
        <v>34675.705575963468</v>
      </c>
      <c r="G31" s="133">
        <f>IF(SER_hh_tes_in!G31=0,0,11630*1000*SER_hh_tes_in!G31/SER_hh_num_in!G31)</f>
        <v>34022.955866946315</v>
      </c>
      <c r="H31" s="133">
        <f>IF(SER_hh_tes_in!H31=0,0,11630*1000*SER_hh_tes_in!H31/SER_hh_num_in!H31)</f>
        <v>35697.609221609608</v>
      </c>
      <c r="I31" s="133">
        <f>IF(SER_hh_tes_in!I31=0,0,11630*1000*SER_hh_tes_in!I31/SER_hh_num_in!I31)</f>
        <v>35932.158985238195</v>
      </c>
      <c r="J31" s="133">
        <f>IF(SER_hh_tes_in!J31=0,0,11630*1000*SER_hh_tes_in!J31/SER_hh_num_in!J31)</f>
        <v>36647.706332545291</v>
      </c>
      <c r="K31" s="133">
        <f>IF(SER_hh_tes_in!K31=0,0,11630*1000*SER_hh_tes_in!K31/SER_hh_num_in!K31)</f>
        <v>35070.891088557066</v>
      </c>
      <c r="L31" s="133">
        <f>IF(SER_hh_tes_in!L31=0,0,11630*1000*SER_hh_tes_in!L31/SER_hh_num_in!L31)</f>
        <v>36030.595894939623</v>
      </c>
      <c r="M31" s="133">
        <f>IF(SER_hh_tes_in!M31=0,0,11630*1000*SER_hh_tes_in!M31/SER_hh_num_in!M31)</f>
        <v>37924.020475136524</v>
      </c>
      <c r="N31" s="133">
        <f>IF(SER_hh_tes_in!N31=0,0,11630*1000*SER_hh_tes_in!N31/SER_hh_num_in!N31)</f>
        <v>38414.78373078024</v>
      </c>
      <c r="O31" s="133">
        <f>IF(SER_hh_tes_in!O31=0,0,11630*1000*SER_hh_tes_in!O31/SER_hh_num_in!O31)</f>
        <v>37628.030709776445</v>
      </c>
      <c r="P31" s="133">
        <f>IF(SER_hh_tes_in!P31=0,0,11630*1000*SER_hh_tes_in!P31/SER_hh_num_in!P31)</f>
        <v>37451.98414526249</v>
      </c>
      <c r="Q31" s="133">
        <f>IF(SER_hh_tes_in!Q31=0,0,11630*1000*SER_hh_tes_in!Q31/SER_hh_num_in!Q31)</f>
        <v>38254.979535585924</v>
      </c>
      <c r="R31" s="133">
        <f>IF(SER_hh_tes_in!R31=0,0,11630*1000*SER_hh_tes_in!R31/SER_hh_num_in!R31)</f>
        <v>38974.846962957861</v>
      </c>
      <c r="S31" s="133">
        <f>IF(SER_hh_tes_in!S31=0,0,11630*1000*SER_hh_tes_in!S31/SER_hh_num_in!S31)</f>
        <v>37678.559485580976</v>
      </c>
      <c r="T31" s="133">
        <f>IF(SER_hh_tes_in!T31=0,0,11630*1000*SER_hh_tes_in!T31/SER_hh_num_in!T31)</f>
        <v>40255.621366624538</v>
      </c>
      <c r="U31" s="133">
        <f>IF(SER_hh_tes_in!U31=0,0,11630*1000*SER_hh_tes_in!U31/SER_hh_num_in!U31)</f>
        <v>39727.366518351846</v>
      </c>
      <c r="V31" s="133">
        <f>IF(SER_hh_tes_in!V31=0,0,11630*1000*SER_hh_tes_in!V31/SER_hh_num_in!V31)</f>
        <v>33701.285289207146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26336.225453991734</v>
      </c>
      <c r="D33" s="68">
        <f>IF(SER_hh_tes_in!D33=0,0,11630*1000*SER_hh_tes_in!D33/SER_hh_num_in!D33)</f>
        <v>32283.887740381382</v>
      </c>
      <c r="E33" s="68">
        <f>IF(SER_hh_tes_in!E33=0,0,11630*1000*SER_hh_tes_in!E33/SER_hh_num_in!E33)</f>
        <v>35744.503696022781</v>
      </c>
      <c r="F33" s="68">
        <f>IF(SER_hh_tes_in!F33=0,0,11630*1000*SER_hh_tes_in!F33/SER_hh_num_in!F33)</f>
        <v>33741.518862385514</v>
      </c>
      <c r="G33" s="68">
        <f>IF(SER_hh_tes_in!G33=0,0,11630*1000*SER_hh_tes_in!G33/SER_hh_num_in!G33)</f>
        <v>34992.326064599256</v>
      </c>
      <c r="H33" s="68">
        <f>IF(SER_hh_tes_in!H33=0,0,11630*1000*SER_hh_tes_in!H33/SER_hh_num_in!H33)</f>
        <v>34958.441692542052</v>
      </c>
      <c r="I33" s="68">
        <f>IF(SER_hh_tes_in!I33=0,0,11630*1000*SER_hh_tes_in!I33/SER_hh_num_in!I33)</f>
        <v>35105.422844175126</v>
      </c>
      <c r="J33" s="68">
        <f>IF(SER_hh_tes_in!J33=0,0,11630*1000*SER_hh_tes_in!J33/SER_hh_num_in!J33)</f>
        <v>35586.143325863399</v>
      </c>
      <c r="K33" s="68">
        <f>IF(SER_hh_tes_in!K33=0,0,11630*1000*SER_hh_tes_in!K33/SER_hh_num_in!K33)</f>
        <v>0</v>
      </c>
      <c r="L33" s="68">
        <f>IF(SER_hh_tes_in!L33=0,0,11630*1000*SER_hh_tes_in!L33/SER_hh_num_in!L33)</f>
        <v>36186.802990593118</v>
      </c>
      <c r="M33" s="68">
        <f>IF(SER_hh_tes_in!M33=0,0,11630*1000*SER_hh_tes_in!M33/SER_hh_num_in!M33)</f>
        <v>36528.311556283923</v>
      </c>
      <c r="N33" s="68">
        <f>IF(SER_hh_tes_in!N33=0,0,11630*1000*SER_hh_tes_in!N33/SER_hh_num_in!N33)</f>
        <v>37035.130421792834</v>
      </c>
      <c r="O33" s="68">
        <f>IF(SER_hh_tes_in!O33=0,0,11630*1000*SER_hh_tes_in!O33/SER_hh_num_in!O33)</f>
        <v>37284.786546841809</v>
      </c>
      <c r="P33" s="68">
        <f>IF(SER_hh_tes_in!P33=0,0,11630*1000*SER_hh_tes_in!P33/SER_hh_num_in!P33)</f>
        <v>38735.895728824769</v>
      </c>
      <c r="Q33" s="68">
        <f>IF(SER_hh_tes_in!Q33=0,0,11630*1000*SER_hh_tes_in!Q33/SER_hh_num_in!Q33)</f>
        <v>38379.358822216309</v>
      </c>
      <c r="R33" s="68">
        <f>IF(SER_hh_tes_in!R33=0,0,11630*1000*SER_hh_tes_in!R33/SER_hh_num_in!R33)</f>
        <v>37582.025979235601</v>
      </c>
      <c r="S33" s="68">
        <f>IF(SER_hh_tes_in!S33=0,0,11630*1000*SER_hh_tes_in!S33/SER_hh_num_in!S33)</f>
        <v>39218.864988598063</v>
      </c>
      <c r="T33" s="68">
        <f>IF(SER_hh_tes_in!T33=0,0,11630*1000*SER_hh_tes_in!T33/SER_hh_num_in!T33)</f>
        <v>40199.359565351093</v>
      </c>
      <c r="U33" s="68">
        <f>IF(SER_hh_tes_in!U33=0,0,11630*1000*SER_hh_tes_in!U33/SER_hh_num_in!U33)</f>
        <v>39394.357376860149</v>
      </c>
      <c r="V33" s="68">
        <f>IF(SER_hh_tes_in!V33=0,0,11630*1000*SER_hh_tes_in!V33/SER_hh_num_in!V33)</f>
        <v>38100.685743136732</v>
      </c>
      <c r="W33" s="68">
        <f>IF(SER_hh_tes_in!W33=0,0,11630*1000*SER_hh_tes_in!W33/SER_hh_num_in!W33)</f>
        <v>38695.587092894661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44798.306510016715</v>
      </c>
      <c r="D3" s="126">
        <f>IF(SER_hh_emi_in!D3=0,0,1000000*SER_hh_emi_in!D3/SER_hh_num_in!D3)</f>
        <v>29285.143585411985</v>
      </c>
      <c r="E3" s="126">
        <f>IF(SER_hh_emi_in!E3=0,0,1000000*SER_hh_emi_in!E3/SER_hh_num_in!E3)</f>
        <v>7259.373988048862</v>
      </c>
      <c r="F3" s="126">
        <f>IF(SER_hh_emi_in!F3=0,0,1000000*SER_hh_emi_in!F3/SER_hh_num_in!F3)</f>
        <v>15431.070258942746</v>
      </c>
      <c r="G3" s="126">
        <f>IF(SER_hh_emi_in!G3=0,0,1000000*SER_hh_emi_in!G3/SER_hh_num_in!G3)</f>
        <v>25208.62710007561</v>
      </c>
      <c r="H3" s="126">
        <f>IF(SER_hh_emi_in!H3=0,0,1000000*SER_hh_emi_in!H3/SER_hh_num_in!H3)</f>
        <v>38216.283580225303</v>
      </c>
      <c r="I3" s="126">
        <f>IF(SER_hh_emi_in!I3=0,0,1000000*SER_hh_emi_in!I3/SER_hh_num_in!I3)</f>
        <v>31006.276912981011</v>
      </c>
      <c r="J3" s="126">
        <f>IF(SER_hh_emi_in!J3=0,0,1000000*SER_hh_emi_in!J3/SER_hh_num_in!J3)</f>
        <v>43823.84594351644</v>
      </c>
      <c r="K3" s="126">
        <f>IF(SER_hh_emi_in!K3=0,0,1000000*SER_hh_emi_in!K3/SER_hh_num_in!K3)</f>
        <v>63993.406786113417</v>
      </c>
      <c r="L3" s="126">
        <f>IF(SER_hh_emi_in!L3=0,0,1000000*SER_hh_emi_in!L3/SER_hh_num_in!L3)</f>
        <v>72243.042626112612</v>
      </c>
      <c r="M3" s="126">
        <f>IF(SER_hh_emi_in!M3=0,0,1000000*SER_hh_emi_in!M3/SER_hh_num_in!M3)</f>
        <v>41961.033905257034</v>
      </c>
      <c r="N3" s="126">
        <f>IF(SER_hh_emi_in!N3=0,0,1000000*SER_hh_emi_in!N3/SER_hh_num_in!N3)</f>
        <v>43985.082360527158</v>
      </c>
      <c r="O3" s="126">
        <f>IF(SER_hh_emi_in!O3=0,0,1000000*SER_hh_emi_in!O3/SER_hh_num_in!O3)</f>
        <v>48158.33609993523</v>
      </c>
      <c r="P3" s="126">
        <f>IF(SER_hh_emi_in!P3=0,0,1000000*SER_hh_emi_in!P3/SER_hh_num_in!P3)</f>
        <v>40496.415292655591</v>
      </c>
      <c r="Q3" s="126">
        <f>IF(SER_hh_emi_in!Q3=0,0,1000000*SER_hh_emi_in!Q3/SER_hh_num_in!Q3)</f>
        <v>45347.717628906161</v>
      </c>
      <c r="R3" s="126">
        <f>IF(SER_hh_emi_in!R3=0,0,1000000*SER_hh_emi_in!R3/SER_hh_num_in!R3)</f>
        <v>32408.029913077156</v>
      </c>
      <c r="S3" s="126">
        <f>IF(SER_hh_emi_in!S3=0,0,1000000*SER_hh_emi_in!S3/SER_hh_num_in!S3)</f>
        <v>33120.061672665717</v>
      </c>
      <c r="T3" s="126">
        <f>IF(SER_hh_emi_in!T3=0,0,1000000*SER_hh_emi_in!T3/SER_hh_num_in!T3)</f>
        <v>16575.612014476745</v>
      </c>
      <c r="U3" s="126">
        <f>IF(SER_hh_emi_in!U3=0,0,1000000*SER_hh_emi_in!U3/SER_hh_num_in!U3)</f>
        <v>12049.690072111924</v>
      </c>
      <c r="V3" s="126">
        <f>IF(SER_hh_emi_in!V3=0,0,1000000*SER_hh_emi_in!V3/SER_hh_num_in!V3)</f>
        <v>7565.1925668902832</v>
      </c>
      <c r="W3" s="126">
        <f>IF(SER_hh_emi_in!W3=0,0,1000000*SER_hh_emi_in!W3/SER_hh_num_in!W3)</f>
        <v>14322.737049085068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34100.558327855688</v>
      </c>
      <c r="D4" s="131">
        <f>IF(SER_hh_emi_in!D4=0,0,1000000*SER_hh_emi_in!D4/SER_hh_num_in!D4)</f>
        <v>21837.849140416401</v>
      </c>
      <c r="E4" s="131">
        <f>IF(SER_hh_emi_in!E4=0,0,1000000*SER_hh_emi_in!E4/SER_hh_num_in!E4)</f>
        <v>0</v>
      </c>
      <c r="F4" s="131">
        <f>IF(SER_hh_emi_in!F4=0,0,1000000*SER_hh_emi_in!F4/SER_hh_num_in!F4)</f>
        <v>8215.3839815872816</v>
      </c>
      <c r="G4" s="131">
        <f>IF(SER_hh_emi_in!G4=0,0,1000000*SER_hh_emi_in!G4/SER_hh_num_in!G4)</f>
        <v>18330.026953296485</v>
      </c>
      <c r="H4" s="131">
        <f>IF(SER_hh_emi_in!H4=0,0,1000000*SER_hh_emi_in!H4/SER_hh_num_in!H4)</f>
        <v>31874.413744824327</v>
      </c>
      <c r="I4" s="131">
        <f>IF(SER_hh_emi_in!I4=0,0,1000000*SER_hh_emi_in!I4/SER_hh_num_in!I4)</f>
        <v>25444.78395991541</v>
      </c>
      <c r="J4" s="131">
        <f>IF(SER_hh_emi_in!J4=0,0,1000000*SER_hh_emi_in!J4/SER_hh_num_in!J4)</f>
        <v>37153.719466622126</v>
      </c>
      <c r="K4" s="131">
        <f>IF(SER_hh_emi_in!K4=0,0,1000000*SER_hh_emi_in!K4/SER_hh_num_in!K4)</f>
        <v>42809.942614088141</v>
      </c>
      <c r="L4" s="131">
        <f>IF(SER_hh_emi_in!L4=0,0,1000000*SER_hh_emi_in!L4/SER_hh_num_in!L4)</f>
        <v>52345.724972823402</v>
      </c>
      <c r="M4" s="131">
        <f>IF(SER_hh_emi_in!M4=0,0,1000000*SER_hh_emi_in!M4/SER_hh_num_in!M4)</f>
        <v>32330.655611077054</v>
      </c>
      <c r="N4" s="131">
        <f>IF(SER_hh_emi_in!N4=0,0,1000000*SER_hh_emi_in!N4/SER_hh_num_in!N4)</f>
        <v>36402.705494668713</v>
      </c>
      <c r="O4" s="131">
        <f>IF(SER_hh_emi_in!O4=0,0,1000000*SER_hh_emi_in!O4/SER_hh_num_in!O4)</f>
        <v>41773.656310032748</v>
      </c>
      <c r="P4" s="131">
        <f>IF(SER_hh_emi_in!P4=0,0,1000000*SER_hh_emi_in!P4/SER_hh_num_in!P4)</f>
        <v>34424.2152187826</v>
      </c>
      <c r="Q4" s="131">
        <f>IF(SER_hh_emi_in!Q4=0,0,1000000*SER_hh_emi_in!Q4/SER_hh_num_in!Q4)</f>
        <v>38722.109525119318</v>
      </c>
      <c r="R4" s="131">
        <f>IF(SER_hh_emi_in!R4=0,0,1000000*SER_hh_emi_in!R4/SER_hh_num_in!R4)</f>
        <v>25706.896443962261</v>
      </c>
      <c r="S4" s="131">
        <f>IF(SER_hh_emi_in!S4=0,0,1000000*SER_hh_emi_in!S4/SER_hh_num_in!S4)</f>
        <v>25715.685126289463</v>
      </c>
      <c r="T4" s="131">
        <f>IF(SER_hh_emi_in!T4=0,0,1000000*SER_hh_emi_in!T4/SER_hh_num_in!T4)</f>
        <v>10049.607874353222</v>
      </c>
      <c r="U4" s="131">
        <f>IF(SER_hh_emi_in!U4=0,0,1000000*SER_hh_emi_in!U4/SER_hh_num_in!U4)</f>
        <v>6034.3812440168958</v>
      </c>
      <c r="V4" s="131">
        <f>IF(SER_hh_emi_in!V4=0,0,1000000*SER_hh_emi_in!V4/SER_hh_num_in!V4)</f>
        <v>3173.7012973095834</v>
      </c>
      <c r="W4" s="131">
        <f>IF(SER_hh_emi_in!W4=0,0,1000000*SER_hh_emi_in!W4/SER_hh_num_in!W4)</f>
        <v>7538.4887233506788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111217.87051533606</v>
      </c>
      <c r="D7" s="133">
        <f>IF(SER_hh_emi_in!D7=0,0,1000000*SER_hh_emi_in!D7/SER_hh_num_in!D7)</f>
        <v>103453.52944983346</v>
      </c>
      <c r="E7" s="133">
        <f>IF(SER_hh_emi_in!E7=0,0,1000000*SER_hh_emi_in!E7/SER_hh_num_in!E7)</f>
        <v>0</v>
      </c>
      <c r="F7" s="133">
        <f>IF(SER_hh_emi_in!F7=0,0,1000000*SER_hh_emi_in!F7/SER_hh_num_in!F7)</f>
        <v>105650.51030995809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64649.293713497878</v>
      </c>
      <c r="L7" s="133">
        <f>IF(SER_hh_emi_in!L7=0,0,1000000*SER_hh_emi_in!L7/SER_hh_num_in!L7)</f>
        <v>109983.68766658165</v>
      </c>
      <c r="M7" s="133">
        <f>IF(SER_hh_emi_in!M7=0,0,1000000*SER_hh_emi_in!M7/SER_hh_num_in!M7)</f>
        <v>71556.44438364396</v>
      </c>
      <c r="N7" s="133">
        <f>IF(SER_hh_emi_in!N7=0,0,1000000*SER_hh_emi_in!N7/SER_hh_num_in!N7)</f>
        <v>66794.161113408874</v>
      </c>
      <c r="O7" s="133">
        <f>IF(SER_hh_emi_in!O7=0,0,1000000*SER_hh_emi_in!O7/SER_hh_num_in!O7)</f>
        <v>69496.90886369042</v>
      </c>
      <c r="P7" s="133">
        <f>IF(SER_hh_emi_in!P7=0,0,1000000*SER_hh_emi_in!P7/SER_hh_num_in!P7)</f>
        <v>49671.339925326116</v>
      </c>
      <c r="Q7" s="133">
        <f>IF(SER_hh_emi_in!Q7=0,0,1000000*SER_hh_emi_in!Q7/SER_hh_num_in!Q7)</f>
        <v>59159.35288778742</v>
      </c>
      <c r="R7" s="133">
        <f>IF(SER_hh_emi_in!R7=0,0,1000000*SER_hh_emi_in!R7/SER_hh_num_in!R7)</f>
        <v>48408.651748834913</v>
      </c>
      <c r="S7" s="133">
        <f>IF(SER_hh_emi_in!S7=0,0,1000000*SER_hh_emi_in!S7/SER_hh_num_in!S7)</f>
        <v>59763.869115211302</v>
      </c>
      <c r="T7" s="133">
        <f>IF(SER_hh_emi_in!T7=0,0,1000000*SER_hh_emi_in!T7/SER_hh_num_in!T7)</f>
        <v>51552.375898729741</v>
      </c>
      <c r="U7" s="133">
        <f>IF(SER_hh_emi_in!U7=0,0,1000000*SER_hh_emi_in!U7/SER_hh_num_in!U7)</f>
        <v>56197.27348489513</v>
      </c>
      <c r="V7" s="133">
        <f>IF(SER_hh_emi_in!V7=0,0,1000000*SER_hh_emi_in!V7/SER_hh_num_in!V7)</f>
        <v>45299.852977605304</v>
      </c>
      <c r="W7" s="133">
        <f>IF(SER_hh_emi_in!W7=0,0,1000000*SER_hh_emi_in!W7/SER_hh_num_in!W7)</f>
        <v>28831.69135014317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58247.495165765009</v>
      </c>
      <c r="D9" s="133">
        <f>IF(SER_hh_emi_in!D9=0,0,1000000*SER_hh_emi_in!D9/SER_hh_num_in!D9)</f>
        <v>64895.023499217554</v>
      </c>
      <c r="E9" s="133">
        <f>IF(SER_hh_emi_in!E9=0,0,1000000*SER_hh_emi_in!E9/SER_hh_num_in!E9)</f>
        <v>0</v>
      </c>
      <c r="F9" s="133">
        <f>IF(SER_hh_emi_in!F9=0,0,1000000*SER_hh_emi_in!F9/SER_hh_num_in!F9)</f>
        <v>66525.621898335565</v>
      </c>
      <c r="G9" s="133">
        <f>IF(SER_hh_emi_in!G9=0,0,1000000*SER_hh_emi_in!G9/SER_hh_num_in!G9)</f>
        <v>55741.53007850545</v>
      </c>
      <c r="H9" s="133">
        <f>IF(SER_hh_emi_in!H9=0,0,1000000*SER_hh_emi_in!H9/SER_hh_num_in!H9)</f>
        <v>66915.882926509788</v>
      </c>
      <c r="I9" s="133">
        <f>IF(SER_hh_emi_in!I9=0,0,1000000*SER_hh_emi_in!I9/SER_hh_num_in!I9)</f>
        <v>52180.519106231317</v>
      </c>
      <c r="J9" s="133">
        <f>IF(SER_hh_emi_in!J9=0,0,1000000*SER_hh_emi_in!J9/SER_hh_num_in!J9)</f>
        <v>61577.548373576341</v>
      </c>
      <c r="K9" s="133">
        <f>IF(SER_hh_emi_in!K9=0,0,1000000*SER_hh_emi_in!K9/SER_hh_num_in!K9)</f>
        <v>61864.342947050209</v>
      </c>
      <c r="L9" s="133">
        <f>IF(SER_hh_emi_in!L9=0,0,1000000*SER_hh_emi_in!L9/SER_hh_num_in!L9)</f>
        <v>71104.323727387949</v>
      </c>
      <c r="M9" s="133">
        <f>IF(SER_hh_emi_in!M9=0,0,1000000*SER_hh_emi_in!M9/SER_hh_num_in!M9)</f>
        <v>28519.962098974949</v>
      </c>
      <c r="N9" s="133">
        <f>IF(SER_hh_emi_in!N9=0,0,1000000*SER_hh_emi_in!N9/SER_hh_num_in!N9)</f>
        <v>49963.401944324287</v>
      </c>
      <c r="O9" s="133">
        <f>IF(SER_hh_emi_in!O9=0,0,1000000*SER_hh_emi_in!O9/SER_hh_num_in!O9)</f>
        <v>46010.112541246745</v>
      </c>
      <c r="P9" s="133">
        <f>IF(SER_hh_emi_in!P9=0,0,1000000*SER_hh_emi_in!P9/SER_hh_num_in!P9)</f>
        <v>33271.455522739561</v>
      </c>
      <c r="Q9" s="133">
        <f>IF(SER_hh_emi_in!Q9=0,0,1000000*SER_hh_emi_in!Q9/SER_hh_num_in!Q9)</f>
        <v>36504.138243115558</v>
      </c>
      <c r="R9" s="133">
        <f>IF(SER_hh_emi_in!R9=0,0,1000000*SER_hh_emi_in!R9/SER_hh_num_in!R9)</f>
        <v>40371.63386800437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36312.521917191094</v>
      </c>
      <c r="V9" s="133">
        <f>IF(SER_hh_emi_in!V9=0,0,1000000*SER_hh_emi_in!V9/SER_hh_num_in!V9)</f>
        <v>0</v>
      </c>
      <c r="W9" s="133">
        <f>IF(SER_hh_emi_in!W9=0,0,1000000*SER_hh_emi_in!W9/SER_hh_num_in!W9)</f>
        <v>28803.752340942818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28.836793070915697</v>
      </c>
      <c r="D16" s="131">
        <f>IF(SER_hh_emi_in!D16=0,0,1000000*SER_hh_emi_in!D16/SER_hh_num_in!D16)</f>
        <v>43.196212508284049</v>
      </c>
      <c r="E16" s="131">
        <f>IF(SER_hh_emi_in!E16=0,0,1000000*SER_hh_emi_in!E16/SER_hh_num_in!E16)</f>
        <v>0</v>
      </c>
      <c r="F16" s="131">
        <f>IF(SER_hh_emi_in!F16=0,0,1000000*SER_hh_emi_in!F16/SER_hh_num_in!F16)</f>
        <v>88.905692110754259</v>
      </c>
      <c r="G16" s="131">
        <f>IF(SER_hh_emi_in!G16=0,0,1000000*SER_hh_emi_in!G16/SER_hh_num_in!G16)</f>
        <v>21.389799156507785</v>
      </c>
      <c r="H16" s="131">
        <f>IF(SER_hh_emi_in!H16=0,0,1000000*SER_hh_emi_in!H16/SER_hh_num_in!H16)</f>
        <v>44.066554154132248</v>
      </c>
      <c r="I16" s="131">
        <f>IF(SER_hh_emi_in!I16=0,0,1000000*SER_hh_emi_in!I16/SER_hh_num_in!I16)</f>
        <v>71.82070498594787</v>
      </c>
      <c r="J16" s="131">
        <f>IF(SER_hh_emi_in!J16=0,0,1000000*SER_hh_emi_in!J16/SER_hh_num_in!J16)</f>
        <v>34.748617367819463</v>
      </c>
      <c r="K16" s="131">
        <f>IF(SER_hh_emi_in!K16=0,0,1000000*SER_hh_emi_in!K16/SER_hh_num_in!K16)</f>
        <v>60.313441061142569</v>
      </c>
      <c r="L16" s="131">
        <f>IF(SER_hh_emi_in!L16=0,0,1000000*SER_hh_emi_in!L16/SER_hh_num_in!L16)</f>
        <v>42.013495651258232</v>
      </c>
      <c r="M16" s="131">
        <f>IF(SER_hh_emi_in!M16=0,0,1000000*SER_hh_emi_in!M16/SER_hh_num_in!M16)</f>
        <v>56.447406331919545</v>
      </c>
      <c r="N16" s="131">
        <f>IF(SER_hh_emi_in!N16=0,0,1000000*SER_hh_emi_in!N16/SER_hh_num_in!N16)</f>
        <v>55.511198472046054</v>
      </c>
      <c r="O16" s="131">
        <f>IF(SER_hh_emi_in!O16=0,0,1000000*SER_hh_emi_in!O16/SER_hh_num_in!O16)</f>
        <v>97.902742194347752</v>
      </c>
      <c r="P16" s="131">
        <f>IF(SER_hh_emi_in!P16=0,0,1000000*SER_hh_emi_in!P16/SER_hh_num_in!P16)</f>
        <v>157.16209300679392</v>
      </c>
      <c r="Q16" s="131">
        <f>IF(SER_hh_emi_in!Q16=0,0,1000000*SER_hh_emi_in!Q16/SER_hh_num_in!Q16)</f>
        <v>136.1769577505066</v>
      </c>
      <c r="R16" s="131">
        <f>IF(SER_hh_emi_in!R16=0,0,1000000*SER_hh_emi_in!R16/SER_hh_num_in!R16)</f>
        <v>261.60403690494491</v>
      </c>
      <c r="S16" s="131">
        <f>IF(SER_hh_emi_in!S16=0,0,1000000*SER_hh_emi_in!S16/SER_hh_num_in!S16)</f>
        <v>144.15976262251263</v>
      </c>
      <c r="T16" s="131">
        <f>IF(SER_hh_emi_in!T16=0,0,1000000*SER_hh_emi_in!T16/SER_hh_num_in!T16)</f>
        <v>75.384392311796105</v>
      </c>
      <c r="U16" s="131">
        <f>IF(SER_hh_emi_in!U16=0,0,1000000*SER_hh_emi_in!U16/SER_hh_num_in!U16)</f>
        <v>130.11883347783592</v>
      </c>
      <c r="V16" s="131">
        <f>IF(SER_hh_emi_in!V16=0,0,1000000*SER_hh_emi_in!V16/SER_hh_num_in!V16)</f>
        <v>140.94177655576439</v>
      </c>
      <c r="W16" s="131">
        <f>IF(SER_hh_emi_in!W16=0,0,1000000*SER_hh_emi_in!W16/SER_hh_num_in!W16)</f>
        <v>100.59187266805044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5343.4865172706977</v>
      </c>
      <c r="D17" s="133">
        <f>IF(SER_hh_emi_in!D17=0,0,1000000*SER_hh_emi_in!D17/SER_hh_num_in!D17)</f>
        <v>5366.00049294578</v>
      </c>
      <c r="E17" s="133">
        <f>IF(SER_hh_emi_in!E17=0,0,1000000*SER_hh_emi_in!E17/SER_hh_num_in!E17)</f>
        <v>0</v>
      </c>
      <c r="F17" s="133">
        <f>IF(SER_hh_emi_in!F17=0,0,1000000*SER_hh_emi_in!F17/SER_hh_num_in!F17)</f>
        <v>5130.3533355294567</v>
      </c>
      <c r="G17" s="133">
        <f>IF(SER_hh_emi_in!G17=0,0,1000000*SER_hh_emi_in!G17/SER_hh_num_in!G17)</f>
        <v>5215.1305844507406</v>
      </c>
      <c r="H17" s="133">
        <f>IF(SER_hh_emi_in!H17=0,0,1000000*SER_hh_emi_in!H17/SER_hh_num_in!H17)</f>
        <v>6048.1459588795651</v>
      </c>
      <c r="I17" s="133">
        <f>IF(SER_hh_emi_in!I17=0,0,1000000*SER_hh_emi_in!I17/SER_hh_num_in!I17)</f>
        <v>4951.0586337178056</v>
      </c>
      <c r="J17" s="133">
        <f>IF(SER_hh_emi_in!J17=0,0,1000000*SER_hh_emi_in!J17/SER_hh_num_in!J17)</f>
        <v>4851.6773178419353</v>
      </c>
      <c r="K17" s="133">
        <f>IF(SER_hh_emi_in!K17=0,0,1000000*SER_hh_emi_in!K17/SER_hh_num_in!K17)</f>
        <v>5634.5879551829994</v>
      </c>
      <c r="L17" s="133">
        <f>IF(SER_hh_emi_in!L17=0,0,1000000*SER_hh_emi_in!L17/SER_hh_num_in!L17)</f>
        <v>5023.1248718744891</v>
      </c>
      <c r="M17" s="133">
        <f>IF(SER_hh_emi_in!M17=0,0,1000000*SER_hh_emi_in!M17/SER_hh_num_in!M17)</f>
        <v>4566.5443827946956</v>
      </c>
      <c r="N17" s="133">
        <f>IF(SER_hh_emi_in!N17=0,0,1000000*SER_hh_emi_in!N17/SER_hh_num_in!N17)</f>
        <v>4569.0592406036412</v>
      </c>
      <c r="O17" s="133">
        <f>IF(SER_hh_emi_in!O17=0,0,1000000*SER_hh_emi_in!O17/SER_hh_num_in!O17)</f>
        <v>4496.0663468188832</v>
      </c>
      <c r="P17" s="133">
        <f>IF(SER_hh_emi_in!P17=0,0,1000000*SER_hh_emi_in!P17/SER_hh_num_in!P17)</f>
        <v>4160.053619118582</v>
      </c>
      <c r="Q17" s="133">
        <f>IF(SER_hh_emi_in!Q17=0,0,1000000*SER_hh_emi_in!Q17/SER_hh_num_in!Q17)</f>
        <v>4459.4593985889796</v>
      </c>
      <c r="R17" s="133">
        <f>IF(SER_hh_emi_in!R17=0,0,1000000*SER_hh_emi_in!R17/SER_hh_num_in!R17)</f>
        <v>3882.209297936367</v>
      </c>
      <c r="S17" s="133">
        <f>IF(SER_hh_emi_in!S17=0,0,1000000*SER_hh_emi_in!S17/SER_hh_num_in!S17)</f>
        <v>3757.1349235648545</v>
      </c>
      <c r="T17" s="133">
        <f>IF(SER_hh_emi_in!T17=0,0,1000000*SER_hh_emi_in!T17/SER_hh_num_in!T17)</f>
        <v>3783.0794195064204</v>
      </c>
      <c r="U17" s="133">
        <f>IF(SER_hh_emi_in!U17=0,0,1000000*SER_hh_emi_in!U17/SER_hh_num_in!U17)</f>
        <v>3496.2970095960172</v>
      </c>
      <c r="V17" s="133">
        <f>IF(SER_hh_emi_in!V17=0,0,1000000*SER_hh_emi_in!V17/SER_hh_num_in!V17)</f>
        <v>3211.0690121689877</v>
      </c>
      <c r="W17" s="133">
        <f>IF(SER_hh_emi_in!W17=0,0,1000000*SER_hh_emi_in!W17/SER_hh_num_in!W17)</f>
        <v>2614.47690543107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4247.4319400061886</v>
      </c>
      <c r="D19" s="131">
        <f>IF(SER_hh_emi_in!D19=0,0,1000000*SER_hh_emi_in!D19/SER_hh_num_in!D19)</f>
        <v>3898.3009720183845</v>
      </c>
      <c r="E19" s="131">
        <f>IF(SER_hh_emi_in!E19=0,0,1000000*SER_hh_emi_in!E19/SER_hh_num_in!E19)</f>
        <v>3999.6425254201868</v>
      </c>
      <c r="F19" s="131">
        <f>IF(SER_hh_emi_in!F19=0,0,1000000*SER_hh_emi_in!F19/SER_hh_num_in!F19)</f>
        <v>4117.4142488811722</v>
      </c>
      <c r="G19" s="131">
        <f>IF(SER_hh_emi_in!G19=0,0,1000000*SER_hh_emi_in!G19/SER_hh_num_in!G19)</f>
        <v>3111.8209274839846</v>
      </c>
      <c r="H19" s="131">
        <f>IF(SER_hh_emi_in!H19=0,0,1000000*SER_hh_emi_in!H19/SER_hh_num_in!H19)</f>
        <v>2017.5201869755601</v>
      </c>
      <c r="I19" s="131">
        <f>IF(SER_hh_emi_in!I19=0,0,1000000*SER_hh_emi_in!I19/SER_hh_num_in!I19)</f>
        <v>2206.8240079617208</v>
      </c>
      <c r="J19" s="131">
        <f>IF(SER_hh_emi_in!J19=0,0,1000000*SER_hh_emi_in!J19/SER_hh_num_in!J19)</f>
        <v>3640.2103972522514</v>
      </c>
      <c r="K19" s="131">
        <f>IF(SER_hh_emi_in!K19=0,0,1000000*SER_hh_emi_in!K19/SER_hh_num_in!K19)</f>
        <v>3268.4851101141871</v>
      </c>
      <c r="L19" s="131">
        <f>IF(SER_hh_emi_in!L19=0,0,1000000*SER_hh_emi_in!L19/SER_hh_num_in!L19)</f>
        <v>7638.3780175844531</v>
      </c>
      <c r="M19" s="131">
        <f>IF(SER_hh_emi_in!M19=0,0,1000000*SER_hh_emi_in!M19/SER_hh_num_in!M19)</f>
        <v>3505.0105243864991</v>
      </c>
      <c r="N19" s="131">
        <f>IF(SER_hh_emi_in!N19=0,0,1000000*SER_hh_emi_in!N19/SER_hh_num_in!N19)</f>
        <v>5198.992177613477</v>
      </c>
      <c r="O19" s="131">
        <f>IF(SER_hh_emi_in!O19=0,0,1000000*SER_hh_emi_in!O19/SER_hh_num_in!O19)</f>
        <v>4252.9908448476117</v>
      </c>
      <c r="P19" s="131">
        <f>IF(SER_hh_emi_in!P19=0,0,1000000*SER_hh_emi_in!P19/SER_hh_num_in!P19)</f>
        <v>4564.3135976617241</v>
      </c>
      <c r="Q19" s="131">
        <f>IF(SER_hh_emi_in!Q19=0,0,1000000*SER_hh_emi_in!Q19/SER_hh_num_in!Q19)</f>
        <v>4342.222974215988</v>
      </c>
      <c r="R19" s="131">
        <f>IF(SER_hh_emi_in!R19=0,0,1000000*SER_hh_emi_in!R19/SER_hh_num_in!R19)</f>
        <v>4180.7676185980408</v>
      </c>
      <c r="S19" s="131">
        <f>IF(SER_hh_emi_in!S19=0,0,1000000*SER_hh_emi_in!S19/SER_hh_num_in!S19)</f>
        <v>5638.1421517551171</v>
      </c>
      <c r="T19" s="131">
        <f>IF(SER_hh_emi_in!T19=0,0,1000000*SER_hh_emi_in!T19/SER_hh_num_in!T19)</f>
        <v>3433.6281158520587</v>
      </c>
      <c r="U19" s="131">
        <f>IF(SER_hh_emi_in!U19=0,0,1000000*SER_hh_emi_in!U19/SER_hh_num_in!U19)</f>
        <v>3085.6623218941882</v>
      </c>
      <c r="V19" s="131">
        <f>IF(SER_hh_emi_in!V19=0,0,1000000*SER_hh_emi_in!V19/SER_hh_num_in!V19)</f>
        <v>884.6197089874471</v>
      </c>
      <c r="W19" s="131">
        <f>IF(SER_hh_emi_in!W19=0,0,1000000*SER_hh_emi_in!W19/SER_hh_num_in!W19)</f>
        <v>2010.2900954018244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13637.289429675749</v>
      </c>
      <c r="D22" s="133">
        <f>IF(SER_hh_emi_in!D22=0,0,1000000*SER_hh_emi_in!D22/SER_hh_num_in!D22)</f>
        <v>13814.305712817139</v>
      </c>
      <c r="E22" s="133">
        <f>IF(SER_hh_emi_in!E22=0,0,1000000*SER_hh_emi_in!E22/SER_hh_num_in!E22)</f>
        <v>13758.243976882955</v>
      </c>
      <c r="F22" s="133">
        <f>IF(SER_hh_emi_in!F22=0,0,1000000*SER_hh_emi_in!F22/SER_hh_num_in!F22)</f>
        <v>14136.054923051261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11255.980480033637</v>
      </c>
      <c r="L22" s="133">
        <f>IF(SER_hh_emi_in!L22=0,0,1000000*SER_hh_emi_in!L22/SER_hh_num_in!L22)</f>
        <v>15224.654449489059</v>
      </c>
      <c r="M22" s="133">
        <f>IF(SER_hh_emi_in!M22=0,0,1000000*SER_hh_emi_in!M22/SER_hh_num_in!M22)</f>
        <v>10001.58489240149</v>
      </c>
      <c r="N22" s="133">
        <f>IF(SER_hh_emi_in!N22=0,0,1000000*SER_hh_emi_in!N22/SER_hh_num_in!N22)</f>
        <v>12881.173227735953</v>
      </c>
      <c r="O22" s="133">
        <f>IF(SER_hh_emi_in!O22=0,0,1000000*SER_hh_emi_in!O22/SER_hh_num_in!O22)</f>
        <v>11554.506965510007</v>
      </c>
      <c r="P22" s="133">
        <f>IF(SER_hh_emi_in!P22=0,0,1000000*SER_hh_emi_in!P22/SER_hh_num_in!P22)</f>
        <v>11083.771975061078</v>
      </c>
      <c r="Q22" s="133">
        <f>IF(SER_hh_emi_in!Q22=0,0,1000000*SER_hh_emi_in!Q22/SER_hh_num_in!Q22)</f>
        <v>9735.3556043711396</v>
      </c>
      <c r="R22" s="133">
        <f>IF(SER_hh_emi_in!R22=0,0,1000000*SER_hh_emi_in!R22/SER_hh_num_in!R22)</f>
        <v>8091.0003463181392</v>
      </c>
      <c r="S22" s="133">
        <f>IF(SER_hh_emi_in!S22=0,0,1000000*SER_hh_emi_in!S22/SER_hh_num_in!S22)</f>
        <v>10302.085077981897</v>
      </c>
      <c r="T22" s="133">
        <f>IF(SER_hh_emi_in!T22=0,0,1000000*SER_hh_emi_in!T22/SER_hh_num_in!T22)</f>
        <v>9535.1184529424718</v>
      </c>
      <c r="U22" s="133">
        <f>IF(SER_hh_emi_in!U22=0,0,1000000*SER_hh_emi_in!U22/SER_hh_num_in!U22)</f>
        <v>9571.0387716696096</v>
      </c>
      <c r="V22" s="133">
        <f>IF(SER_hh_emi_in!V22=0,0,1000000*SER_hh_emi_in!V22/SER_hh_num_in!V22)</f>
        <v>7431.1082915459765</v>
      </c>
      <c r="W22" s="133">
        <f>IF(SER_hh_emi_in!W22=0,0,1000000*SER_hh_emi_in!W22/SER_hh_num_in!W22)</f>
        <v>8234.1358571858764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9494.9849622509155</v>
      </c>
      <c r="D23" s="133">
        <f>IF(SER_hh_emi_in!D23=0,0,1000000*SER_hh_emi_in!D23/SER_hh_num_in!D23)</f>
        <v>9271.652429694379</v>
      </c>
      <c r="E23" s="133">
        <f>IF(SER_hh_emi_in!E23=0,0,1000000*SER_hh_emi_in!E23/SER_hh_num_in!E23)</f>
        <v>9551.0865265424873</v>
      </c>
      <c r="F23" s="133">
        <f>IF(SER_hh_emi_in!F23=0,0,1000000*SER_hh_emi_in!F23/SER_hh_num_in!F23)</f>
        <v>9204.896769191113</v>
      </c>
      <c r="G23" s="133">
        <f>IF(SER_hh_emi_in!G23=0,0,1000000*SER_hh_emi_in!G23/SER_hh_num_in!G23)</f>
        <v>9128.636755205056</v>
      </c>
      <c r="H23" s="133">
        <f>IF(SER_hh_emi_in!H23=0,0,1000000*SER_hh_emi_in!H23/SER_hh_num_in!H23)</f>
        <v>8793.9508022296959</v>
      </c>
      <c r="I23" s="133">
        <f>IF(SER_hh_emi_in!I23=0,0,1000000*SER_hh_emi_in!I23/SER_hh_num_in!I23)</f>
        <v>8425.061169051276</v>
      </c>
      <c r="J23" s="133">
        <f>IF(SER_hh_emi_in!J23=0,0,1000000*SER_hh_emi_in!J23/SER_hh_num_in!J23)</f>
        <v>9285.7200821475162</v>
      </c>
      <c r="K23" s="133">
        <f>IF(SER_hh_emi_in!K23=0,0,1000000*SER_hh_emi_in!K23/SER_hh_num_in!K23)</f>
        <v>8261.4052096330652</v>
      </c>
      <c r="L23" s="133">
        <f>IF(SER_hh_emi_in!L23=0,0,1000000*SER_hh_emi_in!L23/SER_hh_num_in!L23)</f>
        <v>8962.4163240947473</v>
      </c>
      <c r="M23" s="133">
        <f>IF(SER_hh_emi_in!M23=0,0,1000000*SER_hh_emi_in!M23/SER_hh_num_in!M23)</f>
        <v>8268.8466828942892</v>
      </c>
      <c r="N23" s="133">
        <f>IF(SER_hh_emi_in!N23=0,0,1000000*SER_hh_emi_in!N23/SER_hh_num_in!N23)</f>
        <v>7692.8231946409851</v>
      </c>
      <c r="O23" s="133">
        <f>IF(SER_hh_emi_in!O23=0,0,1000000*SER_hh_emi_in!O23/SER_hh_num_in!O23)</f>
        <v>7480.1857909625887</v>
      </c>
      <c r="P23" s="133">
        <f>IF(SER_hh_emi_in!P23=0,0,1000000*SER_hh_emi_in!P23/SER_hh_num_in!P23)</f>
        <v>7499.9915937078131</v>
      </c>
      <c r="Q23" s="133">
        <f>IF(SER_hh_emi_in!Q23=0,0,1000000*SER_hh_emi_in!Q23/SER_hh_num_in!Q23)</f>
        <v>8149.9542593689857</v>
      </c>
      <c r="R23" s="133">
        <f>IF(SER_hh_emi_in!R23=0,0,1000000*SER_hh_emi_in!R23/SER_hh_num_in!R23)</f>
        <v>8442.6722341595269</v>
      </c>
      <c r="S23" s="133">
        <f>IF(SER_hh_emi_in!S23=0,0,1000000*SER_hh_emi_in!S23/SER_hh_num_in!S23)</f>
        <v>6050.2361402672086</v>
      </c>
      <c r="T23" s="133">
        <f>IF(SER_hh_emi_in!T23=0,0,1000000*SER_hh_emi_in!T23/SER_hh_num_in!T23)</f>
        <v>0</v>
      </c>
      <c r="U23" s="133">
        <f>IF(SER_hh_emi_in!U23=0,0,1000000*SER_hh_emi_in!U23/SER_hh_num_in!U23)</f>
        <v>6780.7280703036022</v>
      </c>
      <c r="V23" s="133">
        <f>IF(SER_hh_emi_in!V23=0,0,1000000*SER_hh_emi_in!V23/SER_hh_num_in!V23)</f>
        <v>0</v>
      </c>
      <c r="W23" s="133">
        <f>IF(SER_hh_emi_in!W23=0,0,1000000*SER_hh_emi_in!W23/SER_hh_num_in!W23)</f>
        <v>7108.5780238728476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6421.4794490839176</v>
      </c>
      <c r="D29" s="131">
        <f>IF(SER_hh_emi_in!D29=0,0,1000000*SER_hh_emi_in!D29/SER_hh_num_in!D29)</f>
        <v>3505.7972604689089</v>
      </c>
      <c r="E29" s="131">
        <f>IF(SER_hh_emi_in!E29=0,0,1000000*SER_hh_emi_in!E29/SER_hh_num_in!E29)</f>
        <v>3259.7314626286739</v>
      </c>
      <c r="F29" s="131">
        <f>IF(SER_hh_emi_in!F29=0,0,1000000*SER_hh_emi_in!F29/SER_hh_num_in!F29)</f>
        <v>3009.3663363635369</v>
      </c>
      <c r="G29" s="131">
        <f>IF(SER_hh_emi_in!G29=0,0,1000000*SER_hh_emi_in!G29/SER_hh_num_in!G29)</f>
        <v>3745.3894201386297</v>
      </c>
      <c r="H29" s="131">
        <f>IF(SER_hh_emi_in!H29=0,0,1000000*SER_hh_emi_in!H29/SER_hh_num_in!H29)</f>
        <v>4280.2830942712844</v>
      </c>
      <c r="I29" s="131">
        <f>IF(SER_hh_emi_in!I29=0,0,1000000*SER_hh_emi_in!I29/SER_hh_num_in!I29)</f>
        <v>3282.8482401179258</v>
      </c>
      <c r="J29" s="131">
        <f>IF(SER_hh_emi_in!J29=0,0,1000000*SER_hh_emi_in!J29/SER_hh_num_in!J29)</f>
        <v>2995.1674622742466</v>
      </c>
      <c r="K29" s="131">
        <f>IF(SER_hh_emi_in!K29=0,0,1000000*SER_hh_emi_in!K29/SER_hh_num_in!K29)</f>
        <v>17854.665620849948</v>
      </c>
      <c r="L29" s="131">
        <f>IF(SER_hh_emi_in!L29=0,0,1000000*SER_hh_emi_in!L29/SER_hh_num_in!L29)</f>
        <v>12216.926140053489</v>
      </c>
      <c r="M29" s="131">
        <f>IF(SER_hh_emi_in!M29=0,0,1000000*SER_hh_emi_in!M29/SER_hh_num_in!M29)</f>
        <v>6068.9203634615596</v>
      </c>
      <c r="N29" s="131">
        <f>IF(SER_hh_emi_in!N29=0,0,1000000*SER_hh_emi_in!N29/SER_hh_num_in!N29)</f>
        <v>2327.873489772926</v>
      </c>
      <c r="O29" s="131">
        <f>IF(SER_hh_emi_in!O29=0,0,1000000*SER_hh_emi_in!O29/SER_hh_num_in!O29)</f>
        <v>2033.7862028605191</v>
      </c>
      <c r="P29" s="131">
        <f>IF(SER_hh_emi_in!P29=0,0,1000000*SER_hh_emi_in!P29/SER_hh_num_in!P29)</f>
        <v>1350.724383204483</v>
      </c>
      <c r="Q29" s="131">
        <f>IF(SER_hh_emi_in!Q29=0,0,1000000*SER_hh_emi_in!Q29/SER_hh_num_in!Q29)</f>
        <v>2147.2081718203472</v>
      </c>
      <c r="R29" s="131">
        <f>IF(SER_hh_emi_in!R29=0,0,1000000*SER_hh_emi_in!R29/SER_hh_num_in!R29)</f>
        <v>2258.761813611914</v>
      </c>
      <c r="S29" s="131">
        <f>IF(SER_hh_emi_in!S29=0,0,1000000*SER_hh_emi_in!S29/SER_hh_num_in!S29)</f>
        <v>1622.0746319986274</v>
      </c>
      <c r="T29" s="131">
        <f>IF(SER_hh_emi_in!T29=0,0,1000000*SER_hh_emi_in!T29/SER_hh_num_in!T29)</f>
        <v>3016.9916319596696</v>
      </c>
      <c r="U29" s="131">
        <f>IF(SER_hh_emi_in!U29=0,0,1000000*SER_hh_emi_in!U29/SER_hh_num_in!U29)</f>
        <v>2799.5276727230062</v>
      </c>
      <c r="V29" s="131">
        <f>IF(SER_hh_emi_in!V29=0,0,1000000*SER_hh_emi_in!V29/SER_hh_num_in!V29)</f>
        <v>3365.9297840374884</v>
      </c>
      <c r="W29" s="131">
        <f>IF(SER_hh_emi_in!W29=0,0,1000000*SER_hh_emi_in!W29/SER_hh_num_in!W29)</f>
        <v>4673.366357664514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17405.51209416446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19121.277915728875</v>
      </c>
      <c r="L30" s="133">
        <f>IF(SER_hh_emi_in!L30=0,0,1000000*SER_hh_emi_in!L30/SER_hh_num_in!L30)</f>
        <v>15582.277434618485</v>
      </c>
      <c r="M30" s="133">
        <f>IF(SER_hh_emi_in!M30=0,0,1000000*SER_hh_emi_in!M30/SER_hh_num_in!M30)</f>
        <v>14102.725067130308</v>
      </c>
      <c r="N30" s="133">
        <f>IF(SER_hh_emi_in!N30=0,0,1000000*SER_hh_emi_in!N30/SER_hh_num_in!N30)</f>
        <v>14201.038736845681</v>
      </c>
      <c r="O30" s="133">
        <f>IF(SER_hh_emi_in!O30=0,0,1000000*SER_hh_emi_in!O30/SER_hh_num_in!O30)</f>
        <v>14721.187323567989</v>
      </c>
      <c r="P30" s="133">
        <f>IF(SER_hh_emi_in!P30=0,0,1000000*SER_hh_emi_in!P30/SER_hh_num_in!P30)</f>
        <v>13374.024358090654</v>
      </c>
      <c r="Q30" s="133">
        <f>IF(SER_hh_emi_in!Q30=0,0,1000000*SER_hh_emi_in!Q30/SER_hh_num_in!Q30)</f>
        <v>14524.26330059819</v>
      </c>
      <c r="R30" s="133">
        <f>IF(SER_hh_emi_in!R30=0,0,1000000*SER_hh_emi_in!R30/SER_hh_num_in!R30)</f>
        <v>15693.517961267165</v>
      </c>
      <c r="S30" s="133">
        <f>IF(SER_hh_emi_in!S30=0,0,1000000*SER_hh_emi_in!S30/SER_hh_num_in!S30)</f>
        <v>14299.346387627507</v>
      </c>
      <c r="T30" s="133">
        <f>IF(SER_hh_emi_in!T30=0,0,1000000*SER_hh_emi_in!T30/SER_hh_num_in!T30)</f>
        <v>12562.63743112635</v>
      </c>
      <c r="U30" s="133">
        <f>IF(SER_hh_emi_in!U30=0,0,1000000*SER_hh_emi_in!U30/SER_hh_num_in!U30)</f>
        <v>15657.721560443861</v>
      </c>
      <c r="V30" s="133">
        <f>IF(SER_hh_emi_in!V30=0,0,1000000*SER_hh_emi_in!V30/SER_hh_num_in!V30)</f>
        <v>12079.40083722714</v>
      </c>
      <c r="W30" s="133">
        <f>IF(SER_hh_emi_in!W30=0,0,1000000*SER_hh_emi_in!W30/SER_hh_num_in!W30)</f>
        <v>19067.197291778441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10627.524934701056</v>
      </c>
      <c r="D31" s="133">
        <f>IF(SER_hh_emi_in!D31=0,0,1000000*SER_hh_emi_in!D31/SER_hh_num_in!D31)</f>
        <v>11060.734199643612</v>
      </c>
      <c r="E31" s="133">
        <f>IF(SER_hh_emi_in!E31=0,0,1000000*SER_hh_emi_in!E31/SER_hh_num_in!E31)</f>
        <v>11238.384275879345</v>
      </c>
      <c r="F31" s="133">
        <f>IF(SER_hh_emi_in!F31=0,0,1000000*SER_hh_emi_in!F31/SER_hh_num_in!F31)</f>
        <v>11536.107958564102</v>
      </c>
      <c r="G31" s="133">
        <f>IF(SER_hh_emi_in!G31=0,0,1000000*SER_hh_emi_in!G31/SER_hh_num_in!G31)</f>
        <v>11303.017468438604</v>
      </c>
      <c r="H31" s="133">
        <f>IF(SER_hh_emi_in!H31=0,0,1000000*SER_hh_emi_in!H31/SER_hh_num_in!H31)</f>
        <v>11856.980251465007</v>
      </c>
      <c r="I31" s="133">
        <f>IF(SER_hh_emi_in!I31=0,0,1000000*SER_hh_emi_in!I31/SER_hh_num_in!I31)</f>
        <v>11917.637368340436</v>
      </c>
      <c r="J31" s="133">
        <f>IF(SER_hh_emi_in!J31=0,0,1000000*SER_hh_emi_in!J31/SER_hh_num_in!J31)</f>
        <v>12148.713741545511</v>
      </c>
      <c r="K31" s="133">
        <f>IF(SER_hh_emi_in!K31=0,0,1000000*SER_hh_emi_in!K31/SER_hh_num_in!K31)</f>
        <v>11608.538452759636</v>
      </c>
      <c r="L31" s="133">
        <f>IF(SER_hh_emi_in!L31=0,0,1000000*SER_hh_emi_in!L31/SER_hh_num_in!L31)</f>
        <v>11928.079514444633</v>
      </c>
      <c r="M31" s="133">
        <f>IF(SER_hh_emi_in!M31=0,0,1000000*SER_hh_emi_in!M31/SER_hh_num_in!M31)</f>
        <v>12468.098883085631</v>
      </c>
      <c r="N31" s="133">
        <f>IF(SER_hh_emi_in!N31=0,0,1000000*SER_hh_emi_in!N31/SER_hh_num_in!N31)</f>
        <v>12687.506332088507</v>
      </c>
      <c r="O31" s="133">
        <f>IF(SER_hh_emi_in!O31=0,0,1000000*SER_hh_emi_in!O31/SER_hh_num_in!O31)</f>
        <v>12411.10689999756</v>
      </c>
      <c r="P31" s="133">
        <f>IF(SER_hh_emi_in!P31=0,0,1000000*SER_hh_emi_in!P31/SER_hh_num_in!P31)</f>
        <v>12331.245054162375</v>
      </c>
      <c r="Q31" s="133">
        <f>IF(SER_hh_emi_in!Q31=0,0,1000000*SER_hh_emi_in!Q31/SER_hh_num_in!Q31)</f>
        <v>12610.37491556711</v>
      </c>
      <c r="R31" s="133">
        <f>IF(SER_hh_emi_in!R31=0,0,1000000*SER_hh_emi_in!R31/SER_hh_num_in!R31)</f>
        <v>12780.959736714596</v>
      </c>
      <c r="S31" s="133">
        <f>IF(SER_hh_emi_in!S31=0,0,1000000*SER_hh_emi_in!S31/SER_hh_num_in!S31)</f>
        <v>12297.5855305973</v>
      </c>
      <c r="T31" s="133">
        <f>IF(SER_hh_emi_in!T31=0,0,1000000*SER_hh_emi_in!T31/SER_hh_num_in!T31)</f>
        <v>13108.120994622283</v>
      </c>
      <c r="U31" s="133">
        <f>IF(SER_hh_emi_in!U31=0,0,1000000*SER_hh_emi_in!U31/SER_hh_num_in!U31)</f>
        <v>12866.047967533677</v>
      </c>
      <c r="V31" s="133">
        <f>IF(SER_hh_emi_in!V31=0,0,1000000*SER_hh_emi_in!V31/SER_hh_num_in!V31)</f>
        <v>10855.83603178034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446.99101314239755</v>
      </c>
      <c r="D3" s="126">
        <f>IF(SER_hh_fech_in!D3=0,0,SER_hh_fech_in!D3/SER_summary!D$27)</f>
        <v>376.95999913502709</v>
      </c>
      <c r="E3" s="126">
        <f>IF(SER_hh_fech_in!E3=0,0,SER_hh_fech_in!E3/SER_summary!E$27)</f>
        <v>475.47167965237247</v>
      </c>
      <c r="F3" s="126">
        <f>IF(SER_hh_fech_in!F3=0,0,SER_hh_fech_in!F3/SER_summary!F$27)</f>
        <v>414.38064850748998</v>
      </c>
      <c r="G3" s="126">
        <f>IF(SER_hh_fech_in!G3=0,0,SER_hh_fech_in!G3/SER_summary!G$27)</f>
        <v>411.60287726946927</v>
      </c>
      <c r="H3" s="126">
        <f>IF(SER_hh_fech_in!H3=0,0,SER_hh_fech_in!H3/SER_summary!H$27)</f>
        <v>433.18386386020291</v>
      </c>
      <c r="I3" s="126">
        <f>IF(SER_hh_fech_in!I3=0,0,SER_hh_fech_in!I3/SER_summary!I$27)</f>
        <v>426.64113649417629</v>
      </c>
      <c r="J3" s="126">
        <f>IF(SER_hh_fech_in!J3=0,0,SER_hh_fech_in!J3/SER_summary!J$27)</f>
        <v>439.72077073297845</v>
      </c>
      <c r="K3" s="126">
        <f>IF(SER_hh_fech_in!K3=0,0,SER_hh_fech_in!K3/SER_summary!K$27)</f>
        <v>450.39383610819448</v>
      </c>
      <c r="L3" s="126">
        <f>IF(SER_hh_fech_in!L3=0,0,SER_hh_fech_in!L3/SER_summary!L$27)</f>
        <v>489.33186668233122</v>
      </c>
      <c r="M3" s="126">
        <f>IF(SER_hh_fech_in!M3=0,0,SER_hh_fech_in!M3/SER_summary!M$27)</f>
        <v>348.23200368074623</v>
      </c>
      <c r="N3" s="126">
        <f>IF(SER_hh_fech_in!N3=0,0,SER_hh_fech_in!N3/SER_summary!N$27)</f>
        <v>371.91835988225085</v>
      </c>
      <c r="O3" s="126">
        <f>IF(SER_hh_fech_in!O3=0,0,SER_hh_fech_in!O3/SER_summary!O$27)</f>
        <v>369.10413285185427</v>
      </c>
      <c r="P3" s="126">
        <f>IF(SER_hh_fech_in!P3=0,0,SER_hh_fech_in!P3/SER_summary!P$27)</f>
        <v>294.12475604450344</v>
      </c>
      <c r="Q3" s="126">
        <f>IF(SER_hh_fech_in!Q3=0,0,SER_hh_fech_in!Q3/SER_summary!Q$27)</f>
        <v>324.90107399398278</v>
      </c>
      <c r="R3" s="126">
        <f>IF(SER_hh_fech_in!R3=0,0,SER_hh_fech_in!R3/SER_summary!R$27)</f>
        <v>289.74656796527211</v>
      </c>
      <c r="S3" s="126">
        <f>IF(SER_hh_fech_in!S3=0,0,SER_hh_fech_in!S3/SER_summary!S$27)</f>
        <v>315.41967296756087</v>
      </c>
      <c r="T3" s="126">
        <f>IF(SER_hh_fech_in!T3=0,0,SER_hh_fech_in!T3/SER_summary!T$27)</f>
        <v>276.53646918665487</v>
      </c>
      <c r="U3" s="126">
        <f>IF(SER_hh_fech_in!U3=0,0,SER_hh_fech_in!U3/SER_summary!U$27)</f>
        <v>276.01886690187297</v>
      </c>
      <c r="V3" s="126">
        <f>IF(SER_hh_fech_in!V3=0,0,SER_hh_fech_in!V3/SER_summary!V$27)</f>
        <v>265.00538525851869</v>
      </c>
      <c r="W3" s="126">
        <f>IF(SER_hh_fech_in!W3=0,0,SER_hh_fech_in!W3/SER_summary!W$27)</f>
        <v>224.89206339899303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335.13151513540657</v>
      </c>
      <c r="D4" s="131">
        <f>IF(SER_hh_fech_in!D4=0,0,SER_hh_fech_in!D4/SER_summary!D$27)</f>
        <v>269.57583139252193</v>
      </c>
      <c r="E4" s="131">
        <f>IF(SER_hh_fech_in!E4=0,0,SER_hh_fech_in!E4/SER_summary!E$27)</f>
        <v>355.72676121365447</v>
      </c>
      <c r="F4" s="131">
        <f>IF(SER_hh_fech_in!F4=0,0,SER_hh_fech_in!F4/SER_summary!F$27)</f>
        <v>304.30971326938845</v>
      </c>
      <c r="G4" s="131">
        <f>IF(SER_hh_fech_in!G4=0,0,SER_hh_fech_in!G4/SER_summary!G$27)</f>
        <v>301.20207295479889</v>
      </c>
      <c r="H4" s="131">
        <f>IF(SER_hh_fech_in!H4=0,0,SER_hh_fech_in!H4/SER_summary!H$27)</f>
        <v>317.67979465968335</v>
      </c>
      <c r="I4" s="131">
        <f>IF(SER_hh_fech_in!I4=0,0,SER_hh_fech_in!I4/SER_summary!I$27)</f>
        <v>316.31248529889439</v>
      </c>
      <c r="J4" s="131">
        <f>IF(SER_hh_fech_in!J4=0,0,SER_hh_fech_in!J4/SER_summary!J$27)</f>
        <v>327.77670513717715</v>
      </c>
      <c r="K4" s="131">
        <f>IF(SER_hh_fech_in!K4=0,0,SER_hh_fech_in!K4/SER_summary!K$27)</f>
        <v>305.54671272597363</v>
      </c>
      <c r="L4" s="131">
        <f>IF(SER_hh_fech_in!L4=0,0,SER_hh_fech_in!L4/SER_summary!L$27)</f>
        <v>358.35403025790879</v>
      </c>
      <c r="M4" s="131">
        <f>IF(SER_hh_fech_in!M4=0,0,SER_hh_fech_in!M4/SER_summary!M$27)</f>
        <v>236.50780958347988</v>
      </c>
      <c r="N4" s="131">
        <f>IF(SER_hh_fech_in!N4=0,0,SER_hh_fech_in!N4/SER_summary!N$27)</f>
        <v>263.45463024779195</v>
      </c>
      <c r="O4" s="131">
        <f>IF(SER_hh_fech_in!O4=0,0,SER_hh_fech_in!O4/SER_summary!O$27)</f>
        <v>264.13400049920568</v>
      </c>
      <c r="P4" s="131">
        <f>IF(SER_hh_fech_in!P4=0,0,SER_hh_fech_in!P4/SER_summary!P$27)</f>
        <v>190.83705023678701</v>
      </c>
      <c r="Q4" s="131">
        <f>IF(SER_hh_fech_in!Q4=0,0,SER_hh_fech_in!Q4/SER_summary!Q$27)</f>
        <v>221.78116411515916</v>
      </c>
      <c r="R4" s="131">
        <f>IF(SER_hh_fech_in!R4=0,0,SER_hh_fech_in!R4/SER_summary!R$27)</f>
        <v>190.59752386207629</v>
      </c>
      <c r="S4" s="131">
        <f>IF(SER_hh_fech_in!S4=0,0,SER_hh_fech_in!S4/SER_summary!S$27)</f>
        <v>214.8441671270246</v>
      </c>
      <c r="T4" s="131">
        <f>IF(SER_hh_fech_in!T4=0,0,SER_hh_fech_in!T4/SER_summary!T$27)</f>
        <v>177.99325997064349</v>
      </c>
      <c r="U4" s="131">
        <f>IF(SER_hh_fech_in!U4=0,0,SER_hh_fech_in!U4/SER_summary!U$27)</f>
        <v>178.48727291938357</v>
      </c>
      <c r="V4" s="131">
        <f>IF(SER_hh_fech_in!V4=0,0,SER_hh_fech_in!V4/SER_summary!V$27)</f>
        <v>174.85371143812876</v>
      </c>
      <c r="W4" s="131">
        <f>IF(SER_hh_fech_in!W4=0,0,SER_hh_fech_in!W4/SER_summary!W$27)</f>
        <v>129.97236326152546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463.32398760011353</v>
      </c>
      <c r="D7" s="133">
        <f>IF(SER_hh_fech_in!D7=0,0,SER_hh_fech_in!D7/SER_summary!D$27)</f>
        <v>430.98966006032236</v>
      </c>
      <c r="E7" s="133">
        <f>IF(SER_hh_fech_in!E7=0,0,SER_hh_fech_in!E7/SER_summary!E$27)</f>
        <v>0</v>
      </c>
      <c r="F7" s="133">
        <f>IF(SER_hh_fech_in!F7=0,0,SER_hh_fech_in!F7/SER_summary!F$27)</f>
        <v>440.13536168147834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269.54527138700234</v>
      </c>
      <c r="L7" s="133">
        <f>IF(SER_hh_fech_in!L7=0,0,SER_hh_fech_in!L7/SER_summary!L$27)</f>
        <v>458.29428378136032</v>
      </c>
      <c r="M7" s="133">
        <f>IF(SER_hh_fech_in!M7=0,0,SER_hh_fech_in!M7/SER_summary!M$27)</f>
        <v>298.17596270907023</v>
      </c>
      <c r="N7" s="133">
        <f>IF(SER_hh_fech_in!N7=0,0,SER_hh_fech_in!N7/SER_summary!N$27)</f>
        <v>278.28251417121862</v>
      </c>
      <c r="O7" s="133">
        <f>IF(SER_hh_fech_in!O7=0,0,SER_hh_fech_in!O7/SER_summary!O$27)</f>
        <v>289.53521956440335</v>
      </c>
      <c r="P7" s="133">
        <f>IF(SER_hh_fech_in!P7=0,0,SER_hh_fech_in!P7/SER_summary!P$27)</f>
        <v>206.93896580189823</v>
      </c>
      <c r="Q7" s="133">
        <f>IF(SER_hh_fech_in!Q7=0,0,SER_hh_fech_in!Q7/SER_summary!Q$27)</f>
        <v>246.45718293776301</v>
      </c>
      <c r="R7" s="133">
        <f>IF(SER_hh_fech_in!R7=0,0,SER_hh_fech_in!R7/SER_summary!R$27)</f>
        <v>201.67118241192946</v>
      </c>
      <c r="S7" s="133">
        <f>IF(SER_hh_fech_in!S7=0,0,SER_hh_fech_in!S7/SER_summary!S$27)</f>
        <v>248.96081869843982</v>
      </c>
      <c r="T7" s="133">
        <f>IF(SER_hh_fech_in!T7=0,0,SER_hh_fech_in!T7/SER_summary!T$27)</f>
        <v>214.75557733288073</v>
      </c>
      <c r="U7" s="133">
        <f>IF(SER_hh_fech_in!U7=0,0,SER_hh_fech_in!U7/SER_summary!U$27)</f>
        <v>234.0963145485016</v>
      </c>
      <c r="V7" s="133">
        <f>IF(SER_hh_fech_in!V7=0,0,SER_hh_fech_in!V7/SER_summary!V$27)</f>
        <v>188.70143116535814</v>
      </c>
      <c r="W7" s="133">
        <f>IF(SER_hh_fech_in!W7=0,0,SER_hh_fech_in!W7/SER_summary!W$27)</f>
        <v>120.10583352989789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322.00949074947681</v>
      </c>
      <c r="D9" s="133">
        <f>IF(SER_hh_fech_in!D9=0,0,SER_hh_fech_in!D9/SER_summary!D$27)</f>
        <v>358.54399816630297</v>
      </c>
      <c r="E9" s="133">
        <f>IF(SER_hh_fech_in!E9=0,0,SER_hh_fech_in!E9/SER_summary!E$27)</f>
        <v>0</v>
      </c>
      <c r="F9" s="133">
        <f>IF(SER_hh_fech_in!F9=0,0,SER_hh_fech_in!F9/SER_summary!F$27)</f>
        <v>367.84107629862791</v>
      </c>
      <c r="G9" s="133">
        <f>IF(SER_hh_fech_in!G9=0,0,SER_hh_fech_in!G9/SER_summary!G$27)</f>
        <v>308.3723967148498</v>
      </c>
      <c r="H9" s="133">
        <f>IF(SER_hh_fech_in!H9=0,0,SER_hh_fech_in!H9/SER_summary!H$27)</f>
        <v>369.94048498029127</v>
      </c>
      <c r="I9" s="133">
        <f>IF(SER_hh_fech_in!I9=0,0,SER_hh_fech_in!I9/SER_summary!I$27)</f>
        <v>288.64486654406767</v>
      </c>
      <c r="J9" s="133">
        <f>IF(SER_hh_fech_in!J9=0,0,SER_hh_fech_in!J9/SER_summary!J$27)</f>
        <v>340.51505929851783</v>
      </c>
      <c r="K9" s="133">
        <f>IF(SER_hh_fech_in!K9=0,0,SER_hh_fech_in!K9/SER_summary!K$27)</f>
        <v>342.33902684095403</v>
      </c>
      <c r="L9" s="133">
        <f>IF(SER_hh_fech_in!L9=0,0,SER_hh_fech_in!L9/SER_summary!L$27)</f>
        <v>393.10463244031871</v>
      </c>
      <c r="M9" s="133">
        <f>IF(SER_hh_fech_in!M9=0,0,SER_hh_fech_in!M9/SER_summary!M$27)</f>
        <v>158.70618951835499</v>
      </c>
      <c r="N9" s="133">
        <f>IF(SER_hh_fech_in!N9=0,0,SER_hh_fech_in!N9/SER_summary!N$27)</f>
        <v>276.76101064034486</v>
      </c>
      <c r="O9" s="133">
        <f>IF(SER_hh_fech_in!O9=0,0,SER_hh_fech_in!O9/SER_summary!O$27)</f>
        <v>255.20257674808698</v>
      </c>
      <c r="P9" s="133">
        <f>IF(SER_hh_fech_in!P9=0,0,SER_hh_fech_in!P9/SER_summary!P$27)</f>
        <v>184.87172298682003</v>
      </c>
      <c r="Q9" s="133">
        <f>IF(SER_hh_fech_in!Q9=0,0,SER_hh_fech_in!Q9/SER_summary!Q$27)</f>
        <v>202.59693080840432</v>
      </c>
      <c r="R9" s="133">
        <f>IF(SER_hh_fech_in!R9=0,0,SER_hh_fech_in!R9/SER_summary!R$27)</f>
        <v>224.64139598762918</v>
      </c>
      <c r="S9" s="133">
        <f>IF(SER_hh_fech_in!S9=0,0,SER_hh_fech_in!S9/SER_summary!S$27)</f>
        <v>0</v>
      </c>
      <c r="T9" s="133">
        <f>IF(SER_hh_fech_in!T9=0,0,SER_hh_fech_in!T9/SER_summary!T$27)</f>
        <v>0</v>
      </c>
      <c r="U9" s="133">
        <f>IF(SER_hh_fech_in!U9=0,0,SER_hh_fech_in!U9/SER_summary!U$27)</f>
        <v>201.6808352103404</v>
      </c>
      <c r="V9" s="133">
        <f>IF(SER_hh_fech_in!V9=0,0,SER_hh_fech_in!V9/SER_summary!V$27)</f>
        <v>0</v>
      </c>
      <c r="W9" s="133">
        <f>IF(SER_hh_fech_in!W9=0,0,SER_hh_fech_in!W9/SER_summary!W$27)</f>
        <v>159.21323427686627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347.7063751792964</v>
      </c>
      <c r="D10" s="133">
        <f>IF(SER_hh_fech_in!D10=0,0,SER_hh_fech_in!D10/SER_summary!D$27)</f>
        <v>467.5657348293509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177.32112193163374</v>
      </c>
      <c r="J10" s="133">
        <f>IF(SER_hh_fech_in!J10=0,0,SER_hh_fech_in!J10/SER_summary!J$27)</f>
        <v>318.05032943823483</v>
      </c>
      <c r="K10" s="133">
        <f>IF(SER_hh_fech_in!K10=0,0,SER_hh_fech_in!K10/SER_summary!K$27)</f>
        <v>471.22835677510113</v>
      </c>
      <c r="L10" s="133">
        <f>IF(SER_hh_fech_in!L10=0,0,SER_hh_fech_in!L10/SER_summary!L$27)</f>
        <v>332.65403750706889</v>
      </c>
      <c r="M10" s="133">
        <f>IF(SER_hh_fech_in!M10=0,0,SER_hh_fech_in!M10/SER_summary!M$27)</f>
        <v>129.21350870976767</v>
      </c>
      <c r="N10" s="133">
        <f>IF(SER_hh_fech_in!N10=0,0,SER_hh_fech_in!N10/SER_summary!N$27)</f>
        <v>226.53136748090535</v>
      </c>
      <c r="O10" s="133">
        <f>IF(SER_hh_fech_in!O10=0,0,SER_hh_fech_in!O10/SER_summary!O$27)</f>
        <v>311.60377078454599</v>
      </c>
      <c r="P10" s="133">
        <f>IF(SER_hh_fech_in!P10=0,0,SER_hh_fech_in!P10/SER_summary!P$27)</f>
        <v>384.92401473644537</v>
      </c>
      <c r="Q10" s="133">
        <f>IF(SER_hh_fech_in!Q10=0,0,SER_hh_fech_in!Q10/SER_summary!Q$27)</f>
        <v>151.12623554470846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819.89700806797202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244.05144402772501</v>
      </c>
      <c r="D12" s="133">
        <f>IF(SER_hh_fech_in!D12=0,0,SER_hh_fech_in!D12/SER_summary!D$27)</f>
        <v>222.59099571618063</v>
      </c>
      <c r="E12" s="133">
        <f>IF(SER_hh_fech_in!E12=0,0,SER_hh_fech_in!E12/SER_summary!E$27)</f>
        <v>354.33913640416256</v>
      </c>
      <c r="F12" s="133">
        <f>IF(SER_hh_fech_in!F12=0,0,SER_hh_fech_in!F12/SER_summary!F$27)</f>
        <v>299.78124060958743</v>
      </c>
      <c r="G12" s="133">
        <f>IF(SER_hh_fech_in!G12=0,0,SER_hh_fech_in!G12/SER_summary!G$27)</f>
        <v>281.43755266951302</v>
      </c>
      <c r="H12" s="133">
        <f>IF(SER_hh_fech_in!H12=0,0,SER_hh_fech_in!H12/SER_summary!H$27)</f>
        <v>283.91179414584826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224.43617172126969</v>
      </c>
      <c r="L12" s="133">
        <f>IF(SER_hh_fech_in!L12=0,0,SER_hh_fech_in!L12/SER_summary!L$27)</f>
        <v>253.17312293488339</v>
      </c>
      <c r="M12" s="133">
        <f>IF(SER_hh_fech_in!M12=0,0,SER_hh_fech_in!M12/SER_summary!M$27)</f>
        <v>258.75570888683143</v>
      </c>
      <c r="N12" s="133">
        <f>IF(SER_hh_fech_in!N12=0,0,SER_hh_fech_in!N12/SER_summary!N$27)</f>
        <v>225.53014491929258</v>
      </c>
      <c r="O12" s="133">
        <f>IF(SER_hh_fech_in!O12=0,0,SER_hh_fech_in!O12/SER_summary!O$27)</f>
        <v>235.32434626052256</v>
      </c>
      <c r="P12" s="133">
        <f>IF(SER_hh_fech_in!P12=0,0,SER_hh_fech_in!P12/SER_summary!P$27)</f>
        <v>151.41295558947925</v>
      </c>
      <c r="Q12" s="133">
        <f>IF(SER_hh_fech_in!Q12=0,0,SER_hh_fech_in!Q12/SER_summary!Q$27)</f>
        <v>178.86624351276984</v>
      </c>
      <c r="R12" s="133">
        <f>IF(SER_hh_fech_in!R12=0,0,SER_hh_fech_in!R12/SER_summary!R$27)</f>
        <v>171.29276238176246</v>
      </c>
      <c r="S12" s="133">
        <f>IF(SER_hh_fech_in!S12=0,0,SER_hh_fech_in!S12/SER_summary!S$27)</f>
        <v>175.30255914158133</v>
      </c>
      <c r="T12" s="133">
        <f>IF(SER_hh_fech_in!T12=0,0,SER_hh_fech_in!T12/SER_summary!T$27)</f>
        <v>167.27253506731961</v>
      </c>
      <c r="U12" s="133">
        <f>IF(SER_hh_fech_in!U12=0,0,SER_hh_fech_in!U12/SER_summary!U$27)</f>
        <v>168.43455031260427</v>
      </c>
      <c r="V12" s="133">
        <f>IF(SER_hh_fech_in!V12=0,0,SER_hh_fech_in!V12/SER_summary!V$27)</f>
        <v>176.85872286368692</v>
      </c>
      <c r="W12" s="133">
        <f>IF(SER_hh_fech_in!W12=0,0,SER_hh_fech_in!W12/SER_summary!W$27)</f>
        <v>121.80222111047919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389.93600647009765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266.51406567607739</v>
      </c>
      <c r="G14" s="65">
        <f>IF(SER_hh_fech_in!G14=0,0,SER_hh_fech_in!G14/SER_summary!G$27)</f>
        <v>302.19092715658059</v>
      </c>
      <c r="H14" s="65">
        <f>IF(SER_hh_fech_in!H14=0,0,SER_hh_fech_in!H14/SER_summary!H$27)</f>
        <v>266.06189744209087</v>
      </c>
      <c r="I14" s="65">
        <f>IF(SER_hh_fech_in!I14=0,0,SER_hh_fech_in!I14/SER_summary!I$27)</f>
        <v>339.58766775535884</v>
      </c>
      <c r="J14" s="65">
        <f>IF(SER_hh_fech_in!J14=0,0,SER_hh_fech_in!J14/SER_summary!J$27)</f>
        <v>302.28021849829753</v>
      </c>
      <c r="K14" s="65">
        <f>IF(SER_hh_fech_in!K14=0,0,SER_hh_fech_in!K14/SER_summary!K$27)</f>
        <v>268.27430448586438</v>
      </c>
      <c r="L14" s="65">
        <f>IF(SER_hh_fech_in!L14=0,0,SER_hh_fech_in!L14/SER_summary!L$27)</f>
        <v>272.81387821088322</v>
      </c>
      <c r="M14" s="65">
        <f>IF(SER_hh_fech_in!M14=0,0,SER_hh_fech_in!M14/SER_summary!M$27)</f>
        <v>231.26881965032248</v>
      </c>
      <c r="N14" s="65">
        <f>IF(SER_hh_fech_in!N14=0,0,SER_hh_fech_in!N14/SER_summary!N$27)</f>
        <v>239.79446640235037</v>
      </c>
      <c r="O14" s="65">
        <f>IF(SER_hh_fech_in!O14=0,0,SER_hh_fech_in!O14/SER_summary!O$27)</f>
        <v>234.91731395206605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132.63619001645904</v>
      </c>
      <c r="S14" s="65">
        <f>IF(SER_hh_fech_in!S14=0,0,SER_hh_fech_in!S14/SER_summary!S$27)</f>
        <v>217.90839505375675</v>
      </c>
      <c r="T14" s="65">
        <f>IF(SER_hh_fech_in!T14=0,0,SER_hh_fech_in!T14/SER_summary!T$27)</f>
        <v>170.6498122774673</v>
      </c>
      <c r="U14" s="65">
        <f>IF(SER_hh_fech_in!U14=0,0,SER_hh_fech_in!U14/SER_summary!U$27)</f>
        <v>180.48485112660526</v>
      </c>
      <c r="V14" s="65">
        <f>IF(SER_hh_fech_in!V14=0,0,SER_hh_fech_in!V14/SER_summary!V$27)</f>
        <v>147.32602080557947</v>
      </c>
      <c r="W14" s="65">
        <f>IF(SER_hh_fech_in!W14=0,0,SER_hh_fech_in!W14/SER_summary!W$27)</f>
        <v>120.40153960134118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2.8750782316584766</v>
      </c>
      <c r="D15" s="135">
        <f>IF(SER_hh_fech_in!D15=0,0,SER_hh_fech_in!D15/SER_summary!D$27)</f>
        <v>1.8503950467328276</v>
      </c>
      <c r="E15" s="135">
        <f>IF(SER_hh_fech_in!E15=0,0,SER_hh_fech_in!E15/SER_summary!E$27)</f>
        <v>1.3876248094919297</v>
      </c>
      <c r="F15" s="135">
        <f>IF(SER_hh_fech_in!F15=0,0,SER_hh_fech_in!F15/SER_summary!F$27)</f>
        <v>1.6009200724433208</v>
      </c>
      <c r="G15" s="135">
        <f>IF(SER_hh_fech_in!G15=0,0,SER_hh_fech_in!G15/SER_summary!G$27)</f>
        <v>2.6130419937000426</v>
      </c>
      <c r="H15" s="135">
        <f>IF(SER_hh_fech_in!H15=0,0,SER_hh_fech_in!H15/SER_summary!H$27)</f>
        <v>4.2972749386935369</v>
      </c>
      <c r="I15" s="135">
        <f>IF(SER_hh_fech_in!I15=0,0,SER_hh_fech_in!I15/SER_summary!I$27)</f>
        <v>3.3576926310147246</v>
      </c>
      <c r="J15" s="135">
        <f>IF(SER_hh_fech_in!J15=0,0,SER_hh_fech_in!J15/SER_summary!J$27)</f>
        <v>3.9698272507281418</v>
      </c>
      <c r="K15" s="135">
        <f>IF(SER_hh_fech_in!K15=0,0,SER_hh_fech_in!K15/SER_summary!K$27)</f>
        <v>3.4191450620322228</v>
      </c>
      <c r="L15" s="135">
        <f>IF(SER_hh_fech_in!L15=0,0,SER_hh_fech_in!L15/SER_summary!L$27)</f>
        <v>3.2898746942250283</v>
      </c>
      <c r="M15" s="135">
        <f>IF(SER_hh_fech_in!M15=0,0,SER_hh_fech_in!M15/SER_summary!M$27)</f>
        <v>2.1092059229739295</v>
      </c>
      <c r="N15" s="135">
        <f>IF(SER_hh_fech_in!N15=0,0,SER_hh_fech_in!N15/SER_summary!N$27)</f>
        <v>2.6182549134049093</v>
      </c>
      <c r="O15" s="135">
        <f>IF(SER_hh_fech_in!O15=0,0,SER_hh_fech_in!O15/SER_summary!O$27)</f>
        <v>2.7943946528195958</v>
      </c>
      <c r="P15" s="135">
        <f>IF(SER_hh_fech_in!P15=0,0,SER_hh_fech_in!P15/SER_summary!P$27)</f>
        <v>1.9741180824511451</v>
      </c>
      <c r="Q15" s="135">
        <f>IF(SER_hh_fech_in!Q15=0,0,SER_hh_fech_in!Q15/SER_summary!Q$27)</f>
        <v>2.1372570700228208</v>
      </c>
      <c r="R15" s="135">
        <f>IF(SER_hh_fech_in!R15=0,0,SER_hh_fech_in!R15/SER_summary!R$27)</f>
        <v>1.6505177827570514</v>
      </c>
      <c r="S15" s="135">
        <f>IF(SER_hh_fech_in!S15=0,0,SER_hh_fech_in!S15/SER_summary!S$27)</f>
        <v>1.7383834910176328</v>
      </c>
      <c r="T15" s="135">
        <f>IF(SER_hh_fech_in!T15=0,0,SER_hh_fech_in!T15/SER_summary!T$27)</f>
        <v>1.0351207658092492</v>
      </c>
      <c r="U15" s="135">
        <f>IF(SER_hh_fech_in!U15=0,0,SER_hh_fech_in!U15/SER_summary!U$27)</f>
        <v>0.87672650195852531</v>
      </c>
      <c r="V15" s="135">
        <f>IF(SER_hh_fech_in!V15=0,0,SER_hh_fech_in!V15/SER_summary!V$27)</f>
        <v>0.7493694627453652</v>
      </c>
      <c r="W15" s="135">
        <f>IF(SER_hh_fech_in!W15=0,0,SER_hh_fech_in!W15/SER_summary!W$27)</f>
        <v>0.95877279573111351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15.946088496869384</v>
      </c>
      <c r="D16" s="131">
        <f>IF(SER_hh_fech_in!D16=0,0,SER_hh_fech_in!D16/SER_summary!D$27)</f>
        <v>15.565726537654387</v>
      </c>
      <c r="E16" s="131">
        <f>IF(SER_hh_fech_in!E16=0,0,SER_hh_fech_in!E16/SER_summary!E$27)</f>
        <v>18.972914780472948</v>
      </c>
      <c r="F16" s="131">
        <f>IF(SER_hh_fech_in!F16=0,0,SER_hh_fech_in!F16/SER_summary!F$27)</f>
        <v>14.15266702154157</v>
      </c>
      <c r="G16" s="131">
        <f>IF(SER_hh_fech_in!G16=0,0,SER_hh_fech_in!G16/SER_summary!G$27)</f>
        <v>13.811317467845123</v>
      </c>
      <c r="H16" s="131">
        <f>IF(SER_hh_fech_in!H16=0,0,SER_hh_fech_in!H16/SER_summary!H$27)</f>
        <v>15.618313134128352</v>
      </c>
      <c r="I16" s="131">
        <f>IF(SER_hh_fech_in!I16=0,0,SER_hh_fech_in!I16/SER_summary!I$27)</f>
        <v>12.544406291157069</v>
      </c>
      <c r="J16" s="131">
        <f>IF(SER_hh_fech_in!J16=0,0,SER_hh_fech_in!J16/SER_summary!J$27)</f>
        <v>11.855801538999719</v>
      </c>
      <c r="K16" s="131">
        <f>IF(SER_hh_fech_in!K16=0,0,SER_hh_fech_in!K16/SER_summary!K$27)</f>
        <v>11.498087896912619</v>
      </c>
      <c r="L16" s="131">
        <f>IF(SER_hh_fech_in!L16=0,0,SER_hh_fech_in!L16/SER_summary!L$27)</f>
        <v>11.64930661565502</v>
      </c>
      <c r="M16" s="131">
        <f>IF(SER_hh_fech_in!M16=0,0,SER_hh_fech_in!M16/SER_summary!M$27)</f>
        <v>10.408674135183681</v>
      </c>
      <c r="N16" s="131">
        <f>IF(SER_hh_fech_in!N16=0,0,SER_hh_fech_in!N16/SER_summary!N$27)</f>
        <v>10.072792437968944</v>
      </c>
      <c r="O16" s="131">
        <f>IF(SER_hh_fech_in!O16=0,0,SER_hh_fech_in!O16/SER_summary!O$27)</f>
        <v>9.7455523403717823</v>
      </c>
      <c r="P16" s="131">
        <f>IF(SER_hh_fech_in!P16=0,0,SER_hh_fech_in!P16/SER_summary!P$27)</f>
        <v>8.9767952926247698</v>
      </c>
      <c r="Q16" s="131">
        <f>IF(SER_hh_fech_in!Q16=0,0,SER_hh_fech_in!Q16/SER_summary!Q$27)</f>
        <v>9.3828294341620087</v>
      </c>
      <c r="R16" s="131">
        <f>IF(SER_hh_fech_in!R16=0,0,SER_hh_fech_in!R16/SER_summary!R$27)</f>
        <v>8.5911920290521415</v>
      </c>
      <c r="S16" s="131">
        <f>IF(SER_hh_fech_in!S16=0,0,SER_hh_fech_in!S16/SER_summary!S$27)</f>
        <v>7.7215530479900698</v>
      </c>
      <c r="T16" s="131">
        <f>IF(SER_hh_fech_in!T16=0,0,SER_hh_fech_in!T16/SER_summary!T$27)</f>
        <v>7.8854780786872167</v>
      </c>
      <c r="U16" s="131">
        <f>IF(SER_hh_fech_in!U16=0,0,SER_hh_fech_in!U16/SER_summary!U$27)</f>
        <v>7.5994687865922259</v>
      </c>
      <c r="V16" s="131">
        <f>IF(SER_hh_fech_in!V16=0,0,SER_hh_fech_in!V16/SER_summary!V$27)</f>
        <v>7.1196778933153562</v>
      </c>
      <c r="W16" s="131">
        <f>IF(SER_hh_fech_in!W16=0,0,SER_hh_fech_in!W16/SER_summary!W$27)</f>
        <v>5.0302873033796702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29.540383965976059</v>
      </c>
      <c r="D17" s="133">
        <f>IF(SER_hh_fech_in!D17=0,0,SER_hh_fech_in!D17/SER_summary!D$27)</f>
        <v>29.647069484863191</v>
      </c>
      <c r="E17" s="133">
        <f>IF(SER_hh_fech_in!E17=0,0,SER_hh_fech_in!E17/SER_summary!E$27)</f>
        <v>0</v>
      </c>
      <c r="F17" s="133">
        <f>IF(SER_hh_fech_in!F17=0,0,SER_hh_fech_in!F17/SER_summary!F$27)</f>
        <v>28.367336356770327</v>
      </c>
      <c r="G17" s="133">
        <f>IF(SER_hh_fech_in!G17=0,0,SER_hh_fech_in!G17/SER_summary!G$27)</f>
        <v>28.851061591653913</v>
      </c>
      <c r="H17" s="133">
        <f>IF(SER_hh_fech_in!H17=0,0,SER_hh_fech_in!H17/SER_summary!H$27)</f>
        <v>33.436815766396954</v>
      </c>
      <c r="I17" s="133">
        <f>IF(SER_hh_fech_in!I17=0,0,SER_hh_fech_in!I17/SER_summary!I$27)</f>
        <v>27.387570745931299</v>
      </c>
      <c r="J17" s="133">
        <f>IF(SER_hh_fech_in!J17=0,0,SER_hh_fech_in!J17/SER_summary!J$27)</f>
        <v>26.82908354128536</v>
      </c>
      <c r="K17" s="133">
        <f>IF(SER_hh_fech_in!K17=0,0,SER_hh_fech_in!K17/SER_summary!K$27)</f>
        <v>31.180147809507833</v>
      </c>
      <c r="L17" s="133">
        <f>IF(SER_hh_fech_in!L17=0,0,SER_hh_fech_in!L17/SER_summary!L$27)</f>
        <v>27.770655185902044</v>
      </c>
      <c r="M17" s="133">
        <f>IF(SER_hh_fech_in!M17=0,0,SER_hh_fech_in!M17/SER_summary!M$27)</f>
        <v>25.411634690981675</v>
      </c>
      <c r="N17" s="133">
        <f>IF(SER_hh_fech_in!N17=0,0,SER_hh_fech_in!N17/SER_summary!N$27)</f>
        <v>25.309274466822377</v>
      </c>
      <c r="O17" s="133">
        <f>IF(SER_hh_fech_in!O17=0,0,SER_hh_fech_in!O17/SER_summary!O$27)</f>
        <v>24.938163668039696</v>
      </c>
      <c r="P17" s="133">
        <f>IF(SER_hh_fech_in!P17=0,0,SER_hh_fech_in!P17/SER_summary!P$27)</f>
        <v>23.115197943726237</v>
      </c>
      <c r="Q17" s="133">
        <f>IF(SER_hh_fech_in!Q17=0,0,SER_hh_fech_in!Q17/SER_summary!Q$27)</f>
        <v>24.74987304731701</v>
      </c>
      <c r="R17" s="133">
        <f>IF(SER_hh_fech_in!R17=0,0,SER_hh_fech_in!R17/SER_summary!R$27)</f>
        <v>21.601922752394383</v>
      </c>
      <c r="S17" s="133">
        <f>IF(SER_hh_fech_in!S17=0,0,SER_hh_fech_in!S17/SER_summary!S$27)</f>
        <v>20.915526863442672</v>
      </c>
      <c r="T17" s="133">
        <f>IF(SER_hh_fech_in!T17=0,0,SER_hh_fech_in!T17/SER_summary!T$27)</f>
        <v>21.004628675246039</v>
      </c>
      <c r="U17" s="133">
        <f>IF(SER_hh_fech_in!U17=0,0,SER_hh_fech_in!U17/SER_summary!U$27)</f>
        <v>19.41853839418722</v>
      </c>
      <c r="V17" s="133">
        <f>IF(SER_hh_fech_in!V17=0,0,SER_hh_fech_in!V17/SER_summary!V$27)</f>
        <v>17.84595658422014</v>
      </c>
      <c r="W17" s="133">
        <f>IF(SER_hh_fech_in!W17=0,0,SER_hh_fech_in!W17/SER_summary!W$27)</f>
        <v>14.451565862971455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15.872327119218753</v>
      </c>
      <c r="D18" s="133">
        <f>IF(SER_hh_fech_in!D18=0,0,SER_hh_fech_in!D18/SER_summary!D$27)</f>
        <v>15.451452059333786</v>
      </c>
      <c r="E18" s="133">
        <f>IF(SER_hh_fech_in!E18=0,0,SER_hh_fech_in!E18/SER_summary!E$27)</f>
        <v>18.972914780472948</v>
      </c>
      <c r="F18" s="133">
        <f>IF(SER_hh_fech_in!F18=0,0,SER_hh_fech_in!F18/SER_summary!F$27)</f>
        <v>13.901991996278976</v>
      </c>
      <c r="G18" s="133">
        <f>IF(SER_hh_fech_in!G18=0,0,SER_hh_fech_in!G18/SER_summary!G$27)</f>
        <v>13.7493780835993</v>
      </c>
      <c r="H18" s="133">
        <f>IF(SER_hh_fech_in!H18=0,0,SER_hh_fech_in!H18/SER_summary!H$27)</f>
        <v>15.487535381493629</v>
      </c>
      <c r="I18" s="133">
        <f>IF(SER_hh_fech_in!I18=0,0,SER_hh_fech_in!I18/SER_summary!I$27)</f>
        <v>12.325920012985078</v>
      </c>
      <c r="J18" s="133">
        <f>IF(SER_hh_fech_in!J18=0,0,SER_hh_fech_in!J18/SER_summary!J$27)</f>
        <v>11.747786478077876</v>
      </c>
      <c r="K18" s="133">
        <f>IF(SER_hh_fech_in!K18=0,0,SER_hh_fech_in!K18/SER_summary!K$27)</f>
        <v>11.28512874725237</v>
      </c>
      <c r="L18" s="133">
        <f>IF(SER_hh_fech_in!L18=0,0,SER_hh_fech_in!L18/SER_summary!L$27)</f>
        <v>11.513330092166392</v>
      </c>
      <c r="M18" s="133">
        <f>IF(SER_hh_fech_in!M18=0,0,SER_hh_fech_in!M18/SER_summary!M$27)</f>
        <v>10.220900299034577</v>
      </c>
      <c r="N18" s="133">
        <f>IF(SER_hh_fech_in!N18=0,0,SER_hh_fech_in!N18/SER_summary!N$27)</f>
        <v>9.8854020811976433</v>
      </c>
      <c r="O18" s="133">
        <f>IF(SER_hh_fech_in!O18=0,0,SER_hh_fech_in!O18/SER_summary!O$27)</f>
        <v>9.4073661236272184</v>
      </c>
      <c r="P18" s="133">
        <f>IF(SER_hh_fech_in!P18=0,0,SER_hh_fech_in!P18/SER_summary!P$27)</f>
        <v>8.4216913289212414</v>
      </c>
      <c r="Q18" s="133">
        <f>IF(SER_hh_fech_in!Q18=0,0,SER_hh_fech_in!Q18/SER_summary!Q$27)</f>
        <v>8.8987904481611437</v>
      </c>
      <c r="R18" s="133">
        <f>IF(SER_hh_fech_in!R18=0,0,SER_hh_fech_in!R18/SER_summary!R$27)</f>
        <v>7.6511117289589157</v>
      </c>
      <c r="S18" s="133">
        <f>IF(SER_hh_fech_in!S18=0,0,SER_hh_fech_in!S18/SER_summary!S$27)</f>
        <v>7.1951059929853516</v>
      </c>
      <c r="T18" s="133">
        <f>IF(SER_hh_fech_in!T18=0,0,SER_hh_fech_in!T18/SER_summary!T$27)</f>
        <v>7.6187411469507289</v>
      </c>
      <c r="U18" s="133">
        <f>IF(SER_hh_fech_in!U18=0,0,SER_hh_fech_in!U18/SER_summary!U$27)</f>
        <v>7.1426054033511575</v>
      </c>
      <c r="V18" s="133">
        <f>IF(SER_hh_fech_in!V18=0,0,SER_hh_fech_in!V18/SER_summary!V$27)</f>
        <v>6.6272615670498443</v>
      </c>
      <c r="W18" s="133">
        <f>IF(SER_hh_fech_in!W18=0,0,SER_hh_fech_in!W18/SER_summary!W$27)</f>
        <v>4.6532994774109273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44.568818636646753</v>
      </c>
      <c r="D19" s="131">
        <f>IF(SER_hh_fech_in!D19=0,0,SER_hh_fech_in!D19/SER_summary!D$27)</f>
        <v>41.544479935422075</v>
      </c>
      <c r="E19" s="131">
        <f>IF(SER_hh_fech_in!E19=0,0,SER_hh_fech_in!E19/SER_summary!E$27)</f>
        <v>47.233192906202525</v>
      </c>
      <c r="F19" s="131">
        <f>IF(SER_hh_fech_in!F19=0,0,SER_hh_fech_in!F19/SER_summary!F$27)</f>
        <v>44.418207972847291</v>
      </c>
      <c r="G19" s="131">
        <f>IF(SER_hh_fech_in!G19=0,0,SER_hh_fech_in!G19/SER_summary!G$27)</f>
        <v>43.209383274195424</v>
      </c>
      <c r="H19" s="131">
        <f>IF(SER_hh_fech_in!H19=0,0,SER_hh_fech_in!H19/SER_summary!H$27)</f>
        <v>45.083705977610848</v>
      </c>
      <c r="I19" s="131">
        <f>IF(SER_hh_fech_in!I19=0,0,SER_hh_fech_in!I19/SER_summary!I$27)</f>
        <v>44.220705198160893</v>
      </c>
      <c r="J19" s="131">
        <f>IF(SER_hh_fech_in!J19=0,0,SER_hh_fech_in!J19/SER_summary!J$27)</f>
        <v>46.261152510756517</v>
      </c>
      <c r="K19" s="131">
        <f>IF(SER_hh_fech_in!K19=0,0,SER_hh_fech_in!K19/SER_summary!K$27)</f>
        <v>44.758991796175657</v>
      </c>
      <c r="L19" s="131">
        <f>IF(SER_hh_fech_in!L19=0,0,SER_hh_fech_in!L19/SER_summary!L$27)</f>
        <v>50.048286117219433</v>
      </c>
      <c r="M19" s="131">
        <f>IF(SER_hh_fech_in!M19=0,0,SER_hh_fech_in!M19/SER_summary!M$27)</f>
        <v>42.520916173202615</v>
      </c>
      <c r="N19" s="131">
        <f>IF(SER_hh_fech_in!N19=0,0,SER_hh_fech_in!N19/SER_summary!N$27)</f>
        <v>43.926220952410624</v>
      </c>
      <c r="O19" s="131">
        <f>IF(SER_hh_fech_in!O19=0,0,SER_hh_fech_in!O19/SER_summary!O$27)</f>
        <v>41.189298429302511</v>
      </c>
      <c r="P19" s="131">
        <f>IF(SER_hh_fech_in!P19=0,0,SER_hh_fech_in!P19/SER_summary!P$27)</f>
        <v>39.827734259647642</v>
      </c>
      <c r="Q19" s="131">
        <f>IF(SER_hh_fech_in!Q19=0,0,SER_hh_fech_in!Q19/SER_summary!Q$27)</f>
        <v>38.82539146060936</v>
      </c>
      <c r="R19" s="131">
        <f>IF(SER_hh_fech_in!R19=0,0,SER_hh_fech_in!R19/SER_summary!R$27)</f>
        <v>36.412454220933718</v>
      </c>
      <c r="S19" s="131">
        <f>IF(SER_hh_fech_in!S19=0,0,SER_hh_fech_in!S19/SER_summary!S$27)</f>
        <v>38.776005593641237</v>
      </c>
      <c r="T19" s="131">
        <f>IF(SER_hh_fech_in!T19=0,0,SER_hh_fech_in!T19/SER_summary!T$27)</f>
        <v>35.321308591321845</v>
      </c>
      <c r="U19" s="131">
        <f>IF(SER_hh_fech_in!U19=0,0,SER_hh_fech_in!U19/SER_summary!U$27)</f>
        <v>34.40807680041668</v>
      </c>
      <c r="V19" s="131">
        <f>IF(SER_hh_fech_in!V19=0,0,SER_hh_fech_in!V19/SER_summary!V$27)</f>
        <v>31.336777764204101</v>
      </c>
      <c r="W19" s="131">
        <f>IF(SER_hh_fech_in!W19=0,0,SER_hh_fech_in!W19/SER_summary!W$27)</f>
        <v>29.881839575368662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56.811763157639113</v>
      </c>
      <c r="D22" s="133">
        <f>IF(SER_hh_fech_in!D22=0,0,SER_hh_fech_in!D22/SER_summary!D$27)</f>
        <v>57.55069889639239</v>
      </c>
      <c r="E22" s="133">
        <f>IF(SER_hh_fech_in!E22=0,0,SER_hh_fech_in!E22/SER_summary!E$27)</f>
        <v>57.319254420806963</v>
      </c>
      <c r="F22" s="133">
        <f>IF(SER_hh_fech_in!F22=0,0,SER_hh_fech_in!F22/SER_summary!F$27)</f>
        <v>58.890180729396583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46.930076709933346</v>
      </c>
      <c r="L22" s="133">
        <f>IF(SER_hh_fech_in!L22=0,0,SER_hh_fech_in!L22/SER_summary!L$27)</f>
        <v>63.440063292834573</v>
      </c>
      <c r="M22" s="133">
        <f>IF(SER_hh_fech_in!M22=0,0,SER_hh_fech_in!M22/SER_summary!M$27)</f>
        <v>41.676640442324334</v>
      </c>
      <c r="N22" s="133">
        <f>IF(SER_hh_fech_in!N22=0,0,SER_hh_fech_in!N22/SER_summary!N$27)</f>
        <v>53.666446460838117</v>
      </c>
      <c r="O22" s="133">
        <f>IF(SER_hh_fech_in!O22=0,0,SER_hh_fech_in!O22/SER_summary!O$27)</f>
        <v>48.137921037308686</v>
      </c>
      <c r="P22" s="133">
        <f>IF(SER_hh_fech_in!P22=0,0,SER_hh_fech_in!P22/SER_summary!P$27)</f>
        <v>46.176815708040181</v>
      </c>
      <c r="Q22" s="133">
        <f>IF(SER_hh_fech_in!Q22=0,0,SER_hh_fech_in!Q22/SER_summary!Q$27)</f>
        <v>40.557379349664672</v>
      </c>
      <c r="R22" s="133">
        <f>IF(SER_hh_fech_in!R22=0,0,SER_hh_fech_in!R22/SER_summary!R$27)</f>
        <v>33.707230996710877</v>
      </c>
      <c r="S22" s="133">
        <f>IF(SER_hh_fech_in!S22=0,0,SER_hh_fech_in!S22/SER_summary!S$27)</f>
        <v>42.915821436710623</v>
      </c>
      <c r="T22" s="133">
        <f>IF(SER_hh_fech_in!T22=0,0,SER_hh_fech_in!T22/SER_summary!T$27)</f>
        <v>39.72115411948495</v>
      </c>
      <c r="U22" s="133">
        <f>IF(SER_hh_fech_in!U22=0,0,SER_hh_fech_in!U22/SER_summary!U$27)</f>
        <v>39.869281264168329</v>
      </c>
      <c r="V22" s="133">
        <f>IF(SER_hh_fech_in!V22=0,0,SER_hh_fech_in!V22/SER_summary!V$27)</f>
        <v>30.955084345477125</v>
      </c>
      <c r="W22" s="133">
        <f>IF(SER_hh_fech_in!W22=0,0,SER_hh_fech_in!W22/SER_summary!W$27)</f>
        <v>34.301412931878481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52.491103070907499</v>
      </c>
      <c r="D23" s="133">
        <f>IF(SER_hh_fech_in!D23=0,0,SER_hh_fech_in!D23/SER_summary!D$27)</f>
        <v>51.225735850007389</v>
      </c>
      <c r="E23" s="133">
        <f>IF(SER_hh_fech_in!E23=0,0,SER_hh_fech_in!E23/SER_summary!E$27)</f>
        <v>52.800567302350686</v>
      </c>
      <c r="F23" s="133">
        <f>IF(SER_hh_fech_in!F23=0,0,SER_hh_fech_in!F23/SER_summary!F$27)</f>
        <v>50.896767864438957</v>
      </c>
      <c r="G23" s="133">
        <f>IF(SER_hh_fech_in!G23=0,0,SER_hh_fech_in!G23/SER_summary!G$27)</f>
        <v>50.501297524076307</v>
      </c>
      <c r="H23" s="133">
        <f>IF(SER_hh_fech_in!H23=0,0,SER_hh_fech_in!H23/SER_summary!H$27)</f>
        <v>48.616834784090599</v>
      </c>
      <c r="I23" s="133">
        <f>IF(SER_hh_fech_in!I23=0,0,SER_hh_fech_in!I23/SER_summary!I$27)</f>
        <v>46.604570027667748</v>
      </c>
      <c r="J23" s="133">
        <f>IF(SER_hh_fech_in!J23=0,0,SER_hh_fech_in!J23/SER_summary!J$27)</f>
        <v>51.348707571455051</v>
      </c>
      <c r="K23" s="133">
        <f>IF(SER_hh_fech_in!K23=0,0,SER_hh_fech_in!K23/SER_summary!K$27)</f>
        <v>45.716179709937819</v>
      </c>
      <c r="L23" s="133">
        <f>IF(SER_hh_fech_in!L23=0,0,SER_hh_fech_in!L23/SER_summary!L$27)</f>
        <v>49.54927056711918</v>
      </c>
      <c r="M23" s="133">
        <f>IF(SER_hh_fech_in!M23=0,0,SER_hh_fech_in!M23/SER_summary!M$27)</f>
        <v>46.013986421139336</v>
      </c>
      <c r="N23" s="133">
        <f>IF(SER_hh_fech_in!N23=0,0,SER_hh_fech_in!N23/SER_summary!N$27)</f>
        <v>42.612661251505969</v>
      </c>
      <c r="O23" s="133">
        <f>IF(SER_hh_fech_in!O23=0,0,SER_hh_fech_in!O23/SER_summary!O$27)</f>
        <v>41.490067791004634</v>
      </c>
      <c r="P23" s="133">
        <f>IF(SER_hh_fech_in!P23=0,0,SER_hh_fech_in!P23/SER_summary!P$27)</f>
        <v>41.673450906522362</v>
      </c>
      <c r="Q23" s="133">
        <f>IF(SER_hh_fech_in!Q23=0,0,SER_hh_fech_in!Q23/SER_summary!Q$27)</f>
        <v>45.232014742559642</v>
      </c>
      <c r="R23" s="133">
        <f>IF(SER_hh_fech_in!R23=0,0,SER_hh_fech_in!R23/SER_summary!R$27)</f>
        <v>46.977877654108994</v>
      </c>
      <c r="S23" s="133">
        <f>IF(SER_hh_fech_in!S23=0,0,SER_hh_fech_in!S23/SER_summary!S$27)</f>
        <v>33.680950803295289</v>
      </c>
      <c r="T23" s="133">
        <f>IF(SER_hh_fech_in!T23=0,0,SER_hh_fech_in!T23/SER_summary!T$27)</f>
        <v>0</v>
      </c>
      <c r="U23" s="133">
        <f>IF(SER_hh_fech_in!U23=0,0,SER_hh_fech_in!U23/SER_summary!U$27)</f>
        <v>37.660366957482161</v>
      </c>
      <c r="V23" s="133">
        <f>IF(SER_hh_fech_in!V23=0,0,SER_hh_fech_in!V23/SER_summary!V$27)</f>
        <v>0</v>
      </c>
      <c r="W23" s="133">
        <f>IF(SER_hh_fech_in!W23=0,0,SER_hh_fech_in!W23/SER_summary!W$27)</f>
        <v>39.292786748533914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31.481155865342956</v>
      </c>
      <c r="D25" s="133">
        <f>IF(SER_hh_fech_in!D25=0,0,SER_hh_fech_in!D25/SER_summary!D$27)</f>
        <v>34.900792291567065</v>
      </c>
      <c r="E25" s="133">
        <f>IF(SER_hh_fech_in!E25=0,0,SER_hh_fech_in!E25/SER_summary!E$27)</f>
        <v>43.165282512883344</v>
      </c>
      <c r="F25" s="133">
        <f>IF(SER_hh_fech_in!F25=0,0,SER_hh_fech_in!F25/SER_summary!F$27)</f>
        <v>38.93401905271768</v>
      </c>
      <c r="G25" s="133">
        <f>IF(SER_hh_fech_in!G25=0,0,SER_hh_fech_in!G25/SER_summary!G$27)</f>
        <v>37.281516247554208</v>
      </c>
      <c r="H25" s="133">
        <f>IF(SER_hh_fech_in!H25=0,0,SER_hh_fech_in!H25/SER_summary!H$27)</f>
        <v>37.000098416080661</v>
      </c>
      <c r="I25" s="133">
        <f>IF(SER_hh_fech_in!I25=0,0,SER_hh_fech_in!I25/SER_summary!I$27)</f>
        <v>36.627653262041989</v>
      </c>
      <c r="J25" s="133">
        <f>IF(SER_hh_fech_in!J25=0,0,SER_hh_fech_in!J25/SER_summary!J$27)</f>
        <v>36.443004769033521</v>
      </c>
      <c r="K25" s="133">
        <f>IF(SER_hh_fech_in!K25=0,0,SER_hh_fech_in!K25/SER_summary!K$27)</f>
        <v>37.391863456385316</v>
      </c>
      <c r="L25" s="133">
        <f>IF(SER_hh_fech_in!L25=0,0,SER_hh_fech_in!L25/SER_summary!L$27)</f>
        <v>35.193889839643191</v>
      </c>
      <c r="M25" s="133">
        <f>IF(SER_hh_fech_in!M25=0,0,SER_hh_fech_in!M25/SER_summary!M$27)</f>
        <v>35.352029472168496</v>
      </c>
      <c r="N25" s="133">
        <f>IF(SER_hh_fech_in!N25=0,0,SER_hh_fech_in!N25/SER_summary!N$27)</f>
        <v>35.44721146556985</v>
      </c>
      <c r="O25" s="133">
        <f>IF(SER_hh_fech_in!O25=0,0,SER_hh_fech_in!O25/SER_summary!O$27)</f>
        <v>35.316212964321878</v>
      </c>
      <c r="P25" s="133">
        <f>IF(SER_hh_fech_in!P25=0,0,SER_hh_fech_in!P25/SER_summary!P$27)</f>
        <v>34.424615812928778</v>
      </c>
      <c r="Q25" s="133">
        <f>IF(SER_hh_fech_in!Q25=0,0,SER_hh_fech_in!Q25/SER_summary!Q$27)</f>
        <v>34.131162462427461</v>
      </c>
      <c r="R25" s="133">
        <f>IF(SER_hh_fech_in!R25=0,0,SER_hh_fech_in!R25/SER_summary!R$27)</f>
        <v>33.776970710999514</v>
      </c>
      <c r="S25" s="133">
        <f>IF(SER_hh_fech_in!S25=0,0,SER_hh_fech_in!S25/SER_summary!S$27)</f>
        <v>35.014407465417904</v>
      </c>
      <c r="T25" s="133">
        <f>IF(SER_hh_fech_in!T25=0,0,SER_hh_fech_in!T25/SER_summary!T$27)</f>
        <v>31.26614879862759</v>
      </c>
      <c r="U25" s="133">
        <f>IF(SER_hh_fech_in!U25=0,0,SER_hh_fech_in!U25/SER_summary!U$27)</f>
        <v>32.942711154332009</v>
      </c>
      <c r="V25" s="133">
        <f>IF(SER_hh_fech_in!V25=0,0,SER_hh_fech_in!V25/SER_summary!V$27)</f>
        <v>31.135661014785565</v>
      </c>
      <c r="W25" s="133">
        <f>IF(SER_hh_fech_in!W25=0,0,SER_hh_fech_in!W25/SER_summary!W$27)</f>
        <v>26.318942433622091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46.955247436639134</v>
      </c>
      <c r="D26" s="65">
        <f>IF(SER_hh_fech_in!D26=0,0,SER_hh_fech_in!D26/SER_summary!D$27)</f>
        <v>0</v>
      </c>
      <c r="E26" s="65">
        <f>IF(SER_hh_fech_in!E26=0,0,SER_hh_fech_in!E26/SER_summary!E$27)</f>
        <v>0</v>
      </c>
      <c r="F26" s="65">
        <f>IF(SER_hh_fech_in!F26=0,0,SER_hh_fech_in!F26/SER_summary!F$27)</f>
        <v>0</v>
      </c>
      <c r="G26" s="65">
        <f>IF(SER_hh_fech_in!G26=0,0,SER_hh_fech_in!G26/SER_summary!G$27)</f>
        <v>42.345341944616962</v>
      </c>
      <c r="H26" s="65">
        <f>IF(SER_hh_fech_in!H26=0,0,SER_hh_fech_in!H26/SER_summary!H$27)</f>
        <v>45.230042929590574</v>
      </c>
      <c r="I26" s="65">
        <f>IF(SER_hh_fech_in!I26=0,0,SER_hh_fech_in!I26/SER_summary!I$27)</f>
        <v>44.414559647681429</v>
      </c>
      <c r="J26" s="65">
        <f>IF(SER_hh_fech_in!J26=0,0,SER_hh_fech_in!J26/SER_summary!J$27)</f>
        <v>43.915979961352598</v>
      </c>
      <c r="K26" s="65">
        <f>IF(SER_hh_fech_in!K26=0,0,SER_hh_fech_in!K26/SER_summary!K$27)</f>
        <v>45.487933304683608</v>
      </c>
      <c r="L26" s="65">
        <f>IF(SER_hh_fech_in!L26=0,0,SER_hh_fech_in!L26/SER_summary!L$27)</f>
        <v>40.684212273489571</v>
      </c>
      <c r="M26" s="65">
        <f>IF(SER_hh_fech_in!M26=0,0,SER_hh_fech_in!M26/SER_summary!M$27)</f>
        <v>43.481520186373601</v>
      </c>
      <c r="N26" s="65">
        <f>IF(SER_hh_fech_in!N26=0,0,SER_hh_fech_in!N26/SER_summary!N$27)</f>
        <v>40.998916355973769</v>
      </c>
      <c r="O26" s="65">
        <f>IF(SER_hh_fech_in!O26=0,0,SER_hh_fech_in!O26/SER_summary!O$27)</f>
        <v>40.459491544711547</v>
      </c>
      <c r="P26" s="65">
        <f>IF(SER_hh_fech_in!P26=0,0,SER_hh_fech_in!P26/SER_summary!P$27)</f>
        <v>38.341148976202703</v>
      </c>
      <c r="Q26" s="65">
        <f>IF(SER_hh_fech_in!Q26=0,0,SER_hh_fech_in!Q26/SER_summary!Q$27)</f>
        <v>34.735463111495243</v>
      </c>
      <c r="R26" s="65">
        <f>IF(SER_hh_fech_in!R26=0,0,SER_hh_fech_in!R26/SER_summary!R$27)</f>
        <v>32.773240583246661</v>
      </c>
      <c r="S26" s="65">
        <f>IF(SER_hh_fech_in!S26=0,0,SER_hh_fech_in!S26/SER_summary!S$27)</f>
        <v>36.192655744646885</v>
      </c>
      <c r="T26" s="65">
        <f>IF(SER_hh_fech_in!T26=0,0,SER_hh_fech_in!T26/SER_summary!T$27)</f>
        <v>34.593230583478892</v>
      </c>
      <c r="U26" s="65">
        <f>IF(SER_hh_fech_in!U26=0,0,SER_hh_fech_in!U26/SER_summary!U$27)</f>
        <v>30.653188276626008</v>
      </c>
      <c r="V26" s="65">
        <f>IF(SER_hh_fech_in!V26=0,0,SER_hh_fech_in!V26/SER_summary!V$27)</f>
        <v>31.52068505293753</v>
      </c>
      <c r="W26" s="65">
        <f>IF(SER_hh_fech_in!W26=0,0,SER_hh_fech_in!W26/SER_summary!W$27)</f>
        <v>27.787319270551166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51.344590873474885</v>
      </c>
      <c r="D29" s="131">
        <f>IF(SER_hh_fech_in!D29=0,0,SER_hh_fech_in!D29/SER_summary!D$27)</f>
        <v>50.273961269428739</v>
      </c>
      <c r="E29" s="131">
        <f>IF(SER_hh_fech_in!E29=0,0,SER_hh_fech_in!E29/SER_summary!E$27)</f>
        <v>53.538810752042487</v>
      </c>
      <c r="F29" s="131">
        <f>IF(SER_hh_fech_in!F29=0,0,SER_hh_fech_in!F29/SER_summary!F$27)</f>
        <v>51.500060243712674</v>
      </c>
      <c r="G29" s="131">
        <f>IF(SER_hh_fech_in!G29=0,0,SER_hh_fech_in!G29/SER_summary!G$27)</f>
        <v>53.380103572629807</v>
      </c>
      <c r="H29" s="131">
        <f>IF(SER_hh_fech_in!H29=0,0,SER_hh_fech_in!H29/SER_summary!H$27)</f>
        <v>54.802050088780376</v>
      </c>
      <c r="I29" s="131">
        <f>IF(SER_hh_fech_in!I29=0,0,SER_hh_fech_in!I29/SER_summary!I$27)</f>
        <v>53.563539705963919</v>
      </c>
      <c r="J29" s="131">
        <f>IF(SER_hh_fech_in!J29=0,0,SER_hh_fech_in!J29/SER_summary!J$27)</f>
        <v>53.827111546045089</v>
      </c>
      <c r="K29" s="131">
        <f>IF(SER_hh_fech_in!K29=0,0,SER_hh_fech_in!K29/SER_summary!K$27)</f>
        <v>88.590043689132656</v>
      </c>
      <c r="L29" s="131">
        <f>IF(SER_hh_fech_in!L29=0,0,SER_hh_fech_in!L29/SER_summary!L$27)</f>
        <v>69.280243691547952</v>
      </c>
      <c r="M29" s="131">
        <f>IF(SER_hh_fech_in!M29=0,0,SER_hh_fech_in!M29/SER_summary!M$27)</f>
        <v>58.794603788879989</v>
      </c>
      <c r="N29" s="131">
        <f>IF(SER_hh_fech_in!N29=0,0,SER_hh_fech_in!N29/SER_summary!N$27)</f>
        <v>54.464716244079327</v>
      </c>
      <c r="O29" s="131">
        <f>IF(SER_hh_fech_in!O29=0,0,SER_hh_fech_in!O29/SER_summary!O$27)</f>
        <v>54.035281582974292</v>
      </c>
      <c r="P29" s="131">
        <f>IF(SER_hh_fech_in!P29=0,0,SER_hh_fech_in!P29/SER_summary!P$27)</f>
        <v>54.483176255444015</v>
      </c>
      <c r="Q29" s="131">
        <f>IF(SER_hh_fech_in!Q29=0,0,SER_hh_fech_in!Q29/SER_summary!Q$27)</f>
        <v>54.911688984052219</v>
      </c>
      <c r="R29" s="131">
        <f>IF(SER_hh_fech_in!R29=0,0,SER_hh_fech_in!R29/SER_summary!R$27)</f>
        <v>54.145397853209907</v>
      </c>
      <c r="S29" s="131">
        <f>IF(SER_hh_fech_in!S29=0,0,SER_hh_fech_in!S29/SER_summary!S$27)</f>
        <v>54.077947198904965</v>
      </c>
      <c r="T29" s="131">
        <f>IF(SER_hh_fech_in!T29=0,0,SER_hh_fech_in!T29/SER_summary!T$27)</f>
        <v>55.336422546002296</v>
      </c>
      <c r="U29" s="131">
        <f>IF(SER_hh_fech_in!U29=0,0,SER_hh_fech_in!U29/SER_summary!U$27)</f>
        <v>55.524048395480492</v>
      </c>
      <c r="V29" s="131">
        <f>IF(SER_hh_fech_in!V29=0,0,SER_hh_fech_in!V29/SER_summary!V$27)</f>
        <v>51.695218162870468</v>
      </c>
      <c r="W29" s="131">
        <f>IF(SER_hh_fech_in!W29=0,0,SER_hh_fech_in!W29/SER_summary!W$27)</f>
        <v>60.007573258719219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85.135842060243675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93.528193127354513</v>
      </c>
      <c r="L30" s="133">
        <f>IF(SER_hh_fech_in!L30=0,0,SER_hh_fech_in!L30/SER_summary!L$27)</f>
        <v>76.217827055910078</v>
      </c>
      <c r="M30" s="133">
        <f>IF(SER_hh_fech_in!M30=0,0,SER_hh_fech_in!M30/SER_summary!M$27)</f>
        <v>68.980870395464294</v>
      </c>
      <c r="N30" s="133">
        <f>IF(SER_hh_fech_in!N30=0,0,SER_hh_fech_in!N30/SER_summary!N$27)</f>
        <v>69.461753520991962</v>
      </c>
      <c r="O30" s="133">
        <f>IF(SER_hh_fech_in!O30=0,0,SER_hh_fech_in!O30/SER_summary!O$27)</f>
        <v>72.005964095634909</v>
      </c>
      <c r="P30" s="133">
        <f>IF(SER_hh_fech_in!P30=0,0,SER_hh_fech_in!P30/SER_summary!P$27)</f>
        <v>65.416565700586247</v>
      </c>
      <c r="Q30" s="133">
        <f>IF(SER_hh_fech_in!Q30=0,0,SER_hh_fech_in!Q30/SER_summary!Q$27)</f>
        <v>71.042746671940435</v>
      </c>
      <c r="R30" s="133">
        <f>IF(SER_hh_fech_in!R30=0,0,SER_hh_fech_in!R30/SER_summary!R$27)</f>
        <v>76.761939510414422</v>
      </c>
      <c r="S30" s="133">
        <f>IF(SER_hh_fech_in!S30=0,0,SER_hh_fech_in!S30/SER_summary!S$27)</f>
        <v>69.942607206019758</v>
      </c>
      <c r="T30" s="133">
        <f>IF(SER_hh_fech_in!T30=0,0,SER_hh_fech_in!T30/SER_summary!T$27)</f>
        <v>61.447816669241199</v>
      </c>
      <c r="U30" s="133">
        <f>IF(SER_hh_fech_in!U30=0,0,SER_hh_fech_in!U30/SER_summary!U$27)</f>
        <v>76.586848038797214</v>
      </c>
      <c r="V30" s="133">
        <f>IF(SER_hh_fech_in!V30=0,0,SER_hh_fech_in!V30/SER_summary!V$27)</f>
        <v>59.084154278076831</v>
      </c>
      <c r="W30" s="133">
        <f>IF(SER_hh_fech_in!W30=0,0,SER_hh_fech_in!W30/SER_summary!W$27)</f>
        <v>93.2636677612375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58.752121141199424</v>
      </c>
      <c r="D31" s="133">
        <f>IF(SER_hh_fech_in!D31=0,0,SER_hh_fech_in!D31/SER_summary!D$27)</f>
        <v>61.110384876319507</v>
      </c>
      <c r="E31" s="133">
        <f>IF(SER_hh_fech_in!E31=0,0,SER_hh_fech_in!E31/SER_summary!E$27)</f>
        <v>62.12833102068614</v>
      </c>
      <c r="F31" s="133">
        <f>IF(SER_hh_fech_in!F31=0,0,SER_hh_fech_in!F31/SER_summary!F$27)</f>
        <v>63.786767364012491</v>
      </c>
      <c r="G31" s="133">
        <f>IF(SER_hh_fech_in!G31=0,0,SER_hh_fech_in!G31/SER_summary!G$27)</f>
        <v>62.530371554983347</v>
      </c>
      <c r="H31" s="133">
        <f>IF(SER_hh_fech_in!H31=0,0,SER_hh_fech_in!H31/SER_summary!H$27)</f>
        <v>65.550611197135808</v>
      </c>
      <c r="I31" s="133">
        <f>IF(SER_hh_fech_in!I31=0,0,SER_hh_fech_in!I31/SER_summary!I$27)</f>
        <v>65.924312494898572</v>
      </c>
      <c r="J31" s="133">
        <f>IF(SER_hh_fech_in!J31=0,0,SER_hh_fech_in!J31/SER_summary!J$27)</f>
        <v>67.180654140466672</v>
      </c>
      <c r="K31" s="133">
        <f>IF(SER_hh_fech_in!K31=0,0,SER_hh_fech_in!K31/SER_summary!K$27)</f>
        <v>64.238227832871814</v>
      </c>
      <c r="L31" s="133">
        <f>IF(SER_hh_fech_in!L31=0,0,SER_hh_fech_in!L31/SER_summary!L$27)</f>
        <v>65.945122145062328</v>
      </c>
      <c r="M31" s="133">
        <f>IF(SER_hh_fech_in!M31=0,0,SER_hh_fech_in!M31/SER_summary!M$27)</f>
        <v>69.381735410640616</v>
      </c>
      <c r="N31" s="133">
        <f>IF(SER_hh_fech_in!N31=0,0,SER_hh_fech_in!N31/SER_summary!N$27)</f>
        <v>70.279583421630406</v>
      </c>
      <c r="O31" s="133">
        <f>IF(SER_hh_fech_in!O31=0,0,SER_hh_fech_in!O31/SER_summary!O$27)</f>
        <v>68.840224164544352</v>
      </c>
      <c r="P31" s="133">
        <f>IF(SER_hh_fech_in!P31=0,0,SER_hh_fech_in!P31/SER_summary!P$27)</f>
        <v>68.518148181934151</v>
      </c>
      <c r="Q31" s="133">
        <f>IF(SER_hh_fech_in!Q31=0,0,SER_hh_fech_in!Q31/SER_summary!Q$27)</f>
        <v>69.987222742314984</v>
      </c>
      <c r="R31" s="133">
        <f>IF(SER_hh_fech_in!R31=0,0,SER_hh_fech_in!R31/SER_summary!R$27)</f>
        <v>71.117573460228471</v>
      </c>
      <c r="S31" s="133">
        <f>IF(SER_hh_fech_in!S31=0,0,SER_hh_fech_in!S31/SER_summary!S$27)</f>
        <v>68.459207814832638</v>
      </c>
      <c r="T31" s="133">
        <f>IF(SER_hh_fech_in!T31=0,0,SER_hh_fech_in!T31/SER_summary!T$27)</f>
        <v>72.779654770811106</v>
      </c>
      <c r="U31" s="133">
        <f>IF(SER_hh_fech_in!U31=0,0,SER_hh_fech_in!U31/SER_summary!U$27)</f>
        <v>71.458416076577876</v>
      </c>
      <c r="V31" s="133">
        <f>IF(SER_hh_fech_in!V31=0,0,SER_hh_fech_in!V31/SER_summary!V$27)</f>
        <v>60.332798134943694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36.95681424500971</v>
      </c>
      <c r="D33" s="68">
        <f>IF(SER_hh_fech_in!D33=0,0,SER_hh_fech_in!D33/SER_summary!D$27)</f>
        <v>45.245421057884855</v>
      </c>
      <c r="E33" s="68">
        <f>IF(SER_hh_fech_in!E33=0,0,SER_hh_fech_in!E33/SER_summary!E$27)</f>
        <v>50.029505343730484</v>
      </c>
      <c r="F33" s="68">
        <f>IF(SER_hh_fech_in!F33=0,0,SER_hh_fech_in!F33/SER_summary!F$27)</f>
        <v>47.163678958707109</v>
      </c>
      <c r="G33" s="68">
        <f>IF(SER_hh_fech_in!G33=0,0,SER_hh_fech_in!G33/SER_summary!G$27)</f>
        <v>48.845437845034326</v>
      </c>
      <c r="H33" s="68">
        <f>IF(SER_hh_fech_in!H33=0,0,SER_hh_fech_in!H33/SER_summary!H$27)</f>
        <v>48.729894445585096</v>
      </c>
      <c r="I33" s="68">
        <f>IF(SER_hh_fech_in!I33=0,0,SER_hh_fech_in!I33/SER_summary!I$27)</f>
        <v>48.864115018912543</v>
      </c>
      <c r="J33" s="68">
        <f>IF(SER_hh_fech_in!J33=0,0,SER_hh_fech_in!J33/SER_summary!J$27)</f>
        <v>49.457646962086166</v>
      </c>
      <c r="K33" s="68">
        <f>IF(SER_hh_fech_in!K33=0,0,SER_hh_fech_in!K33/SER_summary!K$27)</f>
        <v>0</v>
      </c>
      <c r="L33" s="68">
        <f>IF(SER_hh_fech_in!L33=0,0,SER_hh_fech_in!L33/SER_summary!L$27)</f>
        <v>50.121637464738853</v>
      </c>
      <c r="M33" s="68">
        <f>IF(SER_hh_fech_in!M33=0,0,SER_hh_fech_in!M33/SER_summary!M$27)</f>
        <v>50.473794264344711</v>
      </c>
      <c r="N33" s="68">
        <f>IF(SER_hh_fech_in!N33=0,0,SER_hh_fech_in!N33/SER_summary!N$27)</f>
        <v>51.012580706312171</v>
      </c>
      <c r="O33" s="68">
        <f>IF(SER_hh_fech_in!O33=0,0,SER_hh_fech_in!O33/SER_summary!O$27)</f>
        <v>51.13750787219869</v>
      </c>
      <c r="P33" s="68">
        <f>IF(SER_hh_fech_in!P33=0,0,SER_hh_fech_in!P33/SER_summary!P$27)</f>
        <v>52.833631523545485</v>
      </c>
      <c r="Q33" s="68">
        <f>IF(SER_hh_fech_in!Q33=0,0,SER_hh_fech_in!Q33/SER_summary!Q$27)</f>
        <v>51.976458094756175</v>
      </c>
      <c r="R33" s="68">
        <f>IF(SER_hh_fech_in!R33=0,0,SER_hh_fech_in!R33/SER_summary!R$27)</f>
        <v>50.410788686208228</v>
      </c>
      <c r="S33" s="68">
        <f>IF(SER_hh_fech_in!S33=0,0,SER_hh_fech_in!S33/SER_summary!S$27)</f>
        <v>51.986984133280188</v>
      </c>
      <c r="T33" s="68">
        <f>IF(SER_hh_fech_in!T33=0,0,SER_hh_fech_in!T33/SER_summary!T$27)</f>
        <v>52.620570510443514</v>
      </c>
      <c r="U33" s="68">
        <f>IF(SER_hh_fech_in!U33=0,0,SER_hh_fech_in!U33/SER_summary!U$27)</f>
        <v>50.958523371894138</v>
      </c>
      <c r="V33" s="68">
        <f>IF(SER_hh_fech_in!V33=0,0,SER_hh_fech_in!V33/SER_summary!V$27)</f>
        <v>48.805848443906747</v>
      </c>
      <c r="W33" s="68">
        <f>IF(SER_hh_fech_in!W33=0,0,SER_hh_fech_in!W33/SER_summary!W$27)</f>
        <v>49.21003687338942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334.05744849782224</v>
      </c>
      <c r="D3" s="126">
        <f>IF(SER_hh_tesh_in!D3=0,0,SER_hh_tesh_in!D3/SER_summary!D$27)</f>
        <v>304.65295961688281</v>
      </c>
      <c r="E3" s="126">
        <f>IF(SER_hh_tesh_in!E3=0,0,SER_hh_tesh_in!E3/SER_summary!E$27)</f>
        <v>421.26265881665148</v>
      </c>
      <c r="F3" s="126">
        <f>IF(SER_hh_tesh_in!F3=0,0,SER_hh_tesh_in!F3/SER_summary!F$27)</f>
        <v>350.44973459841742</v>
      </c>
      <c r="G3" s="126">
        <f>IF(SER_hh_tesh_in!G3=0,0,SER_hh_tesh_in!G3/SER_summary!G$27)</f>
        <v>331.58671084346952</v>
      </c>
      <c r="H3" s="126">
        <f>IF(SER_hh_tesh_in!H3=0,0,SER_hh_tesh_in!H3/SER_summary!H$27)</f>
        <v>340.50165940051863</v>
      </c>
      <c r="I3" s="126">
        <f>IF(SER_hh_tesh_in!I3=0,0,SER_hh_tesh_in!I3/SER_summary!I$27)</f>
        <v>336.46538481849063</v>
      </c>
      <c r="J3" s="126">
        <f>IF(SER_hh_tesh_in!J3=0,0,SER_hh_tesh_in!J3/SER_summary!J$27)</f>
        <v>341.54361768327044</v>
      </c>
      <c r="K3" s="126">
        <f>IF(SER_hh_tesh_in!K3=0,0,SER_hh_tesh_in!K3/SER_summary!K$27)</f>
        <v>333.35762710225856</v>
      </c>
      <c r="L3" s="126">
        <f>IF(SER_hh_tesh_in!L3=0,0,SER_hh_tesh_in!L3/SER_summary!L$27)</f>
        <v>357.65171531199297</v>
      </c>
      <c r="M3" s="126">
        <f>IF(SER_hh_tesh_in!M3=0,0,SER_hh_tesh_in!M3/SER_summary!M$27)</f>
        <v>272.88764773943467</v>
      </c>
      <c r="N3" s="126">
        <f>IF(SER_hh_tesh_in!N3=0,0,SER_hh_tesh_in!N3/SER_summary!N$27)</f>
        <v>297.86140262041852</v>
      </c>
      <c r="O3" s="126">
        <f>IF(SER_hh_tesh_in!O3=0,0,SER_hh_tesh_in!O3/SER_summary!O$27)</f>
        <v>297.61870623663521</v>
      </c>
      <c r="P3" s="126">
        <f>IF(SER_hh_tesh_in!P3=0,0,SER_hh_tesh_in!P3/SER_summary!P$27)</f>
        <v>245.7821228545051</v>
      </c>
      <c r="Q3" s="126">
        <f>IF(SER_hh_tesh_in!Q3=0,0,SER_hh_tesh_in!Q3/SER_summary!Q$27)</f>
        <v>275.00921783674812</v>
      </c>
      <c r="R3" s="126">
        <f>IF(SER_hh_tesh_in!R3=0,0,SER_hh_tesh_in!R3/SER_summary!R$27)</f>
        <v>252.41773485182409</v>
      </c>
      <c r="S3" s="126">
        <f>IF(SER_hh_tesh_in!S3=0,0,SER_hh_tesh_in!S3/SER_summary!S$27)</f>
        <v>274.93004119218648</v>
      </c>
      <c r="T3" s="126">
        <f>IF(SER_hh_tesh_in!T3=0,0,SER_hh_tesh_in!T3/SER_summary!T$27)</f>
        <v>255.09327330389681</v>
      </c>
      <c r="U3" s="126">
        <f>IF(SER_hh_tesh_in!U3=0,0,SER_hh_tesh_in!U3/SER_summary!U$27)</f>
        <v>258.4127952631049</v>
      </c>
      <c r="V3" s="126">
        <f>IF(SER_hh_tesh_in!V3=0,0,SER_hh_tesh_in!V3/SER_summary!V$27)</f>
        <v>251.19055296351573</v>
      </c>
      <c r="W3" s="126">
        <f>IF(SER_hh_tesh_in!W3=0,0,SER_hh_tesh_in!W3/SER_summary!W$27)</f>
        <v>205.73343878256574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230.96043211890736</v>
      </c>
      <c r="D4" s="131">
        <f>IF(SER_hh_tesh_in!D4=0,0,SER_hh_tesh_in!D4/SER_summary!D$27)</f>
        <v>199.24283860490874</v>
      </c>
      <c r="E4" s="131">
        <f>IF(SER_hh_tesh_in!E4=0,0,SER_hh_tesh_in!E4/SER_summary!E$27)</f>
        <v>297.64053354798011</v>
      </c>
      <c r="F4" s="131">
        <f>IF(SER_hh_tesh_in!F4=0,0,SER_hh_tesh_in!F4/SER_summary!F$27)</f>
        <v>242.61001688046579</v>
      </c>
      <c r="G4" s="131">
        <f>IF(SER_hh_tesh_in!G4=0,0,SER_hh_tesh_in!G4/SER_summary!G$27)</f>
        <v>223.58041027947809</v>
      </c>
      <c r="H4" s="131">
        <f>IF(SER_hh_tesh_in!H4=0,0,SER_hh_tesh_in!H4/SER_summary!H$27)</f>
        <v>225.13187322686215</v>
      </c>
      <c r="I4" s="131">
        <f>IF(SER_hh_tesh_in!I4=0,0,SER_hh_tesh_in!I4/SER_summary!I$27)</f>
        <v>229.56103945640371</v>
      </c>
      <c r="J4" s="131">
        <f>IF(SER_hh_tesh_in!J4=0,0,SER_hh_tesh_in!J4/SER_summary!J$27)</f>
        <v>233.74805813178617</v>
      </c>
      <c r="K4" s="131">
        <f>IF(SER_hh_tesh_in!K4=0,0,SER_hh_tesh_in!K4/SER_summary!K$27)</f>
        <v>212.94321160896718</v>
      </c>
      <c r="L4" s="131">
        <f>IF(SER_hh_tesh_in!L4=0,0,SER_hh_tesh_in!L4/SER_summary!L$27)</f>
        <v>244.17563613630423</v>
      </c>
      <c r="M4" s="131">
        <f>IF(SER_hh_tesh_in!M4=0,0,SER_hh_tesh_in!M4/SER_summary!M$27)</f>
        <v>167.27581830094789</v>
      </c>
      <c r="N4" s="131">
        <f>IF(SER_hh_tesh_in!N4=0,0,SER_hh_tesh_in!N4/SER_summary!N$27)</f>
        <v>190.92601195142149</v>
      </c>
      <c r="O4" s="131">
        <f>IF(SER_hh_tesh_in!O4=0,0,SER_hh_tesh_in!O4/SER_summary!O$27)</f>
        <v>191.12706312949564</v>
      </c>
      <c r="P4" s="131">
        <f>IF(SER_hh_tesh_in!P4=0,0,SER_hh_tesh_in!P4/SER_summary!P$27)</f>
        <v>139.87127425145243</v>
      </c>
      <c r="Q4" s="131">
        <f>IF(SER_hh_tesh_in!Q4=0,0,SER_hh_tesh_in!Q4/SER_summary!Q$27)</f>
        <v>165.8584903241466</v>
      </c>
      <c r="R4" s="131">
        <f>IF(SER_hh_tesh_in!R4=0,0,SER_hh_tesh_in!R4/SER_summary!R$27)</f>
        <v>149.29439071327127</v>
      </c>
      <c r="S4" s="131">
        <f>IF(SER_hh_tesh_in!S4=0,0,SER_hh_tesh_in!S4/SER_summary!S$27)</f>
        <v>169.96194152004813</v>
      </c>
      <c r="T4" s="131">
        <f>IF(SER_hh_tesh_in!T4=0,0,SER_hh_tesh_in!T4/SER_summary!T$27)</f>
        <v>149.78574336495095</v>
      </c>
      <c r="U4" s="131">
        <f>IF(SER_hh_tesh_in!U4=0,0,SER_hh_tesh_in!U4/SER_summary!U$27)</f>
        <v>153.98929052492184</v>
      </c>
      <c r="V4" s="131">
        <f>IF(SER_hh_tesh_in!V4=0,0,SER_hh_tesh_in!V4/SER_summary!V$27)</f>
        <v>153.80882523338644</v>
      </c>
      <c r="W4" s="131">
        <f>IF(SER_hh_tesh_in!W4=0,0,SER_hh_tesh_in!W4/SER_summary!W$27)</f>
        <v>112.16963344468576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248.93932180384419</v>
      </c>
      <c r="D7" s="133">
        <f>IF(SER_hh_tesh_in!D7=0,0,SER_hh_tesh_in!D7/SER_summary!D$27)</f>
        <v>233.82408950152055</v>
      </c>
      <c r="E7" s="133">
        <f>IF(SER_hh_tesh_in!E7=0,0,SER_hh_tesh_in!E7/SER_summary!E$27)</f>
        <v>0</v>
      </c>
      <c r="F7" s="133">
        <f>IF(SER_hh_tesh_in!F7=0,0,SER_hh_tesh_in!F7/SER_summary!F$27)</f>
        <v>243.5493705775053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157.23905012790286</v>
      </c>
      <c r="L7" s="133">
        <f>IF(SER_hh_tesh_in!L7=0,0,SER_hh_tesh_in!L7/SER_summary!L$27)</f>
        <v>270.64885665187376</v>
      </c>
      <c r="M7" s="133">
        <f>IF(SER_hh_tesh_in!M7=0,0,SER_hh_tesh_in!M7/SER_summary!M$27)</f>
        <v>179.53495451051421</v>
      </c>
      <c r="N7" s="133">
        <f>IF(SER_hh_tesh_in!N7=0,0,SER_hh_tesh_in!N7/SER_summary!N$27)</f>
        <v>172.29249118073571</v>
      </c>
      <c r="O7" s="133">
        <f>IF(SER_hh_tesh_in!O7=0,0,SER_hh_tesh_in!O7/SER_summary!O$27)</f>
        <v>185.95133020789211</v>
      </c>
      <c r="P7" s="133">
        <f>IF(SER_hh_tesh_in!P7=0,0,SER_hh_tesh_in!P7/SER_summary!P$27)</f>
        <v>138.3876315800326</v>
      </c>
      <c r="Q7" s="133">
        <f>IF(SER_hh_tesh_in!Q7=0,0,SER_hh_tesh_in!Q7/SER_summary!Q$27)</f>
        <v>170.21919543511129</v>
      </c>
      <c r="R7" s="133">
        <f>IF(SER_hh_tesh_in!R7=0,0,SER_hh_tesh_in!R7/SER_summary!R$27)</f>
        <v>141.45013890873642</v>
      </c>
      <c r="S7" s="133">
        <f>IF(SER_hh_tesh_in!S7=0,0,SER_hh_tesh_in!S7/SER_summary!S$27)</f>
        <v>176.5291427725314</v>
      </c>
      <c r="T7" s="133">
        <f>IF(SER_hh_tesh_in!T7=0,0,SER_hh_tesh_in!T7/SER_summary!T$27)</f>
        <v>153.48277428185159</v>
      </c>
      <c r="U7" s="133">
        <f>IF(SER_hh_tesh_in!U7=0,0,SER_hh_tesh_in!U7/SER_summary!U$27)</f>
        <v>168.33048444651698</v>
      </c>
      <c r="V7" s="133">
        <f>IF(SER_hh_tesh_in!V7=0,0,SER_hh_tesh_in!V7/SER_summary!V$27)</f>
        <v>136.40556593928224</v>
      </c>
      <c r="W7" s="133">
        <f>IF(SER_hh_tesh_in!W7=0,0,SER_hh_tesh_in!W7/SER_summary!W$27)</f>
        <v>87.115154258082271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198.23102121463205</v>
      </c>
      <c r="D9" s="133">
        <f>IF(SER_hh_tesh_in!D9=0,0,SER_hh_tesh_in!D9/SER_summary!D$27)</f>
        <v>223.72426273383465</v>
      </c>
      <c r="E9" s="133">
        <f>IF(SER_hh_tesh_in!E9=0,0,SER_hh_tesh_in!E9/SER_summary!E$27)</f>
        <v>0</v>
      </c>
      <c r="F9" s="133">
        <f>IF(SER_hh_tesh_in!F9=0,0,SER_hh_tesh_in!F9/SER_summary!F$27)</f>
        <v>235.64988455136444</v>
      </c>
      <c r="G9" s="133">
        <f>IF(SER_hh_tesh_in!G9=0,0,SER_hh_tesh_in!G9/SER_summary!G$27)</f>
        <v>200.10199615913598</v>
      </c>
      <c r="H9" s="133">
        <f>IF(SER_hh_tesh_in!H9=0,0,SER_hh_tesh_in!H9/SER_summary!H$27)</f>
        <v>243.10579182180146</v>
      </c>
      <c r="I9" s="133">
        <f>IF(SER_hh_tesh_in!I9=0,0,SER_hh_tesh_in!I9/SER_summary!I$27)</f>
        <v>192.06665666979873</v>
      </c>
      <c r="J9" s="133">
        <f>IF(SER_hh_tesh_in!J9=0,0,SER_hh_tesh_in!J9/SER_summary!J$27)</f>
        <v>229.43130474562437</v>
      </c>
      <c r="K9" s="133">
        <f>IF(SER_hh_tesh_in!K9=0,0,SER_hh_tesh_in!K9/SER_summary!K$27)</f>
        <v>233.59245225318895</v>
      </c>
      <c r="L9" s="133">
        <f>IF(SER_hh_tesh_in!L9=0,0,SER_hh_tesh_in!L9/SER_summary!L$27)</f>
        <v>271.68610431576889</v>
      </c>
      <c r="M9" s="133">
        <f>IF(SER_hh_tesh_in!M9=0,0,SER_hh_tesh_in!M9/SER_summary!M$27)</f>
        <v>111.46901868073994</v>
      </c>
      <c r="N9" s="133">
        <f>IF(SER_hh_tesh_in!N9=0,0,SER_hh_tesh_in!N9/SER_summary!N$27)</f>
        <v>198.37496363334753</v>
      </c>
      <c r="O9" s="133">
        <f>IF(SER_hh_tesh_in!O9=0,0,SER_hh_tesh_in!O9/SER_summary!O$27)</f>
        <v>187.52098896808681</v>
      </c>
      <c r="P9" s="133">
        <f>IF(SER_hh_tesh_in!P9=0,0,SER_hh_tesh_in!P9/SER_summary!P$27)</f>
        <v>139.54210611711994</v>
      </c>
      <c r="Q9" s="133">
        <f>IF(SER_hh_tesh_in!Q9=0,0,SER_hh_tesh_in!Q9/SER_summary!Q$27)</f>
        <v>156.35910015840017</v>
      </c>
      <c r="R9" s="133">
        <f>IF(SER_hh_tesh_in!R9=0,0,SER_hh_tesh_in!R9/SER_summary!R$27)</f>
        <v>175.53908010866496</v>
      </c>
      <c r="S9" s="133">
        <f>IF(SER_hh_tesh_in!S9=0,0,SER_hh_tesh_in!S9/SER_summary!S$27)</f>
        <v>0</v>
      </c>
      <c r="T9" s="133">
        <f>IF(SER_hh_tesh_in!T9=0,0,SER_hh_tesh_in!T9/SER_summary!T$27)</f>
        <v>0</v>
      </c>
      <c r="U9" s="133">
        <f>IF(SER_hh_tesh_in!U9=0,0,SER_hh_tesh_in!U9/SER_summary!U$27)</f>
        <v>161.29172924868493</v>
      </c>
      <c r="V9" s="133">
        <f>IF(SER_hh_tesh_in!V9=0,0,SER_hh_tesh_in!V9/SER_summary!V$27)</f>
        <v>0</v>
      </c>
      <c r="W9" s="133">
        <f>IF(SER_hh_tesh_in!W9=0,0,SER_hh_tesh_in!W9/SER_summary!W$27)</f>
        <v>128.48399477894083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228.57447274879331</v>
      </c>
      <c r="D10" s="133">
        <f>IF(SER_hh_tesh_in!D10=0,0,SER_hh_tesh_in!D10/SER_summary!D$27)</f>
        <v>307.52148778902074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116.92482594697293</v>
      </c>
      <c r="J10" s="133">
        <f>IF(SER_hh_tesh_in!J10=0,0,SER_hh_tesh_in!J10/SER_summary!J$27)</f>
        <v>209.82997950656653</v>
      </c>
      <c r="K10" s="133">
        <f>IF(SER_hh_tesh_in!K10=0,0,SER_hh_tesh_in!K10/SER_summary!K$27)</f>
        <v>311.04830465009803</v>
      </c>
      <c r="L10" s="133">
        <f>IF(SER_hh_tesh_in!L10=0,0,SER_hh_tesh_in!L10/SER_summary!L$27)</f>
        <v>219.69108426363897</v>
      </c>
      <c r="M10" s="133">
        <f>IF(SER_hh_tesh_in!M10=0,0,SER_hh_tesh_in!M10/SER_summary!M$27)</f>
        <v>85.375452890855058</v>
      </c>
      <c r="N10" s="133">
        <f>IF(SER_hh_tesh_in!N10=0,0,SER_hh_tesh_in!N10/SER_summary!N$27)</f>
        <v>149.73815927331344</v>
      </c>
      <c r="O10" s="133">
        <f>IF(SER_hh_tesh_in!O10=0,0,SER_hh_tesh_in!O10/SER_summary!O$27)</f>
        <v>206.0415412067243</v>
      </c>
      <c r="P10" s="133">
        <f>IF(SER_hh_tesh_in!P10=0,0,SER_hh_tesh_in!P10/SER_summary!P$27)</f>
        <v>254.5989652119278</v>
      </c>
      <c r="Q10" s="133">
        <f>IF(SER_hh_tesh_in!Q10=0,0,SER_hh_tesh_in!Q10/SER_summary!Q$27)</f>
        <v>99.994396638038964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544.15601654458089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203.23245563434369</v>
      </c>
      <c r="D12" s="133">
        <f>IF(SER_hh_tesh_in!D12=0,0,SER_hh_tesh_in!D12/SER_summary!D$27)</f>
        <v>185.72677356004894</v>
      </c>
      <c r="E12" s="133">
        <f>IF(SER_hh_tesh_in!E12=0,0,SER_hh_tesh_in!E12/SER_summary!E$27)</f>
        <v>296.25290873848814</v>
      </c>
      <c r="F12" s="133">
        <f>IF(SER_hh_tesh_in!F12=0,0,SER_hh_tesh_in!F12/SER_summary!F$27)</f>
        <v>251.14578806545111</v>
      </c>
      <c r="G12" s="133">
        <f>IF(SER_hh_tesh_in!G12=0,0,SER_hh_tesh_in!G12/SER_summary!G$27)</f>
        <v>236.26575627523513</v>
      </c>
      <c r="H12" s="133">
        <f>IF(SER_hh_tesh_in!H12=0,0,SER_hh_tesh_in!H12/SER_summary!H$27)</f>
        <v>238.84517957549124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190.0927300536504</v>
      </c>
      <c r="L12" s="133">
        <f>IF(SER_hh_tesh_in!L12=0,0,SER_hh_tesh_in!L12/SER_summary!L$27)</f>
        <v>214.96973374922496</v>
      </c>
      <c r="M12" s="133">
        <f>IF(SER_hh_tesh_in!M12=0,0,SER_hh_tesh_in!M12/SER_summary!M$27)</f>
        <v>220.47043455024186</v>
      </c>
      <c r="N12" s="133">
        <f>IF(SER_hh_tesh_in!N12=0,0,SER_hh_tesh_in!N12/SER_summary!N$27)</f>
        <v>193.05769207470718</v>
      </c>
      <c r="O12" s="133">
        <f>IF(SER_hh_tesh_in!O12=0,0,SER_hh_tesh_in!O12/SER_summary!O$27)</f>
        <v>202.66708134958674</v>
      </c>
      <c r="P12" s="133">
        <f>IF(SER_hh_tesh_in!P12=0,0,SER_hh_tesh_in!P12/SER_summary!P$27)</f>
        <v>131.31957959096252</v>
      </c>
      <c r="Q12" s="133">
        <f>IF(SER_hh_tesh_in!Q12=0,0,SER_hh_tesh_in!Q12/SER_summary!Q$27)</f>
        <v>156.15396624170219</v>
      </c>
      <c r="R12" s="133">
        <f>IF(SER_hh_tesh_in!R12=0,0,SER_hh_tesh_in!R12/SER_summary!R$27)</f>
        <v>150.29381919584418</v>
      </c>
      <c r="S12" s="133">
        <f>IF(SER_hh_tesh_in!S12=0,0,SER_hh_tesh_in!S12/SER_summary!S$27)</f>
        <v>154.56040843067007</v>
      </c>
      <c r="T12" s="133">
        <f>IF(SER_hh_tesh_in!T12=0,0,SER_hh_tesh_in!T12/SER_summary!T$27)</f>
        <v>148.16987809483817</v>
      </c>
      <c r="U12" s="133">
        <f>IF(SER_hh_tesh_in!U12=0,0,SER_hh_tesh_in!U12/SER_summary!U$27)</f>
        <v>149.86365600207</v>
      </c>
      <c r="V12" s="133">
        <f>IF(SER_hh_tesh_in!V12=0,0,SER_hh_tesh_in!V12/SER_summary!V$27)</f>
        <v>158.02049513440565</v>
      </c>
      <c r="W12" s="133">
        <f>IF(SER_hh_tesh_in!W12=0,0,SER_hh_tesh_in!W12/SER_summary!W$27)</f>
        <v>109.24803327500643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294.06011524494443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203.30617440653609</v>
      </c>
      <c r="G14" s="65">
        <f>IF(SER_hh_tesh_in!G14=0,0,SER_hh_tesh_in!G14/SER_summary!G$27)</f>
        <v>231.4288540328572</v>
      </c>
      <c r="H14" s="65">
        <f>IF(SER_hh_tesh_in!H14=0,0,SER_hh_tesh_in!H14/SER_summary!H$27)</f>
        <v>204.5746328527037</v>
      </c>
      <c r="I14" s="65">
        <f>IF(SER_hh_tesh_in!I14=0,0,SER_hh_tesh_in!I14/SER_summary!I$27)</f>
        <v>262.17360085567236</v>
      </c>
      <c r="J14" s="65">
        <f>IF(SER_hh_tesh_in!J14=0,0,SER_hh_tesh_in!J14/SER_summary!J$27)</f>
        <v>234.35899011638702</v>
      </c>
      <c r="K14" s="65">
        <f>IF(SER_hh_tesh_in!K14=0,0,SER_hh_tesh_in!K14/SER_summary!K$27)</f>
        <v>208.91958729018319</v>
      </c>
      <c r="L14" s="65">
        <f>IF(SER_hh_tesh_in!L14=0,0,SER_hh_tesh_in!L14/SER_summary!L$27)</f>
        <v>213.44888734304658</v>
      </c>
      <c r="M14" s="65">
        <f>IF(SER_hh_tesh_in!M14=0,0,SER_hh_tesh_in!M14/SER_summary!M$27)</f>
        <v>182.06459885694105</v>
      </c>
      <c r="N14" s="65">
        <f>IF(SER_hh_tesh_in!N14=0,0,SER_hh_tesh_in!N14/SER_summary!N$27)</f>
        <v>190.29777420118938</v>
      </c>
      <c r="O14" s="65">
        <f>IF(SER_hh_tesh_in!O14=0,0,SER_hh_tesh_in!O14/SER_summary!O$27)</f>
        <v>188.36231063112055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110.54069949376584</v>
      </c>
      <c r="S14" s="65">
        <f>IF(SER_hh_tesh_in!S14=0,0,SER_hh_tesh_in!S14/SER_summary!S$27)</f>
        <v>184.46448370546423</v>
      </c>
      <c r="T14" s="65">
        <f>IF(SER_hh_tesh_in!T14=0,0,SER_hh_tesh_in!T14/SER_summary!T$27)</f>
        <v>146.72273452083937</v>
      </c>
      <c r="U14" s="65">
        <f>IF(SER_hh_tesh_in!U14=0,0,SER_hh_tesh_in!U14/SER_summary!U$27)</f>
        <v>157.29556832938135</v>
      </c>
      <c r="V14" s="65">
        <f>IF(SER_hh_tesh_in!V14=0,0,SER_hh_tesh_in!V14/SER_summary!V$27)</f>
        <v>129.64851431649805</v>
      </c>
      <c r="W14" s="65">
        <f>IF(SER_hh_tesh_in!W14=0,0,SER_hh_tesh_in!W14/SER_summary!W$27)</f>
        <v>106.4684449543029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2.8750782316584766</v>
      </c>
      <c r="D15" s="135">
        <f>IF(SER_hh_tesh_in!D15=0,0,SER_hh_tesh_in!D15/SER_summary!D$27)</f>
        <v>1.8503950467328276</v>
      </c>
      <c r="E15" s="135">
        <f>IF(SER_hh_tesh_in!E15=0,0,SER_hh_tesh_in!E15/SER_summary!E$27)</f>
        <v>1.3876248094919297</v>
      </c>
      <c r="F15" s="135">
        <f>IF(SER_hh_tesh_in!F15=0,0,SER_hh_tesh_in!F15/SER_summary!F$27)</f>
        <v>1.6009200724433208</v>
      </c>
      <c r="G15" s="135">
        <f>IF(SER_hh_tesh_in!G15=0,0,SER_hh_tesh_in!G15/SER_summary!G$27)</f>
        <v>2.6130419937000426</v>
      </c>
      <c r="H15" s="135">
        <f>IF(SER_hh_tesh_in!H15=0,0,SER_hh_tesh_in!H15/SER_summary!H$27)</f>
        <v>4.2972749386935369</v>
      </c>
      <c r="I15" s="135">
        <f>IF(SER_hh_tesh_in!I15=0,0,SER_hh_tesh_in!I15/SER_summary!I$27)</f>
        <v>3.3576926310147246</v>
      </c>
      <c r="J15" s="135">
        <f>IF(SER_hh_tesh_in!J15=0,0,SER_hh_tesh_in!J15/SER_summary!J$27)</f>
        <v>3.9698272507281418</v>
      </c>
      <c r="K15" s="135">
        <f>IF(SER_hh_tesh_in!K15=0,0,SER_hh_tesh_in!K15/SER_summary!K$27)</f>
        <v>3.4191450620322228</v>
      </c>
      <c r="L15" s="135">
        <f>IF(SER_hh_tesh_in!L15=0,0,SER_hh_tesh_in!L15/SER_summary!L$27)</f>
        <v>3.2898746942250283</v>
      </c>
      <c r="M15" s="135">
        <f>IF(SER_hh_tesh_in!M15=0,0,SER_hh_tesh_in!M15/SER_summary!M$27)</f>
        <v>2.1092059229739295</v>
      </c>
      <c r="N15" s="135">
        <f>IF(SER_hh_tesh_in!N15=0,0,SER_hh_tesh_in!N15/SER_summary!N$27)</f>
        <v>2.6182549134049093</v>
      </c>
      <c r="O15" s="135">
        <f>IF(SER_hh_tesh_in!O15=0,0,SER_hh_tesh_in!O15/SER_summary!O$27)</f>
        <v>2.7943946528195958</v>
      </c>
      <c r="P15" s="135">
        <f>IF(SER_hh_tesh_in!P15=0,0,SER_hh_tesh_in!P15/SER_summary!P$27)</f>
        <v>1.9741180824511451</v>
      </c>
      <c r="Q15" s="135">
        <f>IF(SER_hh_tesh_in!Q15=0,0,SER_hh_tesh_in!Q15/SER_summary!Q$27)</f>
        <v>2.1372570700228208</v>
      </c>
      <c r="R15" s="135">
        <f>IF(SER_hh_tesh_in!R15=0,0,SER_hh_tesh_in!R15/SER_summary!R$27)</f>
        <v>1.6505177827570514</v>
      </c>
      <c r="S15" s="135">
        <f>IF(SER_hh_tesh_in!S15=0,0,SER_hh_tesh_in!S15/SER_summary!S$27)</f>
        <v>1.7383834910176328</v>
      </c>
      <c r="T15" s="135">
        <f>IF(SER_hh_tesh_in!T15=0,0,SER_hh_tesh_in!T15/SER_summary!T$27)</f>
        <v>1.0351207658092492</v>
      </c>
      <c r="U15" s="135">
        <f>IF(SER_hh_tesh_in!U15=0,0,SER_hh_tesh_in!U15/SER_summary!U$27)</f>
        <v>0.87672650195852531</v>
      </c>
      <c r="V15" s="135">
        <f>IF(SER_hh_tesh_in!V15=0,0,SER_hh_tesh_in!V15/SER_summary!V$27)</f>
        <v>0.7493694627453652</v>
      </c>
      <c r="W15" s="135">
        <f>IF(SER_hh_tesh_in!W15=0,0,SER_hh_tesh_in!W15/SER_summary!W$27)</f>
        <v>0.95877279573111351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38.761620064523306</v>
      </c>
      <c r="D16" s="131">
        <f>IF(SER_hh_tesh_in!D16=0,0,SER_hh_tesh_in!D16/SER_summary!D$27)</f>
        <v>39.036210686662535</v>
      </c>
      <c r="E16" s="131">
        <f>IF(SER_hh_tesh_in!E16=0,0,SER_hh_tesh_in!E16/SER_summary!E$27)</f>
        <v>49.548440135192848</v>
      </c>
      <c r="F16" s="131">
        <f>IF(SER_hh_tesh_in!F16=0,0,SER_hh_tesh_in!F16/SER_summary!F$27)</f>
        <v>37.492711479544646</v>
      </c>
      <c r="G16" s="131">
        <f>IF(SER_hh_tesh_in!G16=0,0,SER_hh_tesh_in!G16/SER_summary!G$27)</f>
        <v>38.262954693303001</v>
      </c>
      <c r="H16" s="131">
        <f>IF(SER_hh_tesh_in!H16=0,0,SER_hh_tesh_in!H16/SER_summary!H$27)</f>
        <v>44.444329090723286</v>
      </c>
      <c r="I16" s="131">
        <f>IF(SER_hh_tesh_in!I16=0,0,SER_hh_tesh_in!I16/SER_summary!I$27)</f>
        <v>36.452748351151193</v>
      </c>
      <c r="J16" s="131">
        <f>IF(SER_hh_tesh_in!J16=0,0,SER_hh_tesh_in!J16/SER_summary!J$27)</f>
        <v>35.791282600694849</v>
      </c>
      <c r="K16" s="131">
        <f>IF(SER_hh_tesh_in!K16=0,0,SER_hh_tesh_in!K16/SER_summary!K$27)</f>
        <v>35.481432909404042</v>
      </c>
      <c r="L16" s="131">
        <f>IF(SER_hh_tesh_in!L16=0,0,SER_hh_tesh_in!L16/SER_summary!L$27)</f>
        <v>37.210875208032689</v>
      </c>
      <c r="M16" s="131">
        <f>IF(SER_hh_tesh_in!M16=0,0,SER_hh_tesh_in!M16/SER_summary!M$27)</f>
        <v>34.180141488236679</v>
      </c>
      <c r="N16" s="131">
        <f>IF(SER_hh_tesh_in!N16=0,0,SER_hh_tesh_in!N16/SER_summary!N$27)</f>
        <v>34.39838586456176</v>
      </c>
      <c r="O16" s="131">
        <f>IF(SER_hh_tesh_in!O16=0,0,SER_hh_tesh_in!O16/SER_summary!O$27)</f>
        <v>34.264152722860693</v>
      </c>
      <c r="P16" s="131">
        <f>IF(SER_hh_tesh_in!P16=0,0,SER_hh_tesh_in!P16/SER_summary!P$27)</f>
        <v>32.172750111013954</v>
      </c>
      <c r="Q16" s="131">
        <f>IF(SER_hh_tesh_in!Q16=0,0,SER_hh_tesh_in!Q16/SER_summary!Q$27)</f>
        <v>35.332796544209145</v>
      </c>
      <c r="R16" s="131">
        <f>IF(SER_hh_tesh_in!R16=0,0,SER_hh_tesh_in!R16/SER_summary!R$27)</f>
        <v>31.153926491140574</v>
      </c>
      <c r="S16" s="131">
        <f>IF(SER_hh_tesh_in!S16=0,0,SER_hh_tesh_in!S16/SER_summary!S$27)</f>
        <v>29.847384115781214</v>
      </c>
      <c r="T16" s="131">
        <f>IF(SER_hh_tesh_in!T16=0,0,SER_hh_tesh_in!T16/SER_summary!T$27)</f>
        <v>32.016156289509254</v>
      </c>
      <c r="U16" s="131">
        <f>IF(SER_hh_tesh_in!U16=0,0,SER_hh_tesh_in!U16/SER_summary!U$27)</f>
        <v>30.429397326323091</v>
      </c>
      <c r="V16" s="131">
        <f>IF(SER_hh_tesh_in!V16=0,0,SER_hh_tesh_in!V16/SER_summary!V$27)</f>
        <v>28.622357766602043</v>
      </c>
      <c r="W16" s="131">
        <f>IF(SER_hh_tesh_in!W16=0,0,SER_hh_tesh_in!W16/SER_summary!W$27)</f>
        <v>20.487582076074943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38.766167906718188</v>
      </c>
      <c r="D17" s="133">
        <f>IF(SER_hh_tesh_in!D17=0,0,SER_hh_tesh_in!D17/SER_summary!D$27)</f>
        <v>39.059245090735168</v>
      </c>
      <c r="E17" s="133">
        <f>IF(SER_hh_tesh_in!E17=0,0,SER_hh_tesh_in!E17/SER_summary!E$27)</f>
        <v>0</v>
      </c>
      <c r="F17" s="133">
        <f>IF(SER_hh_tesh_in!F17=0,0,SER_hh_tesh_in!F17/SER_summary!F$27)</f>
        <v>37.598729378172223</v>
      </c>
      <c r="G17" s="133">
        <f>IF(SER_hh_tesh_in!G17=0,0,SER_hh_tesh_in!G17/SER_summary!G$27)</f>
        <v>38.325450805646945</v>
      </c>
      <c r="H17" s="133">
        <f>IF(SER_hh_tesh_in!H17=0,0,SER_hh_tesh_in!H17/SER_summary!H$27)</f>
        <v>44.502636421577563</v>
      </c>
      <c r="I17" s="133">
        <f>IF(SER_hh_tesh_in!I17=0,0,SER_hh_tesh_in!I17/SER_summary!I$27)</f>
        <v>36.512437803526176</v>
      </c>
      <c r="J17" s="133">
        <f>IF(SER_hh_tesh_in!J17=0,0,SER_hh_tesh_in!J17/SER_summary!J$27)</f>
        <v>35.825916033544623</v>
      </c>
      <c r="K17" s="133">
        <f>IF(SER_hh_tesh_in!K17=0,0,SER_hh_tesh_in!K17/SER_summary!K$27)</f>
        <v>41.713294768088097</v>
      </c>
      <c r="L17" s="133">
        <f>IF(SER_hh_tesh_in!L17=0,0,SER_hh_tesh_in!L17/SER_summary!L$27)</f>
        <v>37.236188857561835</v>
      </c>
      <c r="M17" s="133">
        <f>IF(SER_hh_tesh_in!M17=0,0,SER_hh_tesh_in!M17/SER_summary!M$27)</f>
        <v>34.247546110445725</v>
      </c>
      <c r="N17" s="133">
        <f>IF(SER_hh_tesh_in!N17=0,0,SER_hh_tesh_in!N17/SER_summary!N$27)</f>
        <v>34.491198488154488</v>
      </c>
      <c r="O17" s="133">
        <f>IF(SER_hh_tesh_in!O17=0,0,SER_hh_tesh_in!O17/SER_summary!O$27)</f>
        <v>34.606052783682834</v>
      </c>
      <c r="P17" s="133">
        <f>IF(SER_hh_tesh_in!P17=0,0,SER_hh_tesh_in!P17/SER_summary!P$27)</f>
        <v>32.86595989933555</v>
      </c>
      <c r="Q17" s="133">
        <f>IF(SER_hh_tesh_in!Q17=0,0,SER_hh_tesh_in!Q17/SER_summary!Q$27)</f>
        <v>36.088207991617317</v>
      </c>
      <c r="R17" s="133">
        <f>IF(SER_hh_tesh_in!R17=0,0,SER_hh_tesh_in!R17/SER_summary!R$27)</f>
        <v>32.142626973227912</v>
      </c>
      <c r="S17" s="133">
        <f>IF(SER_hh_tesh_in!S17=0,0,SER_hh_tesh_in!S17/SER_summary!S$27)</f>
        <v>31.737761774369567</v>
      </c>
      <c r="T17" s="133">
        <f>IF(SER_hh_tesh_in!T17=0,0,SER_hh_tesh_in!T17/SER_summary!T$27)</f>
        <v>32.595009256297104</v>
      </c>
      <c r="U17" s="133">
        <f>IF(SER_hh_tesh_in!U17=0,0,SER_hh_tesh_in!U17/SER_summary!U$27)</f>
        <v>30.840316682093274</v>
      </c>
      <c r="V17" s="133">
        <f>IF(SER_hh_tesh_in!V17=0,0,SER_hh_tesh_in!V17/SER_summary!V$27)</f>
        <v>28.971554509998484</v>
      </c>
      <c r="W17" s="133">
        <f>IF(SER_hh_tesh_in!W17=0,0,SER_hh_tesh_in!W17/SER_summary!W$27)</f>
        <v>23.877468382370409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38.761595388356277</v>
      </c>
      <c r="D18" s="133">
        <f>IF(SER_hh_tesh_in!D18=0,0,SER_hh_tesh_in!D18/SER_summary!D$27)</f>
        <v>39.036023755308143</v>
      </c>
      <c r="E18" s="133">
        <f>IF(SER_hh_tesh_in!E18=0,0,SER_hh_tesh_in!E18/SER_summary!E$27)</f>
        <v>49.548440135192848</v>
      </c>
      <c r="F18" s="133">
        <f>IF(SER_hh_tesh_in!F18=0,0,SER_hh_tesh_in!F18/SER_summary!F$27)</f>
        <v>37.49084185888799</v>
      </c>
      <c r="G18" s="133">
        <f>IF(SER_hh_tesh_in!G18=0,0,SER_hh_tesh_in!G18/SER_summary!G$27)</f>
        <v>38.262697310552049</v>
      </c>
      <c r="H18" s="133">
        <f>IF(SER_hh_tesh_in!H18=0,0,SER_hh_tesh_in!H18/SER_summary!H$27)</f>
        <v>44.443901147823226</v>
      </c>
      <c r="I18" s="133">
        <f>IF(SER_hh_tesh_in!I18=0,0,SER_hh_tesh_in!I18/SER_summary!I$27)</f>
        <v>36.451869742931542</v>
      </c>
      <c r="J18" s="133">
        <f>IF(SER_hh_tesh_in!J18=0,0,SER_hh_tesh_in!J18/SER_summary!J$27)</f>
        <v>35.791032760188358</v>
      </c>
      <c r="K18" s="133">
        <f>IF(SER_hh_tesh_in!K18=0,0,SER_hh_tesh_in!K18/SER_summary!K$27)</f>
        <v>35.41400439795153</v>
      </c>
      <c r="L18" s="133">
        <f>IF(SER_hh_tesh_in!L18=0,0,SER_hh_tesh_in!L18/SER_summary!L$27)</f>
        <v>37.210661698471448</v>
      </c>
      <c r="M18" s="133">
        <f>IF(SER_hh_tesh_in!M18=0,0,SER_hh_tesh_in!M18/SER_summary!M$27)</f>
        <v>34.179297866443548</v>
      </c>
      <c r="N18" s="133">
        <f>IF(SER_hh_tesh_in!N18=0,0,SER_hh_tesh_in!N18/SER_summary!N$27)</f>
        <v>34.39724438120524</v>
      </c>
      <c r="O18" s="133">
        <f>IF(SER_hh_tesh_in!O18=0,0,SER_hh_tesh_in!O18/SER_summary!O$27)</f>
        <v>34.256542057019225</v>
      </c>
      <c r="P18" s="133">
        <f>IF(SER_hh_tesh_in!P18=0,0,SER_hh_tesh_in!P18/SER_summary!P$27)</f>
        <v>32.145533210302382</v>
      </c>
      <c r="Q18" s="133">
        <f>IF(SER_hh_tesh_in!Q18=0,0,SER_hh_tesh_in!Q18/SER_summary!Q$27)</f>
        <v>35.309002208732416</v>
      </c>
      <c r="R18" s="133">
        <f>IF(SER_hh_tesh_in!R18=0,0,SER_hh_tesh_in!R18/SER_summary!R$27)</f>
        <v>31.082488701390965</v>
      </c>
      <c r="S18" s="133">
        <f>IF(SER_hh_tesh_in!S18=0,0,SER_hh_tesh_in!S18/SER_summary!S$27)</f>
        <v>29.771956972667969</v>
      </c>
      <c r="T18" s="133">
        <f>IF(SER_hh_tesh_in!T18=0,0,SER_hh_tesh_in!T18/SER_summary!T$27)</f>
        <v>32.004387123270085</v>
      </c>
      <c r="U18" s="133">
        <f>IF(SER_hh_tesh_in!U18=0,0,SER_hh_tesh_in!U18/SER_summary!U$27)</f>
        <v>30.413513334321234</v>
      </c>
      <c r="V18" s="133">
        <f>IF(SER_hh_tesh_in!V18=0,0,SER_hh_tesh_in!V18/SER_summary!V$27)</f>
        <v>28.606327027285811</v>
      </c>
      <c r="W18" s="133">
        <f>IF(SER_hh_tesh_in!W18=0,0,SER_hh_tesh_in!W18/SER_summary!W$27)</f>
        <v>20.351937443469271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30.225901166405968</v>
      </c>
      <c r="D19" s="131">
        <f>IF(SER_hh_tesh_in!D19=0,0,SER_hh_tesh_in!D19/SER_summary!D$27)</f>
        <v>30.194097755606514</v>
      </c>
      <c r="E19" s="131">
        <f>IF(SER_hh_tesh_in!E19=0,0,SER_hh_tesh_in!E19/SER_summary!E$27)</f>
        <v>35.002395474149068</v>
      </c>
      <c r="F19" s="131">
        <f>IF(SER_hh_tesh_in!F19=0,0,SER_hh_tesh_in!F19/SER_summary!F$27)</f>
        <v>32.585655747666351</v>
      </c>
      <c r="G19" s="131">
        <f>IF(SER_hh_tesh_in!G19=0,0,SER_hh_tesh_in!G19/SER_summary!G$27)</f>
        <v>31.219886195601617</v>
      </c>
      <c r="H19" s="131">
        <f>IF(SER_hh_tesh_in!H19=0,0,SER_hh_tesh_in!H19/SER_summary!H$27)</f>
        <v>31.786261793085202</v>
      </c>
      <c r="I19" s="131">
        <f>IF(SER_hh_tesh_in!I19=0,0,SER_hh_tesh_in!I19/SER_summary!I$27)</f>
        <v>31.192534031864948</v>
      </c>
      <c r="J19" s="131">
        <f>IF(SER_hh_tesh_in!J19=0,0,SER_hh_tesh_in!J19/SER_summary!J$27)</f>
        <v>32.173317917838546</v>
      </c>
      <c r="K19" s="131">
        <f>IF(SER_hh_tesh_in!K19=0,0,SER_hh_tesh_in!K19/SER_summary!K$27)</f>
        <v>31.52311089311571</v>
      </c>
      <c r="L19" s="131">
        <f>IF(SER_hh_tesh_in!L19=0,0,SER_hh_tesh_in!L19/SER_summary!L$27)</f>
        <v>32.994358881064556</v>
      </c>
      <c r="M19" s="131">
        <f>IF(SER_hh_tesh_in!M19=0,0,SER_hh_tesh_in!M19/SER_summary!M$27)</f>
        <v>30.320621855771606</v>
      </c>
      <c r="N19" s="131">
        <f>IF(SER_hh_tesh_in!N19=0,0,SER_hh_tesh_in!N19/SER_summary!N$27)</f>
        <v>31.131887090055191</v>
      </c>
      <c r="O19" s="131">
        <f>IF(SER_hh_tesh_in!O19=0,0,SER_hh_tesh_in!O19/SER_summary!O$27)</f>
        <v>30.700248040046812</v>
      </c>
      <c r="P19" s="131">
        <f>IF(SER_hh_tesh_in!P19=0,0,SER_hh_tesh_in!P19/SER_summary!P$27)</f>
        <v>30.886235797397372</v>
      </c>
      <c r="Q19" s="131">
        <f>IF(SER_hh_tesh_in!Q19=0,0,SER_hh_tesh_in!Q19/SER_summary!Q$27)</f>
        <v>31.170556431258241</v>
      </c>
      <c r="R19" s="131">
        <f>IF(SER_hh_tesh_in!R19=0,0,SER_hh_tesh_in!R19/SER_summary!R$27)</f>
        <v>29.718135623176153</v>
      </c>
      <c r="S19" s="131">
        <f>IF(SER_hh_tesh_in!S19=0,0,SER_hh_tesh_in!S19/SER_summary!S$27)</f>
        <v>31.715662085065357</v>
      </c>
      <c r="T19" s="131">
        <f>IF(SER_hh_tesh_in!T19=0,0,SER_hh_tesh_in!T19/SER_summary!T$27)</f>
        <v>29.959744416823948</v>
      </c>
      <c r="U19" s="131">
        <f>IF(SER_hh_tesh_in!U19=0,0,SER_hh_tesh_in!U19/SER_summary!U$27)</f>
        <v>29.751656872413456</v>
      </c>
      <c r="V19" s="131">
        <f>IF(SER_hh_tesh_in!V19=0,0,SER_hh_tesh_in!V19/SER_summary!V$27)</f>
        <v>28.1291357701433</v>
      </c>
      <c r="W19" s="131">
        <f>IF(SER_hh_tesh_in!W19=0,0,SER_hh_tesh_in!W19/SER_summary!W$27)</f>
        <v>26.570882404434712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31.396167269171315</v>
      </c>
      <c r="D22" s="133">
        <f>IF(SER_hh_tesh_in!D22=0,0,SER_hh_tesh_in!D22/SER_summary!D$27)</f>
        <v>31.927783313956553</v>
      </c>
      <c r="E22" s="133">
        <f>IF(SER_hh_tesh_in!E22=0,0,SER_hh_tesh_in!E22/SER_summary!E$27)</f>
        <v>31.942463907866177</v>
      </c>
      <c r="F22" s="133">
        <f>IF(SER_hh_tesh_in!F22=0,0,SER_hh_tesh_in!F22/SER_summary!F$27)</f>
        <v>32.967747537695523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27.1532584132264</v>
      </c>
      <c r="L22" s="133">
        <f>IF(SER_hh_tesh_in!L22=0,0,SER_hh_tesh_in!L22/SER_summary!L$27)</f>
        <v>37.085851610356862</v>
      </c>
      <c r="M22" s="133">
        <f>IF(SER_hh_tesh_in!M22=0,0,SER_hh_tesh_in!M22/SER_summary!M$27)</f>
        <v>24.888536869653077</v>
      </c>
      <c r="N22" s="133">
        <f>IF(SER_hh_tesh_in!N22=0,0,SER_hh_tesh_in!N22/SER_summary!N$27)</f>
        <v>33.176107112489746</v>
      </c>
      <c r="O22" s="133">
        <f>IF(SER_hh_tesh_in!O22=0,0,SER_hh_tesh_in!O22/SER_summary!O$27)</f>
        <v>31.246748184999035</v>
      </c>
      <c r="P22" s="133">
        <f>IF(SER_hh_tesh_in!P22=0,0,SER_hh_tesh_in!P22/SER_summary!P$27)</f>
        <v>31.713355235828413</v>
      </c>
      <c r="Q22" s="133">
        <f>IF(SER_hh_tesh_in!Q22=0,0,SER_hh_tesh_in!Q22/SER_summary!Q$27)</f>
        <v>29.241276918138929</v>
      </c>
      <c r="R22" s="133">
        <f>IF(SER_hh_tesh_in!R22=0,0,SER_hh_tesh_in!R22/SER_summary!R$27)</f>
        <v>25.080512076134433</v>
      </c>
      <c r="S22" s="133">
        <f>IF(SER_hh_tesh_in!S22=0,0,SER_hh_tesh_in!S22/SER_summary!S$27)</f>
        <v>32.88697782327278</v>
      </c>
      <c r="T22" s="133">
        <f>IF(SER_hh_tesh_in!T22=0,0,SER_hh_tesh_in!T22/SER_summary!T$27)</f>
        <v>31.239078586549496</v>
      </c>
      <c r="U22" s="133">
        <f>IF(SER_hh_tesh_in!U22=0,0,SER_hh_tesh_in!U22/SER_summary!U$27)</f>
        <v>32.024909537865561</v>
      </c>
      <c r="V22" s="133">
        <f>IF(SER_hh_tesh_in!V22=0,0,SER_hh_tesh_in!V22/SER_summary!V$27)</f>
        <v>25.24137007068623</v>
      </c>
      <c r="W22" s="133">
        <f>IF(SER_hh_tesh_in!W22=0,0,SER_hh_tesh_in!W22/SER_summary!W$27)</f>
        <v>28.166417069364911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31.634863912357439</v>
      </c>
      <c r="D23" s="133">
        <f>IF(SER_hh_tesh_in!D23=0,0,SER_hh_tesh_in!D23/SER_summary!D$27)</f>
        <v>31.166532313392263</v>
      </c>
      <c r="E23" s="133">
        <f>IF(SER_hh_tesh_in!E23=0,0,SER_hh_tesh_in!E23/SER_summary!E$27)</f>
        <v>32.441113714517989</v>
      </c>
      <c r="F23" s="133">
        <f>IF(SER_hh_tesh_in!F23=0,0,SER_hh_tesh_in!F23/SER_summary!F$27)</f>
        <v>31.578888951977845</v>
      </c>
      <c r="G23" s="133">
        <f>IF(SER_hh_tesh_in!G23=0,0,SER_hh_tesh_in!G23/SER_summary!G$27)</f>
        <v>31.650065088706533</v>
      </c>
      <c r="H23" s="133">
        <f>IF(SER_hh_tesh_in!H23=0,0,SER_hh_tesh_in!H23/SER_summary!H$27)</f>
        <v>30.783620855075586</v>
      </c>
      <c r="I23" s="133">
        <f>IF(SER_hh_tesh_in!I23=0,0,SER_hh_tesh_in!I23/SER_summary!I$27)</f>
        <v>29.8224185533903</v>
      </c>
      <c r="J23" s="133">
        <f>IF(SER_hh_tesh_in!J23=0,0,SER_hh_tesh_in!J23/SER_summary!J$27)</f>
        <v>33.224565302114009</v>
      </c>
      <c r="K23" s="133">
        <f>IF(SER_hh_tesh_in!K23=0,0,SER_hh_tesh_in!K23/SER_summary!K$27)</f>
        <v>29.932171481662653</v>
      </c>
      <c r="L23" s="133">
        <f>IF(SER_hh_tesh_in!L23=0,0,SER_hh_tesh_in!L23/SER_summary!L$27)</f>
        <v>32.853189661001942</v>
      </c>
      <c r="M23" s="133">
        <f>IF(SER_hh_tesh_in!M23=0,0,SER_hh_tesh_in!M23/SER_summary!M$27)</f>
        <v>31.086826017750674</v>
      </c>
      <c r="N23" s="133">
        <f>IF(SER_hh_tesh_in!N23=0,0,SER_hh_tesh_in!N23/SER_summary!N$27)</f>
        <v>29.552996925603786</v>
      </c>
      <c r="O23" s="133">
        <f>IF(SER_hh_tesh_in!O23=0,0,SER_hh_tesh_in!O23/SER_summary!O$27)</f>
        <v>29.77592839958627</v>
      </c>
      <c r="P23" s="133">
        <f>IF(SER_hh_tesh_in!P23=0,0,SER_hh_tesh_in!P23/SER_summary!P$27)</f>
        <v>31.07806802353198</v>
      </c>
      <c r="Q23" s="133">
        <f>IF(SER_hh_tesh_in!Q23=0,0,SER_hh_tesh_in!Q23/SER_summary!Q$27)</f>
        <v>34.860860919375249</v>
      </c>
      <c r="R23" s="133">
        <f>IF(SER_hh_tesh_in!R23=0,0,SER_hh_tesh_in!R23/SER_summary!R$27)</f>
        <v>36.977408152332536</v>
      </c>
      <c r="S23" s="133">
        <f>IF(SER_hh_tesh_in!S23=0,0,SER_hh_tesh_in!S23/SER_summary!S$27)</f>
        <v>27.015441036928227</v>
      </c>
      <c r="T23" s="133">
        <f>IF(SER_hh_tesh_in!T23=0,0,SER_hh_tesh_in!T23/SER_summary!T$27)</f>
        <v>0</v>
      </c>
      <c r="U23" s="133">
        <f>IF(SER_hh_tesh_in!U23=0,0,SER_hh_tesh_in!U23/SER_summary!U$27)</f>
        <v>31.112632634195762</v>
      </c>
      <c r="V23" s="133">
        <f>IF(SER_hh_tesh_in!V23=0,0,SER_hh_tesh_in!V23/SER_summary!V$27)</f>
        <v>0</v>
      </c>
      <c r="W23" s="133">
        <f>IF(SER_hh_tesh_in!W23=0,0,SER_hh_tesh_in!W23/SER_summary!W$27)</f>
        <v>32.947087166303646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26.548485279752391</v>
      </c>
      <c r="D25" s="133">
        <f>IF(SER_hh_tesh_in!D25=0,0,SER_hh_tesh_in!D25/SER_summary!D$27)</f>
        <v>29.501040707887043</v>
      </c>
      <c r="E25" s="133">
        <f>IF(SER_hh_tesh_in!E25=0,0,SER_hh_tesh_in!E25/SER_summary!E$27)</f>
        <v>36.574172209812865</v>
      </c>
      <c r="F25" s="133">
        <f>IF(SER_hh_tesh_in!F25=0,0,SER_hh_tesh_in!F25/SER_summary!F$27)</f>
        <v>33.068024795677431</v>
      </c>
      <c r="G25" s="133">
        <f>IF(SER_hh_tesh_in!G25=0,0,SER_hh_tesh_in!G25/SER_summary!G$27)</f>
        <v>31.741992138742539</v>
      </c>
      <c r="H25" s="133">
        <f>IF(SER_hh_tesh_in!H25=0,0,SER_hh_tesh_in!H25/SER_summary!H$27)</f>
        <v>31.580922706641076</v>
      </c>
      <c r="I25" s="133">
        <f>IF(SER_hh_tesh_in!I25=0,0,SER_hh_tesh_in!I25/SER_summary!I$27)</f>
        <v>31.342753171319693</v>
      </c>
      <c r="J25" s="133">
        <f>IF(SER_hh_tesh_in!J25=0,0,SER_hh_tesh_in!J25/SER_summary!J$27)</f>
        <v>31.267578342147527</v>
      </c>
      <c r="K25" s="133">
        <f>IF(SER_hh_tesh_in!K25=0,0,SER_hh_tesh_in!K25/SER_summary!K$27)</f>
        <v>32.171610741604148</v>
      </c>
      <c r="L25" s="133">
        <f>IF(SER_hh_tesh_in!L25=0,0,SER_hh_tesh_in!L25/SER_summary!L$27)</f>
        <v>30.370118045766709</v>
      </c>
      <c r="M25" s="133">
        <f>IF(SER_hh_tesh_in!M25=0,0,SER_hh_tesh_in!M25/SER_summary!M$27)</f>
        <v>30.631234894979972</v>
      </c>
      <c r="N25" s="133">
        <f>IF(SER_hh_tesh_in!N25=0,0,SER_hh_tesh_in!N25/SER_summary!N$27)</f>
        <v>30.882804182680548</v>
      </c>
      <c r="O25" s="133">
        <f>IF(SER_hh_tesh_in!O25=0,0,SER_hh_tesh_in!O25/SER_summary!O$27)</f>
        <v>30.989294491615308</v>
      </c>
      <c r="P25" s="133">
        <f>IF(SER_hh_tesh_in!P25=0,0,SER_hh_tesh_in!P25/SER_summary!P$27)</f>
        <v>30.457607870275005</v>
      </c>
      <c r="Q25" s="133">
        <f>IF(SER_hh_tesh_in!Q25=0,0,SER_hh_tesh_in!Q25/SER_summary!Q$27)</f>
        <v>30.432459173974078</v>
      </c>
      <c r="R25" s="133">
        <f>IF(SER_hh_tesh_in!R25=0,0,SER_hh_tesh_in!R25/SER_summary!R$27)</f>
        <v>30.294465817225952</v>
      </c>
      <c r="S25" s="133">
        <f>IF(SER_hh_tesh_in!S25=0,0,SER_hh_tesh_in!S25/SER_summary!S$27)</f>
        <v>31.583641427103931</v>
      </c>
      <c r="T25" s="133">
        <f>IF(SER_hh_tesh_in!T25=0,0,SER_hh_tesh_in!T25/SER_summary!T$27)</f>
        <v>28.3572273721173</v>
      </c>
      <c r="U25" s="133">
        <f>IF(SER_hh_tesh_in!U25=0,0,SER_hh_tesh_in!U25/SER_summary!U$27)</f>
        <v>30.033714329669152</v>
      </c>
      <c r="V25" s="133">
        <f>IF(SER_hh_tesh_in!V25=0,0,SER_hh_tesh_in!V25/SER_summary!V$27)</f>
        <v>28.525941381685531</v>
      </c>
      <c r="W25" s="133">
        <f>IF(SER_hh_tesh_in!W25=0,0,SER_hh_tesh_in!W25/SER_summary!W$27)</f>
        <v>24.221735929826924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32.76827607502792</v>
      </c>
      <c r="D26" s="65">
        <f>IF(SER_hh_tesh_in!D26=0,0,SER_hh_tesh_in!D26/SER_summary!D$27)</f>
        <v>0</v>
      </c>
      <c r="E26" s="65">
        <f>IF(SER_hh_tesh_in!E26=0,0,SER_hh_tesh_in!E26/SER_summary!E$27)</f>
        <v>0</v>
      </c>
      <c r="F26" s="65">
        <f>IF(SER_hh_tesh_in!F26=0,0,SER_hh_tesh_in!F26/SER_summary!F$27)</f>
        <v>0</v>
      </c>
      <c r="G26" s="65">
        <f>IF(SER_hh_tesh_in!G26=0,0,SER_hh_tesh_in!G26/SER_summary!G$27)</f>
        <v>29.993637501545784</v>
      </c>
      <c r="H26" s="65">
        <f>IF(SER_hh_tesh_in!H26=0,0,SER_hh_tesh_in!H26/SER_summary!H$27)</f>
        <v>32.170633268765684</v>
      </c>
      <c r="I26" s="65">
        <f>IF(SER_hh_tesh_in!I26=0,0,SER_hh_tesh_in!I26/SER_summary!I$27)</f>
        <v>31.730571741795924</v>
      </c>
      <c r="J26" s="65">
        <f>IF(SER_hh_tesh_in!J26=0,0,SER_hh_tesh_in!J26/SER_summary!J$27)</f>
        <v>31.528078846132402</v>
      </c>
      <c r="K26" s="65">
        <f>IF(SER_hh_tesh_in!K26=0,0,SER_hh_tesh_in!K26/SER_summary!K$27)</f>
        <v>32.837878512482256</v>
      </c>
      <c r="L26" s="65">
        <f>IF(SER_hh_tesh_in!L26=0,0,SER_hh_tesh_in!L26/SER_summary!L$27)</f>
        <v>29.55385655717091</v>
      </c>
      <c r="M26" s="65">
        <f>IF(SER_hh_tesh_in!M26=0,0,SER_hh_tesh_in!M26/SER_summary!M$27)</f>
        <v>31.941594504472715</v>
      </c>
      <c r="N26" s="65">
        <f>IF(SER_hh_tesh_in!N26=0,0,SER_hh_tesh_in!N26/SER_summary!N$27)</f>
        <v>30.659851624484677</v>
      </c>
      <c r="O26" s="65">
        <f>IF(SER_hh_tesh_in!O26=0,0,SER_hh_tesh_in!O26/SER_summary!O$27)</f>
        <v>31.066531648873173</v>
      </c>
      <c r="P26" s="65">
        <f>IF(SER_hh_tesh_in!P26=0,0,SER_hh_tesh_in!P26/SER_summary!P$27)</f>
        <v>30.438604726468704</v>
      </c>
      <c r="Q26" s="65">
        <f>IF(SER_hh_tesh_in!Q26=0,0,SER_hh_tesh_in!Q26/SER_summary!Q$27)</f>
        <v>28.463833683605014</v>
      </c>
      <c r="R26" s="65">
        <f>IF(SER_hh_tesh_in!R26=0,0,SER_hh_tesh_in!R26/SER_summary!R$27)</f>
        <v>27.456331892272338</v>
      </c>
      <c r="S26" s="65">
        <f>IF(SER_hh_tesh_in!S26=0,0,SER_hh_tesh_in!S26/SER_summary!S$27)</f>
        <v>30.977547361514542</v>
      </c>
      <c r="T26" s="65">
        <f>IF(SER_hh_tesh_in!T26=0,0,SER_hh_tesh_in!T26/SER_summary!T$27)</f>
        <v>30.216711106985915</v>
      </c>
      <c r="U26" s="65">
        <f>IF(SER_hh_tesh_in!U26=0,0,SER_hh_tesh_in!U26/SER_summary!U$27)</f>
        <v>27.281328134437498</v>
      </c>
      <c r="V26" s="65">
        <f>IF(SER_hh_tesh_in!V26=0,0,SER_hh_tesh_in!V26/SER_summary!V$27)</f>
        <v>28.515907914900776</v>
      </c>
      <c r="W26" s="65">
        <f>IF(SER_hh_tesh_in!W26=0,0,SER_hh_tesh_in!W26/SER_summary!W$27)</f>
        <v>25.459393751512753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34.109495147985569</v>
      </c>
      <c r="D29" s="131">
        <f>IF(SER_hh_tesh_in!D29=0,0,SER_hh_tesh_in!D29/SER_summary!D$27)</f>
        <v>36.179812569704985</v>
      </c>
      <c r="E29" s="131">
        <f>IF(SER_hh_tesh_in!E29=0,0,SER_hh_tesh_in!E29/SER_summary!E$27)</f>
        <v>39.071289659329494</v>
      </c>
      <c r="F29" s="131">
        <f>IF(SER_hh_tesh_in!F29=0,0,SER_hh_tesh_in!F29/SER_summary!F$27)</f>
        <v>37.761350490740675</v>
      </c>
      <c r="G29" s="131">
        <f>IF(SER_hh_tesh_in!G29=0,0,SER_hh_tesh_in!G29/SER_summary!G$27)</f>
        <v>38.523459675086926</v>
      </c>
      <c r="H29" s="131">
        <f>IF(SER_hh_tesh_in!H29=0,0,SER_hh_tesh_in!H29/SER_summary!H$27)</f>
        <v>39.139195289848026</v>
      </c>
      <c r="I29" s="131">
        <f>IF(SER_hh_tesh_in!I29=0,0,SER_hh_tesh_in!I29/SER_summary!I$27)</f>
        <v>39.259062979070798</v>
      </c>
      <c r="J29" s="131">
        <f>IF(SER_hh_tesh_in!J29=0,0,SER_hh_tesh_in!J29/SER_summary!J$27)</f>
        <v>39.830959032950908</v>
      </c>
      <c r="K29" s="131">
        <f>IF(SER_hh_tesh_in!K29=0,0,SER_hh_tesh_in!K29/SER_summary!K$27)</f>
        <v>53.409871690771666</v>
      </c>
      <c r="L29" s="131">
        <f>IF(SER_hh_tesh_in!L29=0,0,SER_hh_tesh_in!L29/SER_summary!L$27)</f>
        <v>43.270845086591486</v>
      </c>
      <c r="M29" s="131">
        <f>IF(SER_hh_tesh_in!M29=0,0,SER_hh_tesh_in!M29/SER_summary!M$27)</f>
        <v>41.111066094478446</v>
      </c>
      <c r="N29" s="131">
        <f>IF(SER_hh_tesh_in!N29=0,0,SER_hh_tesh_in!N29/SER_summary!N$27)</f>
        <v>41.405117714380147</v>
      </c>
      <c r="O29" s="131">
        <f>IF(SER_hh_tesh_in!O29=0,0,SER_hh_tesh_in!O29/SER_summary!O$27)</f>
        <v>41.527242344232029</v>
      </c>
      <c r="P29" s="131">
        <f>IF(SER_hh_tesh_in!P29=0,0,SER_hh_tesh_in!P29/SER_summary!P$27)</f>
        <v>42.851862694641312</v>
      </c>
      <c r="Q29" s="131">
        <f>IF(SER_hh_tesh_in!Q29=0,0,SER_hh_tesh_in!Q29/SER_summary!Q$27)</f>
        <v>42.647374537134162</v>
      </c>
      <c r="R29" s="131">
        <f>IF(SER_hh_tesh_in!R29=0,0,SER_hh_tesh_in!R29/SER_summary!R$27)</f>
        <v>42.251282024236104</v>
      </c>
      <c r="S29" s="131">
        <f>IF(SER_hh_tesh_in!S29=0,0,SER_hh_tesh_in!S29/SER_summary!S$27)</f>
        <v>43.405053471291794</v>
      </c>
      <c r="T29" s="131">
        <f>IF(SER_hh_tesh_in!T29=0,0,SER_hh_tesh_in!T29/SER_summary!T$27)</f>
        <v>43.331629232612691</v>
      </c>
      <c r="U29" s="131">
        <f>IF(SER_hh_tesh_in!U29=0,0,SER_hh_tesh_in!U29/SER_summary!U$27)</f>
        <v>44.242450539446473</v>
      </c>
      <c r="V29" s="131">
        <f>IF(SER_hh_tesh_in!V29=0,0,SER_hh_tesh_in!V29/SER_summary!V$27)</f>
        <v>40.63023419338397</v>
      </c>
      <c r="W29" s="131">
        <f>IF(SER_hh_tesh_in!W29=0,0,SER_hh_tesh_in!W29/SER_summary!W$27)</f>
        <v>46.505340857370363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51.020823366848454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56.338516352961392</v>
      </c>
      <c r="L30" s="133">
        <f>IF(SER_hh_tesh_in!L30=0,0,SER_hh_tesh_in!L30/SER_summary!L$27)</f>
        <v>45.937290725922217</v>
      </c>
      <c r="M30" s="133">
        <f>IF(SER_hh_tesh_in!M30=0,0,SER_hh_tesh_in!M30/SER_summary!M$27)</f>
        <v>41.588167331818006</v>
      </c>
      <c r="N30" s="133">
        <f>IF(SER_hh_tesh_in!N30=0,0,SER_hh_tesh_in!N30/SER_summary!N$27)</f>
        <v>41.878088983673642</v>
      </c>
      <c r="O30" s="133">
        <f>IF(SER_hh_tesh_in!O30=0,0,SER_hh_tesh_in!O30/SER_summary!O$27)</f>
        <v>43.4119788070266</v>
      </c>
      <c r="P30" s="133">
        <f>IF(SER_hh_tesh_in!P30=0,0,SER_hh_tesh_in!P30/SER_summary!P$27)</f>
        <v>39.439268670169341</v>
      </c>
      <c r="Q30" s="133">
        <f>IF(SER_hh_tesh_in!Q30=0,0,SER_hh_tesh_in!Q30/SER_summary!Q$27)</f>
        <v>42.831260599734115</v>
      </c>
      <c r="R30" s="133">
        <f>IF(SER_hh_tesh_in!R30=0,0,SER_hh_tesh_in!R30/SER_summary!R$27)</f>
        <v>46.368381775108965</v>
      </c>
      <c r="S30" s="133">
        <f>IF(SER_hh_tesh_in!S30=0,0,SER_hh_tesh_in!S30/SER_summary!S$27)</f>
        <v>42.38181964381485</v>
      </c>
      <c r="T30" s="133">
        <f>IF(SER_hh_tesh_in!T30=0,0,SER_hh_tesh_in!T30/SER_summary!T$27)</f>
        <v>37.370387852602065</v>
      </c>
      <c r="U30" s="133">
        <f>IF(SER_hh_tesh_in!U30=0,0,SER_hh_tesh_in!U30/SER_summary!U$27)</f>
        <v>46.752969274852781</v>
      </c>
      <c r="V30" s="133">
        <f>IF(SER_hh_tesh_in!V30=0,0,SER_hh_tesh_in!V30/SER_summary!V$27)</f>
        <v>36.194425937658799</v>
      </c>
      <c r="W30" s="133">
        <f>IF(SER_hh_tesh_in!W30=0,0,SER_hh_tesh_in!W30/SER_summary!W$27)</f>
        <v>57.31678940770756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35.390933389271524</v>
      </c>
      <c r="D31" s="133">
        <f>IF(SER_hh_tesh_in!D31=0,0,SER_hh_tesh_in!D31/SER_summary!D$27)</f>
        <v>36.845328065504631</v>
      </c>
      <c r="E31" s="133">
        <f>IF(SER_hh_tesh_in!E31=0,0,SER_hh_tesh_in!E31/SER_summary!E$27)</f>
        <v>37.492988098248631</v>
      </c>
      <c r="F31" s="133">
        <f>IF(SER_hh_tesh_in!F31=0,0,SER_hh_tesh_in!F31/SER_summary!F$27)</f>
        <v>38.528561751070512</v>
      </c>
      <c r="G31" s="133">
        <f>IF(SER_hh_tesh_in!G31=0,0,SER_hh_tesh_in!G31/SER_summary!G$27)</f>
        <v>37.803284296607018</v>
      </c>
      <c r="H31" s="133">
        <f>IF(SER_hh_tesh_in!H31=0,0,SER_hh_tesh_in!H31/SER_summary!H$27)</f>
        <v>39.664010246232905</v>
      </c>
      <c r="I31" s="133">
        <f>IF(SER_hh_tesh_in!I31=0,0,SER_hh_tesh_in!I31/SER_summary!I$27)</f>
        <v>39.924621094709103</v>
      </c>
      <c r="J31" s="133">
        <f>IF(SER_hh_tesh_in!J31=0,0,SER_hh_tesh_in!J31/SER_summary!J$27)</f>
        <v>40.719673702828104</v>
      </c>
      <c r="K31" s="133">
        <f>IF(SER_hh_tesh_in!K31=0,0,SER_hh_tesh_in!K31/SER_summary!K$27)</f>
        <v>38.967656765063403</v>
      </c>
      <c r="L31" s="133">
        <f>IF(SER_hh_tesh_in!L31=0,0,SER_hh_tesh_in!L31/SER_summary!L$27)</f>
        <v>40.033995438821805</v>
      </c>
      <c r="M31" s="133">
        <f>IF(SER_hh_tesh_in!M31=0,0,SER_hh_tesh_in!M31/SER_summary!M$27)</f>
        <v>42.137800527929471</v>
      </c>
      <c r="N31" s="133">
        <f>IF(SER_hh_tesh_in!N31=0,0,SER_hh_tesh_in!N31/SER_summary!N$27)</f>
        <v>42.683093034200269</v>
      </c>
      <c r="O31" s="133">
        <f>IF(SER_hh_tesh_in!O31=0,0,SER_hh_tesh_in!O31/SER_summary!O$27)</f>
        <v>41.808923010862706</v>
      </c>
      <c r="P31" s="133">
        <f>IF(SER_hh_tesh_in!P31=0,0,SER_hh_tesh_in!P31/SER_summary!P$27)</f>
        <v>41.613315716958319</v>
      </c>
      <c r="Q31" s="133">
        <f>IF(SER_hh_tesh_in!Q31=0,0,SER_hh_tesh_in!Q31/SER_summary!Q$27)</f>
        <v>42.5055328173177</v>
      </c>
      <c r="R31" s="133">
        <f>IF(SER_hh_tesh_in!R31=0,0,SER_hh_tesh_in!R31/SER_summary!R$27)</f>
        <v>43.305385514397628</v>
      </c>
      <c r="S31" s="133">
        <f>IF(SER_hh_tesh_in!S31=0,0,SER_hh_tesh_in!S31/SER_summary!S$27)</f>
        <v>41.865066095089965</v>
      </c>
      <c r="T31" s="133">
        <f>IF(SER_hh_tesh_in!T31=0,0,SER_hh_tesh_in!T31/SER_summary!T$27)</f>
        <v>44.728468185138375</v>
      </c>
      <c r="U31" s="133">
        <f>IF(SER_hh_tesh_in!U31=0,0,SER_hh_tesh_in!U31/SER_summary!U$27)</f>
        <v>44.141518353724273</v>
      </c>
      <c r="V31" s="133">
        <f>IF(SER_hh_tesh_in!V31=0,0,SER_hh_tesh_in!V31/SER_summary!V$27)</f>
        <v>37.445872543563503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29.262472726657485</v>
      </c>
      <c r="D33" s="68">
        <f>IF(SER_hh_tesh_in!D33=0,0,SER_hh_tesh_in!D33/SER_summary!D$27)</f>
        <v>35.870986378201536</v>
      </c>
      <c r="E33" s="68">
        <f>IF(SER_hh_tesh_in!E33=0,0,SER_hh_tesh_in!E33/SER_summary!E$27)</f>
        <v>39.716115217803086</v>
      </c>
      <c r="F33" s="68">
        <f>IF(SER_hh_tesh_in!F33=0,0,SER_hh_tesh_in!F33/SER_summary!F$27)</f>
        <v>37.490576513761674</v>
      </c>
      <c r="G33" s="68">
        <f>IF(SER_hh_tesh_in!G33=0,0,SER_hh_tesh_in!G33/SER_summary!G$27)</f>
        <v>38.88036229399917</v>
      </c>
      <c r="H33" s="68">
        <f>IF(SER_hh_tesh_in!H33=0,0,SER_hh_tesh_in!H33/SER_summary!H$27)</f>
        <v>38.842712991713398</v>
      </c>
      <c r="I33" s="68">
        <f>IF(SER_hh_tesh_in!I33=0,0,SER_hh_tesh_in!I33/SER_summary!I$27)</f>
        <v>39.006025382416809</v>
      </c>
      <c r="J33" s="68">
        <f>IF(SER_hh_tesh_in!J33=0,0,SER_hh_tesh_in!J33/SER_summary!J$27)</f>
        <v>39.540159250959334</v>
      </c>
      <c r="K33" s="68">
        <f>IF(SER_hh_tesh_in!K33=0,0,SER_hh_tesh_in!K33/SER_summary!K$27)</f>
        <v>0</v>
      </c>
      <c r="L33" s="68">
        <f>IF(SER_hh_tesh_in!L33=0,0,SER_hh_tesh_in!L33/SER_summary!L$27)</f>
        <v>40.207558878436799</v>
      </c>
      <c r="M33" s="68">
        <f>IF(SER_hh_tesh_in!M33=0,0,SER_hh_tesh_in!M33/SER_summary!M$27)</f>
        <v>40.587012840315467</v>
      </c>
      <c r="N33" s="68">
        <f>IF(SER_hh_tesh_in!N33=0,0,SER_hh_tesh_in!N33/SER_summary!N$27)</f>
        <v>41.150144913103155</v>
      </c>
      <c r="O33" s="68">
        <f>IF(SER_hh_tesh_in!O33=0,0,SER_hh_tesh_in!O33/SER_summary!O$27)</f>
        <v>41.427540607601998</v>
      </c>
      <c r="P33" s="68">
        <f>IF(SER_hh_tesh_in!P33=0,0,SER_hh_tesh_in!P33/SER_summary!P$27)</f>
        <v>43.039884143138636</v>
      </c>
      <c r="Q33" s="68">
        <f>IF(SER_hh_tesh_in!Q33=0,0,SER_hh_tesh_in!Q33/SER_summary!Q$27)</f>
        <v>42.643732024684795</v>
      </c>
      <c r="R33" s="68">
        <f>IF(SER_hh_tesh_in!R33=0,0,SER_hh_tesh_in!R33/SER_summary!R$27)</f>
        <v>41.757806643595117</v>
      </c>
      <c r="S33" s="68">
        <f>IF(SER_hh_tesh_in!S33=0,0,SER_hh_tesh_in!S33/SER_summary!S$27)</f>
        <v>43.576516653997842</v>
      </c>
      <c r="T33" s="68">
        <f>IF(SER_hh_tesh_in!T33=0,0,SER_hh_tesh_in!T33/SER_summary!T$27)</f>
        <v>44.665955072612327</v>
      </c>
      <c r="U33" s="68">
        <f>IF(SER_hh_tesh_in!U33=0,0,SER_hh_tesh_in!U33/SER_summary!U$27)</f>
        <v>43.771508196511277</v>
      </c>
      <c r="V33" s="68">
        <f>IF(SER_hh_tesh_in!V33=0,0,SER_hh_tesh_in!V33/SER_summary!V$27)</f>
        <v>42.334095270151927</v>
      </c>
      <c r="W33" s="68">
        <f>IF(SER_hh_tesh_in!W33=0,0,SER_hh_tesh_in!W33/SER_summary!W$27)</f>
        <v>42.995096769882956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49.775896122240802</v>
      </c>
      <c r="D3" s="126">
        <f>IF(SER_hh_emih_in!D3=0,0,SER_hh_emih_in!D3/SER_summary!D$27)</f>
        <v>32.539048428235539</v>
      </c>
      <c r="E3" s="126">
        <f>IF(SER_hh_emih_in!E3=0,0,SER_hh_emih_in!E3/SER_summary!E$27)</f>
        <v>8.0659710978320671</v>
      </c>
      <c r="F3" s="126">
        <f>IF(SER_hh_emih_in!F3=0,0,SER_hh_emih_in!F3/SER_summary!F$27)</f>
        <v>17.145633621047494</v>
      </c>
      <c r="G3" s="126">
        <f>IF(SER_hh_emih_in!G3=0,0,SER_hh_emih_in!G3/SER_summary!G$27)</f>
        <v>28.009585666750677</v>
      </c>
      <c r="H3" s="126">
        <f>IF(SER_hh_emih_in!H3=0,0,SER_hh_emih_in!H3/SER_summary!H$27)</f>
        <v>42.462537311361451</v>
      </c>
      <c r="I3" s="126">
        <f>IF(SER_hh_emih_in!I3=0,0,SER_hh_emih_in!I3/SER_summary!I$27)</f>
        <v>34.451418792201125</v>
      </c>
      <c r="J3" s="126">
        <f>IF(SER_hh_emih_in!J3=0,0,SER_hh_emih_in!J3/SER_summary!J$27)</f>
        <v>48.693162159462709</v>
      </c>
      <c r="K3" s="126">
        <f>IF(SER_hh_emih_in!K3=0,0,SER_hh_emih_in!K3/SER_summary!K$27)</f>
        <v>71.103785317903785</v>
      </c>
      <c r="L3" s="126">
        <f>IF(SER_hh_emih_in!L3=0,0,SER_hh_emih_in!L3/SER_summary!L$27)</f>
        <v>80.270047362347341</v>
      </c>
      <c r="M3" s="126">
        <f>IF(SER_hh_emih_in!M3=0,0,SER_hh_emih_in!M3/SER_summary!M$27)</f>
        <v>46.62337100584115</v>
      </c>
      <c r="N3" s="126">
        <f>IF(SER_hh_emih_in!N3=0,0,SER_hh_emih_in!N3/SER_summary!N$27)</f>
        <v>48.872313733919071</v>
      </c>
      <c r="O3" s="126">
        <f>IF(SER_hh_emih_in!O3=0,0,SER_hh_emih_in!O3/SER_summary!O$27)</f>
        <v>53.509262333261354</v>
      </c>
      <c r="P3" s="126">
        <f>IF(SER_hh_emih_in!P3=0,0,SER_hh_emih_in!P3/SER_summary!P$27)</f>
        <v>44.996016991839547</v>
      </c>
      <c r="Q3" s="126">
        <f>IF(SER_hh_emih_in!Q3=0,0,SER_hh_emih_in!Q3/SER_summary!Q$27)</f>
        <v>50.386352921006853</v>
      </c>
      <c r="R3" s="126">
        <f>IF(SER_hh_emih_in!R3=0,0,SER_hh_emih_in!R3/SER_summary!R$27)</f>
        <v>36.008922125641291</v>
      </c>
      <c r="S3" s="126">
        <f>IF(SER_hh_emih_in!S3=0,0,SER_hh_emih_in!S3/SER_summary!S$27)</f>
        <v>36.800068525184123</v>
      </c>
      <c r="T3" s="126">
        <f>IF(SER_hh_emih_in!T3=0,0,SER_hh_emih_in!T3/SER_summary!T$27)</f>
        <v>18.417346682751937</v>
      </c>
      <c r="U3" s="126">
        <f>IF(SER_hh_emih_in!U3=0,0,SER_hh_emih_in!U3/SER_summary!U$27)</f>
        <v>13.388544524568804</v>
      </c>
      <c r="V3" s="126">
        <f>IF(SER_hh_emih_in!V3=0,0,SER_hh_emih_in!V3/SER_summary!V$27)</f>
        <v>8.4057695187669825</v>
      </c>
      <c r="W3" s="126">
        <f>IF(SER_hh_emih_in!W3=0,0,SER_hh_emih_in!W3/SER_summary!W$27)</f>
        <v>15.914152276761186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37.889509253172989</v>
      </c>
      <c r="D4" s="131">
        <f>IF(SER_hh_emih_in!D4=0,0,SER_hh_emih_in!D4/SER_summary!D$27)</f>
        <v>24.264276822684891</v>
      </c>
      <c r="E4" s="131">
        <f>IF(SER_hh_emih_in!E4=0,0,SER_hh_emih_in!E4/SER_summary!E$27)</f>
        <v>0</v>
      </c>
      <c r="F4" s="131">
        <f>IF(SER_hh_emih_in!F4=0,0,SER_hh_emih_in!F4/SER_summary!F$27)</f>
        <v>9.1282044239858671</v>
      </c>
      <c r="G4" s="131">
        <f>IF(SER_hh_emih_in!G4=0,0,SER_hh_emih_in!G4/SER_summary!G$27)</f>
        <v>20.366696614773872</v>
      </c>
      <c r="H4" s="131">
        <f>IF(SER_hh_emih_in!H4=0,0,SER_hh_emih_in!H4/SER_summary!H$27)</f>
        <v>35.416015272027032</v>
      </c>
      <c r="I4" s="131">
        <f>IF(SER_hh_emih_in!I4=0,0,SER_hh_emih_in!I4/SER_summary!I$27)</f>
        <v>28.271982177683789</v>
      </c>
      <c r="J4" s="131">
        <f>IF(SER_hh_emih_in!J4=0,0,SER_hh_emih_in!J4/SER_summary!J$27)</f>
        <v>41.281910518469026</v>
      </c>
      <c r="K4" s="131">
        <f>IF(SER_hh_emih_in!K4=0,0,SER_hh_emih_in!K4/SER_summary!K$27)</f>
        <v>47.566602904542371</v>
      </c>
      <c r="L4" s="131">
        <f>IF(SER_hh_emih_in!L4=0,0,SER_hh_emih_in!L4/SER_summary!L$27)</f>
        <v>58.161916636470444</v>
      </c>
      <c r="M4" s="131">
        <f>IF(SER_hh_emih_in!M4=0,0,SER_hh_emih_in!M4/SER_summary!M$27)</f>
        <v>35.922950678974502</v>
      </c>
      <c r="N4" s="131">
        <f>IF(SER_hh_emih_in!N4=0,0,SER_hh_emih_in!N4/SER_summary!N$27)</f>
        <v>40.44745054963191</v>
      </c>
      <c r="O4" s="131">
        <f>IF(SER_hh_emih_in!O4=0,0,SER_hh_emih_in!O4/SER_summary!O$27)</f>
        <v>46.415173677814153</v>
      </c>
      <c r="P4" s="131">
        <f>IF(SER_hh_emih_in!P4=0,0,SER_hh_emih_in!P4/SER_summary!P$27)</f>
        <v>38.249128020869556</v>
      </c>
      <c r="Q4" s="131">
        <f>IF(SER_hh_emih_in!Q4=0,0,SER_hh_emih_in!Q4/SER_summary!Q$27)</f>
        <v>43.024566139021474</v>
      </c>
      <c r="R4" s="131">
        <f>IF(SER_hh_emih_in!R4=0,0,SER_hh_emih_in!R4/SER_summary!R$27)</f>
        <v>28.563218271069182</v>
      </c>
      <c r="S4" s="131">
        <f>IF(SER_hh_emih_in!S4=0,0,SER_hh_emih_in!S4/SER_summary!S$27)</f>
        <v>28.572983473654954</v>
      </c>
      <c r="T4" s="131">
        <f>IF(SER_hh_emih_in!T4=0,0,SER_hh_emih_in!T4/SER_summary!T$27)</f>
        <v>11.16623097150358</v>
      </c>
      <c r="U4" s="131">
        <f>IF(SER_hh_emih_in!U4=0,0,SER_hh_emih_in!U4/SER_summary!U$27)</f>
        <v>6.7048680489076622</v>
      </c>
      <c r="V4" s="131">
        <f>IF(SER_hh_emih_in!V4=0,0,SER_hh_emih_in!V4/SER_summary!V$27)</f>
        <v>3.5263347747884266</v>
      </c>
      <c r="W4" s="131">
        <f>IF(SER_hh_emih_in!W4=0,0,SER_hh_emih_in!W4/SER_summary!W$27)</f>
        <v>8.376098581500754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123.57541168370675</v>
      </c>
      <c r="D7" s="133">
        <f>IF(SER_hh_emih_in!D7=0,0,SER_hh_emih_in!D7/SER_summary!D$27)</f>
        <v>114.9483660553705</v>
      </c>
      <c r="E7" s="133">
        <f>IF(SER_hh_emih_in!E7=0,0,SER_hh_emih_in!E7/SER_summary!E$27)</f>
        <v>0</v>
      </c>
      <c r="F7" s="133">
        <f>IF(SER_hh_emih_in!F7=0,0,SER_hh_emih_in!F7/SER_summary!F$27)</f>
        <v>117.38945589995342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71.832548570553186</v>
      </c>
      <c r="L7" s="133">
        <f>IF(SER_hh_emih_in!L7=0,0,SER_hh_emih_in!L7/SER_summary!L$27)</f>
        <v>122.20409740731294</v>
      </c>
      <c r="M7" s="133">
        <f>IF(SER_hh_emih_in!M7=0,0,SER_hh_emih_in!M7/SER_summary!M$27)</f>
        <v>79.507160426271071</v>
      </c>
      <c r="N7" s="133">
        <f>IF(SER_hh_emih_in!N7=0,0,SER_hh_emih_in!N7/SER_summary!N$27)</f>
        <v>74.215734570454316</v>
      </c>
      <c r="O7" s="133">
        <f>IF(SER_hh_emih_in!O7=0,0,SER_hh_emih_in!O7/SER_summary!O$27)</f>
        <v>77.218787626322666</v>
      </c>
      <c r="P7" s="133">
        <f>IF(SER_hh_emih_in!P7=0,0,SER_hh_emih_in!P7/SER_summary!P$27)</f>
        <v>55.190377694806799</v>
      </c>
      <c r="Q7" s="133">
        <f>IF(SER_hh_emih_in!Q7=0,0,SER_hh_emih_in!Q7/SER_summary!Q$27)</f>
        <v>65.732614319763812</v>
      </c>
      <c r="R7" s="133">
        <f>IF(SER_hh_emih_in!R7=0,0,SER_hh_emih_in!R7/SER_summary!R$27)</f>
        <v>53.787390832038795</v>
      </c>
      <c r="S7" s="133">
        <f>IF(SER_hh_emih_in!S7=0,0,SER_hh_emih_in!S7/SER_summary!S$27)</f>
        <v>66.404299016901433</v>
      </c>
      <c r="T7" s="133">
        <f>IF(SER_hh_emih_in!T7=0,0,SER_hh_emih_in!T7/SER_summary!T$27)</f>
        <v>57.280417665255264</v>
      </c>
      <c r="U7" s="133">
        <f>IF(SER_hh_emih_in!U7=0,0,SER_hh_emih_in!U7/SER_summary!U$27)</f>
        <v>62.441414983216809</v>
      </c>
      <c r="V7" s="133">
        <f>IF(SER_hh_emih_in!V7=0,0,SER_hh_emih_in!V7/SER_summary!V$27)</f>
        <v>50.333169975117009</v>
      </c>
      <c r="W7" s="133">
        <f>IF(SER_hh_emih_in!W7=0,0,SER_hh_emih_in!W7/SER_summary!W$27)</f>
        <v>32.03521261127019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64.719439073072238</v>
      </c>
      <c r="D9" s="133">
        <f>IF(SER_hh_emih_in!D9=0,0,SER_hh_emih_in!D9/SER_summary!D$27)</f>
        <v>72.105581665797288</v>
      </c>
      <c r="E9" s="133">
        <f>IF(SER_hh_emih_in!E9=0,0,SER_hh_emih_in!E9/SER_summary!E$27)</f>
        <v>0</v>
      </c>
      <c r="F9" s="133">
        <f>IF(SER_hh_emih_in!F9=0,0,SER_hh_emih_in!F9/SER_summary!F$27)</f>
        <v>73.917357664817288</v>
      </c>
      <c r="G9" s="133">
        <f>IF(SER_hh_emih_in!G9=0,0,SER_hh_emih_in!G9/SER_summary!G$27)</f>
        <v>61.935033420561609</v>
      </c>
      <c r="H9" s="133">
        <f>IF(SER_hh_emih_in!H9=0,0,SER_hh_emih_in!H9/SER_summary!H$27)</f>
        <v>74.350981029455326</v>
      </c>
      <c r="I9" s="133">
        <f>IF(SER_hh_emih_in!I9=0,0,SER_hh_emih_in!I9/SER_summary!I$27)</f>
        <v>57.97835456247924</v>
      </c>
      <c r="J9" s="133">
        <f>IF(SER_hh_emih_in!J9=0,0,SER_hh_emih_in!J9/SER_summary!J$27)</f>
        <v>68.419498192862605</v>
      </c>
      <c r="K9" s="133">
        <f>IF(SER_hh_emih_in!K9=0,0,SER_hh_emih_in!K9/SER_summary!K$27)</f>
        <v>68.738158830055781</v>
      </c>
      <c r="L9" s="133">
        <f>IF(SER_hh_emih_in!L9=0,0,SER_hh_emih_in!L9/SER_summary!L$27)</f>
        <v>79.004804141542166</v>
      </c>
      <c r="M9" s="133">
        <f>IF(SER_hh_emih_in!M9=0,0,SER_hh_emih_in!M9/SER_summary!M$27)</f>
        <v>31.688846776638833</v>
      </c>
      <c r="N9" s="133">
        <f>IF(SER_hh_emih_in!N9=0,0,SER_hh_emih_in!N9/SER_summary!N$27)</f>
        <v>55.514891049249215</v>
      </c>
      <c r="O9" s="133">
        <f>IF(SER_hh_emih_in!O9=0,0,SER_hh_emih_in!O9/SER_summary!O$27)</f>
        <v>51.122347268051925</v>
      </c>
      <c r="P9" s="133">
        <f>IF(SER_hh_emih_in!P9=0,0,SER_hh_emih_in!P9/SER_summary!P$27)</f>
        <v>36.968283914155066</v>
      </c>
      <c r="Q9" s="133">
        <f>IF(SER_hh_emih_in!Q9=0,0,SER_hh_emih_in!Q9/SER_summary!Q$27)</f>
        <v>40.560153603461735</v>
      </c>
      <c r="R9" s="133">
        <f>IF(SER_hh_emih_in!R9=0,0,SER_hh_emih_in!R9/SER_summary!R$27)</f>
        <v>44.857370964449302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40.347246574656772</v>
      </c>
      <c r="V9" s="133">
        <f>IF(SER_hh_emih_in!V9=0,0,SER_hh_emih_in!V9/SER_summary!V$27)</f>
        <v>0</v>
      </c>
      <c r="W9" s="133">
        <f>IF(SER_hh_emih_in!W9=0,0,SER_hh_emih_in!W9/SER_summary!W$27)</f>
        <v>32.004169267714239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3.2040881189906334E-2</v>
      </c>
      <c r="D16" s="131">
        <f>IF(SER_hh_emih_in!D16=0,0,SER_hh_emih_in!D16/SER_summary!D$27)</f>
        <v>4.7995791675871168E-2</v>
      </c>
      <c r="E16" s="131">
        <f>IF(SER_hh_emih_in!E16=0,0,SER_hh_emih_in!E16/SER_summary!E$27)</f>
        <v>0</v>
      </c>
      <c r="F16" s="131">
        <f>IF(SER_hh_emih_in!F16=0,0,SER_hh_emih_in!F16/SER_summary!F$27)</f>
        <v>9.8784102345282496E-2</v>
      </c>
      <c r="G16" s="131">
        <f>IF(SER_hh_emih_in!G16=0,0,SER_hh_emih_in!G16/SER_summary!G$27)</f>
        <v>2.376644350723087E-2</v>
      </c>
      <c r="H16" s="131">
        <f>IF(SER_hh_emih_in!H16=0,0,SER_hh_emih_in!H16/SER_summary!H$27)</f>
        <v>4.8962837949035838E-2</v>
      </c>
      <c r="I16" s="131">
        <f>IF(SER_hh_emih_in!I16=0,0,SER_hh_emih_in!I16/SER_summary!I$27)</f>
        <v>7.9800783317719851E-2</v>
      </c>
      <c r="J16" s="131">
        <f>IF(SER_hh_emih_in!J16=0,0,SER_hh_emih_in!J16/SER_summary!J$27)</f>
        <v>3.8609574853132739E-2</v>
      </c>
      <c r="K16" s="131">
        <f>IF(SER_hh_emih_in!K16=0,0,SER_hh_emih_in!K16/SER_summary!K$27)</f>
        <v>6.7014934512380622E-2</v>
      </c>
      <c r="L16" s="131">
        <f>IF(SER_hh_emih_in!L16=0,0,SER_hh_emih_in!L16/SER_summary!L$27)</f>
        <v>4.6681661834731367E-2</v>
      </c>
      <c r="M16" s="131">
        <f>IF(SER_hh_emih_in!M16=0,0,SER_hh_emih_in!M16/SER_summary!M$27)</f>
        <v>6.2719340368799489E-2</v>
      </c>
      <c r="N16" s="131">
        <f>IF(SER_hh_emih_in!N16=0,0,SER_hh_emih_in!N16/SER_summary!N$27)</f>
        <v>6.167910941338451E-2</v>
      </c>
      <c r="O16" s="131">
        <f>IF(SER_hh_emih_in!O16=0,0,SER_hh_emih_in!O16/SER_summary!O$27)</f>
        <v>0.10878082466038637</v>
      </c>
      <c r="P16" s="131">
        <f>IF(SER_hh_emih_in!P16=0,0,SER_hh_emih_in!P16/SER_summary!P$27)</f>
        <v>0.17462454778532657</v>
      </c>
      <c r="Q16" s="131">
        <f>IF(SER_hh_emih_in!Q16=0,0,SER_hh_emih_in!Q16/SER_summary!Q$27)</f>
        <v>0.15130773083389623</v>
      </c>
      <c r="R16" s="131">
        <f>IF(SER_hh_emih_in!R16=0,0,SER_hh_emih_in!R16/SER_summary!R$27)</f>
        <v>0.29067115211660549</v>
      </c>
      <c r="S16" s="131">
        <f>IF(SER_hh_emih_in!S16=0,0,SER_hh_emih_in!S16/SER_summary!S$27)</f>
        <v>0.16017751402501401</v>
      </c>
      <c r="T16" s="131">
        <f>IF(SER_hh_emih_in!T16=0,0,SER_hh_emih_in!T16/SER_summary!T$27)</f>
        <v>8.3760435901995667E-2</v>
      </c>
      <c r="U16" s="131">
        <f>IF(SER_hh_emih_in!U16=0,0,SER_hh_emih_in!U16/SER_summary!U$27)</f>
        <v>0.1445764816420399</v>
      </c>
      <c r="V16" s="131">
        <f>IF(SER_hh_emih_in!V16=0,0,SER_hh_emih_in!V16/SER_summary!V$27)</f>
        <v>0.15660197395084935</v>
      </c>
      <c r="W16" s="131">
        <f>IF(SER_hh_emih_in!W16=0,0,SER_hh_emih_in!W16/SER_summary!W$27)</f>
        <v>0.11176874740894494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5.9372072414118868</v>
      </c>
      <c r="D17" s="133">
        <f>IF(SER_hh_emih_in!D17=0,0,SER_hh_emih_in!D17/SER_summary!D$27)</f>
        <v>5.9622227699397552</v>
      </c>
      <c r="E17" s="133">
        <f>IF(SER_hh_emih_in!E17=0,0,SER_hh_emih_in!E17/SER_summary!E$27)</f>
        <v>0</v>
      </c>
      <c r="F17" s="133">
        <f>IF(SER_hh_emih_in!F17=0,0,SER_hh_emih_in!F17/SER_summary!F$27)</f>
        <v>5.7003925950327288</v>
      </c>
      <c r="G17" s="133">
        <f>IF(SER_hh_emih_in!G17=0,0,SER_hh_emih_in!G17/SER_summary!G$27)</f>
        <v>5.7945895382786006</v>
      </c>
      <c r="H17" s="133">
        <f>IF(SER_hh_emih_in!H17=0,0,SER_hh_emih_in!H17/SER_summary!H$27)</f>
        <v>6.7201621765328508</v>
      </c>
      <c r="I17" s="133">
        <f>IF(SER_hh_emih_in!I17=0,0,SER_hh_emih_in!I17/SER_summary!I$27)</f>
        <v>5.5011762596864511</v>
      </c>
      <c r="J17" s="133">
        <f>IF(SER_hh_emih_in!J17=0,0,SER_hh_emih_in!J17/SER_summary!J$27)</f>
        <v>5.3907525753799277</v>
      </c>
      <c r="K17" s="133">
        <f>IF(SER_hh_emih_in!K17=0,0,SER_hh_emih_in!K17/SER_summary!K$27)</f>
        <v>6.2606532835366648</v>
      </c>
      <c r="L17" s="133">
        <f>IF(SER_hh_emih_in!L17=0,0,SER_hh_emih_in!L17/SER_summary!L$27)</f>
        <v>5.5812498576383209</v>
      </c>
      <c r="M17" s="133">
        <f>IF(SER_hh_emih_in!M17=0,0,SER_hh_emih_in!M17/SER_summary!M$27)</f>
        <v>5.0739382031052171</v>
      </c>
      <c r="N17" s="133">
        <f>IF(SER_hh_emih_in!N17=0,0,SER_hh_emih_in!N17/SER_summary!N$27)</f>
        <v>5.0767324895596024</v>
      </c>
      <c r="O17" s="133">
        <f>IF(SER_hh_emih_in!O17=0,0,SER_hh_emih_in!O17/SER_summary!O$27)</f>
        <v>4.9956292742432025</v>
      </c>
      <c r="P17" s="133">
        <f>IF(SER_hh_emih_in!P17=0,0,SER_hh_emih_in!P17/SER_summary!P$27)</f>
        <v>4.6222817990206471</v>
      </c>
      <c r="Q17" s="133">
        <f>IF(SER_hh_emih_in!Q17=0,0,SER_hh_emih_in!Q17/SER_summary!Q$27)</f>
        <v>4.9549548873210894</v>
      </c>
      <c r="R17" s="133">
        <f>IF(SER_hh_emih_in!R17=0,0,SER_hh_emih_in!R17/SER_summary!R$27)</f>
        <v>4.3135658865959634</v>
      </c>
      <c r="S17" s="133">
        <f>IF(SER_hh_emih_in!S17=0,0,SER_hh_emih_in!S17/SER_summary!S$27)</f>
        <v>4.1745943595165045</v>
      </c>
      <c r="T17" s="133">
        <f>IF(SER_hh_emih_in!T17=0,0,SER_hh_emih_in!T17/SER_summary!T$27)</f>
        <v>4.2034215772293564</v>
      </c>
      <c r="U17" s="133">
        <f>IF(SER_hh_emih_in!U17=0,0,SER_hh_emih_in!U17/SER_summary!U$27)</f>
        <v>3.8847744551066858</v>
      </c>
      <c r="V17" s="133">
        <f>IF(SER_hh_emih_in!V17=0,0,SER_hh_emih_in!V17/SER_summary!V$27)</f>
        <v>3.5678544579655425</v>
      </c>
      <c r="W17" s="133">
        <f>IF(SER_hh_emih_in!W17=0,0,SER_hh_emih_in!W17/SER_summary!W$27)</f>
        <v>2.9049743393678558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4.7193688222290993</v>
      </c>
      <c r="D19" s="131">
        <f>IF(SER_hh_emih_in!D19=0,0,SER_hh_emih_in!D19/SER_summary!D$27)</f>
        <v>4.331445524464872</v>
      </c>
      <c r="E19" s="131">
        <f>IF(SER_hh_emih_in!E19=0,0,SER_hh_emih_in!E19/SER_summary!E$27)</f>
        <v>4.4440472504668733</v>
      </c>
      <c r="F19" s="131">
        <f>IF(SER_hh_emih_in!F19=0,0,SER_hh_emih_in!F19/SER_summary!F$27)</f>
        <v>4.5749047209790792</v>
      </c>
      <c r="G19" s="131">
        <f>IF(SER_hh_emih_in!G19=0,0,SER_hh_emih_in!G19/SER_summary!G$27)</f>
        <v>3.4575788083155383</v>
      </c>
      <c r="H19" s="131">
        <f>IF(SER_hh_emih_in!H19=0,0,SER_hh_emih_in!H19/SER_summary!H$27)</f>
        <v>2.2416890966395115</v>
      </c>
      <c r="I19" s="131">
        <f>IF(SER_hh_emih_in!I19=0,0,SER_hh_emih_in!I19/SER_summary!I$27)</f>
        <v>2.4520266755130229</v>
      </c>
      <c r="J19" s="131">
        <f>IF(SER_hh_emih_in!J19=0,0,SER_hh_emih_in!J19/SER_summary!J$27)</f>
        <v>4.0446782191691684</v>
      </c>
      <c r="K19" s="131">
        <f>IF(SER_hh_emih_in!K19=0,0,SER_hh_emih_in!K19/SER_summary!K$27)</f>
        <v>3.6316501223490962</v>
      </c>
      <c r="L19" s="131">
        <f>IF(SER_hh_emih_in!L19=0,0,SER_hh_emih_in!L19/SER_summary!L$27)</f>
        <v>8.4870866862049485</v>
      </c>
      <c r="M19" s="131">
        <f>IF(SER_hh_emih_in!M19=0,0,SER_hh_emih_in!M19/SER_summary!M$27)</f>
        <v>3.8944561382072211</v>
      </c>
      <c r="N19" s="131">
        <f>IF(SER_hh_emih_in!N19=0,0,SER_hh_emih_in!N19/SER_summary!N$27)</f>
        <v>5.7766579751260867</v>
      </c>
      <c r="O19" s="131">
        <f>IF(SER_hh_emih_in!O19=0,0,SER_hh_emih_in!O19/SER_summary!O$27)</f>
        <v>4.725545383164012</v>
      </c>
      <c r="P19" s="131">
        <f>IF(SER_hh_emih_in!P19=0,0,SER_hh_emih_in!P19/SER_summary!P$27)</f>
        <v>5.0714595529574709</v>
      </c>
      <c r="Q19" s="131">
        <f>IF(SER_hh_emih_in!Q19=0,0,SER_hh_emih_in!Q19/SER_summary!Q$27)</f>
        <v>4.8246921935733207</v>
      </c>
      <c r="R19" s="131">
        <f>IF(SER_hh_emih_in!R19=0,0,SER_hh_emih_in!R19/SER_summary!R$27)</f>
        <v>4.6452973539978233</v>
      </c>
      <c r="S19" s="131">
        <f>IF(SER_hh_emih_in!S19=0,0,SER_hh_emih_in!S19/SER_summary!S$27)</f>
        <v>6.264602390839018</v>
      </c>
      <c r="T19" s="131">
        <f>IF(SER_hh_emih_in!T19=0,0,SER_hh_emih_in!T19/SER_summary!T$27)</f>
        <v>3.8151423509467319</v>
      </c>
      <c r="U19" s="131">
        <f>IF(SER_hh_emih_in!U19=0,0,SER_hh_emih_in!U19/SER_summary!U$27)</f>
        <v>3.4285136909935425</v>
      </c>
      <c r="V19" s="131">
        <f>IF(SER_hh_emih_in!V19=0,0,SER_hh_emih_in!V19/SER_summary!V$27)</f>
        <v>0.98291078776383023</v>
      </c>
      <c r="W19" s="131">
        <f>IF(SER_hh_emih_in!W19=0,0,SER_hh_emih_in!W19/SER_summary!W$27)</f>
        <v>2.2336556615575827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15.152543810750835</v>
      </c>
      <c r="D22" s="133">
        <f>IF(SER_hh_emih_in!D22=0,0,SER_hh_emih_in!D22/SER_summary!D$27)</f>
        <v>15.349228569796821</v>
      </c>
      <c r="E22" s="133">
        <f>IF(SER_hh_emih_in!E22=0,0,SER_hh_emih_in!E22/SER_summary!E$27)</f>
        <v>15.28693775209217</v>
      </c>
      <c r="F22" s="133">
        <f>IF(SER_hh_emih_in!F22=0,0,SER_hh_emih_in!F22/SER_summary!F$27)</f>
        <v>15.706727692279177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12.506644977815151</v>
      </c>
      <c r="L22" s="133">
        <f>IF(SER_hh_emih_in!L22=0,0,SER_hh_emih_in!L22/SER_summary!L$27)</f>
        <v>16.916282721654511</v>
      </c>
      <c r="M22" s="133">
        <f>IF(SER_hh_emih_in!M22=0,0,SER_hh_emih_in!M22/SER_summary!M$27)</f>
        <v>11.112872102668321</v>
      </c>
      <c r="N22" s="133">
        <f>IF(SER_hh_emih_in!N22=0,0,SER_hh_emih_in!N22/SER_summary!N$27)</f>
        <v>14.312414697484394</v>
      </c>
      <c r="O22" s="133">
        <f>IF(SER_hh_emih_in!O22=0,0,SER_hh_emih_in!O22/SER_summary!O$27)</f>
        <v>12.838341072788893</v>
      </c>
      <c r="P22" s="133">
        <f>IF(SER_hh_emih_in!P22=0,0,SER_hh_emih_in!P22/SER_summary!P$27)</f>
        <v>12.315302194512309</v>
      </c>
      <c r="Q22" s="133">
        <f>IF(SER_hh_emih_in!Q22=0,0,SER_hh_emih_in!Q22/SER_summary!Q$27)</f>
        <v>10.817061782634601</v>
      </c>
      <c r="R22" s="133">
        <f>IF(SER_hh_emih_in!R22=0,0,SER_hh_emih_in!R22/SER_summary!R$27)</f>
        <v>8.9900003847979342</v>
      </c>
      <c r="S22" s="133">
        <f>IF(SER_hh_emih_in!S22=0,0,SER_hh_emih_in!S22/SER_summary!S$27)</f>
        <v>11.446761197757663</v>
      </c>
      <c r="T22" s="133">
        <f>IF(SER_hh_emih_in!T22=0,0,SER_hh_emih_in!T22/SER_summary!T$27)</f>
        <v>10.594576058824968</v>
      </c>
      <c r="U22" s="133">
        <f>IF(SER_hh_emih_in!U22=0,0,SER_hh_emih_in!U22/SER_summary!U$27)</f>
        <v>10.634487524077343</v>
      </c>
      <c r="V22" s="133">
        <f>IF(SER_hh_emih_in!V22=0,0,SER_hh_emih_in!V22/SER_summary!V$27)</f>
        <v>8.256786990606642</v>
      </c>
      <c r="W22" s="133">
        <f>IF(SER_hh_emih_in!W22=0,0,SER_hh_emih_in!W22/SER_summary!W$27)</f>
        <v>9.1490398413176397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10.549983291389907</v>
      </c>
      <c r="D23" s="133">
        <f>IF(SER_hh_emih_in!D23=0,0,SER_hh_emih_in!D23/SER_summary!D$27)</f>
        <v>10.301836032993755</v>
      </c>
      <c r="E23" s="133">
        <f>IF(SER_hh_emih_in!E23=0,0,SER_hh_emih_in!E23/SER_summary!E$27)</f>
        <v>10.612318362824984</v>
      </c>
      <c r="F23" s="133">
        <f>IF(SER_hh_emih_in!F23=0,0,SER_hh_emih_in!F23/SER_summary!F$27)</f>
        <v>10.227663076879013</v>
      </c>
      <c r="G23" s="133">
        <f>IF(SER_hh_emih_in!G23=0,0,SER_hh_emih_in!G23/SER_summary!G$27)</f>
        <v>10.142929728005617</v>
      </c>
      <c r="H23" s="133">
        <f>IF(SER_hh_emih_in!H23=0,0,SER_hh_emih_in!H23/SER_summary!H$27)</f>
        <v>9.7710564469218859</v>
      </c>
      <c r="I23" s="133">
        <f>IF(SER_hh_emih_in!I23=0,0,SER_hh_emih_in!I23/SER_summary!I$27)</f>
        <v>9.3611790767236407</v>
      </c>
      <c r="J23" s="133">
        <f>IF(SER_hh_emih_in!J23=0,0,SER_hh_emih_in!J23/SER_summary!J$27)</f>
        <v>10.317466757941684</v>
      </c>
      <c r="K23" s="133">
        <f>IF(SER_hh_emih_in!K23=0,0,SER_hh_emih_in!K23/SER_summary!K$27)</f>
        <v>9.1793391218145164</v>
      </c>
      <c r="L23" s="133">
        <f>IF(SER_hh_emih_in!L23=0,0,SER_hh_emih_in!L23/SER_summary!L$27)</f>
        <v>9.9582403601052754</v>
      </c>
      <c r="M23" s="133">
        <f>IF(SER_hh_emih_in!M23=0,0,SER_hh_emih_in!M23/SER_summary!M$27)</f>
        <v>9.1876074254380988</v>
      </c>
      <c r="N23" s="133">
        <f>IF(SER_hh_emih_in!N23=0,0,SER_hh_emih_in!N23/SER_summary!N$27)</f>
        <v>8.5475813273788734</v>
      </c>
      <c r="O23" s="133">
        <f>IF(SER_hh_emih_in!O23=0,0,SER_hh_emih_in!O23/SER_summary!O$27)</f>
        <v>8.3113175455139849</v>
      </c>
      <c r="P23" s="133">
        <f>IF(SER_hh_emih_in!P23=0,0,SER_hh_emih_in!P23/SER_summary!P$27)</f>
        <v>8.3333239930086815</v>
      </c>
      <c r="Q23" s="133">
        <f>IF(SER_hh_emih_in!Q23=0,0,SER_hh_emih_in!Q23/SER_summary!Q$27)</f>
        <v>9.0555047326322082</v>
      </c>
      <c r="R23" s="133">
        <f>IF(SER_hh_emih_in!R23=0,0,SER_hh_emih_in!R23/SER_summary!R$27)</f>
        <v>9.3807469268439192</v>
      </c>
      <c r="S23" s="133">
        <f>IF(SER_hh_emih_in!S23=0,0,SER_hh_emih_in!S23/SER_summary!S$27)</f>
        <v>6.7224846002968972</v>
      </c>
      <c r="T23" s="133">
        <f>IF(SER_hh_emih_in!T23=0,0,SER_hh_emih_in!T23/SER_summary!T$27)</f>
        <v>0</v>
      </c>
      <c r="U23" s="133">
        <f>IF(SER_hh_emih_in!U23=0,0,SER_hh_emih_in!U23/SER_summary!U$27)</f>
        <v>7.5341423003373356</v>
      </c>
      <c r="V23" s="133">
        <f>IF(SER_hh_emih_in!V23=0,0,SER_hh_emih_in!V23/SER_summary!V$27)</f>
        <v>0</v>
      </c>
      <c r="W23" s="133">
        <f>IF(SER_hh_emih_in!W23=0,0,SER_hh_emih_in!W23/SER_summary!W$27)</f>
        <v>7.8984200265253861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7.1349771656487979</v>
      </c>
      <c r="D29" s="131">
        <f>IF(SER_hh_emih_in!D29=0,0,SER_hh_emih_in!D29/SER_summary!D$27)</f>
        <v>3.8953302894098987</v>
      </c>
      <c r="E29" s="131">
        <f>IF(SER_hh_emih_in!E29=0,0,SER_hh_emih_in!E29/SER_summary!E$27)</f>
        <v>3.6219238473651929</v>
      </c>
      <c r="F29" s="131">
        <f>IF(SER_hh_emih_in!F29=0,0,SER_hh_emih_in!F29/SER_summary!F$27)</f>
        <v>3.3437403737372628</v>
      </c>
      <c r="G29" s="131">
        <f>IF(SER_hh_emih_in!G29=0,0,SER_hh_emih_in!G29/SER_summary!G$27)</f>
        <v>4.1615438001540328</v>
      </c>
      <c r="H29" s="131">
        <f>IF(SER_hh_emih_in!H29=0,0,SER_hh_emih_in!H29/SER_summary!H$27)</f>
        <v>4.7558701047458722</v>
      </c>
      <c r="I29" s="131">
        <f>IF(SER_hh_emih_in!I29=0,0,SER_hh_emih_in!I29/SER_summary!I$27)</f>
        <v>3.6476091556865842</v>
      </c>
      <c r="J29" s="131">
        <f>IF(SER_hh_emih_in!J29=0,0,SER_hh_emih_in!J29/SER_summary!J$27)</f>
        <v>3.327963846971385</v>
      </c>
      <c r="K29" s="131">
        <f>IF(SER_hh_emih_in!K29=0,0,SER_hh_emih_in!K29/SER_summary!K$27)</f>
        <v>19.838517356499938</v>
      </c>
      <c r="L29" s="131">
        <f>IF(SER_hh_emih_in!L29=0,0,SER_hh_emih_in!L29/SER_summary!L$27)</f>
        <v>13.574362377837209</v>
      </c>
      <c r="M29" s="131">
        <f>IF(SER_hh_emih_in!M29=0,0,SER_hh_emih_in!M29/SER_summary!M$27)</f>
        <v>6.7432448482906215</v>
      </c>
      <c r="N29" s="131">
        <f>IF(SER_hh_emih_in!N29=0,0,SER_hh_emih_in!N29/SER_summary!N$27)</f>
        <v>2.586526099747696</v>
      </c>
      <c r="O29" s="131">
        <f>IF(SER_hh_emih_in!O29=0,0,SER_hh_emih_in!O29/SER_summary!O$27)</f>
        <v>2.2597624476227982</v>
      </c>
      <c r="P29" s="131">
        <f>IF(SER_hh_emih_in!P29=0,0,SER_hh_emih_in!P29/SER_summary!P$27)</f>
        <v>1.5008048702272034</v>
      </c>
      <c r="Q29" s="131">
        <f>IF(SER_hh_emih_in!Q29=0,0,SER_hh_emih_in!Q29/SER_summary!Q$27)</f>
        <v>2.385786857578164</v>
      </c>
      <c r="R29" s="131">
        <f>IF(SER_hh_emih_in!R29=0,0,SER_hh_emih_in!R29/SER_summary!R$27)</f>
        <v>2.5097353484576828</v>
      </c>
      <c r="S29" s="131">
        <f>IF(SER_hh_emih_in!S29=0,0,SER_hh_emih_in!S29/SER_summary!S$27)</f>
        <v>1.8023051466651414</v>
      </c>
      <c r="T29" s="131">
        <f>IF(SER_hh_emih_in!T29=0,0,SER_hh_emih_in!T29/SER_summary!T$27)</f>
        <v>3.352212924399633</v>
      </c>
      <c r="U29" s="131">
        <f>IF(SER_hh_emih_in!U29=0,0,SER_hh_emih_in!U29/SER_summary!U$27)</f>
        <v>3.1105863030255625</v>
      </c>
      <c r="V29" s="131">
        <f>IF(SER_hh_emih_in!V29=0,0,SER_hh_emih_in!V29/SER_summary!V$27)</f>
        <v>3.7399219822638763</v>
      </c>
      <c r="W29" s="131">
        <f>IF(SER_hh_emih_in!W29=0,0,SER_hh_emih_in!W29/SER_summary!W$27)</f>
        <v>5.1926292862939043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19.339457882404957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21.245864350809857</v>
      </c>
      <c r="L30" s="133">
        <f>IF(SER_hh_emih_in!L30=0,0,SER_hh_emih_in!L30/SER_summary!L$27)</f>
        <v>17.313641594020538</v>
      </c>
      <c r="M30" s="133">
        <f>IF(SER_hh_emih_in!M30=0,0,SER_hh_emih_in!M30/SER_summary!M$27)</f>
        <v>15.669694519033676</v>
      </c>
      <c r="N30" s="133">
        <f>IF(SER_hh_emih_in!N30=0,0,SER_hh_emih_in!N30/SER_summary!N$27)</f>
        <v>15.778931929828536</v>
      </c>
      <c r="O30" s="133">
        <f>IF(SER_hh_emih_in!O30=0,0,SER_hh_emih_in!O30/SER_summary!O$27)</f>
        <v>16.356874803964427</v>
      </c>
      <c r="P30" s="133">
        <f>IF(SER_hh_emih_in!P30=0,0,SER_hh_emih_in!P30/SER_summary!P$27)</f>
        <v>14.86002706454517</v>
      </c>
      <c r="Q30" s="133">
        <f>IF(SER_hh_emih_in!Q30=0,0,SER_hh_emih_in!Q30/SER_summary!Q$27)</f>
        <v>16.138070333997991</v>
      </c>
      <c r="R30" s="133">
        <f>IF(SER_hh_emih_in!R30=0,0,SER_hh_emih_in!R30/SER_summary!R$27)</f>
        <v>17.437242179185741</v>
      </c>
      <c r="S30" s="133">
        <f>IF(SER_hh_emih_in!S30=0,0,SER_hh_emih_in!S30/SER_summary!S$27)</f>
        <v>15.888162652919451</v>
      </c>
      <c r="T30" s="133">
        <f>IF(SER_hh_emih_in!T30=0,0,SER_hh_emih_in!T30/SER_summary!T$27)</f>
        <v>13.958486034584833</v>
      </c>
      <c r="U30" s="133">
        <f>IF(SER_hh_emih_in!U30=0,0,SER_hh_emih_in!U30/SER_summary!U$27)</f>
        <v>17.397468400493178</v>
      </c>
      <c r="V30" s="133">
        <f>IF(SER_hh_emih_in!V30=0,0,SER_hh_emih_in!V30/SER_summary!V$27)</f>
        <v>13.421556485807935</v>
      </c>
      <c r="W30" s="133">
        <f>IF(SER_hh_emih_in!W30=0,0,SER_hh_emih_in!W30/SER_summary!W$27)</f>
        <v>21.185774768642712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11.808361038556731</v>
      </c>
      <c r="D31" s="133">
        <f>IF(SER_hh_emih_in!D31=0,0,SER_hh_emih_in!D31/SER_summary!D$27)</f>
        <v>12.28970466627068</v>
      </c>
      <c r="E31" s="133">
        <f>IF(SER_hh_emih_in!E31=0,0,SER_hh_emih_in!E31/SER_summary!E$27)</f>
        <v>12.487093639865938</v>
      </c>
      <c r="F31" s="133">
        <f>IF(SER_hh_emih_in!F31=0,0,SER_hh_emih_in!F31/SER_summary!F$27)</f>
        <v>12.81789773173789</v>
      </c>
      <c r="G31" s="133">
        <f>IF(SER_hh_emih_in!G31=0,0,SER_hh_emih_in!G31/SER_summary!G$27)</f>
        <v>12.558908298265115</v>
      </c>
      <c r="H31" s="133">
        <f>IF(SER_hh_emih_in!H31=0,0,SER_hh_emih_in!H31/SER_summary!H$27)</f>
        <v>13.174422501627788</v>
      </c>
      <c r="I31" s="133">
        <f>IF(SER_hh_emih_in!I31=0,0,SER_hh_emih_in!I31/SER_summary!I$27)</f>
        <v>13.24181929815604</v>
      </c>
      <c r="J31" s="133">
        <f>IF(SER_hh_emih_in!J31=0,0,SER_hh_emih_in!J31/SER_summary!J$27)</f>
        <v>13.498570823939456</v>
      </c>
      <c r="K31" s="133">
        <f>IF(SER_hh_emih_in!K31=0,0,SER_hh_emih_in!K31/SER_summary!K$27)</f>
        <v>12.898376058621816</v>
      </c>
      <c r="L31" s="133">
        <f>IF(SER_hh_emih_in!L31=0,0,SER_hh_emih_in!L31/SER_summary!L$27)</f>
        <v>13.253421682716258</v>
      </c>
      <c r="M31" s="133">
        <f>IF(SER_hh_emih_in!M31=0,0,SER_hh_emih_in!M31/SER_summary!M$27)</f>
        <v>13.85344320342848</v>
      </c>
      <c r="N31" s="133">
        <f>IF(SER_hh_emih_in!N31=0,0,SER_hh_emih_in!N31/SER_summary!N$27)</f>
        <v>14.097229257876121</v>
      </c>
      <c r="O31" s="133">
        <f>IF(SER_hh_emih_in!O31=0,0,SER_hh_emih_in!O31/SER_summary!O$27)</f>
        <v>13.790118777775064</v>
      </c>
      <c r="P31" s="133">
        <f>IF(SER_hh_emih_in!P31=0,0,SER_hh_emih_in!P31/SER_summary!P$27)</f>
        <v>13.701383393513749</v>
      </c>
      <c r="Q31" s="133">
        <f>IF(SER_hh_emih_in!Q31=0,0,SER_hh_emih_in!Q31/SER_summary!Q$27)</f>
        <v>14.011527683963457</v>
      </c>
      <c r="R31" s="133">
        <f>IF(SER_hh_emih_in!R31=0,0,SER_hh_emih_in!R31/SER_summary!R$27)</f>
        <v>14.201066374127331</v>
      </c>
      <c r="S31" s="133">
        <f>IF(SER_hh_emih_in!S31=0,0,SER_hh_emih_in!S31/SER_summary!S$27)</f>
        <v>13.663983922885887</v>
      </c>
      <c r="T31" s="133">
        <f>IF(SER_hh_emih_in!T31=0,0,SER_hh_emih_in!T31/SER_summary!T$27)</f>
        <v>14.564578882913647</v>
      </c>
      <c r="U31" s="133">
        <f>IF(SER_hh_emih_in!U31=0,0,SER_hh_emih_in!U31/SER_summary!U$27)</f>
        <v>14.295608852815198</v>
      </c>
      <c r="V31" s="133">
        <f>IF(SER_hh_emih_in!V31=0,0,SER_hh_emih_in!V31/SER_summary!V$27)</f>
        <v>12.06204003531149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47.749340535944754</v>
      </c>
      <c r="C3" s="180">
        <f t="shared" ref="C3:W3" si="1">SUM(C4:C9)</f>
        <v>52.179722361711264</v>
      </c>
      <c r="D3" s="180">
        <f t="shared" si="1"/>
        <v>53.114295387129197</v>
      </c>
      <c r="E3" s="180">
        <f t="shared" si="1"/>
        <v>56.627889350304301</v>
      </c>
      <c r="F3" s="180">
        <f t="shared" si="1"/>
        <v>54.230836920465109</v>
      </c>
      <c r="G3" s="180">
        <f t="shared" si="1"/>
        <v>56.430039867523277</v>
      </c>
      <c r="H3" s="180">
        <f t="shared" si="1"/>
        <v>57.718008226477224</v>
      </c>
      <c r="I3" s="180">
        <f t="shared" si="1"/>
        <v>62.241519282814693</v>
      </c>
      <c r="J3" s="180">
        <f t="shared" si="1"/>
        <v>62.744630659746235</v>
      </c>
      <c r="K3" s="180">
        <f t="shared" si="1"/>
        <v>65.062750203302642</v>
      </c>
      <c r="L3" s="180">
        <f t="shared" si="1"/>
        <v>66.724242993894833</v>
      </c>
      <c r="M3" s="180">
        <f t="shared" si="1"/>
        <v>67.310375129245998</v>
      </c>
      <c r="N3" s="180">
        <f t="shared" si="1"/>
        <v>69.326356806468411</v>
      </c>
      <c r="O3" s="180">
        <f t="shared" si="1"/>
        <v>72.201895277415417</v>
      </c>
      <c r="P3" s="180">
        <f t="shared" si="1"/>
        <v>75.795067964743993</v>
      </c>
      <c r="Q3" s="180">
        <f t="shared" si="1"/>
        <v>76.48160495554518</v>
      </c>
      <c r="R3" s="180">
        <f t="shared" si="1"/>
        <v>75.081644103807832</v>
      </c>
      <c r="S3" s="180">
        <f t="shared" si="1"/>
        <v>81.904845668989111</v>
      </c>
      <c r="T3" s="180">
        <f t="shared" si="1"/>
        <v>81.752520845866187</v>
      </c>
      <c r="U3" s="180">
        <f t="shared" si="1"/>
        <v>81.718028495418054</v>
      </c>
      <c r="V3" s="180">
        <f t="shared" si="1"/>
        <v>75.321491723625073</v>
      </c>
      <c r="W3" s="180">
        <f t="shared" si="1"/>
        <v>79.357757897986488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2.4562271629006847</v>
      </c>
      <c r="C4" s="181">
        <f t="shared" ref="C4:R9" si="3">C12*C44/11630</f>
        <v>2.4859257210621633</v>
      </c>
      <c r="D4" s="181">
        <f t="shared" si="3"/>
        <v>2.5171483199081939</v>
      </c>
      <c r="E4" s="181">
        <f t="shared" si="3"/>
        <v>2.5300633685029426</v>
      </c>
      <c r="F4" s="181">
        <f t="shared" si="3"/>
        <v>2.5699633993572739</v>
      </c>
      <c r="G4" s="181">
        <f t="shared" si="3"/>
        <v>2.6139599288802065</v>
      </c>
      <c r="H4" s="181">
        <f t="shared" si="3"/>
        <v>2.6537774499369173</v>
      </c>
      <c r="I4" s="181">
        <f t="shared" si="3"/>
        <v>2.6943568771593576</v>
      </c>
      <c r="J4" s="181">
        <f t="shared" si="3"/>
        <v>2.7316701389703337</v>
      </c>
      <c r="K4" s="181">
        <f t="shared" si="3"/>
        <v>2.7642916369558237</v>
      </c>
      <c r="L4" s="181">
        <f t="shared" si="3"/>
        <v>2.7741465071656251</v>
      </c>
      <c r="M4" s="181">
        <f t="shared" si="3"/>
        <v>2.8163030940754838</v>
      </c>
      <c r="N4" s="181">
        <f t="shared" si="3"/>
        <v>2.8642705332742211</v>
      </c>
      <c r="O4" s="181">
        <f t="shared" si="3"/>
        <v>2.9215352682617017</v>
      </c>
      <c r="P4" s="181">
        <f t="shared" si="3"/>
        <v>2.9698716289398561</v>
      </c>
      <c r="Q4" s="181">
        <f t="shared" si="3"/>
        <v>3.0146561073880438</v>
      </c>
      <c r="R4" s="181">
        <f t="shared" si="3"/>
        <v>3.0383284276023632</v>
      </c>
      <c r="S4" s="181">
        <f t="shared" ref="D4:W9" si="4">S12*S44/11630</f>
        <v>3.0561772139868699</v>
      </c>
      <c r="T4" s="181">
        <f t="shared" si="4"/>
        <v>3.0710679310566285</v>
      </c>
      <c r="U4" s="181">
        <f t="shared" si="4"/>
        <v>3.1051720514874361</v>
      </c>
      <c r="V4" s="181">
        <f t="shared" si="4"/>
        <v>3.1375022677641273</v>
      </c>
      <c r="W4" s="181">
        <f t="shared" si="4"/>
        <v>3.1751677349423049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6.4718791072757194</v>
      </c>
      <c r="C5" s="181">
        <f t="shared" si="3"/>
        <v>6.5691562273416819</v>
      </c>
      <c r="D5" s="181">
        <f t="shared" si="4"/>
        <v>6.6718134711564838</v>
      </c>
      <c r="E5" s="181">
        <f t="shared" si="4"/>
        <v>6.8003124544476012</v>
      </c>
      <c r="F5" s="181">
        <f t="shared" si="4"/>
        <v>6.9276101937945631</v>
      </c>
      <c r="G5" s="181">
        <f t="shared" si="4"/>
        <v>7.101925745136672</v>
      </c>
      <c r="H5" s="181">
        <f t="shared" si="4"/>
        <v>7.1990049172307993</v>
      </c>
      <c r="I5" s="181">
        <f t="shared" si="4"/>
        <v>7.2564887584715576</v>
      </c>
      <c r="J5" s="181">
        <f t="shared" si="4"/>
        <v>7.4020512871221964</v>
      </c>
      <c r="K5" s="181">
        <f t="shared" si="4"/>
        <v>7.5232980241266967</v>
      </c>
      <c r="L5" s="181">
        <f t="shared" si="4"/>
        <v>7.6652761015457722</v>
      </c>
      <c r="M5" s="181">
        <f t="shared" si="4"/>
        <v>7.7950945408904824</v>
      </c>
      <c r="N5" s="181">
        <f t="shared" si="4"/>
        <v>7.9444211905269588</v>
      </c>
      <c r="O5" s="181">
        <f t="shared" si="4"/>
        <v>8.0650811479968905</v>
      </c>
      <c r="P5" s="181">
        <f t="shared" si="4"/>
        <v>8.2428552672224988</v>
      </c>
      <c r="Q5" s="181">
        <f t="shared" si="4"/>
        <v>8.3665104721910151</v>
      </c>
      <c r="R5" s="181">
        <f t="shared" si="4"/>
        <v>8.3549365411340588</v>
      </c>
      <c r="S5" s="181">
        <f t="shared" si="4"/>
        <v>8.3603651851623191</v>
      </c>
      <c r="T5" s="181">
        <f t="shared" si="4"/>
        <v>8.1966808432352636</v>
      </c>
      <c r="U5" s="181">
        <f t="shared" si="4"/>
        <v>7.9859836507923756</v>
      </c>
      <c r="V5" s="181">
        <f t="shared" si="4"/>
        <v>7.8290363927305382</v>
      </c>
      <c r="W5" s="181">
        <f t="shared" si="4"/>
        <v>7.6548002120876424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12.460896005053661</v>
      </c>
      <c r="C6" s="181">
        <f t="shared" si="3"/>
        <v>12.590610484114928</v>
      </c>
      <c r="D6" s="181">
        <f t="shared" si="4"/>
        <v>12.674387397442604</v>
      </c>
      <c r="E6" s="181">
        <f t="shared" si="4"/>
        <v>12.62512532513909</v>
      </c>
      <c r="F6" s="181">
        <f t="shared" si="4"/>
        <v>12.631717606140253</v>
      </c>
      <c r="G6" s="181">
        <f t="shared" si="4"/>
        <v>12.611242963133188</v>
      </c>
      <c r="H6" s="181">
        <f t="shared" si="4"/>
        <v>12.481956075870254</v>
      </c>
      <c r="I6" s="181">
        <f t="shared" si="4"/>
        <v>12.497280522973158</v>
      </c>
      <c r="J6" s="181">
        <f t="shared" si="4"/>
        <v>12.563734570752585</v>
      </c>
      <c r="K6" s="181">
        <f t="shared" si="4"/>
        <v>12.652990884979509</v>
      </c>
      <c r="L6" s="181">
        <f t="shared" si="4"/>
        <v>12.72550353691719</v>
      </c>
      <c r="M6" s="181">
        <f t="shared" si="4"/>
        <v>12.905343824270634</v>
      </c>
      <c r="N6" s="181">
        <f t="shared" si="4"/>
        <v>13.058862678902402</v>
      </c>
      <c r="O6" s="181">
        <f t="shared" si="4"/>
        <v>13.236903238086336</v>
      </c>
      <c r="P6" s="181">
        <f t="shared" si="4"/>
        <v>13.394806090380044</v>
      </c>
      <c r="Q6" s="181">
        <f t="shared" si="4"/>
        <v>13.508945941661619</v>
      </c>
      <c r="R6" s="181">
        <f t="shared" si="4"/>
        <v>13.466816510663881</v>
      </c>
      <c r="S6" s="181">
        <f t="shared" si="4"/>
        <v>13.254958720610471</v>
      </c>
      <c r="T6" s="181">
        <f t="shared" si="4"/>
        <v>12.769273381518262</v>
      </c>
      <c r="U6" s="181">
        <f t="shared" si="4"/>
        <v>12.162074220205099</v>
      </c>
      <c r="V6" s="181">
        <f t="shared" si="4"/>
        <v>10.748873022423629</v>
      </c>
      <c r="W6" s="181">
        <f t="shared" si="4"/>
        <v>10.99824913304173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6.1223616081281751</v>
      </c>
      <c r="C7" s="181">
        <f t="shared" si="3"/>
        <v>6.2268392617236259</v>
      </c>
      <c r="D7" s="181">
        <f t="shared" si="4"/>
        <v>6.329390531204381</v>
      </c>
      <c r="E7" s="181">
        <f t="shared" si="4"/>
        <v>6.4092640876315423</v>
      </c>
      <c r="F7" s="181">
        <f t="shared" si="4"/>
        <v>6.5147335631959544</v>
      </c>
      <c r="G7" s="181">
        <f t="shared" si="4"/>
        <v>6.6250042640216984</v>
      </c>
      <c r="H7" s="181">
        <f t="shared" si="4"/>
        <v>6.7651008309205203</v>
      </c>
      <c r="I7" s="181">
        <f t="shared" si="4"/>
        <v>6.907495775574942</v>
      </c>
      <c r="J7" s="181">
        <f t="shared" si="4"/>
        <v>7.0391762182368884</v>
      </c>
      <c r="K7" s="181">
        <f t="shared" si="4"/>
        <v>7.2007183217043682</v>
      </c>
      <c r="L7" s="181">
        <f t="shared" si="4"/>
        <v>7.3336097617452189</v>
      </c>
      <c r="M7" s="181">
        <f t="shared" si="4"/>
        <v>7.4683610733093841</v>
      </c>
      <c r="N7" s="181">
        <f t="shared" si="4"/>
        <v>7.6708983139795883</v>
      </c>
      <c r="O7" s="181">
        <f t="shared" si="4"/>
        <v>7.8806998315971564</v>
      </c>
      <c r="P7" s="181">
        <f t="shared" si="4"/>
        <v>8.1202901336902151</v>
      </c>
      <c r="Q7" s="181">
        <f t="shared" si="4"/>
        <v>8.4144957663761115</v>
      </c>
      <c r="R7" s="181">
        <f t="shared" si="4"/>
        <v>8.5637690783454854</v>
      </c>
      <c r="S7" s="181">
        <f t="shared" si="4"/>
        <v>8.6959351481595082</v>
      </c>
      <c r="T7" s="181">
        <f t="shared" si="4"/>
        <v>8.8278298169359442</v>
      </c>
      <c r="U7" s="181">
        <f t="shared" si="4"/>
        <v>8.9378787902379244</v>
      </c>
      <c r="V7" s="181">
        <f t="shared" si="4"/>
        <v>9.0361162025895627</v>
      </c>
      <c r="W7" s="181">
        <f t="shared" si="4"/>
        <v>9.1304466539387086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5.1759624710535581</v>
      </c>
      <c r="C8" s="55">
        <f t="shared" si="3"/>
        <v>5.305111985355186</v>
      </c>
      <c r="D8" s="55">
        <f t="shared" si="4"/>
        <v>5.4344487759246185</v>
      </c>
      <c r="E8" s="55">
        <f t="shared" si="4"/>
        <v>5.5389666538178455</v>
      </c>
      <c r="F8" s="55">
        <f t="shared" si="4"/>
        <v>5.6692759140561142</v>
      </c>
      <c r="G8" s="55">
        <f t="shared" si="4"/>
        <v>5.8246613300118222</v>
      </c>
      <c r="H8" s="55">
        <f t="shared" si="4"/>
        <v>5.9649898181517305</v>
      </c>
      <c r="I8" s="55">
        <f t="shared" si="4"/>
        <v>6.1191305009667776</v>
      </c>
      <c r="J8" s="55">
        <f t="shared" si="4"/>
        <v>6.2748940650398959</v>
      </c>
      <c r="K8" s="55">
        <f t="shared" si="4"/>
        <v>6.413412689265904</v>
      </c>
      <c r="L8" s="55">
        <f t="shared" si="4"/>
        <v>6.4891183372762198</v>
      </c>
      <c r="M8" s="55">
        <f t="shared" si="4"/>
        <v>6.6105805233864006</v>
      </c>
      <c r="N8" s="55">
        <f t="shared" si="4"/>
        <v>6.6918095637133428</v>
      </c>
      <c r="O8" s="55">
        <f t="shared" si="4"/>
        <v>6.8009761119230143</v>
      </c>
      <c r="P8" s="55">
        <f t="shared" si="4"/>
        <v>6.8971363587269137</v>
      </c>
      <c r="Q8" s="55">
        <f t="shared" si="4"/>
        <v>6.9204554404122636</v>
      </c>
      <c r="R8" s="55">
        <f t="shared" si="4"/>
        <v>7.1081085789618301</v>
      </c>
      <c r="S8" s="55">
        <f t="shared" si="4"/>
        <v>7.3197513170065323</v>
      </c>
      <c r="T8" s="55">
        <f t="shared" si="4"/>
        <v>7.4535629846666733</v>
      </c>
      <c r="U8" s="55">
        <f t="shared" si="4"/>
        <v>7.5917165157823145</v>
      </c>
      <c r="V8" s="55">
        <f t="shared" si="4"/>
        <v>7.1853605527136857</v>
      </c>
      <c r="W8" s="55">
        <f t="shared" si="4"/>
        <v>7.8711789241782757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15.062014181532961</v>
      </c>
      <c r="C9" s="63">
        <f t="shared" si="3"/>
        <v>19.002078682113684</v>
      </c>
      <c r="D9" s="63">
        <f t="shared" si="4"/>
        <v>19.487106891492914</v>
      </c>
      <c r="E9" s="63">
        <f t="shared" si="4"/>
        <v>22.724157460765284</v>
      </c>
      <c r="F9" s="63">
        <f t="shared" si="4"/>
        <v>19.917536243920946</v>
      </c>
      <c r="G9" s="63">
        <f t="shared" si="4"/>
        <v>21.65324563633969</v>
      </c>
      <c r="H9" s="63">
        <f t="shared" si="4"/>
        <v>22.653179134367001</v>
      </c>
      <c r="I9" s="63">
        <f t="shared" si="4"/>
        <v>26.766766847668897</v>
      </c>
      <c r="J9" s="63">
        <f t="shared" si="4"/>
        <v>26.73310437962434</v>
      </c>
      <c r="K9" s="63">
        <f t="shared" si="4"/>
        <v>28.508038646270329</v>
      </c>
      <c r="L9" s="63">
        <f t="shared" si="4"/>
        <v>29.736588749244813</v>
      </c>
      <c r="M9" s="63">
        <f t="shared" si="4"/>
        <v>29.714692073313611</v>
      </c>
      <c r="N9" s="63">
        <f t="shared" si="4"/>
        <v>31.096094526071891</v>
      </c>
      <c r="O9" s="63">
        <f t="shared" si="4"/>
        <v>33.296699679550322</v>
      </c>
      <c r="P9" s="63">
        <f t="shared" si="4"/>
        <v>36.170108485784475</v>
      </c>
      <c r="Q9" s="63">
        <f t="shared" si="4"/>
        <v>36.256541227516124</v>
      </c>
      <c r="R9" s="63">
        <f t="shared" si="4"/>
        <v>34.549684967100212</v>
      </c>
      <c r="S9" s="63">
        <f t="shared" si="4"/>
        <v>41.217658084063409</v>
      </c>
      <c r="T9" s="63">
        <f t="shared" si="4"/>
        <v>41.434105888453409</v>
      </c>
      <c r="U9" s="63">
        <f t="shared" si="4"/>
        <v>41.935203266912893</v>
      </c>
      <c r="V9" s="63">
        <f t="shared" si="4"/>
        <v>37.384603285403529</v>
      </c>
      <c r="W9" s="63">
        <f t="shared" si="4"/>
        <v>40.527915239797828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261.12339204351565</v>
      </c>
      <c r="C11" s="180">
        <f t="shared" ref="C11:W11" si="6">SUM(C12:C17)</f>
        <v>288.03637178908497</v>
      </c>
      <c r="D11" s="180">
        <f t="shared" si="6"/>
        <v>291.03169724937078</v>
      </c>
      <c r="E11" s="180">
        <f t="shared" si="6"/>
        <v>310.82215070736163</v>
      </c>
      <c r="F11" s="180">
        <f t="shared" si="6"/>
        <v>292.29124057063802</v>
      </c>
      <c r="G11" s="180">
        <f t="shared" si="6"/>
        <v>303.2286246356083</v>
      </c>
      <c r="H11" s="180">
        <f t="shared" si="6"/>
        <v>308.6235248538718</v>
      </c>
      <c r="I11" s="180">
        <f t="shared" si="6"/>
        <v>333.75478240245963</v>
      </c>
      <c r="J11" s="180">
        <f t="shared" si="6"/>
        <v>334.18719250513323</v>
      </c>
      <c r="K11" s="180">
        <f t="shared" si="6"/>
        <v>345.68499063265818</v>
      </c>
      <c r="L11" s="180">
        <f t="shared" si="6"/>
        <v>352.32384469920601</v>
      </c>
      <c r="M11" s="180">
        <f t="shared" si="6"/>
        <v>352.78760985887408</v>
      </c>
      <c r="N11" s="180">
        <f t="shared" si="6"/>
        <v>361.46424383660292</v>
      </c>
      <c r="O11" s="180">
        <f t="shared" si="6"/>
        <v>375.24675939066645</v>
      </c>
      <c r="P11" s="180">
        <f t="shared" si="6"/>
        <v>392.29950830267546</v>
      </c>
      <c r="Q11" s="180">
        <f t="shared" si="6"/>
        <v>392.54878464344938</v>
      </c>
      <c r="R11" s="180">
        <f t="shared" si="6"/>
        <v>383.59255092263095</v>
      </c>
      <c r="S11" s="180">
        <f t="shared" si="6"/>
        <v>418.85494976471443</v>
      </c>
      <c r="T11" s="180">
        <f t="shared" si="6"/>
        <v>420.29839519028087</v>
      </c>
      <c r="U11" s="180">
        <f t="shared" si="6"/>
        <v>421.68125018034635</v>
      </c>
      <c r="V11" s="180">
        <f t="shared" si="6"/>
        <v>403.9351484659058</v>
      </c>
      <c r="W11" s="180">
        <f t="shared" si="6"/>
        <v>409.30856504163512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3.260949989102166</v>
      </c>
      <c r="C12" s="181">
        <f t="shared" ref="C12:W12" si="7">C20*C52</f>
        <v>3.3003785543325308</v>
      </c>
      <c r="D12" s="181">
        <f t="shared" si="7"/>
        <v>3.3418304749466095</v>
      </c>
      <c r="E12" s="181">
        <f t="shared" si="7"/>
        <v>3.358976823708816</v>
      </c>
      <c r="F12" s="181">
        <f t="shared" si="7"/>
        <v>3.4119491249457887</v>
      </c>
      <c r="G12" s="181">
        <f t="shared" si="7"/>
        <v>3.4703600425658463</v>
      </c>
      <c r="H12" s="181">
        <f t="shared" si="7"/>
        <v>3.5232228016856575</v>
      </c>
      <c r="I12" s="181">
        <f t="shared" si="7"/>
        <v>3.5770970869136236</v>
      </c>
      <c r="J12" s="181">
        <f t="shared" si="7"/>
        <v>3.6266351274229427</v>
      </c>
      <c r="K12" s="181">
        <f t="shared" si="7"/>
        <v>3.6699442623055054</v>
      </c>
      <c r="L12" s="181">
        <f t="shared" si="7"/>
        <v>3.6830278399927221</v>
      </c>
      <c r="M12" s="181">
        <f t="shared" si="7"/>
        <v>3.7389960027508993</v>
      </c>
      <c r="N12" s="181">
        <f t="shared" si="7"/>
        <v>3.8026788015957989</v>
      </c>
      <c r="O12" s="181">
        <f t="shared" si="7"/>
        <v>3.8787049280689052</v>
      </c>
      <c r="P12" s="181">
        <f t="shared" si="7"/>
        <v>3.9428775165034864</v>
      </c>
      <c r="Q12" s="181">
        <f t="shared" si="7"/>
        <v>4.0023345352651774</v>
      </c>
      <c r="R12" s="181">
        <f t="shared" si="7"/>
        <v>4.0337625129013102</v>
      </c>
      <c r="S12" s="181">
        <f t="shared" si="7"/>
        <v>4.0574590181127057</v>
      </c>
      <c r="T12" s="181">
        <f t="shared" si="7"/>
        <v>4.0772283148617099</v>
      </c>
      <c r="U12" s="181">
        <f t="shared" si="7"/>
        <v>4.1225058172144848</v>
      </c>
      <c r="V12" s="181">
        <f t="shared" si="7"/>
        <v>4.1654282390521447</v>
      </c>
      <c r="W12" s="181">
        <f t="shared" si="7"/>
        <v>4.2154338764131269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18.804434265259278</v>
      </c>
      <c r="C13" s="181">
        <f t="shared" ref="C13:W13" si="8">C21*C53/1000</f>
        <v>19.073274515206226</v>
      </c>
      <c r="D13" s="181">
        <f t="shared" si="8"/>
        <v>19.345757005565357</v>
      </c>
      <c r="E13" s="181">
        <f t="shared" si="8"/>
        <v>19.710673456832044</v>
      </c>
      <c r="F13" s="181">
        <f t="shared" si="8"/>
        <v>20.046280217506109</v>
      </c>
      <c r="G13" s="181">
        <f t="shared" si="8"/>
        <v>20.530642370777059</v>
      </c>
      <c r="H13" s="181">
        <f t="shared" si="8"/>
        <v>20.804691460752018</v>
      </c>
      <c r="I13" s="181">
        <f t="shared" si="8"/>
        <v>20.950236152418174</v>
      </c>
      <c r="J13" s="181">
        <f t="shared" si="8"/>
        <v>21.376944283161865</v>
      </c>
      <c r="K13" s="181">
        <f t="shared" si="8"/>
        <v>21.749657079271028</v>
      </c>
      <c r="L13" s="181">
        <f t="shared" si="8"/>
        <v>22.165561469358611</v>
      </c>
      <c r="M13" s="181">
        <f t="shared" si="8"/>
        <v>22.591409697016012</v>
      </c>
      <c r="N13" s="181">
        <f t="shared" si="8"/>
        <v>23.141368617280467</v>
      </c>
      <c r="O13" s="181">
        <f t="shared" si="8"/>
        <v>23.681468590790043</v>
      </c>
      <c r="P13" s="181">
        <f t="shared" si="8"/>
        <v>24.422464733691534</v>
      </c>
      <c r="Q13" s="181">
        <f t="shared" si="8"/>
        <v>25.049036084020084</v>
      </c>
      <c r="R13" s="181">
        <f t="shared" si="8"/>
        <v>24.980486426884966</v>
      </c>
      <c r="S13" s="181">
        <f t="shared" si="8"/>
        <v>24.756488910911294</v>
      </c>
      <c r="T13" s="181">
        <f t="shared" si="8"/>
        <v>24.437526612291386</v>
      </c>
      <c r="U13" s="181">
        <f t="shared" si="8"/>
        <v>23.913872584752522</v>
      </c>
      <c r="V13" s="181">
        <f t="shared" si="8"/>
        <v>23.346543358706917</v>
      </c>
      <c r="W13" s="181">
        <f t="shared" si="8"/>
        <v>22.785328677866744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59.210451070275589</v>
      </c>
      <c r="C14" s="181">
        <f t="shared" ref="C14:W14" si="9">C22*C54</f>
        <v>59.322583774381826</v>
      </c>
      <c r="D14" s="181">
        <f t="shared" si="9"/>
        <v>59.386561836891055</v>
      </c>
      <c r="E14" s="181">
        <f t="shared" si="9"/>
        <v>58.840733760496477</v>
      </c>
      <c r="F14" s="181">
        <f t="shared" si="9"/>
        <v>58.51888026898861</v>
      </c>
      <c r="G14" s="181">
        <f t="shared" si="9"/>
        <v>58.139505445242641</v>
      </c>
      <c r="H14" s="181">
        <f t="shared" si="9"/>
        <v>57.330016322021521</v>
      </c>
      <c r="I14" s="181">
        <f t="shared" si="9"/>
        <v>57.126176144119874</v>
      </c>
      <c r="J14" s="181">
        <f t="shared" si="9"/>
        <v>57.205557234408239</v>
      </c>
      <c r="K14" s="181">
        <f t="shared" si="9"/>
        <v>57.366803195859355</v>
      </c>
      <c r="L14" s="181">
        <f t="shared" si="9"/>
        <v>57.46427425548714</v>
      </c>
      <c r="M14" s="181">
        <f t="shared" si="9"/>
        <v>58.015761055999967</v>
      </c>
      <c r="N14" s="181">
        <f t="shared" si="9"/>
        <v>58.541624776345188</v>
      </c>
      <c r="O14" s="181">
        <f t="shared" si="9"/>
        <v>59.215299323015557</v>
      </c>
      <c r="P14" s="181">
        <f t="shared" si="9"/>
        <v>59.803449180070324</v>
      </c>
      <c r="Q14" s="181">
        <f t="shared" si="9"/>
        <v>60.219975415189055</v>
      </c>
      <c r="R14" s="181">
        <f t="shared" si="9"/>
        <v>59.644723389013663</v>
      </c>
      <c r="S14" s="181">
        <f t="shared" si="9"/>
        <v>58.633915855794378</v>
      </c>
      <c r="T14" s="181">
        <f t="shared" si="9"/>
        <v>56.688857050230212</v>
      </c>
      <c r="U14" s="181">
        <f t="shared" si="9"/>
        <v>53.936656344804305</v>
      </c>
      <c r="V14" s="181">
        <f t="shared" si="9"/>
        <v>51.162914539448607</v>
      </c>
      <c r="W14" s="181">
        <f t="shared" si="9"/>
        <v>48.497488300760054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8.1282038244898054</v>
      </c>
      <c r="C15" s="181">
        <f t="shared" ref="C15:W15" si="10">C23*C55/1000</f>
        <v>8.2669110289778267</v>
      </c>
      <c r="D15" s="181">
        <f t="shared" si="10"/>
        <v>8.4030607166560429</v>
      </c>
      <c r="E15" s="181">
        <f t="shared" si="10"/>
        <v>8.5091028925975856</v>
      </c>
      <c r="F15" s="181">
        <f t="shared" si="10"/>
        <v>8.6491268652932618</v>
      </c>
      <c r="G15" s="181">
        <f t="shared" si="10"/>
        <v>8.7955250674169339</v>
      </c>
      <c r="H15" s="181">
        <f t="shared" si="10"/>
        <v>8.9815208520097762</v>
      </c>
      <c r="I15" s="181">
        <f t="shared" si="10"/>
        <v>9.1705680216822625</v>
      </c>
      <c r="J15" s="181">
        <f t="shared" si="10"/>
        <v>9.3453903445313902</v>
      </c>
      <c r="K15" s="181">
        <f t="shared" si="10"/>
        <v>9.5598577718518012</v>
      </c>
      <c r="L15" s="181">
        <f t="shared" si="10"/>
        <v>9.7362878457873183</v>
      </c>
      <c r="M15" s="181">
        <f t="shared" si="10"/>
        <v>9.9151871327155376</v>
      </c>
      <c r="N15" s="181">
        <f t="shared" si="10"/>
        <v>10.184080752463771</v>
      </c>
      <c r="O15" s="181">
        <f t="shared" si="10"/>
        <v>10.462618612040517</v>
      </c>
      <c r="P15" s="181">
        <f t="shared" si="10"/>
        <v>10.78070482360927</v>
      </c>
      <c r="Q15" s="181">
        <f t="shared" si="10"/>
        <v>11.171299744629476</v>
      </c>
      <c r="R15" s="181">
        <f t="shared" si="10"/>
        <v>11.369478810634471</v>
      </c>
      <c r="S15" s="181">
        <f t="shared" si="10"/>
        <v>11.544945864508572</v>
      </c>
      <c r="T15" s="181">
        <f t="shared" si="10"/>
        <v>11.720052599425232</v>
      </c>
      <c r="U15" s="181">
        <f t="shared" si="10"/>
        <v>11.866156430418613</v>
      </c>
      <c r="V15" s="181">
        <f t="shared" si="10"/>
        <v>11.996578931063537</v>
      </c>
      <c r="W15" s="181">
        <f t="shared" si="10"/>
        <v>12.121814450377533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70.632175965489097</v>
      </c>
      <c r="C16" s="55">
        <f t="shared" ref="C16:W16" si="11">C24*C56</f>
        <v>72.050398732872139</v>
      </c>
      <c r="D16" s="55">
        <f t="shared" si="11"/>
        <v>73.486557674472763</v>
      </c>
      <c r="E16" s="55">
        <f t="shared" si="11"/>
        <v>74.600725312436495</v>
      </c>
      <c r="F16" s="55">
        <f t="shared" si="11"/>
        <v>76.073370605940767</v>
      </c>
      <c r="G16" s="55">
        <f t="shared" si="11"/>
        <v>77.889260901144695</v>
      </c>
      <c r="H16" s="55">
        <f t="shared" si="11"/>
        <v>79.508795554580601</v>
      </c>
      <c r="I16" s="55">
        <f t="shared" si="11"/>
        <v>81.316510991854344</v>
      </c>
      <c r="J16" s="55">
        <f t="shared" si="11"/>
        <v>83.148465748555111</v>
      </c>
      <c r="K16" s="55">
        <f t="shared" si="11"/>
        <v>84.754540501413615</v>
      </c>
      <c r="L16" s="55">
        <f t="shared" si="11"/>
        <v>85.535354836710425</v>
      </c>
      <c r="M16" s="55">
        <f t="shared" si="11"/>
        <v>86.994792582283907</v>
      </c>
      <c r="N16" s="55">
        <f t="shared" si="11"/>
        <v>87.927309497030279</v>
      </c>
      <c r="O16" s="55">
        <f t="shared" si="11"/>
        <v>89.22939642281581</v>
      </c>
      <c r="P16" s="55">
        <f t="shared" si="11"/>
        <v>90.362742776900788</v>
      </c>
      <c r="Q16" s="55">
        <f t="shared" si="11"/>
        <v>90.544966022708309</v>
      </c>
      <c r="R16" s="55">
        <f t="shared" si="11"/>
        <v>92.76591288828125</v>
      </c>
      <c r="S16" s="55">
        <f t="shared" si="11"/>
        <v>94.821634556399573</v>
      </c>
      <c r="T16" s="55">
        <f t="shared" si="11"/>
        <v>96.851098639418879</v>
      </c>
      <c r="U16" s="55">
        <f t="shared" si="11"/>
        <v>98.665730184666046</v>
      </c>
      <c r="V16" s="55">
        <f t="shared" si="11"/>
        <v>100.22842141103337</v>
      </c>
      <c r="W16" s="55">
        <f t="shared" si="11"/>
        <v>101.71510681956464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101.08717692889971</v>
      </c>
      <c r="C17" s="63">
        <f t="shared" ref="C17:W17" si="12">C25*C57/1000</f>
        <v>126.02282518331441</v>
      </c>
      <c r="D17" s="63">
        <f t="shared" si="12"/>
        <v>127.06792954083896</v>
      </c>
      <c r="E17" s="63">
        <f t="shared" si="12"/>
        <v>145.80193846129018</v>
      </c>
      <c r="F17" s="63">
        <f t="shared" si="12"/>
        <v>125.59163348796346</v>
      </c>
      <c r="G17" s="63">
        <f t="shared" si="12"/>
        <v>134.40333080846113</v>
      </c>
      <c r="H17" s="63">
        <f t="shared" si="12"/>
        <v>138.4752778628222</v>
      </c>
      <c r="I17" s="63">
        <f t="shared" si="12"/>
        <v>161.61419400547135</v>
      </c>
      <c r="J17" s="63">
        <f t="shared" si="12"/>
        <v>159.48419976705367</v>
      </c>
      <c r="K17" s="63">
        <f t="shared" si="12"/>
        <v>168.5841878219569</v>
      </c>
      <c r="L17" s="63">
        <f t="shared" si="12"/>
        <v>173.73933845186977</v>
      </c>
      <c r="M17" s="63">
        <f t="shared" si="12"/>
        <v>171.53146338810777</v>
      </c>
      <c r="N17" s="63">
        <f t="shared" si="12"/>
        <v>177.86718139188741</v>
      </c>
      <c r="O17" s="63">
        <f t="shared" si="12"/>
        <v>188.77927151393561</v>
      </c>
      <c r="P17" s="63">
        <f t="shared" si="12"/>
        <v>202.98726927190003</v>
      </c>
      <c r="Q17" s="63">
        <f t="shared" si="12"/>
        <v>201.5611728416373</v>
      </c>
      <c r="R17" s="63">
        <f t="shared" si="12"/>
        <v>190.79818689491526</v>
      </c>
      <c r="S17" s="63">
        <f t="shared" si="12"/>
        <v>225.04050555898786</v>
      </c>
      <c r="T17" s="63">
        <f t="shared" si="12"/>
        <v>226.52363197405344</v>
      </c>
      <c r="U17" s="63">
        <f t="shared" si="12"/>
        <v>229.17632881849039</v>
      </c>
      <c r="V17" s="63">
        <f t="shared" si="12"/>
        <v>213.03526198660123</v>
      </c>
      <c r="W17" s="63">
        <f t="shared" si="12"/>
        <v>219.97339291665301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5.0073922332814425</v>
      </c>
      <c r="C20" s="182">
        <v>5.0999759165312222</v>
      </c>
      <c r="D20" s="182">
        <v>5.200079226645828</v>
      </c>
      <c r="E20" s="182">
        <v>5.2620210624088077</v>
      </c>
      <c r="F20" s="182">
        <v>5.3912442586365241</v>
      </c>
      <c r="G20" s="182">
        <v>5.5350608494499971</v>
      </c>
      <c r="H20" s="182">
        <v>5.6738802836610063</v>
      </c>
      <c r="I20" s="182">
        <v>5.8204630725472244</v>
      </c>
      <c r="J20" s="182">
        <v>5.9654199335487679</v>
      </c>
      <c r="K20" s="182">
        <v>6.1052534038395434</v>
      </c>
      <c r="L20" s="182">
        <v>6.1947916632065043</v>
      </c>
      <c r="M20" s="182">
        <v>6.3740730957545422</v>
      </c>
      <c r="N20" s="182">
        <v>6.5791867960267671</v>
      </c>
      <c r="O20" s="182">
        <v>6.8215386502110462</v>
      </c>
      <c r="P20" s="182">
        <v>7.0551696342228256</v>
      </c>
      <c r="Q20" s="182">
        <v>7.2962202792599591</v>
      </c>
      <c r="R20" s="182">
        <v>7.485594298677003</v>
      </c>
      <c r="S20" s="182">
        <v>7.6677891904905966</v>
      </c>
      <c r="T20" s="182">
        <v>7.8524774877176888</v>
      </c>
      <c r="U20" s="182">
        <v>8.0393495865301698</v>
      </c>
      <c r="V20" s="182">
        <v>8.2284343507290831</v>
      </c>
      <c r="W20" s="182">
        <v>8.4210705119937508</v>
      </c>
      <c r="DA20" s="191" t="s">
        <v>921</v>
      </c>
    </row>
    <row r="21" spans="1:105" ht="12" customHeight="1" x14ac:dyDescent="0.25">
      <c r="A21" s="132" t="s">
        <v>163</v>
      </c>
      <c r="B21" s="182">
        <v>101.1584660182092</v>
      </c>
      <c r="C21" s="182">
        <v>103.60309202086675</v>
      </c>
      <c r="D21" s="182">
        <v>106.31762618371752</v>
      </c>
      <c r="E21" s="182">
        <v>109.88753053275572</v>
      </c>
      <c r="F21" s="182">
        <v>113.66719230503114</v>
      </c>
      <c r="G21" s="182">
        <v>118.79484158671897</v>
      </c>
      <c r="H21" s="182">
        <v>123.00920741794724</v>
      </c>
      <c r="I21" s="182">
        <v>126.84445270532615</v>
      </c>
      <c r="J21" s="182">
        <v>131.40953921161278</v>
      </c>
      <c r="K21" s="182">
        <v>135.97356146720762</v>
      </c>
      <c r="L21" s="182">
        <v>141.28473935473585</v>
      </c>
      <c r="M21" s="182">
        <v>147.03234359983054</v>
      </c>
      <c r="N21" s="182">
        <v>154.43573857070569</v>
      </c>
      <c r="O21" s="182">
        <v>162.62943970360089</v>
      </c>
      <c r="P21" s="182">
        <v>173.6929059368772</v>
      </c>
      <c r="Q21" s="182">
        <v>185.16296798638362</v>
      </c>
      <c r="R21" s="182">
        <v>191.80732015037282</v>
      </c>
      <c r="S21" s="182">
        <v>198.40568195345406</v>
      </c>
      <c r="T21" s="182">
        <v>205.2453233266188</v>
      </c>
      <c r="U21" s="182">
        <v>212.05740679217004</v>
      </c>
      <c r="V21" s="182">
        <v>218.73271835065384</v>
      </c>
      <c r="W21" s="182">
        <v>225.15502088224324</v>
      </c>
      <c r="DA21" s="191" t="s">
        <v>922</v>
      </c>
    </row>
    <row r="22" spans="1:105" ht="12" customHeight="1" x14ac:dyDescent="0.25">
      <c r="A22" s="132" t="s">
        <v>167</v>
      </c>
      <c r="B22" s="182">
        <v>1.484773941644693</v>
      </c>
      <c r="C22" s="182">
        <v>1.5056668266291342</v>
      </c>
      <c r="D22" s="182">
        <v>1.5347313289519449</v>
      </c>
      <c r="E22" s="182">
        <v>1.552958076242261</v>
      </c>
      <c r="F22" s="182">
        <v>1.583457903508886</v>
      </c>
      <c r="G22" s="182">
        <v>1.6204874799336781</v>
      </c>
      <c r="H22" s="182">
        <v>1.6528533128214147</v>
      </c>
      <c r="I22" s="182">
        <v>1.6874118015675261</v>
      </c>
      <c r="J22" s="182">
        <v>1.730921821434583</v>
      </c>
      <c r="K22" s="182">
        <v>1.7797070129743435</v>
      </c>
      <c r="L22" s="182">
        <v>1.8344541433119332</v>
      </c>
      <c r="M22" s="182">
        <v>1.9127877412034469</v>
      </c>
      <c r="N22" s="182">
        <v>2.0017918148234051</v>
      </c>
      <c r="O22" s="182">
        <v>2.1055129903183412</v>
      </c>
      <c r="P22" s="182">
        <v>2.2234998106950536</v>
      </c>
      <c r="Q22" s="182">
        <v>2.3453828087497106</v>
      </c>
      <c r="R22" s="182">
        <v>2.4548681899961005</v>
      </c>
      <c r="S22" s="182">
        <v>2.5649363092242652</v>
      </c>
      <c r="T22" s="182">
        <v>2.6746384709567232</v>
      </c>
      <c r="U22" s="182">
        <v>2.7811048413926476</v>
      </c>
      <c r="V22" s="182">
        <v>2.8790934604988134</v>
      </c>
      <c r="W22" s="182">
        <v>2.9607121131609451</v>
      </c>
      <c r="DA22" s="191" t="s">
        <v>923</v>
      </c>
    </row>
    <row r="23" spans="1:105" ht="12" customHeight="1" x14ac:dyDescent="0.25">
      <c r="A23" s="132" t="s">
        <v>180</v>
      </c>
      <c r="B23" s="182">
        <v>12.483798542010396</v>
      </c>
      <c r="C23" s="182">
        <v>12.837566006617998</v>
      </c>
      <c r="D23" s="182">
        <v>13.234722670931093</v>
      </c>
      <c r="E23" s="182">
        <v>13.60313035174859</v>
      </c>
      <c r="F23" s="182">
        <v>14.055647585169423</v>
      </c>
      <c r="G23" s="182">
        <v>14.548515171890346</v>
      </c>
      <c r="H23" s="182">
        <v>15.146246163255539</v>
      </c>
      <c r="I23" s="182">
        <v>15.772239275775574</v>
      </c>
      <c r="J23" s="182">
        <v>16.418907753133251</v>
      </c>
      <c r="K23" s="182">
        <v>17.195177703842237</v>
      </c>
      <c r="L23" s="182">
        <v>17.959262411385176</v>
      </c>
      <c r="M23" s="182">
        <v>18.666245282794367</v>
      </c>
      <c r="N23" s="182">
        <v>19.556786442106624</v>
      </c>
      <c r="O23" s="182">
        <v>20.499814385387925</v>
      </c>
      <c r="P23" s="182">
        <v>21.616953274202206</v>
      </c>
      <c r="Q23" s="182">
        <v>22.928122711993602</v>
      </c>
      <c r="R23" s="182">
        <v>23.844488460509474</v>
      </c>
      <c r="S23" s="182">
        <v>24.760129235968602</v>
      </c>
      <c r="T23" s="182">
        <v>25.706575835556773</v>
      </c>
      <c r="U23" s="182">
        <v>26.647445150880756</v>
      </c>
      <c r="V23" s="182">
        <v>27.563572475855921</v>
      </c>
      <c r="W23" s="182">
        <v>28.433914118444143</v>
      </c>
      <c r="DA23" s="191" t="s">
        <v>924</v>
      </c>
    </row>
    <row r="24" spans="1:105" ht="12" customHeight="1" x14ac:dyDescent="0.25">
      <c r="A24" s="60" t="s">
        <v>166</v>
      </c>
      <c r="B24" s="36">
        <v>1.5614563732958959</v>
      </c>
      <c r="C24" s="36">
        <v>1.5973730522435239</v>
      </c>
      <c r="D24" s="36">
        <v>1.634595824230284</v>
      </c>
      <c r="E24" s="36">
        <v>1.6651697017103262</v>
      </c>
      <c r="F24" s="36">
        <v>1.7052328599621829</v>
      </c>
      <c r="G24" s="36">
        <v>1.7545492716425486</v>
      </c>
      <c r="H24" s="36">
        <v>1.8003689927508932</v>
      </c>
      <c r="I24" s="36">
        <v>1.852570754879191</v>
      </c>
      <c r="J24" s="36">
        <v>1.9074363784670245</v>
      </c>
      <c r="K24" s="36">
        <v>1.9596306178674054</v>
      </c>
      <c r="L24" s="36">
        <v>1.9949068565773007</v>
      </c>
      <c r="M24" s="36">
        <v>2.053110254326441</v>
      </c>
      <c r="N24" s="36">
        <v>2.1050525260792901</v>
      </c>
      <c r="O24" s="36">
        <v>2.1760196199831907</v>
      </c>
      <c r="P24" s="36">
        <v>2.2529402236276574</v>
      </c>
      <c r="Q24" s="36">
        <v>2.3159842174788894</v>
      </c>
      <c r="R24" s="36">
        <v>2.3991641420699152</v>
      </c>
      <c r="S24" s="36">
        <v>2.4810886841632582</v>
      </c>
      <c r="T24" s="36">
        <v>2.5643151673986591</v>
      </c>
      <c r="U24" s="36">
        <v>2.6483882847049967</v>
      </c>
      <c r="V24" s="36">
        <v>2.7326360858869005</v>
      </c>
      <c r="W24" s="36">
        <v>2.8158435877769112</v>
      </c>
      <c r="DA24" s="89" t="s">
        <v>925</v>
      </c>
    </row>
    <row r="25" spans="1:105" ht="12" customHeight="1" x14ac:dyDescent="0.25">
      <c r="A25" s="62" t="s">
        <v>164</v>
      </c>
      <c r="B25" s="38">
        <v>294.09590170849464</v>
      </c>
      <c r="C25" s="38">
        <v>376.32446146352675</v>
      </c>
      <c r="D25" s="38">
        <v>386.73273092264463</v>
      </c>
      <c r="E25" s="38">
        <v>459.01947745150045</v>
      </c>
      <c r="F25" s="38">
        <v>400.22561033848757</v>
      </c>
      <c r="G25" s="38">
        <v>449.52684236389678</v>
      </c>
      <c r="H25" s="38">
        <v>502.37027304366427</v>
      </c>
      <c r="I25" s="38">
        <v>619.86461110106143</v>
      </c>
      <c r="J25" s="38">
        <v>654.54807938700333</v>
      </c>
      <c r="K25" s="38">
        <v>698.65373552517292</v>
      </c>
      <c r="L25" s="38">
        <v>774.16339217152665</v>
      </c>
      <c r="M25" s="38">
        <v>853.04835316252854</v>
      </c>
      <c r="N25" s="38">
        <v>976.21614361844604</v>
      </c>
      <c r="O25" s="38">
        <v>1119.4484981242374</v>
      </c>
      <c r="P25" s="38">
        <v>1239.365836542818</v>
      </c>
      <c r="Q25" s="38">
        <v>1301.9716737533802</v>
      </c>
      <c r="R25" s="38">
        <v>1308.2011881061212</v>
      </c>
      <c r="S25" s="38">
        <v>1671.3534009980503</v>
      </c>
      <c r="T25" s="38">
        <v>1764.4823991371736</v>
      </c>
      <c r="U25" s="38">
        <v>1819.6119893699451</v>
      </c>
      <c r="V25" s="38">
        <v>1718.1680675246821</v>
      </c>
      <c r="W25" s="38">
        <v>1822.0448287585191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0.30977094473346423</v>
      </c>
      <c r="D28" s="183">
        <v>0.32343384236328809</v>
      </c>
      <c r="E28" s="183">
        <v>0.29158940484117934</v>
      </c>
      <c r="F28" s="183">
        <v>0.36536648327635834</v>
      </c>
      <c r="G28" s="183">
        <v>0.38663933107574344</v>
      </c>
      <c r="H28" s="183">
        <v>0.38851055999063977</v>
      </c>
      <c r="I28" s="183">
        <v>0.40333657654943522</v>
      </c>
      <c r="J28" s="183">
        <v>0.40897308213704875</v>
      </c>
      <c r="K28" s="183">
        <v>0.41131754714538094</v>
      </c>
      <c r="L28" s="183">
        <v>0.36870142467781353</v>
      </c>
      <c r="M28" s="183">
        <v>0.46634089389578737</v>
      </c>
      <c r="N28" s="183">
        <v>0.50029280908302809</v>
      </c>
      <c r="O28" s="183">
        <v>0.54588027951211693</v>
      </c>
      <c r="P28" s="183">
        <v>0.54574489123631764</v>
      </c>
      <c r="Q28" s="183">
        <v>0.56199287961615418</v>
      </c>
      <c r="R28" s="183">
        <v>0.51939429583642482</v>
      </c>
      <c r="S28" s="183">
        <v>0.52154998788185036</v>
      </c>
      <c r="T28" s="183">
        <v>0.53364225386565778</v>
      </c>
      <c r="U28" s="183">
        <v>0.49664304354594524</v>
      </c>
      <c r="V28" s="183">
        <v>0.51251860656220138</v>
      </c>
      <c r="W28" s="183">
        <v>0.48422556610584699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15.134392067278426</v>
      </c>
      <c r="D29" s="183">
        <v>15.950529704120896</v>
      </c>
      <c r="E29" s="183">
        <v>17.375641750057554</v>
      </c>
      <c r="F29" s="183">
        <v>18.179665503888572</v>
      </c>
      <c r="G29" s="183">
        <v>20.147499467680944</v>
      </c>
      <c r="H29" s="183">
        <v>19.880743688784889</v>
      </c>
      <c r="I29" s="183">
        <v>20.175980523514866</v>
      </c>
      <c r="J29" s="183">
        <v>19.699478573565059</v>
      </c>
      <c r="K29" s="183">
        <v>20.514551959715732</v>
      </c>
      <c r="L29" s="183">
        <v>22.686819637585785</v>
      </c>
      <c r="M29" s="183">
        <v>23.927269748983264</v>
      </c>
      <c r="N29" s="183">
        <v>27.550894438556099</v>
      </c>
      <c r="O29" s="183">
        <v>28.074444821680089</v>
      </c>
      <c r="P29" s="183">
        <v>31.239446756791153</v>
      </c>
      <c r="Q29" s="183">
        <v>31.16954062307147</v>
      </c>
      <c r="R29" s="183">
        <v>27.158904123704929</v>
      </c>
      <c r="S29" s="183">
        <v>29.285181440667031</v>
      </c>
      <c r="T29" s="183">
        <v>30.766911122148002</v>
      </c>
      <c r="U29" s="183">
        <v>34.362977904107339</v>
      </c>
      <c r="V29" s="183">
        <v>34.749756380163888</v>
      </c>
      <c r="W29" s="183">
        <v>37.661749288380548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0.2527642367363474</v>
      </c>
      <c r="D30" s="183">
        <v>0.26695948968898864</v>
      </c>
      <c r="E30" s="183">
        <v>0.26230185439758591</v>
      </c>
      <c r="F30" s="183">
        <v>0.2809156034415492</v>
      </c>
      <c r="G30" s="183">
        <v>0.29395074180086556</v>
      </c>
      <c r="H30" s="183">
        <v>0.29596138675607775</v>
      </c>
      <c r="I30" s="183">
        <v>0.28732272548245885</v>
      </c>
      <c r="J30" s="183">
        <v>0.31046950955604546</v>
      </c>
      <c r="K30" s="183">
        <v>0.31108704593734648</v>
      </c>
      <c r="L30" s="183">
        <v>0.33566273377913891</v>
      </c>
      <c r="M30" s="183">
        <v>0.37228433969237917</v>
      </c>
      <c r="N30" s="183">
        <v>0.38496546037603596</v>
      </c>
      <c r="O30" s="183">
        <v>0.39104390097739494</v>
      </c>
      <c r="P30" s="183">
        <v>0.42845632993275795</v>
      </c>
      <c r="Q30" s="183">
        <v>0.43297004399200345</v>
      </c>
      <c r="R30" s="183">
        <v>0.44514811502552876</v>
      </c>
      <c r="S30" s="183">
        <v>0.4823524589205439</v>
      </c>
      <c r="T30" s="183">
        <v>0.49466762210849424</v>
      </c>
      <c r="U30" s="183">
        <v>0.49751027141331905</v>
      </c>
      <c r="V30" s="183">
        <v>0.52644494903892358</v>
      </c>
      <c r="W30" s="183">
        <v>0.51458869665413509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1.4883338056017603</v>
      </c>
      <c r="D31" s="183">
        <v>1.5556217208285492</v>
      </c>
      <c r="E31" s="183">
        <v>1.5512748598238773</v>
      </c>
      <c r="F31" s="183">
        <v>1.6603005457454127</v>
      </c>
      <c r="G31" s="183">
        <v>1.7260918704102259</v>
      </c>
      <c r="H31" s="183">
        <v>1.8569321397515548</v>
      </c>
      <c r="I31" s="183">
        <v>1.9117183070921886</v>
      </c>
      <c r="J31" s="183">
        <v>1.9594764255365664</v>
      </c>
      <c r="K31" s="183">
        <v>2.1167311286321411</v>
      </c>
      <c r="L31" s="183">
        <v>2.1327816079628974</v>
      </c>
      <c r="M31" s="183">
        <v>2.195316677010954</v>
      </c>
      <c r="N31" s="183">
        <v>2.4461628801408075</v>
      </c>
      <c r="O31" s="183">
        <v>2.4943028031051782</v>
      </c>
      <c r="P31" s="183">
        <v>2.7774394345596924</v>
      </c>
      <c r="Q31" s="183">
        <v>3.0372613082016215</v>
      </c>
      <c r="R31" s="183">
        <v>2.7732978882674288</v>
      </c>
      <c r="S31" s="183">
        <v>2.8273590825513146</v>
      </c>
      <c r="T31" s="183">
        <v>2.9059230251247392</v>
      </c>
      <c r="U31" s="183">
        <v>3.057600443956126</v>
      </c>
      <c r="V31" s="183">
        <v>3.0489089329380619</v>
      </c>
      <c r="W31" s="183">
        <v>3.0656583195991765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8.039078912404185E-2</v>
      </c>
      <c r="D32" s="41">
        <v>8.6701619429403687E-2</v>
      </c>
      <c r="E32" s="41">
        <v>8.5620652660959307E-2</v>
      </c>
      <c r="F32" s="41">
        <v>0.10130442829823383</v>
      </c>
      <c r="G32" s="41">
        <v>0.11744925224308522</v>
      </c>
      <c r="H32" s="41">
        <v>0.12161965079023362</v>
      </c>
      <c r="I32" s="41">
        <v>0.13653156978529957</v>
      </c>
      <c r="J32" s="41">
        <v>0.14868518897941052</v>
      </c>
      <c r="K32" s="41">
        <v>0.15657145897220293</v>
      </c>
      <c r="L32" s="41">
        <v>0.15139918087098159</v>
      </c>
      <c r="M32" s="41">
        <v>0.18739382600028054</v>
      </c>
      <c r="N32" s="41">
        <v>0.19567068959262746</v>
      </c>
      <c r="O32" s="41">
        <v>0.23086948276020181</v>
      </c>
      <c r="P32" s="41">
        <v>0.25481704435012187</v>
      </c>
      <c r="Q32" s="41">
        <v>0.2609593836218056</v>
      </c>
      <c r="R32" s="41">
        <v>0.16357071371506793</v>
      </c>
      <c r="S32" s="41">
        <v>0.1686261615227469</v>
      </c>
      <c r="T32" s="41">
        <v>0.16884713589636036</v>
      </c>
      <c r="U32" s="41">
        <v>0.18537754560457165</v>
      </c>
      <c r="V32" s="41">
        <v>0.20169705342498911</v>
      </c>
      <c r="W32" s="41">
        <v>0.20482715268024432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141.04774009673105</v>
      </c>
      <c r="D33" s="42">
        <v>69.227449800816828</v>
      </c>
      <c r="E33" s="42">
        <v>131.10592687055475</v>
      </c>
      <c r="F33" s="42">
        <v>2.5313228686059119E-2</v>
      </c>
      <c r="G33" s="42">
        <v>108.12041236710814</v>
      </c>
      <c r="H33" s="42">
        <v>193.89117077649854</v>
      </c>
      <c r="I33" s="42">
        <v>186.72178785821399</v>
      </c>
      <c r="J33" s="42">
        <v>165.78939515649665</v>
      </c>
      <c r="K33" s="42">
        <v>44.130969366855652</v>
      </c>
      <c r="L33" s="42">
        <v>183.63006901346182</v>
      </c>
      <c r="M33" s="42">
        <v>272.77613176750049</v>
      </c>
      <c r="N33" s="42">
        <v>309.88957831413154</v>
      </c>
      <c r="O33" s="42">
        <v>309.02174966228802</v>
      </c>
      <c r="P33" s="42">
        <v>164.04830778543624</v>
      </c>
      <c r="Q33" s="42">
        <v>246.23590622402412</v>
      </c>
      <c r="R33" s="42">
        <v>279.00564612024164</v>
      </c>
      <c r="S33" s="42">
        <v>673.04179120606068</v>
      </c>
      <c r="T33" s="42">
        <v>402.1507478014114</v>
      </c>
      <c r="U33" s="42">
        <v>219.17789801820777</v>
      </c>
      <c r="V33" s="42">
        <v>144.79198437876107</v>
      </c>
      <c r="W33" s="42">
        <v>382.88240735407862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0.2171872614836845</v>
      </c>
      <c r="D36" s="183">
        <v>0.22333053224868227</v>
      </c>
      <c r="E36" s="183">
        <v>0.22964756907819961</v>
      </c>
      <c r="F36" s="183">
        <v>0.23614328704864196</v>
      </c>
      <c r="G36" s="183">
        <v>0.24282274026227046</v>
      </c>
      <c r="H36" s="183">
        <v>0.2496911257796306</v>
      </c>
      <c r="I36" s="183">
        <v>0.2567537876632171</v>
      </c>
      <c r="J36" s="183">
        <v>0.26401622113550527</v>
      </c>
      <c r="K36" s="183">
        <v>0.27148407685460541</v>
      </c>
      <c r="L36" s="183">
        <v>0.27916316531085261</v>
      </c>
      <c r="M36" s="183">
        <v>0.28705946134774951</v>
      </c>
      <c r="N36" s="183">
        <v>0.29517910881080311</v>
      </c>
      <c r="O36" s="183">
        <v>0.30352842532783786</v>
      </c>
      <c r="P36" s="183">
        <v>0.31211390722453825</v>
      </c>
      <c r="Q36" s="183">
        <v>0.32094223457902071</v>
      </c>
      <c r="R36" s="183">
        <v>0.33002027641938092</v>
      </c>
      <c r="S36" s="183">
        <v>0.33935509606825676</v>
      </c>
      <c r="T36" s="183">
        <v>0.34895395663856554</v>
      </c>
      <c r="U36" s="183">
        <v>0.30977094473346334</v>
      </c>
      <c r="V36" s="183">
        <v>0.32343384236328809</v>
      </c>
      <c r="W36" s="183">
        <v>0.29158940484117934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12.689766064620869</v>
      </c>
      <c r="D37" s="183">
        <v>13.235995541270128</v>
      </c>
      <c r="E37" s="183">
        <v>13.805737401019357</v>
      </c>
      <c r="F37" s="183">
        <v>14.400003731613168</v>
      </c>
      <c r="G37" s="183">
        <v>15.019850185993107</v>
      </c>
      <c r="H37" s="183">
        <v>15.666377857556625</v>
      </c>
      <c r="I37" s="183">
        <v>16.34073523613597</v>
      </c>
      <c r="J37" s="183">
        <v>15.134392067278412</v>
      </c>
      <c r="K37" s="183">
        <v>15.950529704120896</v>
      </c>
      <c r="L37" s="183">
        <v>17.375641750057554</v>
      </c>
      <c r="M37" s="183">
        <v>18.179665503888572</v>
      </c>
      <c r="N37" s="183">
        <v>20.147499467680944</v>
      </c>
      <c r="O37" s="183">
        <v>19.880743688784889</v>
      </c>
      <c r="P37" s="183">
        <v>20.175980523514852</v>
      </c>
      <c r="Q37" s="183">
        <v>19.699478573565045</v>
      </c>
      <c r="R37" s="183">
        <v>20.514551959715732</v>
      </c>
      <c r="S37" s="183">
        <v>22.686819637585785</v>
      </c>
      <c r="T37" s="183">
        <v>23.927269748983264</v>
      </c>
      <c r="U37" s="183">
        <v>27.550894438556099</v>
      </c>
      <c r="V37" s="183">
        <v>28.074444821680089</v>
      </c>
      <c r="W37" s="183">
        <v>31.239446756791125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0.23187135175190621</v>
      </c>
      <c r="D38" s="183">
        <v>0.23789498736617798</v>
      </c>
      <c r="E38" s="183">
        <v>0.24407510710726976</v>
      </c>
      <c r="F38" s="183">
        <v>0.25041577617492417</v>
      </c>
      <c r="G38" s="183">
        <v>0.25692116537607346</v>
      </c>
      <c r="H38" s="183">
        <v>0.26359555386834121</v>
      </c>
      <c r="I38" s="183">
        <v>0.2527642367363474</v>
      </c>
      <c r="J38" s="183">
        <v>0.26695948968898864</v>
      </c>
      <c r="K38" s="183">
        <v>0.26230185439758591</v>
      </c>
      <c r="L38" s="183">
        <v>0.2809156034415492</v>
      </c>
      <c r="M38" s="183">
        <v>0.29395074180086578</v>
      </c>
      <c r="N38" s="183">
        <v>0.29596138675607797</v>
      </c>
      <c r="O38" s="183">
        <v>0.28732272548245863</v>
      </c>
      <c r="P38" s="183">
        <v>0.31046950955604569</v>
      </c>
      <c r="Q38" s="183">
        <v>0.31108704593734648</v>
      </c>
      <c r="R38" s="183">
        <v>0.33566273377913891</v>
      </c>
      <c r="S38" s="183">
        <v>0.37228433969237917</v>
      </c>
      <c r="T38" s="183">
        <v>0.38496546037603618</v>
      </c>
      <c r="U38" s="183">
        <v>0.39104390097739472</v>
      </c>
      <c r="V38" s="183">
        <v>0.42845632993275773</v>
      </c>
      <c r="W38" s="183">
        <v>0.43297004399200345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1.1345663409941587</v>
      </c>
      <c r="D39" s="183">
        <v>1.1584650565154533</v>
      </c>
      <c r="E39" s="183">
        <v>1.1828671790063812</v>
      </c>
      <c r="F39" s="183">
        <v>1.2077833123245796</v>
      </c>
      <c r="G39" s="183">
        <v>1.233224283689303</v>
      </c>
      <c r="H39" s="183">
        <v>1.2592011483863619</v>
      </c>
      <c r="I39" s="183">
        <v>1.2857251945721533</v>
      </c>
      <c r="J39" s="183">
        <v>1.3128079481788895</v>
      </c>
      <c r="K39" s="183">
        <v>1.3404611779231566</v>
      </c>
      <c r="L39" s="183">
        <v>1.368696900419959</v>
      </c>
      <c r="M39" s="183">
        <v>1.4883338056017621</v>
      </c>
      <c r="N39" s="183">
        <v>1.555621720828551</v>
      </c>
      <c r="O39" s="183">
        <v>1.5512748598238773</v>
      </c>
      <c r="P39" s="183">
        <v>1.660300545745411</v>
      </c>
      <c r="Q39" s="183">
        <v>1.7260918704102259</v>
      </c>
      <c r="R39" s="183">
        <v>1.8569321397515566</v>
      </c>
      <c r="S39" s="183">
        <v>1.9117183070921868</v>
      </c>
      <c r="T39" s="183">
        <v>1.9594764255365682</v>
      </c>
      <c r="U39" s="183">
        <v>2.1167311286321429</v>
      </c>
      <c r="V39" s="183">
        <v>2.1327816079628974</v>
      </c>
      <c r="W39" s="183">
        <v>2.195316677010954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4.4474110176413895E-2</v>
      </c>
      <c r="D40" s="41">
        <v>4.9478847442643525E-2</v>
      </c>
      <c r="E40" s="41">
        <v>5.5046775180917162E-2</v>
      </c>
      <c r="F40" s="41">
        <v>6.1241270046377139E-2</v>
      </c>
      <c r="G40" s="41">
        <v>6.813284056271951E-2</v>
      </c>
      <c r="H40" s="41">
        <v>7.5799929681888978E-2</v>
      </c>
      <c r="I40" s="41">
        <v>8.4329807657001821E-2</v>
      </c>
      <c r="J40" s="41">
        <v>9.3819565391576987E-2</v>
      </c>
      <c r="K40" s="41">
        <v>0.104377219571822</v>
      </c>
      <c r="L40" s="41">
        <v>0.1161229421610861</v>
      </c>
      <c r="M40" s="41">
        <v>0.12919042825114024</v>
      </c>
      <c r="N40" s="41">
        <v>0.14372841783977819</v>
      </c>
      <c r="O40" s="41">
        <v>0.15990238885630115</v>
      </c>
      <c r="P40" s="41">
        <v>0.17789644070565513</v>
      </c>
      <c r="Q40" s="41">
        <v>0.19791538977057366</v>
      </c>
      <c r="R40" s="41">
        <v>8.0390789124042072E-2</v>
      </c>
      <c r="S40" s="41">
        <v>8.6701619429403909E-2</v>
      </c>
      <c r="T40" s="41">
        <v>8.5620652660959529E-2</v>
      </c>
      <c r="U40" s="41">
        <v>0.10130442829823405</v>
      </c>
      <c r="V40" s="41">
        <v>0.11744925224308522</v>
      </c>
      <c r="W40" s="41">
        <v>0.12161965079023362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58.819180341698939</v>
      </c>
      <c r="D41" s="42">
        <v>58.819180341698939</v>
      </c>
      <c r="E41" s="42">
        <v>58.819180341698996</v>
      </c>
      <c r="F41" s="42">
        <v>58.819180341698939</v>
      </c>
      <c r="G41" s="42">
        <v>58.819180341698939</v>
      </c>
      <c r="H41" s="42">
        <v>141.04774009673099</v>
      </c>
      <c r="I41" s="42">
        <v>69.227449800816885</v>
      </c>
      <c r="J41" s="42">
        <v>131.10592687055475</v>
      </c>
      <c r="K41" s="42">
        <v>2.5313228686059119E-2</v>
      </c>
      <c r="L41" s="42">
        <v>108.12041236710809</v>
      </c>
      <c r="M41" s="42">
        <v>193.8911707764986</v>
      </c>
      <c r="N41" s="42">
        <v>186.72178785821416</v>
      </c>
      <c r="O41" s="42">
        <v>165.78939515649677</v>
      </c>
      <c r="P41" s="42">
        <v>44.130969366855652</v>
      </c>
      <c r="Q41" s="42">
        <v>183.63006901346193</v>
      </c>
      <c r="R41" s="42">
        <v>272.7761317675006</v>
      </c>
      <c r="S41" s="42">
        <v>309.88957831413154</v>
      </c>
      <c r="T41" s="42">
        <v>309.02174966228813</v>
      </c>
      <c r="U41" s="42">
        <v>164.04830778543624</v>
      </c>
      <c r="V41" s="42">
        <v>246.23590622402412</v>
      </c>
      <c r="W41" s="42">
        <v>279.00564612024164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8759.9999999999964</v>
      </c>
      <c r="D44" s="185">
        <v>8759.9999999999982</v>
      </c>
      <c r="E44" s="185">
        <v>8759.9999999999982</v>
      </c>
      <c r="F44" s="185">
        <v>8759.9999999999964</v>
      </c>
      <c r="G44" s="185">
        <v>8759.9999999999964</v>
      </c>
      <c r="H44" s="185">
        <v>8759.9999999999964</v>
      </c>
      <c r="I44" s="185">
        <v>8759.9999999999964</v>
      </c>
      <c r="J44" s="185">
        <v>8760</v>
      </c>
      <c r="K44" s="185">
        <v>8760</v>
      </c>
      <c r="L44" s="185">
        <v>8759.9999999999927</v>
      </c>
      <c r="M44" s="185">
        <v>8760</v>
      </c>
      <c r="N44" s="185">
        <v>8759.9999999999982</v>
      </c>
      <c r="O44" s="185">
        <v>8759.9999999999964</v>
      </c>
      <c r="P44" s="185">
        <v>8759.9999999999964</v>
      </c>
      <c r="Q44" s="185">
        <v>8759.9999999999982</v>
      </c>
      <c r="R44" s="185">
        <v>8760.0000000000018</v>
      </c>
      <c r="S44" s="185">
        <v>8760</v>
      </c>
      <c r="T44" s="185">
        <v>8760.0000000000018</v>
      </c>
      <c r="U44" s="185">
        <v>8760</v>
      </c>
      <c r="V44" s="185">
        <v>8760.0000000000036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4002.6704848373065</v>
      </c>
      <c r="C45" s="185">
        <v>4005.5674164954839</v>
      </c>
      <c r="D45" s="185">
        <v>4010.8635008300794</v>
      </c>
      <c r="E45" s="185">
        <v>4012.426770624244</v>
      </c>
      <c r="F45" s="185">
        <v>4019.105074839365</v>
      </c>
      <c r="G45" s="185">
        <v>4023.0303038887996</v>
      </c>
      <c r="H45" s="185">
        <v>4024.3051595040497</v>
      </c>
      <c r="I45" s="185">
        <v>4028.2583760414168</v>
      </c>
      <c r="J45" s="185">
        <v>4027.0421875515212</v>
      </c>
      <c r="K45" s="185">
        <v>4022.8660020568027</v>
      </c>
      <c r="L45" s="185">
        <v>4021.8769636949296</v>
      </c>
      <c r="M45" s="185">
        <v>4012.8947562989283</v>
      </c>
      <c r="N45" s="185">
        <v>3992.5736447945001</v>
      </c>
      <c r="O45" s="185">
        <v>3960.771832692943</v>
      </c>
      <c r="P45" s="185">
        <v>3925.2552026638732</v>
      </c>
      <c r="Q45" s="185">
        <v>3884.4814812516956</v>
      </c>
      <c r="R45" s="185">
        <v>3889.7525978042304</v>
      </c>
      <c r="S45" s="185">
        <v>3927.497451408939</v>
      </c>
      <c r="T45" s="185">
        <v>3900.8611517533495</v>
      </c>
      <c r="U45" s="185">
        <v>3883.8121901650375</v>
      </c>
      <c r="V45" s="185">
        <v>3900.0074592840792</v>
      </c>
      <c r="W45" s="185">
        <v>3907.1337405396689</v>
      </c>
      <c r="DA45" s="194" t="s">
        <v>940</v>
      </c>
    </row>
    <row r="46" spans="1:105" ht="12" customHeight="1" x14ac:dyDescent="0.25">
      <c r="A46" s="132" t="s">
        <v>5</v>
      </c>
      <c r="B46" s="185">
        <v>2447.5446128044427</v>
      </c>
      <c r="C46" s="185">
        <v>2468.3483188655582</v>
      </c>
      <c r="D46" s="185">
        <v>2482.0956269047783</v>
      </c>
      <c r="E46" s="185">
        <v>2495.3836933614866</v>
      </c>
      <c r="F46" s="185">
        <v>2510.4184339163221</v>
      </c>
      <c r="G46" s="185">
        <v>2522.7038747237984</v>
      </c>
      <c r="H46" s="185">
        <v>2532.096770162796</v>
      </c>
      <c r="I46" s="185">
        <v>2544.251729986278</v>
      </c>
      <c r="J46" s="185">
        <v>2554.2314439682787</v>
      </c>
      <c r="K46" s="185">
        <v>2565.1470152503293</v>
      </c>
      <c r="L46" s="185">
        <v>2575.4715960798017</v>
      </c>
      <c r="M46" s="185">
        <v>2587.0409341246645</v>
      </c>
      <c r="N46" s="185">
        <v>2594.3006115027169</v>
      </c>
      <c r="O46" s="185">
        <v>2599.7535505002388</v>
      </c>
      <c r="P46" s="185">
        <v>2604.8931452441138</v>
      </c>
      <c r="Q46" s="185">
        <v>2608.9190541565317</v>
      </c>
      <c r="R46" s="185">
        <v>2625.8664156680384</v>
      </c>
      <c r="S46" s="185">
        <v>2629.1126504297035</v>
      </c>
      <c r="T46" s="185">
        <v>2619.6797246321321</v>
      </c>
      <c r="U46" s="185">
        <v>2622.4266160801908</v>
      </c>
      <c r="V46" s="185">
        <v>2443.359499279496</v>
      </c>
      <c r="W46" s="185">
        <v>2637.4486988694366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8760.0000000000018</v>
      </c>
      <c r="E47" s="185">
        <v>8759.9999999999982</v>
      </c>
      <c r="F47" s="185">
        <v>8759.9999999999982</v>
      </c>
      <c r="G47" s="185">
        <v>8760.0000000000018</v>
      </c>
      <c r="H47" s="185">
        <v>8760.0000000000018</v>
      </c>
      <c r="I47" s="185">
        <v>8759.9999999999945</v>
      </c>
      <c r="J47" s="185">
        <v>8760.0000000000036</v>
      </c>
      <c r="K47" s="185">
        <v>8760.0000000000018</v>
      </c>
      <c r="L47" s="185">
        <v>8759.9999999999982</v>
      </c>
      <c r="M47" s="185">
        <v>8760.0000000000036</v>
      </c>
      <c r="N47" s="185">
        <v>8759.9999999999982</v>
      </c>
      <c r="O47" s="185">
        <v>8760</v>
      </c>
      <c r="P47" s="185">
        <v>8760</v>
      </c>
      <c r="Q47" s="185">
        <v>8759.9999999999982</v>
      </c>
      <c r="R47" s="185">
        <v>8760.0000000000018</v>
      </c>
      <c r="S47" s="185">
        <v>8760</v>
      </c>
      <c r="T47" s="185">
        <v>8760</v>
      </c>
      <c r="U47" s="185">
        <v>8760.0000000000018</v>
      </c>
      <c r="V47" s="185">
        <v>8760.0000000000018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852.25242908791142</v>
      </c>
      <c r="C48" s="44">
        <v>856.32353845019907</v>
      </c>
      <c r="D48" s="44">
        <v>860.05714873698867</v>
      </c>
      <c r="E48" s="44">
        <v>863.50611088713572</v>
      </c>
      <c r="F48" s="44">
        <v>866.71168051706752</v>
      </c>
      <c r="G48" s="44">
        <v>869.7066897837509</v>
      </c>
      <c r="H48" s="44">
        <v>872.51770198785221</v>
      </c>
      <c r="I48" s="44">
        <v>875.16651733093204</v>
      </c>
      <c r="J48" s="44">
        <v>877.671251290432</v>
      </c>
      <c r="K48" s="44">
        <v>880.04712355107881</v>
      </c>
      <c r="L48" s="44">
        <v>882.30704609332577</v>
      </c>
      <c r="M48" s="44">
        <v>883.74314375502411</v>
      </c>
      <c r="N48" s="44">
        <v>885.11459831049103</v>
      </c>
      <c r="O48" s="44">
        <v>886.42706722871094</v>
      </c>
      <c r="P48" s="44">
        <v>887.68549279248805</v>
      </c>
      <c r="Q48" s="44">
        <v>888.89421805966924</v>
      </c>
      <c r="R48" s="44">
        <v>891.13878362716048</v>
      </c>
      <c r="S48" s="44">
        <v>897.77726586385427</v>
      </c>
      <c r="T48" s="44">
        <v>895.03308407894735</v>
      </c>
      <c r="U48" s="44">
        <v>894.85643002183951</v>
      </c>
      <c r="V48" s="44">
        <v>833.75296200026821</v>
      </c>
      <c r="W48" s="44">
        <v>899.98244853227163</v>
      </c>
      <c r="DA48" s="95" t="s">
        <v>943</v>
      </c>
    </row>
    <row r="49" spans="1:105" ht="12" customHeight="1" x14ac:dyDescent="0.25">
      <c r="A49" s="62" t="s">
        <v>3</v>
      </c>
      <c r="B49" s="186">
        <v>1732.8728554209808</v>
      </c>
      <c r="C49" s="186">
        <v>1753.604355016809</v>
      </c>
      <c r="D49" s="186">
        <v>1783.5739825698765</v>
      </c>
      <c r="E49" s="186">
        <v>1812.6093113560764</v>
      </c>
      <c r="F49" s="186">
        <v>1844.3979115774519</v>
      </c>
      <c r="G49" s="186">
        <v>1873.6681988150344</v>
      </c>
      <c r="H49" s="186">
        <v>1902.5524079011143</v>
      </c>
      <c r="I49" s="186">
        <v>1926.176722001599</v>
      </c>
      <c r="J49" s="186">
        <v>1949.4470573834124</v>
      </c>
      <c r="K49" s="186">
        <v>1966.6642153075168</v>
      </c>
      <c r="L49" s="186">
        <v>1990.5481984410958</v>
      </c>
      <c r="M49" s="186">
        <v>2014.6850145545741</v>
      </c>
      <c r="N49" s="186">
        <v>2033.2451243009968</v>
      </c>
      <c r="O49" s="186">
        <v>2051.2878038338245</v>
      </c>
      <c r="P49" s="186">
        <v>2072.3386407361563</v>
      </c>
      <c r="Q49" s="186">
        <v>2091.9880973668742</v>
      </c>
      <c r="R49" s="186">
        <v>2105.957308644025</v>
      </c>
      <c r="S49" s="186">
        <v>2130.111476273798</v>
      </c>
      <c r="T49" s="186">
        <v>2127.2776146283436</v>
      </c>
      <c r="U49" s="186">
        <v>2128.0837183689446</v>
      </c>
      <c r="V49" s="186">
        <v>2040.8965734348171</v>
      </c>
      <c r="W49" s="186">
        <v>2142.7121161759655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0.65122719315423017</v>
      </c>
      <c r="C52" s="181">
        <v>0.6471361058068098</v>
      </c>
      <c r="D52" s="181">
        <v>0.64264991537487937</v>
      </c>
      <c r="E52" s="181">
        <v>0.63834347750998344</v>
      </c>
      <c r="F52" s="181">
        <v>0.63286858492452902</v>
      </c>
      <c r="G52" s="181">
        <v>0.62697775814166268</v>
      </c>
      <c r="H52" s="181">
        <v>0.62095473036881532</v>
      </c>
      <c r="I52" s="181">
        <v>0.61457259367993367</v>
      </c>
      <c r="J52" s="181">
        <v>0.60794297263587516</v>
      </c>
      <c r="K52" s="181">
        <v>0.60111252057080999</v>
      </c>
      <c r="L52" s="181">
        <v>0.59453619108254874</v>
      </c>
      <c r="M52" s="181">
        <v>0.5865944658277078</v>
      </c>
      <c r="N52" s="181">
        <v>0.57798614319512442</v>
      </c>
      <c r="O52" s="181">
        <v>0.56859678247940515</v>
      </c>
      <c r="P52" s="181">
        <v>0.55886360228357868</v>
      </c>
      <c r="Q52" s="181">
        <v>0.54854902704104302</v>
      </c>
      <c r="R52" s="181">
        <v>0.53887004183678955</v>
      </c>
      <c r="S52" s="181">
        <v>0.52915630794136415</v>
      </c>
      <c r="T52" s="181">
        <v>0.51922827174468611</v>
      </c>
      <c r="U52" s="181">
        <v>0.51279096310498695</v>
      </c>
      <c r="V52" s="181">
        <v>0.5062236704462576</v>
      </c>
      <c r="W52" s="181">
        <v>0.50058170993928564</v>
      </c>
      <c r="DA52" s="190" t="s">
        <v>945</v>
      </c>
    </row>
    <row r="53" spans="1:105" ht="12" customHeight="1" x14ac:dyDescent="0.25">
      <c r="A53" s="132" t="s">
        <v>100</v>
      </c>
      <c r="B53" s="181">
        <v>185.89086020614781</v>
      </c>
      <c r="C53" s="181">
        <v>184.09947177411141</v>
      </c>
      <c r="D53" s="181">
        <v>181.9618975703593</v>
      </c>
      <c r="E53" s="181">
        <v>179.37133868848392</v>
      </c>
      <c r="F53" s="181">
        <v>176.3594209638872</v>
      </c>
      <c r="G53" s="181">
        <v>172.82435917716097</v>
      </c>
      <c r="H53" s="181">
        <v>169.13117235252247</v>
      </c>
      <c r="I53" s="181">
        <v>165.16478021382551</v>
      </c>
      <c r="J53" s="181">
        <v>162.67421993420066</v>
      </c>
      <c r="K53" s="181">
        <v>159.95504452912587</v>
      </c>
      <c r="L53" s="181">
        <v>156.88574414045959</v>
      </c>
      <c r="M53" s="181">
        <v>153.64925256514817</v>
      </c>
      <c r="N53" s="181">
        <v>149.84464626810197</v>
      </c>
      <c r="O53" s="181">
        <v>145.61612358715945</v>
      </c>
      <c r="P53" s="181">
        <v>140.60715146631867</v>
      </c>
      <c r="Q53" s="181">
        <v>135.28102490700041</v>
      </c>
      <c r="R53" s="181">
        <v>130.2373986941729</v>
      </c>
      <c r="S53" s="181">
        <v>124.77711659850127</v>
      </c>
      <c r="T53" s="181">
        <v>119.06496194996136</v>
      </c>
      <c r="U53" s="181">
        <v>112.77074895190839</v>
      </c>
      <c r="V53" s="181">
        <v>106.73548765246774</v>
      </c>
      <c r="W53" s="181">
        <v>101.19840360914509</v>
      </c>
      <c r="DA53" s="190" t="s">
        <v>946</v>
      </c>
    </row>
    <row r="54" spans="1:105" ht="12" customHeight="1" x14ac:dyDescent="0.25">
      <c r="A54" s="132" t="s">
        <v>140</v>
      </c>
      <c r="B54" s="181">
        <v>39.878428230419921</v>
      </c>
      <c r="C54" s="181">
        <v>39.399542266061871</v>
      </c>
      <c r="D54" s="181">
        <v>38.695086701231048</v>
      </c>
      <c r="E54" s="181">
        <v>37.889454107399445</v>
      </c>
      <c r="F54" s="181">
        <v>36.956385224585297</v>
      </c>
      <c r="G54" s="181">
        <v>35.877787496156479</v>
      </c>
      <c r="H54" s="181">
        <v>34.685483507401749</v>
      </c>
      <c r="I54" s="181">
        <v>33.854318247064732</v>
      </c>
      <c r="J54" s="181">
        <v>33.049186003673142</v>
      </c>
      <c r="K54" s="181">
        <v>32.233846794807434</v>
      </c>
      <c r="L54" s="181">
        <v>31.32499902763491</v>
      </c>
      <c r="M54" s="181">
        <v>30.330475152197938</v>
      </c>
      <c r="N54" s="181">
        <v>29.24461192359788</v>
      </c>
      <c r="O54" s="181">
        <v>28.123929700411182</v>
      </c>
      <c r="P54" s="181">
        <v>26.896089170961567</v>
      </c>
      <c r="Q54" s="181">
        <v>25.675968626755409</v>
      </c>
      <c r="R54" s="181">
        <v>24.296507499699366</v>
      </c>
      <c r="S54" s="181">
        <v>22.859794079459039</v>
      </c>
      <c r="T54" s="181">
        <v>21.194960614603175</v>
      </c>
      <c r="U54" s="181">
        <v>19.393967297469931</v>
      </c>
      <c r="V54" s="181">
        <v>17.770494512041456</v>
      </c>
      <c r="W54" s="181">
        <v>16.38034582463429</v>
      </c>
      <c r="DA54" s="190" t="s">
        <v>947</v>
      </c>
    </row>
    <row r="55" spans="1:105" ht="12" customHeight="1" x14ac:dyDescent="0.25">
      <c r="A55" s="132" t="s">
        <v>181</v>
      </c>
      <c r="B55" s="181">
        <v>651.10020777224406</v>
      </c>
      <c r="C55" s="181">
        <v>643.96249450371545</v>
      </c>
      <c r="D55" s="181">
        <v>634.9253343337997</v>
      </c>
      <c r="E55" s="181">
        <v>625.52535133972299</v>
      </c>
      <c r="F55" s="181">
        <v>615.34887047248117</v>
      </c>
      <c r="G55" s="181">
        <v>604.56513695714125</v>
      </c>
      <c r="H55" s="181">
        <v>592.98658923151197</v>
      </c>
      <c r="I55" s="181">
        <v>581.43728746033207</v>
      </c>
      <c r="J55" s="181">
        <v>569.18465497487136</v>
      </c>
      <c r="K55" s="181">
        <v>555.96155715888096</v>
      </c>
      <c r="L55" s="181">
        <v>542.13183274247672</v>
      </c>
      <c r="M55" s="181">
        <v>531.18273024381995</v>
      </c>
      <c r="N55" s="181">
        <v>520.74407943306039</v>
      </c>
      <c r="O55" s="181">
        <v>510.37626074791064</v>
      </c>
      <c r="P55" s="181">
        <v>498.71527623992341</v>
      </c>
      <c r="Q55" s="181">
        <v>487.23133092731649</v>
      </c>
      <c r="R55" s="181">
        <v>476.81789565182999</v>
      </c>
      <c r="S55" s="181">
        <v>466.27163188378813</v>
      </c>
      <c r="T55" s="181">
        <v>455.91652013078732</v>
      </c>
      <c r="U55" s="181">
        <v>445.30184275569883</v>
      </c>
      <c r="V55" s="181">
        <v>435.23309402552371</v>
      </c>
      <c r="W55" s="181">
        <v>426.31536410650233</v>
      </c>
      <c r="DA55" s="190" t="s">
        <v>948</v>
      </c>
    </row>
    <row r="56" spans="1:105" ht="12" customHeight="1" x14ac:dyDescent="0.25">
      <c r="A56" s="60" t="s">
        <v>99</v>
      </c>
      <c r="B56" s="55">
        <v>45.234805898803231</v>
      </c>
      <c r="C56" s="55">
        <v>45.105555419053019</v>
      </c>
      <c r="D56" s="55">
        <v>44.957020313615999</v>
      </c>
      <c r="E56" s="55">
        <v>44.80067421105052</v>
      </c>
      <c r="F56" s="55">
        <v>44.611719837270698</v>
      </c>
      <c r="G56" s="55">
        <v>44.392746422120965</v>
      </c>
      <c r="H56" s="55">
        <v>44.162499951242928</v>
      </c>
      <c r="I56" s="55">
        <v>43.893875997819649</v>
      </c>
      <c r="J56" s="55">
        <v>43.591737416364147</v>
      </c>
      <c r="K56" s="55">
        <v>43.250263457124838</v>
      </c>
      <c r="L56" s="55">
        <v>42.876866433486043</v>
      </c>
      <c r="M56" s="55">
        <v>42.372197206147646</v>
      </c>
      <c r="N56" s="55">
        <v>41.769651069371157</v>
      </c>
      <c r="O56" s="55">
        <v>41.005786714140513</v>
      </c>
      <c r="P56" s="55">
        <v>40.108806185456523</v>
      </c>
      <c r="Q56" s="55">
        <v>39.095674892496817</v>
      </c>
      <c r="R56" s="55">
        <v>38.665930046889599</v>
      </c>
      <c r="S56" s="55">
        <v>38.217753021745757</v>
      </c>
      <c r="T56" s="55">
        <v>37.768796858799689</v>
      </c>
      <c r="U56" s="55">
        <v>37.255009303009508</v>
      </c>
      <c r="V56" s="55">
        <v>36.678290947220425</v>
      </c>
      <c r="W56" s="55">
        <v>36.122427844036608</v>
      </c>
      <c r="DA56" s="101" t="s">
        <v>949</v>
      </c>
    </row>
    <row r="57" spans="1:105" ht="12" customHeight="1" x14ac:dyDescent="0.25">
      <c r="A57" s="62" t="s">
        <v>98</v>
      </c>
      <c r="B57" s="63">
        <v>343.72181435257284</v>
      </c>
      <c r="C57" s="63">
        <v>334.87811207703942</v>
      </c>
      <c r="D57" s="63">
        <v>328.56781798035979</v>
      </c>
      <c r="E57" s="63">
        <v>317.63780323830696</v>
      </c>
      <c r="F57" s="63">
        <v>313.80209122985747</v>
      </c>
      <c r="G57" s="63">
        <v>298.98844327445124</v>
      </c>
      <c r="H57" s="63">
        <v>275.64385333521994</v>
      </c>
      <c r="I57" s="63">
        <v>260.72498915270722</v>
      </c>
      <c r="J57" s="63">
        <v>243.65543920992582</v>
      </c>
      <c r="K57" s="63">
        <v>241.29862798949097</v>
      </c>
      <c r="L57" s="63">
        <v>224.42205380511638</v>
      </c>
      <c r="M57" s="63">
        <v>201.08058675945472</v>
      </c>
      <c r="N57" s="63">
        <v>182.20061464319195</v>
      </c>
      <c r="O57" s="63">
        <v>168.63595943025217</v>
      </c>
      <c r="P57" s="63">
        <v>163.7831730444727</v>
      </c>
      <c r="Q57" s="63">
        <v>154.8122565989228</v>
      </c>
      <c r="R57" s="63">
        <v>145.84774011032141</v>
      </c>
      <c r="S57" s="63">
        <v>134.64567423299266</v>
      </c>
      <c r="T57" s="63">
        <v>128.37964951354732</v>
      </c>
      <c r="U57" s="63">
        <v>125.94791095976701</v>
      </c>
      <c r="V57" s="63">
        <v>123.9897691111879</v>
      </c>
      <c r="W57" s="63">
        <v>120.72885883193972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0.58387275821126761</v>
      </c>
      <c r="D60" s="181">
        <v>0.57783327468282808</v>
      </c>
      <c r="E60" s="181">
        <v>0.57169117882898124</v>
      </c>
      <c r="F60" s="181">
        <v>0.56588450421022085</v>
      </c>
      <c r="G60" s="181">
        <v>0.5600663765700874</v>
      </c>
      <c r="H60" s="181">
        <v>0.55460116739681764</v>
      </c>
      <c r="I60" s="181">
        <v>0.54812617192059498</v>
      </c>
      <c r="J60" s="181">
        <v>0.54153339870022221</v>
      </c>
      <c r="K60" s="181">
        <v>0.53512657013112452</v>
      </c>
      <c r="L60" s="181">
        <v>0.52856378961635209</v>
      </c>
      <c r="M60" s="181">
        <v>0.52088309907970587</v>
      </c>
      <c r="N60" s="181">
        <v>0.51152336533195109</v>
      </c>
      <c r="O60" s="181">
        <v>0.50137750201654308</v>
      </c>
      <c r="P60" s="181">
        <v>0.49002685407643076</v>
      </c>
      <c r="Q60" s="181">
        <v>0.47769880916390928</v>
      </c>
      <c r="R60" s="181">
        <v>0.47429507391103942</v>
      </c>
      <c r="S60" s="181">
        <v>0.46916647990018273</v>
      </c>
      <c r="T60" s="181">
        <v>0.46288988677606857</v>
      </c>
      <c r="U60" s="181">
        <v>0.45534578850310636</v>
      </c>
      <c r="V60" s="181">
        <v>0.44839983401811956</v>
      </c>
      <c r="W60" s="181">
        <v>0.44752847250801142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173.62783835866657</v>
      </c>
      <c r="D61" s="181">
        <v>171.33807703605652</v>
      </c>
      <c r="E61" s="181">
        <v>168.70035044965493</v>
      </c>
      <c r="F61" s="181">
        <v>165.7035901277182</v>
      </c>
      <c r="G61" s="181">
        <v>162.62142256255933</v>
      </c>
      <c r="H61" s="181">
        <v>160.26993738811464</v>
      </c>
      <c r="I61" s="181">
        <v>157.76869022065489</v>
      </c>
      <c r="J61" s="181">
        <v>155.05283040113568</v>
      </c>
      <c r="K61" s="181">
        <v>151.38745849376937</v>
      </c>
      <c r="L61" s="181">
        <v>147.53858390378326</v>
      </c>
      <c r="M61" s="181">
        <v>143.69730040423315</v>
      </c>
      <c r="N61" s="181">
        <v>138.88383744893304</v>
      </c>
      <c r="O61" s="181">
        <v>132.73229598694107</v>
      </c>
      <c r="P61" s="181">
        <v>125.61471381245907</v>
      </c>
      <c r="Q61" s="181">
        <v>118.09706485894336</v>
      </c>
      <c r="R61" s="181">
        <v>111.82690628278252</v>
      </c>
      <c r="S61" s="181">
        <v>106.64723839816305</v>
      </c>
      <c r="T61" s="181">
        <v>101.38560084789826</v>
      </c>
      <c r="U61" s="181">
        <v>96.112738728720828</v>
      </c>
      <c r="V61" s="181">
        <v>90.908732111225959</v>
      </c>
      <c r="W61" s="181">
        <v>89.292705376572385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37.025798762018042</v>
      </c>
      <c r="D62" s="181">
        <v>35.776425305932669</v>
      </c>
      <c r="E62" s="181">
        <v>35.026452963190629</v>
      </c>
      <c r="F62" s="181">
        <v>34.402980639199775</v>
      </c>
      <c r="G62" s="181">
        <v>33.564254235709413</v>
      </c>
      <c r="H62" s="181">
        <v>32.7822739307937</v>
      </c>
      <c r="I62" s="181">
        <v>31.862977668615891</v>
      </c>
      <c r="J62" s="181">
        <v>31.018303042469729</v>
      </c>
      <c r="K62" s="181">
        <v>30.051876633103788</v>
      </c>
      <c r="L62" s="181">
        <v>29.082183226511098</v>
      </c>
      <c r="M62" s="181">
        <v>27.983245923534351</v>
      </c>
      <c r="N62" s="181">
        <v>26.569009500046164</v>
      </c>
      <c r="O62" s="181">
        <v>25.134344527142922</v>
      </c>
      <c r="P62" s="181">
        <v>23.849308496655478</v>
      </c>
      <c r="Q62" s="181">
        <v>22.554160264179632</v>
      </c>
      <c r="R62" s="181">
        <v>20.637070650909781</v>
      </c>
      <c r="S62" s="181">
        <v>19.502163871880914</v>
      </c>
      <c r="T62" s="181">
        <v>16.744763146312568</v>
      </c>
      <c r="U62" s="181">
        <v>14.223689104699867</v>
      </c>
      <c r="V62" s="181">
        <v>14.141355897034206</v>
      </c>
      <c r="W62" s="181">
        <v>13.797134622776104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589.53413645398825</v>
      </c>
      <c r="D63" s="181">
        <v>572.39270624098651</v>
      </c>
      <c r="E63" s="181">
        <v>564.83042731643684</v>
      </c>
      <c r="F63" s="181">
        <v>557.97845797739774</v>
      </c>
      <c r="G63" s="181">
        <v>550.00015105680927</v>
      </c>
      <c r="H63" s="181">
        <v>541.67941434242584</v>
      </c>
      <c r="I63" s="181">
        <v>536.78573207644592</v>
      </c>
      <c r="J63" s="181">
        <v>525.44232594761672</v>
      </c>
      <c r="K63" s="181">
        <v>513.64198507318042</v>
      </c>
      <c r="L63" s="181">
        <v>500.56175756123042</v>
      </c>
      <c r="M63" s="181">
        <v>481.17106877135177</v>
      </c>
      <c r="N63" s="181">
        <v>473.93415860918122</v>
      </c>
      <c r="O63" s="181">
        <v>462.95305449633537</v>
      </c>
      <c r="P63" s="181">
        <v>448.07391094744048</v>
      </c>
      <c r="Q63" s="181">
        <v>441.16905808053428</v>
      </c>
      <c r="R63" s="181">
        <v>434.15494059725728</v>
      </c>
      <c r="S63" s="181">
        <v>425.00797733346167</v>
      </c>
      <c r="T63" s="181">
        <v>414.56658527229939</v>
      </c>
      <c r="U63" s="181">
        <v>403.37049669393821</v>
      </c>
      <c r="V63" s="181">
        <v>392.93118855689886</v>
      </c>
      <c r="W63" s="181">
        <v>385.41750837954146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42.666585887627996</v>
      </c>
      <c r="D64" s="55">
        <v>42.378966228617074</v>
      </c>
      <c r="E64" s="55">
        <v>42.094958594855377</v>
      </c>
      <c r="F64" s="55">
        <v>41.882495447854986</v>
      </c>
      <c r="G64" s="55">
        <v>41.701977831715247</v>
      </c>
      <c r="H64" s="55">
        <v>41.509161775561502</v>
      </c>
      <c r="I64" s="55">
        <v>41.179911188034801</v>
      </c>
      <c r="J64" s="55">
        <v>40.863953083721171</v>
      </c>
      <c r="K64" s="55">
        <v>40.413227685193917</v>
      </c>
      <c r="L64" s="55">
        <v>39.852349594237076</v>
      </c>
      <c r="M64" s="55">
        <v>38.973224718119333</v>
      </c>
      <c r="N64" s="55">
        <v>37.992629419091692</v>
      </c>
      <c r="O64" s="55">
        <v>36.969981248325581</v>
      </c>
      <c r="P64" s="55">
        <v>36.027642275291306</v>
      </c>
      <c r="Q64" s="55">
        <v>35.005016335048154</v>
      </c>
      <c r="R64" s="55">
        <v>34.547427506807324</v>
      </c>
      <c r="S64" s="55">
        <v>33.980769164993973</v>
      </c>
      <c r="T64" s="55">
        <v>33.365457351345654</v>
      </c>
      <c r="U64" s="55">
        <v>32.676631803167609</v>
      </c>
      <c r="V64" s="55">
        <v>32.030995148685477</v>
      </c>
      <c r="W64" s="55">
        <v>31.905023737122381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320.12624668235378</v>
      </c>
      <c r="D65" s="63">
        <v>307.14030062470397</v>
      </c>
      <c r="E65" s="63">
        <v>297.09903462022146</v>
      </c>
      <c r="F65" s="63">
        <v>281.68719769682451</v>
      </c>
      <c r="G65" s="63">
        <v>268.48891962891469</v>
      </c>
      <c r="H65" s="63">
        <v>253.87969187776073</v>
      </c>
      <c r="I65" s="63">
        <v>237.79472334353167</v>
      </c>
      <c r="J65" s="63">
        <v>222.09774052831298</v>
      </c>
      <c r="K65" s="63">
        <v>206.36570186460256</v>
      </c>
      <c r="L65" s="63">
        <v>186.1584190423871</v>
      </c>
      <c r="M65" s="63">
        <v>172.36535809103924</v>
      </c>
      <c r="N65" s="63">
        <v>163.72662212700027</v>
      </c>
      <c r="O65" s="63">
        <v>154.46660386211315</v>
      </c>
      <c r="P65" s="63">
        <v>142.12347899263546</v>
      </c>
      <c r="Q65" s="63">
        <v>133.03578429428788</v>
      </c>
      <c r="R65" s="63">
        <v>129.94063090912286</v>
      </c>
      <c r="S65" s="63">
        <v>126.26183643295971</v>
      </c>
      <c r="T65" s="63">
        <v>122.38362572741352</v>
      </c>
      <c r="U65" s="63">
        <v>118.47824668708401</v>
      </c>
      <c r="V65" s="63">
        <v>114.76546954816182</v>
      </c>
      <c r="W65" s="63">
        <v>112.80826641423742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629.53472932080729</v>
      </c>
      <c r="C68" s="188">
        <f>1000000*C20/SER_summary!C$8</f>
        <v>636.50913197036493</v>
      </c>
      <c r="D68" s="188">
        <f>1000000*D20/SER_summary!D$8</f>
        <v>643.34050889470018</v>
      </c>
      <c r="E68" s="188">
        <f>1000000*E20/SER_summary!E$8</f>
        <v>648.93090023092759</v>
      </c>
      <c r="F68" s="188">
        <f>1000000*F20/SER_summary!F$8</f>
        <v>659.02855800358498</v>
      </c>
      <c r="G68" s="188">
        <f>1000000*G20/SER_summary!G$8</f>
        <v>669.26020949243423</v>
      </c>
      <c r="H68" s="188">
        <f>1000000*H20/SER_summary!H$8</f>
        <v>681.02586048721184</v>
      </c>
      <c r="I68" s="188">
        <f>1000000*I20/SER_summary!I$8</f>
        <v>692.90076827084636</v>
      </c>
      <c r="J68" s="188">
        <f>1000000*J20/SER_summary!J$8</f>
        <v>705.61480801727089</v>
      </c>
      <c r="K68" s="188">
        <f>1000000*K20/SER_summary!K$8</f>
        <v>717.97433996693746</v>
      </c>
      <c r="L68" s="188">
        <f>1000000*L20/SER_summary!L$8</f>
        <v>725.4642162597919</v>
      </c>
      <c r="M68" s="188">
        <f>1000000*M20/SER_summary!M$8</f>
        <v>734.34739725245026</v>
      </c>
      <c r="N68" s="188">
        <f>1000000*N20/SER_summary!N$8</f>
        <v>745.67638122976928</v>
      </c>
      <c r="O68" s="188">
        <f>1000000*O20/SER_summary!O$8</f>
        <v>756.93518881589455</v>
      </c>
      <c r="P68" s="188">
        <f>1000000*P20/SER_summary!P$8</f>
        <v>764.59646049736773</v>
      </c>
      <c r="Q68" s="188">
        <f>1000000*Q20/SER_summary!Q$8</f>
        <v>775.2045873828032</v>
      </c>
      <c r="R68" s="188">
        <f>1000000*R20/SER_summary!R$8</f>
        <v>778.47175249479756</v>
      </c>
      <c r="S68" s="188">
        <f>1000000*S20/SER_summary!S$8</f>
        <v>781.7173955366676</v>
      </c>
      <c r="T68" s="188">
        <f>1000000*T20/SER_summary!T$8</f>
        <v>785.0553408497351</v>
      </c>
      <c r="U68" s="188">
        <f>1000000*U20/SER_summary!U$8</f>
        <v>788.55462447245748</v>
      </c>
      <c r="V68" s="188">
        <f>1000000*V20/SER_summary!V$8</f>
        <v>792.34374721149618</v>
      </c>
      <c r="W68" s="188">
        <f>1000000*W20/SER_summary!W$8</f>
        <v>796.57711518108295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0.23329904524494741</v>
      </c>
      <c r="C69" s="188">
        <f>1000*C21/SER_summary!C$3</f>
        <v>0.23599793171040262</v>
      </c>
      <c r="D69" s="188">
        <f>1000*D21/SER_summary!D$3</f>
        <v>0.23942715050944155</v>
      </c>
      <c r="E69" s="188">
        <f>1000*E21/SER_summary!E$3</f>
        <v>0.24512052316028488</v>
      </c>
      <c r="F69" s="188">
        <f>1000*F21/SER_summary!F$3</f>
        <v>0.24983996901932287</v>
      </c>
      <c r="G69" s="188">
        <f>1000*G21/SER_summary!G$3</f>
        <v>0.25756096001283302</v>
      </c>
      <c r="H69" s="188">
        <f>1000*H21/SER_summary!H$3</f>
        <v>0.26223167482710469</v>
      </c>
      <c r="I69" s="188">
        <f>1000*I21/SER_summary!I$3</f>
        <v>0.26637529522084002</v>
      </c>
      <c r="J69" s="188">
        <f>1000*J21/SER_summary!J$3</f>
        <v>0.27162011333552316</v>
      </c>
      <c r="K69" s="188">
        <f>1000*K21/SER_summary!K$3</f>
        <v>0.2755289999335514</v>
      </c>
      <c r="L69" s="188">
        <f>1000*L21/SER_summary!L$3</f>
        <v>0.28140670619945557</v>
      </c>
      <c r="M69" s="188">
        <f>1000*M21/SER_summary!M$3</f>
        <v>0.28726231556703374</v>
      </c>
      <c r="N69" s="188">
        <f>1000*N21/SER_summary!N$3</f>
        <v>0.29424570035934955</v>
      </c>
      <c r="O69" s="188">
        <f>1000*O21/SER_summary!O$3</f>
        <v>0.30282612566983197</v>
      </c>
      <c r="P69" s="188">
        <f>1000*P21/SER_summary!P$3</f>
        <v>0.3159891317437003</v>
      </c>
      <c r="Q69" s="188">
        <f>1000*Q21/SER_summary!Q$3</f>
        <v>0.32891080326842076</v>
      </c>
      <c r="R69" s="188">
        <f>1000*R21/SER_summary!R$3</f>
        <v>0.33285492929336591</v>
      </c>
      <c r="S69" s="188">
        <f>1000*S21/SER_summary!S$3</f>
        <v>0.33590107785512663</v>
      </c>
      <c r="T69" s="188">
        <f>1000*T21/SER_summary!T$3</f>
        <v>0.3409362435970113</v>
      </c>
      <c r="U69" s="188">
        <f>1000*U21/SER_summary!U$3</f>
        <v>0.34543000386413625</v>
      </c>
      <c r="V69" s="188">
        <f>1000*V21/SER_summary!V$3</f>
        <v>0.34935301633368976</v>
      </c>
      <c r="W69" s="188">
        <f>1000*W21/SER_summary!W$3</f>
        <v>0.35472566427023022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186.66737453545588</v>
      </c>
      <c r="C70" s="188">
        <f>1000000*C22/SER_summary!C$8</f>
        <v>187.9167079491084</v>
      </c>
      <c r="D70" s="188">
        <f>1000000*D22/SER_summary!D$8</f>
        <v>189.87303676552838</v>
      </c>
      <c r="E70" s="188">
        <f>1000000*E22/SER_summary!E$8</f>
        <v>191.51623881479756</v>
      </c>
      <c r="F70" s="188">
        <f>1000000*F22/SER_summary!F$8</f>
        <v>193.56273408260657</v>
      </c>
      <c r="G70" s="188">
        <f>1000000*G22/SER_summary!G$8</f>
        <v>195.93782612309434</v>
      </c>
      <c r="H70" s="188">
        <f>1000000*H22/SER_summary!H$8</f>
        <v>198.38907297089446</v>
      </c>
      <c r="I70" s="188">
        <f>1000000*I22/SER_summary!I$8</f>
        <v>200.87902270355747</v>
      </c>
      <c r="J70" s="188">
        <f>1000000*J22/SER_summary!J$8</f>
        <v>204.74066911126758</v>
      </c>
      <c r="K70" s="188">
        <f>1000000*K22/SER_summary!K$8</f>
        <v>209.29253602662854</v>
      </c>
      <c r="L70" s="188">
        <f>1000000*L22/SER_summary!L$8</f>
        <v>214.83060443286388</v>
      </c>
      <c r="M70" s="188">
        <f>1000000*M22/SER_summary!M$8</f>
        <v>220.36940558223495</v>
      </c>
      <c r="N70" s="188">
        <f>1000000*N22/SER_summary!N$8</f>
        <v>226.8804523614283</v>
      </c>
      <c r="O70" s="188">
        <f>1000000*O22/SER_summary!O$8</f>
        <v>233.63304887697512</v>
      </c>
      <c r="P70" s="188">
        <f>1000000*P22/SER_summary!P$8</f>
        <v>240.96941297163869</v>
      </c>
      <c r="Q70" s="188">
        <f>1000000*Q22/SER_summary!Q$8</f>
        <v>249.19087457923499</v>
      </c>
      <c r="R70" s="188">
        <f>1000000*R22/SER_summary!R$8</f>
        <v>255.29643549447403</v>
      </c>
      <c r="S70" s="188">
        <f>1000000*S22/SER_summary!S$8</f>
        <v>261.49066980751707</v>
      </c>
      <c r="T70" s="188">
        <f>1000000*T22/SER_summary!T$8</f>
        <v>267.3983108835414</v>
      </c>
      <c r="U70" s="188">
        <f>1000000*U22/SER_summary!U$8</f>
        <v>272.78986443099149</v>
      </c>
      <c r="V70" s="188">
        <f>1000000*V22/SER_summary!V$8</f>
        <v>277.23763766330762</v>
      </c>
      <c r="W70" s="188">
        <f>1000000*W22/SER_summary!W$8</f>
        <v>280.06362262665061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2.8791048297994455E-2</v>
      </c>
      <c r="C71" s="188">
        <f>1000*C23/SER_summary!C$3</f>
        <v>2.9242747167694753E-2</v>
      </c>
      <c r="D71" s="188">
        <f>1000*D23/SER_summary!D$3</f>
        <v>2.9804577572190277E-2</v>
      </c>
      <c r="E71" s="188">
        <f>1000*E23/SER_summary!E$3</f>
        <v>3.0343810733322752E-2</v>
      </c>
      <c r="F71" s="188">
        <f>1000*F23/SER_summary!F$3</f>
        <v>3.0894249132164198E-2</v>
      </c>
      <c r="G71" s="188">
        <f>1000*G23/SER_summary!G$3</f>
        <v>3.154286401988237E-2</v>
      </c>
      <c r="H71" s="188">
        <f>1000*H23/SER_summary!H$3</f>
        <v>3.2288847169294199E-2</v>
      </c>
      <c r="I71" s="188">
        <f>1000*I23/SER_summary!I$3</f>
        <v>3.3121944269321871E-2</v>
      </c>
      <c r="J71" s="188">
        <f>1000*J23/SER_summary!J$3</f>
        <v>3.3937456987578003E-2</v>
      </c>
      <c r="K71" s="188">
        <f>1000*K23/SER_summary!K$3</f>
        <v>3.484331854881912E-2</v>
      </c>
      <c r="L71" s="188">
        <f>1000*L23/SER_summary!L$3</f>
        <v>3.5770720206875536E-2</v>
      </c>
      <c r="M71" s="188">
        <f>1000*M23/SER_summary!M$3</f>
        <v>3.6468906851348792E-2</v>
      </c>
      <c r="N71" s="188">
        <f>1000*N23/SER_summary!N$3</f>
        <v>3.7261455001889335E-2</v>
      </c>
      <c r="O71" s="188">
        <f>1000*O23/SER_summary!O$3</f>
        <v>3.8171928640914211E-2</v>
      </c>
      <c r="P71" s="188">
        <f>1000*P23/SER_summary!P$3</f>
        <v>3.9326432240944197E-2</v>
      </c>
      <c r="Q71" s="188">
        <f>1000*Q23/SER_summary!Q$3</f>
        <v>4.0727945445297162E-2</v>
      </c>
      <c r="R71" s="188">
        <f>1000*R23/SER_summary!R$3</f>
        <v>4.1378793647380688E-2</v>
      </c>
      <c r="S71" s="188">
        <f>1000*S23/SER_summary!S$3</f>
        <v>4.1918931032152808E-2</v>
      </c>
      <c r="T71" s="188">
        <f>1000*T23/SER_summary!T$3</f>
        <v>4.2701598550770797E-2</v>
      </c>
      <c r="U71" s="188">
        <f>1000*U23/SER_summary!U$3</f>
        <v>4.3407241561052488E-2</v>
      </c>
      <c r="V71" s="188">
        <f>1000*V23/SER_summary!V$3</f>
        <v>4.402367079777917E-2</v>
      </c>
      <c r="W71" s="188">
        <f>1000*W23/SER_summary!W$3</f>
        <v>4.4796864995264356E-2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196.30797219671925</v>
      </c>
      <c r="C72" s="188">
        <f>1000000*C24/SER_summary!C$8</f>
        <v>199.36222279416589</v>
      </c>
      <c r="D72" s="188">
        <f>1000000*D24/SER_summary!D$8</f>
        <v>202.22801683653776</v>
      </c>
      <c r="E72" s="188">
        <f>1000000*E24/SER_summary!E$8</f>
        <v>205.3545701836259</v>
      </c>
      <c r="F72" s="188">
        <f>1000000*F24/SER_summary!F$8</f>
        <v>208.44856935593955</v>
      </c>
      <c r="G72" s="188">
        <f>1000000*G24/SER_summary!G$8</f>
        <v>212.14762493911368</v>
      </c>
      <c r="H72" s="188">
        <f>1000000*H24/SER_summary!H$8</f>
        <v>216.09512030302241</v>
      </c>
      <c r="I72" s="188">
        <f>1000000*I24/SER_summary!I$8</f>
        <v>220.5404764762346</v>
      </c>
      <c r="J72" s="188">
        <f>1000000*J24/SER_summary!J$8</f>
        <v>225.61954883140916</v>
      </c>
      <c r="K72" s="188">
        <f>1000000*K24/SER_summary!K$8</f>
        <v>230.451449985274</v>
      </c>
      <c r="L72" s="188">
        <f>1000000*L24/SER_summary!L$8</f>
        <v>233.62101873641214</v>
      </c>
      <c r="M72" s="188">
        <f>1000000*M24/SER_summary!M$8</f>
        <v>236.5357517693264</v>
      </c>
      <c r="N72" s="188">
        <f>1000000*N24/SER_summary!N$8</f>
        <v>238.58388560928819</v>
      </c>
      <c r="O72" s="188">
        <f>1000000*O24/SER_summary!O$8</f>
        <v>241.45664290388635</v>
      </c>
      <c r="P72" s="188">
        <f>1000000*P24/SER_summary!P$8</f>
        <v>244.15998622372035</v>
      </c>
      <c r="Q72" s="188">
        <f>1000000*Q24/SER_summary!Q$8</f>
        <v>246.06735007703284</v>
      </c>
      <c r="R72" s="188">
        <f>1000000*R24/SER_summary!R$8</f>
        <v>249.50343816120741</v>
      </c>
      <c r="S72" s="188">
        <f>1000000*S24/SER_summary!S$8</f>
        <v>252.94255437863796</v>
      </c>
      <c r="T72" s="188">
        <f>1000000*T24/SER_summary!T$8</f>
        <v>256.36868376090217</v>
      </c>
      <c r="U72" s="188">
        <f>1000000*U24/SER_summary!U$8</f>
        <v>259.77211300798399</v>
      </c>
      <c r="V72" s="188">
        <f>1000000*V24/SER_summary!V$8</f>
        <v>263.13476218779522</v>
      </c>
      <c r="W72" s="188">
        <f>1000000*W24/SER_summary!W$8</f>
        <v>266.36002616981142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0.6782654559697755</v>
      </c>
      <c r="C73" s="52">
        <f>1000*C25/SER_summary!C$3</f>
        <v>0.85723111950689468</v>
      </c>
      <c r="D73" s="52">
        <f>1000*D25/SER_summary!D$3</f>
        <v>0.87092158748484316</v>
      </c>
      <c r="E73" s="52">
        <f>1000*E25/SER_summary!E$3</f>
        <v>1.0239113929321892</v>
      </c>
      <c r="F73" s="52">
        <f>1000*F25/SER_summary!F$3</f>
        <v>0.87969406176034715</v>
      </c>
      <c r="G73" s="52">
        <f>1000*G25/SER_summary!G$3</f>
        <v>0.97462620029897618</v>
      </c>
      <c r="H73" s="52">
        <f>1000*H25/SER_summary!H$3</f>
        <v>1.0709555881941994</v>
      </c>
      <c r="I73" s="52">
        <f>1000*I25/SER_summary!I$3</f>
        <v>1.3017251859060861</v>
      </c>
      <c r="J73" s="52">
        <f>1000*J25/SER_summary!J$3</f>
        <v>1.3529339237720692</v>
      </c>
      <c r="K73" s="52">
        <f>1000*K25/SER_summary!K$3</f>
        <v>1.4157117234552643</v>
      </c>
      <c r="L73" s="52">
        <f>1000*L25/SER_summary!L$3</f>
        <v>1.5419554245289</v>
      </c>
      <c r="M73" s="52">
        <f>1000*M25/SER_summary!M$3</f>
        <v>1.6666308869227271</v>
      </c>
      <c r="N73" s="52">
        <f>1000*N25/SER_summary!N$3</f>
        <v>1.8599801156103635</v>
      </c>
      <c r="O73" s="52">
        <f>1000*O25/SER_summary!O$3</f>
        <v>2.0844826877084111</v>
      </c>
      <c r="P73" s="52">
        <f>1000*P25/SER_summary!P$3</f>
        <v>2.254704258009784</v>
      </c>
      <c r="Q73" s="52">
        <f>1000*Q25/SER_summary!Q$3</f>
        <v>2.3127332301048749</v>
      </c>
      <c r="R73" s="52">
        <f>1000*R25/SER_summary!R$3</f>
        <v>2.2702012291667688</v>
      </c>
      <c r="S73" s="52">
        <f>1000*S25/SER_summary!S$3</f>
        <v>2.8296034838547781</v>
      </c>
      <c r="T73" s="52">
        <f>1000*T25/SER_summary!T$3</f>
        <v>2.9310095416768522</v>
      </c>
      <c r="U73" s="52">
        <f>1000*U25/SER_summary!U$3</f>
        <v>2.9640491507816416</v>
      </c>
      <c r="V73" s="52">
        <f>1000*V25/SER_summary!V$3</f>
        <v>2.7442039832180423</v>
      </c>
      <c r="W73" s="52">
        <f>1000*W25/SER_summary!W$3</f>
        <v>2.8705824976895991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2.4562271629006847</v>
      </c>
      <c r="C3" s="199">
        <f>'SER_se-appl'!C4</f>
        <v>2.4859257210621633</v>
      </c>
      <c r="D3" s="199">
        <f>'SER_se-appl'!D4</f>
        <v>2.5171483199081939</v>
      </c>
      <c r="E3" s="199">
        <f>'SER_se-appl'!E4</f>
        <v>2.5300633685029426</v>
      </c>
      <c r="F3" s="199">
        <f>'SER_se-appl'!F4</f>
        <v>2.5699633993572739</v>
      </c>
      <c r="G3" s="199">
        <f>'SER_se-appl'!G4</f>
        <v>2.6139599288802065</v>
      </c>
      <c r="H3" s="199">
        <f>'SER_se-appl'!H4</f>
        <v>2.6537774499369173</v>
      </c>
      <c r="I3" s="199">
        <f>'SER_se-appl'!I4</f>
        <v>2.6943568771593576</v>
      </c>
      <c r="J3" s="199">
        <f>'SER_se-appl'!J4</f>
        <v>2.7316701389703337</v>
      </c>
      <c r="K3" s="199">
        <f>'SER_se-appl'!K4</f>
        <v>2.7642916369558237</v>
      </c>
      <c r="L3" s="199">
        <f>'SER_se-appl'!L4</f>
        <v>2.7741465071656251</v>
      </c>
      <c r="M3" s="199">
        <f>'SER_se-appl'!M4</f>
        <v>2.8163030940754838</v>
      </c>
      <c r="N3" s="199">
        <f>'SER_se-appl'!N4</f>
        <v>2.8642705332742211</v>
      </c>
      <c r="O3" s="199">
        <f>'SER_se-appl'!O4</f>
        <v>2.9215352682617017</v>
      </c>
      <c r="P3" s="199">
        <f>'SER_se-appl'!P4</f>
        <v>2.9698716289398561</v>
      </c>
      <c r="Q3" s="199">
        <f>'SER_se-appl'!Q4</f>
        <v>3.0146561073880438</v>
      </c>
      <c r="R3" s="199">
        <f>'SER_se-appl'!R4</f>
        <v>3.0383284276023632</v>
      </c>
      <c r="S3" s="199">
        <f>'SER_se-appl'!S4</f>
        <v>3.0561772139868699</v>
      </c>
      <c r="T3" s="199">
        <f>'SER_se-appl'!T4</f>
        <v>3.0710679310566285</v>
      </c>
      <c r="U3" s="199">
        <f>'SER_se-appl'!U4</f>
        <v>3.1051720514874361</v>
      </c>
      <c r="V3" s="199">
        <f>'SER_se-appl'!V4</f>
        <v>3.1375022677641273</v>
      </c>
      <c r="W3" s="199">
        <f>'SER_se-appl'!W4</f>
        <v>3.1751677349423049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3.260949989102166</v>
      </c>
      <c r="C5" s="59">
        <f>'SER_se-appl'!C12</f>
        <v>3.3003785543325308</v>
      </c>
      <c r="D5" s="59">
        <f>'SER_se-appl'!D12</f>
        <v>3.3418304749466095</v>
      </c>
      <c r="E5" s="59">
        <f>'SER_se-appl'!E12</f>
        <v>3.358976823708816</v>
      </c>
      <c r="F5" s="59">
        <f>'SER_se-appl'!F12</f>
        <v>3.4119491249457887</v>
      </c>
      <c r="G5" s="59">
        <f>'SER_se-appl'!G12</f>
        <v>3.4703600425658463</v>
      </c>
      <c r="H5" s="59">
        <f>'SER_se-appl'!H12</f>
        <v>3.5232228016856575</v>
      </c>
      <c r="I5" s="59">
        <f>'SER_se-appl'!I12</f>
        <v>3.5770970869136236</v>
      </c>
      <c r="J5" s="59">
        <f>'SER_se-appl'!J12</f>
        <v>3.6266351274229427</v>
      </c>
      <c r="K5" s="59">
        <f>'SER_se-appl'!K12</f>
        <v>3.6699442623055054</v>
      </c>
      <c r="L5" s="59">
        <f>'SER_se-appl'!L12</f>
        <v>3.6830278399927221</v>
      </c>
      <c r="M5" s="59">
        <f>'SER_se-appl'!M12</f>
        <v>3.7389960027508993</v>
      </c>
      <c r="N5" s="59">
        <f>'SER_se-appl'!N12</f>
        <v>3.8026788015957989</v>
      </c>
      <c r="O5" s="59">
        <f>'SER_se-appl'!O12</f>
        <v>3.8787049280689052</v>
      </c>
      <c r="P5" s="59">
        <f>'SER_se-appl'!P12</f>
        <v>3.9428775165034864</v>
      </c>
      <c r="Q5" s="59">
        <f>'SER_se-appl'!Q12</f>
        <v>4.0023345352651774</v>
      </c>
      <c r="R5" s="59">
        <f>'SER_se-appl'!R12</f>
        <v>4.0337625129013102</v>
      </c>
      <c r="S5" s="59">
        <f>'SER_se-appl'!S12</f>
        <v>4.0574590181127057</v>
      </c>
      <c r="T5" s="59">
        <f>'SER_se-appl'!T12</f>
        <v>4.0772283148617099</v>
      </c>
      <c r="U5" s="59">
        <f>'SER_se-appl'!U12</f>
        <v>4.1225058172144848</v>
      </c>
      <c r="V5" s="59">
        <f>'SER_se-appl'!V12</f>
        <v>4.1654282390521447</v>
      </c>
      <c r="W5" s="59">
        <f>'SER_se-appl'!W12</f>
        <v>4.2154338764131269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629.53472932080729</v>
      </c>
      <c r="C6" s="202">
        <f>'SER_se-appl'!C68</f>
        <v>636.50913197036493</v>
      </c>
      <c r="D6" s="202">
        <f>'SER_se-appl'!D68</f>
        <v>643.34050889470018</v>
      </c>
      <c r="E6" s="202">
        <f>'SER_se-appl'!E68</f>
        <v>648.93090023092759</v>
      </c>
      <c r="F6" s="202">
        <f>'SER_se-appl'!F68</f>
        <v>659.02855800358498</v>
      </c>
      <c r="G6" s="202">
        <f>'SER_se-appl'!G68</f>
        <v>669.26020949243423</v>
      </c>
      <c r="H6" s="202">
        <f>'SER_se-appl'!H68</f>
        <v>681.02586048721184</v>
      </c>
      <c r="I6" s="202">
        <f>'SER_se-appl'!I68</f>
        <v>692.90076827084636</v>
      </c>
      <c r="J6" s="202">
        <f>'SER_se-appl'!J68</f>
        <v>705.61480801727089</v>
      </c>
      <c r="K6" s="202">
        <f>'SER_se-appl'!K68</f>
        <v>717.97433996693746</v>
      </c>
      <c r="L6" s="202">
        <f>'SER_se-appl'!L68</f>
        <v>725.4642162597919</v>
      </c>
      <c r="M6" s="202">
        <f>'SER_se-appl'!M68</f>
        <v>734.34739725245026</v>
      </c>
      <c r="N6" s="202">
        <f>'SER_se-appl'!N68</f>
        <v>745.67638122976928</v>
      </c>
      <c r="O6" s="202">
        <f>'SER_se-appl'!O68</f>
        <v>756.93518881589455</v>
      </c>
      <c r="P6" s="202">
        <f>'SER_se-appl'!P68</f>
        <v>764.59646049736773</v>
      </c>
      <c r="Q6" s="202">
        <f>'SER_se-appl'!Q68</f>
        <v>775.2045873828032</v>
      </c>
      <c r="R6" s="202">
        <f>'SER_se-appl'!R68</f>
        <v>778.47175249479756</v>
      </c>
      <c r="S6" s="202">
        <f>'SER_se-appl'!S68</f>
        <v>781.7173955366676</v>
      </c>
      <c r="T6" s="202">
        <f>'SER_se-appl'!T68</f>
        <v>785.0553408497351</v>
      </c>
      <c r="U6" s="202">
        <f>'SER_se-appl'!U68</f>
        <v>788.55462447245748</v>
      </c>
      <c r="V6" s="202">
        <f>'SER_se-appl'!V68</f>
        <v>792.34374721149618</v>
      </c>
      <c r="W6" s="202">
        <f>'SER_se-appl'!W68</f>
        <v>796.57711518108295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5.0073922332814425</v>
      </c>
      <c r="C8" s="34">
        <f>'SER_se-appl'!C20</f>
        <v>5.0999759165312222</v>
      </c>
      <c r="D8" s="34">
        <f>'SER_se-appl'!D20</f>
        <v>5.200079226645828</v>
      </c>
      <c r="E8" s="34">
        <f>'SER_se-appl'!E20</f>
        <v>5.2620210624088077</v>
      </c>
      <c r="F8" s="34">
        <f>'SER_se-appl'!F20</f>
        <v>5.3912442586365241</v>
      </c>
      <c r="G8" s="34">
        <f>'SER_se-appl'!G20</f>
        <v>5.5350608494499971</v>
      </c>
      <c r="H8" s="34">
        <f>'SER_se-appl'!H20</f>
        <v>5.6738802836610063</v>
      </c>
      <c r="I8" s="34">
        <f>'SER_se-appl'!I20</f>
        <v>5.8204630725472244</v>
      </c>
      <c r="J8" s="34">
        <f>'SER_se-appl'!J20</f>
        <v>5.9654199335487679</v>
      </c>
      <c r="K8" s="34">
        <f>'SER_se-appl'!K20</f>
        <v>6.1052534038395434</v>
      </c>
      <c r="L8" s="34">
        <f>'SER_se-appl'!L20</f>
        <v>6.1947916632065043</v>
      </c>
      <c r="M8" s="34">
        <f>'SER_se-appl'!M20</f>
        <v>6.3740730957545422</v>
      </c>
      <c r="N8" s="34">
        <f>'SER_se-appl'!N20</f>
        <v>6.5791867960267671</v>
      </c>
      <c r="O8" s="34">
        <f>'SER_se-appl'!O20</f>
        <v>6.8215386502110462</v>
      </c>
      <c r="P8" s="34">
        <f>'SER_se-appl'!P20</f>
        <v>7.0551696342228256</v>
      </c>
      <c r="Q8" s="34">
        <f>'SER_se-appl'!Q20</f>
        <v>7.2962202792599591</v>
      </c>
      <c r="R8" s="34">
        <f>'SER_se-appl'!R20</f>
        <v>7.485594298677003</v>
      </c>
      <c r="S8" s="34">
        <f>'SER_se-appl'!S20</f>
        <v>7.6677891904905966</v>
      </c>
      <c r="T8" s="34">
        <f>'SER_se-appl'!T20</f>
        <v>7.8524774877176888</v>
      </c>
      <c r="U8" s="34">
        <f>'SER_se-appl'!U20</f>
        <v>8.0393495865301698</v>
      </c>
      <c r="V8" s="34">
        <f>'SER_se-appl'!V20</f>
        <v>8.2284343507290831</v>
      </c>
      <c r="W8" s="34">
        <f>'SER_se-appl'!W20</f>
        <v>8.4210705119937508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0.30977094473346423</v>
      </c>
      <c r="D9" s="36">
        <f>'SER_se-appl'!D28</f>
        <v>0.32343384236328809</v>
      </c>
      <c r="E9" s="36">
        <f>'SER_se-appl'!E28</f>
        <v>0.29158940484117934</v>
      </c>
      <c r="F9" s="36">
        <f>'SER_se-appl'!F28</f>
        <v>0.36536648327635834</v>
      </c>
      <c r="G9" s="36">
        <f>'SER_se-appl'!G28</f>
        <v>0.38663933107574344</v>
      </c>
      <c r="H9" s="36">
        <f>'SER_se-appl'!H28</f>
        <v>0.38851055999063977</v>
      </c>
      <c r="I9" s="36">
        <f>'SER_se-appl'!I28</f>
        <v>0.40333657654943522</v>
      </c>
      <c r="J9" s="36">
        <f>'SER_se-appl'!J28</f>
        <v>0.40897308213704875</v>
      </c>
      <c r="K9" s="36">
        <f>'SER_se-appl'!K28</f>
        <v>0.41131754714538094</v>
      </c>
      <c r="L9" s="36">
        <f>'SER_se-appl'!L28</f>
        <v>0.36870142467781353</v>
      </c>
      <c r="M9" s="36">
        <f>'SER_se-appl'!M28</f>
        <v>0.46634089389578737</v>
      </c>
      <c r="N9" s="36">
        <f>'SER_se-appl'!N28</f>
        <v>0.50029280908302809</v>
      </c>
      <c r="O9" s="36">
        <f>'SER_se-appl'!O28</f>
        <v>0.54588027951211693</v>
      </c>
      <c r="P9" s="36">
        <f>'SER_se-appl'!P28</f>
        <v>0.54574489123631764</v>
      </c>
      <c r="Q9" s="36">
        <f>'SER_se-appl'!Q28</f>
        <v>0.56199287961615418</v>
      </c>
      <c r="R9" s="36">
        <f>'SER_se-appl'!R28</f>
        <v>0.51939429583642482</v>
      </c>
      <c r="S9" s="36">
        <f>'SER_se-appl'!S28</f>
        <v>0.52154998788185036</v>
      </c>
      <c r="T9" s="36">
        <f>'SER_se-appl'!T28</f>
        <v>0.53364225386565778</v>
      </c>
      <c r="U9" s="36">
        <f>'SER_se-appl'!U28</f>
        <v>0.49664304354594524</v>
      </c>
      <c r="V9" s="36">
        <f>'SER_se-appl'!V28</f>
        <v>0.51251860656220138</v>
      </c>
      <c r="W9" s="36">
        <f>'SER_se-appl'!W28</f>
        <v>0.48422556610584699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0.2171872614836845</v>
      </c>
      <c r="D10" s="38">
        <f>'SER_se-appl'!D36</f>
        <v>0.22333053224868227</v>
      </c>
      <c r="E10" s="38">
        <f>'SER_se-appl'!E36</f>
        <v>0.22964756907819961</v>
      </c>
      <c r="F10" s="38">
        <f>'SER_se-appl'!F36</f>
        <v>0.23614328704864196</v>
      </c>
      <c r="G10" s="38">
        <f>'SER_se-appl'!G36</f>
        <v>0.24282274026227046</v>
      </c>
      <c r="H10" s="38">
        <f>'SER_se-appl'!H36</f>
        <v>0.2496911257796306</v>
      </c>
      <c r="I10" s="38">
        <f>'SER_se-appl'!I36</f>
        <v>0.2567537876632171</v>
      </c>
      <c r="J10" s="38">
        <f>'SER_se-appl'!J36</f>
        <v>0.26401622113550527</v>
      </c>
      <c r="K10" s="38">
        <f>'SER_se-appl'!K36</f>
        <v>0.27148407685460541</v>
      </c>
      <c r="L10" s="38">
        <f>'SER_se-appl'!L36</f>
        <v>0.27916316531085261</v>
      </c>
      <c r="M10" s="38">
        <f>'SER_se-appl'!M36</f>
        <v>0.28705946134774951</v>
      </c>
      <c r="N10" s="38">
        <f>'SER_se-appl'!N36</f>
        <v>0.29517910881080311</v>
      </c>
      <c r="O10" s="38">
        <f>'SER_se-appl'!O36</f>
        <v>0.30352842532783786</v>
      </c>
      <c r="P10" s="38">
        <f>'SER_se-appl'!P36</f>
        <v>0.31211390722453825</v>
      </c>
      <c r="Q10" s="38">
        <f>'SER_se-appl'!Q36</f>
        <v>0.32094223457902071</v>
      </c>
      <c r="R10" s="38">
        <f>'SER_se-appl'!R36</f>
        <v>0.33002027641938092</v>
      </c>
      <c r="S10" s="38">
        <f>'SER_se-appl'!S36</f>
        <v>0.33935509606825676</v>
      </c>
      <c r="T10" s="38">
        <f>'SER_se-appl'!T36</f>
        <v>0.34895395663856554</v>
      </c>
      <c r="U10" s="38">
        <f>'SER_se-appl'!U36</f>
        <v>0.30977094473346334</v>
      </c>
      <c r="V10" s="38">
        <f>'SER_se-appl'!V36</f>
        <v>0.32343384236328809</v>
      </c>
      <c r="W10" s="38">
        <f>'SER_se-appl'!W36</f>
        <v>0.29158940484117934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8759.9999999999964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8759.9999999999964</v>
      </c>
      <c r="G12" s="205">
        <f>'SER_se-appl'!G44</f>
        <v>8759.9999999999964</v>
      </c>
      <c r="H12" s="205">
        <f>'SER_se-appl'!H44</f>
        <v>8759.9999999999964</v>
      </c>
      <c r="I12" s="205">
        <f>'SER_se-appl'!I44</f>
        <v>8759.9999999999964</v>
      </c>
      <c r="J12" s="205">
        <f>'SER_se-appl'!J44</f>
        <v>8760</v>
      </c>
      <c r="K12" s="205">
        <f>'SER_se-appl'!K44</f>
        <v>8760</v>
      </c>
      <c r="L12" s="205">
        <f>'SER_se-appl'!L44</f>
        <v>8759.9999999999927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8759.9999999999964</v>
      </c>
      <c r="P12" s="205">
        <f>'SER_se-appl'!P44</f>
        <v>8759.9999999999964</v>
      </c>
      <c r="Q12" s="205">
        <f>'SER_se-appl'!Q44</f>
        <v>8759.9999999999982</v>
      </c>
      <c r="R12" s="205">
        <f>'SER_se-appl'!R44</f>
        <v>8760.0000000000018</v>
      </c>
      <c r="S12" s="205">
        <f>'SER_se-appl'!S44</f>
        <v>8760</v>
      </c>
      <c r="T12" s="205">
        <f>'SER_se-appl'!T44</f>
        <v>8760.0000000000018</v>
      </c>
      <c r="U12" s="205">
        <f>'SER_se-appl'!U44</f>
        <v>8760</v>
      </c>
      <c r="V12" s="205">
        <f>'SER_se-appl'!V44</f>
        <v>8760.0000000000036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0.65122719315423017</v>
      </c>
      <c r="C14" s="59">
        <f>'SER_se-appl'!C52</f>
        <v>0.6471361058068098</v>
      </c>
      <c r="D14" s="59">
        <f>'SER_se-appl'!D52</f>
        <v>0.64264991537487937</v>
      </c>
      <c r="E14" s="59">
        <f>'SER_se-appl'!E52</f>
        <v>0.63834347750998344</v>
      </c>
      <c r="F14" s="59">
        <f>'SER_se-appl'!F52</f>
        <v>0.63286858492452902</v>
      </c>
      <c r="G14" s="59">
        <f>'SER_se-appl'!G52</f>
        <v>0.62697775814166268</v>
      </c>
      <c r="H14" s="59">
        <f>'SER_se-appl'!H52</f>
        <v>0.62095473036881532</v>
      </c>
      <c r="I14" s="59">
        <f>'SER_se-appl'!I52</f>
        <v>0.61457259367993367</v>
      </c>
      <c r="J14" s="59">
        <f>'SER_se-appl'!J52</f>
        <v>0.60794297263587516</v>
      </c>
      <c r="K14" s="59">
        <f>'SER_se-appl'!K52</f>
        <v>0.60111252057080999</v>
      </c>
      <c r="L14" s="59">
        <f>'SER_se-appl'!L52</f>
        <v>0.59453619108254874</v>
      </c>
      <c r="M14" s="59">
        <f>'SER_se-appl'!M52</f>
        <v>0.5865944658277078</v>
      </c>
      <c r="N14" s="59">
        <f>'SER_se-appl'!N52</f>
        <v>0.57798614319512442</v>
      </c>
      <c r="O14" s="59">
        <f>'SER_se-appl'!O52</f>
        <v>0.56859678247940515</v>
      </c>
      <c r="P14" s="59">
        <f>'SER_se-appl'!P52</f>
        <v>0.55886360228357868</v>
      </c>
      <c r="Q14" s="59">
        <f>'SER_se-appl'!Q52</f>
        <v>0.54854902704104302</v>
      </c>
      <c r="R14" s="59">
        <f>'SER_se-appl'!R52</f>
        <v>0.53887004183678955</v>
      </c>
      <c r="S14" s="59">
        <f>'SER_se-appl'!S52</f>
        <v>0.52915630794136415</v>
      </c>
      <c r="T14" s="59">
        <f>'SER_se-appl'!T52</f>
        <v>0.51922827174468611</v>
      </c>
      <c r="U14" s="59">
        <f>'SER_se-appl'!U52</f>
        <v>0.51279096310498695</v>
      </c>
      <c r="V14" s="59">
        <f>'SER_se-appl'!V52</f>
        <v>0.5062236704462576</v>
      </c>
      <c r="W14" s="59">
        <f>'SER_se-appl'!W52</f>
        <v>0.50058170993928564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0.58387275821126761</v>
      </c>
      <c r="D15" s="63">
        <f>'SER_se-appl'!D60</f>
        <v>0.57783327468282808</v>
      </c>
      <c r="E15" s="63">
        <f>'SER_se-appl'!E60</f>
        <v>0.57169117882898124</v>
      </c>
      <c r="F15" s="63">
        <f>'SER_se-appl'!F60</f>
        <v>0.56588450421022085</v>
      </c>
      <c r="G15" s="63">
        <f>'SER_se-appl'!G60</f>
        <v>0.5600663765700874</v>
      </c>
      <c r="H15" s="63">
        <f>'SER_se-appl'!H60</f>
        <v>0.55460116739681764</v>
      </c>
      <c r="I15" s="63">
        <f>'SER_se-appl'!I60</f>
        <v>0.54812617192059498</v>
      </c>
      <c r="J15" s="63">
        <f>'SER_se-appl'!J60</f>
        <v>0.54153339870022221</v>
      </c>
      <c r="K15" s="63">
        <f>'SER_se-appl'!K60</f>
        <v>0.53512657013112452</v>
      </c>
      <c r="L15" s="63">
        <f>'SER_se-appl'!L60</f>
        <v>0.52856378961635209</v>
      </c>
      <c r="M15" s="63">
        <f>'SER_se-appl'!M60</f>
        <v>0.52088309907970587</v>
      </c>
      <c r="N15" s="63">
        <f>'SER_se-appl'!N60</f>
        <v>0.51152336533195109</v>
      </c>
      <c r="O15" s="63">
        <f>'SER_se-appl'!O60</f>
        <v>0.50137750201654308</v>
      </c>
      <c r="P15" s="63">
        <f>'SER_se-appl'!P60</f>
        <v>0.49002685407643076</v>
      </c>
      <c r="Q15" s="63">
        <f>'SER_se-appl'!Q60</f>
        <v>0.47769880916390928</v>
      </c>
      <c r="R15" s="63">
        <f>'SER_se-appl'!R60</f>
        <v>0.47429507391103942</v>
      </c>
      <c r="S15" s="63">
        <f>'SER_se-appl'!S60</f>
        <v>0.46916647990018273</v>
      </c>
      <c r="T15" s="63">
        <f>'SER_se-appl'!T60</f>
        <v>0.46288988677606857</v>
      </c>
      <c r="U15" s="63">
        <f>'SER_se-appl'!U60</f>
        <v>0.45534578850310636</v>
      </c>
      <c r="V15" s="63">
        <f>'SER_se-appl'!V60</f>
        <v>0.44839983401811956</v>
      </c>
      <c r="W15" s="63">
        <f>'SER_se-appl'!W60</f>
        <v>0.44752847250801142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6.4718791072757194</v>
      </c>
      <c r="C3" s="199">
        <f>'SER_se-appl'!C5</f>
        <v>6.5691562273416819</v>
      </c>
      <c r="D3" s="199">
        <f>'SER_se-appl'!D5</f>
        <v>6.6718134711564838</v>
      </c>
      <c r="E3" s="199">
        <f>'SER_se-appl'!E5</f>
        <v>6.8003124544476012</v>
      </c>
      <c r="F3" s="199">
        <f>'SER_se-appl'!F5</f>
        <v>6.9276101937945631</v>
      </c>
      <c r="G3" s="199">
        <f>'SER_se-appl'!G5</f>
        <v>7.101925745136672</v>
      </c>
      <c r="H3" s="199">
        <f>'SER_se-appl'!H5</f>
        <v>7.1990049172307993</v>
      </c>
      <c r="I3" s="199">
        <f>'SER_se-appl'!I5</f>
        <v>7.2564887584715576</v>
      </c>
      <c r="J3" s="199">
        <f>'SER_se-appl'!J5</f>
        <v>7.4020512871221964</v>
      </c>
      <c r="K3" s="199">
        <f>'SER_se-appl'!K5</f>
        <v>7.5232980241266967</v>
      </c>
      <c r="L3" s="199">
        <f>'SER_se-appl'!L5</f>
        <v>7.6652761015457722</v>
      </c>
      <c r="M3" s="199">
        <f>'SER_se-appl'!M5</f>
        <v>7.7950945408904824</v>
      </c>
      <c r="N3" s="199">
        <f>'SER_se-appl'!N5</f>
        <v>7.9444211905269588</v>
      </c>
      <c r="O3" s="199">
        <f>'SER_se-appl'!O5</f>
        <v>8.0650811479968905</v>
      </c>
      <c r="P3" s="199">
        <f>'SER_se-appl'!P5</f>
        <v>8.2428552672224988</v>
      </c>
      <c r="Q3" s="199">
        <f>'SER_se-appl'!Q5</f>
        <v>8.3665104721910151</v>
      </c>
      <c r="R3" s="199">
        <f>'SER_se-appl'!R5</f>
        <v>8.3549365411340588</v>
      </c>
      <c r="S3" s="199">
        <f>'SER_se-appl'!S5</f>
        <v>8.3603651851623191</v>
      </c>
      <c r="T3" s="199">
        <f>'SER_se-appl'!T5</f>
        <v>8.1966808432352636</v>
      </c>
      <c r="U3" s="199">
        <f>'SER_se-appl'!U5</f>
        <v>7.9859836507923756</v>
      </c>
      <c r="V3" s="199">
        <f>'SER_se-appl'!V5</f>
        <v>7.8290363927305382</v>
      </c>
      <c r="W3" s="199">
        <f>'SER_se-appl'!W5</f>
        <v>7.6548002120876424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18.804434265259278</v>
      </c>
      <c r="C5" s="59">
        <f>'SER_se-appl'!C13</f>
        <v>19.073274515206226</v>
      </c>
      <c r="D5" s="59">
        <f>'SER_se-appl'!D13</f>
        <v>19.345757005565357</v>
      </c>
      <c r="E5" s="59">
        <f>'SER_se-appl'!E13</f>
        <v>19.710673456832044</v>
      </c>
      <c r="F5" s="59">
        <f>'SER_se-appl'!F13</f>
        <v>20.046280217506109</v>
      </c>
      <c r="G5" s="59">
        <f>'SER_se-appl'!G13</f>
        <v>20.530642370777059</v>
      </c>
      <c r="H5" s="59">
        <f>'SER_se-appl'!H13</f>
        <v>20.804691460752018</v>
      </c>
      <c r="I5" s="59">
        <f>'SER_se-appl'!I13</f>
        <v>20.950236152418174</v>
      </c>
      <c r="J5" s="59">
        <f>'SER_se-appl'!J13</f>
        <v>21.376944283161865</v>
      </c>
      <c r="K5" s="59">
        <f>'SER_se-appl'!K13</f>
        <v>21.749657079271028</v>
      </c>
      <c r="L5" s="59">
        <f>'SER_se-appl'!L13</f>
        <v>22.165561469358611</v>
      </c>
      <c r="M5" s="59">
        <f>'SER_se-appl'!M13</f>
        <v>22.591409697016012</v>
      </c>
      <c r="N5" s="59">
        <f>'SER_se-appl'!N13</f>
        <v>23.141368617280467</v>
      </c>
      <c r="O5" s="59">
        <f>'SER_se-appl'!O13</f>
        <v>23.681468590790043</v>
      </c>
      <c r="P5" s="59">
        <f>'SER_se-appl'!P13</f>
        <v>24.422464733691534</v>
      </c>
      <c r="Q5" s="59">
        <f>'SER_se-appl'!Q13</f>
        <v>25.049036084020084</v>
      </c>
      <c r="R5" s="59">
        <f>'SER_se-appl'!R13</f>
        <v>24.980486426884966</v>
      </c>
      <c r="S5" s="59">
        <f>'SER_se-appl'!S13</f>
        <v>24.756488910911294</v>
      </c>
      <c r="T5" s="59">
        <f>'SER_se-appl'!T13</f>
        <v>24.437526612291386</v>
      </c>
      <c r="U5" s="59">
        <f>'SER_se-appl'!U13</f>
        <v>23.913872584752522</v>
      </c>
      <c r="V5" s="59">
        <f>'SER_se-appl'!V13</f>
        <v>23.346543358706917</v>
      </c>
      <c r="W5" s="59">
        <f>'SER_se-appl'!W13</f>
        <v>22.785328677866744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0.23329904524494741</v>
      </c>
      <c r="C6" s="202">
        <f>'SER_se-appl'!C69</f>
        <v>0.23599793171040262</v>
      </c>
      <c r="D6" s="202">
        <f>'SER_se-appl'!D69</f>
        <v>0.23942715050944155</v>
      </c>
      <c r="E6" s="202">
        <f>'SER_se-appl'!E69</f>
        <v>0.24512052316028488</v>
      </c>
      <c r="F6" s="202">
        <f>'SER_se-appl'!F69</f>
        <v>0.24983996901932287</v>
      </c>
      <c r="G6" s="202">
        <f>'SER_se-appl'!G69</f>
        <v>0.25756096001283302</v>
      </c>
      <c r="H6" s="202">
        <f>'SER_se-appl'!H69</f>
        <v>0.26223167482710469</v>
      </c>
      <c r="I6" s="202">
        <f>'SER_se-appl'!I69</f>
        <v>0.26637529522084002</v>
      </c>
      <c r="J6" s="202">
        <f>'SER_se-appl'!J69</f>
        <v>0.27162011333552316</v>
      </c>
      <c r="K6" s="202">
        <f>'SER_se-appl'!K69</f>
        <v>0.2755289999335514</v>
      </c>
      <c r="L6" s="202">
        <f>'SER_se-appl'!L69</f>
        <v>0.28140670619945557</v>
      </c>
      <c r="M6" s="202">
        <f>'SER_se-appl'!M69</f>
        <v>0.28726231556703374</v>
      </c>
      <c r="N6" s="202">
        <f>'SER_se-appl'!N69</f>
        <v>0.29424570035934955</v>
      </c>
      <c r="O6" s="202">
        <f>'SER_se-appl'!O69</f>
        <v>0.30282612566983197</v>
      </c>
      <c r="P6" s="202">
        <f>'SER_se-appl'!P69</f>
        <v>0.3159891317437003</v>
      </c>
      <c r="Q6" s="202">
        <f>'SER_se-appl'!Q69</f>
        <v>0.32891080326842076</v>
      </c>
      <c r="R6" s="202">
        <f>'SER_se-appl'!R69</f>
        <v>0.33285492929336591</v>
      </c>
      <c r="S6" s="202">
        <f>'SER_se-appl'!S69</f>
        <v>0.33590107785512663</v>
      </c>
      <c r="T6" s="202">
        <f>'SER_se-appl'!T69</f>
        <v>0.3409362435970113</v>
      </c>
      <c r="U6" s="202">
        <f>'SER_se-appl'!U69</f>
        <v>0.34543000386413625</v>
      </c>
      <c r="V6" s="202">
        <f>'SER_se-appl'!V69</f>
        <v>0.34935301633368976</v>
      </c>
      <c r="W6" s="202">
        <f>'SER_se-appl'!W69</f>
        <v>0.35472566427023022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101.1584660182092</v>
      </c>
      <c r="C8" s="34">
        <f>'SER_se-appl'!C21</f>
        <v>103.60309202086675</v>
      </c>
      <c r="D8" s="34">
        <f>'SER_se-appl'!D21</f>
        <v>106.31762618371752</v>
      </c>
      <c r="E8" s="34">
        <f>'SER_se-appl'!E21</f>
        <v>109.88753053275572</v>
      </c>
      <c r="F8" s="34">
        <f>'SER_se-appl'!F21</f>
        <v>113.66719230503114</v>
      </c>
      <c r="G8" s="34">
        <f>'SER_se-appl'!G21</f>
        <v>118.79484158671897</v>
      </c>
      <c r="H8" s="34">
        <f>'SER_se-appl'!H21</f>
        <v>123.00920741794724</v>
      </c>
      <c r="I8" s="34">
        <f>'SER_se-appl'!I21</f>
        <v>126.84445270532615</v>
      </c>
      <c r="J8" s="34">
        <f>'SER_se-appl'!J21</f>
        <v>131.40953921161278</v>
      </c>
      <c r="K8" s="34">
        <f>'SER_se-appl'!K21</f>
        <v>135.97356146720762</v>
      </c>
      <c r="L8" s="34">
        <f>'SER_se-appl'!L21</f>
        <v>141.28473935473585</v>
      </c>
      <c r="M8" s="34">
        <f>'SER_se-appl'!M21</f>
        <v>147.03234359983054</v>
      </c>
      <c r="N8" s="34">
        <f>'SER_se-appl'!N21</f>
        <v>154.43573857070569</v>
      </c>
      <c r="O8" s="34">
        <f>'SER_se-appl'!O21</f>
        <v>162.62943970360089</v>
      </c>
      <c r="P8" s="34">
        <f>'SER_se-appl'!P21</f>
        <v>173.6929059368772</v>
      </c>
      <c r="Q8" s="34">
        <f>'SER_se-appl'!Q21</f>
        <v>185.16296798638362</v>
      </c>
      <c r="R8" s="34">
        <f>'SER_se-appl'!R21</f>
        <v>191.80732015037282</v>
      </c>
      <c r="S8" s="34">
        <f>'SER_se-appl'!S21</f>
        <v>198.40568195345406</v>
      </c>
      <c r="T8" s="34">
        <f>'SER_se-appl'!T21</f>
        <v>205.2453233266188</v>
      </c>
      <c r="U8" s="34">
        <f>'SER_se-appl'!U21</f>
        <v>212.05740679217004</v>
      </c>
      <c r="V8" s="34">
        <f>'SER_se-appl'!V21</f>
        <v>218.73271835065384</v>
      </c>
      <c r="W8" s="34">
        <f>'SER_se-appl'!W21</f>
        <v>225.15502088224324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15.134392067278426</v>
      </c>
      <c r="D9" s="36">
        <f>'SER_se-appl'!D29</f>
        <v>15.950529704120896</v>
      </c>
      <c r="E9" s="36">
        <f>'SER_se-appl'!E29</f>
        <v>17.375641750057554</v>
      </c>
      <c r="F9" s="36">
        <f>'SER_se-appl'!F29</f>
        <v>18.179665503888572</v>
      </c>
      <c r="G9" s="36">
        <f>'SER_se-appl'!G29</f>
        <v>20.147499467680944</v>
      </c>
      <c r="H9" s="36">
        <f>'SER_se-appl'!H29</f>
        <v>19.880743688784889</v>
      </c>
      <c r="I9" s="36">
        <f>'SER_se-appl'!I29</f>
        <v>20.175980523514866</v>
      </c>
      <c r="J9" s="36">
        <f>'SER_se-appl'!J29</f>
        <v>19.699478573565059</v>
      </c>
      <c r="K9" s="36">
        <f>'SER_se-appl'!K29</f>
        <v>20.514551959715732</v>
      </c>
      <c r="L9" s="36">
        <f>'SER_se-appl'!L29</f>
        <v>22.686819637585785</v>
      </c>
      <c r="M9" s="36">
        <f>'SER_se-appl'!M29</f>
        <v>23.927269748983264</v>
      </c>
      <c r="N9" s="36">
        <f>'SER_se-appl'!N29</f>
        <v>27.550894438556099</v>
      </c>
      <c r="O9" s="36">
        <f>'SER_se-appl'!O29</f>
        <v>28.074444821680089</v>
      </c>
      <c r="P9" s="36">
        <f>'SER_se-appl'!P29</f>
        <v>31.239446756791153</v>
      </c>
      <c r="Q9" s="36">
        <f>'SER_se-appl'!Q29</f>
        <v>31.16954062307147</v>
      </c>
      <c r="R9" s="36">
        <f>'SER_se-appl'!R29</f>
        <v>27.158904123704929</v>
      </c>
      <c r="S9" s="36">
        <f>'SER_se-appl'!S29</f>
        <v>29.285181440667031</v>
      </c>
      <c r="T9" s="36">
        <f>'SER_se-appl'!T29</f>
        <v>30.766911122148002</v>
      </c>
      <c r="U9" s="36">
        <f>'SER_se-appl'!U29</f>
        <v>34.362977904107339</v>
      </c>
      <c r="V9" s="36">
        <f>'SER_se-appl'!V29</f>
        <v>34.749756380163888</v>
      </c>
      <c r="W9" s="36">
        <f>'SER_se-appl'!W29</f>
        <v>37.661749288380548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12.689766064620869</v>
      </c>
      <c r="D10" s="38">
        <f>'SER_se-appl'!D37</f>
        <v>13.235995541270128</v>
      </c>
      <c r="E10" s="38">
        <f>'SER_se-appl'!E37</f>
        <v>13.805737401019357</v>
      </c>
      <c r="F10" s="38">
        <f>'SER_se-appl'!F37</f>
        <v>14.400003731613168</v>
      </c>
      <c r="G10" s="38">
        <f>'SER_se-appl'!G37</f>
        <v>15.019850185993107</v>
      </c>
      <c r="H10" s="38">
        <f>'SER_se-appl'!H37</f>
        <v>15.666377857556625</v>
      </c>
      <c r="I10" s="38">
        <f>'SER_se-appl'!I37</f>
        <v>16.34073523613597</v>
      </c>
      <c r="J10" s="38">
        <f>'SER_se-appl'!J37</f>
        <v>15.134392067278412</v>
      </c>
      <c r="K10" s="38">
        <f>'SER_se-appl'!K37</f>
        <v>15.950529704120896</v>
      </c>
      <c r="L10" s="38">
        <f>'SER_se-appl'!L37</f>
        <v>17.375641750057554</v>
      </c>
      <c r="M10" s="38">
        <f>'SER_se-appl'!M37</f>
        <v>18.179665503888572</v>
      </c>
      <c r="N10" s="38">
        <f>'SER_se-appl'!N37</f>
        <v>20.147499467680944</v>
      </c>
      <c r="O10" s="38">
        <f>'SER_se-appl'!O37</f>
        <v>19.880743688784889</v>
      </c>
      <c r="P10" s="38">
        <f>'SER_se-appl'!P37</f>
        <v>20.175980523514852</v>
      </c>
      <c r="Q10" s="38">
        <f>'SER_se-appl'!Q37</f>
        <v>19.699478573565045</v>
      </c>
      <c r="R10" s="38">
        <f>'SER_se-appl'!R37</f>
        <v>20.514551959715732</v>
      </c>
      <c r="S10" s="38">
        <f>'SER_se-appl'!S37</f>
        <v>22.686819637585785</v>
      </c>
      <c r="T10" s="38">
        <f>'SER_se-appl'!T37</f>
        <v>23.927269748983264</v>
      </c>
      <c r="U10" s="38">
        <f>'SER_se-appl'!U37</f>
        <v>27.550894438556099</v>
      </c>
      <c r="V10" s="38">
        <f>'SER_se-appl'!V37</f>
        <v>28.074444821680089</v>
      </c>
      <c r="W10" s="38">
        <f>'SER_se-appl'!W37</f>
        <v>31.239446756791125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4002.6704848373065</v>
      </c>
      <c r="C12" s="205">
        <f>'SER_se-appl'!C45</f>
        <v>4005.5674164954839</v>
      </c>
      <c r="D12" s="205">
        <f>'SER_se-appl'!D45</f>
        <v>4010.8635008300794</v>
      </c>
      <c r="E12" s="205">
        <f>'SER_se-appl'!E45</f>
        <v>4012.426770624244</v>
      </c>
      <c r="F12" s="205">
        <f>'SER_se-appl'!F45</f>
        <v>4019.105074839365</v>
      </c>
      <c r="G12" s="205">
        <f>'SER_se-appl'!G45</f>
        <v>4023.0303038887996</v>
      </c>
      <c r="H12" s="205">
        <f>'SER_se-appl'!H45</f>
        <v>4024.3051595040497</v>
      </c>
      <c r="I12" s="205">
        <f>'SER_se-appl'!I45</f>
        <v>4028.2583760414168</v>
      </c>
      <c r="J12" s="205">
        <f>'SER_se-appl'!J45</f>
        <v>4027.0421875515212</v>
      </c>
      <c r="K12" s="205">
        <f>'SER_se-appl'!K45</f>
        <v>4022.8660020568027</v>
      </c>
      <c r="L12" s="205">
        <f>'SER_se-appl'!L45</f>
        <v>4021.8769636949296</v>
      </c>
      <c r="M12" s="205">
        <f>'SER_se-appl'!M45</f>
        <v>4012.8947562989283</v>
      </c>
      <c r="N12" s="205">
        <f>'SER_se-appl'!N45</f>
        <v>3992.5736447945001</v>
      </c>
      <c r="O12" s="205">
        <f>'SER_se-appl'!O45</f>
        <v>3960.771832692943</v>
      </c>
      <c r="P12" s="205">
        <f>'SER_se-appl'!P45</f>
        <v>3925.2552026638732</v>
      </c>
      <c r="Q12" s="205">
        <f>'SER_se-appl'!Q45</f>
        <v>3884.4814812516956</v>
      </c>
      <c r="R12" s="205">
        <f>'SER_se-appl'!R45</f>
        <v>3889.7525978042304</v>
      </c>
      <c r="S12" s="205">
        <f>'SER_se-appl'!S45</f>
        <v>3927.497451408939</v>
      </c>
      <c r="T12" s="205">
        <f>'SER_se-appl'!T45</f>
        <v>3900.8611517533495</v>
      </c>
      <c r="U12" s="205">
        <f>'SER_se-appl'!U45</f>
        <v>3883.8121901650375</v>
      </c>
      <c r="V12" s="205">
        <f>'SER_se-appl'!V45</f>
        <v>3900.0074592840792</v>
      </c>
      <c r="W12" s="205">
        <f>'SER_se-appl'!W45</f>
        <v>3907.1337405396689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185.89086020614781</v>
      </c>
      <c r="C14" s="59">
        <f>'SER_se-appl'!C53</f>
        <v>184.09947177411141</v>
      </c>
      <c r="D14" s="59">
        <f>'SER_se-appl'!D53</f>
        <v>181.9618975703593</v>
      </c>
      <c r="E14" s="59">
        <f>'SER_se-appl'!E53</f>
        <v>179.37133868848392</v>
      </c>
      <c r="F14" s="59">
        <f>'SER_se-appl'!F53</f>
        <v>176.3594209638872</v>
      </c>
      <c r="G14" s="59">
        <f>'SER_se-appl'!G53</f>
        <v>172.82435917716097</v>
      </c>
      <c r="H14" s="59">
        <f>'SER_se-appl'!H53</f>
        <v>169.13117235252247</v>
      </c>
      <c r="I14" s="59">
        <f>'SER_se-appl'!I53</f>
        <v>165.16478021382551</v>
      </c>
      <c r="J14" s="59">
        <f>'SER_se-appl'!J53</f>
        <v>162.67421993420066</v>
      </c>
      <c r="K14" s="59">
        <f>'SER_se-appl'!K53</f>
        <v>159.95504452912587</v>
      </c>
      <c r="L14" s="59">
        <f>'SER_se-appl'!L53</f>
        <v>156.88574414045959</v>
      </c>
      <c r="M14" s="59">
        <f>'SER_se-appl'!M53</f>
        <v>153.64925256514817</v>
      </c>
      <c r="N14" s="59">
        <f>'SER_se-appl'!N53</f>
        <v>149.84464626810197</v>
      </c>
      <c r="O14" s="59">
        <f>'SER_se-appl'!O53</f>
        <v>145.61612358715945</v>
      </c>
      <c r="P14" s="59">
        <f>'SER_se-appl'!P53</f>
        <v>140.60715146631867</v>
      </c>
      <c r="Q14" s="59">
        <f>'SER_se-appl'!Q53</f>
        <v>135.28102490700041</v>
      </c>
      <c r="R14" s="59">
        <f>'SER_se-appl'!R53</f>
        <v>130.2373986941729</v>
      </c>
      <c r="S14" s="59">
        <f>'SER_se-appl'!S53</f>
        <v>124.77711659850127</v>
      </c>
      <c r="T14" s="59">
        <f>'SER_se-appl'!T53</f>
        <v>119.06496194996136</v>
      </c>
      <c r="U14" s="59">
        <f>'SER_se-appl'!U53</f>
        <v>112.77074895190839</v>
      </c>
      <c r="V14" s="59">
        <f>'SER_se-appl'!V53</f>
        <v>106.73548765246774</v>
      </c>
      <c r="W14" s="59">
        <f>'SER_se-appl'!W53</f>
        <v>101.19840360914509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173.62783835866657</v>
      </c>
      <c r="D15" s="63">
        <f>'SER_se-appl'!D61</f>
        <v>171.33807703605652</v>
      </c>
      <c r="E15" s="63">
        <f>'SER_se-appl'!E61</f>
        <v>168.70035044965493</v>
      </c>
      <c r="F15" s="63">
        <f>'SER_se-appl'!F61</f>
        <v>165.7035901277182</v>
      </c>
      <c r="G15" s="63">
        <f>'SER_se-appl'!G61</f>
        <v>162.62142256255933</v>
      </c>
      <c r="H15" s="63">
        <f>'SER_se-appl'!H61</f>
        <v>160.26993738811464</v>
      </c>
      <c r="I15" s="63">
        <f>'SER_se-appl'!I61</f>
        <v>157.76869022065489</v>
      </c>
      <c r="J15" s="63">
        <f>'SER_se-appl'!J61</f>
        <v>155.05283040113568</v>
      </c>
      <c r="K15" s="63">
        <f>'SER_se-appl'!K61</f>
        <v>151.38745849376937</v>
      </c>
      <c r="L15" s="63">
        <f>'SER_se-appl'!L61</f>
        <v>147.53858390378326</v>
      </c>
      <c r="M15" s="63">
        <f>'SER_se-appl'!M61</f>
        <v>143.69730040423315</v>
      </c>
      <c r="N15" s="63">
        <f>'SER_se-appl'!N61</f>
        <v>138.88383744893304</v>
      </c>
      <c r="O15" s="63">
        <f>'SER_se-appl'!O61</f>
        <v>132.73229598694107</v>
      </c>
      <c r="P15" s="63">
        <f>'SER_se-appl'!P61</f>
        <v>125.61471381245907</v>
      </c>
      <c r="Q15" s="63">
        <f>'SER_se-appl'!Q61</f>
        <v>118.09706485894336</v>
      </c>
      <c r="R15" s="63">
        <f>'SER_se-appl'!R61</f>
        <v>111.82690628278252</v>
      </c>
      <c r="S15" s="63">
        <f>'SER_se-appl'!S61</f>
        <v>106.64723839816305</v>
      </c>
      <c r="T15" s="63">
        <f>'SER_se-appl'!T61</f>
        <v>101.38560084789826</v>
      </c>
      <c r="U15" s="63">
        <f>'SER_se-appl'!U61</f>
        <v>96.112738728720828</v>
      </c>
      <c r="V15" s="63">
        <f>'SER_se-appl'!V61</f>
        <v>90.908732111225959</v>
      </c>
      <c r="W15" s="63">
        <f>'SER_se-appl'!W61</f>
        <v>89.292705376572385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12.460896005053661</v>
      </c>
      <c r="C3" s="199">
        <f>'SER_se-appl'!C6</f>
        <v>12.590610484114928</v>
      </c>
      <c r="D3" s="199">
        <f>'SER_se-appl'!D6</f>
        <v>12.674387397442604</v>
      </c>
      <c r="E3" s="199">
        <f>'SER_se-appl'!E6</f>
        <v>12.62512532513909</v>
      </c>
      <c r="F3" s="199">
        <f>'SER_se-appl'!F6</f>
        <v>12.631717606140253</v>
      </c>
      <c r="G3" s="199">
        <f>'SER_se-appl'!G6</f>
        <v>12.611242963133188</v>
      </c>
      <c r="H3" s="199">
        <f>'SER_se-appl'!H6</f>
        <v>12.481956075870254</v>
      </c>
      <c r="I3" s="199">
        <f>'SER_se-appl'!I6</f>
        <v>12.497280522973158</v>
      </c>
      <c r="J3" s="199">
        <f>'SER_se-appl'!J6</f>
        <v>12.563734570752585</v>
      </c>
      <c r="K3" s="199">
        <f>'SER_se-appl'!K6</f>
        <v>12.652990884979509</v>
      </c>
      <c r="L3" s="199">
        <f>'SER_se-appl'!L6</f>
        <v>12.72550353691719</v>
      </c>
      <c r="M3" s="199">
        <f>'SER_se-appl'!M6</f>
        <v>12.905343824270634</v>
      </c>
      <c r="N3" s="199">
        <f>'SER_se-appl'!N6</f>
        <v>13.058862678902402</v>
      </c>
      <c r="O3" s="199">
        <f>'SER_se-appl'!O6</f>
        <v>13.236903238086336</v>
      </c>
      <c r="P3" s="199">
        <f>'SER_se-appl'!P6</f>
        <v>13.394806090380044</v>
      </c>
      <c r="Q3" s="199">
        <f>'SER_se-appl'!Q6</f>
        <v>13.508945941661619</v>
      </c>
      <c r="R3" s="199">
        <f>'SER_se-appl'!R6</f>
        <v>13.466816510663881</v>
      </c>
      <c r="S3" s="199">
        <f>'SER_se-appl'!S6</f>
        <v>13.254958720610471</v>
      </c>
      <c r="T3" s="199">
        <f>'SER_se-appl'!T6</f>
        <v>12.769273381518262</v>
      </c>
      <c r="U3" s="199">
        <f>'SER_se-appl'!U6</f>
        <v>12.162074220205099</v>
      </c>
      <c r="V3" s="199">
        <f>'SER_se-appl'!V6</f>
        <v>10.748873022423629</v>
      </c>
      <c r="W3" s="199">
        <f>'SER_se-appl'!W6</f>
        <v>10.99824913304173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59.210451070275589</v>
      </c>
      <c r="C5" s="59">
        <f>'SER_se-appl'!C14</f>
        <v>59.322583774381826</v>
      </c>
      <c r="D5" s="59">
        <f>'SER_se-appl'!D14</f>
        <v>59.386561836891055</v>
      </c>
      <c r="E5" s="59">
        <f>'SER_se-appl'!E14</f>
        <v>58.840733760496477</v>
      </c>
      <c r="F5" s="59">
        <f>'SER_se-appl'!F14</f>
        <v>58.51888026898861</v>
      </c>
      <c r="G5" s="59">
        <f>'SER_se-appl'!G14</f>
        <v>58.139505445242641</v>
      </c>
      <c r="H5" s="59">
        <f>'SER_se-appl'!H14</f>
        <v>57.330016322021521</v>
      </c>
      <c r="I5" s="59">
        <f>'SER_se-appl'!I14</f>
        <v>57.126176144119874</v>
      </c>
      <c r="J5" s="59">
        <f>'SER_se-appl'!J14</f>
        <v>57.205557234408239</v>
      </c>
      <c r="K5" s="59">
        <f>'SER_se-appl'!K14</f>
        <v>57.366803195859355</v>
      </c>
      <c r="L5" s="59">
        <f>'SER_se-appl'!L14</f>
        <v>57.46427425548714</v>
      </c>
      <c r="M5" s="59">
        <f>'SER_se-appl'!M14</f>
        <v>58.015761055999967</v>
      </c>
      <c r="N5" s="59">
        <f>'SER_se-appl'!N14</f>
        <v>58.541624776345188</v>
      </c>
      <c r="O5" s="59">
        <f>'SER_se-appl'!O14</f>
        <v>59.215299323015557</v>
      </c>
      <c r="P5" s="59">
        <f>'SER_se-appl'!P14</f>
        <v>59.803449180070324</v>
      </c>
      <c r="Q5" s="59">
        <f>'SER_se-appl'!Q14</f>
        <v>60.219975415189055</v>
      </c>
      <c r="R5" s="59">
        <f>'SER_se-appl'!R14</f>
        <v>59.644723389013663</v>
      </c>
      <c r="S5" s="59">
        <f>'SER_se-appl'!S14</f>
        <v>58.633915855794378</v>
      </c>
      <c r="T5" s="59">
        <f>'SER_se-appl'!T14</f>
        <v>56.688857050230212</v>
      </c>
      <c r="U5" s="59">
        <f>'SER_se-appl'!U14</f>
        <v>53.936656344804305</v>
      </c>
      <c r="V5" s="59">
        <f>'SER_se-appl'!V14</f>
        <v>51.162914539448607</v>
      </c>
      <c r="W5" s="59">
        <f>'SER_se-appl'!W14</f>
        <v>48.497488300760054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186.66737453545588</v>
      </c>
      <c r="C6" s="202">
        <f>'SER_se-appl'!C70</f>
        <v>187.9167079491084</v>
      </c>
      <c r="D6" s="202">
        <f>'SER_se-appl'!D70</f>
        <v>189.87303676552838</v>
      </c>
      <c r="E6" s="202">
        <f>'SER_se-appl'!E70</f>
        <v>191.51623881479756</v>
      </c>
      <c r="F6" s="202">
        <f>'SER_se-appl'!F70</f>
        <v>193.56273408260657</v>
      </c>
      <c r="G6" s="202">
        <f>'SER_se-appl'!G70</f>
        <v>195.93782612309434</v>
      </c>
      <c r="H6" s="202">
        <f>'SER_se-appl'!H70</f>
        <v>198.38907297089446</v>
      </c>
      <c r="I6" s="202">
        <f>'SER_se-appl'!I70</f>
        <v>200.87902270355747</v>
      </c>
      <c r="J6" s="202">
        <f>'SER_se-appl'!J70</f>
        <v>204.74066911126758</v>
      </c>
      <c r="K6" s="202">
        <f>'SER_se-appl'!K70</f>
        <v>209.29253602662854</v>
      </c>
      <c r="L6" s="202">
        <f>'SER_se-appl'!L70</f>
        <v>214.83060443286388</v>
      </c>
      <c r="M6" s="202">
        <f>'SER_se-appl'!M70</f>
        <v>220.36940558223495</v>
      </c>
      <c r="N6" s="202">
        <f>'SER_se-appl'!N70</f>
        <v>226.8804523614283</v>
      </c>
      <c r="O6" s="202">
        <f>'SER_se-appl'!O70</f>
        <v>233.63304887697512</v>
      </c>
      <c r="P6" s="202">
        <f>'SER_se-appl'!P70</f>
        <v>240.96941297163869</v>
      </c>
      <c r="Q6" s="202">
        <f>'SER_se-appl'!Q70</f>
        <v>249.19087457923499</v>
      </c>
      <c r="R6" s="202">
        <f>'SER_se-appl'!R70</f>
        <v>255.29643549447403</v>
      </c>
      <c r="S6" s="202">
        <f>'SER_se-appl'!S70</f>
        <v>261.49066980751707</v>
      </c>
      <c r="T6" s="202">
        <f>'SER_se-appl'!T70</f>
        <v>267.3983108835414</v>
      </c>
      <c r="U6" s="202">
        <f>'SER_se-appl'!U70</f>
        <v>272.78986443099149</v>
      </c>
      <c r="V6" s="202">
        <f>'SER_se-appl'!V70</f>
        <v>277.23763766330762</v>
      </c>
      <c r="W6" s="202">
        <f>'SER_se-appl'!W70</f>
        <v>280.06362262665061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1.484773941644693</v>
      </c>
      <c r="C8" s="34">
        <f>'SER_se-appl'!C22</f>
        <v>1.5056668266291342</v>
      </c>
      <c r="D8" s="34">
        <f>'SER_se-appl'!D22</f>
        <v>1.5347313289519449</v>
      </c>
      <c r="E8" s="34">
        <f>'SER_se-appl'!E22</f>
        <v>1.552958076242261</v>
      </c>
      <c r="F8" s="34">
        <f>'SER_se-appl'!F22</f>
        <v>1.583457903508886</v>
      </c>
      <c r="G8" s="34">
        <f>'SER_se-appl'!G22</f>
        <v>1.6204874799336781</v>
      </c>
      <c r="H8" s="34">
        <f>'SER_se-appl'!H22</f>
        <v>1.6528533128214147</v>
      </c>
      <c r="I8" s="34">
        <f>'SER_se-appl'!I22</f>
        <v>1.6874118015675261</v>
      </c>
      <c r="J8" s="34">
        <f>'SER_se-appl'!J22</f>
        <v>1.730921821434583</v>
      </c>
      <c r="K8" s="34">
        <f>'SER_se-appl'!K22</f>
        <v>1.7797070129743435</v>
      </c>
      <c r="L8" s="34">
        <f>'SER_se-appl'!L22</f>
        <v>1.8344541433119332</v>
      </c>
      <c r="M8" s="34">
        <f>'SER_se-appl'!M22</f>
        <v>1.9127877412034469</v>
      </c>
      <c r="N8" s="34">
        <f>'SER_se-appl'!N22</f>
        <v>2.0017918148234051</v>
      </c>
      <c r="O8" s="34">
        <f>'SER_se-appl'!O22</f>
        <v>2.1055129903183412</v>
      </c>
      <c r="P8" s="34">
        <f>'SER_se-appl'!P22</f>
        <v>2.2234998106950536</v>
      </c>
      <c r="Q8" s="34">
        <f>'SER_se-appl'!Q22</f>
        <v>2.3453828087497106</v>
      </c>
      <c r="R8" s="34">
        <f>'SER_se-appl'!R22</f>
        <v>2.4548681899961005</v>
      </c>
      <c r="S8" s="34">
        <f>'SER_se-appl'!S22</f>
        <v>2.5649363092242652</v>
      </c>
      <c r="T8" s="34">
        <f>'SER_se-appl'!T22</f>
        <v>2.6746384709567232</v>
      </c>
      <c r="U8" s="34">
        <f>'SER_se-appl'!U22</f>
        <v>2.7811048413926476</v>
      </c>
      <c r="V8" s="34">
        <f>'SER_se-appl'!V22</f>
        <v>2.8790934604988134</v>
      </c>
      <c r="W8" s="34">
        <f>'SER_se-appl'!W22</f>
        <v>2.9607121131609451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0.2527642367363474</v>
      </c>
      <c r="D9" s="36">
        <f>'SER_se-appl'!D30</f>
        <v>0.26695948968898864</v>
      </c>
      <c r="E9" s="36">
        <f>'SER_se-appl'!E30</f>
        <v>0.26230185439758591</v>
      </c>
      <c r="F9" s="36">
        <f>'SER_se-appl'!F30</f>
        <v>0.2809156034415492</v>
      </c>
      <c r="G9" s="36">
        <f>'SER_se-appl'!G30</f>
        <v>0.29395074180086556</v>
      </c>
      <c r="H9" s="36">
        <f>'SER_se-appl'!H30</f>
        <v>0.29596138675607775</v>
      </c>
      <c r="I9" s="36">
        <f>'SER_se-appl'!I30</f>
        <v>0.28732272548245885</v>
      </c>
      <c r="J9" s="36">
        <f>'SER_se-appl'!J30</f>
        <v>0.31046950955604546</v>
      </c>
      <c r="K9" s="36">
        <f>'SER_se-appl'!K30</f>
        <v>0.31108704593734648</v>
      </c>
      <c r="L9" s="36">
        <f>'SER_se-appl'!L30</f>
        <v>0.33566273377913891</v>
      </c>
      <c r="M9" s="36">
        <f>'SER_se-appl'!M30</f>
        <v>0.37228433969237917</v>
      </c>
      <c r="N9" s="36">
        <f>'SER_se-appl'!N30</f>
        <v>0.38496546037603596</v>
      </c>
      <c r="O9" s="36">
        <f>'SER_se-appl'!O30</f>
        <v>0.39104390097739494</v>
      </c>
      <c r="P9" s="36">
        <f>'SER_se-appl'!P30</f>
        <v>0.42845632993275795</v>
      </c>
      <c r="Q9" s="36">
        <f>'SER_se-appl'!Q30</f>
        <v>0.43297004399200345</v>
      </c>
      <c r="R9" s="36">
        <f>'SER_se-appl'!R30</f>
        <v>0.44514811502552876</v>
      </c>
      <c r="S9" s="36">
        <f>'SER_se-appl'!S30</f>
        <v>0.4823524589205439</v>
      </c>
      <c r="T9" s="36">
        <f>'SER_se-appl'!T30</f>
        <v>0.49466762210849424</v>
      </c>
      <c r="U9" s="36">
        <f>'SER_se-appl'!U30</f>
        <v>0.49751027141331905</v>
      </c>
      <c r="V9" s="36">
        <f>'SER_se-appl'!V30</f>
        <v>0.52644494903892358</v>
      </c>
      <c r="W9" s="36">
        <f>'SER_se-appl'!W30</f>
        <v>0.51458869665413509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0.23187135175190621</v>
      </c>
      <c r="D10" s="38">
        <f>'SER_se-appl'!D38</f>
        <v>0.23789498736617798</v>
      </c>
      <c r="E10" s="38">
        <f>'SER_se-appl'!E38</f>
        <v>0.24407510710726976</v>
      </c>
      <c r="F10" s="38">
        <f>'SER_se-appl'!F38</f>
        <v>0.25041577617492417</v>
      </c>
      <c r="G10" s="38">
        <f>'SER_se-appl'!G38</f>
        <v>0.25692116537607346</v>
      </c>
      <c r="H10" s="38">
        <f>'SER_se-appl'!H38</f>
        <v>0.26359555386834121</v>
      </c>
      <c r="I10" s="38">
        <f>'SER_se-appl'!I38</f>
        <v>0.2527642367363474</v>
      </c>
      <c r="J10" s="38">
        <f>'SER_se-appl'!J38</f>
        <v>0.26695948968898864</v>
      </c>
      <c r="K10" s="38">
        <f>'SER_se-appl'!K38</f>
        <v>0.26230185439758591</v>
      </c>
      <c r="L10" s="38">
        <f>'SER_se-appl'!L38</f>
        <v>0.2809156034415492</v>
      </c>
      <c r="M10" s="38">
        <f>'SER_se-appl'!M38</f>
        <v>0.29395074180086578</v>
      </c>
      <c r="N10" s="38">
        <f>'SER_se-appl'!N38</f>
        <v>0.29596138675607797</v>
      </c>
      <c r="O10" s="38">
        <f>'SER_se-appl'!O38</f>
        <v>0.28732272548245863</v>
      </c>
      <c r="P10" s="38">
        <f>'SER_se-appl'!P38</f>
        <v>0.31046950955604569</v>
      </c>
      <c r="Q10" s="38">
        <f>'SER_se-appl'!Q38</f>
        <v>0.31108704593734648</v>
      </c>
      <c r="R10" s="38">
        <f>'SER_se-appl'!R38</f>
        <v>0.33566273377913891</v>
      </c>
      <c r="S10" s="38">
        <f>'SER_se-appl'!S38</f>
        <v>0.37228433969237917</v>
      </c>
      <c r="T10" s="38">
        <f>'SER_se-appl'!T38</f>
        <v>0.38496546037603618</v>
      </c>
      <c r="U10" s="38">
        <f>'SER_se-appl'!U38</f>
        <v>0.39104390097739472</v>
      </c>
      <c r="V10" s="38">
        <f>'SER_se-appl'!V38</f>
        <v>0.42845632993275773</v>
      </c>
      <c r="W10" s="38">
        <f>'SER_se-appl'!W38</f>
        <v>0.43297004399200345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2447.5446128044427</v>
      </c>
      <c r="C12" s="205">
        <f>'SER_se-appl'!C46</f>
        <v>2468.3483188655582</v>
      </c>
      <c r="D12" s="205">
        <f>'SER_se-appl'!D46</f>
        <v>2482.0956269047783</v>
      </c>
      <c r="E12" s="205">
        <f>'SER_se-appl'!E46</f>
        <v>2495.3836933614866</v>
      </c>
      <c r="F12" s="205">
        <f>'SER_se-appl'!F46</f>
        <v>2510.4184339163221</v>
      </c>
      <c r="G12" s="205">
        <f>'SER_se-appl'!G46</f>
        <v>2522.7038747237984</v>
      </c>
      <c r="H12" s="205">
        <f>'SER_se-appl'!H46</f>
        <v>2532.096770162796</v>
      </c>
      <c r="I12" s="205">
        <f>'SER_se-appl'!I46</f>
        <v>2544.251729986278</v>
      </c>
      <c r="J12" s="205">
        <f>'SER_se-appl'!J46</f>
        <v>2554.2314439682787</v>
      </c>
      <c r="K12" s="205">
        <f>'SER_se-appl'!K46</f>
        <v>2565.1470152503293</v>
      </c>
      <c r="L12" s="205">
        <f>'SER_se-appl'!L46</f>
        <v>2575.4715960798017</v>
      </c>
      <c r="M12" s="205">
        <f>'SER_se-appl'!M46</f>
        <v>2587.0409341246645</v>
      </c>
      <c r="N12" s="205">
        <f>'SER_se-appl'!N46</f>
        <v>2594.3006115027169</v>
      </c>
      <c r="O12" s="205">
        <f>'SER_se-appl'!O46</f>
        <v>2599.7535505002388</v>
      </c>
      <c r="P12" s="205">
        <f>'SER_se-appl'!P46</f>
        <v>2604.8931452441138</v>
      </c>
      <c r="Q12" s="205">
        <f>'SER_se-appl'!Q46</f>
        <v>2608.9190541565317</v>
      </c>
      <c r="R12" s="205">
        <f>'SER_se-appl'!R46</f>
        <v>2625.8664156680384</v>
      </c>
      <c r="S12" s="205">
        <f>'SER_se-appl'!S46</f>
        <v>2629.1126504297035</v>
      </c>
      <c r="T12" s="205">
        <f>'SER_se-appl'!T46</f>
        <v>2619.6797246321321</v>
      </c>
      <c r="U12" s="205">
        <f>'SER_se-appl'!U46</f>
        <v>2622.4266160801908</v>
      </c>
      <c r="V12" s="205">
        <f>'SER_se-appl'!V46</f>
        <v>2443.359499279496</v>
      </c>
      <c r="W12" s="205">
        <f>'SER_se-appl'!W46</f>
        <v>2637.4486988694366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39.878428230419921</v>
      </c>
      <c r="C14" s="59">
        <f>'SER_se-appl'!C54</f>
        <v>39.399542266061871</v>
      </c>
      <c r="D14" s="59">
        <f>'SER_se-appl'!D54</f>
        <v>38.695086701231048</v>
      </c>
      <c r="E14" s="59">
        <f>'SER_se-appl'!E54</f>
        <v>37.889454107399445</v>
      </c>
      <c r="F14" s="59">
        <f>'SER_se-appl'!F54</f>
        <v>36.956385224585297</v>
      </c>
      <c r="G14" s="59">
        <f>'SER_se-appl'!G54</f>
        <v>35.877787496156479</v>
      </c>
      <c r="H14" s="59">
        <f>'SER_se-appl'!H54</f>
        <v>34.685483507401749</v>
      </c>
      <c r="I14" s="59">
        <f>'SER_se-appl'!I54</f>
        <v>33.854318247064732</v>
      </c>
      <c r="J14" s="59">
        <f>'SER_se-appl'!J54</f>
        <v>33.049186003673142</v>
      </c>
      <c r="K14" s="59">
        <f>'SER_se-appl'!K54</f>
        <v>32.233846794807434</v>
      </c>
      <c r="L14" s="59">
        <f>'SER_se-appl'!L54</f>
        <v>31.32499902763491</v>
      </c>
      <c r="M14" s="59">
        <f>'SER_se-appl'!M54</f>
        <v>30.330475152197938</v>
      </c>
      <c r="N14" s="59">
        <f>'SER_se-appl'!N54</f>
        <v>29.24461192359788</v>
      </c>
      <c r="O14" s="59">
        <f>'SER_se-appl'!O54</f>
        <v>28.123929700411182</v>
      </c>
      <c r="P14" s="59">
        <f>'SER_se-appl'!P54</f>
        <v>26.896089170961567</v>
      </c>
      <c r="Q14" s="59">
        <f>'SER_se-appl'!Q54</f>
        <v>25.675968626755409</v>
      </c>
      <c r="R14" s="59">
        <f>'SER_se-appl'!R54</f>
        <v>24.296507499699366</v>
      </c>
      <c r="S14" s="59">
        <f>'SER_se-appl'!S54</f>
        <v>22.859794079459039</v>
      </c>
      <c r="T14" s="59">
        <f>'SER_se-appl'!T54</f>
        <v>21.194960614603175</v>
      </c>
      <c r="U14" s="59">
        <f>'SER_se-appl'!U54</f>
        <v>19.393967297469931</v>
      </c>
      <c r="V14" s="59">
        <f>'SER_se-appl'!V54</f>
        <v>17.770494512041456</v>
      </c>
      <c r="W14" s="59">
        <f>'SER_se-appl'!W54</f>
        <v>16.38034582463429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37.025798762018042</v>
      </c>
      <c r="D15" s="63">
        <f>'SER_se-appl'!D62</f>
        <v>35.776425305932669</v>
      </c>
      <c r="E15" s="63">
        <f>'SER_se-appl'!E62</f>
        <v>35.026452963190629</v>
      </c>
      <c r="F15" s="63">
        <f>'SER_se-appl'!F62</f>
        <v>34.402980639199775</v>
      </c>
      <c r="G15" s="63">
        <f>'SER_se-appl'!G62</f>
        <v>33.564254235709413</v>
      </c>
      <c r="H15" s="63">
        <f>'SER_se-appl'!H62</f>
        <v>32.7822739307937</v>
      </c>
      <c r="I15" s="63">
        <f>'SER_se-appl'!I62</f>
        <v>31.862977668615891</v>
      </c>
      <c r="J15" s="63">
        <f>'SER_se-appl'!J62</f>
        <v>31.018303042469729</v>
      </c>
      <c r="K15" s="63">
        <f>'SER_se-appl'!K62</f>
        <v>30.051876633103788</v>
      </c>
      <c r="L15" s="63">
        <f>'SER_se-appl'!L62</f>
        <v>29.082183226511098</v>
      </c>
      <c r="M15" s="63">
        <f>'SER_se-appl'!M62</f>
        <v>27.983245923534351</v>
      </c>
      <c r="N15" s="63">
        <f>'SER_se-appl'!N62</f>
        <v>26.569009500046164</v>
      </c>
      <c r="O15" s="63">
        <f>'SER_se-appl'!O62</f>
        <v>25.134344527142922</v>
      </c>
      <c r="P15" s="63">
        <f>'SER_se-appl'!P62</f>
        <v>23.849308496655478</v>
      </c>
      <c r="Q15" s="63">
        <f>'SER_se-appl'!Q62</f>
        <v>22.554160264179632</v>
      </c>
      <c r="R15" s="63">
        <f>'SER_se-appl'!R62</f>
        <v>20.637070650909781</v>
      </c>
      <c r="S15" s="63">
        <f>'SER_se-appl'!S62</f>
        <v>19.502163871880914</v>
      </c>
      <c r="T15" s="63">
        <f>'SER_se-appl'!T62</f>
        <v>16.744763146312568</v>
      </c>
      <c r="U15" s="63">
        <f>'SER_se-appl'!U62</f>
        <v>14.223689104699867</v>
      </c>
      <c r="V15" s="63">
        <f>'SER_se-appl'!V62</f>
        <v>14.141355897034206</v>
      </c>
      <c r="W15" s="63">
        <f>'SER_se-appl'!W62</f>
        <v>13.797134622776104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6.1223616081281751</v>
      </c>
      <c r="C3" s="199">
        <f>'SER_se-appl'!C7</f>
        <v>6.2268392617236259</v>
      </c>
      <c r="D3" s="199">
        <f>'SER_se-appl'!D7</f>
        <v>6.329390531204381</v>
      </c>
      <c r="E3" s="199">
        <f>'SER_se-appl'!E7</f>
        <v>6.4092640876315423</v>
      </c>
      <c r="F3" s="199">
        <f>'SER_se-appl'!F7</f>
        <v>6.5147335631959544</v>
      </c>
      <c r="G3" s="199">
        <f>'SER_se-appl'!G7</f>
        <v>6.6250042640216984</v>
      </c>
      <c r="H3" s="199">
        <f>'SER_se-appl'!H7</f>
        <v>6.7651008309205203</v>
      </c>
      <c r="I3" s="199">
        <f>'SER_se-appl'!I7</f>
        <v>6.907495775574942</v>
      </c>
      <c r="J3" s="199">
        <f>'SER_se-appl'!J7</f>
        <v>7.0391762182368884</v>
      </c>
      <c r="K3" s="199">
        <f>'SER_se-appl'!K7</f>
        <v>7.2007183217043682</v>
      </c>
      <c r="L3" s="199">
        <f>'SER_se-appl'!L7</f>
        <v>7.3336097617452189</v>
      </c>
      <c r="M3" s="199">
        <f>'SER_se-appl'!M7</f>
        <v>7.4683610733093841</v>
      </c>
      <c r="N3" s="199">
        <f>'SER_se-appl'!N7</f>
        <v>7.6708983139795883</v>
      </c>
      <c r="O3" s="199">
        <f>'SER_se-appl'!O7</f>
        <v>7.8806998315971564</v>
      </c>
      <c r="P3" s="199">
        <f>'SER_se-appl'!P7</f>
        <v>8.1202901336902151</v>
      </c>
      <c r="Q3" s="199">
        <f>'SER_se-appl'!Q7</f>
        <v>8.4144957663761115</v>
      </c>
      <c r="R3" s="199">
        <f>'SER_se-appl'!R7</f>
        <v>8.5637690783454854</v>
      </c>
      <c r="S3" s="199">
        <f>'SER_se-appl'!S7</f>
        <v>8.6959351481595082</v>
      </c>
      <c r="T3" s="199">
        <f>'SER_se-appl'!T7</f>
        <v>8.8278298169359442</v>
      </c>
      <c r="U3" s="199">
        <f>'SER_se-appl'!U7</f>
        <v>8.9378787902379244</v>
      </c>
      <c r="V3" s="199">
        <f>'SER_se-appl'!V7</f>
        <v>9.0361162025895627</v>
      </c>
      <c r="W3" s="199">
        <f>'SER_se-appl'!W7</f>
        <v>9.1304466539387086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8.1282038244898054</v>
      </c>
      <c r="C5" s="59">
        <f>'SER_se-appl'!C15</f>
        <v>8.2669110289778267</v>
      </c>
      <c r="D5" s="59">
        <f>'SER_se-appl'!D15</f>
        <v>8.4030607166560429</v>
      </c>
      <c r="E5" s="59">
        <f>'SER_se-appl'!E15</f>
        <v>8.5091028925975856</v>
      </c>
      <c r="F5" s="59">
        <f>'SER_se-appl'!F15</f>
        <v>8.6491268652932618</v>
      </c>
      <c r="G5" s="59">
        <f>'SER_se-appl'!G15</f>
        <v>8.7955250674169339</v>
      </c>
      <c r="H5" s="59">
        <f>'SER_se-appl'!H15</f>
        <v>8.9815208520097762</v>
      </c>
      <c r="I5" s="59">
        <f>'SER_se-appl'!I15</f>
        <v>9.1705680216822625</v>
      </c>
      <c r="J5" s="59">
        <f>'SER_se-appl'!J15</f>
        <v>9.3453903445313902</v>
      </c>
      <c r="K5" s="59">
        <f>'SER_se-appl'!K15</f>
        <v>9.5598577718518012</v>
      </c>
      <c r="L5" s="59">
        <f>'SER_se-appl'!L15</f>
        <v>9.7362878457873183</v>
      </c>
      <c r="M5" s="59">
        <f>'SER_se-appl'!M15</f>
        <v>9.9151871327155376</v>
      </c>
      <c r="N5" s="59">
        <f>'SER_se-appl'!N15</f>
        <v>10.184080752463771</v>
      </c>
      <c r="O5" s="59">
        <f>'SER_se-appl'!O15</f>
        <v>10.462618612040517</v>
      </c>
      <c r="P5" s="59">
        <f>'SER_se-appl'!P15</f>
        <v>10.78070482360927</v>
      </c>
      <c r="Q5" s="59">
        <f>'SER_se-appl'!Q15</f>
        <v>11.171299744629476</v>
      </c>
      <c r="R5" s="59">
        <f>'SER_se-appl'!R15</f>
        <v>11.369478810634471</v>
      </c>
      <c r="S5" s="59">
        <f>'SER_se-appl'!S15</f>
        <v>11.544945864508572</v>
      </c>
      <c r="T5" s="59">
        <f>'SER_se-appl'!T15</f>
        <v>11.720052599425232</v>
      </c>
      <c r="U5" s="59">
        <f>'SER_se-appl'!U15</f>
        <v>11.866156430418613</v>
      </c>
      <c r="V5" s="59">
        <f>'SER_se-appl'!V15</f>
        <v>11.996578931063537</v>
      </c>
      <c r="W5" s="59">
        <f>'SER_se-appl'!W15</f>
        <v>12.121814450377533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2.8791048297994455E-2</v>
      </c>
      <c r="C6" s="202">
        <f>'SER_se-appl'!C71</f>
        <v>2.9242747167694753E-2</v>
      </c>
      <c r="D6" s="202">
        <f>'SER_se-appl'!D71</f>
        <v>2.9804577572190277E-2</v>
      </c>
      <c r="E6" s="202">
        <f>'SER_se-appl'!E71</f>
        <v>3.0343810733322752E-2</v>
      </c>
      <c r="F6" s="202">
        <f>'SER_se-appl'!F71</f>
        <v>3.0894249132164198E-2</v>
      </c>
      <c r="G6" s="202">
        <f>'SER_se-appl'!G71</f>
        <v>3.154286401988237E-2</v>
      </c>
      <c r="H6" s="202">
        <f>'SER_se-appl'!H71</f>
        <v>3.2288847169294199E-2</v>
      </c>
      <c r="I6" s="202">
        <f>'SER_se-appl'!I71</f>
        <v>3.3121944269321871E-2</v>
      </c>
      <c r="J6" s="202">
        <f>'SER_se-appl'!J71</f>
        <v>3.3937456987578003E-2</v>
      </c>
      <c r="K6" s="202">
        <f>'SER_se-appl'!K71</f>
        <v>3.484331854881912E-2</v>
      </c>
      <c r="L6" s="202">
        <f>'SER_se-appl'!L71</f>
        <v>3.5770720206875536E-2</v>
      </c>
      <c r="M6" s="202">
        <f>'SER_se-appl'!M71</f>
        <v>3.6468906851348792E-2</v>
      </c>
      <c r="N6" s="202">
        <f>'SER_se-appl'!N71</f>
        <v>3.7261455001889335E-2</v>
      </c>
      <c r="O6" s="202">
        <f>'SER_se-appl'!O71</f>
        <v>3.8171928640914211E-2</v>
      </c>
      <c r="P6" s="202">
        <f>'SER_se-appl'!P71</f>
        <v>3.9326432240944197E-2</v>
      </c>
      <c r="Q6" s="202">
        <f>'SER_se-appl'!Q71</f>
        <v>4.0727945445297162E-2</v>
      </c>
      <c r="R6" s="202">
        <f>'SER_se-appl'!R71</f>
        <v>4.1378793647380688E-2</v>
      </c>
      <c r="S6" s="202">
        <f>'SER_se-appl'!S71</f>
        <v>4.1918931032152808E-2</v>
      </c>
      <c r="T6" s="202">
        <f>'SER_se-appl'!T71</f>
        <v>4.2701598550770797E-2</v>
      </c>
      <c r="U6" s="202">
        <f>'SER_se-appl'!U71</f>
        <v>4.3407241561052488E-2</v>
      </c>
      <c r="V6" s="202">
        <f>'SER_se-appl'!V71</f>
        <v>4.402367079777917E-2</v>
      </c>
      <c r="W6" s="202">
        <f>'SER_se-appl'!W71</f>
        <v>4.4796864995264356E-2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12.483798542010396</v>
      </c>
      <c r="C8" s="34">
        <f>'SER_se-appl'!C23</f>
        <v>12.837566006617998</v>
      </c>
      <c r="D8" s="34">
        <f>'SER_se-appl'!D23</f>
        <v>13.234722670931093</v>
      </c>
      <c r="E8" s="34">
        <f>'SER_se-appl'!E23</f>
        <v>13.60313035174859</v>
      </c>
      <c r="F8" s="34">
        <f>'SER_se-appl'!F23</f>
        <v>14.055647585169423</v>
      </c>
      <c r="G8" s="34">
        <f>'SER_se-appl'!G23</f>
        <v>14.548515171890346</v>
      </c>
      <c r="H8" s="34">
        <f>'SER_se-appl'!H23</f>
        <v>15.146246163255539</v>
      </c>
      <c r="I8" s="34">
        <f>'SER_se-appl'!I23</f>
        <v>15.772239275775574</v>
      </c>
      <c r="J8" s="34">
        <f>'SER_se-appl'!J23</f>
        <v>16.418907753133251</v>
      </c>
      <c r="K8" s="34">
        <f>'SER_se-appl'!K23</f>
        <v>17.195177703842237</v>
      </c>
      <c r="L8" s="34">
        <f>'SER_se-appl'!L23</f>
        <v>17.959262411385176</v>
      </c>
      <c r="M8" s="34">
        <f>'SER_se-appl'!M23</f>
        <v>18.666245282794367</v>
      </c>
      <c r="N8" s="34">
        <f>'SER_se-appl'!N23</f>
        <v>19.556786442106624</v>
      </c>
      <c r="O8" s="34">
        <f>'SER_se-appl'!O23</f>
        <v>20.499814385387925</v>
      </c>
      <c r="P8" s="34">
        <f>'SER_se-appl'!P23</f>
        <v>21.616953274202206</v>
      </c>
      <c r="Q8" s="34">
        <f>'SER_se-appl'!Q23</f>
        <v>22.928122711993602</v>
      </c>
      <c r="R8" s="34">
        <f>'SER_se-appl'!R23</f>
        <v>23.844488460509474</v>
      </c>
      <c r="S8" s="34">
        <f>'SER_se-appl'!S23</f>
        <v>24.760129235968602</v>
      </c>
      <c r="T8" s="34">
        <f>'SER_se-appl'!T23</f>
        <v>25.706575835556773</v>
      </c>
      <c r="U8" s="34">
        <f>'SER_se-appl'!U23</f>
        <v>26.647445150880756</v>
      </c>
      <c r="V8" s="34">
        <f>'SER_se-appl'!V23</f>
        <v>27.563572475855921</v>
      </c>
      <c r="W8" s="34">
        <f>'SER_se-appl'!W23</f>
        <v>28.433914118444143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1.4883338056017603</v>
      </c>
      <c r="D9" s="36">
        <f>'SER_se-appl'!D31</f>
        <v>1.5556217208285492</v>
      </c>
      <c r="E9" s="36">
        <f>'SER_se-appl'!E31</f>
        <v>1.5512748598238773</v>
      </c>
      <c r="F9" s="36">
        <f>'SER_se-appl'!F31</f>
        <v>1.6603005457454127</v>
      </c>
      <c r="G9" s="36">
        <f>'SER_se-appl'!G31</f>
        <v>1.7260918704102259</v>
      </c>
      <c r="H9" s="36">
        <f>'SER_se-appl'!H31</f>
        <v>1.8569321397515548</v>
      </c>
      <c r="I9" s="36">
        <f>'SER_se-appl'!I31</f>
        <v>1.9117183070921886</v>
      </c>
      <c r="J9" s="36">
        <f>'SER_se-appl'!J31</f>
        <v>1.9594764255365664</v>
      </c>
      <c r="K9" s="36">
        <f>'SER_se-appl'!K31</f>
        <v>2.1167311286321411</v>
      </c>
      <c r="L9" s="36">
        <f>'SER_se-appl'!L31</f>
        <v>2.1327816079628974</v>
      </c>
      <c r="M9" s="36">
        <f>'SER_se-appl'!M31</f>
        <v>2.195316677010954</v>
      </c>
      <c r="N9" s="36">
        <f>'SER_se-appl'!N31</f>
        <v>2.4461628801408075</v>
      </c>
      <c r="O9" s="36">
        <f>'SER_se-appl'!O31</f>
        <v>2.4943028031051782</v>
      </c>
      <c r="P9" s="36">
        <f>'SER_se-appl'!P31</f>
        <v>2.7774394345596924</v>
      </c>
      <c r="Q9" s="36">
        <f>'SER_se-appl'!Q31</f>
        <v>3.0372613082016215</v>
      </c>
      <c r="R9" s="36">
        <f>'SER_se-appl'!R31</f>
        <v>2.7732978882674288</v>
      </c>
      <c r="S9" s="36">
        <f>'SER_se-appl'!S31</f>
        <v>2.8273590825513146</v>
      </c>
      <c r="T9" s="36">
        <f>'SER_se-appl'!T31</f>
        <v>2.9059230251247392</v>
      </c>
      <c r="U9" s="36">
        <f>'SER_se-appl'!U31</f>
        <v>3.057600443956126</v>
      </c>
      <c r="V9" s="36">
        <f>'SER_se-appl'!V31</f>
        <v>3.0489089329380619</v>
      </c>
      <c r="W9" s="36">
        <f>'SER_se-appl'!W31</f>
        <v>3.0656583195991765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1.1345663409941587</v>
      </c>
      <c r="D10" s="38">
        <f>'SER_se-appl'!D39</f>
        <v>1.1584650565154533</v>
      </c>
      <c r="E10" s="38">
        <f>'SER_se-appl'!E39</f>
        <v>1.1828671790063812</v>
      </c>
      <c r="F10" s="38">
        <f>'SER_se-appl'!F39</f>
        <v>1.2077833123245796</v>
      </c>
      <c r="G10" s="38">
        <f>'SER_se-appl'!G39</f>
        <v>1.233224283689303</v>
      </c>
      <c r="H10" s="38">
        <f>'SER_se-appl'!H39</f>
        <v>1.2592011483863619</v>
      </c>
      <c r="I10" s="38">
        <f>'SER_se-appl'!I39</f>
        <v>1.2857251945721533</v>
      </c>
      <c r="J10" s="38">
        <f>'SER_se-appl'!J39</f>
        <v>1.3128079481788895</v>
      </c>
      <c r="K10" s="38">
        <f>'SER_se-appl'!K39</f>
        <v>1.3404611779231566</v>
      </c>
      <c r="L10" s="38">
        <f>'SER_se-appl'!L39</f>
        <v>1.368696900419959</v>
      </c>
      <c r="M10" s="38">
        <f>'SER_se-appl'!M39</f>
        <v>1.4883338056017621</v>
      </c>
      <c r="N10" s="38">
        <f>'SER_se-appl'!N39</f>
        <v>1.555621720828551</v>
      </c>
      <c r="O10" s="38">
        <f>'SER_se-appl'!O39</f>
        <v>1.5512748598238773</v>
      </c>
      <c r="P10" s="38">
        <f>'SER_se-appl'!P39</f>
        <v>1.660300545745411</v>
      </c>
      <c r="Q10" s="38">
        <f>'SER_se-appl'!Q39</f>
        <v>1.7260918704102259</v>
      </c>
      <c r="R10" s="38">
        <f>'SER_se-appl'!R39</f>
        <v>1.8569321397515566</v>
      </c>
      <c r="S10" s="38">
        <f>'SER_se-appl'!S39</f>
        <v>1.9117183070921868</v>
      </c>
      <c r="T10" s="38">
        <f>'SER_se-appl'!T39</f>
        <v>1.9594764255365682</v>
      </c>
      <c r="U10" s="38">
        <f>'SER_se-appl'!U39</f>
        <v>2.1167311286321429</v>
      </c>
      <c r="V10" s="38">
        <f>'SER_se-appl'!V39</f>
        <v>2.1327816079628974</v>
      </c>
      <c r="W10" s="38">
        <f>'SER_se-appl'!W39</f>
        <v>2.195316677010954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8760.0000000000018</v>
      </c>
      <c r="E12" s="205">
        <f>'SER_se-appl'!E47</f>
        <v>8759.9999999999982</v>
      </c>
      <c r="F12" s="205">
        <f>'SER_se-appl'!F47</f>
        <v>8759.9999999999982</v>
      </c>
      <c r="G12" s="205">
        <f>'SER_se-appl'!G47</f>
        <v>8760.0000000000018</v>
      </c>
      <c r="H12" s="205">
        <f>'SER_se-appl'!H47</f>
        <v>8760.0000000000018</v>
      </c>
      <c r="I12" s="205">
        <f>'SER_se-appl'!I47</f>
        <v>8759.9999999999945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8759.9999999999982</v>
      </c>
      <c r="M12" s="205">
        <f>'SER_se-appl'!M47</f>
        <v>8760.0000000000036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8760.0000000000018</v>
      </c>
      <c r="V12" s="205">
        <f>'SER_se-appl'!V47</f>
        <v>8760.0000000000018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651.10020777224406</v>
      </c>
      <c r="C14" s="59">
        <f>'SER_se-appl'!C55</f>
        <v>643.96249450371545</v>
      </c>
      <c r="D14" s="59">
        <f>'SER_se-appl'!D55</f>
        <v>634.9253343337997</v>
      </c>
      <c r="E14" s="59">
        <f>'SER_se-appl'!E55</f>
        <v>625.52535133972299</v>
      </c>
      <c r="F14" s="59">
        <f>'SER_se-appl'!F55</f>
        <v>615.34887047248117</v>
      </c>
      <c r="G14" s="59">
        <f>'SER_se-appl'!G55</f>
        <v>604.56513695714125</v>
      </c>
      <c r="H14" s="59">
        <f>'SER_se-appl'!H55</f>
        <v>592.98658923151197</v>
      </c>
      <c r="I14" s="59">
        <f>'SER_se-appl'!I55</f>
        <v>581.43728746033207</v>
      </c>
      <c r="J14" s="59">
        <f>'SER_se-appl'!J55</f>
        <v>569.18465497487136</v>
      </c>
      <c r="K14" s="59">
        <f>'SER_se-appl'!K55</f>
        <v>555.96155715888096</v>
      </c>
      <c r="L14" s="59">
        <f>'SER_se-appl'!L55</f>
        <v>542.13183274247672</v>
      </c>
      <c r="M14" s="59">
        <f>'SER_se-appl'!M55</f>
        <v>531.18273024381995</v>
      </c>
      <c r="N14" s="59">
        <f>'SER_se-appl'!N55</f>
        <v>520.74407943306039</v>
      </c>
      <c r="O14" s="59">
        <f>'SER_se-appl'!O55</f>
        <v>510.37626074791064</v>
      </c>
      <c r="P14" s="59">
        <f>'SER_se-appl'!P55</f>
        <v>498.71527623992341</v>
      </c>
      <c r="Q14" s="59">
        <f>'SER_se-appl'!Q55</f>
        <v>487.23133092731649</v>
      </c>
      <c r="R14" s="59">
        <f>'SER_se-appl'!R55</f>
        <v>476.81789565182999</v>
      </c>
      <c r="S14" s="59">
        <f>'SER_se-appl'!S55</f>
        <v>466.27163188378813</v>
      </c>
      <c r="T14" s="59">
        <f>'SER_se-appl'!T55</f>
        <v>455.91652013078732</v>
      </c>
      <c r="U14" s="59">
        <f>'SER_se-appl'!U55</f>
        <v>445.30184275569883</v>
      </c>
      <c r="V14" s="59">
        <f>'SER_se-appl'!V55</f>
        <v>435.23309402552371</v>
      </c>
      <c r="W14" s="59">
        <f>'SER_se-appl'!W55</f>
        <v>426.31536410650233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589.53413645398825</v>
      </c>
      <c r="D15" s="63">
        <f>'SER_se-appl'!D63</f>
        <v>572.39270624098651</v>
      </c>
      <c r="E15" s="63">
        <f>'SER_se-appl'!E63</f>
        <v>564.83042731643684</v>
      </c>
      <c r="F15" s="63">
        <f>'SER_se-appl'!F63</f>
        <v>557.97845797739774</v>
      </c>
      <c r="G15" s="63">
        <f>'SER_se-appl'!G63</f>
        <v>550.00015105680927</v>
      </c>
      <c r="H15" s="63">
        <f>'SER_se-appl'!H63</f>
        <v>541.67941434242584</v>
      </c>
      <c r="I15" s="63">
        <f>'SER_se-appl'!I63</f>
        <v>536.78573207644592</v>
      </c>
      <c r="J15" s="63">
        <f>'SER_se-appl'!J63</f>
        <v>525.44232594761672</v>
      </c>
      <c r="K15" s="63">
        <f>'SER_se-appl'!K63</f>
        <v>513.64198507318042</v>
      </c>
      <c r="L15" s="63">
        <f>'SER_se-appl'!L63</f>
        <v>500.56175756123042</v>
      </c>
      <c r="M15" s="63">
        <f>'SER_se-appl'!M63</f>
        <v>481.17106877135177</v>
      </c>
      <c r="N15" s="63">
        <f>'SER_se-appl'!N63</f>
        <v>473.93415860918122</v>
      </c>
      <c r="O15" s="63">
        <f>'SER_se-appl'!O63</f>
        <v>462.95305449633537</v>
      </c>
      <c r="P15" s="63">
        <f>'SER_se-appl'!P63</f>
        <v>448.07391094744048</v>
      </c>
      <c r="Q15" s="63">
        <f>'SER_se-appl'!Q63</f>
        <v>441.16905808053428</v>
      </c>
      <c r="R15" s="63">
        <f>'SER_se-appl'!R63</f>
        <v>434.15494059725728</v>
      </c>
      <c r="S15" s="63">
        <f>'SER_se-appl'!S63</f>
        <v>425.00797733346167</v>
      </c>
      <c r="T15" s="63">
        <f>'SER_se-appl'!T63</f>
        <v>414.56658527229939</v>
      </c>
      <c r="U15" s="63">
        <f>'SER_se-appl'!U63</f>
        <v>403.37049669393821</v>
      </c>
      <c r="V15" s="63">
        <f>'SER_se-appl'!V63</f>
        <v>392.93118855689886</v>
      </c>
      <c r="W15" s="63">
        <f>'SER_se-appl'!W63</f>
        <v>385.41750837954146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5.1759624710535581</v>
      </c>
      <c r="C3" s="199">
        <f>'SER_se-appl'!C8</f>
        <v>5.305111985355186</v>
      </c>
      <c r="D3" s="199">
        <f>'SER_se-appl'!D8</f>
        <v>5.4344487759246185</v>
      </c>
      <c r="E3" s="199">
        <f>'SER_se-appl'!E8</f>
        <v>5.5389666538178455</v>
      </c>
      <c r="F3" s="199">
        <f>'SER_se-appl'!F8</f>
        <v>5.6692759140561142</v>
      </c>
      <c r="G3" s="199">
        <f>'SER_se-appl'!G8</f>
        <v>5.8246613300118222</v>
      </c>
      <c r="H3" s="199">
        <f>'SER_se-appl'!H8</f>
        <v>5.9649898181517305</v>
      </c>
      <c r="I3" s="199">
        <f>'SER_se-appl'!I8</f>
        <v>6.1191305009667776</v>
      </c>
      <c r="J3" s="199">
        <f>'SER_se-appl'!J8</f>
        <v>6.2748940650398959</v>
      </c>
      <c r="K3" s="199">
        <f>'SER_se-appl'!K8</f>
        <v>6.413412689265904</v>
      </c>
      <c r="L3" s="199">
        <f>'SER_se-appl'!L8</f>
        <v>6.4891183372762198</v>
      </c>
      <c r="M3" s="199">
        <f>'SER_se-appl'!M8</f>
        <v>6.6105805233864006</v>
      </c>
      <c r="N3" s="199">
        <f>'SER_se-appl'!N8</f>
        <v>6.6918095637133428</v>
      </c>
      <c r="O3" s="199">
        <f>'SER_se-appl'!O8</f>
        <v>6.8009761119230143</v>
      </c>
      <c r="P3" s="199">
        <f>'SER_se-appl'!P8</f>
        <v>6.8971363587269137</v>
      </c>
      <c r="Q3" s="199">
        <f>'SER_se-appl'!Q8</f>
        <v>6.9204554404122636</v>
      </c>
      <c r="R3" s="199">
        <f>'SER_se-appl'!R8</f>
        <v>7.1081085789618301</v>
      </c>
      <c r="S3" s="199">
        <f>'SER_se-appl'!S8</f>
        <v>7.3197513170065323</v>
      </c>
      <c r="T3" s="199">
        <f>'SER_se-appl'!T8</f>
        <v>7.4535629846666733</v>
      </c>
      <c r="U3" s="199">
        <f>'SER_se-appl'!U8</f>
        <v>7.5917165157823145</v>
      </c>
      <c r="V3" s="199">
        <f>'SER_se-appl'!V8</f>
        <v>7.1853605527136857</v>
      </c>
      <c r="W3" s="199">
        <f>'SER_se-appl'!W8</f>
        <v>7.8711789241782757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70.632175965489097</v>
      </c>
      <c r="C5" s="59">
        <f>'SER_se-appl'!C16</f>
        <v>72.050398732872139</v>
      </c>
      <c r="D5" s="59">
        <f>'SER_se-appl'!D16</f>
        <v>73.486557674472763</v>
      </c>
      <c r="E5" s="59">
        <f>'SER_se-appl'!E16</f>
        <v>74.600725312436495</v>
      </c>
      <c r="F5" s="59">
        <f>'SER_se-appl'!F16</f>
        <v>76.073370605940767</v>
      </c>
      <c r="G5" s="59">
        <f>'SER_se-appl'!G16</f>
        <v>77.889260901144695</v>
      </c>
      <c r="H5" s="59">
        <f>'SER_se-appl'!H16</f>
        <v>79.508795554580601</v>
      </c>
      <c r="I5" s="59">
        <f>'SER_se-appl'!I16</f>
        <v>81.316510991854344</v>
      </c>
      <c r="J5" s="59">
        <f>'SER_se-appl'!J16</f>
        <v>83.148465748555111</v>
      </c>
      <c r="K5" s="59">
        <f>'SER_se-appl'!K16</f>
        <v>84.754540501413615</v>
      </c>
      <c r="L5" s="59">
        <f>'SER_se-appl'!L16</f>
        <v>85.535354836710425</v>
      </c>
      <c r="M5" s="59">
        <f>'SER_se-appl'!M16</f>
        <v>86.994792582283907</v>
      </c>
      <c r="N5" s="59">
        <f>'SER_se-appl'!N16</f>
        <v>87.927309497030279</v>
      </c>
      <c r="O5" s="59">
        <f>'SER_se-appl'!O16</f>
        <v>89.22939642281581</v>
      </c>
      <c r="P5" s="59">
        <f>'SER_se-appl'!P16</f>
        <v>90.362742776900788</v>
      </c>
      <c r="Q5" s="59">
        <f>'SER_se-appl'!Q16</f>
        <v>90.544966022708309</v>
      </c>
      <c r="R5" s="59">
        <f>'SER_se-appl'!R16</f>
        <v>92.76591288828125</v>
      </c>
      <c r="S5" s="59">
        <f>'SER_se-appl'!S16</f>
        <v>94.821634556399573</v>
      </c>
      <c r="T5" s="59">
        <f>'SER_se-appl'!T16</f>
        <v>96.851098639418879</v>
      </c>
      <c r="U5" s="59">
        <f>'SER_se-appl'!U16</f>
        <v>98.665730184666046</v>
      </c>
      <c r="V5" s="59">
        <f>'SER_se-appl'!V16</f>
        <v>100.22842141103337</v>
      </c>
      <c r="W5" s="59">
        <f>'SER_se-appl'!W16</f>
        <v>101.71510681956464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196.30797219671925</v>
      </c>
      <c r="C6" s="202">
        <f>'SER_se-appl'!C72</f>
        <v>199.36222279416589</v>
      </c>
      <c r="D6" s="202">
        <f>'SER_se-appl'!D72</f>
        <v>202.22801683653776</v>
      </c>
      <c r="E6" s="202">
        <f>'SER_se-appl'!E72</f>
        <v>205.3545701836259</v>
      </c>
      <c r="F6" s="202">
        <f>'SER_se-appl'!F72</f>
        <v>208.44856935593955</v>
      </c>
      <c r="G6" s="202">
        <f>'SER_se-appl'!G72</f>
        <v>212.14762493911368</v>
      </c>
      <c r="H6" s="202">
        <f>'SER_se-appl'!H72</f>
        <v>216.09512030302241</v>
      </c>
      <c r="I6" s="202">
        <f>'SER_se-appl'!I72</f>
        <v>220.5404764762346</v>
      </c>
      <c r="J6" s="202">
        <f>'SER_se-appl'!J72</f>
        <v>225.61954883140916</v>
      </c>
      <c r="K6" s="202">
        <f>'SER_se-appl'!K72</f>
        <v>230.451449985274</v>
      </c>
      <c r="L6" s="202">
        <f>'SER_se-appl'!L72</f>
        <v>233.62101873641214</v>
      </c>
      <c r="M6" s="202">
        <f>'SER_se-appl'!M72</f>
        <v>236.5357517693264</v>
      </c>
      <c r="N6" s="202">
        <f>'SER_se-appl'!N72</f>
        <v>238.58388560928819</v>
      </c>
      <c r="O6" s="202">
        <f>'SER_se-appl'!O72</f>
        <v>241.45664290388635</v>
      </c>
      <c r="P6" s="202">
        <f>'SER_se-appl'!P72</f>
        <v>244.15998622372035</v>
      </c>
      <c r="Q6" s="202">
        <f>'SER_se-appl'!Q72</f>
        <v>246.06735007703284</v>
      </c>
      <c r="R6" s="202">
        <f>'SER_se-appl'!R72</f>
        <v>249.50343816120741</v>
      </c>
      <c r="S6" s="202">
        <f>'SER_se-appl'!S72</f>
        <v>252.94255437863796</v>
      </c>
      <c r="T6" s="202">
        <f>'SER_se-appl'!T72</f>
        <v>256.36868376090217</v>
      </c>
      <c r="U6" s="202">
        <f>'SER_se-appl'!U72</f>
        <v>259.77211300798399</v>
      </c>
      <c r="V6" s="202">
        <f>'SER_se-appl'!V72</f>
        <v>263.13476218779522</v>
      </c>
      <c r="W6" s="202">
        <f>'SER_se-appl'!W72</f>
        <v>266.36002616981142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1.5614563732958959</v>
      </c>
      <c r="C8" s="34">
        <f>'SER_se-appl'!C24</f>
        <v>1.5973730522435239</v>
      </c>
      <c r="D8" s="34">
        <f>'SER_se-appl'!D24</f>
        <v>1.634595824230284</v>
      </c>
      <c r="E8" s="34">
        <f>'SER_se-appl'!E24</f>
        <v>1.6651697017103262</v>
      </c>
      <c r="F8" s="34">
        <f>'SER_se-appl'!F24</f>
        <v>1.7052328599621829</v>
      </c>
      <c r="G8" s="34">
        <f>'SER_se-appl'!G24</f>
        <v>1.7545492716425486</v>
      </c>
      <c r="H8" s="34">
        <f>'SER_se-appl'!H24</f>
        <v>1.8003689927508932</v>
      </c>
      <c r="I8" s="34">
        <f>'SER_se-appl'!I24</f>
        <v>1.852570754879191</v>
      </c>
      <c r="J8" s="34">
        <f>'SER_se-appl'!J24</f>
        <v>1.9074363784670245</v>
      </c>
      <c r="K8" s="34">
        <f>'SER_se-appl'!K24</f>
        <v>1.9596306178674054</v>
      </c>
      <c r="L8" s="34">
        <f>'SER_se-appl'!L24</f>
        <v>1.9949068565773007</v>
      </c>
      <c r="M8" s="34">
        <f>'SER_se-appl'!M24</f>
        <v>2.053110254326441</v>
      </c>
      <c r="N8" s="34">
        <f>'SER_se-appl'!N24</f>
        <v>2.1050525260792901</v>
      </c>
      <c r="O8" s="34">
        <f>'SER_se-appl'!O24</f>
        <v>2.1760196199831907</v>
      </c>
      <c r="P8" s="34">
        <f>'SER_se-appl'!P24</f>
        <v>2.2529402236276574</v>
      </c>
      <c r="Q8" s="34">
        <f>'SER_se-appl'!Q24</f>
        <v>2.3159842174788894</v>
      </c>
      <c r="R8" s="34">
        <f>'SER_se-appl'!R24</f>
        <v>2.3991641420699152</v>
      </c>
      <c r="S8" s="34">
        <f>'SER_se-appl'!S24</f>
        <v>2.4810886841632582</v>
      </c>
      <c r="T8" s="34">
        <f>'SER_se-appl'!T24</f>
        <v>2.5643151673986591</v>
      </c>
      <c r="U8" s="34">
        <f>'SER_se-appl'!U24</f>
        <v>2.6483882847049967</v>
      </c>
      <c r="V8" s="34">
        <f>'SER_se-appl'!V24</f>
        <v>2.7326360858869005</v>
      </c>
      <c r="W8" s="34">
        <f>'SER_se-appl'!W24</f>
        <v>2.8158435877769112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8.039078912404185E-2</v>
      </c>
      <c r="D9" s="36">
        <f>'SER_se-appl'!D32</f>
        <v>8.6701619429403687E-2</v>
      </c>
      <c r="E9" s="36">
        <f>'SER_se-appl'!E32</f>
        <v>8.5620652660959307E-2</v>
      </c>
      <c r="F9" s="36">
        <f>'SER_se-appl'!F32</f>
        <v>0.10130442829823383</v>
      </c>
      <c r="G9" s="36">
        <f>'SER_se-appl'!G32</f>
        <v>0.11744925224308522</v>
      </c>
      <c r="H9" s="36">
        <f>'SER_se-appl'!H32</f>
        <v>0.12161965079023362</v>
      </c>
      <c r="I9" s="36">
        <f>'SER_se-appl'!I32</f>
        <v>0.13653156978529957</v>
      </c>
      <c r="J9" s="36">
        <f>'SER_se-appl'!J32</f>
        <v>0.14868518897941052</v>
      </c>
      <c r="K9" s="36">
        <f>'SER_se-appl'!K32</f>
        <v>0.15657145897220293</v>
      </c>
      <c r="L9" s="36">
        <f>'SER_se-appl'!L32</f>
        <v>0.15139918087098159</v>
      </c>
      <c r="M9" s="36">
        <f>'SER_se-appl'!M32</f>
        <v>0.18739382600028054</v>
      </c>
      <c r="N9" s="36">
        <f>'SER_se-appl'!N32</f>
        <v>0.19567068959262746</v>
      </c>
      <c r="O9" s="36">
        <f>'SER_se-appl'!O32</f>
        <v>0.23086948276020181</v>
      </c>
      <c r="P9" s="36">
        <f>'SER_se-appl'!P32</f>
        <v>0.25481704435012187</v>
      </c>
      <c r="Q9" s="36">
        <f>'SER_se-appl'!Q32</f>
        <v>0.2609593836218056</v>
      </c>
      <c r="R9" s="36">
        <f>'SER_se-appl'!R32</f>
        <v>0.16357071371506793</v>
      </c>
      <c r="S9" s="36">
        <f>'SER_se-appl'!S32</f>
        <v>0.1686261615227469</v>
      </c>
      <c r="T9" s="36">
        <f>'SER_se-appl'!T32</f>
        <v>0.16884713589636036</v>
      </c>
      <c r="U9" s="36">
        <f>'SER_se-appl'!U32</f>
        <v>0.18537754560457165</v>
      </c>
      <c r="V9" s="36">
        <f>'SER_se-appl'!V32</f>
        <v>0.20169705342498911</v>
      </c>
      <c r="W9" s="36">
        <f>'SER_se-appl'!W32</f>
        <v>0.20482715268024432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4.4474110176413895E-2</v>
      </c>
      <c r="D10" s="38">
        <f>'SER_se-appl'!D40</f>
        <v>4.9478847442643525E-2</v>
      </c>
      <c r="E10" s="38">
        <f>'SER_se-appl'!E40</f>
        <v>5.5046775180917162E-2</v>
      </c>
      <c r="F10" s="38">
        <f>'SER_se-appl'!F40</f>
        <v>6.1241270046377139E-2</v>
      </c>
      <c r="G10" s="38">
        <f>'SER_se-appl'!G40</f>
        <v>6.813284056271951E-2</v>
      </c>
      <c r="H10" s="38">
        <f>'SER_se-appl'!H40</f>
        <v>7.5799929681888978E-2</v>
      </c>
      <c r="I10" s="38">
        <f>'SER_se-appl'!I40</f>
        <v>8.4329807657001821E-2</v>
      </c>
      <c r="J10" s="38">
        <f>'SER_se-appl'!J40</f>
        <v>9.3819565391576987E-2</v>
      </c>
      <c r="K10" s="38">
        <f>'SER_se-appl'!K40</f>
        <v>0.104377219571822</v>
      </c>
      <c r="L10" s="38">
        <f>'SER_se-appl'!L40</f>
        <v>0.1161229421610861</v>
      </c>
      <c r="M10" s="38">
        <f>'SER_se-appl'!M40</f>
        <v>0.12919042825114024</v>
      </c>
      <c r="N10" s="38">
        <f>'SER_se-appl'!N40</f>
        <v>0.14372841783977819</v>
      </c>
      <c r="O10" s="38">
        <f>'SER_se-appl'!O40</f>
        <v>0.15990238885630115</v>
      </c>
      <c r="P10" s="38">
        <f>'SER_se-appl'!P40</f>
        <v>0.17789644070565513</v>
      </c>
      <c r="Q10" s="38">
        <f>'SER_se-appl'!Q40</f>
        <v>0.19791538977057366</v>
      </c>
      <c r="R10" s="38">
        <f>'SER_se-appl'!R40</f>
        <v>8.0390789124042072E-2</v>
      </c>
      <c r="S10" s="38">
        <f>'SER_se-appl'!S40</f>
        <v>8.6701619429403909E-2</v>
      </c>
      <c r="T10" s="38">
        <f>'SER_se-appl'!T40</f>
        <v>8.5620652660959529E-2</v>
      </c>
      <c r="U10" s="38">
        <f>'SER_se-appl'!U40</f>
        <v>0.10130442829823405</v>
      </c>
      <c r="V10" s="38">
        <f>'SER_se-appl'!V40</f>
        <v>0.11744925224308522</v>
      </c>
      <c r="W10" s="38">
        <f>'SER_se-appl'!W40</f>
        <v>0.12161965079023362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852.25242908791142</v>
      </c>
      <c r="C12" s="205">
        <f>'SER_se-appl'!C48</f>
        <v>856.32353845019907</v>
      </c>
      <c r="D12" s="205">
        <f>'SER_se-appl'!D48</f>
        <v>860.05714873698867</v>
      </c>
      <c r="E12" s="205">
        <f>'SER_se-appl'!E48</f>
        <v>863.50611088713572</v>
      </c>
      <c r="F12" s="205">
        <f>'SER_se-appl'!F48</f>
        <v>866.71168051706752</v>
      </c>
      <c r="G12" s="205">
        <f>'SER_se-appl'!G48</f>
        <v>869.7066897837509</v>
      </c>
      <c r="H12" s="205">
        <f>'SER_se-appl'!H48</f>
        <v>872.51770198785221</v>
      </c>
      <c r="I12" s="205">
        <f>'SER_se-appl'!I48</f>
        <v>875.16651733093204</v>
      </c>
      <c r="J12" s="205">
        <f>'SER_se-appl'!J48</f>
        <v>877.671251290432</v>
      </c>
      <c r="K12" s="205">
        <f>'SER_se-appl'!K48</f>
        <v>880.04712355107881</v>
      </c>
      <c r="L12" s="205">
        <f>'SER_se-appl'!L48</f>
        <v>882.30704609332577</v>
      </c>
      <c r="M12" s="205">
        <f>'SER_se-appl'!M48</f>
        <v>883.74314375502411</v>
      </c>
      <c r="N12" s="205">
        <f>'SER_se-appl'!N48</f>
        <v>885.11459831049103</v>
      </c>
      <c r="O12" s="205">
        <f>'SER_se-appl'!O48</f>
        <v>886.42706722871094</v>
      </c>
      <c r="P12" s="205">
        <f>'SER_se-appl'!P48</f>
        <v>887.68549279248805</v>
      </c>
      <c r="Q12" s="205">
        <f>'SER_se-appl'!Q48</f>
        <v>888.89421805966924</v>
      </c>
      <c r="R12" s="205">
        <f>'SER_se-appl'!R48</f>
        <v>891.13878362716048</v>
      </c>
      <c r="S12" s="205">
        <f>'SER_se-appl'!S48</f>
        <v>897.77726586385427</v>
      </c>
      <c r="T12" s="205">
        <f>'SER_se-appl'!T48</f>
        <v>895.03308407894735</v>
      </c>
      <c r="U12" s="205">
        <f>'SER_se-appl'!U48</f>
        <v>894.85643002183951</v>
      </c>
      <c r="V12" s="205">
        <f>'SER_se-appl'!V48</f>
        <v>833.75296200026821</v>
      </c>
      <c r="W12" s="205">
        <f>'SER_se-appl'!W48</f>
        <v>899.98244853227163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45.234805898803231</v>
      </c>
      <c r="C14" s="59">
        <f>'SER_se-appl'!C56</f>
        <v>45.105555419053019</v>
      </c>
      <c r="D14" s="59">
        <f>'SER_se-appl'!D56</f>
        <v>44.957020313615999</v>
      </c>
      <c r="E14" s="59">
        <f>'SER_se-appl'!E56</f>
        <v>44.80067421105052</v>
      </c>
      <c r="F14" s="59">
        <f>'SER_se-appl'!F56</f>
        <v>44.611719837270698</v>
      </c>
      <c r="G14" s="59">
        <f>'SER_se-appl'!G56</f>
        <v>44.392746422120965</v>
      </c>
      <c r="H14" s="59">
        <f>'SER_se-appl'!H56</f>
        <v>44.162499951242928</v>
      </c>
      <c r="I14" s="59">
        <f>'SER_se-appl'!I56</f>
        <v>43.893875997819649</v>
      </c>
      <c r="J14" s="59">
        <f>'SER_se-appl'!J56</f>
        <v>43.591737416364147</v>
      </c>
      <c r="K14" s="59">
        <f>'SER_se-appl'!K56</f>
        <v>43.250263457124838</v>
      </c>
      <c r="L14" s="59">
        <f>'SER_se-appl'!L56</f>
        <v>42.876866433486043</v>
      </c>
      <c r="M14" s="59">
        <f>'SER_se-appl'!M56</f>
        <v>42.372197206147646</v>
      </c>
      <c r="N14" s="59">
        <f>'SER_se-appl'!N56</f>
        <v>41.769651069371157</v>
      </c>
      <c r="O14" s="59">
        <f>'SER_se-appl'!O56</f>
        <v>41.005786714140513</v>
      </c>
      <c r="P14" s="59">
        <f>'SER_se-appl'!P56</f>
        <v>40.108806185456523</v>
      </c>
      <c r="Q14" s="59">
        <f>'SER_se-appl'!Q56</f>
        <v>39.095674892496817</v>
      </c>
      <c r="R14" s="59">
        <f>'SER_se-appl'!R56</f>
        <v>38.665930046889599</v>
      </c>
      <c r="S14" s="59">
        <f>'SER_se-appl'!S56</f>
        <v>38.217753021745757</v>
      </c>
      <c r="T14" s="59">
        <f>'SER_se-appl'!T56</f>
        <v>37.768796858799689</v>
      </c>
      <c r="U14" s="59">
        <f>'SER_se-appl'!U56</f>
        <v>37.255009303009508</v>
      </c>
      <c r="V14" s="59">
        <f>'SER_se-appl'!V56</f>
        <v>36.678290947220425</v>
      </c>
      <c r="W14" s="59">
        <f>'SER_se-appl'!W56</f>
        <v>36.122427844036608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42.666585887627996</v>
      </c>
      <c r="D15" s="63">
        <f>'SER_se-appl'!D64</f>
        <v>42.378966228617074</v>
      </c>
      <c r="E15" s="63">
        <f>'SER_se-appl'!E64</f>
        <v>42.094958594855377</v>
      </c>
      <c r="F15" s="63">
        <f>'SER_se-appl'!F64</f>
        <v>41.882495447854986</v>
      </c>
      <c r="G15" s="63">
        <f>'SER_se-appl'!G64</f>
        <v>41.701977831715247</v>
      </c>
      <c r="H15" s="63">
        <f>'SER_se-appl'!H64</f>
        <v>41.509161775561502</v>
      </c>
      <c r="I15" s="63">
        <f>'SER_se-appl'!I64</f>
        <v>41.179911188034801</v>
      </c>
      <c r="J15" s="63">
        <f>'SER_se-appl'!J64</f>
        <v>40.863953083721171</v>
      </c>
      <c r="K15" s="63">
        <f>'SER_se-appl'!K64</f>
        <v>40.413227685193917</v>
      </c>
      <c r="L15" s="63">
        <f>'SER_se-appl'!L64</f>
        <v>39.852349594237076</v>
      </c>
      <c r="M15" s="63">
        <f>'SER_se-appl'!M64</f>
        <v>38.973224718119333</v>
      </c>
      <c r="N15" s="63">
        <f>'SER_se-appl'!N64</f>
        <v>37.992629419091692</v>
      </c>
      <c r="O15" s="63">
        <f>'SER_se-appl'!O64</f>
        <v>36.969981248325581</v>
      </c>
      <c r="P15" s="63">
        <f>'SER_se-appl'!P64</f>
        <v>36.027642275291306</v>
      </c>
      <c r="Q15" s="63">
        <f>'SER_se-appl'!Q64</f>
        <v>35.005016335048154</v>
      </c>
      <c r="R15" s="63">
        <f>'SER_se-appl'!R64</f>
        <v>34.547427506807324</v>
      </c>
      <c r="S15" s="63">
        <f>'SER_se-appl'!S64</f>
        <v>33.980769164993973</v>
      </c>
      <c r="T15" s="63">
        <f>'SER_se-appl'!T64</f>
        <v>33.365457351345654</v>
      </c>
      <c r="U15" s="63">
        <f>'SER_se-appl'!U64</f>
        <v>32.676631803167609</v>
      </c>
      <c r="V15" s="63">
        <f>'SER_se-appl'!V64</f>
        <v>32.030995148685477</v>
      </c>
      <c r="W15" s="63">
        <f>'SER_se-appl'!W64</f>
        <v>31.905023737122381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15.062014181532961</v>
      </c>
      <c r="C3" s="199">
        <f>'SER_se-appl'!C9</f>
        <v>19.002078682113684</v>
      </c>
      <c r="D3" s="199">
        <f>'SER_se-appl'!D9</f>
        <v>19.487106891492914</v>
      </c>
      <c r="E3" s="199">
        <f>'SER_se-appl'!E9</f>
        <v>22.724157460765284</v>
      </c>
      <c r="F3" s="199">
        <f>'SER_se-appl'!F9</f>
        <v>19.917536243920946</v>
      </c>
      <c r="G3" s="199">
        <f>'SER_se-appl'!G9</f>
        <v>21.65324563633969</v>
      </c>
      <c r="H3" s="199">
        <f>'SER_se-appl'!H9</f>
        <v>22.653179134367001</v>
      </c>
      <c r="I3" s="199">
        <f>'SER_se-appl'!I9</f>
        <v>26.766766847668897</v>
      </c>
      <c r="J3" s="199">
        <f>'SER_se-appl'!J9</f>
        <v>26.73310437962434</v>
      </c>
      <c r="K3" s="199">
        <f>'SER_se-appl'!K9</f>
        <v>28.508038646270329</v>
      </c>
      <c r="L3" s="199">
        <f>'SER_se-appl'!L9</f>
        <v>29.736588749244813</v>
      </c>
      <c r="M3" s="199">
        <f>'SER_se-appl'!M9</f>
        <v>29.714692073313611</v>
      </c>
      <c r="N3" s="199">
        <f>'SER_se-appl'!N9</f>
        <v>31.096094526071891</v>
      </c>
      <c r="O3" s="199">
        <f>'SER_se-appl'!O9</f>
        <v>33.296699679550322</v>
      </c>
      <c r="P3" s="199">
        <f>'SER_se-appl'!P9</f>
        <v>36.170108485784475</v>
      </c>
      <c r="Q3" s="199">
        <f>'SER_se-appl'!Q9</f>
        <v>36.256541227516124</v>
      </c>
      <c r="R3" s="199">
        <f>'SER_se-appl'!R9</f>
        <v>34.549684967100212</v>
      </c>
      <c r="S3" s="199">
        <f>'SER_se-appl'!S9</f>
        <v>41.217658084063409</v>
      </c>
      <c r="T3" s="199">
        <f>'SER_se-appl'!T9</f>
        <v>41.434105888453409</v>
      </c>
      <c r="U3" s="199">
        <f>'SER_se-appl'!U9</f>
        <v>41.935203266912893</v>
      </c>
      <c r="V3" s="199">
        <f>'SER_se-appl'!V9</f>
        <v>37.384603285403529</v>
      </c>
      <c r="W3" s="199">
        <f>'SER_se-appl'!W9</f>
        <v>40.527915239797828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101.08717692889971</v>
      </c>
      <c r="C5" s="59">
        <f>'SER_se-appl'!C17</f>
        <v>126.02282518331441</v>
      </c>
      <c r="D5" s="59">
        <f>'SER_se-appl'!D17</f>
        <v>127.06792954083896</v>
      </c>
      <c r="E5" s="59">
        <f>'SER_se-appl'!E17</f>
        <v>145.80193846129018</v>
      </c>
      <c r="F5" s="59">
        <f>'SER_se-appl'!F17</f>
        <v>125.59163348796346</v>
      </c>
      <c r="G5" s="59">
        <f>'SER_se-appl'!G17</f>
        <v>134.40333080846113</v>
      </c>
      <c r="H5" s="59">
        <f>'SER_se-appl'!H17</f>
        <v>138.4752778628222</v>
      </c>
      <c r="I5" s="59">
        <f>'SER_se-appl'!I17</f>
        <v>161.61419400547135</v>
      </c>
      <c r="J5" s="59">
        <f>'SER_se-appl'!J17</f>
        <v>159.48419976705367</v>
      </c>
      <c r="K5" s="59">
        <f>'SER_se-appl'!K17</f>
        <v>168.5841878219569</v>
      </c>
      <c r="L5" s="59">
        <f>'SER_se-appl'!L17</f>
        <v>173.73933845186977</v>
      </c>
      <c r="M5" s="59">
        <f>'SER_se-appl'!M17</f>
        <v>171.53146338810777</v>
      </c>
      <c r="N5" s="59">
        <f>'SER_se-appl'!N17</f>
        <v>177.86718139188741</v>
      </c>
      <c r="O5" s="59">
        <f>'SER_se-appl'!O17</f>
        <v>188.77927151393561</v>
      </c>
      <c r="P5" s="59">
        <f>'SER_se-appl'!P17</f>
        <v>202.98726927190003</v>
      </c>
      <c r="Q5" s="59">
        <f>'SER_se-appl'!Q17</f>
        <v>201.5611728416373</v>
      </c>
      <c r="R5" s="59">
        <f>'SER_se-appl'!R17</f>
        <v>190.79818689491526</v>
      </c>
      <c r="S5" s="59">
        <f>'SER_se-appl'!S17</f>
        <v>225.04050555898786</v>
      </c>
      <c r="T5" s="59">
        <f>'SER_se-appl'!T17</f>
        <v>226.52363197405344</v>
      </c>
      <c r="U5" s="59">
        <f>'SER_se-appl'!U17</f>
        <v>229.17632881849039</v>
      </c>
      <c r="V5" s="59">
        <f>'SER_se-appl'!V17</f>
        <v>213.03526198660123</v>
      </c>
      <c r="W5" s="59">
        <f>'SER_se-appl'!W17</f>
        <v>219.97339291665301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0.6782654559697755</v>
      </c>
      <c r="C6" s="202">
        <f>'SER_se-appl'!C73</f>
        <v>0.85723111950689468</v>
      </c>
      <c r="D6" s="202">
        <f>'SER_se-appl'!D73</f>
        <v>0.87092158748484316</v>
      </c>
      <c r="E6" s="202">
        <f>'SER_se-appl'!E73</f>
        <v>1.0239113929321892</v>
      </c>
      <c r="F6" s="202">
        <f>'SER_se-appl'!F73</f>
        <v>0.87969406176034715</v>
      </c>
      <c r="G6" s="202">
        <f>'SER_se-appl'!G73</f>
        <v>0.97462620029897618</v>
      </c>
      <c r="H6" s="202">
        <f>'SER_se-appl'!H73</f>
        <v>1.0709555881941994</v>
      </c>
      <c r="I6" s="202">
        <f>'SER_se-appl'!I73</f>
        <v>1.3017251859060861</v>
      </c>
      <c r="J6" s="202">
        <f>'SER_se-appl'!J73</f>
        <v>1.3529339237720692</v>
      </c>
      <c r="K6" s="202">
        <f>'SER_se-appl'!K73</f>
        <v>1.4157117234552643</v>
      </c>
      <c r="L6" s="202">
        <f>'SER_se-appl'!L73</f>
        <v>1.5419554245289</v>
      </c>
      <c r="M6" s="202">
        <f>'SER_se-appl'!M73</f>
        <v>1.6666308869227271</v>
      </c>
      <c r="N6" s="202">
        <f>'SER_se-appl'!N73</f>
        <v>1.8599801156103635</v>
      </c>
      <c r="O6" s="202">
        <f>'SER_se-appl'!O73</f>
        <v>2.0844826877084111</v>
      </c>
      <c r="P6" s="202">
        <f>'SER_se-appl'!P73</f>
        <v>2.254704258009784</v>
      </c>
      <c r="Q6" s="202">
        <f>'SER_se-appl'!Q73</f>
        <v>2.3127332301048749</v>
      </c>
      <c r="R6" s="202">
        <f>'SER_se-appl'!R73</f>
        <v>2.2702012291667688</v>
      </c>
      <c r="S6" s="202">
        <f>'SER_se-appl'!S73</f>
        <v>2.8296034838547781</v>
      </c>
      <c r="T6" s="202">
        <f>'SER_se-appl'!T73</f>
        <v>2.9310095416768522</v>
      </c>
      <c r="U6" s="202">
        <f>'SER_se-appl'!U73</f>
        <v>2.9640491507816416</v>
      </c>
      <c r="V6" s="202">
        <f>'SER_se-appl'!V73</f>
        <v>2.7442039832180423</v>
      </c>
      <c r="W6" s="202">
        <f>'SER_se-appl'!W73</f>
        <v>2.8705824976895991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294.09590170849464</v>
      </c>
      <c r="C8" s="34">
        <f>'SER_se-appl'!C25</f>
        <v>376.32446146352675</v>
      </c>
      <c r="D8" s="34">
        <f>'SER_se-appl'!D25</f>
        <v>386.73273092264463</v>
      </c>
      <c r="E8" s="34">
        <f>'SER_se-appl'!E25</f>
        <v>459.01947745150045</v>
      </c>
      <c r="F8" s="34">
        <f>'SER_se-appl'!F25</f>
        <v>400.22561033848757</v>
      </c>
      <c r="G8" s="34">
        <f>'SER_se-appl'!G25</f>
        <v>449.52684236389678</v>
      </c>
      <c r="H8" s="34">
        <f>'SER_se-appl'!H25</f>
        <v>502.37027304366427</v>
      </c>
      <c r="I8" s="34">
        <f>'SER_se-appl'!I25</f>
        <v>619.86461110106143</v>
      </c>
      <c r="J8" s="34">
        <f>'SER_se-appl'!J25</f>
        <v>654.54807938700333</v>
      </c>
      <c r="K8" s="34">
        <f>'SER_se-appl'!K25</f>
        <v>698.65373552517292</v>
      </c>
      <c r="L8" s="34">
        <f>'SER_se-appl'!L25</f>
        <v>774.16339217152665</v>
      </c>
      <c r="M8" s="34">
        <f>'SER_se-appl'!M25</f>
        <v>853.04835316252854</v>
      </c>
      <c r="N8" s="34">
        <f>'SER_se-appl'!N25</f>
        <v>976.21614361844604</v>
      </c>
      <c r="O8" s="34">
        <f>'SER_se-appl'!O25</f>
        <v>1119.4484981242374</v>
      </c>
      <c r="P8" s="34">
        <f>'SER_se-appl'!P25</f>
        <v>1239.365836542818</v>
      </c>
      <c r="Q8" s="34">
        <f>'SER_se-appl'!Q25</f>
        <v>1301.9716737533802</v>
      </c>
      <c r="R8" s="34">
        <f>'SER_se-appl'!R25</f>
        <v>1308.2011881061212</v>
      </c>
      <c r="S8" s="34">
        <f>'SER_se-appl'!S25</f>
        <v>1671.3534009980503</v>
      </c>
      <c r="T8" s="34">
        <f>'SER_se-appl'!T25</f>
        <v>1764.4823991371736</v>
      </c>
      <c r="U8" s="34">
        <f>'SER_se-appl'!U25</f>
        <v>1819.6119893699451</v>
      </c>
      <c r="V8" s="34">
        <f>'SER_se-appl'!V25</f>
        <v>1718.1680675246821</v>
      </c>
      <c r="W8" s="34">
        <f>'SER_se-appl'!W25</f>
        <v>1822.0448287585191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141.04774009673105</v>
      </c>
      <c r="D9" s="36">
        <f>'SER_se-appl'!D33</f>
        <v>69.227449800816828</v>
      </c>
      <c r="E9" s="36">
        <f>'SER_se-appl'!E33</f>
        <v>131.10592687055475</v>
      </c>
      <c r="F9" s="36">
        <f>'SER_se-appl'!F33</f>
        <v>2.5313228686059119E-2</v>
      </c>
      <c r="G9" s="36">
        <f>'SER_se-appl'!G33</f>
        <v>108.12041236710814</v>
      </c>
      <c r="H9" s="36">
        <f>'SER_se-appl'!H33</f>
        <v>193.89117077649854</v>
      </c>
      <c r="I9" s="36">
        <f>'SER_se-appl'!I33</f>
        <v>186.72178785821399</v>
      </c>
      <c r="J9" s="36">
        <f>'SER_se-appl'!J33</f>
        <v>165.78939515649665</v>
      </c>
      <c r="K9" s="36">
        <f>'SER_se-appl'!K33</f>
        <v>44.130969366855652</v>
      </c>
      <c r="L9" s="36">
        <f>'SER_se-appl'!L33</f>
        <v>183.63006901346182</v>
      </c>
      <c r="M9" s="36">
        <f>'SER_se-appl'!M33</f>
        <v>272.77613176750049</v>
      </c>
      <c r="N9" s="36">
        <f>'SER_se-appl'!N33</f>
        <v>309.88957831413154</v>
      </c>
      <c r="O9" s="36">
        <f>'SER_se-appl'!O33</f>
        <v>309.02174966228802</v>
      </c>
      <c r="P9" s="36">
        <f>'SER_se-appl'!P33</f>
        <v>164.04830778543624</v>
      </c>
      <c r="Q9" s="36">
        <f>'SER_se-appl'!Q33</f>
        <v>246.23590622402412</v>
      </c>
      <c r="R9" s="36">
        <f>'SER_se-appl'!R33</f>
        <v>279.00564612024164</v>
      </c>
      <c r="S9" s="36">
        <f>'SER_se-appl'!S33</f>
        <v>673.04179120606068</v>
      </c>
      <c r="T9" s="36">
        <f>'SER_se-appl'!T33</f>
        <v>402.1507478014114</v>
      </c>
      <c r="U9" s="36">
        <f>'SER_se-appl'!U33</f>
        <v>219.17789801820777</v>
      </c>
      <c r="V9" s="36">
        <f>'SER_se-appl'!V33</f>
        <v>144.79198437876107</v>
      </c>
      <c r="W9" s="36">
        <f>'SER_se-appl'!W33</f>
        <v>382.88240735407862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58.819180341698939</v>
      </c>
      <c r="D10" s="38">
        <f>'SER_se-appl'!D41</f>
        <v>58.819180341698939</v>
      </c>
      <c r="E10" s="38">
        <f>'SER_se-appl'!E41</f>
        <v>58.819180341698996</v>
      </c>
      <c r="F10" s="38">
        <f>'SER_se-appl'!F41</f>
        <v>58.819180341698939</v>
      </c>
      <c r="G10" s="38">
        <f>'SER_se-appl'!G41</f>
        <v>58.819180341698939</v>
      </c>
      <c r="H10" s="38">
        <f>'SER_se-appl'!H41</f>
        <v>141.04774009673099</v>
      </c>
      <c r="I10" s="38">
        <f>'SER_se-appl'!I41</f>
        <v>69.227449800816885</v>
      </c>
      <c r="J10" s="38">
        <f>'SER_se-appl'!J41</f>
        <v>131.10592687055475</v>
      </c>
      <c r="K10" s="38">
        <f>'SER_se-appl'!K41</f>
        <v>2.5313228686059119E-2</v>
      </c>
      <c r="L10" s="38">
        <f>'SER_se-appl'!L41</f>
        <v>108.12041236710809</v>
      </c>
      <c r="M10" s="38">
        <f>'SER_se-appl'!M41</f>
        <v>193.8911707764986</v>
      </c>
      <c r="N10" s="38">
        <f>'SER_se-appl'!N41</f>
        <v>186.72178785821416</v>
      </c>
      <c r="O10" s="38">
        <f>'SER_se-appl'!O41</f>
        <v>165.78939515649677</v>
      </c>
      <c r="P10" s="38">
        <f>'SER_se-appl'!P41</f>
        <v>44.130969366855652</v>
      </c>
      <c r="Q10" s="38">
        <f>'SER_se-appl'!Q41</f>
        <v>183.63006901346193</v>
      </c>
      <c r="R10" s="38">
        <f>'SER_se-appl'!R41</f>
        <v>272.7761317675006</v>
      </c>
      <c r="S10" s="38">
        <f>'SER_se-appl'!S41</f>
        <v>309.88957831413154</v>
      </c>
      <c r="T10" s="38">
        <f>'SER_se-appl'!T41</f>
        <v>309.02174966228813</v>
      </c>
      <c r="U10" s="38">
        <f>'SER_se-appl'!U41</f>
        <v>164.04830778543624</v>
      </c>
      <c r="V10" s="38">
        <f>'SER_se-appl'!V41</f>
        <v>246.23590622402412</v>
      </c>
      <c r="W10" s="38">
        <f>'SER_se-appl'!W41</f>
        <v>279.00564612024164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1732.8728554209808</v>
      </c>
      <c r="C12" s="205">
        <f>'SER_se-appl'!C49</f>
        <v>1753.604355016809</v>
      </c>
      <c r="D12" s="205">
        <f>'SER_se-appl'!D49</f>
        <v>1783.5739825698765</v>
      </c>
      <c r="E12" s="205">
        <f>'SER_se-appl'!E49</f>
        <v>1812.6093113560764</v>
      </c>
      <c r="F12" s="205">
        <f>'SER_se-appl'!F49</f>
        <v>1844.3979115774519</v>
      </c>
      <c r="G12" s="205">
        <f>'SER_se-appl'!G49</f>
        <v>1873.6681988150344</v>
      </c>
      <c r="H12" s="205">
        <f>'SER_se-appl'!H49</f>
        <v>1902.5524079011143</v>
      </c>
      <c r="I12" s="205">
        <f>'SER_se-appl'!I49</f>
        <v>1926.176722001599</v>
      </c>
      <c r="J12" s="205">
        <f>'SER_se-appl'!J49</f>
        <v>1949.4470573834124</v>
      </c>
      <c r="K12" s="205">
        <f>'SER_se-appl'!K49</f>
        <v>1966.6642153075168</v>
      </c>
      <c r="L12" s="205">
        <f>'SER_se-appl'!L49</f>
        <v>1990.5481984410958</v>
      </c>
      <c r="M12" s="205">
        <f>'SER_se-appl'!M49</f>
        <v>2014.6850145545741</v>
      </c>
      <c r="N12" s="205">
        <f>'SER_se-appl'!N49</f>
        <v>2033.2451243009968</v>
      </c>
      <c r="O12" s="205">
        <f>'SER_se-appl'!O49</f>
        <v>2051.2878038338245</v>
      </c>
      <c r="P12" s="205">
        <f>'SER_se-appl'!P49</f>
        <v>2072.3386407361563</v>
      </c>
      <c r="Q12" s="205">
        <f>'SER_se-appl'!Q49</f>
        <v>2091.9880973668742</v>
      </c>
      <c r="R12" s="205">
        <f>'SER_se-appl'!R49</f>
        <v>2105.957308644025</v>
      </c>
      <c r="S12" s="205">
        <f>'SER_se-appl'!S49</f>
        <v>2130.111476273798</v>
      </c>
      <c r="T12" s="205">
        <f>'SER_se-appl'!T49</f>
        <v>2127.2776146283436</v>
      </c>
      <c r="U12" s="205">
        <f>'SER_se-appl'!U49</f>
        <v>2128.0837183689446</v>
      </c>
      <c r="V12" s="205">
        <f>'SER_se-appl'!V49</f>
        <v>2040.8965734348171</v>
      </c>
      <c r="W12" s="205">
        <f>'SER_se-appl'!W49</f>
        <v>2142.7121161759655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343.72181435257284</v>
      </c>
      <c r="C14" s="59">
        <f>'SER_se-appl'!C57</f>
        <v>334.87811207703942</v>
      </c>
      <c r="D14" s="59">
        <f>'SER_se-appl'!D57</f>
        <v>328.56781798035979</v>
      </c>
      <c r="E14" s="59">
        <f>'SER_se-appl'!E57</f>
        <v>317.63780323830696</v>
      </c>
      <c r="F14" s="59">
        <f>'SER_se-appl'!F57</f>
        <v>313.80209122985747</v>
      </c>
      <c r="G14" s="59">
        <f>'SER_se-appl'!G57</f>
        <v>298.98844327445124</v>
      </c>
      <c r="H14" s="59">
        <f>'SER_se-appl'!H57</f>
        <v>275.64385333521994</v>
      </c>
      <c r="I14" s="59">
        <f>'SER_se-appl'!I57</f>
        <v>260.72498915270722</v>
      </c>
      <c r="J14" s="59">
        <f>'SER_se-appl'!J57</f>
        <v>243.65543920992582</v>
      </c>
      <c r="K14" s="59">
        <f>'SER_se-appl'!K57</f>
        <v>241.29862798949097</v>
      </c>
      <c r="L14" s="59">
        <f>'SER_se-appl'!L57</f>
        <v>224.42205380511638</v>
      </c>
      <c r="M14" s="59">
        <f>'SER_se-appl'!M57</f>
        <v>201.08058675945472</v>
      </c>
      <c r="N14" s="59">
        <f>'SER_se-appl'!N57</f>
        <v>182.20061464319195</v>
      </c>
      <c r="O14" s="59">
        <f>'SER_se-appl'!O57</f>
        <v>168.63595943025217</v>
      </c>
      <c r="P14" s="59">
        <f>'SER_se-appl'!P57</f>
        <v>163.7831730444727</v>
      </c>
      <c r="Q14" s="59">
        <f>'SER_se-appl'!Q57</f>
        <v>154.8122565989228</v>
      </c>
      <c r="R14" s="59">
        <f>'SER_se-appl'!R57</f>
        <v>145.84774011032141</v>
      </c>
      <c r="S14" s="59">
        <f>'SER_se-appl'!S57</f>
        <v>134.64567423299266</v>
      </c>
      <c r="T14" s="59">
        <f>'SER_se-appl'!T57</f>
        <v>128.37964951354732</v>
      </c>
      <c r="U14" s="59">
        <f>'SER_se-appl'!U57</f>
        <v>125.94791095976701</v>
      </c>
      <c r="V14" s="59">
        <f>'SER_se-appl'!V57</f>
        <v>123.9897691111879</v>
      </c>
      <c r="W14" s="59">
        <f>'SER_se-appl'!W57</f>
        <v>120.72885883193972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320.12624668235378</v>
      </c>
      <c r="D15" s="63">
        <f>'SER_se-appl'!D65</f>
        <v>307.14030062470397</v>
      </c>
      <c r="E15" s="63">
        <f>'SER_se-appl'!E65</f>
        <v>297.09903462022146</v>
      </c>
      <c r="F15" s="63">
        <f>'SER_se-appl'!F65</f>
        <v>281.68719769682451</v>
      </c>
      <c r="G15" s="63">
        <f>'SER_se-appl'!G65</f>
        <v>268.48891962891469</v>
      </c>
      <c r="H15" s="63">
        <f>'SER_se-appl'!H65</f>
        <v>253.87969187776073</v>
      </c>
      <c r="I15" s="63">
        <f>'SER_se-appl'!I65</f>
        <v>237.79472334353167</v>
      </c>
      <c r="J15" s="63">
        <f>'SER_se-appl'!J65</f>
        <v>222.09774052831298</v>
      </c>
      <c r="K15" s="63">
        <f>'SER_se-appl'!K65</f>
        <v>206.36570186460256</v>
      </c>
      <c r="L15" s="63">
        <f>'SER_se-appl'!L65</f>
        <v>186.1584190423871</v>
      </c>
      <c r="M15" s="63">
        <f>'SER_se-appl'!M65</f>
        <v>172.36535809103924</v>
      </c>
      <c r="N15" s="63">
        <f>'SER_se-appl'!N65</f>
        <v>163.72662212700027</v>
      </c>
      <c r="O15" s="63">
        <f>'SER_se-appl'!O65</f>
        <v>154.46660386211315</v>
      </c>
      <c r="P15" s="63">
        <f>'SER_se-appl'!P65</f>
        <v>142.12347899263546</v>
      </c>
      <c r="Q15" s="63">
        <f>'SER_se-appl'!Q65</f>
        <v>133.03578429428788</v>
      </c>
      <c r="R15" s="63">
        <f>'SER_se-appl'!R65</f>
        <v>129.94063090912286</v>
      </c>
      <c r="S15" s="63">
        <f>'SER_se-appl'!S65</f>
        <v>126.26183643295971</v>
      </c>
      <c r="T15" s="63">
        <f>'SER_se-appl'!T65</f>
        <v>122.38362572741352</v>
      </c>
      <c r="U15" s="63">
        <f>'SER_se-appl'!U65</f>
        <v>118.47824668708401</v>
      </c>
      <c r="V15" s="63">
        <f>'SER_se-appl'!V65</f>
        <v>114.76546954816182</v>
      </c>
      <c r="W15" s="63">
        <f>'SER_se-appl'!W65</f>
        <v>112.80826641423742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221.37244461655129</v>
      </c>
      <c r="C3" s="220">
        <v>214.10740574793579</v>
      </c>
      <c r="D3" s="220">
        <v>272.19998108627811</v>
      </c>
      <c r="E3" s="220">
        <v>187.99487567333961</v>
      </c>
      <c r="F3" s="220">
        <v>226.25723453384111</v>
      </c>
      <c r="G3" s="220">
        <v>154.1073900201196</v>
      </c>
      <c r="H3" s="220">
        <v>142.2826682342253</v>
      </c>
      <c r="I3" s="220">
        <v>180.03661315176021</v>
      </c>
      <c r="J3" s="220">
        <v>150.89852656353429</v>
      </c>
      <c r="K3" s="220">
        <v>110.6925880923451</v>
      </c>
      <c r="L3" s="220">
        <v>131.63373895340769</v>
      </c>
      <c r="M3" s="220">
        <v>124.1397771506965</v>
      </c>
      <c r="N3" s="220">
        <v>144.67561352177151</v>
      </c>
      <c r="O3" s="220">
        <v>135.5539158848951</v>
      </c>
      <c r="P3" s="220">
        <v>153.5500777987061</v>
      </c>
      <c r="Q3" s="220">
        <v>121.1</v>
      </c>
      <c r="R3" s="220">
        <v>121.96110210696919</v>
      </c>
      <c r="S3" s="220">
        <v>135.1485246616333</v>
      </c>
      <c r="T3" s="220">
        <v>137.004922855839</v>
      </c>
      <c r="U3" s="220">
        <v>129.61731571694281</v>
      </c>
      <c r="V3" s="220">
        <v>118.0718906204058</v>
      </c>
      <c r="W3" s="220">
        <v>121.91243506837699</v>
      </c>
      <c r="DA3" s="211" t="s">
        <v>972</v>
      </c>
    </row>
    <row r="5" spans="1:105" x14ac:dyDescent="0.25">
      <c r="A5" s="219" t="s">
        <v>120</v>
      </c>
      <c r="B5" s="220">
        <v>146.93855142028369</v>
      </c>
      <c r="C5" s="220">
        <v>164.60239039150881</v>
      </c>
      <c r="D5" s="220">
        <v>152.24797571570221</v>
      </c>
      <c r="E5" s="220">
        <v>157.32299823376329</v>
      </c>
      <c r="F5" s="220">
        <v>161.41622759384521</v>
      </c>
      <c r="G5" s="220">
        <v>144.8556650256603</v>
      </c>
      <c r="H5" s="220">
        <v>158.2193805724722</v>
      </c>
      <c r="I5" s="220">
        <v>181.85823564723199</v>
      </c>
      <c r="J5" s="220">
        <v>185.62670376891629</v>
      </c>
      <c r="K5" s="220">
        <v>190.56079680002691</v>
      </c>
      <c r="L5" s="220">
        <v>202.503245346836</v>
      </c>
      <c r="M5" s="220">
        <v>188.2383906684824</v>
      </c>
      <c r="N5" s="220">
        <v>185.00140285077219</v>
      </c>
      <c r="O5" s="220">
        <v>198.56088532487379</v>
      </c>
      <c r="P5" s="220">
        <v>194.7714372861729</v>
      </c>
      <c r="Q5" s="220">
        <v>188.33082270100959</v>
      </c>
      <c r="R5" s="220">
        <v>213.45449660284169</v>
      </c>
      <c r="S5" s="220">
        <v>215.281919019459</v>
      </c>
      <c r="T5" s="220">
        <v>188.67621063376899</v>
      </c>
      <c r="U5" s="220">
        <v>171.47378673290089</v>
      </c>
      <c r="V5" s="220">
        <v>189.1102823006436</v>
      </c>
      <c r="W5" s="220">
        <v>190.41203594109871</v>
      </c>
      <c r="DA5" s="211" t="s">
        <v>973</v>
      </c>
    </row>
    <row r="6" spans="1:105" x14ac:dyDescent="0.25">
      <c r="A6" s="221" t="s">
        <v>119</v>
      </c>
      <c r="B6" s="222">
        <v>183.67318927535459</v>
      </c>
      <c r="C6" s="222">
        <v>174.48952981158689</v>
      </c>
      <c r="D6" s="222">
        <v>165.30587034781919</v>
      </c>
      <c r="E6" s="222">
        <v>174.48952981158689</v>
      </c>
      <c r="F6" s="222">
        <v>174.48952981158689</v>
      </c>
      <c r="G6" s="222">
        <v>165.30587034781919</v>
      </c>
      <c r="H6" s="222">
        <v>174.48952981158689</v>
      </c>
      <c r="I6" s="222">
        <v>192.8568487391224</v>
      </c>
      <c r="J6" s="222">
        <v>202.04050820289009</v>
      </c>
      <c r="K6" s="222">
        <v>202.04050820289009</v>
      </c>
      <c r="L6" s="222">
        <v>220.4078271304256</v>
      </c>
      <c r="M6" s="222">
        <v>211.22416766665779</v>
      </c>
      <c r="N6" s="222">
        <v>211.22416766665779</v>
      </c>
      <c r="O6" s="222">
        <v>211.22416766665779</v>
      </c>
      <c r="P6" s="222">
        <v>211.22416766665779</v>
      </c>
      <c r="Q6" s="222">
        <v>211.22416766665779</v>
      </c>
      <c r="R6" s="222">
        <v>229.5914865941933</v>
      </c>
      <c r="S6" s="222">
        <v>229.5914865941933</v>
      </c>
      <c r="T6" s="222">
        <v>229.5914865941933</v>
      </c>
      <c r="U6" s="222">
        <v>220.4078271304256</v>
      </c>
      <c r="V6" s="222">
        <v>211.22416766665791</v>
      </c>
      <c r="W6" s="222">
        <v>211.22416766665791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9.1836594637677322</v>
      </c>
      <c r="F7" s="226">
        <v>9.1836594637677322</v>
      </c>
      <c r="G7" s="226">
        <v>0</v>
      </c>
      <c r="H7" s="226">
        <v>9.1836594637677322</v>
      </c>
      <c r="I7" s="226">
        <v>27.5509783913032</v>
      </c>
      <c r="J7" s="226">
        <v>18.367318927535461</v>
      </c>
      <c r="K7" s="226">
        <v>0</v>
      </c>
      <c r="L7" s="226">
        <v>27.5509783913032</v>
      </c>
      <c r="M7" s="226">
        <v>0</v>
      </c>
      <c r="N7" s="226">
        <v>0</v>
      </c>
      <c r="O7" s="226">
        <v>9.1836594637677322</v>
      </c>
      <c r="P7" s="226">
        <v>9.1836594637677322</v>
      </c>
      <c r="Q7" s="226">
        <v>0</v>
      </c>
      <c r="R7" s="226">
        <v>27.5509783913032</v>
      </c>
      <c r="S7" s="226">
        <v>9.1836594637677322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9.1836594637676967</v>
      </c>
      <c r="D8" s="228">
        <f t="shared" ref="D8" si="1">IF(C6=0,0,C6+D7-D6)</f>
        <v>9.1836594637676967</v>
      </c>
      <c r="E8" s="228">
        <f t="shared" ref="E8" si="2">IF(D6=0,0,D6+E7-E6)</f>
        <v>2.8421709430404007E-14</v>
      </c>
      <c r="F8" s="228">
        <f t="shared" ref="F8" si="3">IF(E6=0,0,E6+F7-F6)</f>
        <v>9.1836594637677251</v>
      </c>
      <c r="G8" s="228">
        <f t="shared" ref="G8" si="4">IF(F6=0,0,F6+G7-G6)</f>
        <v>9.1836594637676967</v>
      </c>
      <c r="H8" s="228">
        <f t="shared" ref="H8" si="5">IF(G6=0,0,G6+H7-H6)</f>
        <v>2.8421709430404007E-14</v>
      </c>
      <c r="I8" s="228">
        <f t="shared" ref="I8" si="6">IF(H6=0,0,H6+I7-I6)</f>
        <v>9.1836594637676967</v>
      </c>
      <c r="J8" s="228">
        <f t="shared" ref="J8" si="7">IF(I6=0,0,I6+J7-J6)</f>
        <v>9.1836594637677536</v>
      </c>
      <c r="K8" s="228">
        <f t="shared" ref="K8" si="8">IF(J6=0,0,J6+K7-K6)</f>
        <v>0</v>
      </c>
      <c r="L8" s="228">
        <f t="shared" ref="L8" si="9">IF(K6=0,0,K6+L7-L6)</f>
        <v>9.1836594637676967</v>
      </c>
      <c r="M8" s="228">
        <f t="shared" ref="M8" si="10">IF(L6=0,0,L6+M7-M6)</f>
        <v>9.1836594637678104</v>
      </c>
      <c r="N8" s="228">
        <f t="shared" ref="N8" si="11">IF(M6=0,0,M6+N7-N6)</f>
        <v>0</v>
      </c>
      <c r="O8" s="228">
        <f t="shared" ref="O8" si="12">IF(N6=0,0,N6+O7-O6)</f>
        <v>9.1836594637677251</v>
      </c>
      <c r="P8" s="228">
        <f t="shared" ref="P8" si="13">IF(O6=0,0,O6+P7-P6)</f>
        <v>9.1836594637677251</v>
      </c>
      <c r="Q8" s="228">
        <f t="shared" ref="Q8" si="14">IF(P6=0,0,P6+Q7-Q6)</f>
        <v>0</v>
      </c>
      <c r="R8" s="228">
        <f t="shared" ref="R8" si="15">IF(Q6=0,0,Q6+R7-R6)</f>
        <v>9.1836594637676967</v>
      </c>
      <c r="S8" s="228">
        <f t="shared" ref="S8" si="16">IF(R6=0,0,R6+S7-S6)</f>
        <v>9.1836594637677251</v>
      </c>
      <c r="T8" s="228">
        <f t="shared" ref="T8" si="17">IF(S6=0,0,S6+T7-T6)</f>
        <v>0</v>
      </c>
      <c r="U8" s="228">
        <f t="shared" ref="U8" si="18">IF(T6=0,0,T6+U7-U6)</f>
        <v>9.1836594637676967</v>
      </c>
      <c r="V8" s="228">
        <f t="shared" ref="V8" si="19">IF(U6=0,0,U6+V7-V6)</f>
        <v>9.1836594637676967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36.734637855070901</v>
      </c>
      <c r="C9" s="224">
        <f t="shared" ref="C9:W9" si="21">C6-C5</f>
        <v>9.8871394200780855</v>
      </c>
      <c r="D9" s="224">
        <f t="shared" si="21"/>
        <v>13.057894632116984</v>
      </c>
      <c r="E9" s="224">
        <f t="shared" si="21"/>
        <v>17.166531577823605</v>
      </c>
      <c r="F9" s="224">
        <f t="shared" si="21"/>
        <v>13.073302217741684</v>
      </c>
      <c r="G9" s="224">
        <f t="shared" si="21"/>
        <v>20.450205322158894</v>
      </c>
      <c r="H9" s="224">
        <f t="shared" si="21"/>
        <v>16.270149239114687</v>
      </c>
      <c r="I9" s="224">
        <f t="shared" si="21"/>
        <v>10.998613091890405</v>
      </c>
      <c r="J9" s="224">
        <f t="shared" si="21"/>
        <v>16.413804433973809</v>
      </c>
      <c r="K9" s="224">
        <f t="shared" si="21"/>
        <v>11.479711402863188</v>
      </c>
      <c r="L9" s="224">
        <f t="shared" si="21"/>
        <v>17.904581783589606</v>
      </c>
      <c r="M9" s="224">
        <f t="shared" si="21"/>
        <v>22.985776998175396</v>
      </c>
      <c r="N9" s="224">
        <f t="shared" si="21"/>
        <v>26.222764815885597</v>
      </c>
      <c r="O9" s="224">
        <f t="shared" si="21"/>
        <v>12.663282341783997</v>
      </c>
      <c r="P9" s="224">
        <f t="shared" si="21"/>
        <v>16.452730380484894</v>
      </c>
      <c r="Q9" s="224">
        <f t="shared" si="21"/>
        <v>22.893344965648197</v>
      </c>
      <c r="R9" s="224">
        <f t="shared" si="21"/>
        <v>16.136989991351612</v>
      </c>
      <c r="S9" s="224">
        <f t="shared" si="21"/>
        <v>14.309567574734302</v>
      </c>
      <c r="T9" s="224">
        <f t="shared" si="21"/>
        <v>40.91527596042431</v>
      </c>
      <c r="U9" s="224">
        <f t="shared" si="21"/>
        <v>48.934040397524711</v>
      </c>
      <c r="V9" s="224">
        <f t="shared" si="21"/>
        <v>22.113885366014301</v>
      </c>
      <c r="W9" s="224">
        <f t="shared" si="21"/>
        <v>20.812131725559198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18.581685296646608</v>
      </c>
      <c r="C12" s="230">
        <f t="shared" ref="C12:W12" si="22">SUM(C13,C14,C18,C19,C26,C27)</f>
        <v>20.138779019776436</v>
      </c>
      <c r="D12" s="230">
        <f t="shared" si="22"/>
        <v>19.458899398108336</v>
      </c>
      <c r="E12" s="230">
        <f t="shared" si="22"/>
        <v>21.306706792777302</v>
      </c>
      <c r="F12" s="230">
        <f t="shared" si="22"/>
        <v>21.76595012897678</v>
      </c>
      <c r="G12" s="230">
        <f t="shared" si="22"/>
        <v>22.369561478933786</v>
      </c>
      <c r="H12" s="230">
        <f t="shared" si="22"/>
        <v>23.247205503009457</v>
      </c>
      <c r="I12" s="230">
        <f t="shared" si="22"/>
        <v>24.957953568357688</v>
      </c>
      <c r="J12" s="230">
        <f t="shared" si="22"/>
        <v>25.862854686156485</v>
      </c>
      <c r="K12" s="230">
        <f t="shared" si="22"/>
        <v>29.796130696474638</v>
      </c>
      <c r="L12" s="230">
        <f t="shared" si="22"/>
        <v>29.279105760963031</v>
      </c>
      <c r="M12" s="230">
        <f t="shared" si="22"/>
        <v>24.998108340498707</v>
      </c>
      <c r="N12" s="230">
        <f t="shared" si="22"/>
        <v>24.983147033533964</v>
      </c>
      <c r="O12" s="230">
        <f t="shared" si="22"/>
        <v>26.398710232158209</v>
      </c>
      <c r="P12" s="230">
        <f t="shared" si="22"/>
        <v>25.351332760103176</v>
      </c>
      <c r="Q12" s="230">
        <f t="shared" si="22"/>
        <v>25.032588134135853</v>
      </c>
      <c r="R12" s="230">
        <f t="shared" si="22"/>
        <v>28.898624247635428</v>
      </c>
      <c r="S12" s="230">
        <f t="shared" si="22"/>
        <v>26.889165950128973</v>
      </c>
      <c r="T12" s="230">
        <f t="shared" si="22"/>
        <v>26.656147893379192</v>
      </c>
      <c r="U12" s="230">
        <f t="shared" si="22"/>
        <v>24.35133276010318</v>
      </c>
      <c r="V12" s="230">
        <f t="shared" si="22"/>
        <v>28.106706792777299</v>
      </c>
      <c r="W12" s="230">
        <f t="shared" si="22"/>
        <v>27.141358555460013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15.48813413585555</v>
      </c>
      <c r="C14" s="55">
        <f t="shared" ref="C14:W14" si="23">SUM(C15:C17)</f>
        <v>16.325107480653479</v>
      </c>
      <c r="D14" s="55">
        <f t="shared" si="23"/>
        <v>16.15967325881341</v>
      </c>
      <c r="E14" s="55">
        <f t="shared" si="23"/>
        <v>17.185554600171969</v>
      </c>
      <c r="F14" s="55">
        <f t="shared" si="23"/>
        <v>16.625451418744621</v>
      </c>
      <c r="G14" s="55">
        <f t="shared" si="23"/>
        <v>16.864918314703349</v>
      </c>
      <c r="H14" s="55">
        <f t="shared" si="23"/>
        <v>17.296216680997421</v>
      </c>
      <c r="I14" s="55">
        <f t="shared" si="23"/>
        <v>18.538263112639719</v>
      </c>
      <c r="J14" s="55">
        <f t="shared" si="23"/>
        <v>18.660017196904551</v>
      </c>
      <c r="K14" s="55">
        <f t="shared" si="23"/>
        <v>20.94006878761823</v>
      </c>
      <c r="L14" s="55">
        <f t="shared" si="23"/>
        <v>21.398796216680999</v>
      </c>
      <c r="M14" s="55">
        <f t="shared" si="23"/>
        <v>16.979621668099739</v>
      </c>
      <c r="N14" s="55">
        <f t="shared" si="23"/>
        <v>17.66354256233878</v>
      </c>
      <c r="O14" s="55">
        <f t="shared" si="23"/>
        <v>19.381513327601031</v>
      </c>
      <c r="P14" s="55">
        <f t="shared" si="23"/>
        <v>19.438263112639721</v>
      </c>
      <c r="Q14" s="55">
        <f t="shared" si="23"/>
        <v>19.355116079105759</v>
      </c>
      <c r="R14" s="55">
        <f t="shared" si="23"/>
        <v>22.776784178847809</v>
      </c>
      <c r="S14" s="55">
        <f t="shared" si="23"/>
        <v>20.387102321582109</v>
      </c>
      <c r="T14" s="55">
        <f t="shared" si="23"/>
        <v>19.542820292347379</v>
      </c>
      <c r="U14" s="55">
        <f t="shared" si="23"/>
        <v>19.259673258813411</v>
      </c>
      <c r="V14" s="55">
        <f t="shared" si="23"/>
        <v>23.516509028374891</v>
      </c>
      <c r="W14" s="55">
        <f t="shared" si="23"/>
        <v>23.801633705932929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DA15" s="10" t="s">
        <v>980</v>
      </c>
    </row>
    <row r="16" spans="1:105" x14ac:dyDescent="0.25">
      <c r="A16" s="61" t="s">
        <v>172</v>
      </c>
      <c r="B16" s="55">
        <v>14.460017196904561</v>
      </c>
      <c r="C16" s="55">
        <v>16.325107480653479</v>
      </c>
      <c r="D16" s="55">
        <v>16.15967325881341</v>
      </c>
      <c r="E16" s="55">
        <v>17.185554600171969</v>
      </c>
      <c r="F16" s="55">
        <v>16.625451418744621</v>
      </c>
      <c r="G16" s="55">
        <v>16.864918314703349</v>
      </c>
      <c r="H16" s="55">
        <v>17.296216680997421</v>
      </c>
      <c r="I16" s="55">
        <v>18.538263112639719</v>
      </c>
      <c r="J16" s="55">
        <v>18.660017196904551</v>
      </c>
      <c r="K16" s="55">
        <v>20.94006878761823</v>
      </c>
      <c r="L16" s="55">
        <v>21.398796216680999</v>
      </c>
      <c r="M16" s="55">
        <v>16.979621668099739</v>
      </c>
      <c r="N16" s="55">
        <v>17.66354256233878</v>
      </c>
      <c r="O16" s="55">
        <v>19.381513327601031</v>
      </c>
      <c r="P16" s="55">
        <v>19.438263112639721</v>
      </c>
      <c r="Q16" s="55">
        <v>19.355116079105759</v>
      </c>
      <c r="R16" s="55">
        <v>22.776784178847809</v>
      </c>
      <c r="S16" s="55">
        <v>20.387102321582109</v>
      </c>
      <c r="T16" s="55">
        <v>19.542820292347379</v>
      </c>
      <c r="U16" s="55">
        <v>19.259673258813411</v>
      </c>
      <c r="V16" s="55">
        <v>23.516509028374891</v>
      </c>
      <c r="W16" s="55">
        <v>23.801633705932929</v>
      </c>
      <c r="DA16" s="10" t="s">
        <v>981</v>
      </c>
    </row>
    <row r="17" spans="1:105" x14ac:dyDescent="0.25">
      <c r="A17" s="61" t="s">
        <v>113</v>
      </c>
      <c r="B17" s="55">
        <v>1.028116938950989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2.493551160791057E-2</v>
      </c>
      <c r="C18" s="55">
        <v>1.659501289767842E-2</v>
      </c>
      <c r="D18" s="55">
        <v>1.616509028374892E-2</v>
      </c>
      <c r="E18" s="55">
        <v>2.6913155631986239E-2</v>
      </c>
      <c r="F18" s="55">
        <v>2.8288907996560621E-2</v>
      </c>
      <c r="G18" s="55">
        <v>2.553740326741186E-2</v>
      </c>
      <c r="H18" s="55">
        <v>3.3447979363714533E-2</v>
      </c>
      <c r="I18" s="55">
        <v>2.708512467755804E-2</v>
      </c>
      <c r="J18" s="55">
        <v>2.8374892519346519E-2</v>
      </c>
      <c r="K18" s="55">
        <v>2.665520206362855E-2</v>
      </c>
      <c r="L18" s="55">
        <v>3.2072226999140148E-2</v>
      </c>
      <c r="M18" s="55">
        <v>0</v>
      </c>
      <c r="N18" s="55">
        <v>0</v>
      </c>
      <c r="O18" s="55">
        <v>0</v>
      </c>
      <c r="P18" s="55">
        <v>5.159071367153912E-4</v>
      </c>
      <c r="Q18" s="55">
        <v>6.0189165950128975E-4</v>
      </c>
      <c r="R18" s="55">
        <v>1.031814273430782E-3</v>
      </c>
      <c r="S18" s="55">
        <v>7.7386070507308674E-4</v>
      </c>
      <c r="T18" s="55">
        <v>2.579535683576956E-4</v>
      </c>
      <c r="U18" s="55">
        <v>7.7386070507308674E-4</v>
      </c>
      <c r="V18" s="55">
        <v>8.5984522785898529E-4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0.1792777300085984</v>
      </c>
      <c r="C19" s="55">
        <f t="shared" ref="C19:W19" si="24">SUM(C20:C25)</f>
        <v>0.46268271711092002</v>
      </c>
      <c r="D19" s="55">
        <f t="shared" si="24"/>
        <v>0.59363714531384348</v>
      </c>
      <c r="E19" s="55">
        <f t="shared" si="24"/>
        <v>1.21195184866724</v>
      </c>
      <c r="F19" s="55">
        <f t="shared" si="24"/>
        <v>1.8870163370593289</v>
      </c>
      <c r="G19" s="55">
        <f t="shared" si="24"/>
        <v>2.729492691315563</v>
      </c>
      <c r="H19" s="55">
        <f t="shared" si="24"/>
        <v>3.3388650042992261</v>
      </c>
      <c r="I19" s="55">
        <f t="shared" si="24"/>
        <v>3.8354256233877901</v>
      </c>
      <c r="J19" s="55">
        <f t="shared" si="24"/>
        <v>4.6286328460877044</v>
      </c>
      <c r="K19" s="55">
        <f t="shared" si="24"/>
        <v>5.6760103181427342</v>
      </c>
      <c r="L19" s="55">
        <f t="shared" si="24"/>
        <v>4.4680137575236456</v>
      </c>
      <c r="M19" s="55">
        <f t="shared" si="24"/>
        <v>4.0336199484092861</v>
      </c>
      <c r="N19" s="55">
        <f t="shared" si="24"/>
        <v>4.0629406706792777</v>
      </c>
      <c r="O19" s="55">
        <f t="shared" si="24"/>
        <v>3.5977644024075661</v>
      </c>
      <c r="P19" s="55">
        <f t="shared" si="24"/>
        <v>2.5787618228718832</v>
      </c>
      <c r="Q19" s="55">
        <f t="shared" si="24"/>
        <v>2.511607910576096</v>
      </c>
      <c r="R19" s="55">
        <f t="shared" si="24"/>
        <v>3.1737747205503011</v>
      </c>
      <c r="S19" s="55">
        <f t="shared" si="24"/>
        <v>3.6504729148753219</v>
      </c>
      <c r="T19" s="55">
        <f t="shared" si="24"/>
        <v>4.3865004299226138</v>
      </c>
      <c r="U19" s="55">
        <f t="shared" si="24"/>
        <v>2.3424763542562341</v>
      </c>
      <c r="V19" s="55">
        <f t="shared" si="24"/>
        <v>1.567153912295786</v>
      </c>
      <c r="W19" s="55">
        <f t="shared" si="24"/>
        <v>0.36139294926913162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0.1792777300085984</v>
      </c>
      <c r="C21" s="55">
        <v>0.46268271711092002</v>
      </c>
      <c r="D21" s="55">
        <v>0.59363714531384348</v>
      </c>
      <c r="E21" s="55">
        <v>1.21195184866724</v>
      </c>
      <c r="F21" s="55">
        <v>1.8870163370593289</v>
      </c>
      <c r="G21" s="55">
        <v>2.729492691315563</v>
      </c>
      <c r="H21" s="55">
        <v>3.3388650042992261</v>
      </c>
      <c r="I21" s="55">
        <v>3.8354256233877901</v>
      </c>
      <c r="J21" s="55">
        <v>4.6286328460877044</v>
      </c>
      <c r="K21" s="55">
        <v>5.6760103181427342</v>
      </c>
      <c r="L21" s="55">
        <v>4.4680137575236456</v>
      </c>
      <c r="M21" s="55">
        <v>4.0336199484092861</v>
      </c>
      <c r="N21" s="55">
        <v>4.0629406706792777</v>
      </c>
      <c r="O21" s="55">
        <v>3.5977644024075661</v>
      </c>
      <c r="P21" s="55">
        <v>2.5787618228718832</v>
      </c>
      <c r="Q21" s="55">
        <v>2.511607910576096</v>
      </c>
      <c r="R21" s="55">
        <v>3.1737747205503011</v>
      </c>
      <c r="S21" s="55">
        <v>3.6504729148753219</v>
      </c>
      <c r="T21" s="55">
        <v>4.3865004299226138</v>
      </c>
      <c r="U21" s="55">
        <v>2.3424763542562341</v>
      </c>
      <c r="V21" s="55">
        <v>1.567153912295786</v>
      </c>
      <c r="W21" s="55">
        <v>0.36139294926913162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2.8893379191745479</v>
      </c>
      <c r="C27" s="63">
        <v>3.334393809114359</v>
      </c>
      <c r="D27" s="63">
        <v>2.689423903697334</v>
      </c>
      <c r="E27" s="63">
        <v>2.8822871883061052</v>
      </c>
      <c r="F27" s="63">
        <v>3.2251934651762681</v>
      </c>
      <c r="G27" s="63">
        <v>2.749613069647463</v>
      </c>
      <c r="H27" s="63">
        <v>2.5786758383490969</v>
      </c>
      <c r="I27" s="63">
        <v>2.5571797076526219</v>
      </c>
      <c r="J27" s="63">
        <v>2.5458297506448839</v>
      </c>
      <c r="K27" s="63">
        <v>3.1533963886500431</v>
      </c>
      <c r="L27" s="63">
        <v>3.3802235597592429</v>
      </c>
      <c r="M27" s="63">
        <v>3.9848667239896818</v>
      </c>
      <c r="N27" s="63">
        <v>3.256663800515907</v>
      </c>
      <c r="O27" s="63">
        <v>3.419432502149613</v>
      </c>
      <c r="P27" s="63">
        <v>3.333791917454858</v>
      </c>
      <c r="Q27" s="63">
        <v>3.1652622527944971</v>
      </c>
      <c r="R27" s="63">
        <v>2.9470335339638858</v>
      </c>
      <c r="S27" s="63">
        <v>2.8508168529664659</v>
      </c>
      <c r="T27" s="63">
        <v>2.7265692175408431</v>
      </c>
      <c r="U27" s="63">
        <v>2.748409286328461</v>
      </c>
      <c r="V27" s="63">
        <v>3.0221840068787622</v>
      </c>
      <c r="W27" s="63">
        <v>2.9783319002579529</v>
      </c>
      <c r="DA27" s="11" t="s">
        <v>991</v>
      </c>
    </row>
    <row r="29" spans="1:105" x14ac:dyDescent="0.25">
      <c r="A29" s="219" t="s">
        <v>84</v>
      </c>
      <c r="B29" s="220">
        <v>47.902629960000013</v>
      </c>
      <c r="C29" s="220">
        <v>50.686298639999997</v>
      </c>
      <c r="D29" s="220">
        <v>50.17204259999999</v>
      </c>
      <c r="E29" s="220">
        <v>53.380001160000006</v>
      </c>
      <c r="F29" s="220">
        <v>51.645557879999991</v>
      </c>
      <c r="G29" s="220">
        <v>52.382021759999986</v>
      </c>
      <c r="H29" s="220">
        <v>53.738670240000005</v>
      </c>
      <c r="I29" s="220">
        <v>57.577073399999982</v>
      </c>
      <c r="J29" s="220">
        <v>57.957834959999985</v>
      </c>
      <c r="K29" s="220">
        <v>65.027470680000022</v>
      </c>
      <c r="L29" s="220">
        <v>66.463358760000006</v>
      </c>
      <c r="M29" s="220">
        <v>52.677897479999992</v>
      </c>
      <c r="N29" s="220">
        <v>54.799706520000001</v>
      </c>
      <c r="O29" s="220">
        <v>60.129571319999997</v>
      </c>
      <c r="P29" s="220">
        <v>60.306844679999983</v>
      </c>
      <c r="Q29" s="220">
        <v>60.049089719999998</v>
      </c>
      <c r="R29" s="220">
        <v>70.66554696</v>
      </c>
      <c r="S29" s="220">
        <v>63.251147159999981</v>
      </c>
      <c r="T29" s="220">
        <v>60.630618960000007</v>
      </c>
      <c r="U29" s="220">
        <v>59.753390039999992</v>
      </c>
      <c r="V29" s="220">
        <v>72.960079319999991</v>
      </c>
      <c r="W29" s="220">
        <v>73.842635879999989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83.938564841856191</v>
      </c>
      <c r="C31" s="59">
        <f t="shared" si="25"/>
        <v>94.059236061574637</v>
      </c>
      <c r="D31" s="59">
        <f t="shared" si="25"/>
        <v>71.487511940496887</v>
      </c>
      <c r="E31" s="59">
        <f t="shared" si="25"/>
        <v>113.33663599320597</v>
      </c>
      <c r="F31" s="59">
        <f t="shared" si="25"/>
        <v>96.200018416300694</v>
      </c>
      <c r="G31" s="59">
        <f t="shared" si="25"/>
        <v>145.15567018566284</v>
      </c>
      <c r="H31" s="59">
        <f t="shared" si="25"/>
        <v>163.3874722165034</v>
      </c>
      <c r="I31" s="59">
        <f t="shared" si="25"/>
        <v>138.62709996282595</v>
      </c>
      <c r="J31" s="59">
        <f t="shared" si="25"/>
        <v>171.39236064884435</v>
      </c>
      <c r="K31" s="59">
        <f t="shared" si="25"/>
        <v>269.17909509548434</v>
      </c>
      <c r="L31" s="59">
        <f t="shared" si="25"/>
        <v>222.42858095314372</v>
      </c>
      <c r="M31" s="59">
        <f t="shared" si="25"/>
        <v>201.3706558386427</v>
      </c>
      <c r="N31" s="59">
        <f t="shared" si="25"/>
        <v>172.68388517857832</v>
      </c>
      <c r="O31" s="59">
        <f t="shared" si="25"/>
        <v>194.74693932541598</v>
      </c>
      <c r="P31" s="59">
        <f t="shared" si="25"/>
        <v>165.10139964459725</v>
      </c>
      <c r="Q31" s="59">
        <f t="shared" si="25"/>
        <v>206.71005891111358</v>
      </c>
      <c r="R31" s="59">
        <f t="shared" si="25"/>
        <v>236.9495170869244</v>
      </c>
      <c r="S31" s="59">
        <f t="shared" si="25"/>
        <v>198.96011456618155</v>
      </c>
      <c r="T31" s="59">
        <f t="shared" si="25"/>
        <v>194.56343128215656</v>
      </c>
      <c r="U31" s="59">
        <f t="shared" si="25"/>
        <v>187.87098487119894</v>
      </c>
      <c r="V31" s="59">
        <f t="shared" si="25"/>
        <v>238.04740184214305</v>
      </c>
      <c r="W31" s="59">
        <f t="shared" si="25"/>
        <v>222.62994369882981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146.93020171673027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</v>
      </c>
      <c r="M32" s="55">
        <f t="shared" si="26"/>
        <v>132.80026593791024</v>
      </c>
      <c r="N32" s="55">
        <f t="shared" si="26"/>
        <v>135.04301399101354</v>
      </c>
      <c r="O32" s="55">
        <f t="shared" si="26"/>
        <v>132.95020410976798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135.38540863538176</v>
      </c>
      <c r="S32" s="55">
        <f t="shared" si="26"/>
        <v>124.90211009173744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49.72161835757413</v>
      </c>
      <c r="C33" s="55">
        <f>IF(AGR_ued!C$5=0,"",AGR_ued!C$5/C$5*1000)</f>
        <v>48.737361119995896</v>
      </c>
      <c r="D33" s="55">
        <f>IF(AGR_ued!D$5=0,"",AGR_ued!D$5/D$5*1000)</f>
        <v>50.2379703324088</v>
      </c>
      <c r="E33" s="55">
        <f>IF(AGR_ued!E$5=0,"",AGR_ued!E$5/E$5*1000)</f>
        <v>53.311193467139503</v>
      </c>
      <c r="F33" s="55">
        <f>IF(AGR_ued!F$5=0,"",AGR_ued!F$5/F$5*1000)</f>
        <v>53.592938301447838</v>
      </c>
      <c r="G33" s="55">
        <f>IF(AGR_ued!G$5=0,"",AGR_ued!G$5/G$5*1000)</f>
        <v>60.864199086018459</v>
      </c>
      <c r="H33" s="55">
        <f>IF(AGR_ued!H$5=0,"",AGR_ued!H$5/H$5*1000)</f>
        <v>57.738958412071327</v>
      </c>
      <c r="I33" s="55">
        <f>IF(AGR_ued!I$5=0,"",AGR_ued!I$5/I$5*1000)</f>
        <v>53.792779752479234</v>
      </c>
      <c r="J33" s="55">
        <f>IF(AGR_ued!J$5=0,"",AGR_ued!J$5/J$5*1000)</f>
        <v>54.677191917564905</v>
      </c>
      <c r="K33" s="55">
        <f>IF(AGR_ued!K$5=0,"",AGR_ued!K$5/K$5*1000)</f>
        <v>61.632838833683337</v>
      </c>
      <c r="L33" s="55">
        <f>IF(AGR_ued!L$5=0,"",AGR_ued!L$5/L$5*1000)</f>
        <v>56.98695154477916</v>
      </c>
      <c r="M33" s="55">
        <f>IF(AGR_ued!M$5=0,"",AGR_ued!M$5/M$5*1000)</f>
        <v>53.505549570139003</v>
      </c>
      <c r="N33" s="55">
        <f>IF(AGR_ued!N$5=0,"",AGR_ued!N$5/N$5*1000)</f>
        <v>53.643972483071565</v>
      </c>
      <c r="O33" s="55">
        <f>IF(AGR_ued!O$5=0,"",AGR_ued!O$5/O$5*1000)</f>
        <v>52.638023305499246</v>
      </c>
      <c r="P33" s="55">
        <f>IF(AGR_ued!P$5=0,"",AGR_ued!P$5/P$5*1000)</f>
        <v>51.385516631865144</v>
      </c>
      <c r="Q33" s="55">
        <f>IF(AGR_ued!Q$5=0,"",AGR_ued!Q$5/Q$5*1000)</f>
        <v>52.341146986211911</v>
      </c>
      <c r="R33" s="55">
        <f>IF(AGR_ued!R$5=0,"",AGR_ued!R$5/R$5*1000)</f>
        <v>52.786878251428327</v>
      </c>
      <c r="S33" s="55">
        <f>IF(AGR_ued!S$5=0,"",AGR_ued!S$5/S$5*1000)</f>
        <v>48.926751591806891</v>
      </c>
      <c r="T33" s="55">
        <f>IF(AGR_ued!T$5=0,"",AGR_ued!T$5/T$5*1000)</f>
        <v>55.434643040227748</v>
      </c>
      <c r="U33" s="55">
        <f>IF(AGR_ued!U$5=0,"",AGR_ued!U$5/U$5*1000)</f>
        <v>55.549792698476828</v>
      </c>
      <c r="V33" s="55">
        <f>IF(AGR_ued!V$5=0,"",AGR_ued!V$5/V$5*1000)</f>
        <v>57.73931755675229</v>
      </c>
      <c r="W33" s="55">
        <f>IF(AGR_ued!W$5=0,"",AGR_ued!W$5/W$5*1000)</f>
        <v>55.170059989098931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2.5779486195821475</v>
      </c>
      <c r="C34" s="218">
        <f t="shared" si="27"/>
        <v>2.5168506288402916</v>
      </c>
      <c r="D34" s="218">
        <f t="shared" si="27"/>
        <v>2.5783597300923082</v>
      </c>
      <c r="E34" s="218">
        <f t="shared" si="27"/>
        <v>2.505314485206843</v>
      </c>
      <c r="F34" s="218">
        <f t="shared" si="27"/>
        <v>2.3727683640717712</v>
      </c>
      <c r="G34" s="218">
        <f t="shared" si="27"/>
        <v>2.3416651153099273</v>
      </c>
      <c r="H34" s="218">
        <f t="shared" si="27"/>
        <v>2.3116184968143068</v>
      </c>
      <c r="I34" s="218">
        <f t="shared" si="27"/>
        <v>2.3069629183459024</v>
      </c>
      <c r="J34" s="218">
        <f t="shared" si="27"/>
        <v>2.2409682018212345</v>
      </c>
      <c r="K34" s="218">
        <f t="shared" si="27"/>
        <v>2.1824132583662554</v>
      </c>
      <c r="L34" s="218">
        <f t="shared" si="27"/>
        <v>2.2699927826557342</v>
      </c>
      <c r="M34" s="218">
        <f t="shared" si="27"/>
        <v>2.1072753490974381</v>
      </c>
      <c r="N34" s="218">
        <f t="shared" si="27"/>
        <v>2.1934669177763859</v>
      </c>
      <c r="O34" s="218">
        <f t="shared" si="27"/>
        <v>2.2777465562219681</v>
      </c>
      <c r="P34" s="218">
        <f t="shared" si="27"/>
        <v>2.3788431657884384</v>
      </c>
      <c r="Q34" s="218">
        <f t="shared" si="27"/>
        <v>2.3988366443865092</v>
      </c>
      <c r="R34" s="218">
        <f t="shared" si="27"/>
        <v>2.4452910406550603</v>
      </c>
      <c r="S34" s="218">
        <f t="shared" si="27"/>
        <v>2.3522911524035797</v>
      </c>
      <c r="T34" s="218">
        <f t="shared" si="27"/>
        <v>2.274545414533033</v>
      </c>
      <c r="U34" s="218">
        <f t="shared" si="27"/>
        <v>2.4538036841210991</v>
      </c>
      <c r="V34" s="218">
        <f t="shared" si="27"/>
        <v>2.5958245431566835</v>
      </c>
      <c r="W34" s="218">
        <f t="shared" si="27"/>
        <v>2.7206683751335325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18.581685296646608</v>
      </c>
      <c r="C5" s="80">
        <f t="shared" ref="C5:W5" si="1">SUM(C6:C9,C16:C17,C25:C27)</f>
        <v>20.138779019776432</v>
      </c>
      <c r="D5" s="80">
        <f t="shared" si="1"/>
        <v>19.458899398108329</v>
      </c>
      <c r="E5" s="80">
        <f t="shared" si="1"/>
        <v>21.306706792777302</v>
      </c>
      <c r="F5" s="80">
        <f t="shared" si="1"/>
        <v>21.765950128976783</v>
      </c>
      <c r="G5" s="80">
        <f t="shared" si="1"/>
        <v>22.369561478933779</v>
      </c>
      <c r="H5" s="80">
        <f t="shared" si="1"/>
        <v>23.247205503009457</v>
      </c>
      <c r="I5" s="80">
        <f t="shared" si="1"/>
        <v>24.957953568357688</v>
      </c>
      <c r="J5" s="80">
        <f t="shared" si="1"/>
        <v>25.862854686156489</v>
      </c>
      <c r="K5" s="80">
        <f t="shared" si="1"/>
        <v>29.796130696474634</v>
      </c>
      <c r="L5" s="80">
        <f t="shared" si="1"/>
        <v>29.279105760963031</v>
      </c>
      <c r="M5" s="80">
        <f t="shared" si="1"/>
        <v>24.998108340498703</v>
      </c>
      <c r="N5" s="80">
        <f t="shared" si="1"/>
        <v>24.983147033533957</v>
      </c>
      <c r="O5" s="80">
        <f t="shared" si="1"/>
        <v>26.398710232158198</v>
      </c>
      <c r="P5" s="80">
        <f t="shared" si="1"/>
        <v>25.351332760103176</v>
      </c>
      <c r="Q5" s="80">
        <f t="shared" si="1"/>
        <v>25.032588134135846</v>
      </c>
      <c r="R5" s="80">
        <f t="shared" si="1"/>
        <v>28.898624247635425</v>
      </c>
      <c r="S5" s="80">
        <f t="shared" si="1"/>
        <v>26.889165950128984</v>
      </c>
      <c r="T5" s="80">
        <f t="shared" si="1"/>
        <v>26.656147893379188</v>
      </c>
      <c r="U5" s="80">
        <f t="shared" si="1"/>
        <v>24.351332760103176</v>
      </c>
      <c r="V5" s="80">
        <f t="shared" si="1"/>
        <v>28.106706792777299</v>
      </c>
      <c r="W5" s="80">
        <f t="shared" si="1"/>
        <v>27.141358555460009</v>
      </c>
      <c r="DA5" s="103"/>
    </row>
    <row r="6" spans="1:105" x14ac:dyDescent="0.25">
      <c r="A6" s="239" t="s">
        <v>125</v>
      </c>
      <c r="B6" s="240">
        <v>0.48234541602853559</v>
      </c>
      <c r="C6" s="240">
        <v>0.55255843491570666</v>
      </c>
      <c r="D6" s="240">
        <v>0.46776734331329928</v>
      </c>
      <c r="E6" s="240">
        <v>0.50403458072466223</v>
      </c>
      <c r="F6" s="240">
        <v>0.55183619560779418</v>
      </c>
      <c r="G6" s="240">
        <v>0.49131447064189748</v>
      </c>
      <c r="H6" s="240">
        <v>0.46974696728874188</v>
      </c>
      <c r="I6" s="240">
        <v>0.47184126467846937</v>
      </c>
      <c r="J6" s="240">
        <v>0.47261588955894113</v>
      </c>
      <c r="K6" s="240">
        <v>0.57923254929182111</v>
      </c>
      <c r="L6" s="240">
        <v>0.61152081770810784</v>
      </c>
      <c r="M6" s="240">
        <v>0.66951535952972563</v>
      </c>
      <c r="N6" s="240">
        <v>0.57520904112290139</v>
      </c>
      <c r="O6" s="240">
        <v>0.60451484148578372</v>
      </c>
      <c r="P6" s="240">
        <v>0.58711077390785449</v>
      </c>
      <c r="Q6" s="240">
        <v>0.5621355102651292</v>
      </c>
      <c r="R6" s="240">
        <v>0.54388983286272818</v>
      </c>
      <c r="S6" s="240">
        <v>0.52314021105516839</v>
      </c>
      <c r="T6" s="240">
        <v>0.50328124656178441</v>
      </c>
      <c r="U6" s="240">
        <v>0.49885830494417482</v>
      </c>
      <c r="V6" s="240">
        <v>0.55284148526734467</v>
      </c>
      <c r="W6" s="240">
        <v>0.54274358944120848</v>
      </c>
      <c r="DA6" s="268" t="s">
        <v>993</v>
      </c>
    </row>
    <row r="7" spans="1:105" x14ac:dyDescent="0.25">
      <c r="A7" s="241" t="s">
        <v>124</v>
      </c>
      <c r="B7" s="242">
        <v>0.313524520418548</v>
      </c>
      <c r="C7" s="242">
        <v>0.3591629826952093</v>
      </c>
      <c r="D7" s="242">
        <v>0.30404877315364448</v>
      </c>
      <c r="E7" s="242">
        <v>0.32762247747103029</v>
      </c>
      <c r="F7" s="242">
        <v>0.35869352714506608</v>
      </c>
      <c r="G7" s="242">
        <v>0.31935440591723319</v>
      </c>
      <c r="H7" s="242">
        <v>0.30533552873768199</v>
      </c>
      <c r="I7" s="242">
        <v>0.30669682204100501</v>
      </c>
      <c r="J7" s="242">
        <v>0.30720032821331172</v>
      </c>
      <c r="K7" s="242">
        <v>0.37650115703968368</v>
      </c>
      <c r="L7" s="242">
        <v>0.39748853151027003</v>
      </c>
      <c r="M7" s="242">
        <v>0.43518498369432163</v>
      </c>
      <c r="N7" s="242">
        <v>0.37388587672988571</v>
      </c>
      <c r="O7" s="242">
        <v>0.39293464696575919</v>
      </c>
      <c r="P7" s="242">
        <v>0.38162200304010552</v>
      </c>
      <c r="Q7" s="242">
        <v>0.36538808167233389</v>
      </c>
      <c r="R7" s="242">
        <v>0.35352839136077319</v>
      </c>
      <c r="S7" s="242">
        <v>0.34004113718585932</v>
      </c>
      <c r="T7" s="242">
        <v>0.32713281026515978</v>
      </c>
      <c r="U7" s="242">
        <v>0.32425789821371348</v>
      </c>
      <c r="V7" s="242">
        <v>0.35934696542377392</v>
      </c>
      <c r="W7" s="242">
        <v>0.3527833331367855</v>
      </c>
      <c r="DA7" s="269" t="s">
        <v>994</v>
      </c>
    </row>
    <row r="8" spans="1:105" x14ac:dyDescent="0.25">
      <c r="A8" s="241" t="s">
        <v>123</v>
      </c>
      <c r="B8" s="242">
        <v>0.43411087442568203</v>
      </c>
      <c r="C8" s="242">
        <v>0.49730259142413608</v>
      </c>
      <c r="D8" s="242">
        <v>0.42099060898196938</v>
      </c>
      <c r="E8" s="242">
        <v>0.45363112265219591</v>
      </c>
      <c r="F8" s="242">
        <v>0.49665257604701463</v>
      </c>
      <c r="G8" s="242">
        <v>0.44218302357770772</v>
      </c>
      <c r="H8" s="242">
        <v>0.4227722705598676</v>
      </c>
      <c r="I8" s="242">
        <v>0.42465713821062229</v>
      </c>
      <c r="J8" s="242">
        <v>0.42535430060304702</v>
      </c>
      <c r="K8" s="242">
        <v>0.52130929436263906</v>
      </c>
      <c r="L8" s="242">
        <v>0.55036873593729685</v>
      </c>
      <c r="M8" s="242">
        <v>0.60256382357675309</v>
      </c>
      <c r="N8" s="242">
        <v>0.51768813701061123</v>
      </c>
      <c r="O8" s="242">
        <v>0.54406335733720512</v>
      </c>
      <c r="P8" s="242">
        <v>0.52839969651706886</v>
      </c>
      <c r="Q8" s="242">
        <v>0.50592195923861616</v>
      </c>
      <c r="R8" s="242">
        <v>0.48950084957645529</v>
      </c>
      <c r="S8" s="242">
        <v>0.47082618994965147</v>
      </c>
      <c r="T8" s="242">
        <v>0.45295312190560599</v>
      </c>
      <c r="U8" s="242">
        <v>0.44897247444975741</v>
      </c>
      <c r="V8" s="242">
        <v>0.49755733674061031</v>
      </c>
      <c r="W8" s="242">
        <v>0.48846923049708763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3.5930485554320022</v>
      </c>
      <c r="C9" s="244">
        <f t="shared" ref="C9:W9" si="3">SUM(C10:C15)</f>
        <v>3.9630973920369779</v>
      </c>
      <c r="D9" s="244">
        <f t="shared" si="3"/>
        <v>3.8653851309248886</v>
      </c>
      <c r="E9" s="244">
        <f t="shared" si="3"/>
        <v>4.2528881247245289</v>
      </c>
      <c r="F9" s="244">
        <f t="shared" si="3"/>
        <v>4.3389933072560485</v>
      </c>
      <c r="G9" s="244">
        <f t="shared" si="3"/>
        <v>4.5372559889140787</v>
      </c>
      <c r="H9" s="244">
        <f t="shared" si="3"/>
        <v>4.7700790091884704</v>
      </c>
      <c r="I9" s="244">
        <f t="shared" si="3"/>
        <v>5.1632759237405903</v>
      </c>
      <c r="J9" s="244">
        <f t="shared" si="3"/>
        <v>5.3913739400374689</v>
      </c>
      <c r="K9" s="244">
        <f t="shared" si="3"/>
        <v>6.1856432887241555</v>
      </c>
      <c r="L9" s="244">
        <f t="shared" si="3"/>
        <v>5.9966342283331855</v>
      </c>
      <c r="M9" s="244">
        <f t="shared" si="3"/>
        <v>5.0243364944708002</v>
      </c>
      <c r="N9" s="244">
        <f t="shared" si="3"/>
        <v>5.0777956014194396</v>
      </c>
      <c r="O9" s="244">
        <f t="shared" si="3"/>
        <v>5.3448783674892404</v>
      </c>
      <c r="P9" s="244">
        <f t="shared" si="3"/>
        <v>5.1006211789757447</v>
      </c>
      <c r="Q9" s="244">
        <f t="shared" si="3"/>
        <v>5.0495655965880042</v>
      </c>
      <c r="R9" s="244">
        <f t="shared" si="3"/>
        <v>5.9398487251546248</v>
      </c>
      <c r="S9" s="244">
        <f t="shared" si="3"/>
        <v>5.5301181242365764</v>
      </c>
      <c r="T9" s="244">
        <f t="shared" si="3"/>
        <v>5.5242386485172466</v>
      </c>
      <c r="U9" s="244">
        <f t="shared" si="3"/>
        <v>4.9529744775447284</v>
      </c>
      <c r="V9" s="244">
        <f t="shared" si="3"/>
        <v>5.7084727795095205</v>
      </c>
      <c r="W9" s="244">
        <f t="shared" si="3"/>
        <v>5.474017754479398</v>
      </c>
      <c r="DA9" s="270"/>
    </row>
    <row r="10" spans="1:105" x14ac:dyDescent="0.25">
      <c r="A10" s="254" t="s">
        <v>173</v>
      </c>
      <c r="B10" s="255">
        <v>3.0439246053363642</v>
      </c>
      <c r="C10" s="255">
        <v>3.236799926678517</v>
      </c>
      <c r="D10" s="255">
        <v>3.31172840418323</v>
      </c>
      <c r="E10" s="255">
        <v>3.476914357314195</v>
      </c>
      <c r="F10" s="255">
        <v>3.2415683569121692</v>
      </c>
      <c r="G10" s="255">
        <v>3.3126675292717338</v>
      </c>
      <c r="H10" s="255">
        <v>3.3881656500250221</v>
      </c>
      <c r="I10" s="255">
        <v>3.6372732945592121</v>
      </c>
      <c r="J10" s="255">
        <v>3.6026498853145532</v>
      </c>
      <c r="K10" s="255">
        <v>3.9722809290724919</v>
      </c>
      <c r="L10" s="255">
        <v>4.14235892569023</v>
      </c>
      <c r="M10" s="255">
        <v>3.0729774779210168</v>
      </c>
      <c r="N10" s="255">
        <v>3.3323167497481059</v>
      </c>
      <c r="O10" s="255">
        <v>3.738739180712138</v>
      </c>
      <c r="P10" s="255">
        <v>3.8372800701913752</v>
      </c>
      <c r="Q10" s="255">
        <v>3.8483664599483189</v>
      </c>
      <c r="R10" s="255">
        <v>4.620482986976099</v>
      </c>
      <c r="S10" s="255">
        <v>4.0430375317725371</v>
      </c>
      <c r="T10" s="255">
        <v>3.805547760364552</v>
      </c>
      <c r="U10" s="255">
        <v>3.8998444206309681</v>
      </c>
      <c r="V10" s="255">
        <v>4.9136364648953661</v>
      </c>
      <c r="W10" s="255">
        <v>5.0859044194490126</v>
      </c>
      <c r="DA10" s="271" t="s">
        <v>996</v>
      </c>
    </row>
    <row r="11" spans="1:105" x14ac:dyDescent="0.25">
      <c r="A11" s="254" t="s">
        <v>176</v>
      </c>
      <c r="B11" s="256">
        <v>7.1513110543916139E-2</v>
      </c>
      <c r="C11" s="256">
        <v>0.15469583018904351</v>
      </c>
      <c r="D11" s="256">
        <v>0.2030695388279723</v>
      </c>
      <c r="E11" s="256">
        <v>0.41385948228182479</v>
      </c>
      <c r="F11" s="256">
        <v>0.63141246274579355</v>
      </c>
      <c r="G11" s="256">
        <v>0.93154774221919756</v>
      </c>
      <c r="H11" s="256">
        <v>1.151972356364052</v>
      </c>
      <c r="I11" s="256">
        <v>1.3280292442361681</v>
      </c>
      <c r="J11" s="256">
        <v>1.6059737509964731</v>
      </c>
      <c r="K11" s="256">
        <v>1.9561287167693899</v>
      </c>
      <c r="L11" s="256">
        <v>1.531655830543089</v>
      </c>
      <c r="M11" s="256">
        <v>1.314069089675264</v>
      </c>
      <c r="N11" s="256">
        <v>1.36486025605176</v>
      </c>
      <c r="O11" s="256">
        <v>1.2092808912632169</v>
      </c>
      <c r="P11" s="256">
        <v>0.86510306019632888</v>
      </c>
      <c r="Q11" s="256">
        <v>0.84661443427483463</v>
      </c>
      <c r="R11" s="256">
        <v>1.091781367723287</v>
      </c>
      <c r="S11" s="256">
        <v>1.251964794164188</v>
      </c>
      <c r="T11" s="256">
        <v>1.5085279026809419</v>
      </c>
      <c r="U11" s="256">
        <v>0.79901229447203281</v>
      </c>
      <c r="V11" s="256">
        <v>0.53685973349464178</v>
      </c>
      <c r="W11" s="256">
        <v>0.1234993814880582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0.47761083955172162</v>
      </c>
      <c r="C15" s="256">
        <v>0.57160163516941731</v>
      </c>
      <c r="D15" s="256">
        <v>0.3505871879136862</v>
      </c>
      <c r="E15" s="256">
        <v>0.36211428512850952</v>
      </c>
      <c r="F15" s="256">
        <v>0.46601248759808528</v>
      </c>
      <c r="G15" s="256">
        <v>0.29304071742314669</v>
      </c>
      <c r="H15" s="256">
        <v>0.2299410027993968</v>
      </c>
      <c r="I15" s="256">
        <v>0.19797338494521019</v>
      </c>
      <c r="J15" s="256">
        <v>0.1827503037264423</v>
      </c>
      <c r="K15" s="256">
        <v>0.25723364288227368</v>
      </c>
      <c r="L15" s="256">
        <v>0.32261947209986669</v>
      </c>
      <c r="M15" s="256">
        <v>0.63728992687451913</v>
      </c>
      <c r="N15" s="256">
        <v>0.38061859561957417</v>
      </c>
      <c r="O15" s="256">
        <v>0.3968582955138853</v>
      </c>
      <c r="P15" s="256">
        <v>0.39823804858804002</v>
      </c>
      <c r="Q15" s="256">
        <v>0.35458470236485062</v>
      </c>
      <c r="R15" s="256">
        <v>0.22758437045523899</v>
      </c>
      <c r="S15" s="256">
        <v>0.2351157982998513</v>
      </c>
      <c r="T15" s="256">
        <v>0.21016298547175249</v>
      </c>
      <c r="U15" s="256">
        <v>0.25411776244172729</v>
      </c>
      <c r="V15" s="256">
        <v>0.25797658111951299</v>
      </c>
      <c r="W15" s="256">
        <v>0.26461395354232731</v>
      </c>
      <c r="DA15" s="272" t="s">
        <v>1001</v>
      </c>
    </row>
    <row r="16" spans="1:105" x14ac:dyDescent="0.25">
      <c r="A16" s="257" t="s">
        <v>175</v>
      </c>
      <c r="B16" s="258">
        <v>4.8380896821531456</v>
      </c>
      <c r="C16" s="258">
        <v>5.281909637417904</v>
      </c>
      <c r="D16" s="258">
        <v>5.2130718914722136</v>
      </c>
      <c r="E16" s="258">
        <v>5.6851573295281312</v>
      </c>
      <c r="F16" s="258">
        <v>5.6977225449288769</v>
      </c>
      <c r="G16" s="258">
        <v>5.9285611532631073</v>
      </c>
      <c r="H16" s="258">
        <v>6.1884522693346922</v>
      </c>
      <c r="I16" s="258">
        <v>6.6764826151387524</v>
      </c>
      <c r="J16" s="258">
        <v>6.8892205724338131</v>
      </c>
      <c r="K16" s="258">
        <v>7.8510983872485456</v>
      </c>
      <c r="L16" s="258">
        <v>7.7408561847635067</v>
      </c>
      <c r="M16" s="258">
        <v>6.330466849715112</v>
      </c>
      <c r="N16" s="258">
        <v>6.4956488023534398</v>
      </c>
      <c r="O16" s="258">
        <v>6.9271745863638028</v>
      </c>
      <c r="P16" s="258">
        <v>6.7084482941240173</v>
      </c>
      <c r="Q16" s="258">
        <v>6.6565213532802323</v>
      </c>
      <c r="R16" s="258">
        <v>7.835214382248477</v>
      </c>
      <c r="S16" s="258">
        <v>7.2103961798952296</v>
      </c>
      <c r="T16" s="258">
        <v>7.1101211841289</v>
      </c>
      <c r="U16" s="258">
        <v>6.5617657017372091</v>
      </c>
      <c r="V16" s="258">
        <v>7.6878899315497389</v>
      </c>
      <c r="W16" s="258">
        <v>7.4812941120417831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6.809140727183113</v>
      </c>
      <c r="C17" s="258">
        <f t="shared" ref="C17:W17" si="5">SUM(C18:C24)</f>
        <v>7.116016860929677</v>
      </c>
      <c r="D17" s="258">
        <f t="shared" si="5"/>
        <v>7.0398704508897127</v>
      </c>
      <c r="E17" s="258">
        <f t="shared" si="5"/>
        <v>7.7560380754935485</v>
      </c>
      <c r="F17" s="258">
        <f t="shared" si="5"/>
        <v>7.8751884284907998</v>
      </c>
      <c r="G17" s="258">
        <f t="shared" si="5"/>
        <v>8.3079495509480701</v>
      </c>
      <c r="H17" s="258">
        <f t="shared" si="5"/>
        <v>8.7507767116292445</v>
      </c>
      <c r="I17" s="258">
        <f t="shared" si="5"/>
        <v>9.4760469316156133</v>
      </c>
      <c r="J17" s="258">
        <f t="shared" si="5"/>
        <v>9.8953595800261915</v>
      </c>
      <c r="K17" s="258">
        <f t="shared" si="5"/>
        <v>11.354572290036476</v>
      </c>
      <c r="L17" s="258">
        <f t="shared" si="5"/>
        <v>10.996541233255169</v>
      </c>
      <c r="M17" s="258">
        <f t="shared" si="5"/>
        <v>9.07927623712024</v>
      </c>
      <c r="N17" s="258">
        <f t="shared" si="5"/>
        <v>9.2854643738221903</v>
      </c>
      <c r="O17" s="258">
        <f t="shared" si="5"/>
        <v>9.7729687449369607</v>
      </c>
      <c r="P17" s="258">
        <f t="shared" si="5"/>
        <v>9.3176251713835558</v>
      </c>
      <c r="Q17" s="258">
        <f t="shared" si="5"/>
        <v>9.2367175812893674</v>
      </c>
      <c r="R17" s="258">
        <f t="shared" si="5"/>
        <v>10.898510235846029</v>
      </c>
      <c r="S17" s="258">
        <f t="shared" si="5"/>
        <v>10.14741287529406</v>
      </c>
      <c r="T17" s="258">
        <f t="shared" si="5"/>
        <v>10.139112788597608</v>
      </c>
      <c r="U17" s="258">
        <f t="shared" si="5"/>
        <v>9.0814030925593201</v>
      </c>
      <c r="V17" s="258">
        <f t="shared" si="5"/>
        <v>10.468844536271911</v>
      </c>
      <c r="W17" s="258">
        <f t="shared" si="5"/>
        <v>10.034735731054624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1004</v>
      </c>
    </row>
    <row r="20" spans="1:105" x14ac:dyDescent="0.25">
      <c r="A20" s="61" t="s">
        <v>173</v>
      </c>
      <c r="B20" s="55">
        <v>5.6483236572071096</v>
      </c>
      <c r="C20" s="55">
        <v>6.7914349611258338</v>
      </c>
      <c r="D20" s="55">
        <v>6.6331377541458174</v>
      </c>
      <c r="E20" s="55">
        <v>6.9310325535033099</v>
      </c>
      <c r="F20" s="55">
        <v>6.5912956462229824</v>
      </c>
      <c r="G20" s="55">
        <v>6.4844671987114966</v>
      </c>
      <c r="H20" s="55">
        <v>6.530436084466527</v>
      </c>
      <c r="I20" s="55">
        <v>6.9415654278978103</v>
      </c>
      <c r="J20" s="55">
        <v>6.8443255925813364</v>
      </c>
      <c r="K20" s="55">
        <v>7.6080354867383324</v>
      </c>
      <c r="L20" s="55">
        <v>8.0281110794175188</v>
      </c>
      <c r="M20" s="55">
        <v>6.3597253784750629</v>
      </c>
      <c r="N20" s="55">
        <v>6.5873839593166403</v>
      </c>
      <c r="O20" s="55">
        <v>7.3844852339056821</v>
      </c>
      <c r="P20" s="55">
        <v>7.6034505016429241</v>
      </c>
      <c r="Q20" s="55">
        <v>7.5711222134228846</v>
      </c>
      <c r="R20" s="55">
        <v>8.8154850688386084</v>
      </c>
      <c r="S20" s="55">
        <v>7.7481308939647899</v>
      </c>
      <c r="T20" s="55">
        <v>7.2608823079154732</v>
      </c>
      <c r="U20" s="55">
        <v>7.5371651721544257</v>
      </c>
      <c r="V20" s="55">
        <v>9.4376905122768253</v>
      </c>
      <c r="W20" s="55">
        <v>9.7968421632804308</v>
      </c>
      <c r="DA20" s="101" t="s">
        <v>1005</v>
      </c>
    </row>
    <row r="21" spans="1:105" x14ac:dyDescent="0.25">
      <c r="A21" s="61" t="s">
        <v>129</v>
      </c>
      <c r="B21" s="55">
        <v>1.0281169389091791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0.13270013106682491</v>
      </c>
      <c r="C22" s="55">
        <v>0.32458189980384361</v>
      </c>
      <c r="D22" s="55">
        <v>0.40673269674389562</v>
      </c>
      <c r="E22" s="55">
        <v>0.8250055219902388</v>
      </c>
      <c r="F22" s="55">
        <v>1.283892782267817</v>
      </c>
      <c r="G22" s="55">
        <v>1.8234823522365731</v>
      </c>
      <c r="H22" s="55">
        <v>2.220340627162718</v>
      </c>
      <c r="I22" s="55">
        <v>2.534481503717803</v>
      </c>
      <c r="J22" s="55">
        <v>3.0510339874448551</v>
      </c>
      <c r="K22" s="55">
        <v>3.7465368032981439</v>
      </c>
      <c r="L22" s="55">
        <v>2.968430153837649</v>
      </c>
      <c r="M22" s="55">
        <v>2.719550858645178</v>
      </c>
      <c r="N22" s="55">
        <v>2.6980804145055508</v>
      </c>
      <c r="O22" s="55">
        <v>2.3884835110312781</v>
      </c>
      <c r="P22" s="55">
        <v>1.714174669740631</v>
      </c>
      <c r="Q22" s="55">
        <v>1.665595367866483</v>
      </c>
      <c r="R22" s="55">
        <v>2.0830251670074209</v>
      </c>
      <c r="S22" s="55">
        <v>2.3992819813292701</v>
      </c>
      <c r="T22" s="55">
        <v>2.8782304806821339</v>
      </c>
      <c r="U22" s="55">
        <v>1.544237920404895</v>
      </c>
      <c r="V22" s="55">
        <v>1.031154023995086</v>
      </c>
      <c r="W22" s="55">
        <v>0.23789356777419329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0.92967925173567056</v>
      </c>
      <c r="C25" s="258">
        <v>1.014962954813343</v>
      </c>
      <c r="D25" s="258">
        <v>1.0017352082550199</v>
      </c>
      <c r="E25" s="258">
        <v>1.0924503594077799</v>
      </c>
      <c r="F25" s="258">
        <v>1.094864870262086</v>
      </c>
      <c r="G25" s="258">
        <v>1.139222432599037</v>
      </c>
      <c r="H25" s="258">
        <v>1.1891626764133381</v>
      </c>
      <c r="I25" s="258">
        <v>1.282941774470383</v>
      </c>
      <c r="J25" s="258">
        <v>1.3238211458643061</v>
      </c>
      <c r="K25" s="258">
        <v>1.50865398400635</v>
      </c>
      <c r="L25" s="258">
        <v>1.4874700260706279</v>
      </c>
      <c r="M25" s="258">
        <v>1.216451961543924</v>
      </c>
      <c r="N25" s="258">
        <v>1.248193050324381</v>
      </c>
      <c r="O25" s="258">
        <v>1.3311143259392759</v>
      </c>
      <c r="P25" s="258">
        <v>1.2890842460805869</v>
      </c>
      <c r="Q25" s="258">
        <v>1.2791060516525969</v>
      </c>
      <c r="R25" s="258">
        <v>1.5056017400726529</v>
      </c>
      <c r="S25" s="258">
        <v>1.385537715427273</v>
      </c>
      <c r="T25" s="258">
        <v>1.366269039326514</v>
      </c>
      <c r="U25" s="258">
        <v>1.2608979635410431</v>
      </c>
      <c r="V25" s="258">
        <v>1.4772921191094019</v>
      </c>
      <c r="W25" s="258">
        <v>1.43759301067816</v>
      </c>
      <c r="DA25" s="273" t="s">
        <v>1010</v>
      </c>
    </row>
    <row r="26" spans="1:105" x14ac:dyDescent="0.25">
      <c r="A26" s="257" t="s">
        <v>177</v>
      </c>
      <c r="B26" s="258">
        <v>0.48234541602853559</v>
      </c>
      <c r="C26" s="258">
        <v>0.55255843491570666</v>
      </c>
      <c r="D26" s="258">
        <v>0.46776734331329928</v>
      </c>
      <c r="E26" s="258">
        <v>0.50403458072466223</v>
      </c>
      <c r="F26" s="258">
        <v>0.55183619560779418</v>
      </c>
      <c r="G26" s="258">
        <v>0.49131447064189748</v>
      </c>
      <c r="H26" s="258">
        <v>0.46974696728874188</v>
      </c>
      <c r="I26" s="258">
        <v>0.47184126467846937</v>
      </c>
      <c r="J26" s="258">
        <v>0.47261588955894113</v>
      </c>
      <c r="K26" s="258">
        <v>0.57923254929182111</v>
      </c>
      <c r="L26" s="258">
        <v>0.61152081770810784</v>
      </c>
      <c r="M26" s="258">
        <v>0.66951535952972563</v>
      </c>
      <c r="N26" s="258">
        <v>0.57520904112290139</v>
      </c>
      <c r="O26" s="258">
        <v>0.60451484148578372</v>
      </c>
      <c r="P26" s="258">
        <v>0.58711077390785449</v>
      </c>
      <c r="Q26" s="258">
        <v>0.5621355102651292</v>
      </c>
      <c r="R26" s="258">
        <v>0.54388983286272818</v>
      </c>
      <c r="S26" s="258">
        <v>0.52314021105516839</v>
      </c>
      <c r="T26" s="258">
        <v>0.50328124656178441</v>
      </c>
      <c r="U26" s="258">
        <v>0.49885830494417482</v>
      </c>
      <c r="V26" s="258">
        <v>0.55284148526734467</v>
      </c>
      <c r="W26" s="258">
        <v>0.54274358944120848</v>
      </c>
      <c r="DA26" s="273" t="s">
        <v>1011</v>
      </c>
    </row>
    <row r="27" spans="1:105" x14ac:dyDescent="0.25">
      <c r="A27" s="129" t="s">
        <v>33</v>
      </c>
      <c r="B27" s="259">
        <v>0.69940085324137657</v>
      </c>
      <c r="C27" s="259">
        <v>0.80120973062777456</v>
      </c>
      <c r="D27" s="259">
        <v>0.67826264780428414</v>
      </c>
      <c r="E27" s="259">
        <v>0.73085014205076004</v>
      </c>
      <c r="F27" s="259">
        <v>0.8001624836313016</v>
      </c>
      <c r="G27" s="259">
        <v>0.71240598243075137</v>
      </c>
      <c r="H27" s="259">
        <v>0.68113310256867565</v>
      </c>
      <c r="I27" s="259">
        <v>0.68416983378378038</v>
      </c>
      <c r="J27" s="259">
        <v>0.68529303986046464</v>
      </c>
      <c r="K27" s="259">
        <v>0.83988719647314103</v>
      </c>
      <c r="L27" s="259">
        <v>0.88670518567675638</v>
      </c>
      <c r="M27" s="259">
        <v>0.97079727131810234</v>
      </c>
      <c r="N27" s="259">
        <v>0.83405310962820722</v>
      </c>
      <c r="O27" s="259">
        <v>0.87654652015438639</v>
      </c>
      <c r="P27" s="259">
        <v>0.8513106221663892</v>
      </c>
      <c r="Q27" s="259">
        <v>0.81509648988443728</v>
      </c>
      <c r="R27" s="259">
        <v>0.78864025765095591</v>
      </c>
      <c r="S27" s="259">
        <v>0.75855330602999427</v>
      </c>
      <c r="T27" s="259">
        <v>0.7297578075145873</v>
      </c>
      <c r="U27" s="259">
        <v>0.72334454216905353</v>
      </c>
      <c r="V27" s="259">
        <v>0.80162015363764982</v>
      </c>
      <c r="W27" s="259">
        <v>0.78697820468975233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1.0000000000000002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0.99999999999999989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1</v>
      </c>
      <c r="L31" s="236">
        <f t="shared" si="6"/>
        <v>0.99999999999999989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0.99999999999999978</v>
      </c>
      <c r="V31" s="236">
        <f t="shared" si="7"/>
        <v>0.99999999999999989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2.5958109198824034E-2</v>
      </c>
      <c r="C32" s="245">
        <f t="shared" si="8"/>
        <v>2.7437534041815054E-2</v>
      </c>
      <c r="D32" s="245">
        <f t="shared" si="8"/>
        <v>2.4038735888565858E-2</v>
      </c>
      <c r="E32" s="245">
        <f t="shared" si="8"/>
        <v>2.3656146659676355E-2</v>
      </c>
      <c r="F32" s="245">
        <f t="shared" si="8"/>
        <v>2.5353186621205219E-2</v>
      </c>
      <c r="G32" s="245">
        <f t="shared" si="8"/>
        <v>2.1963527139527792E-2</v>
      </c>
      <c r="H32" s="245">
        <f t="shared" si="8"/>
        <v>2.0206599336334466E-2</v>
      </c>
      <c r="I32" s="245">
        <f t="shared" si="8"/>
        <v>1.8905446850285092E-2</v>
      </c>
      <c r="J32" s="245">
        <f t="shared" si="8"/>
        <v>1.827392587918442E-2</v>
      </c>
      <c r="K32" s="245">
        <f t="shared" si="8"/>
        <v>1.9439857986673206E-2</v>
      </c>
      <c r="L32" s="245">
        <f t="shared" si="8"/>
        <v>2.0885911704428849E-2</v>
      </c>
      <c r="M32" s="245">
        <f t="shared" si="8"/>
        <v>2.6782640926676177E-2</v>
      </c>
      <c r="N32" s="245">
        <f t="shared" si="8"/>
        <v>2.302388247368594E-2</v>
      </c>
      <c r="O32" s="245">
        <f t="shared" si="8"/>
        <v>2.2899408197199725E-2</v>
      </c>
      <c r="P32" s="245">
        <f t="shared" si="8"/>
        <v>2.3158970751700435E-2</v>
      </c>
      <c r="Q32" s="245">
        <f t="shared" si="8"/>
        <v>2.2456148251749072E-2</v>
      </c>
      <c r="R32" s="245">
        <f t="shared" si="8"/>
        <v>1.882061333446456E-2</v>
      </c>
      <c r="S32" s="245">
        <f t="shared" si="8"/>
        <v>1.9455427216501633E-2</v>
      </c>
      <c r="T32" s="245">
        <f t="shared" si="8"/>
        <v>1.8880494232506439E-2</v>
      </c>
      <c r="U32" s="245">
        <f t="shared" si="8"/>
        <v>2.0485872779887272E-2</v>
      </c>
      <c r="V32" s="245">
        <f t="shared" si="8"/>
        <v>1.9669379601932258E-2</v>
      </c>
      <c r="W32" s="245">
        <f t="shared" si="8"/>
        <v>1.9996920505367447E-2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1.6872770979235615E-2</v>
      </c>
      <c r="C33" s="246">
        <f t="shared" si="9"/>
        <v>1.7834397127179782E-2</v>
      </c>
      <c r="D33" s="246">
        <f t="shared" si="9"/>
        <v>1.5625178327567806E-2</v>
      </c>
      <c r="E33" s="246">
        <f t="shared" si="9"/>
        <v>1.5376495328789623E-2</v>
      </c>
      <c r="F33" s="246">
        <f t="shared" si="9"/>
        <v>1.6479571303783386E-2</v>
      </c>
      <c r="G33" s="246">
        <f t="shared" si="9"/>
        <v>1.4276292640693055E-2</v>
      </c>
      <c r="H33" s="246">
        <f t="shared" si="9"/>
        <v>1.3134289568617395E-2</v>
      </c>
      <c r="I33" s="246">
        <f t="shared" si="9"/>
        <v>1.2288540452685305E-2</v>
      </c>
      <c r="J33" s="246">
        <f t="shared" si="9"/>
        <v>1.1878051821469874E-2</v>
      </c>
      <c r="K33" s="246">
        <f t="shared" si="9"/>
        <v>1.2635907691337583E-2</v>
      </c>
      <c r="L33" s="246">
        <f t="shared" si="9"/>
        <v>1.3575842607878748E-2</v>
      </c>
      <c r="M33" s="246">
        <f t="shared" si="9"/>
        <v>1.7408716602339513E-2</v>
      </c>
      <c r="N33" s="246">
        <f t="shared" si="9"/>
        <v>1.4965523607895855E-2</v>
      </c>
      <c r="O33" s="246">
        <f t="shared" si="9"/>
        <v>1.4884615328179814E-2</v>
      </c>
      <c r="P33" s="246">
        <f t="shared" si="9"/>
        <v>1.5053330988605286E-2</v>
      </c>
      <c r="Q33" s="246">
        <f t="shared" si="9"/>
        <v>1.4596496363636892E-2</v>
      </c>
      <c r="R33" s="246">
        <f t="shared" si="9"/>
        <v>1.223339866740196E-2</v>
      </c>
      <c r="S33" s="246">
        <f t="shared" si="9"/>
        <v>1.2646027690726055E-2</v>
      </c>
      <c r="T33" s="246">
        <f t="shared" si="9"/>
        <v>1.2272321251129181E-2</v>
      </c>
      <c r="U33" s="246">
        <f t="shared" si="9"/>
        <v>1.3315817306926719E-2</v>
      </c>
      <c r="V33" s="246">
        <f t="shared" si="9"/>
        <v>1.2785096741255964E-2</v>
      </c>
      <c r="W33" s="246">
        <f t="shared" si="9"/>
        <v>1.299799832848884E-2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2.336229827894163E-2</v>
      </c>
      <c r="C34" s="246">
        <f t="shared" si="10"/>
        <v>2.4693780637633552E-2</v>
      </c>
      <c r="D34" s="246">
        <f t="shared" si="10"/>
        <v>2.1634862299709276E-2</v>
      </c>
      <c r="E34" s="246">
        <f t="shared" si="10"/>
        <v>2.1290531993708714E-2</v>
      </c>
      <c r="F34" s="246">
        <f t="shared" si="10"/>
        <v>2.2817867959084689E-2</v>
      </c>
      <c r="G34" s="246">
        <f t="shared" si="10"/>
        <v>1.9767174425575011E-2</v>
      </c>
      <c r="H34" s="246">
        <f t="shared" si="10"/>
        <v>1.8185939402701017E-2</v>
      </c>
      <c r="I34" s="246">
        <f t="shared" si="10"/>
        <v>1.7014902165256574E-2</v>
      </c>
      <c r="J34" s="246">
        <f t="shared" si="10"/>
        <v>1.6446533291265979E-2</v>
      </c>
      <c r="K34" s="246">
        <f t="shared" si="10"/>
        <v>1.7495872188005888E-2</v>
      </c>
      <c r="L34" s="246">
        <f t="shared" si="10"/>
        <v>1.8797320533985955E-2</v>
      </c>
      <c r="M34" s="246">
        <f t="shared" si="10"/>
        <v>2.410437683400856E-2</v>
      </c>
      <c r="N34" s="246">
        <f t="shared" si="10"/>
        <v>2.0721494226317347E-2</v>
      </c>
      <c r="O34" s="246">
        <f t="shared" si="10"/>
        <v>2.0609467377479745E-2</v>
      </c>
      <c r="P34" s="246">
        <f t="shared" si="10"/>
        <v>2.0843073676530384E-2</v>
      </c>
      <c r="Q34" s="246">
        <f t="shared" si="10"/>
        <v>2.0210533426574157E-2</v>
      </c>
      <c r="R34" s="246">
        <f t="shared" si="10"/>
        <v>1.6938552001018101E-2</v>
      </c>
      <c r="S34" s="246">
        <f t="shared" si="10"/>
        <v>1.7509884494851465E-2</v>
      </c>
      <c r="T34" s="246">
        <f t="shared" si="10"/>
        <v>1.6992444809255797E-2</v>
      </c>
      <c r="U34" s="246">
        <f t="shared" si="10"/>
        <v>1.8437285501898548E-2</v>
      </c>
      <c r="V34" s="246">
        <f t="shared" si="10"/>
        <v>1.7702441641739036E-2</v>
      </c>
      <c r="W34" s="246">
        <f t="shared" si="10"/>
        <v>1.7997228454830705E-2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0.19336505263494216</v>
      </c>
      <c r="C35" s="247">
        <f t="shared" si="11"/>
        <v>0.19678935789231247</v>
      </c>
      <c r="D35" s="247">
        <f t="shared" si="11"/>
        <v>0.19864356415248524</v>
      </c>
      <c r="E35" s="247">
        <f t="shared" si="11"/>
        <v>0.19960325948476482</v>
      </c>
      <c r="F35" s="247">
        <f t="shared" si="11"/>
        <v>0.19934775562494705</v>
      </c>
      <c r="G35" s="247">
        <f t="shared" si="11"/>
        <v>0.20283169132246853</v>
      </c>
      <c r="H35" s="247">
        <f t="shared" si="11"/>
        <v>0.20518935097687169</v>
      </c>
      <c r="I35" s="247">
        <f t="shared" si="11"/>
        <v>0.20687897786165929</v>
      </c>
      <c r="J35" s="247">
        <f t="shared" si="11"/>
        <v>0.20846012574641612</v>
      </c>
      <c r="K35" s="247">
        <f t="shared" si="11"/>
        <v>0.20759887757694717</v>
      </c>
      <c r="L35" s="247">
        <f t="shared" si="11"/>
        <v>0.20480933664061288</v>
      </c>
      <c r="M35" s="247">
        <f t="shared" si="11"/>
        <v>0.20098866786376071</v>
      </c>
      <c r="N35" s="247">
        <f t="shared" si="11"/>
        <v>0.20324883789074699</v>
      </c>
      <c r="O35" s="247">
        <f t="shared" si="11"/>
        <v>0.20246740543324929</v>
      </c>
      <c r="P35" s="247">
        <f t="shared" si="11"/>
        <v>0.20119735823131477</v>
      </c>
      <c r="Q35" s="247">
        <f t="shared" si="11"/>
        <v>0.20171967714765107</v>
      </c>
      <c r="R35" s="247">
        <f t="shared" si="11"/>
        <v>0.20554088230136566</v>
      </c>
      <c r="S35" s="247">
        <f t="shared" si="11"/>
        <v>0.20566343093323239</v>
      </c>
      <c r="T35" s="247">
        <f t="shared" si="11"/>
        <v>0.20724069624063529</v>
      </c>
      <c r="U35" s="247">
        <f t="shared" si="11"/>
        <v>0.20339644348582023</v>
      </c>
      <c r="V35" s="247">
        <f t="shared" si="11"/>
        <v>0.20310002241089486</v>
      </c>
      <c r="W35" s="247">
        <f t="shared" si="11"/>
        <v>0.20168547360272773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0.2603687235530926</v>
      </c>
      <c r="C36" s="260">
        <f t="shared" si="12"/>
        <v>0.26227556458269041</v>
      </c>
      <c r="D36" s="260">
        <f t="shared" si="12"/>
        <v>0.26790168266037673</v>
      </c>
      <c r="E36" s="260">
        <f t="shared" si="12"/>
        <v>0.26682477892150497</v>
      </c>
      <c r="F36" s="260">
        <f t="shared" si="12"/>
        <v>0.26177228704312605</v>
      </c>
      <c r="G36" s="260">
        <f t="shared" si="12"/>
        <v>0.26502804531265606</v>
      </c>
      <c r="H36" s="260">
        <f t="shared" si="12"/>
        <v>0.26620198580571625</v>
      </c>
      <c r="I36" s="260">
        <f t="shared" si="12"/>
        <v>0.26750921692567625</v>
      </c>
      <c r="J36" s="260">
        <f t="shared" si="12"/>
        <v>0.26637510267269066</v>
      </c>
      <c r="K36" s="260">
        <f t="shared" si="12"/>
        <v>0.26349389010357166</v>
      </c>
      <c r="L36" s="260">
        <f t="shared" si="12"/>
        <v>0.26438157804273388</v>
      </c>
      <c r="M36" s="260">
        <f t="shared" si="12"/>
        <v>0.25323783557891488</v>
      </c>
      <c r="N36" s="260">
        <f t="shared" si="12"/>
        <v>0.26000122377035084</v>
      </c>
      <c r="O36" s="260">
        <f t="shared" si="12"/>
        <v>0.26240579655006424</v>
      </c>
      <c r="P36" s="260">
        <f t="shared" si="12"/>
        <v>0.26461915661812785</v>
      </c>
      <c r="Q36" s="260">
        <f t="shared" si="12"/>
        <v>0.2659142281897342</v>
      </c>
      <c r="R36" s="260">
        <f t="shared" si="12"/>
        <v>0.27112759123436747</v>
      </c>
      <c r="S36" s="260">
        <f t="shared" si="12"/>
        <v>0.26815246680645527</v>
      </c>
      <c r="T36" s="260">
        <f t="shared" si="12"/>
        <v>0.2667347589970005</v>
      </c>
      <c r="U36" s="260">
        <f t="shared" si="12"/>
        <v>0.26946228226521951</v>
      </c>
      <c r="V36" s="260">
        <f t="shared" si="12"/>
        <v>0.27352510517259637</v>
      </c>
      <c r="W36" s="260">
        <f t="shared" si="12"/>
        <v>0.27564184367391498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0.36644365774572352</v>
      </c>
      <c r="C37" s="260">
        <f t="shared" si="13"/>
        <v>0.35334897184887398</v>
      </c>
      <c r="D37" s="260">
        <f t="shared" si="13"/>
        <v>0.36178153280211134</v>
      </c>
      <c r="E37" s="260">
        <f t="shared" si="13"/>
        <v>0.36401862338119495</v>
      </c>
      <c r="F37" s="260">
        <f t="shared" si="13"/>
        <v>0.36181229773225676</v>
      </c>
      <c r="G37" s="260">
        <f t="shared" si="13"/>
        <v>0.37139528008950756</v>
      </c>
      <c r="H37" s="260">
        <f t="shared" si="13"/>
        <v>0.37642273650897162</v>
      </c>
      <c r="I37" s="260">
        <f t="shared" si="13"/>
        <v>0.37968044558066572</v>
      </c>
      <c r="J37" s="260">
        <f t="shared" si="13"/>
        <v>0.38260894630950554</v>
      </c>
      <c r="K37" s="260">
        <f t="shared" si="13"/>
        <v>0.38107539551703962</v>
      </c>
      <c r="L37" s="260">
        <f t="shared" si="13"/>
        <v>0.37557640329017605</v>
      </c>
      <c r="M37" s="260">
        <f t="shared" si="13"/>
        <v>0.36319853140292102</v>
      </c>
      <c r="N37" s="260">
        <f t="shared" si="13"/>
        <v>0.37166912404424685</v>
      </c>
      <c r="O37" s="260">
        <f t="shared" si="13"/>
        <v>0.37020629640579156</v>
      </c>
      <c r="P37" s="260">
        <f t="shared" si="13"/>
        <v>0.3675398551845459</v>
      </c>
      <c r="Q37" s="260">
        <f t="shared" si="13"/>
        <v>0.36898771840110528</v>
      </c>
      <c r="R37" s="260">
        <f t="shared" si="13"/>
        <v>0.37712903363341871</v>
      </c>
      <c r="S37" s="260">
        <f t="shared" si="13"/>
        <v>0.37737923497197146</v>
      </c>
      <c r="T37" s="260">
        <f t="shared" si="13"/>
        <v>0.38036676676437348</v>
      </c>
      <c r="U37" s="260">
        <f t="shared" si="13"/>
        <v>0.37293248718764754</v>
      </c>
      <c r="V37" s="260">
        <f t="shared" si="13"/>
        <v>0.37246784596486898</v>
      </c>
      <c r="W37" s="260">
        <f t="shared" si="13"/>
        <v>0.36972120281119619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5.0032020072121638E-2</v>
      </c>
      <c r="C38" s="260">
        <f t="shared" si="14"/>
        <v>5.0398435467048017E-2</v>
      </c>
      <c r="D38" s="260">
        <f t="shared" si="14"/>
        <v>5.1479540942197498E-2</v>
      </c>
      <c r="E38" s="260">
        <f t="shared" si="14"/>
        <v>5.127260491415344E-2</v>
      </c>
      <c r="F38" s="260">
        <f t="shared" si="14"/>
        <v>5.0301726493644026E-2</v>
      </c>
      <c r="G38" s="260">
        <f t="shared" si="14"/>
        <v>5.0927347577728946E-2</v>
      </c>
      <c r="H38" s="260">
        <f t="shared" si="14"/>
        <v>5.1152930026767969E-2</v>
      </c>
      <c r="I38" s="260">
        <f t="shared" si="14"/>
        <v>5.1404125380573207E-2</v>
      </c>
      <c r="J38" s="260">
        <f t="shared" si="14"/>
        <v>5.1186195875465475E-2</v>
      </c>
      <c r="K38" s="260">
        <f t="shared" si="14"/>
        <v>5.0632546869075458E-2</v>
      </c>
      <c r="L38" s="260">
        <f t="shared" si="14"/>
        <v>5.0803123504332838E-2</v>
      </c>
      <c r="M38" s="260">
        <f t="shared" si="14"/>
        <v>4.8661760521022536E-2</v>
      </c>
      <c r="N38" s="260">
        <f t="shared" si="14"/>
        <v>4.9961401926225606E-2</v>
      </c>
      <c r="O38" s="260">
        <f t="shared" si="14"/>
        <v>5.0423460624896298E-2</v>
      </c>
      <c r="P38" s="260">
        <f t="shared" si="14"/>
        <v>5.0848776207509355E-2</v>
      </c>
      <c r="Q38" s="260">
        <f t="shared" si="14"/>
        <v>5.1097635002764097E-2</v>
      </c>
      <c r="R38" s="260">
        <f t="shared" si="14"/>
        <v>5.2099426158525378E-2</v>
      </c>
      <c r="S38" s="260">
        <f t="shared" si="14"/>
        <v>5.1527731205832615E-2</v>
      </c>
      <c r="T38" s="260">
        <f t="shared" si="14"/>
        <v>5.1255306835458612E-2</v>
      </c>
      <c r="U38" s="260">
        <f t="shared" si="14"/>
        <v>5.1779423161876281E-2</v>
      </c>
      <c r="V38" s="260">
        <f t="shared" si="14"/>
        <v>5.256012844197841E-2</v>
      </c>
      <c r="W38" s="260">
        <f t="shared" si="14"/>
        <v>5.2966877385323824E-2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2.5958109198824034E-2</v>
      </c>
      <c r="C39" s="260">
        <f t="shared" si="15"/>
        <v>2.7437534041815054E-2</v>
      </c>
      <c r="D39" s="260">
        <f t="shared" si="15"/>
        <v>2.4038735888565858E-2</v>
      </c>
      <c r="E39" s="260">
        <f t="shared" si="15"/>
        <v>2.3656146659676355E-2</v>
      </c>
      <c r="F39" s="260">
        <f t="shared" si="15"/>
        <v>2.5353186621205219E-2</v>
      </c>
      <c r="G39" s="260">
        <f t="shared" si="15"/>
        <v>2.1963527139527792E-2</v>
      </c>
      <c r="H39" s="260">
        <f t="shared" si="15"/>
        <v>2.0206599336334466E-2</v>
      </c>
      <c r="I39" s="260">
        <f t="shared" si="15"/>
        <v>1.8905446850285092E-2</v>
      </c>
      <c r="J39" s="260">
        <f t="shared" si="15"/>
        <v>1.827392587918442E-2</v>
      </c>
      <c r="K39" s="260">
        <f t="shared" si="15"/>
        <v>1.9439857986673206E-2</v>
      </c>
      <c r="L39" s="260">
        <f t="shared" si="15"/>
        <v>2.0885911704428849E-2</v>
      </c>
      <c r="M39" s="260">
        <f t="shared" si="15"/>
        <v>2.6782640926676177E-2</v>
      </c>
      <c r="N39" s="260">
        <f t="shared" si="15"/>
        <v>2.302388247368594E-2</v>
      </c>
      <c r="O39" s="260">
        <f t="shared" si="15"/>
        <v>2.2899408197199725E-2</v>
      </c>
      <c r="P39" s="260">
        <f t="shared" si="15"/>
        <v>2.3158970751700435E-2</v>
      </c>
      <c r="Q39" s="260">
        <f t="shared" si="15"/>
        <v>2.2456148251749072E-2</v>
      </c>
      <c r="R39" s="260">
        <f t="shared" si="15"/>
        <v>1.882061333446456E-2</v>
      </c>
      <c r="S39" s="260">
        <f t="shared" si="15"/>
        <v>1.9455427216501633E-2</v>
      </c>
      <c r="T39" s="260">
        <f t="shared" si="15"/>
        <v>1.8880494232506439E-2</v>
      </c>
      <c r="U39" s="260">
        <f t="shared" si="15"/>
        <v>2.0485872779887272E-2</v>
      </c>
      <c r="V39" s="260">
        <f t="shared" si="15"/>
        <v>1.9669379601932258E-2</v>
      </c>
      <c r="W39" s="260">
        <f t="shared" si="15"/>
        <v>1.9996920505367447E-2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3.7639258338294845E-2</v>
      </c>
      <c r="C40" s="262">
        <f t="shared" si="16"/>
        <v>3.9784424360631822E-2</v>
      </c>
      <c r="D40" s="262">
        <f t="shared" si="16"/>
        <v>3.4856167038420503E-2</v>
      </c>
      <c r="E40" s="262">
        <f t="shared" si="16"/>
        <v>3.4301412656530701E-2</v>
      </c>
      <c r="F40" s="262">
        <f t="shared" si="16"/>
        <v>3.6762120600747572E-2</v>
      </c>
      <c r="G40" s="262">
        <f t="shared" si="16"/>
        <v>3.1847114352315298E-2</v>
      </c>
      <c r="H40" s="262">
        <f t="shared" si="16"/>
        <v>2.9299569037684974E-2</v>
      </c>
      <c r="I40" s="262">
        <f t="shared" si="16"/>
        <v>2.7412897932913374E-2</v>
      </c>
      <c r="J40" s="262">
        <f t="shared" si="16"/>
        <v>2.6497192524817411E-2</v>
      </c>
      <c r="K40" s="262">
        <f t="shared" si="16"/>
        <v>2.8187794080676162E-2</v>
      </c>
      <c r="L40" s="262">
        <f t="shared" si="16"/>
        <v>3.0284571971421828E-2</v>
      </c>
      <c r="M40" s="262">
        <f t="shared" si="16"/>
        <v>3.883482934368046E-2</v>
      </c>
      <c r="N40" s="262">
        <f t="shared" si="16"/>
        <v>3.3384629586844621E-2</v>
      </c>
      <c r="O40" s="262">
        <f t="shared" si="16"/>
        <v>3.3204141885939606E-2</v>
      </c>
      <c r="P40" s="262">
        <f t="shared" si="16"/>
        <v>3.3580507589965634E-2</v>
      </c>
      <c r="Q40" s="262">
        <f t="shared" si="16"/>
        <v>3.2561414965036152E-2</v>
      </c>
      <c r="R40" s="262">
        <f t="shared" si="16"/>
        <v>2.7289889334973616E-2</v>
      </c>
      <c r="S40" s="262">
        <f t="shared" si="16"/>
        <v>2.8210369463927371E-2</v>
      </c>
      <c r="T40" s="262">
        <f t="shared" si="16"/>
        <v>2.737671663713433E-2</v>
      </c>
      <c r="U40" s="262">
        <f t="shared" si="16"/>
        <v>2.9704515530836546E-2</v>
      </c>
      <c r="V40" s="262">
        <f t="shared" si="16"/>
        <v>2.8520600422801776E-2</v>
      </c>
      <c r="W40" s="262">
        <f t="shared" si="16"/>
        <v>2.89955347327828E-2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126.45888445910971</v>
      </c>
      <c r="C44" s="237">
        <f t="shared" si="17"/>
        <v>122.34803499436489</v>
      </c>
      <c r="D44" s="237">
        <f t="shared" si="17"/>
        <v>127.81056238438659</v>
      </c>
      <c r="E44" s="237">
        <f t="shared" si="17"/>
        <v>135.43288032890186</v>
      </c>
      <c r="F44" s="237">
        <f t="shared" si="17"/>
        <v>134.84363036747561</v>
      </c>
      <c r="G44" s="237">
        <f t="shared" si="17"/>
        <v>154.42655608236757</v>
      </c>
      <c r="H44" s="237">
        <f t="shared" si="17"/>
        <v>146.93020171673032</v>
      </c>
      <c r="I44" s="237">
        <f t="shared" si="17"/>
        <v>137.23851152262932</v>
      </c>
      <c r="J44" s="237">
        <f t="shared" si="17"/>
        <v>139.32723127138399</v>
      </c>
      <c r="K44" s="237">
        <f t="shared" si="17"/>
        <v>156.36023356757096</v>
      </c>
      <c r="L44" s="237">
        <f t="shared" si="17"/>
        <v>144.5858594059342</v>
      </c>
      <c r="M44" s="237">
        <f t="shared" si="17"/>
        <v>132.80026593791024</v>
      </c>
      <c r="N44" s="237">
        <f t="shared" si="17"/>
        <v>135.04301399101351</v>
      </c>
      <c r="O44" s="237">
        <f t="shared" si="17"/>
        <v>132.95020410976795</v>
      </c>
      <c r="P44" s="237">
        <f t="shared" si="17"/>
        <v>130.15939664117735</v>
      </c>
      <c r="Q44" s="237">
        <f t="shared" si="17"/>
        <v>132.91816907674803</v>
      </c>
      <c r="R44" s="237">
        <f t="shared" si="17"/>
        <v>135.38540863538174</v>
      </c>
      <c r="S44" s="237">
        <f t="shared" si="17"/>
        <v>124.90211009173748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148.62601044661253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3.2826335319510416</v>
      </c>
      <c r="C45" s="248">
        <f>IF(C$6=0,0,C$6/AGR!C$5*1000)</f>
        <v>3.3569283751070662</v>
      </c>
      <c r="D45" s="248">
        <f>IF(D$6=0,0,D$6/AGR!D$5*1000)</f>
        <v>3.072404352927339</v>
      </c>
      <c r="E45" s="248">
        <f>IF(E$6=0,0,E$6/AGR!E$5*1000)</f>
        <v>3.2038200796028988</v>
      </c>
      <c r="F45" s="248">
        <f>IF(F$6=0,0,F$6/AGR!F$5*1000)</f>
        <v>3.4187157253874245</v>
      </c>
      <c r="G45" s="248">
        <f>IF(G$6=0,0,G$6/AGR!G$5*1000)</f>
        <v>3.3917518555788906</v>
      </c>
      <c r="H45" s="248">
        <f>IF(H$6=0,0,H$6/AGR!H$5*1000)</f>
        <v>2.9689597164967716</v>
      </c>
      <c r="I45" s="248">
        <f>IF(I$6=0,0,I$6/AGR!I$5*1000)</f>
        <v>2.5945553854033068</v>
      </c>
      <c r="J45" s="248">
        <f>IF(J$6=0,0,J$6/AGR!J$5*1000)</f>
        <v>2.5460554972052574</v>
      </c>
      <c r="K45" s="248">
        <f>IF(K$6=0,0,K$6/AGR!K$5*1000)</f>
        <v>3.0396207353166322</v>
      </c>
      <c r="L45" s="248">
        <f>IF(L$6=0,0,L$6/AGR!L$5*1000)</f>
        <v>3.0198074932613048</v>
      </c>
      <c r="M45" s="248">
        <f>IF(M$6=0,0,M$6/AGR!M$5*1000)</f>
        <v>3.5567418375821545</v>
      </c>
      <c r="N45" s="248">
        <f>IF(N$6=0,0,N$6/AGR!N$5*1000)</f>
        <v>3.1092144830214212</v>
      </c>
      <c r="O45" s="248">
        <f>IF(O$6=0,0,O$6/AGR!O$5*1000)</f>
        <v>3.0444809938105966</v>
      </c>
      <c r="P45" s="248">
        <f>IF(P$6=0,0,P$6/AGR!P$5*1000)</f>
        <v>3.0143576598720019</v>
      </c>
      <c r="Q45" s="248">
        <f>IF(Q$6=0,0,Q$6/AGR!Q$5*1000)</f>
        <v>2.984830110138502</v>
      </c>
      <c r="R45" s="248">
        <f>IF(R$6=0,0,R$6/AGR!R$5*1000)</f>
        <v>2.5480364270549991</v>
      </c>
      <c r="S45" s="248">
        <f>IF(S$6=0,0,S$6/AGR!S$5*1000)</f>
        <v>2.4300239120772731</v>
      </c>
      <c r="T45" s="248">
        <f>IF(T$6=0,0,T$6/AGR!T$5*1000)</f>
        <v>2.6674335088204697</v>
      </c>
      <c r="U45" s="248">
        <f>IF(U$6=0,0,U$6/AGR!U$5*1000)</f>
        <v>2.9092394496497014</v>
      </c>
      <c r="V45" s="248">
        <f>IF(V$6=0,0,V$6/AGR!V$5*1000)</f>
        <v>2.9233814181951714</v>
      </c>
      <c r="W45" s="248">
        <f>IF(W$6=0,0,W$6/AGR!W$5*1000)</f>
        <v>2.8503638793563377</v>
      </c>
      <c r="DA45" s="282"/>
    </row>
    <row r="46" spans="1:105" x14ac:dyDescent="0.25">
      <c r="A46" s="241" t="s">
        <v>124</v>
      </c>
      <c r="B46" s="249">
        <f>IF(B$7=0,0,B$7/AGR!B$5*1000)</f>
        <v>2.1337117957681762</v>
      </c>
      <c r="C46" s="249">
        <f>IF(C$7=0,0,C$7/AGR!C$5*1000)</f>
        <v>2.182003443819593</v>
      </c>
      <c r="D46" s="249">
        <f>IF(D$7=0,0,D$7/AGR!D$5*1000)</f>
        <v>1.9970628294027699</v>
      </c>
      <c r="E46" s="249">
        <f>IF(E$7=0,0,E$7/AGR!E$5*1000)</f>
        <v>2.0824830517418835</v>
      </c>
      <c r="F46" s="249">
        <f>IF(F$7=0,0,F$7/AGR!F$5*1000)</f>
        <v>2.2221652215018253</v>
      </c>
      <c r="G46" s="249">
        <f>IF(G$7=0,0,G$7/AGR!G$5*1000)</f>
        <v>2.2046387061262775</v>
      </c>
      <c r="H46" s="249">
        <f>IF(H$7=0,0,H$7/AGR!H$5*1000)</f>
        <v>1.9298238157229</v>
      </c>
      <c r="I46" s="249">
        <f>IF(I$7=0,0,I$7/AGR!I$5*1000)</f>
        <v>1.686461000512149</v>
      </c>
      <c r="J46" s="249">
        <f>IF(J$7=0,0,J$7/AGR!J$5*1000)</f>
        <v>1.6549360731834171</v>
      </c>
      <c r="K46" s="249">
        <f>IF(K$7=0,0,K$7/AGR!K$5*1000)</f>
        <v>1.9757534779558106</v>
      </c>
      <c r="L46" s="249">
        <f>IF(L$7=0,0,L$7/AGR!L$5*1000)</f>
        <v>1.9628748706198478</v>
      </c>
      <c r="M46" s="249">
        <f>IF(M$7=0,0,M$7/AGR!M$5*1000)</f>
        <v>2.3118821944284003</v>
      </c>
      <c r="N46" s="249">
        <f>IF(N$7=0,0,N$7/AGR!N$5*1000)</f>
        <v>2.0209894139639228</v>
      </c>
      <c r="O46" s="249">
        <f>IF(O$7=0,0,O$7/AGR!O$5*1000)</f>
        <v>1.9789126459768869</v>
      </c>
      <c r="P46" s="249">
        <f>IF(P$7=0,0,P$7/AGR!P$5*1000)</f>
        <v>1.9593324789168018</v>
      </c>
      <c r="Q46" s="249">
        <f>IF(Q$7=0,0,Q$7/AGR!Q$5*1000)</f>
        <v>1.940139571590026</v>
      </c>
      <c r="R46" s="249">
        <f>IF(R$7=0,0,R$7/AGR!R$5*1000)</f>
        <v>1.6562236775857488</v>
      </c>
      <c r="S46" s="249">
        <f>IF(S$7=0,0,S$7/AGR!S$5*1000)</f>
        <v>1.5795155428502268</v>
      </c>
      <c r="T46" s="249">
        <f>IF(T$7=0,0,T$7/AGR!T$5*1000)</f>
        <v>1.7338317807333048</v>
      </c>
      <c r="U46" s="249">
        <f>IF(U$7=0,0,U$7/AGR!U$5*1000)</f>
        <v>1.8910056422723049</v>
      </c>
      <c r="V46" s="249">
        <f>IF(V$7=0,0,V$7/AGR!V$5*1000)</f>
        <v>1.9001979218268608</v>
      </c>
      <c r="W46" s="249">
        <f>IF(W$7=0,0,W$7/AGR!W$5*1000)</f>
        <v>1.8527365215816192</v>
      </c>
      <c r="DA46" s="283"/>
    </row>
    <row r="47" spans="1:105" x14ac:dyDescent="0.25">
      <c r="A47" s="241" t="s">
        <v>123</v>
      </c>
      <c r="B47" s="249">
        <f>IF(B$8=0,0,B$8/AGR!B$5*1000)</f>
        <v>2.9543701787559375</v>
      </c>
      <c r="C47" s="249">
        <f>IF(C$8=0,0,C$8/AGR!C$5*1000)</f>
        <v>3.0212355375963602</v>
      </c>
      <c r="D47" s="249">
        <f>IF(D$8=0,0,D$8/AGR!D$5*1000)</f>
        <v>2.765163917634605</v>
      </c>
      <c r="E47" s="249">
        <f>IF(E$8=0,0,E$8/AGR!E$5*1000)</f>
        <v>2.8834380716426082</v>
      </c>
      <c r="F47" s="249">
        <f>IF(F$8=0,0,F$8/AGR!F$5*1000)</f>
        <v>3.0768441528486816</v>
      </c>
      <c r="G47" s="249">
        <f>IF(G$8=0,0,G$8/AGR!G$5*1000)</f>
        <v>3.0525766700210015</v>
      </c>
      <c r="H47" s="249">
        <f>IF(H$8=0,0,H$8/AGR!H$5*1000)</f>
        <v>2.6720637448470939</v>
      </c>
      <c r="I47" s="249">
        <f>IF(I$8=0,0,I$8/AGR!I$5*1000)</f>
        <v>2.3350998468629753</v>
      </c>
      <c r="J47" s="249">
        <f>IF(J$8=0,0,J$8/AGR!J$5*1000)</f>
        <v>2.2914499474847312</v>
      </c>
      <c r="K47" s="249">
        <f>IF(K$8=0,0,K$8/AGR!K$5*1000)</f>
        <v>2.7356586617849694</v>
      </c>
      <c r="L47" s="249">
        <f>IF(L$8=0,0,L$8/AGR!L$5*1000)</f>
        <v>2.7178267439351735</v>
      </c>
      <c r="M47" s="249">
        <f>IF(M$8=0,0,M$8/AGR!M$5*1000)</f>
        <v>3.2010676538239395</v>
      </c>
      <c r="N47" s="249">
        <f>IF(N$8=0,0,N$8/AGR!N$5*1000)</f>
        <v>2.7982930347192791</v>
      </c>
      <c r="O47" s="249">
        <f>IF(O$8=0,0,O$8/AGR!O$5*1000)</f>
        <v>2.740032894429536</v>
      </c>
      <c r="P47" s="249">
        <f>IF(P$8=0,0,P$8/AGR!P$5*1000)</f>
        <v>2.712921893884801</v>
      </c>
      <c r="Q47" s="249">
        <f>IF(Q$8=0,0,Q$8/AGR!Q$5*1000)</f>
        <v>2.6863470991246512</v>
      </c>
      <c r="R47" s="249">
        <f>IF(R$8=0,0,R$8/AGR!R$5*1000)</f>
        <v>2.2932327843494988</v>
      </c>
      <c r="S47" s="249">
        <f>IF(S$8=0,0,S$8/AGR!S$5*1000)</f>
        <v>2.1870215208695454</v>
      </c>
      <c r="T47" s="249">
        <f>IF(T$8=0,0,T$8/AGR!T$5*1000)</f>
        <v>2.4006901579384228</v>
      </c>
      <c r="U47" s="249">
        <f>IF(U$8=0,0,U$8/AGR!U$5*1000)</f>
        <v>2.6183155046847313</v>
      </c>
      <c r="V47" s="249">
        <f>IF(V$8=0,0,V$8/AGR!V$5*1000)</f>
        <v>2.6310432763756544</v>
      </c>
      <c r="W47" s="249">
        <f>IF(W$8=0,0,W$8/AGR!W$5*1000)</f>
        <v>2.5653274914207036</v>
      </c>
      <c r="DA47" s="283"/>
    </row>
    <row r="48" spans="1:105" x14ac:dyDescent="0.25">
      <c r="A48" s="243" t="s">
        <v>122</v>
      </c>
      <c r="B48" s="250">
        <f>IF(B$9=0,0,B$9/AGR!B$5*1000)</f>
        <v>24.452728849591821</v>
      </c>
      <c r="C48" s="250">
        <f>IF(C$9=0,0,C$9/AGR!C$5*1000)</f>
        <v>24.076791245927243</v>
      </c>
      <c r="D48" s="250">
        <f>IF(D$9=0,0,D$9/AGR!D$5*1000)</f>
        <v>25.388745648368115</v>
      </c>
      <c r="E48" s="250">
        <f>IF(E$9=0,0,E$9/AGR!E$5*1000)</f>
        <v>27.032844355058899</v>
      </c>
      <c r="F48" s="250">
        <f>IF(F$9=0,0,F$9/AGR!F$5*1000)</f>
        <v>26.880775074076219</v>
      </c>
      <c r="G48" s="250">
        <f>IF(G$9=0,0,G$9/AGR!G$5*1000)</f>
        <v>31.322599555290648</v>
      </c>
      <c r="H48" s="250">
        <f>IF(H$9=0,0,H$9/AGR!H$5*1000)</f>
        <v>30.148512729156725</v>
      </c>
      <c r="I48" s="250">
        <f>IF(I$9=0,0,I$9/AGR!I$5*1000)</f>
        <v>28.391762987057103</v>
      </c>
      <c r="J48" s="250">
        <f>IF(J$9=0,0,J$9/AGR!J$5*1000)</f>
        <v>29.04417215073271</v>
      </c>
      <c r="K48" s="250">
        <f>IF(K$9=0,0,K$9/AGR!K$5*1000)</f>
        <v>32.460208986297026</v>
      </c>
      <c r="L48" s="250">
        <f>IF(L$9=0,0,L$9/AGR!L$5*1000)</f>
        <v>29.612533952542304</v>
      </c>
      <c r="M48" s="250">
        <f>IF(M$9=0,0,M$9/AGR!M$5*1000)</f>
        <v>26.691348542813735</v>
      </c>
      <c r="N48" s="250">
        <f>IF(N$9=0,0,N$9/AGR!N$5*1000)</f>
        <v>27.447335658937384</v>
      </c>
      <c r="O48" s="250">
        <f>IF(O$9=0,0,O$9/AGR!O$5*1000)</f>
        <v>26.918082877925634</v>
      </c>
      <c r="P48" s="250">
        <f>IF(P$9=0,0,P$9/AGR!P$5*1000)</f>
        <v>26.187726753186748</v>
      </c>
      <c r="Q48" s="250">
        <f>IF(Q$9=0,0,Q$9/AGR!Q$5*1000)</f>
        <v>26.812210153218508</v>
      </c>
      <c r="R48" s="250">
        <f>IF(R$9=0,0,R$9/AGR!R$5*1000)</f>
        <v>27.827236341647293</v>
      </c>
      <c r="S48" s="250">
        <f>IF(S$9=0,0,S$9/AGR!S$5*1000)</f>
        <v>25.687796492267044</v>
      </c>
      <c r="T48" s="250">
        <f>IF(T$9=0,0,T$9/AGR!T$5*1000)</f>
        <v>29.278935749033572</v>
      </c>
      <c r="U48" s="250">
        <f>IF(U$9=0,0,U$9/AGR!U$5*1000)</f>
        <v>28.884732599157065</v>
      </c>
      <c r="V48" s="250">
        <f>IF(V$9=0,0,V$9/AGR!V$5*1000)</f>
        <v>30.185946052548896</v>
      </c>
      <c r="W48" s="250">
        <f>IF(W$9=0,0,W$9/AGR!W$5*1000)</f>
        <v>28.74827595547956</v>
      </c>
      <c r="DA48" s="284"/>
    </row>
    <row r="49" spans="1:105" x14ac:dyDescent="0.25">
      <c r="A49" s="128" t="s">
        <v>175</v>
      </c>
      <c r="B49" s="263">
        <f>IF(B$16=0,0,B$16/AGR!B$5*1000)</f>
        <v>32.92593832856641</v>
      </c>
      <c r="C49" s="263">
        <f>IF(C$16=0,0,C$16/AGR!C$5*1000)</f>
        <v>32.088899953729815</v>
      </c>
      <c r="D49" s="263">
        <f>IF(D$16=0,0,D$16/AGR!D$5*1000)</f>
        <v>34.240664724546221</v>
      </c>
      <c r="E49" s="263">
        <f>IF(E$16=0,0,E$16/AGR!E$5*1000)</f>
        <v>36.136848352461868</v>
      </c>
      <c r="F49" s="263">
        <f>IF(F$16=0,0,F$16/AGR!F$5*1000)</f>
        <v>35.298325514492014</v>
      </c>
      <c r="G49" s="263">
        <f>IF(G$16=0,0,G$16/AGR!G$5*1000)</f>
        <v>40.927368302875131</v>
      </c>
      <c r="H49" s="263">
        <f>IF(H$16=0,0,H$16/AGR!H$5*1000)</f>
        <v>39.113111471828063</v>
      </c>
      <c r="I49" s="263">
        <f>IF(I$16=0,0,I$16/AGR!I$5*1000)</f>
        <v>36.712566749463974</v>
      </c>
      <c r="J49" s="263">
        <f>IF(J$16=0,0,J$16/AGR!J$5*1000)</f>
        <v>37.113305535016629</v>
      </c>
      <c r="K49" s="263">
        <f>IF(K$16=0,0,K$16/AGR!K$5*1000)</f>
        <v>41.199966200222335</v>
      </c>
      <c r="L49" s="263">
        <f>IF(L$16=0,0,L$16/AGR!L$5*1000)</f>
        <v>38.225837672405746</v>
      </c>
      <c r="M49" s="263">
        <f>IF(M$16=0,0,M$16/AGR!M$5*1000)</f>
        <v>33.630051910420683</v>
      </c>
      <c r="N49" s="263">
        <f>IF(N$16=0,0,N$16/AGR!N$5*1000)</f>
        <v>35.111348899300125</v>
      </c>
      <c r="O49" s="263">
        <f>IF(O$16=0,0,O$16/AGR!O$5*1000)</f>
        <v>34.88690421091728</v>
      </c>
      <c r="P49" s="263">
        <f>IF(P$16=0,0,P$16/AGR!P$5*1000)</f>
        <v>34.442669765112733</v>
      </c>
      <c r="Q49" s="263">
        <f>IF(Q$16=0,0,Q$16/AGR!Q$5*1000)</f>
        <v>35.344832342436042</v>
      </c>
      <c r="R49" s="263">
        <f>IF(R$16=0,0,R$16/AGR!R$5*1000)</f>
        <v>36.706719731591576</v>
      </c>
      <c r="S49" s="263">
        <f>IF(S$16=0,0,S$16/AGR!S$5*1000)</f>
        <v>33.492808930430861</v>
      </c>
      <c r="T49" s="263">
        <f>IF(T$16=0,0,T$16/AGR!T$5*1000)</f>
        <v>37.68424837580632</v>
      </c>
      <c r="U49" s="263">
        <f>IF(U$16=0,0,U$16/AGR!U$5*1000)</f>
        <v>38.266873478208403</v>
      </c>
      <c r="V49" s="263">
        <f>IF(V$16=0,0,V$16/AGR!V$5*1000)</f>
        <v>40.652945138793093</v>
      </c>
      <c r="W49" s="263">
        <f>IF(W$16=0,0,W$16/AGR!W$5*1000)</f>
        <v>39.290027413792352</v>
      </c>
      <c r="DA49" s="285"/>
    </row>
    <row r="50" spans="1:105" x14ac:dyDescent="0.25">
      <c r="A50" s="128" t="s">
        <v>121</v>
      </c>
      <c r="B50" s="263">
        <f>IF(B$17=0,0,B$17/AGR!B$5*1000)</f>
        <v>46.340056175640001</v>
      </c>
      <c r="C50" s="263">
        <f>IF(C$17=0,0,C$17/AGR!C$5*1000)</f>
        <v>43.231552372988894</v>
      </c>
      <c r="D50" s="263">
        <f>IF(D$17=0,0,D$17/AGR!D$5*1000)</f>
        <v>46.239501167723247</v>
      </c>
      <c r="E50" s="263">
        <f>IF(E$17=0,0,E$17/AGR!E$5*1000)</f>
        <v>49.300090657876972</v>
      </c>
      <c r="F50" s="263">
        <f>IF(F$17=0,0,F$17/AGR!F$5*1000)</f>
        <v>48.788083737815469</v>
      </c>
      <c r="G50" s="263">
        <f>IF(G$17=0,0,G$17/AGR!G$5*1000)</f>
        <v>57.35329404946895</v>
      </c>
      <c r="H50" s="263">
        <f>IF(H$17=0,0,H$17/AGR!H$5*1000)</f>
        <v>55.307868606026815</v>
      </c>
      <c r="I50" s="263">
        <f>IF(I$17=0,0,I$17/AGR!I$5*1000)</f>
        <v>52.10677920573923</v>
      </c>
      <c r="J50" s="263">
        <f>IF(J$17=0,0,J$17/AGR!J$5*1000)</f>
        <v>53.307845148965022</v>
      </c>
      <c r="K50" s="263">
        <f>IF(K$17=0,0,K$17/AGR!K$5*1000)</f>
        <v>59.585037849898789</v>
      </c>
      <c r="L50" s="263">
        <f>IF(L$17=0,0,L$17/AGR!L$5*1000)</f>
        <v>54.303037042299842</v>
      </c>
      <c r="M50" s="263">
        <f>IF(M$17=0,0,M$17/AGR!M$5*1000)</f>
        <v>48.232861558566356</v>
      </c>
      <c r="N50" s="263">
        <f>IF(N$17=0,0,N$17/AGR!N$5*1000)</f>
        <v>50.191318718334969</v>
      </c>
      <c r="O50" s="263">
        <f>IF(O$17=0,0,O$17/AGR!O$5*1000)</f>
        <v>49.219002669871237</v>
      </c>
      <c r="P50" s="263">
        <f>IF(P$17=0,0,P$17/AGR!P$5*1000)</f>
        <v>47.838765792406193</v>
      </c>
      <c r="Q50" s="263">
        <f>IF(Q$17=0,0,Q$17/AGR!Q$5*1000)</f>
        <v>49.045171941681602</v>
      </c>
      <c r="R50" s="263">
        <f>IF(R$17=0,0,R$17/AGR!R$5*1000)</f>
        <v>51.057768326727007</v>
      </c>
      <c r="S50" s="263">
        <f>IF(S$17=0,0,S$17/AGR!S$5*1000)</f>
        <v>47.135462752804855</v>
      </c>
      <c r="T50" s="263">
        <f>IF(T$17=0,0,T$17/AGR!T$5*1000)</f>
        <v>53.738162084875597</v>
      </c>
      <c r="U50" s="263">
        <f>IF(U$17=0,0,U$17/AGR!U$5*1000)</f>
        <v>52.960882625780727</v>
      </c>
      <c r="V50" s="263">
        <f>IF(V$17=0,0,V$17/AGR!V$5*1000)</f>
        <v>55.358409965401876</v>
      </c>
      <c r="W50" s="263">
        <f>IF(W$17=0,0,W$17/AGR!W$5*1000)</f>
        <v>52.700112581952169</v>
      </c>
      <c r="DA50" s="285"/>
    </row>
    <row r="51" spans="1:105" x14ac:dyDescent="0.25">
      <c r="A51" s="128" t="s">
        <v>174</v>
      </c>
      <c r="B51" s="263">
        <f>IF(B$25=0,0,B$25/AGR!B$5*1000)</f>
        <v>6.3269934455562886</v>
      </c>
      <c r="C51" s="263">
        <f>IF(C$25=0,0,C$25/AGR!C$5*1000)</f>
        <v>6.1661495461836315</v>
      </c>
      <c r="D51" s="263">
        <f>IF(D$25=0,0,D$25/AGR!D$5*1000)</f>
        <v>6.5796290791123155</v>
      </c>
      <c r="E51" s="263">
        <f>IF(E$25=0,0,E$25/AGR!E$5*1000)</f>
        <v>6.9439965654896083</v>
      </c>
      <c r="F51" s="263">
        <f>IF(F$25=0,0,F$25/AGR!F$5*1000)</f>
        <v>6.7828674141547909</v>
      </c>
      <c r="G51" s="263">
        <f>IF(G$25=0,0,G$25/AGR!G$5*1000)</f>
        <v>7.8645348968383839</v>
      </c>
      <c r="H51" s="263">
        <f>IF(H$25=0,0,H$25/AGR!H$5*1000)</f>
        <v>7.515910327234808</v>
      </c>
      <c r="I51" s="263">
        <f>IF(I$25=0,0,I$25/AGR!I$5*1000)</f>
        <v>7.0546256533524794</v>
      </c>
      <c r="J51" s="263">
        <f>IF(J$25=0,0,J$25/AGR!J$5*1000)</f>
        <v>7.1316309506433404</v>
      </c>
      <c r="K51" s="263">
        <f>IF(K$25=0,0,K$25/AGR!K$5*1000)</f>
        <v>7.9169168545696227</v>
      </c>
      <c r="L51" s="263">
        <f>IF(L$25=0,0,L$25/AGR!L$5*1000)</f>
        <v>7.3454132723797798</v>
      </c>
      <c r="M51" s="263">
        <f>IF(M$25=0,0,M$25/AGR!M$5*1000)</f>
        <v>6.4622947381986942</v>
      </c>
      <c r="N51" s="263">
        <f>IF(N$25=0,0,N$25/AGR!N$5*1000)</f>
        <v>6.7469382993339346</v>
      </c>
      <c r="O51" s="263">
        <f>IF(O$25=0,0,O$25/AGR!O$5*1000)</f>
        <v>6.7038093820008102</v>
      </c>
      <c r="P51" s="263">
        <f>IF(P$25=0,0,P$25/AGR!P$5*1000)</f>
        <v>6.6184460311116711</v>
      </c>
      <c r="Q51" s="263">
        <f>IF(Q$25=0,0,Q$25/AGR!Q$5*1000)</f>
        <v>6.7918040887193554</v>
      </c>
      <c r="R51" s="263">
        <f>IF(R$25=0,0,R$25/AGR!R$5*1000)</f>
        <v>7.0535021001408555</v>
      </c>
      <c r="S51" s="263">
        <f>IF(S$25=0,0,S$25/AGR!S$5*1000)</f>
        <v>6.4359223558483629</v>
      </c>
      <c r="T51" s="263">
        <f>IF(T$25=0,0,T$25/AGR!T$5*1000)</f>
        <v>7.2413423755818274</v>
      </c>
      <c r="U51" s="263">
        <f>IF(U$25=0,0,U$25/AGR!U$5*1000)</f>
        <v>7.3532986444458857</v>
      </c>
      <c r="V51" s="263">
        <f>IF(V$25=0,0,V$25/AGR!V$5*1000)</f>
        <v>7.8118021988927797</v>
      </c>
      <c r="W51" s="263">
        <f>IF(W$25=0,0,W$25/AGR!W$5*1000)</f>
        <v>7.5499061998520896</v>
      </c>
      <c r="DA51" s="285"/>
    </row>
    <row r="52" spans="1:105" x14ac:dyDescent="0.25">
      <c r="A52" s="128" t="s">
        <v>177</v>
      </c>
      <c r="B52" s="263">
        <f>IF(B$26=0,0,B$26/AGR!B$5*1000)</f>
        <v>3.2826335319510416</v>
      </c>
      <c r="C52" s="263">
        <f>IF(C$26=0,0,C$26/AGR!C$5*1000)</f>
        <v>3.3569283751070662</v>
      </c>
      <c r="D52" s="263">
        <f>IF(D$26=0,0,D$26/AGR!D$5*1000)</f>
        <v>3.072404352927339</v>
      </c>
      <c r="E52" s="263">
        <f>IF(E$26=0,0,E$26/AGR!E$5*1000)</f>
        <v>3.2038200796028988</v>
      </c>
      <c r="F52" s="263">
        <f>IF(F$26=0,0,F$26/AGR!F$5*1000)</f>
        <v>3.4187157253874245</v>
      </c>
      <c r="G52" s="263">
        <f>IF(G$26=0,0,G$26/AGR!G$5*1000)</f>
        <v>3.3917518555788906</v>
      </c>
      <c r="H52" s="263">
        <f>IF(H$26=0,0,H$26/AGR!H$5*1000)</f>
        <v>2.9689597164967716</v>
      </c>
      <c r="I52" s="263">
        <f>IF(I$26=0,0,I$26/AGR!I$5*1000)</f>
        <v>2.5945553854033068</v>
      </c>
      <c r="J52" s="263">
        <f>IF(J$26=0,0,J$26/AGR!J$5*1000)</f>
        <v>2.5460554972052574</v>
      </c>
      <c r="K52" s="263">
        <f>IF(K$26=0,0,K$26/AGR!K$5*1000)</f>
        <v>3.0396207353166322</v>
      </c>
      <c r="L52" s="263">
        <f>IF(L$26=0,0,L$26/AGR!L$5*1000)</f>
        <v>3.0198074932613048</v>
      </c>
      <c r="M52" s="263">
        <f>IF(M$26=0,0,M$26/AGR!M$5*1000)</f>
        <v>3.5567418375821545</v>
      </c>
      <c r="N52" s="263">
        <f>IF(N$26=0,0,N$26/AGR!N$5*1000)</f>
        <v>3.1092144830214212</v>
      </c>
      <c r="O52" s="263">
        <f>IF(O$26=0,0,O$26/AGR!O$5*1000)</f>
        <v>3.0444809938105966</v>
      </c>
      <c r="P52" s="263">
        <f>IF(P$26=0,0,P$26/AGR!P$5*1000)</f>
        <v>3.0143576598720019</v>
      </c>
      <c r="Q52" s="263">
        <f>IF(Q$26=0,0,Q$26/AGR!Q$5*1000)</f>
        <v>2.984830110138502</v>
      </c>
      <c r="R52" s="263">
        <f>IF(R$26=0,0,R$26/AGR!R$5*1000)</f>
        <v>2.5480364270549991</v>
      </c>
      <c r="S52" s="263">
        <f>IF(S$26=0,0,S$26/AGR!S$5*1000)</f>
        <v>2.4300239120772731</v>
      </c>
      <c r="T52" s="263">
        <f>IF(T$26=0,0,T$26/AGR!T$5*1000)</f>
        <v>2.6674335088204697</v>
      </c>
      <c r="U52" s="263">
        <f>IF(U$26=0,0,U$26/AGR!U$5*1000)</f>
        <v>2.9092394496497014</v>
      </c>
      <c r="V52" s="263">
        <f>IF(V$26=0,0,V$26/AGR!V$5*1000)</f>
        <v>2.9233814181951714</v>
      </c>
      <c r="W52" s="263">
        <f>IF(W$26=0,0,W$26/AGR!W$5*1000)</f>
        <v>2.8503638793563377</v>
      </c>
      <c r="DA52" s="285"/>
    </row>
    <row r="53" spans="1:105" x14ac:dyDescent="0.25">
      <c r="A53" s="261" t="s">
        <v>33</v>
      </c>
      <c r="B53" s="264">
        <f>IF(B$27=0,0,B$27/AGR!B$5*1000)</f>
        <v>4.7598186213290097</v>
      </c>
      <c r="C53" s="264">
        <f>IF(C$27=0,0,C$27/AGR!C$5*1000)</f>
        <v>4.8675461439052459</v>
      </c>
      <c r="D53" s="264">
        <f>IF(D$27=0,0,D$27/AGR!D$5*1000)</f>
        <v>4.4549863117446424</v>
      </c>
      <c r="E53" s="264">
        <f>IF(E$27=0,0,E$27/AGR!E$5*1000)</f>
        <v>4.6455391154242021</v>
      </c>
      <c r="F53" s="264">
        <f>IF(F$27=0,0,F$27/AGR!F$5*1000)</f>
        <v>4.9571378018117667</v>
      </c>
      <c r="G53" s="264">
        <f>IF(G$27=0,0,G$27/AGR!G$5*1000)</f>
        <v>4.9180401905893909</v>
      </c>
      <c r="H53" s="264">
        <f>IF(H$27=0,0,H$27/AGR!H$5*1000)</f>
        <v>4.3049915889203181</v>
      </c>
      <c r="I53" s="264">
        <f>IF(I$27=0,0,I$27/AGR!I$5*1000)</f>
        <v>3.7621053088347938</v>
      </c>
      <c r="J53" s="264">
        <f>IF(J$27=0,0,J$27/AGR!J$5*1000)</f>
        <v>3.6917804709476227</v>
      </c>
      <c r="K53" s="264">
        <f>IF(K$27=0,0,K$27/AGR!K$5*1000)</f>
        <v>4.4074500662091189</v>
      </c>
      <c r="L53" s="264">
        <f>IF(L$27=0,0,L$27/AGR!L$5*1000)</f>
        <v>4.3787208652288916</v>
      </c>
      <c r="M53" s="264">
        <f>IF(M$27=0,0,M$27/AGR!M$5*1000)</f>
        <v>5.1572756644941258</v>
      </c>
      <c r="N53" s="264">
        <f>IF(N$27=0,0,N$27/AGR!N$5*1000)</f>
        <v>4.5083610003810621</v>
      </c>
      <c r="O53" s="264">
        <f>IF(O$27=0,0,O$27/AGR!O$5*1000)</f>
        <v>4.4144974410253655</v>
      </c>
      <c r="P53" s="264">
        <f>IF(P$27=0,0,P$27/AGR!P$5*1000)</f>
        <v>4.3708186068144039</v>
      </c>
      <c r="Q53" s="264">
        <f>IF(Q$27=0,0,Q$27/AGR!Q$5*1000)</f>
        <v>4.328003659700828</v>
      </c>
      <c r="R53" s="264">
        <f>IF(R$27=0,0,R$27/AGR!R$5*1000)</f>
        <v>3.694652819229749</v>
      </c>
      <c r="S53" s="264">
        <f>IF(S$27=0,0,S$27/AGR!S$5*1000)</f>
        <v>3.5235346725120462</v>
      </c>
      <c r="T53" s="264">
        <f>IF(T$27=0,0,T$27/AGR!T$5*1000)</f>
        <v>3.8677785877896804</v>
      </c>
      <c r="U53" s="264">
        <f>IF(U$27=0,0,U$27/AGR!U$5*1000)</f>
        <v>4.218397201992067</v>
      </c>
      <c r="V53" s="264">
        <f>IF(V$27=0,0,V$27/AGR!V$5*1000)</f>
        <v>4.2389030563829984</v>
      </c>
      <c r="W53" s="264">
        <f>IF(W$27=0,0,W$27/AGR!W$5*1000)</f>
        <v>4.1330276250666893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7.3060225757341284</v>
      </c>
      <c r="C5" s="80">
        <f t="shared" ref="C5:W5" si="1">SUM(C6:C9,C16:C17,C25:C27)</f>
        <v>8.0222861417255071</v>
      </c>
      <c r="D5" s="80">
        <f t="shared" si="1"/>
        <v>7.6486292871747432</v>
      </c>
      <c r="E5" s="80">
        <f t="shared" si="1"/>
        <v>8.3870767956706</v>
      </c>
      <c r="F5" s="80">
        <f t="shared" si="1"/>
        <v>8.6507699262894082</v>
      </c>
      <c r="G5" s="80">
        <f t="shared" si="1"/>
        <v>8.8165240348593894</v>
      </c>
      <c r="H5" s="80">
        <f t="shared" si="1"/>
        <v>9.1354222348576588</v>
      </c>
      <c r="I5" s="80">
        <f t="shared" si="1"/>
        <v>9.7826600163460178</v>
      </c>
      <c r="J5" s="80">
        <f t="shared" si="1"/>
        <v>10.149546906998005</v>
      </c>
      <c r="K5" s="80">
        <f t="shared" si="1"/>
        <v>11.744802877194338</v>
      </c>
      <c r="L5" s="80">
        <f t="shared" si="1"/>
        <v>11.540042630240668</v>
      </c>
      <c r="M5" s="80">
        <f t="shared" si="1"/>
        <v>10.071798542915676</v>
      </c>
      <c r="N5" s="80">
        <f t="shared" si="1"/>
        <v>9.9242101638564613</v>
      </c>
      <c r="O5" s="80">
        <f t="shared" si="1"/>
        <v>10.451852509291269</v>
      </c>
      <c r="P5" s="80">
        <f t="shared" si="1"/>
        <v>10.008430930080916</v>
      </c>
      <c r="Q5" s="80">
        <f t="shared" si="1"/>
        <v>9.8574512730277579</v>
      </c>
      <c r="R5" s="80">
        <f t="shared" si="1"/>
        <v>11.267596524394126</v>
      </c>
      <c r="S5" s="80">
        <f t="shared" si="1"/>
        <v>10.533044974072558</v>
      </c>
      <c r="T5" s="80">
        <f t="shared" si="1"/>
        <v>10.459198386665808</v>
      </c>
      <c r="U5" s="80">
        <f t="shared" si="1"/>
        <v>9.5253333062354706</v>
      </c>
      <c r="V5" s="80">
        <f t="shared" si="1"/>
        <v>10.919098643003933</v>
      </c>
      <c r="W5" s="80">
        <f t="shared" si="1"/>
        <v>10.505043445516877</v>
      </c>
      <c r="DA5" s="103"/>
    </row>
    <row r="6" spans="1:105" x14ac:dyDescent="0.25">
      <c r="A6" s="239" t="s">
        <v>125</v>
      </c>
      <c r="B6" s="240">
        <v>0.23013208594653559</v>
      </c>
      <c r="C6" s="240">
        <v>0.26363145789071152</v>
      </c>
      <c r="D6" s="240">
        <v>0.223176733679149</v>
      </c>
      <c r="E6" s="240">
        <v>0.240480215208455</v>
      </c>
      <c r="F6" s="240">
        <v>0.2632868698984569</v>
      </c>
      <c r="G6" s="240">
        <v>0.23441131651150329</v>
      </c>
      <c r="H6" s="240">
        <v>0.22412123315964461</v>
      </c>
      <c r="I6" s="240">
        <v>0.22512044453571339</v>
      </c>
      <c r="J6" s="240">
        <v>0.22549002623721859</v>
      </c>
      <c r="K6" s="240">
        <v>0.27635795922806128</v>
      </c>
      <c r="L6" s="240">
        <v>0.29176303267816772</v>
      </c>
      <c r="M6" s="240">
        <v>0.31943284032931563</v>
      </c>
      <c r="N6" s="240">
        <v>0.27443830103920508</v>
      </c>
      <c r="O6" s="240">
        <v>0.28842040752084702</v>
      </c>
      <c r="P6" s="240">
        <v>0.28011674329482189</v>
      </c>
      <c r="Q6" s="240">
        <v>0.26820078156248323</v>
      </c>
      <c r="R6" s="240">
        <v>0.25949557641158838</v>
      </c>
      <c r="S6" s="240">
        <v>0.249595712972453</v>
      </c>
      <c r="T6" s="240">
        <v>0.24012079153289631</v>
      </c>
      <c r="U6" s="240">
        <v>0.23801055943229729</v>
      </c>
      <c r="V6" s="240">
        <v>0.26376650419919873</v>
      </c>
      <c r="W6" s="240">
        <v>0.25894869158417833</v>
      </c>
      <c r="DA6" s="268" t="s">
        <v>1014</v>
      </c>
    </row>
    <row r="7" spans="1:105" x14ac:dyDescent="0.25">
      <c r="A7" s="241" t="s">
        <v>124</v>
      </c>
      <c r="B7" s="242">
        <v>0.1483335101808573</v>
      </c>
      <c r="C7" s="242">
        <v>0.16992580318465941</v>
      </c>
      <c r="D7" s="242">
        <v>0.1438503812328778</v>
      </c>
      <c r="E7" s="242">
        <v>0.1550034811712665</v>
      </c>
      <c r="F7" s="242">
        <v>0.16970369618794459</v>
      </c>
      <c r="G7" s="242">
        <v>0.15109172309134361</v>
      </c>
      <c r="H7" s="242">
        <v>0.1444591660649869</v>
      </c>
      <c r="I7" s="242">
        <v>0.14510321589495881</v>
      </c>
      <c r="J7" s="242">
        <v>0.14534143279051859</v>
      </c>
      <c r="K7" s="242">
        <v>0.17812877326562859</v>
      </c>
      <c r="L7" s="242">
        <v>0.18805823881603029</v>
      </c>
      <c r="M7" s="242">
        <v>0.20589303867908559</v>
      </c>
      <c r="N7" s="242">
        <v>0.17689144194640249</v>
      </c>
      <c r="O7" s="242">
        <v>0.18590372254870971</v>
      </c>
      <c r="P7" s="242">
        <v>0.18055152814720571</v>
      </c>
      <c r="Q7" s="242">
        <v>0.1728709979696397</v>
      </c>
      <c r="R7" s="242">
        <v>0.16725998709488191</v>
      </c>
      <c r="S7" s="242">
        <v>0.16087894949120221</v>
      </c>
      <c r="T7" s="242">
        <v>0.1547718117140571</v>
      </c>
      <c r="U7" s="242">
        <v>0.1534116444279929</v>
      </c>
      <c r="V7" s="242">
        <v>0.170012848382605</v>
      </c>
      <c r="W7" s="242">
        <v>0.16690748802557251</v>
      </c>
      <c r="DA7" s="269" t="s">
        <v>1015</v>
      </c>
    </row>
    <row r="8" spans="1:105" x14ac:dyDescent="0.25">
      <c r="A8" s="241" t="s">
        <v>123</v>
      </c>
      <c r="B8" s="242">
        <v>0.29477313258160259</v>
      </c>
      <c r="C8" s="242">
        <v>0.33768203321093559</v>
      </c>
      <c r="D8" s="242">
        <v>0.28586411423401592</v>
      </c>
      <c r="E8" s="242">
        <v>0.30802791392314921</v>
      </c>
      <c r="F8" s="242">
        <v>0.33724065502801448</v>
      </c>
      <c r="G8" s="242">
        <v>0.30025434218123892</v>
      </c>
      <c r="H8" s="242">
        <v>0.28707391107500069</v>
      </c>
      <c r="I8" s="242">
        <v>0.28835378765641501</v>
      </c>
      <c r="J8" s="242">
        <v>0.28882717994958201</v>
      </c>
      <c r="K8" s="242">
        <v>0.35398323975753632</v>
      </c>
      <c r="L8" s="242">
        <v>0.37371539375014579</v>
      </c>
      <c r="M8" s="242">
        <v>0.40915728289703418</v>
      </c>
      <c r="N8" s="242">
        <v>0.35152437507776912</v>
      </c>
      <c r="O8" s="242">
        <v>0.36943386957842128</v>
      </c>
      <c r="P8" s="242">
        <v>0.35879781634949498</v>
      </c>
      <c r="Q8" s="242">
        <v>0.34353481921844742</v>
      </c>
      <c r="R8" s="242">
        <v>0.33238443755158631</v>
      </c>
      <c r="S8" s="242">
        <v>0.31970383394917512</v>
      </c>
      <c r="T8" s="242">
        <v>0.30756753291051181</v>
      </c>
      <c r="U8" s="242">
        <v>0.30486456463814171</v>
      </c>
      <c r="V8" s="242">
        <v>0.33785501223397191</v>
      </c>
      <c r="W8" s="242">
        <v>0.3316839400391513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2.3136216031186088</v>
      </c>
      <c r="C9" s="244">
        <f t="shared" ref="C9:W9" si="3">SUM(C10:C15)</f>
        <v>2.5674498583996579</v>
      </c>
      <c r="D9" s="244">
        <f t="shared" si="3"/>
        <v>2.459260080055969</v>
      </c>
      <c r="E9" s="244">
        <f t="shared" si="3"/>
        <v>2.7130191339659793</v>
      </c>
      <c r="F9" s="244">
        <f t="shared" si="3"/>
        <v>2.8045214794631153</v>
      </c>
      <c r="G9" s="244">
        <f t="shared" si="3"/>
        <v>2.9053999046249523</v>
      </c>
      <c r="H9" s="244">
        <f t="shared" si="3"/>
        <v>3.0477676869166808</v>
      </c>
      <c r="I9" s="244">
        <f t="shared" si="3"/>
        <v>3.2925152258332164</v>
      </c>
      <c r="J9" s="244">
        <f t="shared" si="3"/>
        <v>3.4470362049677554</v>
      </c>
      <c r="K9" s="244">
        <f t="shared" si="3"/>
        <v>3.9735794788109553</v>
      </c>
      <c r="L9" s="244">
        <f t="shared" si="3"/>
        <v>3.8448858839702962</v>
      </c>
      <c r="M9" s="244">
        <f t="shared" si="3"/>
        <v>3.3093346084052375</v>
      </c>
      <c r="N9" s="244">
        <f t="shared" si="3"/>
        <v>3.2854117890891334</v>
      </c>
      <c r="O9" s="244">
        <f t="shared" si="3"/>
        <v>3.4421214841667975</v>
      </c>
      <c r="P9" s="244">
        <f t="shared" si="3"/>
        <v>3.2700507668888048</v>
      </c>
      <c r="Q9" s="244">
        <f t="shared" si="3"/>
        <v>3.227386459330345</v>
      </c>
      <c r="R9" s="244">
        <f t="shared" si="3"/>
        <v>3.7585094969203263</v>
      </c>
      <c r="S9" s="244">
        <f t="shared" si="3"/>
        <v>3.5204358516835894</v>
      </c>
      <c r="T9" s="244">
        <f t="shared" si="3"/>
        <v>3.5281728907565539</v>
      </c>
      <c r="U9" s="244">
        <f t="shared" si="3"/>
        <v>3.1416455054529626</v>
      </c>
      <c r="V9" s="244">
        <f t="shared" si="3"/>
        <v>3.5869982840121972</v>
      </c>
      <c r="W9" s="244">
        <f t="shared" si="3"/>
        <v>3.4175219385974316</v>
      </c>
      <c r="DA9" s="270"/>
    </row>
    <row r="10" spans="1:105" x14ac:dyDescent="0.25">
      <c r="A10" s="254" t="s">
        <v>173</v>
      </c>
      <c r="B10" s="255">
        <v>1.8613754609337101</v>
      </c>
      <c r="C10" s="255">
        <v>1.9793197061809791</v>
      </c>
      <c r="D10" s="255">
        <v>2.0251388533135608</v>
      </c>
      <c r="E10" s="255">
        <v>2.1261509083131789</v>
      </c>
      <c r="F10" s="255">
        <v>1.9822356256516951</v>
      </c>
      <c r="G10" s="255">
        <v>2.0257131331072942</v>
      </c>
      <c r="H10" s="255">
        <v>2.0718806199991882</v>
      </c>
      <c r="I10" s="255">
        <v>2.2242112184161278</v>
      </c>
      <c r="J10" s="255">
        <v>2.2030388266200598</v>
      </c>
      <c r="K10" s="255">
        <v>2.4290700999453452</v>
      </c>
      <c r="L10" s="255">
        <v>2.5330736645520449</v>
      </c>
      <c r="M10" s="255">
        <v>1.879141441077864</v>
      </c>
      <c r="N10" s="255">
        <v>2.0377287319027029</v>
      </c>
      <c r="O10" s="255">
        <v>2.2862581266331858</v>
      </c>
      <c r="P10" s="255">
        <v>2.346516384427638</v>
      </c>
      <c r="Q10" s="255">
        <v>2.353295768453032</v>
      </c>
      <c r="R10" s="255">
        <v>2.8254489728626582</v>
      </c>
      <c r="S10" s="255">
        <v>2.4723381243024551</v>
      </c>
      <c r="T10" s="255">
        <v>2.3271119147088921</v>
      </c>
      <c r="U10" s="255">
        <v>2.384774804637309</v>
      </c>
      <c r="V10" s="255">
        <v>3.0047138236180522</v>
      </c>
      <c r="W10" s="255">
        <v>3.1100565587006681</v>
      </c>
      <c r="DA10" s="271" t="s">
        <v>1017</v>
      </c>
    </row>
    <row r="11" spans="1:105" x14ac:dyDescent="0.25">
      <c r="A11" s="254" t="s">
        <v>176</v>
      </c>
      <c r="B11" s="256">
        <v>4.8515545044169293E-2</v>
      </c>
      <c r="C11" s="256">
        <v>0.1049479243819606</v>
      </c>
      <c r="D11" s="256">
        <v>0.1377653591512713</v>
      </c>
      <c r="E11" s="256">
        <v>0.28076835424841701</v>
      </c>
      <c r="F11" s="256">
        <v>0.42835949303284071</v>
      </c>
      <c r="G11" s="256">
        <v>0.63197567697290624</v>
      </c>
      <c r="H11" s="256">
        <v>0.78151497424373473</v>
      </c>
      <c r="I11" s="256">
        <v>0.90095455404848368</v>
      </c>
      <c r="J11" s="256">
        <v>1.089516191697123</v>
      </c>
      <c r="K11" s="256">
        <v>1.3270664658383</v>
      </c>
      <c r="L11" s="256">
        <v>1.039097822395022</v>
      </c>
      <c r="M11" s="256">
        <v>0.89148378005652917</v>
      </c>
      <c r="N11" s="256">
        <v>0.92594125367839786</v>
      </c>
      <c r="O11" s="256">
        <v>0.82039392644101616</v>
      </c>
      <c r="P11" s="256">
        <v>0.58689862831556405</v>
      </c>
      <c r="Q11" s="256">
        <v>0.57435567280885025</v>
      </c>
      <c r="R11" s="256">
        <v>0.7406805230718646</v>
      </c>
      <c r="S11" s="256">
        <v>0.84935131338870495</v>
      </c>
      <c r="T11" s="256">
        <v>1.0234074962794319</v>
      </c>
      <c r="U11" s="256">
        <v>0.54206168167580548</v>
      </c>
      <c r="V11" s="256">
        <v>0.3642135321014342</v>
      </c>
      <c r="W11" s="256">
        <v>8.3783795166223016E-2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0.4037305971407294</v>
      </c>
      <c r="C15" s="256">
        <v>0.48318222783671821</v>
      </c>
      <c r="D15" s="256">
        <v>0.29635586759113669</v>
      </c>
      <c r="E15" s="256">
        <v>0.30609987140438327</v>
      </c>
      <c r="F15" s="256">
        <v>0.39392636077857962</v>
      </c>
      <c r="G15" s="256">
        <v>0.24771109454475179</v>
      </c>
      <c r="H15" s="256">
        <v>0.19437209267375799</v>
      </c>
      <c r="I15" s="256">
        <v>0.16734945336860521</v>
      </c>
      <c r="J15" s="256">
        <v>0.1544811866505727</v>
      </c>
      <c r="K15" s="256">
        <v>0.21744291302731</v>
      </c>
      <c r="L15" s="256">
        <v>0.27271439702322942</v>
      </c>
      <c r="M15" s="256">
        <v>0.53870938727084416</v>
      </c>
      <c r="N15" s="256">
        <v>0.32174180350803272</v>
      </c>
      <c r="O15" s="256">
        <v>0.33546943109259553</v>
      </c>
      <c r="P15" s="256">
        <v>0.33663575414560271</v>
      </c>
      <c r="Q15" s="256">
        <v>0.29973501806846281</v>
      </c>
      <c r="R15" s="256">
        <v>0.19238000098580341</v>
      </c>
      <c r="S15" s="256">
        <v>0.19874641399242951</v>
      </c>
      <c r="T15" s="256">
        <v>0.1776534797682299</v>
      </c>
      <c r="U15" s="256">
        <v>0.21480901913984801</v>
      </c>
      <c r="V15" s="256">
        <v>0.21807092829271069</v>
      </c>
      <c r="W15" s="256">
        <v>0.22368158473054059</v>
      </c>
      <c r="DA15" s="272" t="s">
        <v>1022</v>
      </c>
    </row>
    <row r="16" spans="1:105" x14ac:dyDescent="0.25">
      <c r="A16" s="257" t="s">
        <v>175</v>
      </c>
      <c r="B16" s="258">
        <v>1.6517752362773941</v>
      </c>
      <c r="C16" s="258">
        <v>1.8033000858841119</v>
      </c>
      <c r="D16" s="258">
        <v>1.7797981478167619</v>
      </c>
      <c r="E16" s="258">
        <v>1.9409731336514391</v>
      </c>
      <c r="F16" s="258">
        <v>1.945263031731254</v>
      </c>
      <c r="G16" s="258">
        <v>2.0240737859489251</v>
      </c>
      <c r="H16" s="258">
        <v>2.1128033750756172</v>
      </c>
      <c r="I16" s="258">
        <v>2.279422121876582</v>
      </c>
      <c r="J16" s="258">
        <v>2.3520531214573581</v>
      </c>
      <c r="K16" s="258">
        <v>2.680448430187663</v>
      </c>
      <c r="L16" s="258">
        <v>2.642810570614869</v>
      </c>
      <c r="M16" s="258">
        <v>2.1612886621359229</v>
      </c>
      <c r="N16" s="258">
        <v>2.2176835363058678</v>
      </c>
      <c r="O16" s="258">
        <v>2.3650110251849679</v>
      </c>
      <c r="P16" s="258">
        <v>2.290335544410568</v>
      </c>
      <c r="Q16" s="258">
        <v>2.2726071349315529</v>
      </c>
      <c r="R16" s="258">
        <v>2.6750254620668361</v>
      </c>
      <c r="S16" s="258">
        <v>2.4617058872707061</v>
      </c>
      <c r="T16" s="258">
        <v>2.4274709380022732</v>
      </c>
      <c r="U16" s="258">
        <v>2.2402565484400609</v>
      </c>
      <c r="V16" s="258">
        <v>2.624727328847023</v>
      </c>
      <c r="W16" s="258">
        <v>2.5541933203848628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1.8692001373923672</v>
      </c>
      <c r="C17" s="258">
        <f t="shared" ref="C17:W17" si="5">SUM(C18:C24)</f>
        <v>1.977881613529783</v>
      </c>
      <c r="D17" s="258">
        <f t="shared" si="5"/>
        <v>1.9586812725069065</v>
      </c>
      <c r="E17" s="258">
        <f t="shared" si="5"/>
        <v>2.1665851224128185</v>
      </c>
      <c r="F17" s="258">
        <f t="shared" si="5"/>
        <v>2.2101058308458561</v>
      </c>
      <c r="G17" s="258">
        <f t="shared" si="5"/>
        <v>2.342317276341471</v>
      </c>
      <c r="H17" s="258">
        <f t="shared" si="5"/>
        <v>2.4740414752267084</v>
      </c>
      <c r="I17" s="258">
        <f t="shared" si="5"/>
        <v>2.6820768474953356</v>
      </c>
      <c r="J17" s="258">
        <f t="shared" si="5"/>
        <v>2.810035873983034</v>
      </c>
      <c r="K17" s="258">
        <f t="shared" si="5"/>
        <v>3.2300501703830991</v>
      </c>
      <c r="L17" s="258">
        <f t="shared" si="5"/>
        <v>3.1130595170733701</v>
      </c>
      <c r="M17" s="258">
        <f t="shared" si="5"/>
        <v>2.5764563540843617</v>
      </c>
      <c r="N17" s="258">
        <f t="shared" si="5"/>
        <v>2.6330575624234571</v>
      </c>
      <c r="O17" s="258">
        <f t="shared" si="5"/>
        <v>2.7609454224015497</v>
      </c>
      <c r="P17" s="258">
        <f t="shared" si="5"/>
        <v>2.6193901299863822</v>
      </c>
      <c r="Q17" s="258">
        <f t="shared" si="5"/>
        <v>2.5958721967206291</v>
      </c>
      <c r="R17" s="258">
        <f t="shared" si="5"/>
        <v>3.0656016021857395</v>
      </c>
      <c r="S17" s="258">
        <f t="shared" si="5"/>
        <v>2.8648772658724044</v>
      </c>
      <c r="T17" s="258">
        <f t="shared" si="5"/>
        <v>2.8735670146009031</v>
      </c>
      <c r="U17" s="258">
        <f t="shared" si="5"/>
        <v>2.5500812099893699</v>
      </c>
      <c r="V17" s="258">
        <f t="shared" si="5"/>
        <v>2.922494500634063</v>
      </c>
      <c r="W17" s="258">
        <f t="shared" si="5"/>
        <v>2.7840901529417432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1025</v>
      </c>
    </row>
    <row r="20" spans="1:105" x14ac:dyDescent="0.25">
      <c r="A20" s="61" t="s">
        <v>173</v>
      </c>
      <c r="B20" s="55">
        <v>1.564028738049811</v>
      </c>
      <c r="C20" s="55">
        <v>1.8805578604270701</v>
      </c>
      <c r="D20" s="55">
        <v>1.8367251419259161</v>
      </c>
      <c r="E20" s="55">
        <v>1.9192126294331531</v>
      </c>
      <c r="F20" s="55">
        <v>1.825139003591157</v>
      </c>
      <c r="G20" s="55">
        <v>1.795558056731638</v>
      </c>
      <c r="H20" s="55">
        <v>1.8082869056327191</v>
      </c>
      <c r="I20" s="55">
        <v>1.922129197117133</v>
      </c>
      <c r="J20" s="55">
        <v>1.895203350414963</v>
      </c>
      <c r="K20" s="55">
        <v>2.1066756906145931</v>
      </c>
      <c r="L20" s="55">
        <v>2.2229952110558888</v>
      </c>
      <c r="M20" s="55">
        <v>1.7610168718550441</v>
      </c>
      <c r="N20" s="55">
        <v>1.8240558520037</v>
      </c>
      <c r="O20" s="55">
        <v>2.0447743122503348</v>
      </c>
      <c r="P20" s="55">
        <v>2.105406101814808</v>
      </c>
      <c r="Q20" s="55">
        <v>2.0964543534914659</v>
      </c>
      <c r="R20" s="55">
        <v>2.4410201724045861</v>
      </c>
      <c r="S20" s="55">
        <v>2.145468305250156</v>
      </c>
      <c r="T20" s="55">
        <v>2.0105484887869332</v>
      </c>
      <c r="U20" s="55">
        <v>2.0870516011659599</v>
      </c>
      <c r="V20" s="55">
        <v>2.6133097318505438</v>
      </c>
      <c r="W20" s="55">
        <v>2.7127593274435529</v>
      </c>
      <c r="DA20" s="101" t="s">
        <v>1026</v>
      </c>
    </row>
    <row r="21" spans="1:105" x14ac:dyDescent="0.25">
      <c r="A21" s="61" t="s">
        <v>129</v>
      </c>
      <c r="B21" s="55">
        <v>0.26538213567612778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3.9789263666428223E-2</v>
      </c>
      <c r="C22" s="55">
        <v>9.732375310271299E-2</v>
      </c>
      <c r="D22" s="55">
        <v>0.1219561305809905</v>
      </c>
      <c r="E22" s="55">
        <v>0.2473724929796656</v>
      </c>
      <c r="F22" s="55">
        <v>0.38496682725469911</v>
      </c>
      <c r="G22" s="55">
        <v>0.54675921960983309</v>
      </c>
      <c r="H22" s="55">
        <v>0.66575456959398915</v>
      </c>
      <c r="I22" s="55">
        <v>0.75994765037820267</v>
      </c>
      <c r="J22" s="55">
        <v>0.91483252356807099</v>
      </c>
      <c r="K22" s="55">
        <v>1.1233744797685059</v>
      </c>
      <c r="L22" s="55">
        <v>0.89006430601748132</v>
      </c>
      <c r="M22" s="55">
        <v>0.8154394822293175</v>
      </c>
      <c r="N22" s="55">
        <v>0.80900171041975721</v>
      </c>
      <c r="O22" s="55">
        <v>0.71617111015121504</v>
      </c>
      <c r="P22" s="55">
        <v>0.51398402817157407</v>
      </c>
      <c r="Q22" s="55">
        <v>0.49941784322916338</v>
      </c>
      <c r="R22" s="55">
        <v>0.62458142978115339</v>
      </c>
      <c r="S22" s="55">
        <v>0.71940896062224835</v>
      </c>
      <c r="T22" s="55">
        <v>0.86301852581397009</v>
      </c>
      <c r="U22" s="55">
        <v>0.4630296088234101</v>
      </c>
      <c r="V22" s="55">
        <v>0.30918476878351903</v>
      </c>
      <c r="W22" s="55">
        <v>7.1330825498190462E-2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0.22218166396413819</v>
      </c>
      <c r="C25" s="258">
        <v>0.24256339779701089</v>
      </c>
      <c r="D25" s="258">
        <v>0.23940213251617651</v>
      </c>
      <c r="E25" s="258">
        <v>0.26108191421749949</v>
      </c>
      <c r="F25" s="258">
        <v>0.26165895198430722</v>
      </c>
      <c r="G25" s="258">
        <v>0.27225985223137328</v>
      </c>
      <c r="H25" s="258">
        <v>0.28419494323046868</v>
      </c>
      <c r="I25" s="258">
        <v>0.30660696975732771</v>
      </c>
      <c r="J25" s="258">
        <v>0.31637662605669442</v>
      </c>
      <c r="K25" s="258">
        <v>0.36054935278684791</v>
      </c>
      <c r="L25" s="258">
        <v>0.35548665292050391</v>
      </c>
      <c r="M25" s="258">
        <v>0.29071673961065653</v>
      </c>
      <c r="N25" s="258">
        <v>0.29830246114645398</v>
      </c>
      <c r="O25" s="258">
        <v>0.3181196044889027</v>
      </c>
      <c r="P25" s="258">
        <v>0.30807494331988672</v>
      </c>
      <c r="Q25" s="258">
        <v>0.30569028018232669</v>
      </c>
      <c r="R25" s="258">
        <v>0.35981990482428772</v>
      </c>
      <c r="S25" s="258">
        <v>0.33112611099363182</v>
      </c>
      <c r="T25" s="258">
        <v>0.32652113942901939</v>
      </c>
      <c r="U25" s="258">
        <v>0.30133877582565971</v>
      </c>
      <c r="V25" s="258">
        <v>0.35305426099598219</v>
      </c>
      <c r="W25" s="258">
        <v>0.34356667272004832</v>
      </c>
      <c r="DA25" s="273" t="s">
        <v>1031</v>
      </c>
    </row>
    <row r="26" spans="1:105" x14ac:dyDescent="0.25">
      <c r="A26" s="257" t="s">
        <v>177</v>
      </c>
      <c r="B26" s="258">
        <v>0.22820540027824221</v>
      </c>
      <c r="C26" s="258">
        <v>0.26142431259178373</v>
      </c>
      <c r="D26" s="258">
        <v>0.22130827881981199</v>
      </c>
      <c r="E26" s="258">
        <v>0.23846689410964089</v>
      </c>
      <c r="F26" s="258">
        <v>0.26108260951991469</v>
      </c>
      <c r="G26" s="258">
        <v>0.2324488047559134</v>
      </c>
      <c r="H26" s="258">
        <v>0.2222448708692108</v>
      </c>
      <c r="I26" s="258">
        <v>0.22323571676147519</v>
      </c>
      <c r="J26" s="258">
        <v>0.22360220429310559</v>
      </c>
      <c r="K26" s="258">
        <v>0.27404426656250558</v>
      </c>
      <c r="L26" s="258">
        <v>0.28932036740927741</v>
      </c>
      <c r="M26" s="258">
        <v>0.31675852104474722</v>
      </c>
      <c r="N26" s="258">
        <v>0.27214067991754243</v>
      </c>
      <c r="O26" s="258">
        <v>0.28600572699801508</v>
      </c>
      <c r="P26" s="258">
        <v>0.27777158176493189</v>
      </c>
      <c r="Q26" s="258">
        <v>0.26595538149175341</v>
      </c>
      <c r="R26" s="258">
        <v>0.25732305706904912</v>
      </c>
      <c r="S26" s="258">
        <v>0.24750607614031109</v>
      </c>
      <c r="T26" s="258">
        <v>0.2381104795600878</v>
      </c>
      <c r="U26" s="258">
        <v>0.23601791450460449</v>
      </c>
      <c r="V26" s="258">
        <v>0.26155822828093089</v>
      </c>
      <c r="W26" s="258">
        <v>0.25678075080857299</v>
      </c>
      <c r="DA26" s="273" t="s">
        <v>1032</v>
      </c>
    </row>
    <row r="27" spans="1:105" x14ac:dyDescent="0.25">
      <c r="A27" s="129" t="s">
        <v>33</v>
      </c>
      <c r="B27" s="259">
        <v>0.34779980599438282</v>
      </c>
      <c r="C27" s="259">
        <v>0.39842757923685379</v>
      </c>
      <c r="D27" s="259">
        <v>0.33728814631307441</v>
      </c>
      <c r="E27" s="259">
        <v>0.36343898701035149</v>
      </c>
      <c r="F27" s="259">
        <v>0.39790680163054482</v>
      </c>
      <c r="G27" s="259">
        <v>0.35426702917266989</v>
      </c>
      <c r="H27" s="259">
        <v>0.33871557323934159</v>
      </c>
      <c r="I27" s="259">
        <v>0.34022568653499408</v>
      </c>
      <c r="J27" s="259">
        <v>0.34078423726273771</v>
      </c>
      <c r="K27" s="259">
        <v>0.41766120621204178</v>
      </c>
      <c r="L27" s="259">
        <v>0.44094297300800661</v>
      </c>
      <c r="M27" s="259">
        <v>0.48276049572931412</v>
      </c>
      <c r="N27" s="259">
        <v>0.41476001691062969</v>
      </c>
      <c r="O27" s="259">
        <v>0.43589124640305948</v>
      </c>
      <c r="P27" s="259">
        <v>0.42334187591881978</v>
      </c>
      <c r="Q27" s="259">
        <v>0.40533322162058011</v>
      </c>
      <c r="R27" s="259">
        <v>0.39217700026982982</v>
      </c>
      <c r="S27" s="259">
        <v>0.37721528569908508</v>
      </c>
      <c r="T27" s="259">
        <v>0.36289578815950502</v>
      </c>
      <c r="U27" s="259">
        <v>0.3597065835243809</v>
      </c>
      <c r="V27" s="259">
        <v>0.39863167541796191</v>
      </c>
      <c r="W27" s="259">
        <v>0.39135049041531661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0.99999999999999989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3.1498956314600673E-2</v>
      </c>
      <c r="C32" s="245">
        <f t="shared" si="8"/>
        <v>3.2862385264408836E-2</v>
      </c>
      <c r="D32" s="245">
        <f t="shared" si="8"/>
        <v>2.9178657416875045E-2</v>
      </c>
      <c r="E32" s="245">
        <f t="shared" si="8"/>
        <v>2.8672709344045904E-2</v>
      </c>
      <c r="F32" s="245">
        <f t="shared" si="8"/>
        <v>3.0435079437072608E-2</v>
      </c>
      <c r="G32" s="245">
        <f t="shared" si="8"/>
        <v>2.6587725001902273E-2</v>
      </c>
      <c r="H32" s="245">
        <f t="shared" si="8"/>
        <v>2.4533210113099571E-2</v>
      </c>
      <c r="I32" s="245">
        <f t="shared" si="8"/>
        <v>2.3012191383484218E-2</v>
      </c>
      <c r="J32" s="245">
        <f t="shared" si="8"/>
        <v>2.2216757881255329E-2</v>
      </c>
      <c r="K32" s="245">
        <f t="shared" si="8"/>
        <v>2.3530233935614521E-2</v>
      </c>
      <c r="L32" s="245">
        <f t="shared" si="8"/>
        <v>2.5282665066903916E-2</v>
      </c>
      <c r="M32" s="245">
        <f t="shared" si="8"/>
        <v>3.1715570855415785E-2</v>
      </c>
      <c r="N32" s="245">
        <f t="shared" si="8"/>
        <v>2.7653414882193583E-2</v>
      </c>
      <c r="O32" s="245">
        <f t="shared" si="8"/>
        <v>2.7595147105688018E-2</v>
      </c>
      <c r="P32" s="245">
        <f t="shared" si="8"/>
        <v>2.7988077776798646E-2</v>
      </c>
      <c r="Q32" s="245">
        <f t="shared" si="8"/>
        <v>2.7207923644151498E-2</v>
      </c>
      <c r="R32" s="245">
        <f t="shared" si="8"/>
        <v>2.3030251025565704E-2</v>
      </c>
      <c r="S32" s="245">
        <f t="shared" si="8"/>
        <v>2.3696444246354326E-2</v>
      </c>
      <c r="T32" s="245">
        <f t="shared" si="8"/>
        <v>2.2957858017017902E-2</v>
      </c>
      <c r="U32" s="245">
        <f t="shared" si="8"/>
        <v>2.4987110873746634E-2</v>
      </c>
      <c r="V32" s="245">
        <f t="shared" si="8"/>
        <v>2.4156435693361813E-2</v>
      </c>
      <c r="W32" s="245">
        <f t="shared" si="8"/>
        <v>2.4649940090889107E-2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2.0302908818476018E-2</v>
      </c>
      <c r="C33" s="246">
        <f t="shared" si="9"/>
        <v>2.1181718051770989E-2</v>
      </c>
      <c r="D33" s="246">
        <f t="shared" si="9"/>
        <v>1.8807341267550615E-2</v>
      </c>
      <c r="E33" s="246">
        <f t="shared" si="9"/>
        <v>1.8481228316793181E-2</v>
      </c>
      <c r="F33" s="246">
        <f t="shared" si="9"/>
        <v>1.9617178312906068E-2</v>
      </c>
      <c r="G33" s="246">
        <f t="shared" si="9"/>
        <v>1.7137334679057935E-2</v>
      </c>
      <c r="H33" s="246">
        <f t="shared" si="9"/>
        <v>1.5813080375615254E-2</v>
      </c>
      <c r="I33" s="246">
        <f t="shared" si="9"/>
        <v>1.4832695366342416E-2</v>
      </c>
      <c r="J33" s="246">
        <f t="shared" si="9"/>
        <v>1.4319992224510752E-2</v>
      </c>
      <c r="K33" s="246">
        <f t="shared" si="9"/>
        <v>1.5166603912230237E-2</v>
      </c>
      <c r="L33" s="246">
        <f t="shared" si="9"/>
        <v>1.6296147669612925E-2</v>
      </c>
      <c r="M33" s="246">
        <f t="shared" si="9"/>
        <v>2.0442529484856215E-2</v>
      </c>
      <c r="N33" s="246">
        <f t="shared" si="9"/>
        <v>1.7824233770323949E-2</v>
      </c>
      <c r="O33" s="246">
        <f t="shared" si="9"/>
        <v>1.778667680044747E-2</v>
      </c>
      <c r="P33" s="246">
        <f t="shared" si="9"/>
        <v>1.8039943464519266E-2</v>
      </c>
      <c r="Q33" s="246">
        <f t="shared" si="9"/>
        <v>1.7537088764785914E-2</v>
      </c>
      <c r="R33" s="246">
        <f t="shared" si="9"/>
        <v>1.4844335855722852E-2</v>
      </c>
      <c r="S33" s="246">
        <f t="shared" si="9"/>
        <v>1.5273736121625903E-2</v>
      </c>
      <c r="T33" s="246">
        <f t="shared" si="9"/>
        <v>1.4797674352498385E-2</v>
      </c>
      <c r="U33" s="246">
        <f t="shared" si="9"/>
        <v>1.6105645807435065E-2</v>
      </c>
      <c r="V33" s="246">
        <f t="shared" si="9"/>
        <v>1.5570227354941551E-2</v>
      </c>
      <c r="W33" s="246">
        <f t="shared" si="9"/>
        <v>1.5888319633442526E-2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4.0346594816261294E-2</v>
      </c>
      <c r="C34" s="246">
        <f t="shared" si="10"/>
        <v>4.2092992850826412E-2</v>
      </c>
      <c r="D34" s="246">
        <f t="shared" si="10"/>
        <v>3.7374554773278681E-2</v>
      </c>
      <c r="E34" s="246">
        <f t="shared" si="10"/>
        <v>3.6726492606119078E-2</v>
      </c>
      <c r="F34" s="246">
        <f t="shared" si="10"/>
        <v>3.8983889052828825E-2</v>
      </c>
      <c r="G34" s="246">
        <f t="shared" si="10"/>
        <v>3.4055863852247473E-2</v>
      </c>
      <c r="H34" s="246">
        <f t="shared" si="10"/>
        <v>3.1424263016505624E-2</v>
      </c>
      <c r="I34" s="246">
        <f t="shared" si="10"/>
        <v>2.9476010325882696E-2</v>
      </c>
      <c r="J34" s="246">
        <f t="shared" si="10"/>
        <v>2.8457150116764203E-2</v>
      </c>
      <c r="K34" s="246">
        <f t="shared" si="10"/>
        <v>3.0139564150956422E-2</v>
      </c>
      <c r="L34" s="246">
        <f t="shared" si="10"/>
        <v>3.238422991357285E-2</v>
      </c>
      <c r="M34" s="246">
        <f t="shared" si="10"/>
        <v>4.0624053504806065E-2</v>
      </c>
      <c r="N34" s="246">
        <f t="shared" si="10"/>
        <v>3.5420891866841504E-2</v>
      </c>
      <c r="O34" s="246">
        <f t="shared" si="10"/>
        <v>3.5346257445750373E-2</v>
      </c>
      <c r="P34" s="246">
        <f t="shared" si="10"/>
        <v>3.5849557123995075E-2</v>
      </c>
      <c r="Q34" s="246">
        <f t="shared" si="10"/>
        <v>3.485026805645363E-2</v>
      </c>
      <c r="R34" s="246">
        <f t="shared" si="10"/>
        <v>2.9499142681580808E-2</v>
      </c>
      <c r="S34" s="246">
        <f t="shared" si="10"/>
        <v>3.035246073059944E-2</v>
      </c>
      <c r="T34" s="246">
        <f t="shared" si="10"/>
        <v>2.9406415438359274E-2</v>
      </c>
      <c r="U34" s="246">
        <f t="shared" si="10"/>
        <v>3.2005658472714166E-2</v>
      </c>
      <c r="V34" s="246">
        <f t="shared" si="10"/>
        <v>3.0941657666078676E-2</v>
      </c>
      <c r="W34" s="246">
        <f t="shared" si="10"/>
        <v>3.1573780894804435E-2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0.31667320749910632</v>
      </c>
      <c r="C35" s="247">
        <f t="shared" si="11"/>
        <v>0.32003967610253142</v>
      </c>
      <c r="D35" s="247">
        <f t="shared" si="11"/>
        <v>0.32152951695275223</v>
      </c>
      <c r="E35" s="247">
        <f t="shared" si="11"/>
        <v>0.32347612881837889</v>
      </c>
      <c r="F35" s="247">
        <f t="shared" si="11"/>
        <v>0.32419328029292116</v>
      </c>
      <c r="G35" s="247">
        <f t="shared" si="11"/>
        <v>0.32954029197191309</v>
      </c>
      <c r="H35" s="247">
        <f t="shared" si="11"/>
        <v>0.33362088894889147</v>
      </c>
      <c r="I35" s="247">
        <f t="shared" si="11"/>
        <v>0.33656645741870772</v>
      </c>
      <c r="J35" s="247">
        <f t="shared" si="11"/>
        <v>0.33962463906551932</v>
      </c>
      <c r="K35" s="247">
        <f t="shared" si="11"/>
        <v>0.33832662160100768</v>
      </c>
      <c r="L35" s="247">
        <f t="shared" si="11"/>
        <v>0.33317778860667091</v>
      </c>
      <c r="M35" s="247">
        <f t="shared" si="11"/>
        <v>0.3285743449200505</v>
      </c>
      <c r="N35" s="247">
        <f t="shared" si="11"/>
        <v>0.33105020297277249</v>
      </c>
      <c r="O35" s="247">
        <f t="shared" si="11"/>
        <v>0.32933123397090536</v>
      </c>
      <c r="P35" s="247">
        <f t="shared" si="11"/>
        <v>0.32672961323642435</v>
      </c>
      <c r="Q35" s="247">
        <f t="shared" si="11"/>
        <v>0.32740577355540296</v>
      </c>
      <c r="R35" s="247">
        <f t="shared" si="11"/>
        <v>0.33356798752806127</v>
      </c>
      <c r="S35" s="247">
        <f t="shared" si="11"/>
        <v>0.33422774329258631</v>
      </c>
      <c r="T35" s="247">
        <f t="shared" si="11"/>
        <v>0.33732727502850895</v>
      </c>
      <c r="U35" s="247">
        <f t="shared" si="11"/>
        <v>0.32982000780974036</v>
      </c>
      <c r="V35" s="247">
        <f t="shared" si="11"/>
        <v>0.32850681189792647</v>
      </c>
      <c r="W35" s="247">
        <f t="shared" si="11"/>
        <v>0.32532201854490095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0.22608405861809416</v>
      </c>
      <c r="C36" s="260">
        <f t="shared" si="12"/>
        <v>0.22478630829493718</v>
      </c>
      <c r="D36" s="260">
        <f t="shared" si="12"/>
        <v>0.23269504652305945</v>
      </c>
      <c r="E36" s="260">
        <f t="shared" si="12"/>
        <v>0.23142427104678084</v>
      </c>
      <c r="F36" s="260">
        <f t="shared" si="12"/>
        <v>0.22486588457515938</v>
      </c>
      <c r="G36" s="260">
        <f t="shared" si="12"/>
        <v>0.22957730029952855</v>
      </c>
      <c r="H36" s="260">
        <f t="shared" si="12"/>
        <v>0.23127594113974057</v>
      </c>
      <c r="I36" s="260">
        <f t="shared" si="12"/>
        <v>0.23300637230240606</v>
      </c>
      <c r="J36" s="260">
        <f t="shared" si="12"/>
        <v>0.23173971636464308</v>
      </c>
      <c r="K36" s="260">
        <f t="shared" si="12"/>
        <v>0.22822421612477356</v>
      </c>
      <c r="L36" s="260">
        <f t="shared" si="12"/>
        <v>0.22901220171313641</v>
      </c>
      <c r="M36" s="260">
        <f t="shared" si="12"/>
        <v>0.21458815453136071</v>
      </c>
      <c r="N36" s="260">
        <f t="shared" si="12"/>
        <v>0.22346196822620445</v>
      </c>
      <c r="O36" s="260">
        <f t="shared" si="12"/>
        <v>0.22627673162078873</v>
      </c>
      <c r="P36" s="260">
        <f t="shared" si="12"/>
        <v>0.22884062051393417</v>
      </c>
      <c r="Q36" s="260">
        <f t="shared" si="12"/>
        <v>0.23054713353236916</v>
      </c>
      <c r="R36" s="260">
        <f t="shared" si="12"/>
        <v>0.23740870169387573</v>
      </c>
      <c r="S36" s="260">
        <f t="shared" si="12"/>
        <v>0.23371265320999551</v>
      </c>
      <c r="T36" s="260">
        <f t="shared" si="12"/>
        <v>0.23208957783007542</v>
      </c>
      <c r="U36" s="260">
        <f t="shared" si="12"/>
        <v>0.23518930796611021</v>
      </c>
      <c r="V36" s="260">
        <f t="shared" si="12"/>
        <v>0.24037948686622901</v>
      </c>
      <c r="W36" s="260">
        <f t="shared" si="12"/>
        <v>0.24313971985283772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0.25584373960198792</v>
      </c>
      <c r="C37" s="260">
        <f t="shared" si="13"/>
        <v>0.24654837518727074</v>
      </c>
      <c r="D37" s="260">
        <f t="shared" si="13"/>
        <v>0.2560826520630608</v>
      </c>
      <c r="E37" s="260">
        <f t="shared" si="13"/>
        <v>0.25832422609164701</v>
      </c>
      <c r="F37" s="260">
        <f t="shared" si="13"/>
        <v>0.2554808242130468</v>
      </c>
      <c r="G37" s="260">
        <f t="shared" si="13"/>
        <v>0.26567355423523525</v>
      </c>
      <c r="H37" s="260">
        <f t="shared" si="13"/>
        <v>0.27081851408976032</v>
      </c>
      <c r="I37" s="260">
        <f t="shared" si="13"/>
        <v>0.27416641721308993</v>
      </c>
      <c r="J37" s="260">
        <f t="shared" si="13"/>
        <v>0.27686318411372079</v>
      </c>
      <c r="K37" s="260">
        <f t="shared" si="13"/>
        <v>0.27501953026858383</v>
      </c>
      <c r="L37" s="260">
        <f t="shared" si="13"/>
        <v>0.26976152660958125</v>
      </c>
      <c r="M37" s="260">
        <f t="shared" si="13"/>
        <v>0.25580896431815497</v>
      </c>
      <c r="N37" s="260">
        <f t="shared" si="13"/>
        <v>0.26531658630254906</v>
      </c>
      <c r="O37" s="260">
        <f t="shared" si="13"/>
        <v>0.26415847525088804</v>
      </c>
      <c r="P37" s="260">
        <f t="shared" si="13"/>
        <v>0.26171836007916627</v>
      </c>
      <c r="Q37" s="260">
        <f t="shared" si="13"/>
        <v>0.26334111372414587</v>
      </c>
      <c r="R37" s="260">
        <f t="shared" si="13"/>
        <v>0.27207236215361208</v>
      </c>
      <c r="S37" s="260">
        <f t="shared" si="13"/>
        <v>0.27198946486266751</v>
      </c>
      <c r="T37" s="260">
        <f t="shared" si="13"/>
        <v>0.27474065491140776</v>
      </c>
      <c r="U37" s="260">
        <f t="shared" si="13"/>
        <v>0.26771569329968081</v>
      </c>
      <c r="V37" s="260">
        <f t="shared" si="13"/>
        <v>0.26764979383225546</v>
      </c>
      <c r="W37" s="260">
        <f t="shared" si="13"/>
        <v>0.26502414458170365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3.0410755190119678E-2</v>
      </c>
      <c r="C38" s="260">
        <f t="shared" si="14"/>
        <v>3.0236193712337232E-2</v>
      </c>
      <c r="D38" s="260">
        <f t="shared" si="14"/>
        <v>3.130000468418663E-2</v>
      </c>
      <c r="E38" s="260">
        <f t="shared" si="14"/>
        <v>3.1129071615544249E-2</v>
      </c>
      <c r="F38" s="260">
        <f t="shared" si="14"/>
        <v>3.0246897584125337E-2</v>
      </c>
      <c r="G38" s="260">
        <f t="shared" si="14"/>
        <v>3.0880634040682385E-2</v>
      </c>
      <c r="H38" s="260">
        <f t="shared" si="14"/>
        <v>3.1109119636099313E-2</v>
      </c>
      <c r="I38" s="260">
        <f t="shared" si="14"/>
        <v>3.1341881374290094E-2</v>
      </c>
      <c r="J38" s="260">
        <f t="shared" si="14"/>
        <v>3.1171502428207518E-2</v>
      </c>
      <c r="K38" s="260">
        <f t="shared" si="14"/>
        <v>3.0698629560394791E-2</v>
      </c>
      <c r="L38" s="260">
        <f t="shared" si="14"/>
        <v>3.080462215875629E-2</v>
      </c>
      <c r="M38" s="260">
        <f t="shared" si="14"/>
        <v>2.8864431548339647E-2</v>
      </c>
      <c r="N38" s="260">
        <f t="shared" si="14"/>
        <v>3.0058055625712007E-2</v>
      </c>
      <c r="O38" s="260">
        <f t="shared" si="14"/>
        <v>3.0436671796325806E-2</v>
      </c>
      <c r="P38" s="260">
        <f t="shared" si="14"/>
        <v>3.078154262862021E-2</v>
      </c>
      <c r="Q38" s="260">
        <f t="shared" si="14"/>
        <v>3.10110871172922E-2</v>
      </c>
      <c r="R38" s="260">
        <f t="shared" si="14"/>
        <v>3.1934042370552113E-2</v>
      </c>
      <c r="S38" s="260">
        <f t="shared" si="14"/>
        <v>3.1436883807931117E-2</v>
      </c>
      <c r="T38" s="260">
        <f t="shared" si="14"/>
        <v>3.1218562585570011E-2</v>
      </c>
      <c r="U38" s="260">
        <f t="shared" si="14"/>
        <v>3.1635509870126796E-2</v>
      </c>
      <c r="V38" s="260">
        <f t="shared" si="14"/>
        <v>3.2333645160554578E-2</v>
      </c>
      <c r="W38" s="260">
        <f t="shared" si="14"/>
        <v>3.2704926400534642E-2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3.1235244336116977E-2</v>
      </c>
      <c r="C39" s="260">
        <f t="shared" si="15"/>
        <v>3.2587258541186138E-2</v>
      </c>
      <c r="D39" s="260">
        <f t="shared" si="15"/>
        <v>2.8934371180847102E-2</v>
      </c>
      <c r="E39" s="260">
        <f t="shared" si="15"/>
        <v>2.8432658948912597E-2</v>
      </c>
      <c r="F39" s="260">
        <f t="shared" si="15"/>
        <v>3.0180274327547787E-2</v>
      </c>
      <c r="G39" s="260">
        <f t="shared" si="15"/>
        <v>2.6365130275473766E-2</v>
      </c>
      <c r="H39" s="260">
        <f t="shared" si="15"/>
        <v>2.4327815962485028E-2</v>
      </c>
      <c r="I39" s="260">
        <f t="shared" si="15"/>
        <v>2.2819531332834497E-2</v>
      </c>
      <c r="J39" s="260">
        <f t="shared" si="15"/>
        <v>2.2030757268478088E-2</v>
      </c>
      <c r="K39" s="260">
        <f t="shared" si="15"/>
        <v>2.3333236788046521E-2</v>
      </c>
      <c r="L39" s="260">
        <f t="shared" si="15"/>
        <v>2.5070996414789121E-2</v>
      </c>
      <c r="M39" s="260">
        <f t="shared" si="15"/>
        <v>3.1450045361317271E-2</v>
      </c>
      <c r="N39" s="260">
        <f t="shared" si="15"/>
        <v>2.7421898108190703E-2</v>
      </c>
      <c r="O39" s="260">
        <f t="shared" si="15"/>
        <v>2.7364118154534586E-2</v>
      </c>
      <c r="P39" s="260">
        <f t="shared" si="15"/>
        <v>2.7753759176183491E-2</v>
      </c>
      <c r="Q39" s="260">
        <f t="shared" si="15"/>
        <v>2.6980136561209102E-2</v>
      </c>
      <c r="R39" s="260">
        <f t="shared" si="15"/>
        <v>2.2837439778035162E-2</v>
      </c>
      <c r="S39" s="260">
        <f t="shared" si="15"/>
        <v>2.3498055571732158E-2</v>
      </c>
      <c r="T39" s="260">
        <f t="shared" si="15"/>
        <v>2.2765652849997511E-2</v>
      </c>
      <c r="U39" s="260">
        <f t="shared" si="15"/>
        <v>2.4777916626823181E-2</v>
      </c>
      <c r="V39" s="260">
        <f t="shared" si="15"/>
        <v>2.3954195930679319E-2</v>
      </c>
      <c r="W39" s="260">
        <f t="shared" si="15"/>
        <v>2.4443568666834645E-2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4.7604534805237034E-2</v>
      </c>
      <c r="C40" s="262">
        <f t="shared" si="16"/>
        <v>4.9665091994731105E-2</v>
      </c>
      <c r="D40" s="262">
        <f t="shared" si="16"/>
        <v>4.4097855138389402E-2</v>
      </c>
      <c r="E40" s="262">
        <f t="shared" si="16"/>
        <v>4.3333213211778188E-2</v>
      </c>
      <c r="F40" s="262">
        <f t="shared" si="16"/>
        <v>4.5996692204392002E-2</v>
      </c>
      <c r="G40" s="262">
        <f t="shared" si="16"/>
        <v>4.0182165643959468E-2</v>
      </c>
      <c r="H40" s="262">
        <f t="shared" si="16"/>
        <v>3.7077166717802965E-2</v>
      </c>
      <c r="I40" s="262">
        <f t="shared" si="16"/>
        <v>3.477844328296241E-2</v>
      </c>
      <c r="J40" s="262">
        <f t="shared" si="16"/>
        <v>3.3576300536900874E-2</v>
      </c>
      <c r="K40" s="262">
        <f t="shared" si="16"/>
        <v>3.5561363658392443E-2</v>
      </c>
      <c r="L40" s="262">
        <f t="shared" si="16"/>
        <v>3.8209821846976202E-2</v>
      </c>
      <c r="M40" s="262">
        <f t="shared" si="16"/>
        <v>4.7931905475698706E-2</v>
      </c>
      <c r="N40" s="262">
        <f t="shared" si="16"/>
        <v>4.1792748245212251E-2</v>
      </c>
      <c r="O40" s="262">
        <f t="shared" si="16"/>
        <v>4.1704687854671699E-2</v>
      </c>
      <c r="P40" s="262">
        <f t="shared" si="16"/>
        <v>4.2298526000358494E-2</v>
      </c>
      <c r="Q40" s="262">
        <f t="shared" si="16"/>
        <v>4.111947504418962E-2</v>
      </c>
      <c r="R40" s="262">
        <f t="shared" si="16"/>
        <v>3.4805736912994205E-2</v>
      </c>
      <c r="S40" s="262">
        <f t="shared" si="16"/>
        <v>3.5812558156507746E-2</v>
      </c>
      <c r="T40" s="262">
        <f t="shared" si="16"/>
        <v>3.4696328986564835E-2</v>
      </c>
      <c r="U40" s="262">
        <f t="shared" si="16"/>
        <v>3.776314927362278E-2</v>
      </c>
      <c r="V40" s="262">
        <f t="shared" si="16"/>
        <v>3.6507745597973193E-2</v>
      </c>
      <c r="W40" s="262">
        <f t="shared" si="16"/>
        <v>3.7253581334052356E-2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0.39318406587440313</v>
      </c>
      <c r="C44" s="238">
        <f>IF(C$5=0,0,C$5/AGR_fec!C$5)</f>
        <v>0.39835017474731521</v>
      </c>
      <c r="D44" s="238">
        <f>IF(D$5=0,0,D$5/AGR_fec!D$5)</f>
        <v>0.39306587339252569</v>
      </c>
      <c r="E44" s="238">
        <f>IF(E$5=0,0,E$5/AGR_fec!E$5)</f>
        <v>0.39363552881450975</v>
      </c>
      <c r="F44" s="238">
        <f>IF(F$5=0,0,F$5/AGR_fec!F$5)</f>
        <v>0.39744508624839348</v>
      </c>
      <c r="G44" s="238">
        <f>IF(G$5=0,0,G$5/AGR_fec!G$5)</f>
        <v>0.39413039201337169</v>
      </c>
      <c r="H44" s="238">
        <f>IF(H$5=0,0,H$5/AGR_fec!H$5)</f>
        <v>0.39296861868731003</v>
      </c>
      <c r="I44" s="238">
        <f>IF(I$5=0,0,I$5/AGR_fec!I$5)</f>
        <v>0.39196563089806835</v>
      </c>
      <c r="J44" s="238">
        <f>IF(J$5=0,0,J$5/AGR_fec!J$5)</f>
        <v>0.39243722435755374</v>
      </c>
      <c r="K44" s="238">
        <f>IF(K$5=0,0,K$5/AGR_fec!K$5)</f>
        <v>0.39417208216850586</v>
      </c>
      <c r="L44" s="238">
        <f>IF(L$5=0,0,L$5/AGR_fec!L$5)</f>
        <v>0.3941391763961134</v>
      </c>
      <c r="M44" s="238">
        <f>IF(M$5=0,0,M$5/AGR_fec!M$5)</f>
        <v>0.40290242788485919</v>
      </c>
      <c r="N44" s="238">
        <f>IF(N$5=0,0,N$5/AGR_fec!N$5)</f>
        <v>0.39723619088242007</v>
      </c>
      <c r="O44" s="238">
        <f>IF(O$5=0,0,O$5/AGR_fec!O$5)</f>
        <v>0.39592284688814472</v>
      </c>
      <c r="P44" s="238">
        <f>IF(P$5=0,0,P$5/AGR_fec!P$5)</f>
        <v>0.39478914283479993</v>
      </c>
      <c r="Q44" s="238">
        <f>IF(Q$5=0,0,Q$5/AGR_fec!Q$5)</f>
        <v>0.39378474252071372</v>
      </c>
      <c r="R44" s="238">
        <f>IF(R$5=0,0,R$5/AGR_fec!R$5)</f>
        <v>0.38990079347171952</v>
      </c>
      <c r="S44" s="238">
        <f>IF(S$5=0,0,S$5/AGR_fec!S$5)</f>
        <v>0.39172077682171591</v>
      </c>
      <c r="T44" s="238">
        <f>IF(T$5=0,0,T$5/AGR_fec!T$5)</f>
        <v>0.39237471327444301</v>
      </c>
      <c r="U44" s="238">
        <f>IF(U$5=0,0,U$5/AGR_fec!U$5)</f>
        <v>0.39116270965840605</v>
      </c>
      <c r="V44" s="238">
        <f>IF(V$5=0,0,V$5/AGR_fec!V$5)</f>
        <v>0.38848730032683376</v>
      </c>
      <c r="W44" s="238">
        <f>IF(W$5=0,0,W$5/AGR_fec!W$5)</f>
        <v>0.38704928583626796</v>
      </c>
      <c r="DA44" s="287"/>
    </row>
    <row r="45" spans="1:105" x14ac:dyDescent="0.25">
      <c r="A45" s="239" t="s">
        <v>125</v>
      </c>
      <c r="B45" s="251">
        <f>IF(B$6=0,0,B$6/AGR_fec!B$6)</f>
        <v>0.47711054837291322</v>
      </c>
      <c r="C45" s="251">
        <f>IF(C$6=0,0,C$6/AGR_fec!C$6)</f>
        <v>0.47711054837291328</v>
      </c>
      <c r="D45" s="251">
        <f>IF(D$6=0,0,D$6/AGR_fec!D$6)</f>
        <v>0.47711054837291328</v>
      </c>
      <c r="E45" s="251">
        <f>IF(E$6=0,0,E$6/AGR_fec!E$6)</f>
        <v>0.47711054837291322</v>
      </c>
      <c r="F45" s="251">
        <f>IF(F$6=0,0,F$6/AGR_fec!F$6)</f>
        <v>0.47711054837291322</v>
      </c>
      <c r="G45" s="251">
        <f>IF(G$6=0,0,G$6/AGR_fec!G$6)</f>
        <v>0.47711054837291322</v>
      </c>
      <c r="H45" s="251">
        <f>IF(H$6=0,0,H$6/AGR_fec!H$6)</f>
        <v>0.47711054837291328</v>
      </c>
      <c r="I45" s="251">
        <f>IF(I$6=0,0,I$6/AGR_fec!I$6)</f>
        <v>0.47711054837291317</v>
      </c>
      <c r="J45" s="251">
        <f>IF(J$6=0,0,J$6/AGR_fec!J$6)</f>
        <v>0.47711054837291322</v>
      </c>
      <c r="K45" s="251">
        <f>IF(K$6=0,0,K$6/AGR_fec!K$6)</f>
        <v>0.47711054837291328</v>
      </c>
      <c r="L45" s="251">
        <f>IF(L$6=0,0,L$6/AGR_fec!L$6)</f>
        <v>0.47711054837291333</v>
      </c>
      <c r="M45" s="251">
        <f>IF(M$6=0,0,M$6/AGR_fec!M$6)</f>
        <v>0.47711054837291333</v>
      </c>
      <c r="N45" s="251">
        <f>IF(N$6=0,0,N$6/AGR_fec!N$6)</f>
        <v>0.47711054837291322</v>
      </c>
      <c r="O45" s="251">
        <f>IF(O$6=0,0,O$6/AGR_fec!O$6)</f>
        <v>0.47711054837291328</v>
      </c>
      <c r="P45" s="251">
        <f>IF(P$6=0,0,P$6/AGR_fec!P$6)</f>
        <v>0.47711054837291317</v>
      </c>
      <c r="Q45" s="251">
        <f>IF(Q$6=0,0,Q$6/AGR_fec!Q$6)</f>
        <v>0.47711054837291328</v>
      </c>
      <c r="R45" s="251">
        <f>IF(R$6=0,0,R$6/AGR_fec!R$6)</f>
        <v>0.47711054837291328</v>
      </c>
      <c r="S45" s="251">
        <f>IF(S$6=0,0,S$6/AGR_fec!S$6)</f>
        <v>0.47711054837291333</v>
      </c>
      <c r="T45" s="251">
        <f>IF(T$6=0,0,T$6/AGR_fec!T$6)</f>
        <v>0.47711054837291322</v>
      </c>
      <c r="U45" s="251">
        <f>IF(U$6=0,0,U$6/AGR_fec!U$6)</f>
        <v>0.47711054837291339</v>
      </c>
      <c r="V45" s="251">
        <f>IF(V$6=0,0,V$6/AGR_fec!V$6)</f>
        <v>0.47711054837291339</v>
      </c>
      <c r="W45" s="251">
        <f>IF(W$6=0,0,W$6/AGR_fec!W$6)</f>
        <v>0.47711054837291333</v>
      </c>
      <c r="DA45" s="288"/>
    </row>
    <row r="46" spans="1:105" x14ac:dyDescent="0.25">
      <c r="A46" s="241" t="s">
        <v>124</v>
      </c>
      <c r="B46" s="252">
        <f>IF(B$7=0,0,B$7/AGR_fec!B$7)</f>
        <v>0.47311613771974037</v>
      </c>
      <c r="C46" s="252">
        <f>IF(C$7=0,0,C$7/AGR_fec!C$7)</f>
        <v>0.47311613771974048</v>
      </c>
      <c r="D46" s="252">
        <f>IF(D$7=0,0,D$7/AGR_fec!D$7)</f>
        <v>0.47311613771974048</v>
      </c>
      <c r="E46" s="252">
        <f>IF(E$7=0,0,E$7/AGR_fec!E$7)</f>
        <v>0.47311613771974037</v>
      </c>
      <c r="F46" s="252">
        <f>IF(F$7=0,0,F$7/AGR_fec!F$7)</f>
        <v>0.47311613771974059</v>
      </c>
      <c r="G46" s="252">
        <f>IF(G$7=0,0,G$7/AGR_fec!G$7)</f>
        <v>0.47311613771974054</v>
      </c>
      <c r="H46" s="252">
        <f>IF(H$7=0,0,H$7/AGR_fec!H$7)</f>
        <v>0.47311613771974037</v>
      </c>
      <c r="I46" s="252">
        <f>IF(I$7=0,0,I$7/AGR_fec!I$7)</f>
        <v>0.47311613771974032</v>
      </c>
      <c r="J46" s="252">
        <f>IF(J$7=0,0,J$7/AGR_fec!J$7)</f>
        <v>0.4731161377197402</v>
      </c>
      <c r="K46" s="252">
        <f>IF(K$7=0,0,K$7/AGR_fec!K$7)</f>
        <v>0.47311613771974043</v>
      </c>
      <c r="L46" s="252">
        <f>IF(L$7=0,0,L$7/AGR_fec!L$7)</f>
        <v>0.47311613771974043</v>
      </c>
      <c r="M46" s="252">
        <f>IF(M$7=0,0,M$7/AGR_fec!M$7)</f>
        <v>0.47311613771974026</v>
      </c>
      <c r="N46" s="252">
        <f>IF(N$7=0,0,N$7/AGR_fec!N$7)</f>
        <v>0.47311613771974043</v>
      </c>
      <c r="O46" s="252">
        <f>IF(O$7=0,0,O$7/AGR_fec!O$7)</f>
        <v>0.47311613771974043</v>
      </c>
      <c r="P46" s="252">
        <f>IF(P$7=0,0,P$7/AGR_fec!P$7)</f>
        <v>0.47311613771974032</v>
      </c>
      <c r="Q46" s="252">
        <f>IF(Q$7=0,0,Q$7/AGR_fec!Q$7)</f>
        <v>0.47311613771974048</v>
      </c>
      <c r="R46" s="252">
        <f>IF(R$7=0,0,R$7/AGR_fec!R$7)</f>
        <v>0.47311613771974054</v>
      </c>
      <c r="S46" s="252">
        <f>IF(S$7=0,0,S$7/AGR_fec!S$7)</f>
        <v>0.47311613771974054</v>
      </c>
      <c r="T46" s="252">
        <f>IF(T$7=0,0,T$7/AGR_fec!T$7)</f>
        <v>0.47311613771974059</v>
      </c>
      <c r="U46" s="252">
        <f>IF(U$7=0,0,U$7/AGR_fec!U$7)</f>
        <v>0.47311613771974065</v>
      </c>
      <c r="V46" s="252">
        <f>IF(V$7=0,0,V$7/AGR_fec!V$7)</f>
        <v>0.47311613771974037</v>
      </c>
      <c r="W46" s="252">
        <f>IF(W$7=0,0,W$7/AGR_fec!W$7)</f>
        <v>0.47311613771974054</v>
      </c>
      <c r="DA46" s="289"/>
    </row>
    <row r="47" spans="1:105" x14ac:dyDescent="0.25">
      <c r="A47" s="241" t="s">
        <v>123</v>
      </c>
      <c r="B47" s="252">
        <f>IF(B$8=0,0,B$8/AGR_fec!B$8)</f>
        <v>0.67902729451682176</v>
      </c>
      <c r="C47" s="252">
        <f>IF(C$8=0,0,C$8/AGR_fec!C$8)</f>
        <v>0.67902729451682187</v>
      </c>
      <c r="D47" s="252">
        <f>IF(D$8=0,0,D$8/AGR_fec!D$8)</f>
        <v>0.67902729451682187</v>
      </c>
      <c r="E47" s="252">
        <f>IF(E$8=0,0,E$8/AGR_fec!E$8)</f>
        <v>0.67902729451682198</v>
      </c>
      <c r="F47" s="252">
        <f>IF(F$8=0,0,F$8/AGR_fec!F$8)</f>
        <v>0.67902729451682187</v>
      </c>
      <c r="G47" s="252">
        <f>IF(G$8=0,0,G$8/AGR_fec!G$8)</f>
        <v>0.67902729451682187</v>
      </c>
      <c r="H47" s="252">
        <f>IF(H$8=0,0,H$8/AGR_fec!H$8)</f>
        <v>0.67902729451682176</v>
      </c>
      <c r="I47" s="252">
        <f>IF(I$8=0,0,I$8/AGR_fec!I$8)</f>
        <v>0.67902729451682198</v>
      </c>
      <c r="J47" s="252">
        <f>IF(J$8=0,0,J$8/AGR_fec!J$8)</f>
        <v>0.67902729451682198</v>
      </c>
      <c r="K47" s="252">
        <f>IF(K$8=0,0,K$8/AGR_fec!K$8)</f>
        <v>0.67902729451682187</v>
      </c>
      <c r="L47" s="252">
        <f>IF(L$8=0,0,L$8/AGR_fec!L$8)</f>
        <v>0.67902729451682176</v>
      </c>
      <c r="M47" s="252">
        <f>IF(M$8=0,0,M$8/AGR_fec!M$8)</f>
        <v>0.67902729451682187</v>
      </c>
      <c r="N47" s="252">
        <f>IF(N$8=0,0,N$8/AGR_fec!N$8)</f>
        <v>0.67902729451682187</v>
      </c>
      <c r="O47" s="252">
        <f>IF(O$8=0,0,O$8/AGR_fec!O$8)</f>
        <v>0.67902729451682187</v>
      </c>
      <c r="P47" s="252">
        <f>IF(P$8=0,0,P$8/AGR_fec!P$8)</f>
        <v>0.67902729451682176</v>
      </c>
      <c r="Q47" s="252">
        <f>IF(Q$8=0,0,Q$8/AGR_fec!Q$8)</f>
        <v>0.67902729451682198</v>
      </c>
      <c r="R47" s="252">
        <f>IF(R$8=0,0,R$8/AGR_fec!R$8)</f>
        <v>0.67902729451682209</v>
      </c>
      <c r="S47" s="252">
        <f>IF(S$8=0,0,S$8/AGR_fec!S$8)</f>
        <v>0.67902729451682187</v>
      </c>
      <c r="T47" s="252">
        <f>IF(T$8=0,0,T$8/AGR_fec!T$8)</f>
        <v>0.67902729451682176</v>
      </c>
      <c r="U47" s="252">
        <f>IF(U$8=0,0,U$8/AGR_fec!U$8)</f>
        <v>0.67902729451682187</v>
      </c>
      <c r="V47" s="252">
        <f>IF(V$8=0,0,V$8/AGR_fec!V$8)</f>
        <v>0.67902729451682187</v>
      </c>
      <c r="W47" s="252">
        <f>IF(W$8=0,0,W$8/AGR_fec!W$8)</f>
        <v>0.67902729451682198</v>
      </c>
      <c r="DA47" s="289"/>
    </row>
    <row r="48" spans="1:105" x14ac:dyDescent="0.25">
      <c r="A48" s="243" t="s">
        <v>122</v>
      </c>
      <c r="B48" s="253">
        <f>IF(B$9=0,0,B$9/AGR_fec!B$9)</f>
        <v>0.64391604160785842</v>
      </c>
      <c r="C48" s="253">
        <f>IF(C$9=0,0,C$9/AGR_fec!C$9)</f>
        <v>0.64783920363865288</v>
      </c>
      <c r="D48" s="253">
        <f>IF(D$9=0,0,D$9/AGR_fec!D$9)</f>
        <v>0.63622640351688076</v>
      </c>
      <c r="E48" s="253">
        <f>IF(E$9=0,0,E$9/AGR_fec!E$9)</f>
        <v>0.63792393648768009</v>
      </c>
      <c r="F48" s="253">
        <f>IF(F$9=0,0,F$9/AGR_fec!F$9)</f>
        <v>0.64635303188256743</v>
      </c>
      <c r="G48" s="253">
        <f>IF(G$9=0,0,G$9/AGR_fec!G$9)</f>
        <v>0.64034295435914212</v>
      </c>
      <c r="H48" s="253">
        <f>IF(H$9=0,0,H$9/AGR_fec!H$9)</f>
        <v>0.63893442457574612</v>
      </c>
      <c r="I48" s="253">
        <f>IF(I$9=0,0,I$9/AGR_fec!I$9)</f>
        <v>0.6376795031802055</v>
      </c>
      <c r="J48" s="253">
        <f>IF(J$9=0,0,J$9/AGR_fec!J$9)</f>
        <v>0.6393613656380509</v>
      </c>
      <c r="K48" s="253">
        <f>IF(K$9=0,0,K$9/AGR_fec!K$9)</f>
        <v>0.64238742736012855</v>
      </c>
      <c r="L48" s="253">
        <f>IF(L$9=0,0,L$9/AGR_fec!L$9)</f>
        <v>0.64117398820221427</v>
      </c>
      <c r="M48" s="253">
        <f>IF(M$9=0,0,M$9/AGR_fec!M$9)</f>
        <v>0.6586610216188955</v>
      </c>
      <c r="N48" s="253">
        <f>IF(N$9=0,0,N$9/AGR_fec!N$9)</f>
        <v>0.64701536788340475</v>
      </c>
      <c r="O48" s="253">
        <f>IF(O$9=0,0,O$9/AGR_fec!O$9)</f>
        <v>0.6440037073816024</v>
      </c>
      <c r="P48" s="253">
        <f>IF(P$9=0,0,P$9/AGR_fec!P$9)</f>
        <v>0.64110833801334433</v>
      </c>
      <c r="Q48" s="253">
        <f>IF(Q$9=0,0,Q$9/AGR_fec!Q$9)</f>
        <v>0.63914140683925225</v>
      </c>
      <c r="R48" s="253">
        <f>IF(R$9=0,0,R$9/AGR_fec!R$9)</f>
        <v>0.63276182118972835</v>
      </c>
      <c r="S48" s="253">
        <f>IF(S$9=0,0,S$9/AGR_fec!S$9)</f>
        <v>0.63659324676171902</v>
      </c>
      <c r="T48" s="253">
        <f>IF(T$9=0,0,T$9/AGR_fec!T$9)</f>
        <v>0.63867133830352285</v>
      </c>
      <c r="U48" s="253">
        <f>IF(U$9=0,0,U$9/AGR_fec!U$9)</f>
        <v>0.634294709107875</v>
      </c>
      <c r="V48" s="253">
        <f>IF(V$9=0,0,V$9/AGR_fec!V$9)</f>
        <v>0.62836391142788228</v>
      </c>
      <c r="W48" s="253">
        <f>IF(W$9=0,0,W$9/AGR_fec!W$9)</f>
        <v>0.6243169262286129</v>
      </c>
      <c r="DA48" s="290"/>
    </row>
    <row r="49" spans="1:105" x14ac:dyDescent="0.25">
      <c r="A49" s="128" t="s">
        <v>175</v>
      </c>
      <c r="B49" s="265">
        <f>IF(B$16=0,0,B$16/AGR_fec!B$16)</f>
        <v>0.34141062791177679</v>
      </c>
      <c r="C49" s="265">
        <f>IF(C$16=0,0,C$16/AGR_fec!C$16)</f>
        <v>0.34141062791177679</v>
      </c>
      <c r="D49" s="265">
        <f>IF(D$16=0,0,D$16/AGR_fec!D$16)</f>
        <v>0.34141062791177673</v>
      </c>
      <c r="E49" s="265">
        <f>IF(E$16=0,0,E$16/AGR_fec!E$16)</f>
        <v>0.34141062791177673</v>
      </c>
      <c r="F49" s="265">
        <f>IF(F$16=0,0,F$16/AGR_fec!F$16)</f>
        <v>0.34141062791177668</v>
      </c>
      <c r="G49" s="265">
        <f>IF(G$16=0,0,G$16/AGR_fec!G$16)</f>
        <v>0.34141062791177679</v>
      </c>
      <c r="H49" s="265">
        <f>IF(H$16=0,0,H$16/AGR_fec!H$16)</f>
        <v>0.34141062791177679</v>
      </c>
      <c r="I49" s="265">
        <f>IF(I$16=0,0,I$16/AGR_fec!I$16)</f>
        <v>0.34141062791177662</v>
      </c>
      <c r="J49" s="265">
        <f>IF(J$16=0,0,J$16/AGR_fec!J$16)</f>
        <v>0.34141062791177673</v>
      </c>
      <c r="K49" s="265">
        <f>IF(K$16=0,0,K$16/AGR_fec!K$16)</f>
        <v>0.34141062791177668</v>
      </c>
      <c r="L49" s="265">
        <f>IF(L$16=0,0,L$16/AGR_fec!L$16)</f>
        <v>0.34141062791177673</v>
      </c>
      <c r="M49" s="265">
        <f>IF(M$16=0,0,M$16/AGR_fec!M$16)</f>
        <v>0.34141062791177662</v>
      </c>
      <c r="N49" s="265">
        <f>IF(N$16=0,0,N$16/AGR_fec!N$16)</f>
        <v>0.34141062791177662</v>
      </c>
      <c r="O49" s="265">
        <f>IF(O$16=0,0,O$16/AGR_fec!O$16)</f>
        <v>0.34141062791177668</v>
      </c>
      <c r="P49" s="265">
        <f>IF(P$16=0,0,P$16/AGR_fec!P$16)</f>
        <v>0.34141062791177668</v>
      </c>
      <c r="Q49" s="265">
        <f>IF(Q$16=0,0,Q$16/AGR_fec!Q$16)</f>
        <v>0.34141062791177657</v>
      </c>
      <c r="R49" s="265">
        <f>IF(R$16=0,0,R$16/AGR_fec!R$16)</f>
        <v>0.34141062791177668</v>
      </c>
      <c r="S49" s="265">
        <f>IF(S$16=0,0,S$16/AGR_fec!S$16)</f>
        <v>0.34141062791177668</v>
      </c>
      <c r="T49" s="265">
        <f>IF(T$16=0,0,T$16/AGR_fec!T$16)</f>
        <v>0.34141062791177673</v>
      </c>
      <c r="U49" s="265">
        <f>IF(U$16=0,0,U$16/AGR_fec!U$16)</f>
        <v>0.34141062791177673</v>
      </c>
      <c r="V49" s="265">
        <f>IF(V$16=0,0,V$16/AGR_fec!V$16)</f>
        <v>0.34141062791177679</v>
      </c>
      <c r="W49" s="265">
        <f>IF(W$16=0,0,W$16/AGR_fec!W$16)</f>
        <v>0.34141062791177668</v>
      </c>
      <c r="DA49" s="291"/>
    </row>
    <row r="50" spans="1:105" x14ac:dyDescent="0.25">
      <c r="A50" s="128" t="s">
        <v>121</v>
      </c>
      <c r="B50" s="265">
        <f>IF(B$17=0,0,B$17/AGR_fec!B$17)</f>
        <v>0.27451336553087224</v>
      </c>
      <c r="C50" s="265">
        <f>IF(C$17=0,0,C$17/AGR_fec!C$17)</f>
        <v>0.27794785371986613</v>
      </c>
      <c r="D50" s="265">
        <f>IF(D$17=0,0,D$17/AGR_fec!D$17)</f>
        <v>0.2782268915558474</v>
      </c>
      <c r="E50" s="265">
        <f>IF(E$17=0,0,E$17/AGR_fec!E$17)</f>
        <v>0.27934173366921616</v>
      </c>
      <c r="F50" s="265">
        <f>IF(F$17=0,0,F$17/AGR_fec!F$17)</f>
        <v>0.28064164443991602</v>
      </c>
      <c r="G50" s="265">
        <f>IF(G$17=0,0,G$17/AGR_fec!G$17)</f>
        <v>0.28193686805358309</v>
      </c>
      <c r="H50" s="265">
        <f>IF(H$17=0,0,H$17/AGR_fec!H$17)</f>
        <v>0.28272250072829069</v>
      </c>
      <c r="I50" s="265">
        <f>IF(I$17=0,0,I$17/AGR_fec!I$17)</f>
        <v>0.28303752259256237</v>
      </c>
      <c r="J50" s="265">
        <f>IF(J$17=0,0,J$17/AGR_fec!J$17)</f>
        <v>0.28397511492711175</v>
      </c>
      <c r="K50" s="265">
        <f>IF(K$17=0,0,K$17/AGR_fec!K$17)</f>
        <v>0.28447132026429883</v>
      </c>
      <c r="L50" s="265">
        <f>IF(L$17=0,0,L$17/AGR_fec!L$17)</f>
        <v>0.28309442496873627</v>
      </c>
      <c r="M50" s="265">
        <f>IF(M$17=0,0,M$17/AGR_fec!M$17)</f>
        <v>0.28377331923778548</v>
      </c>
      <c r="N50" s="265">
        <f>IF(N$17=0,0,N$17/AGR_fec!N$17)</f>
        <v>0.28356767700780133</v>
      </c>
      <c r="O50" s="265">
        <f>IF(O$17=0,0,O$17/AGR_fec!O$17)</f>
        <v>0.28250836510982402</v>
      </c>
      <c r="P50" s="265">
        <f>IF(P$17=0,0,P$17/AGR_fec!P$17)</f>
        <v>0.28112207583012638</v>
      </c>
      <c r="Q50" s="265">
        <f>IF(Q$17=0,0,Q$17/AGR_fec!Q$17)</f>
        <v>0.28103838553849858</v>
      </c>
      <c r="R50" s="265">
        <f>IF(R$17=0,0,R$17/AGR_fec!R$17)</f>
        <v>0.28128629838808084</v>
      </c>
      <c r="S50" s="265">
        <f>IF(S$17=0,0,S$17/AGR_fec!S$17)</f>
        <v>0.28232587961878741</v>
      </c>
      <c r="T50" s="265">
        <f>IF(T$17=0,0,T$17/AGR_fec!T$17)</f>
        <v>0.28341404958355937</v>
      </c>
      <c r="U50" s="265">
        <f>IF(U$17=0,0,U$17/AGR_fec!U$17)</f>
        <v>0.2808025570496625</v>
      </c>
      <c r="V50" s="265">
        <f>IF(V$17=0,0,V$17/AGR_fec!V$17)</f>
        <v>0.27916113287463151</v>
      </c>
      <c r="W50" s="265">
        <f>IF(W$17=0,0,W$17/AGR_fec!W$17)</f>
        <v>0.27744528880075875</v>
      </c>
      <c r="DA50" s="291"/>
    </row>
    <row r="51" spans="1:105" x14ac:dyDescent="0.25">
      <c r="A51" s="128" t="s">
        <v>174</v>
      </c>
      <c r="B51" s="265">
        <f>IF(B$25=0,0,B$25/AGR_fec!B$25)</f>
        <v>0.23898743953824367</v>
      </c>
      <c r="C51" s="265">
        <f>IF(C$25=0,0,C$25/AGR_fec!C$25)</f>
        <v>0.23898743953824361</v>
      </c>
      <c r="D51" s="265">
        <f>IF(D$25=0,0,D$25/AGR_fec!D$25)</f>
        <v>0.23898743953824367</v>
      </c>
      <c r="E51" s="265">
        <f>IF(E$25=0,0,E$25/AGR_fec!E$25)</f>
        <v>0.23898743953824378</v>
      </c>
      <c r="F51" s="265">
        <f>IF(F$25=0,0,F$25/AGR_fec!F$25)</f>
        <v>0.23898743953824361</v>
      </c>
      <c r="G51" s="265">
        <f>IF(G$25=0,0,G$25/AGR_fec!G$25)</f>
        <v>0.23898743953824372</v>
      </c>
      <c r="H51" s="265">
        <f>IF(H$25=0,0,H$25/AGR_fec!H$25)</f>
        <v>0.2389874395382437</v>
      </c>
      <c r="I51" s="265">
        <f>IF(I$25=0,0,I$25/AGR_fec!I$25)</f>
        <v>0.23898743953824367</v>
      </c>
      <c r="J51" s="265">
        <f>IF(J$25=0,0,J$25/AGR_fec!J$25)</f>
        <v>0.23898743953824375</v>
      </c>
      <c r="K51" s="265">
        <f>IF(K$25=0,0,K$25/AGR_fec!K$25)</f>
        <v>0.23898743953824361</v>
      </c>
      <c r="L51" s="265">
        <f>IF(L$25=0,0,L$25/AGR_fec!L$25)</f>
        <v>0.23898743953824367</v>
      </c>
      <c r="M51" s="265">
        <f>IF(M$25=0,0,M$25/AGR_fec!M$25)</f>
        <v>0.23898743953824372</v>
      </c>
      <c r="N51" s="265">
        <f>IF(N$25=0,0,N$25/AGR_fec!N$25)</f>
        <v>0.2389874395382437</v>
      </c>
      <c r="O51" s="265">
        <f>IF(O$25=0,0,O$25/AGR_fec!O$25)</f>
        <v>0.23898743953824367</v>
      </c>
      <c r="P51" s="265">
        <f>IF(P$25=0,0,P$25/AGR_fec!P$25)</f>
        <v>0.2389874395382437</v>
      </c>
      <c r="Q51" s="265">
        <f>IF(Q$25=0,0,Q$25/AGR_fec!Q$25)</f>
        <v>0.23898743953824375</v>
      </c>
      <c r="R51" s="265">
        <f>IF(R$25=0,0,R$25/AGR_fec!R$25)</f>
        <v>0.23898743953824375</v>
      </c>
      <c r="S51" s="265">
        <f>IF(S$25=0,0,S$25/AGR_fec!S$25)</f>
        <v>0.23898743953824378</v>
      </c>
      <c r="T51" s="265">
        <f>IF(T$25=0,0,T$25/AGR_fec!T$25)</f>
        <v>0.23898743953824356</v>
      </c>
      <c r="U51" s="265">
        <f>IF(U$25=0,0,U$25/AGR_fec!U$25)</f>
        <v>0.23898743953824375</v>
      </c>
      <c r="V51" s="265">
        <f>IF(V$25=0,0,V$25/AGR_fec!V$25)</f>
        <v>0.23898743953824375</v>
      </c>
      <c r="W51" s="265">
        <f>IF(W$25=0,0,W$25/AGR_fec!W$25)</f>
        <v>0.23898743953824358</v>
      </c>
      <c r="DA51" s="291"/>
    </row>
    <row r="52" spans="1:105" x14ac:dyDescent="0.25">
      <c r="A52" s="128" t="s">
        <v>177</v>
      </c>
      <c r="B52" s="265">
        <f>IF(B$26=0,0,B$26/AGR_fec!B$26)</f>
        <v>0.47311613771974059</v>
      </c>
      <c r="C52" s="265">
        <f>IF(C$26=0,0,C$26/AGR_fec!C$26)</f>
        <v>0.47311613771974048</v>
      </c>
      <c r="D52" s="265">
        <f>IF(D$26=0,0,D$26/AGR_fec!D$26)</f>
        <v>0.47311613771974043</v>
      </c>
      <c r="E52" s="265">
        <f>IF(E$26=0,0,E$26/AGR_fec!E$26)</f>
        <v>0.47311613771974037</v>
      </c>
      <c r="F52" s="265">
        <f>IF(F$26=0,0,F$26/AGR_fec!F$26)</f>
        <v>0.47311613771974026</v>
      </c>
      <c r="G52" s="265">
        <f>IF(G$26=0,0,G$26/AGR_fec!G$26)</f>
        <v>0.47311613771974054</v>
      </c>
      <c r="H52" s="265">
        <f>IF(H$26=0,0,H$26/AGR_fec!H$26)</f>
        <v>0.47311613771974043</v>
      </c>
      <c r="I52" s="265">
        <f>IF(I$26=0,0,I$26/AGR_fec!I$26)</f>
        <v>0.47311613771974037</v>
      </c>
      <c r="J52" s="265">
        <f>IF(J$26=0,0,J$26/AGR_fec!J$26)</f>
        <v>0.47311613771974037</v>
      </c>
      <c r="K52" s="265">
        <f>IF(K$26=0,0,K$26/AGR_fec!K$26)</f>
        <v>0.47311613771974043</v>
      </c>
      <c r="L52" s="265">
        <f>IF(L$26=0,0,L$26/AGR_fec!L$26)</f>
        <v>0.47311613771974037</v>
      </c>
      <c r="M52" s="265">
        <f>IF(M$26=0,0,M$26/AGR_fec!M$26)</f>
        <v>0.47311613771974048</v>
      </c>
      <c r="N52" s="265">
        <f>IF(N$26=0,0,N$26/AGR_fec!N$26)</f>
        <v>0.47311613771974037</v>
      </c>
      <c r="O52" s="265">
        <f>IF(O$26=0,0,O$26/AGR_fec!O$26)</f>
        <v>0.47311613771974037</v>
      </c>
      <c r="P52" s="265">
        <f>IF(P$26=0,0,P$26/AGR_fec!P$26)</f>
        <v>0.47311613771974048</v>
      </c>
      <c r="Q52" s="265">
        <f>IF(Q$26=0,0,Q$26/AGR_fec!Q$26)</f>
        <v>0.47311613771974037</v>
      </c>
      <c r="R52" s="265">
        <f>IF(R$26=0,0,R$26/AGR_fec!R$26)</f>
        <v>0.47311613771974043</v>
      </c>
      <c r="S52" s="265">
        <f>IF(S$26=0,0,S$26/AGR_fec!S$26)</f>
        <v>0.47311613771974037</v>
      </c>
      <c r="T52" s="265">
        <f>IF(T$26=0,0,T$26/AGR_fec!T$26)</f>
        <v>0.47311613771974037</v>
      </c>
      <c r="U52" s="265">
        <f>IF(U$26=0,0,U$26/AGR_fec!U$26)</f>
        <v>0.47311613771974043</v>
      </c>
      <c r="V52" s="265">
        <f>IF(V$26=0,0,V$26/AGR_fec!V$26)</f>
        <v>0.47311613771974043</v>
      </c>
      <c r="W52" s="265">
        <f>IF(W$26=0,0,W$26/AGR_fec!W$26)</f>
        <v>0.47311613771974032</v>
      </c>
      <c r="DA52" s="291"/>
    </row>
    <row r="53" spans="1:105" x14ac:dyDescent="0.25">
      <c r="A53" s="261" t="s">
        <v>33</v>
      </c>
      <c r="B53" s="266">
        <f>IF(B$27=0,0,B$27/AGR_fec!B$27)</f>
        <v>0.49728250170485633</v>
      </c>
      <c r="C53" s="266">
        <f>IF(C$27=0,0,C$27/AGR_fec!C$27)</f>
        <v>0.49728250170485633</v>
      </c>
      <c r="D53" s="266">
        <f>IF(D$27=0,0,D$27/AGR_fec!D$27)</f>
        <v>0.49728250170485649</v>
      </c>
      <c r="E53" s="266">
        <f>IF(E$27=0,0,E$27/AGR_fec!E$27)</f>
        <v>0.49728250170485622</v>
      </c>
      <c r="F53" s="266">
        <f>IF(F$27=0,0,F$27/AGR_fec!F$27)</f>
        <v>0.49728250170485633</v>
      </c>
      <c r="G53" s="266">
        <f>IF(G$27=0,0,G$27/AGR_fec!G$27)</f>
        <v>0.49728250170485622</v>
      </c>
      <c r="H53" s="266">
        <f>IF(H$27=0,0,H$27/AGR_fec!H$27)</f>
        <v>0.49728250170485644</v>
      </c>
      <c r="I53" s="266">
        <f>IF(I$27=0,0,I$27/AGR_fec!I$27)</f>
        <v>0.49728250170485638</v>
      </c>
      <c r="J53" s="266">
        <f>IF(J$27=0,0,J$27/AGR_fec!J$27)</f>
        <v>0.49728250170485638</v>
      </c>
      <c r="K53" s="266">
        <f>IF(K$27=0,0,K$27/AGR_fec!K$27)</f>
        <v>0.49728250170485638</v>
      </c>
      <c r="L53" s="266">
        <f>IF(L$27=0,0,L$27/AGR_fec!L$27)</f>
        <v>0.49728250170485638</v>
      </c>
      <c r="M53" s="266">
        <f>IF(M$27=0,0,M$27/AGR_fec!M$27)</f>
        <v>0.49728250170485633</v>
      </c>
      <c r="N53" s="266">
        <f>IF(N$27=0,0,N$27/AGR_fec!N$27)</f>
        <v>0.49728250170485633</v>
      </c>
      <c r="O53" s="266">
        <f>IF(O$27=0,0,O$27/AGR_fec!O$27)</f>
        <v>0.49728250170485627</v>
      </c>
      <c r="P53" s="266">
        <f>IF(P$27=0,0,P$27/AGR_fec!P$27)</f>
        <v>0.49728250170485638</v>
      </c>
      <c r="Q53" s="266">
        <f>IF(Q$27=0,0,Q$27/AGR_fec!Q$27)</f>
        <v>0.49728250170485633</v>
      </c>
      <c r="R53" s="266">
        <f>IF(R$27=0,0,R$27/AGR_fec!R$27)</f>
        <v>0.49728250170485633</v>
      </c>
      <c r="S53" s="266">
        <f>IF(S$27=0,0,S$27/AGR_fec!S$27)</f>
        <v>0.49728250170485638</v>
      </c>
      <c r="T53" s="266">
        <f>IF(T$27=0,0,T$27/AGR_fec!T$27)</f>
        <v>0.49728250170485638</v>
      </c>
      <c r="U53" s="266">
        <f>IF(U$27=0,0,U$27/AGR_fec!U$27)</f>
        <v>0.49728250170485633</v>
      </c>
      <c r="V53" s="266">
        <f>IF(V$27=0,0,V$27/AGR_fec!V$27)</f>
        <v>0.49728250170485649</v>
      </c>
      <c r="W53" s="266">
        <f>IF(W$27=0,0,W$27/AGR_fec!W$27)</f>
        <v>0.49728250170485644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47.902629958411879</v>
      </c>
      <c r="C5" s="80">
        <f t="shared" ref="C5:W5" si="0">SUM(C6:C9,C16:C17,C25:C27)</f>
        <v>50.686298638081794</v>
      </c>
      <c r="D5" s="80">
        <f t="shared" si="0"/>
        <v>50.172042597649451</v>
      </c>
      <c r="E5" s="80">
        <f t="shared" si="0"/>
        <v>53.380001158700097</v>
      </c>
      <c r="F5" s="80">
        <f t="shared" si="0"/>
        <v>51.645557878700131</v>
      </c>
      <c r="G5" s="80">
        <f t="shared" si="0"/>
        <v>52.38202175733543</v>
      </c>
      <c r="H5" s="80">
        <f t="shared" si="0"/>
        <v>53.738670237645685</v>
      </c>
      <c r="I5" s="80">
        <f t="shared" si="0"/>
        <v>57.577073398218722</v>
      </c>
      <c r="J5" s="80">
        <f t="shared" si="0"/>
        <v>57.95783495779321</v>
      </c>
      <c r="K5" s="80">
        <f t="shared" si="0"/>
        <v>65.027470678284374</v>
      </c>
      <c r="L5" s="80">
        <f t="shared" si="0"/>
        <v>66.463358757704583</v>
      </c>
      <c r="M5" s="80">
        <f t="shared" si="0"/>
        <v>52.677897478620586</v>
      </c>
      <c r="N5" s="80">
        <f t="shared" si="0"/>
        <v>54.799706518150302</v>
      </c>
      <c r="O5" s="80">
        <f t="shared" si="0"/>
        <v>60.129571317889926</v>
      </c>
      <c r="P5" s="80">
        <f t="shared" si="0"/>
        <v>60.306844678135967</v>
      </c>
      <c r="Q5" s="80">
        <f t="shared" si="0"/>
        <v>60.049089717512651</v>
      </c>
      <c r="R5" s="80">
        <f t="shared" si="0"/>
        <v>70.665546957791079</v>
      </c>
      <c r="S5" s="80">
        <f t="shared" si="0"/>
        <v>63.251147158379609</v>
      </c>
      <c r="T5" s="80">
        <f t="shared" si="0"/>
        <v>60.630618958101493</v>
      </c>
      <c r="U5" s="80">
        <f t="shared" si="0"/>
        <v>59.753390037673853</v>
      </c>
      <c r="V5" s="80">
        <f t="shared" si="0"/>
        <v>72.960079318313603</v>
      </c>
      <c r="W5" s="80">
        <f t="shared" si="0"/>
        <v>73.842635878499834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9.4640388962966178</v>
      </c>
      <c r="C9" s="244">
        <f t="shared" ref="C9:W9" si="1">SUM(C10:C15)</f>
        <v>10.054489911530606</v>
      </c>
      <c r="D9" s="244">
        <f t="shared" si="1"/>
        <v>10.287012301345172</v>
      </c>
      <c r="E9" s="244">
        <f t="shared" si="1"/>
        <v>10.807961779543826</v>
      </c>
      <c r="F9" s="244">
        <f t="shared" si="1"/>
        <v>10.078607266681482</v>
      </c>
      <c r="G9" s="244">
        <f t="shared" si="1"/>
        <v>10.297563544771805</v>
      </c>
      <c r="H9" s="244">
        <f t="shared" si="1"/>
        <v>10.53834551231056</v>
      </c>
      <c r="I9" s="244">
        <f t="shared" si="1"/>
        <v>11.306218326813225</v>
      </c>
      <c r="J9" s="244">
        <f t="shared" si="1"/>
        <v>11.199911949291458</v>
      </c>
      <c r="K9" s="244">
        <f t="shared" si="1"/>
        <v>12.345154696469956</v>
      </c>
      <c r="L9" s="244">
        <f t="shared" si="1"/>
        <v>12.87697200369305</v>
      </c>
      <c r="M9" s="244">
        <f t="shared" si="1"/>
        <v>9.5336630994787477</v>
      </c>
      <c r="N9" s="244">
        <f t="shared" si="1"/>
        <v>10.33824213197342</v>
      </c>
      <c r="O9" s="244">
        <f t="shared" si="1"/>
        <v>11.599134722537929</v>
      </c>
      <c r="P9" s="244">
        <f t="shared" si="1"/>
        <v>11.905256261183945</v>
      </c>
      <c r="Q9" s="244">
        <f t="shared" si="1"/>
        <v>11.939720878121689</v>
      </c>
      <c r="R9" s="244">
        <f t="shared" si="1"/>
        <v>14.33550670599085</v>
      </c>
      <c r="S9" s="244">
        <f t="shared" si="1"/>
        <v>12.54381889267448</v>
      </c>
      <c r="T9" s="244">
        <f t="shared" si="1"/>
        <v>11.806611267369679</v>
      </c>
      <c r="U9" s="244">
        <f t="shared" si="1"/>
        <v>12.099570434933353</v>
      </c>
      <c r="V9" s="244">
        <f t="shared" si="1"/>
        <v>15.24484961980488</v>
      </c>
      <c r="W9" s="244">
        <f t="shared" si="1"/>
        <v>15.7786054859017</v>
      </c>
      <c r="DA9" s="270"/>
    </row>
    <row r="10" spans="1:105" x14ac:dyDescent="0.25">
      <c r="A10" s="254" t="s">
        <v>173</v>
      </c>
      <c r="B10" s="255">
        <v>9.4435289213781175</v>
      </c>
      <c r="C10" s="255">
        <v>10.04190894436605</v>
      </c>
      <c r="D10" s="255">
        <v>10.274368461632051</v>
      </c>
      <c r="E10" s="255">
        <v>10.78684446812148</v>
      </c>
      <c r="F10" s="255">
        <v>10.056702611969421</v>
      </c>
      <c r="G10" s="255">
        <v>10.277282020962179</v>
      </c>
      <c r="H10" s="255">
        <v>10.511508810151851</v>
      </c>
      <c r="I10" s="255">
        <v>11.284345049778439</v>
      </c>
      <c r="J10" s="255">
        <v>11.176928734017711</v>
      </c>
      <c r="K10" s="255">
        <v>12.323679033235971</v>
      </c>
      <c r="L10" s="255">
        <v>12.85133220740917</v>
      </c>
      <c r="M10" s="255">
        <v>9.5336630994787477</v>
      </c>
      <c r="N10" s="255">
        <v>10.33824213197342</v>
      </c>
      <c r="O10" s="255">
        <v>11.599134722537929</v>
      </c>
      <c r="P10" s="255">
        <v>11.90484983062704</v>
      </c>
      <c r="Q10" s="255">
        <v>11.93924445463311</v>
      </c>
      <c r="R10" s="255">
        <v>14.3346732838748</v>
      </c>
      <c r="S10" s="255">
        <v>12.54319564767672</v>
      </c>
      <c r="T10" s="255">
        <v>11.80640291605288</v>
      </c>
      <c r="U10" s="255">
        <v>12.098950647640621</v>
      </c>
      <c r="V10" s="255">
        <v>15.244158145056931</v>
      </c>
      <c r="W10" s="255">
        <v>15.7786054859017</v>
      </c>
      <c r="DA10" s="271" t="s">
        <v>1038</v>
      </c>
    </row>
    <row r="11" spans="1:105" x14ac:dyDescent="0.25">
      <c r="A11" s="254" t="s">
        <v>176</v>
      </c>
      <c r="B11" s="256">
        <v>2.0509974918500581E-2</v>
      </c>
      <c r="C11" s="256">
        <v>1.2580967164555749E-2</v>
      </c>
      <c r="D11" s="256">
        <v>1.264383971312146E-2</v>
      </c>
      <c r="E11" s="256">
        <v>2.1117311422345769E-2</v>
      </c>
      <c r="F11" s="256">
        <v>2.1904654712061829E-2</v>
      </c>
      <c r="G11" s="256">
        <v>2.028152380962607E-2</v>
      </c>
      <c r="H11" s="256">
        <v>2.6836702158708949E-2</v>
      </c>
      <c r="I11" s="256">
        <v>2.1873277034785511E-2</v>
      </c>
      <c r="J11" s="256">
        <v>2.298321527374704E-2</v>
      </c>
      <c r="K11" s="256">
        <v>2.1475663233985282E-2</v>
      </c>
      <c r="L11" s="256">
        <v>2.563979628388002E-2</v>
      </c>
      <c r="M11" s="256">
        <v>0</v>
      </c>
      <c r="N11" s="256">
        <v>0</v>
      </c>
      <c r="O11" s="256">
        <v>0</v>
      </c>
      <c r="P11" s="256">
        <v>4.064305569063355E-4</v>
      </c>
      <c r="Q11" s="256">
        <v>4.7642348857883133E-4</v>
      </c>
      <c r="R11" s="256">
        <v>8.3342211605081176E-4</v>
      </c>
      <c r="S11" s="256">
        <v>6.2324499775911948E-4</v>
      </c>
      <c r="T11" s="256">
        <v>2.0835131679830071E-4</v>
      </c>
      <c r="U11" s="256">
        <v>6.1978729273182934E-4</v>
      </c>
      <c r="V11" s="256">
        <v>6.9147474794998946E-4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15.009780385997949</v>
      </c>
      <c r="C16" s="258">
        <v>16.386695759026491</v>
      </c>
      <c r="D16" s="258">
        <v>16.173132241854951</v>
      </c>
      <c r="E16" s="258">
        <v>17.637738980085871</v>
      </c>
      <c r="F16" s="258">
        <v>17.67672154057119</v>
      </c>
      <c r="G16" s="258">
        <v>18.392879578833149</v>
      </c>
      <c r="H16" s="258">
        <v>19.199170663286608</v>
      </c>
      <c r="I16" s="258">
        <v>20.713245183079628</v>
      </c>
      <c r="J16" s="258">
        <v>21.373247421265429</v>
      </c>
      <c r="K16" s="258">
        <v>24.35739523724958</v>
      </c>
      <c r="L16" s="258">
        <v>24.015377755706581</v>
      </c>
      <c r="M16" s="258">
        <v>19.639759367332939</v>
      </c>
      <c r="N16" s="258">
        <v>20.152222962618801</v>
      </c>
      <c r="O16" s="258">
        <v>21.490996667617281</v>
      </c>
      <c r="P16" s="258">
        <v>20.812416106518281</v>
      </c>
      <c r="Q16" s="258">
        <v>20.651316989018039</v>
      </c>
      <c r="R16" s="258">
        <v>24.30811640151806</v>
      </c>
      <c r="S16" s="258">
        <v>22.369668663955139</v>
      </c>
      <c r="T16" s="258">
        <v>22.05857363191976</v>
      </c>
      <c r="U16" s="258">
        <v>20.357345274264709</v>
      </c>
      <c r="V16" s="258">
        <v>23.85105425597062</v>
      </c>
      <c r="W16" s="258">
        <v>23.21010750152773</v>
      </c>
      <c r="DA16" s="273" t="s">
        <v>1044</v>
      </c>
    </row>
    <row r="17" spans="1:105" x14ac:dyDescent="0.25">
      <c r="A17" s="257" t="s">
        <v>121</v>
      </c>
      <c r="B17" s="258">
        <f>SUM(B18:B24)</f>
        <v>20.544556287562628</v>
      </c>
      <c r="C17" s="258">
        <f t="shared" ref="C17:W17" si="2">SUM(C18:C24)</f>
        <v>21.096272815208227</v>
      </c>
      <c r="D17" s="258">
        <f t="shared" si="2"/>
        <v>20.604095911737037</v>
      </c>
      <c r="E17" s="258">
        <f t="shared" si="2"/>
        <v>21.545061865976948</v>
      </c>
      <c r="F17" s="258">
        <f t="shared" si="2"/>
        <v>20.493499714486802</v>
      </c>
      <c r="G17" s="258">
        <f t="shared" si="2"/>
        <v>20.157233541453493</v>
      </c>
      <c r="H17" s="258">
        <f t="shared" si="2"/>
        <v>20.311873418485458</v>
      </c>
      <c r="I17" s="258">
        <f t="shared" si="2"/>
        <v>21.577387207903591</v>
      </c>
      <c r="J17" s="258">
        <f t="shared" si="2"/>
        <v>21.277627976469361</v>
      </c>
      <c r="K17" s="258">
        <f t="shared" si="2"/>
        <v>23.644444261888641</v>
      </c>
      <c r="L17" s="258">
        <f t="shared" si="2"/>
        <v>24.956254024986951</v>
      </c>
      <c r="M17" s="258">
        <f t="shared" si="2"/>
        <v>19.730531577018152</v>
      </c>
      <c r="N17" s="258">
        <f t="shared" si="2"/>
        <v>20.436823838202379</v>
      </c>
      <c r="O17" s="258">
        <f t="shared" si="2"/>
        <v>22.909765817991389</v>
      </c>
      <c r="P17" s="258">
        <f t="shared" si="2"/>
        <v>23.589893110609502</v>
      </c>
      <c r="Q17" s="258">
        <f t="shared" si="2"/>
        <v>23.489729188532138</v>
      </c>
      <c r="R17" s="258">
        <f t="shared" si="2"/>
        <v>27.350916706568068</v>
      </c>
      <c r="S17" s="258">
        <f t="shared" si="2"/>
        <v>24.039141345299367</v>
      </c>
      <c r="T17" s="258">
        <f t="shared" si="2"/>
        <v>22.526695305347534</v>
      </c>
      <c r="U17" s="258">
        <f t="shared" si="2"/>
        <v>23.384640781504334</v>
      </c>
      <c r="V17" s="258">
        <f t="shared" si="2"/>
        <v>29.280996599121256</v>
      </c>
      <c r="W17" s="258">
        <f t="shared" si="2"/>
        <v>30.393907307993882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1046</v>
      </c>
    </row>
    <row r="20" spans="1:105" x14ac:dyDescent="0.25">
      <c r="A20" s="61" t="s">
        <v>173</v>
      </c>
      <c r="B20" s="55">
        <v>17.52346550260409</v>
      </c>
      <c r="C20" s="55">
        <v>21.06987550237406</v>
      </c>
      <c r="D20" s="55">
        <v>20.57877127145176</v>
      </c>
      <c r="E20" s="55">
        <v>21.502965697400679</v>
      </c>
      <c r="F20" s="55">
        <v>20.44895952920033</v>
      </c>
      <c r="G20" s="55">
        <v>20.117532945265889</v>
      </c>
      <c r="H20" s="55">
        <v>20.260147680647339</v>
      </c>
      <c r="I20" s="55">
        <v>21.535643084940212</v>
      </c>
      <c r="J20" s="55">
        <v>21.233964391745481</v>
      </c>
      <c r="K20" s="55">
        <v>23.603312325124151</v>
      </c>
      <c r="L20" s="55">
        <v>24.906562741273209</v>
      </c>
      <c r="M20" s="55">
        <v>19.730531577018152</v>
      </c>
      <c r="N20" s="55">
        <v>20.436823838202379</v>
      </c>
      <c r="O20" s="55">
        <v>22.909765817991389</v>
      </c>
      <c r="P20" s="55">
        <v>23.589087781166441</v>
      </c>
      <c r="Q20" s="55">
        <v>23.488791892020771</v>
      </c>
      <c r="R20" s="55">
        <v>27.349326608684191</v>
      </c>
      <c r="S20" s="55">
        <v>24.037946950297169</v>
      </c>
      <c r="T20" s="55">
        <v>22.52629777666435</v>
      </c>
      <c r="U20" s="55">
        <v>23.38344292879713</v>
      </c>
      <c r="V20" s="55">
        <v>29.279668473869251</v>
      </c>
      <c r="W20" s="55">
        <v>30.393907307993882</v>
      </c>
      <c r="DA20" s="101" t="s">
        <v>1047</v>
      </c>
    </row>
    <row r="21" spans="1:105" x14ac:dyDescent="0.25">
      <c r="A21" s="61" t="s">
        <v>129</v>
      </c>
      <c r="B21" s="55">
        <v>2.983032359878691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3.8058425079845172E-2</v>
      </c>
      <c r="C22" s="55">
        <v>2.6397312834166509E-2</v>
      </c>
      <c r="D22" s="55">
        <v>2.5324640285276829E-2</v>
      </c>
      <c r="E22" s="55">
        <v>4.2096168576268252E-2</v>
      </c>
      <c r="F22" s="55">
        <v>4.4540185286471481E-2</v>
      </c>
      <c r="G22" s="55">
        <v>3.9700596187604457E-2</v>
      </c>
      <c r="H22" s="55">
        <v>5.1725737838118777E-2</v>
      </c>
      <c r="I22" s="55">
        <v>4.1744122963380058E-2</v>
      </c>
      <c r="J22" s="55">
        <v>4.3663584723881287E-2</v>
      </c>
      <c r="K22" s="55">
        <v>4.1131936764490583E-2</v>
      </c>
      <c r="L22" s="55">
        <v>4.9691283713742117E-2</v>
      </c>
      <c r="M22" s="55">
        <v>0</v>
      </c>
      <c r="N22" s="55">
        <v>0</v>
      </c>
      <c r="O22" s="55">
        <v>0</v>
      </c>
      <c r="P22" s="55">
        <v>8.0532944306000852E-4</v>
      </c>
      <c r="Q22" s="55">
        <v>9.3729651136811366E-4</v>
      </c>
      <c r="R22" s="55">
        <v>1.590097883878177E-3</v>
      </c>
      <c r="S22" s="55">
        <v>1.1943950021976019E-3</v>
      </c>
      <c r="T22" s="55">
        <v>3.9752868318403481E-4</v>
      </c>
      <c r="U22" s="55">
        <v>1.197852707202719E-3</v>
      </c>
      <c r="V22" s="55">
        <v>1.328125252006325E-3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2.8842543885546772</v>
      </c>
      <c r="C25" s="258">
        <v>3.1488401523164651</v>
      </c>
      <c r="D25" s="258">
        <v>3.1078021427122891</v>
      </c>
      <c r="E25" s="258">
        <v>3.3892385330934549</v>
      </c>
      <c r="F25" s="258">
        <v>3.3967293569606549</v>
      </c>
      <c r="G25" s="258">
        <v>3.5343450922769861</v>
      </c>
      <c r="H25" s="258">
        <v>3.6892806435630559</v>
      </c>
      <c r="I25" s="258">
        <v>3.9802226804222771</v>
      </c>
      <c r="J25" s="258">
        <v>4.1070476107669656</v>
      </c>
      <c r="K25" s="258">
        <v>4.6804764826761991</v>
      </c>
      <c r="L25" s="258">
        <v>4.6147549733180053</v>
      </c>
      <c r="M25" s="258">
        <v>3.7739434347907461</v>
      </c>
      <c r="N25" s="258">
        <v>3.872417585355707</v>
      </c>
      <c r="O25" s="258">
        <v>4.1296741097433376</v>
      </c>
      <c r="P25" s="258">
        <v>3.999279199824239</v>
      </c>
      <c r="Q25" s="258">
        <v>3.968322661840789</v>
      </c>
      <c r="R25" s="258">
        <v>4.671007143714113</v>
      </c>
      <c r="S25" s="258">
        <v>4.298518256450623</v>
      </c>
      <c r="T25" s="258">
        <v>4.2387387534645162</v>
      </c>
      <c r="U25" s="258">
        <v>3.9118335469714478</v>
      </c>
      <c r="V25" s="258">
        <v>4.5831788434168486</v>
      </c>
      <c r="W25" s="258">
        <v>4.4600155830765242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1.0000000000000002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0.99999999999999989</v>
      </c>
      <c r="N31" s="236">
        <f t="shared" si="3"/>
        <v>1.0000000000000002</v>
      </c>
      <c r="O31" s="236">
        <f t="shared" si="3"/>
        <v>1.0000000000000002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0.19756825260978594</v>
      </c>
      <c r="C35" s="247">
        <f t="shared" si="8"/>
        <v>0.19836701794548545</v>
      </c>
      <c r="D35" s="247">
        <f t="shared" si="8"/>
        <v>0.20503475180073924</v>
      </c>
      <c r="E35" s="247">
        <f t="shared" si="8"/>
        <v>0.20247211586623015</v>
      </c>
      <c r="F35" s="247">
        <f t="shared" si="8"/>
        <v>0.19514954781499499</v>
      </c>
      <c r="G35" s="247">
        <f t="shared" si="8"/>
        <v>0.19658583611904523</v>
      </c>
      <c r="H35" s="247">
        <f t="shared" si="8"/>
        <v>0.19610357803249301</v>
      </c>
      <c r="I35" s="247">
        <f t="shared" si="8"/>
        <v>0.19636667269654953</v>
      </c>
      <c r="J35" s="247">
        <f t="shared" si="8"/>
        <v>0.19324241420418137</v>
      </c>
      <c r="K35" s="247">
        <f t="shared" si="8"/>
        <v>0.18984522337561199</v>
      </c>
      <c r="L35" s="247">
        <f t="shared" si="8"/>
        <v>0.19374542972823086</v>
      </c>
      <c r="M35" s="247">
        <f t="shared" si="8"/>
        <v>0.18098032677458323</v>
      </c>
      <c r="N35" s="247">
        <f t="shared" si="8"/>
        <v>0.18865506384690717</v>
      </c>
      <c r="O35" s="247">
        <f t="shared" si="8"/>
        <v>0.19290233521234038</v>
      </c>
      <c r="P35" s="247">
        <f t="shared" si="8"/>
        <v>0.19741136059635622</v>
      </c>
      <c r="Q35" s="247">
        <f t="shared" si="8"/>
        <v>0.19883267064146024</v>
      </c>
      <c r="R35" s="247">
        <f t="shared" si="8"/>
        <v>0.20286415832249238</v>
      </c>
      <c r="S35" s="247">
        <f t="shared" si="8"/>
        <v>0.19831765044932714</v>
      </c>
      <c r="T35" s="247">
        <f t="shared" si="8"/>
        <v>0.19473017874893511</v>
      </c>
      <c r="U35" s="247">
        <f t="shared" si="8"/>
        <v>0.20249178209478505</v>
      </c>
      <c r="V35" s="247">
        <f t="shared" si="8"/>
        <v>0.20894782135986922</v>
      </c>
      <c r="W35" s="247">
        <f t="shared" si="8"/>
        <v>0.21367879543010504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0.31333938030185704</v>
      </c>
      <c r="C36" s="260">
        <f t="shared" si="9"/>
        <v>0.32329635817429336</v>
      </c>
      <c r="D36" s="260">
        <f t="shared" si="9"/>
        <v>0.32235347425565364</v>
      </c>
      <c r="E36" s="260">
        <f t="shared" si="9"/>
        <v>0.33041848252585132</v>
      </c>
      <c r="F36" s="260">
        <f t="shared" si="9"/>
        <v>0.3422699311737224</v>
      </c>
      <c r="G36" s="260">
        <f t="shared" si="9"/>
        <v>0.35112962351930338</v>
      </c>
      <c r="H36" s="260">
        <f t="shared" si="9"/>
        <v>0.35726918024549414</v>
      </c>
      <c r="I36" s="260">
        <f t="shared" si="9"/>
        <v>0.35974814210894646</v>
      </c>
      <c r="J36" s="260">
        <f t="shared" si="9"/>
        <v>0.36877235729785501</v>
      </c>
      <c r="K36" s="260">
        <f t="shared" si="9"/>
        <v>0.37457085418184072</v>
      </c>
      <c r="L36" s="260">
        <f t="shared" si="9"/>
        <v>0.36133259294426889</v>
      </c>
      <c r="M36" s="260">
        <f t="shared" si="9"/>
        <v>0.37282732051528383</v>
      </c>
      <c r="N36" s="260">
        <f t="shared" si="9"/>
        <v>0.36774326439036947</v>
      </c>
      <c r="O36" s="260">
        <f t="shared" si="9"/>
        <v>0.3574114399385917</v>
      </c>
      <c r="P36" s="260">
        <f t="shared" si="9"/>
        <v>0.34510868903183967</v>
      </c>
      <c r="Q36" s="260">
        <f t="shared" si="9"/>
        <v>0.34390724465878642</v>
      </c>
      <c r="R36" s="260">
        <f t="shared" si="9"/>
        <v>0.34398822973856596</v>
      </c>
      <c r="S36" s="260">
        <f t="shared" si="9"/>
        <v>0.35366423644367961</v>
      </c>
      <c r="T36" s="260">
        <f t="shared" si="9"/>
        <v>0.36381904079130767</v>
      </c>
      <c r="U36" s="260">
        <f t="shared" si="9"/>
        <v>0.3406893778148759</v>
      </c>
      <c r="V36" s="260">
        <f t="shared" si="9"/>
        <v>0.3269055417540343</v>
      </c>
      <c r="W36" s="260">
        <f t="shared" si="9"/>
        <v>0.31431851294850149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0.42888159387906277</v>
      </c>
      <c r="C37" s="260">
        <f t="shared" si="10"/>
        <v>0.41621253439402078</v>
      </c>
      <c r="D37" s="260">
        <f t="shared" si="10"/>
        <v>0.41066886746010883</v>
      </c>
      <c r="E37" s="260">
        <f t="shared" si="10"/>
        <v>0.40361673657373914</v>
      </c>
      <c r="F37" s="260">
        <f t="shared" si="10"/>
        <v>0.39681050135269841</v>
      </c>
      <c r="G37" s="260">
        <f t="shared" si="10"/>
        <v>0.38481205698462245</v>
      </c>
      <c r="H37" s="260">
        <f t="shared" si="10"/>
        <v>0.37797499135466756</v>
      </c>
      <c r="I37" s="260">
        <f t="shared" si="10"/>
        <v>0.37475658164610948</v>
      </c>
      <c r="J37" s="260">
        <f t="shared" si="10"/>
        <v>0.36712254679569079</v>
      </c>
      <c r="K37" s="260">
        <f t="shared" si="10"/>
        <v>0.36360701124093692</v>
      </c>
      <c r="L37" s="260">
        <f t="shared" si="10"/>
        <v>0.37548890834672066</v>
      </c>
      <c r="M37" s="260">
        <f t="shared" si="10"/>
        <v>0.37455047603268182</v>
      </c>
      <c r="N37" s="260">
        <f t="shared" si="10"/>
        <v>0.37293673883880135</v>
      </c>
      <c r="O37" s="260">
        <f t="shared" si="10"/>
        <v>0.38100663809614105</v>
      </c>
      <c r="P37" s="260">
        <f t="shared" si="10"/>
        <v>0.39116443973335474</v>
      </c>
      <c r="Q37" s="260">
        <f t="shared" si="10"/>
        <v>0.39117544161009354</v>
      </c>
      <c r="R37" s="260">
        <f t="shared" si="10"/>
        <v>0.38704740689129485</v>
      </c>
      <c r="S37" s="260">
        <f t="shared" si="10"/>
        <v>0.38005858273377774</v>
      </c>
      <c r="T37" s="260">
        <f t="shared" si="10"/>
        <v>0.37153991980379586</v>
      </c>
      <c r="U37" s="260">
        <f t="shared" si="10"/>
        <v>0.39135253693155447</v>
      </c>
      <c r="V37" s="260">
        <f t="shared" si="10"/>
        <v>0.40132901269710486</v>
      </c>
      <c r="W37" s="260">
        <f t="shared" si="10"/>
        <v>0.4116037699142242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6.0210773209294147E-2</v>
      </c>
      <c r="C38" s="260">
        <f t="shared" si="11"/>
        <v>6.2124089486200289E-2</v>
      </c>
      <c r="D38" s="260">
        <f t="shared" si="11"/>
        <v>6.194290648349822E-2</v>
      </c>
      <c r="E38" s="260">
        <f t="shared" si="11"/>
        <v>6.3492665034179427E-2</v>
      </c>
      <c r="F38" s="260">
        <f t="shared" si="11"/>
        <v>6.5770019658584186E-2</v>
      </c>
      <c r="G38" s="260">
        <f t="shared" si="11"/>
        <v>6.7472483377029005E-2</v>
      </c>
      <c r="H38" s="260">
        <f t="shared" si="11"/>
        <v>6.8652250367345249E-2</v>
      </c>
      <c r="I38" s="260">
        <f t="shared" si="11"/>
        <v>6.9128603548394563E-2</v>
      </c>
      <c r="J38" s="260">
        <f t="shared" si="11"/>
        <v>7.0862681702272903E-2</v>
      </c>
      <c r="K38" s="260">
        <f t="shared" si="11"/>
        <v>7.1976911201610413E-2</v>
      </c>
      <c r="L38" s="260">
        <f t="shared" si="11"/>
        <v>6.9433068980779611E-2</v>
      </c>
      <c r="M38" s="260">
        <f t="shared" si="11"/>
        <v>7.1641876677451061E-2</v>
      </c>
      <c r="N38" s="260">
        <f t="shared" si="11"/>
        <v>7.0664932923922091E-2</v>
      </c>
      <c r="O38" s="260">
        <f t="shared" si="11"/>
        <v>6.8679586752927083E-2</v>
      </c>
      <c r="P38" s="260">
        <f t="shared" si="11"/>
        <v>6.6315510638449357E-2</v>
      </c>
      <c r="Q38" s="260">
        <f t="shared" si="11"/>
        <v>6.6084643089659889E-2</v>
      </c>
      <c r="R38" s="260">
        <f t="shared" si="11"/>
        <v>6.6100205047646923E-2</v>
      </c>
      <c r="S38" s="260">
        <f t="shared" si="11"/>
        <v>6.7959530373215504E-2</v>
      </c>
      <c r="T38" s="260">
        <f t="shared" si="11"/>
        <v>6.9910860655961249E-2</v>
      </c>
      <c r="U38" s="260">
        <f t="shared" si="11"/>
        <v>6.5466303158784461E-2</v>
      </c>
      <c r="V38" s="260">
        <f t="shared" si="11"/>
        <v>6.2817624188991686E-2</v>
      </c>
      <c r="W38" s="260">
        <f t="shared" si="11"/>
        <v>6.0398921707169324E-2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2.5779486194966799</v>
      </c>
      <c r="C44" s="238">
        <f>IF(C$5=0,0,C$5/AGR_fec!C$5)</f>
        <v>2.516850628745043</v>
      </c>
      <c r="D44" s="238">
        <f>IF(D$5=0,0,D$5/AGR_fec!D$5)</f>
        <v>2.5783597299715142</v>
      </c>
      <c r="E44" s="238">
        <f>IF(E$5=0,0,E$5/AGR_fec!E$5)</f>
        <v>2.5053144851458335</v>
      </c>
      <c r="F44" s="238">
        <f>IF(F$5=0,0,F$5/AGR_fec!F$5)</f>
        <v>2.3727683640120509</v>
      </c>
      <c r="G44" s="238">
        <f>IF(G$5=0,0,G$5/AGR_fec!G$5)</f>
        <v>2.3416651151908123</v>
      </c>
      <c r="H44" s="238">
        <f>IF(H$5=0,0,H$5/AGR_fec!H$5)</f>
        <v>2.3116184967130335</v>
      </c>
      <c r="I44" s="238">
        <f>IF(I$5=0,0,I$5/AGR_fec!I$5)</f>
        <v>2.3069629182745319</v>
      </c>
      <c r="J44" s="238">
        <f>IF(J$5=0,0,J$5/AGR_fec!J$5)</f>
        <v>2.240968201735908</v>
      </c>
      <c r="K44" s="238">
        <f>IF(K$5=0,0,K$5/AGR_fec!K$5)</f>
        <v>2.1824132583086762</v>
      </c>
      <c r="L44" s="238">
        <f>IF(L$5=0,0,L$5/AGR_fec!L$5)</f>
        <v>2.2699927825773361</v>
      </c>
      <c r="M44" s="238">
        <f>IF(M$5=0,0,M$5/AGR_fec!M$5)</f>
        <v>2.1072753490422582</v>
      </c>
      <c r="N44" s="238">
        <f>IF(N$5=0,0,N$5/AGR_fec!N$5)</f>
        <v>2.1934669177023487</v>
      </c>
      <c r="O44" s="238">
        <f>IF(O$5=0,0,O$5/AGR_fec!O$5)</f>
        <v>2.2777465561420382</v>
      </c>
      <c r="P44" s="238">
        <f>IF(P$5=0,0,P$5/AGR_fec!P$5)</f>
        <v>2.3788431657149109</v>
      </c>
      <c r="Q44" s="238">
        <f>IF(Q$5=0,0,Q$5/AGR_fec!Q$5)</f>
        <v>2.3988366442871456</v>
      </c>
      <c r="R44" s="238">
        <f>IF(R$5=0,0,R$5/AGR_fec!R$5)</f>
        <v>2.4452910405786237</v>
      </c>
      <c r="S44" s="238">
        <f>IF(S$5=0,0,S$5/AGR_fec!S$5)</f>
        <v>2.3522911523433176</v>
      </c>
      <c r="T44" s="238">
        <f>IF(T$5=0,0,T$5/AGR_fec!T$5)</f>
        <v>2.2745454144618109</v>
      </c>
      <c r="U44" s="238">
        <f>IF(U$5=0,0,U$5/AGR_fec!U$5)</f>
        <v>2.453803684025575</v>
      </c>
      <c r="V44" s="238">
        <f>IF(V$5=0,0,V$5/AGR_fec!V$5)</f>
        <v>2.5958245430966844</v>
      </c>
      <c r="W44" s="238">
        <f>IF(W$5=0,0,W$5/AGR_fec!W$5)</f>
        <v>2.7206683750782608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2.6339858062838593</v>
      </c>
      <c r="C48" s="253">
        <f>IF(C$9=0,0,C$9/AGR_fec!C$9)</f>
        <v>2.5370282173062457</v>
      </c>
      <c r="D48" s="253">
        <f>IF(D$9=0,0,D$9/AGR_fec!D$9)</f>
        <v>2.6613162603240395</v>
      </c>
      <c r="E48" s="253">
        <f>IF(E$9=0,0,E$9/AGR_fec!E$9)</f>
        <v>2.5413228522779181</v>
      </c>
      <c r="F48" s="253">
        <f>IF(F$9=0,0,F$9/AGR_fec!F$9)</f>
        <v>2.3227985279044203</v>
      </c>
      <c r="G48" s="253">
        <f>IF(G$9=0,0,G$9/AGR_fec!G$9)</f>
        <v>2.2695575409304527</v>
      </c>
      <c r="H48" s="253">
        <f>IF(H$9=0,0,H$9/AGR_fec!H$9)</f>
        <v>2.2092601594252081</v>
      </c>
      <c r="I48" s="253">
        <f>IF(I$9=0,0,I$9/AGR_fec!I$9)</f>
        <v>2.1897373864579976</v>
      </c>
      <c r="J48" s="253">
        <f>IF(J$9=0,0,J$9/AGR_fec!J$9)</f>
        <v>2.0773762075968376</v>
      </c>
      <c r="K48" s="253">
        <f>IF(K$9=0,0,K$9/AGR_fec!K$9)</f>
        <v>1.9957753980049269</v>
      </c>
      <c r="L48" s="253">
        <f>IF(L$9=0,0,L$9/AGR_fec!L$9)</f>
        <v>2.1473665915541944</v>
      </c>
      <c r="M48" s="253">
        <f>IF(M$9=0,0,M$9/AGR_fec!M$9)</f>
        <v>1.8974969351615656</v>
      </c>
      <c r="N48" s="253">
        <f>IF(N$9=0,0,N$9/AGR_fec!N$9)</f>
        <v>2.0359705162380863</v>
      </c>
      <c r="O48" s="253">
        <f>IF(O$9=0,0,O$9/AGR_fec!O$9)</f>
        <v>2.1701400714917725</v>
      </c>
      <c r="P48" s="253">
        <f>IF(P$9=0,0,P$9/AGR_fec!P$9)</f>
        <v>2.3340796823446195</v>
      </c>
      <c r="Q48" s="253">
        <f>IF(Q$9=0,0,Q$9/AGR_fec!Q$9)</f>
        <v>2.3645045597960679</v>
      </c>
      <c r="R48" s="253">
        <f>IF(R$9=0,0,R$9/AGR_fec!R$9)</f>
        <v>2.4134464309303891</v>
      </c>
      <c r="S48" s="253">
        <f>IF(S$9=0,0,S$9/AGR_fec!S$9)</f>
        <v>2.2682732286855325</v>
      </c>
      <c r="T48" s="253">
        <f>IF(T$9=0,0,T$9/AGR_fec!T$9)</f>
        <v>2.1372377296803924</v>
      </c>
      <c r="U48" s="253">
        <f>IF(U$9=0,0,U$9/AGR_fec!U$9)</f>
        <v>2.4428897200639947</v>
      </c>
      <c r="V48" s="253">
        <f>IF(V$9=0,0,V$9/AGR_fec!V$9)</f>
        <v>2.6705653523523916</v>
      </c>
      <c r="W48" s="253">
        <f>IF(W$9=0,0,W$9/AGR_fec!W$9)</f>
        <v>2.8824542034029834</v>
      </c>
      <c r="DA48" s="290"/>
    </row>
    <row r="49" spans="1:105" x14ac:dyDescent="0.25">
      <c r="A49" s="128" t="s">
        <v>175</v>
      </c>
      <c r="B49" s="265">
        <f>IF(B$16=0,0,B$16/AGR_fec!B$16)</f>
        <v>3.102418800000001</v>
      </c>
      <c r="C49" s="265">
        <f>IF(C$16=0,0,C$16/AGR_fec!C$16)</f>
        <v>3.1024188000000006</v>
      </c>
      <c r="D49" s="265">
        <f>IF(D$16=0,0,D$16/AGR_fec!D$16)</f>
        <v>3.1024187999999993</v>
      </c>
      <c r="E49" s="265">
        <f>IF(E$16=0,0,E$16/AGR_fec!E$16)</f>
        <v>3.1024188000000001</v>
      </c>
      <c r="F49" s="265">
        <f>IF(F$16=0,0,F$16/AGR_fec!F$16)</f>
        <v>3.1024187999999997</v>
      </c>
      <c r="G49" s="265">
        <f>IF(G$16=0,0,G$16/AGR_fec!G$16)</f>
        <v>3.1024188000000006</v>
      </c>
      <c r="H49" s="265">
        <f>IF(H$16=0,0,H$16/AGR_fec!H$16)</f>
        <v>3.1024187999999993</v>
      </c>
      <c r="I49" s="265">
        <f>IF(I$16=0,0,I$16/AGR_fec!I$16)</f>
        <v>3.1024187999999997</v>
      </c>
      <c r="J49" s="265">
        <f>IF(J$16=0,0,J$16/AGR_fec!J$16)</f>
        <v>3.1024188000000006</v>
      </c>
      <c r="K49" s="265">
        <f>IF(K$16=0,0,K$16/AGR_fec!K$16)</f>
        <v>3.1024188000000015</v>
      </c>
      <c r="L49" s="265">
        <f>IF(L$16=0,0,L$16/AGR_fec!L$16)</f>
        <v>3.1024188000000006</v>
      </c>
      <c r="M49" s="265">
        <f>IF(M$16=0,0,M$16/AGR_fec!M$16)</f>
        <v>3.1024188000000001</v>
      </c>
      <c r="N49" s="265">
        <f>IF(N$16=0,0,N$16/AGR_fec!N$16)</f>
        <v>3.1024188000000006</v>
      </c>
      <c r="O49" s="265">
        <f>IF(O$16=0,0,O$16/AGR_fec!O$16)</f>
        <v>3.1024187999999993</v>
      </c>
      <c r="P49" s="265">
        <f>IF(P$16=0,0,P$16/AGR_fec!P$16)</f>
        <v>3.1024188000000001</v>
      </c>
      <c r="Q49" s="265">
        <f>IF(Q$16=0,0,Q$16/AGR_fec!Q$16)</f>
        <v>3.1024188000000006</v>
      </c>
      <c r="R49" s="265">
        <f>IF(R$16=0,0,R$16/AGR_fec!R$16)</f>
        <v>3.1024187999999997</v>
      </c>
      <c r="S49" s="265">
        <f>IF(S$16=0,0,S$16/AGR_fec!S$16)</f>
        <v>3.1024187999999997</v>
      </c>
      <c r="T49" s="265">
        <f>IF(T$16=0,0,T$16/AGR_fec!T$16)</f>
        <v>3.1024187999999997</v>
      </c>
      <c r="U49" s="265">
        <f>IF(U$16=0,0,U$16/AGR_fec!U$16)</f>
        <v>3.1024187999999997</v>
      </c>
      <c r="V49" s="265">
        <f>IF(V$16=0,0,V$16/AGR_fec!V$16)</f>
        <v>3.1024187999999997</v>
      </c>
      <c r="W49" s="265">
        <f>IF(W$16=0,0,W$16/AGR_fec!W$16)</f>
        <v>3.1024187999999993</v>
      </c>
      <c r="DA49" s="291"/>
    </row>
    <row r="50" spans="1:105" x14ac:dyDescent="0.25">
      <c r="A50" s="128" t="s">
        <v>121</v>
      </c>
      <c r="B50" s="265">
        <f>IF(B$17=0,0,B$17/AGR_fec!B$17)</f>
        <v>3.0172024798291615</v>
      </c>
      <c r="C50" s="265">
        <f>IF(C$17=0,0,C$17/AGR_fec!C$17)</f>
        <v>2.964618160341471</v>
      </c>
      <c r="D50" s="265">
        <f>IF(D$17=0,0,D$17/AGR_fec!D$17)</f>
        <v>2.9267720273365332</v>
      </c>
      <c r="E50" s="265">
        <f>IF(E$17=0,0,E$17/AGR_fec!E$17)</f>
        <v>2.7778437465452934</v>
      </c>
      <c r="F50" s="265">
        <f>IF(F$17=0,0,F$17/AGR_fec!F$17)</f>
        <v>2.6022869040625829</v>
      </c>
      <c r="G50" s="265">
        <f>IF(G$17=0,0,G$17/AGR_fec!G$17)</f>
        <v>2.4262585392268337</v>
      </c>
      <c r="H50" s="265">
        <f>IF(H$17=0,0,H$17/AGR_fec!H$17)</f>
        <v>2.3211509204082681</v>
      </c>
      <c r="I50" s="265">
        <f>IF(I$17=0,0,I$17/AGR_fec!I$17)</f>
        <v>2.2770452028802652</v>
      </c>
      <c r="J50" s="265">
        <f>IF(J$17=0,0,J$17/AGR_fec!J$17)</f>
        <v>2.150263242522112</v>
      </c>
      <c r="K50" s="265">
        <f>IF(K$17=0,0,K$17/AGR_fec!K$17)</f>
        <v>2.0823720751363224</v>
      </c>
      <c r="L50" s="265">
        <f>IF(L$17=0,0,L$17/AGR_fec!L$17)</f>
        <v>2.2694639610421814</v>
      </c>
      <c r="M50" s="265">
        <f>IF(M$17=0,0,M$17/AGR_fec!M$17)</f>
        <v>2.1731392527028421</v>
      </c>
      <c r="N50" s="265">
        <f>IF(N$17=0,0,N$17/AGR_fec!N$17)</f>
        <v>2.2009479564445238</v>
      </c>
      <c r="O50" s="265">
        <f>IF(O$17=0,0,O$17/AGR_fec!O$17)</f>
        <v>2.3441971846947891</v>
      </c>
      <c r="P50" s="265">
        <f>IF(P$17=0,0,P$17/AGR_fec!P$17)</f>
        <v>2.5317495259477889</v>
      </c>
      <c r="Q50" s="265">
        <f>IF(Q$17=0,0,Q$17/AGR_fec!Q$17)</f>
        <v>2.5430818883230564</v>
      </c>
      <c r="R50" s="265">
        <f>IF(R$17=0,0,R$17/AGR_fec!R$17)</f>
        <v>2.5096014147519745</v>
      </c>
      <c r="S50" s="265">
        <f>IF(S$17=0,0,S$17/AGR_fec!S$17)</f>
        <v>2.3689921402358176</v>
      </c>
      <c r="T50" s="265">
        <f>IF(T$17=0,0,T$17/AGR_fec!T$17)</f>
        <v>2.2217619800699855</v>
      </c>
      <c r="U50" s="265">
        <f>IF(U$17=0,0,U$17/AGR_fec!U$17)</f>
        <v>2.5750030632011156</v>
      </c>
      <c r="V50" s="265">
        <f>IF(V$17=0,0,V$17/AGR_fec!V$17)</f>
        <v>2.7969654623936742</v>
      </c>
      <c r="W50" s="265">
        <f>IF(W$17=0,0,W$17/AGR_fec!W$17)</f>
        <v>3.0288697303640464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3.1024187999999993</v>
      </c>
      <c r="D51" s="265">
        <f>IF(D$25=0,0,D$25/AGR_fec!D$25)</f>
        <v>3.1024188000000001</v>
      </c>
      <c r="E51" s="265">
        <f>IF(E$25=0,0,E$25/AGR_fec!E$25)</f>
        <v>3.1024188000000015</v>
      </c>
      <c r="F51" s="265">
        <f>IF(F$25=0,0,F$25/AGR_fec!F$25)</f>
        <v>3.1024187999999984</v>
      </c>
      <c r="G51" s="265">
        <f>IF(G$25=0,0,G$25/AGR_fec!G$25)</f>
        <v>3.1024188000000006</v>
      </c>
      <c r="H51" s="265">
        <f>IF(H$25=0,0,H$25/AGR_fec!H$25)</f>
        <v>3.1024187999999993</v>
      </c>
      <c r="I51" s="265">
        <f>IF(I$25=0,0,I$25/AGR_fec!I$25)</f>
        <v>3.1024188000000006</v>
      </c>
      <c r="J51" s="265">
        <f>IF(J$25=0,0,J$25/AGR_fec!J$25)</f>
        <v>3.1024188000000001</v>
      </c>
      <c r="K51" s="265">
        <f>IF(K$25=0,0,K$25/AGR_fec!K$25)</f>
        <v>3.1024187999999997</v>
      </c>
      <c r="L51" s="265">
        <f>IF(L$25=0,0,L$25/AGR_fec!L$25)</f>
        <v>3.1024187999999993</v>
      </c>
      <c r="M51" s="265">
        <f>IF(M$25=0,0,M$25/AGR_fec!M$25)</f>
        <v>3.1024187999999993</v>
      </c>
      <c r="N51" s="265">
        <f>IF(N$25=0,0,N$25/AGR_fec!N$25)</f>
        <v>3.102418800000001</v>
      </c>
      <c r="O51" s="265">
        <f>IF(O$25=0,0,O$25/AGR_fec!O$25)</f>
        <v>3.1024188000000001</v>
      </c>
      <c r="P51" s="265">
        <f>IF(P$25=0,0,P$25/AGR_fec!P$25)</f>
        <v>3.1024187999999997</v>
      </c>
      <c r="Q51" s="265">
        <f>IF(Q$25=0,0,Q$25/AGR_fec!Q$25)</f>
        <v>3.102418800000001</v>
      </c>
      <c r="R51" s="265">
        <f>IF(R$25=0,0,R$25/AGR_fec!R$25)</f>
        <v>3.102418800000001</v>
      </c>
      <c r="S51" s="265">
        <f>IF(S$25=0,0,S$25/AGR_fec!S$25)</f>
        <v>3.102418800000001</v>
      </c>
      <c r="T51" s="265">
        <f>IF(T$25=0,0,T$25/AGR_fec!T$25)</f>
        <v>3.1024187999999997</v>
      </c>
      <c r="U51" s="265">
        <f>IF(U$25=0,0,U$25/AGR_fec!U$25)</f>
        <v>3.102418800000001</v>
      </c>
      <c r="V51" s="265">
        <f>IF(V$25=0,0,V$25/AGR_fec!V$25)</f>
        <v>3.1024188000000006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E3EE46-B2C3-4395-903C-E6A4C09C0BDF}"/>
</file>

<file path=customXml/itemProps2.xml><?xml version="1.0" encoding="utf-8"?>
<ds:datastoreItem xmlns:ds="http://schemas.openxmlformats.org/officeDocument/2006/customXml" ds:itemID="{5E0438B1-44D9-4D42-B7AA-D6FB53A173C9}"/>
</file>

<file path=customXml/itemProps3.xml><?xml version="1.0" encoding="utf-8"?>
<ds:datastoreItem xmlns:ds="http://schemas.openxmlformats.org/officeDocument/2006/customXml" ds:itemID="{DA674600-3CEA-440C-8720-E6FF94CA4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2024-05-20T16:53:05Z</dcterms:created>
  <dcterms:modified xsi:type="dcterms:W3CDTF">2024-05-20T16:53:06Z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