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N30" i="3"/>
  <c r="M30" i="3"/>
  <c r="K30" i="3"/>
  <c r="J30" i="3"/>
  <c r="I30" i="3"/>
  <c r="H30" i="3"/>
  <c r="G30" i="3"/>
  <c r="C30" i="3"/>
  <c r="B30" i="3"/>
  <c r="B24" i="1"/>
  <c r="B25" i="1"/>
  <c r="B26" i="1"/>
  <c r="P18" i="20" l="1"/>
  <c r="C18" i="20"/>
  <c r="E3" i="20"/>
  <c r="E22" i="20" s="1"/>
  <c r="C242" i="3"/>
  <c r="S242" i="3"/>
  <c r="W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R242" i="3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I213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8" i="18"/>
  <c r="I21" i="18"/>
  <c r="N3" i="18"/>
  <c r="N17" i="18" s="1"/>
  <c r="U14" i="18"/>
  <c r="F22" i="20"/>
  <c r="P14" i="18"/>
  <c r="J14" i="20"/>
  <c r="O3" i="20"/>
  <c r="O23" i="20" s="1"/>
  <c r="O3" i="18"/>
  <c r="O18" i="18" s="1"/>
  <c r="N3" i="20"/>
  <c r="N13" i="20" s="1"/>
  <c r="L10" i="20"/>
  <c r="R23" i="18"/>
  <c r="Q14" i="20"/>
  <c r="Q3" i="20"/>
  <c r="Q22" i="20" s="1"/>
  <c r="C19" i="20"/>
  <c r="E14" i="18"/>
  <c r="M14" i="18"/>
  <c r="E19" i="18"/>
  <c r="U19" i="18"/>
  <c r="I22" i="18"/>
  <c r="S23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R212" i="3" s="1"/>
  <c r="I18" i="20"/>
  <c r="J19" i="20"/>
  <c r="H3" i="18"/>
  <c r="H18" i="18" s="1"/>
  <c r="I3" i="18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L23" i="18"/>
  <c r="T23" i="18"/>
  <c r="H14" i="18"/>
  <c r="B15" i="18"/>
  <c r="R15" i="18"/>
  <c r="D10" i="19"/>
  <c r="L10" i="19"/>
  <c r="T10" i="19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S22" i="18"/>
  <c r="E23" i="18"/>
  <c r="M23" i="18"/>
  <c r="I14" i="18"/>
  <c r="C15" i="18"/>
  <c r="S15" i="18"/>
  <c r="K23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I19" i="18"/>
  <c r="E22" i="18"/>
  <c r="U15" i="18"/>
  <c r="W24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U29" i="3" l="1"/>
  <c r="F24" i="19"/>
  <c r="H3" i="19"/>
  <c r="H23" i="19" s="1"/>
  <c r="F20" i="19"/>
  <c r="H20" i="19"/>
  <c r="N20" i="19"/>
  <c r="G24" i="19"/>
  <c r="T24" i="19"/>
  <c r="L20" i="19"/>
  <c r="E17" i="20"/>
  <c r="F89" i="3"/>
  <c r="F181" i="3" s="1"/>
  <c r="W17" i="20"/>
  <c r="E21" i="20"/>
  <c r="L21" i="20"/>
  <c r="H11" i="20"/>
  <c r="Q11" i="20"/>
  <c r="R21" i="19"/>
  <c r="M24" i="19"/>
  <c r="Q25" i="19"/>
  <c r="J21" i="19"/>
  <c r="W10" i="20"/>
  <c r="J11" i="20"/>
  <c r="G25" i="19"/>
  <c r="Q10" i="20"/>
  <c r="Q21" i="19"/>
  <c r="Q24" i="19"/>
  <c r="U24" i="19"/>
  <c r="N29" i="3"/>
  <c r="N241" i="3" s="1"/>
  <c r="M22" i="18"/>
  <c r="N10" i="20"/>
  <c r="S10" i="20"/>
  <c r="N24" i="19"/>
  <c r="P10" i="20"/>
  <c r="O11" i="20"/>
  <c r="T20" i="19"/>
  <c r="R25" i="19"/>
  <c r="W3" i="19"/>
  <c r="W28" i="19" s="1"/>
  <c r="P24" i="19"/>
  <c r="M22" i="20"/>
  <c r="K20" i="19"/>
  <c r="O21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P122" i="3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F241" i="3"/>
  <c r="B121" i="3"/>
  <c r="B241" i="3"/>
  <c r="I183" i="3"/>
  <c r="Q123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R241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U182" i="3"/>
  <c r="K183" i="3"/>
  <c r="E183" i="3"/>
  <c r="D181" i="3"/>
  <c r="D182" i="3"/>
  <c r="R183" i="3"/>
  <c r="R181" i="3"/>
  <c r="M182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E23" i="19"/>
  <c r="J17" i="18"/>
  <c r="J13" i="18"/>
  <c r="E28" i="19"/>
  <c r="N9" i="20"/>
  <c r="C25" i="19"/>
  <c r="C21" i="19"/>
  <c r="C3" i="19"/>
  <c r="C9" i="20" s="1"/>
  <c r="J19" i="18"/>
  <c r="T11" i="20"/>
  <c r="H19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9" i="20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M27" i="19" l="1"/>
  <c r="M19" i="19"/>
  <c r="Q23" i="19"/>
  <c r="N121" i="3"/>
  <c r="L121" i="3"/>
  <c r="W23" i="19"/>
  <c r="G27" i="19"/>
  <c r="W27" i="19"/>
  <c r="W19" i="19"/>
  <c r="W9" i="20"/>
  <c r="P121" i="3"/>
  <c r="Q241" i="3"/>
  <c r="P27" i="19"/>
  <c r="E27" i="19"/>
  <c r="T241" i="3"/>
  <c r="T123" i="3"/>
  <c r="N123" i="3"/>
  <c r="N122" i="3"/>
  <c r="N19" i="19"/>
  <c r="N27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M211" i="3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151" i="3" l="1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U10" i="5" l="1"/>
  <c r="S10" i="5"/>
  <c r="Q10" i="5"/>
  <c r="P10" i="5"/>
  <c r="M10" i="5"/>
  <c r="K10" i="5"/>
  <c r="I10" i="5"/>
  <c r="H10" i="5"/>
  <c r="E10" i="5"/>
  <c r="C10" i="5"/>
  <c r="B10" i="5" l="1"/>
  <c r="J10" i="5"/>
  <c r="R10" i="5"/>
  <c r="L10" i="5"/>
  <c r="F10" i="5"/>
  <c r="N10" i="5"/>
  <c r="V10" i="5"/>
  <c r="T10" i="5"/>
  <c r="G10" i="5"/>
  <c r="O10" i="5"/>
  <c r="W10" i="5"/>
  <c r="D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6" i="3"/>
  <c r="W11" i="3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217" i="4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2" i="9"/>
  <c r="W59" i="9"/>
  <c r="W65" i="9"/>
  <c r="W193" i="3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R60" i="7" l="1"/>
  <c r="W61" i="9"/>
  <c r="H60" i="7"/>
  <c r="N84" i="4"/>
  <c r="W64" i="9"/>
  <c r="W58" i="9"/>
  <c r="W63" i="9"/>
  <c r="W57" i="9"/>
  <c r="Q75" i="7"/>
  <c r="F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200" i="4" s="1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96" i="6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218" i="4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99" i="4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01" i="6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46" i="4" s="1"/>
  <c r="U265" i="4" s="1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84" i="4" s="1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83" i="6" s="1"/>
  <c r="Q14" i="4"/>
  <c r="D15" i="4"/>
  <c r="Q16" i="4"/>
  <c r="Q207" i="4" s="1"/>
  <c r="D17" i="4"/>
  <c r="D101" i="5" s="1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3" i="7" s="1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99" i="5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98" i="5" s="1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92" i="5" s="1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P184" i="4" s="1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U88" i="6" s="1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Q208" i="4" s="1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106" i="6" s="1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U202" i="4" s="1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0" i="7" s="1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I101" i="6" s="1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18" i="4" s="1"/>
  <c r="S191" i="4"/>
  <c r="S78" i="6"/>
  <c r="S220" i="7" s="1"/>
  <c r="G28" i="4"/>
  <c r="G219" i="4" s="1"/>
  <c r="G192" i="4"/>
  <c r="G79" i="6"/>
  <c r="G221" i="7" s="1"/>
  <c r="O28" i="4"/>
  <c r="O106" i="6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G77" i="6" s="1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77" i="6" s="1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M17" i="4"/>
  <c r="M208" i="4" s="1"/>
  <c r="Q18" i="4"/>
  <c r="Q102" i="5" s="1"/>
  <c r="D21" i="4"/>
  <c r="M21" i="4"/>
  <c r="M212" i="4" s="1"/>
  <c r="Q22" i="4"/>
  <c r="Q106" i="5" s="1"/>
  <c r="D23" i="4"/>
  <c r="D214" i="4" s="1"/>
  <c r="M23" i="4"/>
  <c r="M214" i="4" s="1"/>
  <c r="Q24" i="4"/>
  <c r="Q102" i="6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R206" i="4"/>
  <c r="R93" i="6"/>
  <c r="R99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71" i="6"/>
  <c r="O77" i="5"/>
  <c r="P190" i="4"/>
  <c r="P83" i="5"/>
  <c r="P138" i="7" s="1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G46" i="4"/>
  <c r="G271" i="4" s="1"/>
  <c r="Q184" i="4"/>
  <c r="R190" i="4"/>
  <c r="R77" i="6"/>
  <c r="R219" i="7" s="1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K70" i="5"/>
  <c r="K125" i="7" s="1"/>
  <c r="H184" i="4"/>
  <c r="H77" i="5"/>
  <c r="H132" i="7" s="1"/>
  <c r="R184" i="4"/>
  <c r="R77" i="5"/>
  <c r="R132" i="7" s="1"/>
  <c r="G83" i="5"/>
  <c r="V77" i="6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M99" i="6"/>
  <c r="R199" i="4"/>
  <c r="R86" i="6"/>
  <c r="R92" i="5"/>
  <c r="N219" i="4"/>
  <c r="N106" i="6"/>
  <c r="N112" i="5"/>
  <c r="B202" i="4"/>
  <c r="B89" i="6"/>
  <c r="B95" i="5"/>
  <c r="I206" i="4"/>
  <c r="I93" i="6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57" i="6"/>
  <c r="J251" i="4"/>
  <c r="V63" i="5"/>
  <c r="N273" i="4"/>
  <c r="N269" i="4"/>
  <c r="N267" i="4"/>
  <c r="N272" i="4"/>
  <c r="N270" i="4"/>
  <c r="N268" i="4"/>
  <c r="N266" i="4"/>
  <c r="N264" i="4"/>
  <c r="I184" i="4"/>
  <c r="U184" i="4"/>
  <c r="I83" i="5"/>
  <c r="O219" i="4"/>
  <c r="F58" i="4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U89" i="5"/>
  <c r="T201" i="4"/>
  <c r="T88" i="6"/>
  <c r="T94" i="5"/>
  <c r="Q212" i="4"/>
  <c r="Q99" i="6"/>
  <c r="Q105" i="5"/>
  <c r="P198" i="4"/>
  <c r="P85" i="6"/>
  <c r="P91" i="5"/>
  <c r="U201" i="4"/>
  <c r="V202" i="4"/>
  <c r="V89" i="6"/>
  <c r="V95" i="5"/>
  <c r="M205" i="4"/>
  <c r="M92" i="6"/>
  <c r="M98" i="5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96" i="6"/>
  <c r="I108" i="5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S202" i="4"/>
  <c r="S89" i="6"/>
  <c r="S95" i="5"/>
  <c r="C177" i="4"/>
  <c r="C64" i="6"/>
  <c r="C206" i="7" s="1"/>
  <c r="Q46" i="4"/>
  <c r="Q265" i="4" s="1"/>
  <c r="V71" i="6"/>
  <c r="V77" i="5"/>
  <c r="J77" i="6"/>
  <c r="J219" i="7" s="1"/>
  <c r="D26" i="4"/>
  <c r="D111" i="5"/>
  <c r="P73" i="4"/>
  <c r="P19" i="7" s="1"/>
  <c r="P20" i="7"/>
  <c r="V127" i="4"/>
  <c r="V46" i="7" s="1"/>
  <c r="V47" i="7"/>
  <c r="R47" i="7"/>
  <c r="U198" i="4"/>
  <c r="U85" i="6"/>
  <c r="U91" i="5"/>
  <c r="U89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50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88" i="6"/>
  <c r="V94" i="5"/>
  <c r="O206" i="4"/>
  <c r="O93" i="6"/>
  <c r="O99" i="5"/>
  <c r="T209" i="4"/>
  <c r="T96" i="6"/>
  <c r="T102" i="5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95" i="5"/>
  <c r="F229" i="4"/>
  <c r="E205" i="4"/>
  <c r="E92" i="6"/>
  <c r="E98" i="5"/>
  <c r="E213" i="4"/>
  <c r="E100" i="6"/>
  <c r="E106" i="5"/>
  <c r="K215" i="4"/>
  <c r="K102" i="6"/>
  <c r="K108" i="5"/>
  <c r="B219" i="4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M184" i="4"/>
  <c r="M71" i="6"/>
  <c r="M213" i="7" s="1"/>
  <c r="M77" i="5"/>
  <c r="M132" i="7" s="1"/>
  <c r="S212" i="4"/>
  <c r="S99" i="6"/>
  <c r="S105" i="5"/>
  <c r="S214" i="4"/>
  <c r="N77" i="6"/>
  <c r="N271" i="4"/>
  <c r="N83" i="5"/>
  <c r="U83" i="5"/>
  <c r="D73" i="4"/>
  <c r="D26" i="7"/>
  <c r="M73" i="4"/>
  <c r="M26" i="7"/>
  <c r="J127" i="4"/>
  <c r="J46" i="7" s="1"/>
  <c r="J47" i="7"/>
  <c r="S47" i="7"/>
  <c r="I88" i="6"/>
  <c r="I214" i="4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258" i="4"/>
  <c r="Q177" i="4"/>
  <c r="Q64" i="6"/>
  <c r="Q206" i="7" s="1"/>
  <c r="Q70" i="5"/>
  <c r="Q125" i="7" s="1"/>
  <c r="V46" i="4"/>
  <c r="N71" i="6"/>
  <c r="N265" i="4"/>
  <c r="N77" i="5"/>
  <c r="O77" i="6"/>
  <c r="O83" i="5"/>
  <c r="I58" i="4"/>
  <c r="I4" i="7" s="1"/>
  <c r="I13" i="7"/>
  <c r="R73" i="4"/>
  <c r="R19" i="7" s="1"/>
  <c r="R20" i="7"/>
  <c r="G112" i="4"/>
  <c r="E252" i="4"/>
  <c r="R253" i="4"/>
  <c r="O109" i="5"/>
  <c r="V83" i="6"/>
  <c r="Q215" i="4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U99" i="6" l="1"/>
  <c r="N206" i="4"/>
  <c r="N112" i="4"/>
  <c r="N31" i="7" s="1"/>
  <c r="V257" i="4"/>
  <c r="T111" i="6"/>
  <c r="M47" i="7"/>
  <c r="U212" i="4"/>
  <c r="Q90" i="6"/>
  <c r="Q203" i="4"/>
  <c r="F218" i="4"/>
  <c r="I64" i="6"/>
  <c r="U98" i="5"/>
  <c r="M105" i="5"/>
  <c r="B63" i="5"/>
  <c r="Q108" i="5"/>
  <c r="Q106" i="6"/>
  <c r="D47" i="6"/>
  <c r="Q26" i="4"/>
  <c r="Q219" i="4"/>
  <c r="B71" i="6"/>
  <c r="B213" i="7" s="1"/>
  <c r="T125" i="6"/>
  <c r="K18" i="5"/>
  <c r="R61" i="5"/>
  <c r="R59" i="7"/>
  <c r="B184" i="4"/>
  <c r="O47" i="6"/>
  <c r="Q59" i="7"/>
  <c r="S26" i="4"/>
  <c r="T184" i="4"/>
  <c r="S47" i="6"/>
  <c r="O271" i="4"/>
  <c r="Q117" i="5"/>
  <c r="I59" i="7"/>
  <c r="O26" i="4"/>
  <c r="B88" i="6"/>
  <c r="S107" i="5"/>
  <c r="D105" i="6"/>
  <c r="O112" i="5"/>
  <c r="O102" i="5"/>
  <c r="K112" i="4"/>
  <c r="K31" i="7" s="1"/>
  <c r="R177" i="4"/>
  <c r="G77" i="5"/>
  <c r="G132" i="7" s="1"/>
  <c r="F206" i="7"/>
  <c r="C111" i="6"/>
  <c r="U132" i="7"/>
  <c r="B73" i="4"/>
  <c r="B19" i="7" s="1"/>
  <c r="E58" i="4"/>
  <c r="E168" i="4" s="1"/>
  <c r="M216" i="4"/>
  <c r="I199" i="4"/>
  <c r="M203" i="4"/>
  <c r="U95" i="5"/>
  <c r="T112" i="4"/>
  <c r="F125" i="7"/>
  <c r="J112" i="4"/>
  <c r="J31" i="7" s="1"/>
  <c r="O106" i="5"/>
  <c r="Q101" i="5"/>
  <c r="U213" i="7"/>
  <c r="B86" i="6"/>
  <c r="E190" i="4"/>
  <c r="O100" i="6"/>
  <c r="F89" i="6"/>
  <c r="Q95" i="6"/>
  <c r="M200" i="4"/>
  <c r="V132" i="7"/>
  <c r="U196" i="4"/>
  <c r="V20" i="7"/>
  <c r="C111" i="5"/>
  <c r="V219" i="7"/>
  <c r="Q213" i="4"/>
  <c r="I93" i="5"/>
  <c r="M64" i="6"/>
  <c r="M206" i="7" s="1"/>
  <c r="R13" i="7"/>
  <c r="I107" i="5"/>
  <c r="U73" i="4"/>
  <c r="B112" i="5"/>
  <c r="H86" i="6"/>
  <c r="V213" i="7"/>
  <c r="U94" i="5"/>
  <c r="V73" i="4"/>
  <c r="V19" i="7" s="1"/>
  <c r="I87" i="6"/>
  <c r="U77" i="6"/>
  <c r="B77" i="5"/>
  <c r="B132" i="7" s="1"/>
  <c r="R58" i="4"/>
  <c r="B207" i="4"/>
  <c r="H199" i="4"/>
  <c r="V184" i="4"/>
  <c r="G184" i="4"/>
  <c r="V125" i="6"/>
  <c r="O64" i="6"/>
  <c r="O206" i="7" s="1"/>
  <c r="O70" i="5"/>
  <c r="O125" i="7" s="1"/>
  <c r="N18" i="5"/>
  <c r="U263" i="4"/>
  <c r="E209" i="4"/>
  <c r="R127" i="4"/>
  <c r="R46" i="7" s="1"/>
  <c r="R266" i="4"/>
  <c r="I138" i="7"/>
  <c r="M58" i="4"/>
  <c r="M4" i="7" s="1"/>
  <c r="R268" i="4"/>
  <c r="S101" i="5"/>
  <c r="U63" i="5"/>
  <c r="U118" i="7" s="1"/>
  <c r="S112" i="4"/>
  <c r="S31" i="7" s="1"/>
  <c r="R270" i="4"/>
  <c r="S95" i="6"/>
  <c r="H199" i="7"/>
  <c r="N250" i="4"/>
  <c r="S111" i="5"/>
  <c r="O132" i="7"/>
  <c r="V252" i="4"/>
  <c r="H118" i="7"/>
  <c r="U125" i="7"/>
  <c r="H58" i="4"/>
  <c r="H4" i="7" s="1"/>
  <c r="S105" i="6"/>
  <c r="O213" i="7"/>
  <c r="V250" i="4"/>
  <c r="O125" i="6"/>
  <c r="M199" i="7"/>
  <c r="C58" i="4"/>
  <c r="C4" i="7" s="1"/>
  <c r="U256" i="4"/>
  <c r="O20" i="7"/>
  <c r="V251" i="4"/>
  <c r="U170" i="4"/>
  <c r="V262" i="4"/>
  <c r="U59" i="7"/>
  <c r="T213" i="7"/>
  <c r="M13" i="4"/>
  <c r="M204" i="4" s="1"/>
  <c r="K184" i="4"/>
  <c r="B57" i="6"/>
  <c r="B199" i="7" s="1"/>
  <c r="P71" i="6"/>
  <c r="P213" i="7" s="1"/>
  <c r="O6" i="4"/>
  <c r="S42" i="5"/>
  <c r="W231" i="4"/>
  <c r="Q91" i="5"/>
  <c r="M196" i="4"/>
  <c r="U20" i="4"/>
  <c r="U211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110" i="5" s="1"/>
  <c r="O20" i="4"/>
  <c r="O19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150" i="4" s="1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68" i="4" s="1"/>
  <c r="S216" i="4"/>
  <c r="G190" i="4"/>
  <c r="Q57" i="6"/>
  <c r="Q199" i="7" s="1"/>
  <c r="N200" i="4"/>
  <c r="V206" i="7"/>
  <c r="G137" i="5"/>
  <c r="V6" i="4"/>
  <c r="V143" i="4" s="1"/>
  <c r="U6" i="4"/>
  <c r="U84" i="6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R4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97" i="5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97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B197" i="4"/>
  <c r="B84" i="6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204" i="4"/>
  <c r="N91" i="6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84" i="6"/>
  <c r="O57" i="4"/>
  <c r="O3" i="7" s="1"/>
  <c r="O4" i="7"/>
  <c r="F204" i="4"/>
  <c r="J163" i="4"/>
  <c r="J217" i="4"/>
  <c r="J104" i="6"/>
  <c r="J110" i="5"/>
  <c r="B177" i="4"/>
  <c r="B64" i="6"/>
  <c r="B206" i="7" s="1"/>
  <c r="B70" i="5"/>
  <c r="B125" i="7" s="1"/>
  <c r="I90" i="5"/>
  <c r="R91" i="6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E30" i="4"/>
  <c r="E70" i="6"/>
  <c r="E273" i="4"/>
  <c r="E269" i="4"/>
  <c r="E267" i="4"/>
  <c r="E272" i="4"/>
  <c r="E270" i="4"/>
  <c r="E268" i="4"/>
  <c r="E266" i="4"/>
  <c r="E264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J183" i="4"/>
  <c r="U150" i="4"/>
  <c r="U204" i="4"/>
  <c r="U91" i="6"/>
  <c r="U97" i="5"/>
  <c r="O163" i="4"/>
  <c r="O217" i="4"/>
  <c r="O104" i="6"/>
  <c r="O110" i="5"/>
  <c r="U143" i="4"/>
  <c r="U90" i="5"/>
  <c r="K143" i="4"/>
  <c r="K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C184" i="4"/>
  <c r="C71" i="6"/>
  <c r="C213" i="7" s="1"/>
  <c r="C77" i="5"/>
  <c r="C132" i="7" s="1"/>
  <c r="C196" i="4"/>
  <c r="C83" i="6"/>
  <c r="C89" i="5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204" i="4"/>
  <c r="K91" i="6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T208" i="4"/>
  <c r="T95" i="6"/>
  <c r="T101" i="5"/>
  <c r="S91" i="6"/>
  <c r="S97" i="5"/>
  <c r="G199" i="4"/>
  <c r="G86" i="6"/>
  <c r="G92" i="5"/>
  <c r="K104" i="6"/>
  <c r="K110" i="5"/>
  <c r="H6" i="4"/>
  <c r="H203" i="4"/>
  <c r="H90" i="6"/>
  <c r="H96" i="5"/>
  <c r="G31" i="7"/>
  <c r="G111" i="4"/>
  <c r="G30" i="7" s="1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N183" i="4"/>
  <c r="J168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70" i="6"/>
  <c r="G272" i="4"/>
  <c r="G270" i="4"/>
  <c r="G268" i="4"/>
  <c r="G266" i="4"/>
  <c r="G264" i="4"/>
  <c r="G273" i="4"/>
  <c r="G269" i="4"/>
  <c r="G267" i="4"/>
  <c r="F168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69" i="4"/>
  <c r="T267" i="4"/>
  <c r="T272" i="4"/>
  <c r="T266" i="4"/>
  <c r="T264" i="4"/>
  <c r="H201" i="4"/>
  <c r="H88" i="6"/>
  <c r="H94" i="5"/>
  <c r="T265" i="4"/>
  <c r="E84" i="6"/>
  <c r="E90" i="5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143" i="4"/>
  <c r="P13" i="4"/>
  <c r="H157" i="4"/>
  <c r="M150" i="4"/>
  <c r="V19" i="4"/>
  <c r="V157" i="4"/>
  <c r="U4" i="4"/>
  <c r="H13" i="4"/>
  <c r="U157" i="4"/>
  <c r="N19" i="4"/>
  <c r="N244" i="4" s="1"/>
  <c r="N157" i="4"/>
  <c r="O157" i="4"/>
  <c r="T6" i="4"/>
  <c r="C46" i="4"/>
  <c r="C271" i="4" s="1"/>
  <c r="R19" i="4"/>
  <c r="R244" i="4" s="1"/>
  <c r="I19" i="4"/>
  <c r="I244" i="4" s="1"/>
  <c r="E19" i="4"/>
  <c r="E238" i="4" s="1"/>
  <c r="C258" i="4" l="1"/>
  <c r="E143" i="4"/>
  <c r="T270" i="4"/>
  <c r="Q150" i="4"/>
  <c r="U197" i="4"/>
  <c r="N97" i="5"/>
  <c r="B57" i="4"/>
  <c r="B3" i="7" s="1"/>
  <c r="U19" i="4"/>
  <c r="U244" i="4" s="1"/>
  <c r="K217" i="4"/>
  <c r="O104" i="5"/>
  <c r="K84" i="6"/>
  <c r="R17" i="6"/>
  <c r="R136" i="6" s="1"/>
  <c r="J57" i="4"/>
  <c r="J3" i="7" s="1"/>
  <c r="B17" i="5"/>
  <c r="B144" i="5" s="1"/>
  <c r="V183" i="4"/>
  <c r="Q211" i="4"/>
  <c r="T273" i="4"/>
  <c r="B183" i="4"/>
  <c r="O98" i="6"/>
  <c r="B4" i="4"/>
  <c r="B231" i="4" s="1"/>
  <c r="K4" i="4"/>
  <c r="K223" i="4" s="1"/>
  <c r="V4" i="4"/>
  <c r="V231" i="4" s="1"/>
  <c r="F4" i="4"/>
  <c r="F231" i="4" s="1"/>
  <c r="M104" i="6"/>
  <c r="K97" i="5"/>
  <c r="B90" i="5"/>
  <c r="V197" i="4"/>
  <c r="S204" i="4"/>
  <c r="K150" i="4"/>
  <c r="S19" i="4"/>
  <c r="S241" i="4" s="1"/>
  <c r="B143" i="4"/>
  <c r="M97" i="5"/>
  <c r="J4" i="7"/>
  <c r="M91" i="6"/>
  <c r="M4" i="4"/>
  <c r="M231" i="4" s="1"/>
  <c r="S4" i="4"/>
  <c r="S223" i="4" s="1"/>
  <c r="D4" i="4"/>
  <c r="D225" i="4" s="1"/>
  <c r="R204" i="4"/>
  <c r="H168" i="4"/>
  <c r="R97" i="5"/>
  <c r="S90" i="5"/>
  <c r="M76" i="5"/>
  <c r="E4" i="7"/>
  <c r="R150" i="4"/>
  <c r="S143" i="4"/>
  <c r="D91" i="6"/>
  <c r="S197" i="4"/>
  <c r="G183" i="4"/>
  <c r="Q90" i="5"/>
  <c r="H57" i="4"/>
  <c r="H3" i="7" s="1"/>
  <c r="D204" i="4"/>
  <c r="C61" i="5"/>
  <c r="Q84" i="6"/>
  <c r="K111" i="4"/>
  <c r="K30" i="7" s="1"/>
  <c r="D150" i="4"/>
  <c r="Q4" i="4"/>
  <c r="Q226" i="4" s="1"/>
  <c r="Q197" i="4"/>
  <c r="N57" i="4"/>
  <c r="N3" i="7" s="1"/>
  <c r="C111" i="4"/>
  <c r="C30" i="7" s="1"/>
  <c r="D57" i="4"/>
  <c r="D3" i="7" s="1"/>
  <c r="I84" i="6"/>
  <c r="B110" i="5"/>
  <c r="I197" i="4"/>
  <c r="B104" i="6"/>
  <c r="B217" i="4"/>
  <c r="S17" i="5"/>
  <c r="S142" i="5" s="1"/>
  <c r="O111" i="4"/>
  <c r="O30" i="7" s="1"/>
  <c r="B19" i="4"/>
  <c r="P3" i="7"/>
  <c r="P167" i="4"/>
  <c r="C157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54" i="5"/>
  <c r="S162" i="5"/>
  <c r="S148" i="5"/>
  <c r="S152" i="5"/>
  <c r="S145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7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224" i="4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1" i="6"/>
  <c r="H149" i="6"/>
  <c r="H146" i="6"/>
  <c r="H148" i="6"/>
  <c r="H159" i="6"/>
  <c r="H156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82" i="6"/>
  <c r="Q88" i="5"/>
  <c r="Q235" i="4"/>
  <c r="Q228" i="4"/>
  <c r="Q230" i="4"/>
  <c r="Q227" i="4"/>
  <c r="Q234" i="4"/>
  <c r="Q232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229" i="4"/>
  <c r="J228" i="4"/>
  <c r="J225" i="4"/>
  <c r="J235" i="4"/>
  <c r="J232" i="4"/>
  <c r="J234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222" i="4"/>
  <c r="M233" i="4"/>
  <c r="M232" i="4"/>
  <c r="M234" i="4"/>
  <c r="M228" i="4"/>
  <c r="M235" i="4"/>
  <c r="M230" i="4"/>
  <c r="M226" i="4"/>
  <c r="M229" i="4"/>
  <c r="C150" i="4"/>
  <c r="C204" i="4"/>
  <c r="C91" i="6"/>
  <c r="C97" i="5"/>
  <c r="D271" i="4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228" i="4"/>
  <c r="F227" i="4"/>
  <c r="F230" i="4"/>
  <c r="F235" i="4"/>
  <c r="F232" i="4"/>
  <c r="F234" i="4"/>
  <c r="K245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F195" i="4" l="1"/>
  <c r="J195" i="4"/>
  <c r="F225" i="4"/>
  <c r="J230" i="4"/>
  <c r="J233" i="4"/>
  <c r="H151" i="6"/>
  <c r="H139" i="6"/>
  <c r="H135" i="6"/>
  <c r="F236" i="4"/>
  <c r="F226" i="4"/>
  <c r="J236" i="4"/>
  <c r="H140" i="6"/>
  <c r="H137" i="6"/>
  <c r="F222" i="4"/>
  <c r="J227" i="4"/>
  <c r="H152" i="6"/>
  <c r="H160" i="6"/>
  <c r="H153" i="6"/>
  <c r="F223" i="4"/>
  <c r="J222" i="4"/>
  <c r="H158" i="6"/>
  <c r="H154" i="6"/>
  <c r="S160" i="5"/>
  <c r="S156" i="4"/>
  <c r="F88" i="5"/>
  <c r="J223" i="4"/>
  <c r="J88" i="5"/>
  <c r="H145" i="6"/>
  <c r="S239" i="4"/>
  <c r="B164" i="5"/>
  <c r="F233" i="4"/>
  <c r="F82" i="6"/>
  <c r="J82" i="6"/>
  <c r="F224" i="4"/>
  <c r="J167" i="4"/>
  <c r="S151" i="5"/>
  <c r="B151" i="5"/>
  <c r="Q231" i="4"/>
  <c r="Q229" i="4"/>
  <c r="Q222" i="4"/>
  <c r="M88" i="5"/>
  <c r="Q195" i="4"/>
  <c r="M227" i="4"/>
  <c r="M82" i="6"/>
  <c r="Q223" i="4"/>
  <c r="Q236" i="4"/>
  <c r="Q141" i="4"/>
  <c r="M236" i="4"/>
  <c r="M195" i="4"/>
  <c r="Q225" i="4"/>
  <c r="S231" i="4"/>
  <c r="Q224" i="4"/>
  <c r="M223" i="4"/>
  <c r="M141" i="4"/>
  <c r="Q233" i="4"/>
  <c r="M224" i="4"/>
  <c r="M225" i="4"/>
  <c r="S246" i="4"/>
  <c r="S244" i="4"/>
  <c r="K240" i="4"/>
  <c r="S159" i="5"/>
  <c r="S158" i="5"/>
  <c r="S166" i="5"/>
  <c r="S156" i="5"/>
  <c r="U60" i="5"/>
  <c r="S150" i="5"/>
  <c r="S164" i="5"/>
  <c r="S144" i="5"/>
  <c r="S161" i="5"/>
  <c r="S157" i="5"/>
  <c r="S165" i="5"/>
  <c r="S146" i="5"/>
  <c r="S149" i="5"/>
  <c r="S163" i="5"/>
  <c r="S147" i="5"/>
  <c r="S143" i="5"/>
  <c r="S153" i="5"/>
  <c r="S141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42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33" i="6" l="1"/>
  <c r="L137" i="5"/>
  <c r="L124" i="5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l="1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O80" i="8"/>
  <c r="K79" i="8"/>
  <c r="O77" i="8"/>
  <c r="S76" i="8"/>
  <c r="N75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1" i="1"/>
  <c r="B22" i="1"/>
  <c r="B6" i="1"/>
  <c r="B18" i="1"/>
  <c r="B8" i="1"/>
  <c r="B9" i="1"/>
  <c r="B7" i="1"/>
  <c r="B13" i="1"/>
  <c r="B20" i="1"/>
  <c r="B15" i="1"/>
  <c r="B16" i="1"/>
  <c r="B12" i="1"/>
  <c r="B4" i="1"/>
  <c r="B11" i="1"/>
  <c r="B17" i="1"/>
  <c r="F218" i="3" l="1"/>
  <c r="N218" i="3"/>
  <c r="G218" i="3"/>
  <c r="O218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K202" i="3" s="1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C230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M221" i="3"/>
  <c r="F221" i="3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99" i="3" l="1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234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I149" i="3"/>
  <c r="I148" i="3"/>
  <c r="I146" i="3"/>
  <c r="I144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I143" i="3"/>
  <c r="I142" i="3"/>
  <c r="I141" i="3"/>
  <c r="I145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R139" i="3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B225" i="3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S47" i="3" l="1"/>
  <c r="S147" i="3" s="1"/>
  <c r="R144" i="3"/>
  <c r="B53" i="12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<sst xmlns="http://schemas.openxmlformats.org/spreadsheetml/2006/main" count="2655" uniqueCount="1167">
  <si>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</si>
  <si>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</si>
  <si>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</si>
  <si>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</si>
  <si>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</si>
  <si>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</si>
  <si>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</si>
  <si>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</si>
  <si>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</si>
  <si>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</si>
  <si>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</si>
  <si>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</si>
  <si>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</si>
  <si>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</si>
  <si>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</si>
  <si>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</si>
  <si>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</si>
  <si>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</si>
  <si>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</si>
  <si>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</si>
  <si>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</si>
  <si>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</si>
  <si>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</si>
  <si>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</si>
  <si>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</si>
  <si>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</si>
  <si>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</si>
  <si>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</si>
  <si>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</si>
  <si>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</si>
  <si>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</si>
  <si>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</si>
  <si>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</si>
  <si>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</si>
  <si>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</si>
  <si>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</si>
  <si>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</si>
  <si>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</si>
  <si>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</si>
  <si>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</si>
  <si>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</si>
  <si>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</si>
  <si>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</si>
  <si>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</si>
  <si>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</si>
  <si>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</si>
  <si>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</si>
  <si>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</si>
  <si>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</si>
  <si>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</si>
  <si>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</si>
  <si>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</si>
  <si>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</si>
  <si>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</si>
  <si>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</si>
  <si>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</si>
  <si>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</si>
  <si>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</si>
  <si>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</si>
  <si>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</si>
  <si>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</si>
  <si>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</si>
  <si>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</si>
  <si>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</si>
  <si>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</si>
  <si>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</si>
  <si>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</si>
  <si>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</si>
  <si>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</si>
  <si>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</si>
  <si>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</si>
  <si>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</si>
  <si>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</si>
  <si>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</si>
  <si>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</si>
  <si>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</si>
  <si>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</si>
  <si>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</si>
  <si>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</si>
  <si>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</si>
  <si>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</si>
  <si>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</si>
  <si>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</si>
  <si>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</si>
  <si>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</si>
  <si>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</si>
  <si>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</si>
  <si>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</si>
  <si>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</si>
  <si>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</si>
  <si>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</si>
  <si>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</si>
  <si>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</si>
  <si>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</si>
  <si>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</si>
  <si>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</si>
  <si>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</si>
  <si>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</si>
  <si>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</si>
  <si>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</si>
  <si>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</si>
  <si>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</si>
  <si>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</si>
  <si>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</si>
  <si>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</si>
  <si>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</si>
  <si>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</si>
  <si>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</si>
  <si>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</si>
  <si>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</si>
  <si>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</si>
  <si>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</si>
  <si>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</si>
  <si>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</si>
  <si>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</si>
  <si>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</si>
  <si>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</si>
  <si>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</si>
  <si>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</si>
  <si>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</si>
  <si>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</si>
  <si>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</si>
  <si>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</si>
  <si>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</si>
  <si>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</si>
  <si>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</si>
  <si>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</si>
  <si>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</si>
  <si>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</si>
  <si>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</si>
  <si>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</si>
  <si>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</si>
  <si>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</si>
  <si>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</si>
  <si>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</si>
  <si>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</si>
  <si>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</si>
  <si>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</si>
  <si>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</si>
  <si>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</si>
  <si>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</si>
  <si>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</si>
  <si>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</si>
  <si>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</si>
  <si>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</si>
  <si>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</si>
  <si>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</si>
  <si>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</si>
  <si>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</si>
  <si>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</si>
  <si>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</si>
  <si>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</si>
  <si>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</si>
  <si>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</si>
  <si>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</si>
  <si>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</si>
  <si>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</si>
  <si>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</si>
  <si>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</si>
  <si>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</si>
  <si>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</si>
  <si>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</si>
  <si>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</si>
  <si>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</si>
  <si>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</si>
  <si>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</si>
  <si>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</si>
  <si>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</si>
  <si>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</si>
  <si>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</si>
  <si>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</si>
  <si>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</si>
  <si>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</si>
  <si>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</si>
  <si>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</si>
  <si>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</si>
  <si>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</si>
  <si>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</si>
  <si>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</si>
  <si>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</si>
  <si>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</si>
  <si>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</si>
  <si>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</si>
  <si>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</si>
  <si>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</si>
  <si>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</si>
  <si>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LU</t>
  </si>
  <si>
    <t>Luxembourg</t>
  </si>
  <si>
    <t>Aviation - LU - Luxembourg</t>
  </si>
  <si>
    <t>Activity.Mpkm.LU.Tr.Avia.Passenger</t>
  </si>
  <si>
    <t>Activity.Mpkm.LU.Tr.Avia.Passenger.Domestic</t>
  </si>
  <si>
    <t>Activity.Mpkm.LU.Tr.Avia.Passenger.IntraEEAwUK</t>
  </si>
  <si>
    <t>Activity.Mpkm.LU.Tr.Avia.Passenger.ExtraEEAwUK</t>
  </si>
  <si>
    <t>Activity.Mtkm.LU.Tr.Avia.Freight</t>
  </si>
  <si>
    <t>Activity.Mtkm.LU.Tr.Avia.Freight.Domestic</t>
  </si>
  <si>
    <t>Activity.Mtkm.LU.Tr.Avia.Freight.IntraEEAwUK</t>
  </si>
  <si>
    <t>Activity.Mtkm.LU.Tr.Avia.Freight.ExtraEEAwUK</t>
  </si>
  <si>
    <t>VehicleKm.Mkm.LU.Tr.Avia</t>
  </si>
  <si>
    <t>VehicleKm.Mkm.LU.Tr.Avia.Passenger</t>
  </si>
  <si>
    <t>VehicleKm.Mkm.LU.Tr.Avia.Passenger.Domestic</t>
  </si>
  <si>
    <t>VehicleKm.Mkm.LU.Tr.Avia.Passenger.IntraEEAwUK</t>
  </si>
  <si>
    <t>VehicleKm.Mkm.LU.Tr.Avia.Passenger.ExtraEEAwUK</t>
  </si>
  <si>
    <t>VehicleKm.Mkm.LU.Tr.Avia.Freight</t>
  </si>
  <si>
    <t>VehicleKm.Mkm.LU.Tr.Avia.Freight.Domestic</t>
  </si>
  <si>
    <t>VehicleKm.Mkm.LU.Tr.Avia.Freight.IntraEEAwUK</t>
  </si>
  <si>
    <t>VehicleKm.Mkm.LU.Tr.Avia.Freight.ExtraEEAwUK</t>
  </si>
  <si>
    <t>Flights.number.LU.Tr.Avia</t>
  </si>
  <si>
    <t>Flights.number.LU.Tr.Avia.Passenger</t>
  </si>
  <si>
    <t>Flights.number.LU.Tr.Avia.Passenger.Domestic</t>
  </si>
  <si>
    <t>Flights.number.LU.Tr.Avia.Passenger.IntraEEAwUK</t>
  </si>
  <si>
    <t>Flights.number.LU.Tr.Avia.Passenger.ExtraEEAwUK</t>
  </si>
  <si>
    <t>Flights.number.LU.Tr.Avia.Freight</t>
  </si>
  <si>
    <t>Flights.number.LU.Tr.Avia.Freight.Domestic</t>
  </si>
  <si>
    <t>Flights.number.LU.Tr.Avia.Freight.IntraEEAwUK</t>
  </si>
  <si>
    <t>Flights.number.LU.Tr.Avia.Freight.ExtraEEAwUK</t>
  </si>
  <si>
    <t>VolCarried.passenger.LU.Tr.Avia.Passenger</t>
  </si>
  <si>
    <t>VolCarried.passenger.LU.Tr.Avia.Passenger.Domestic</t>
  </si>
  <si>
    <t>VolCarried.passenger.LU.Tr.Avia.Passenger.IntraEEAwUK</t>
  </si>
  <si>
    <t>VolCarried.passenger.LU.Tr.Avia.Passenger.ExtraEEAwUK</t>
  </si>
  <si>
    <t>VolCarried.t.LU.Tr.Avia.Freight</t>
  </si>
  <si>
    <t>VolCarried.t.LU.Tr.Avia.Freight.Domestic</t>
  </si>
  <si>
    <t>VolCarried.t.LU.Tr.Avia.Freight.IntraEEAwUK</t>
  </si>
  <si>
    <t>VolCarried.t.LU.Tr.Avia.Freight.ExtraEEAwUK</t>
  </si>
  <si>
    <t>Stock.number.LU.Tr.Avia</t>
  </si>
  <si>
    <t>Stock.number.LU.Tr.Avia.Passenger</t>
  </si>
  <si>
    <t>Stock.number.LU.Tr.Avia.Passenger.Domestic</t>
  </si>
  <si>
    <t>Stock.number.LU.Tr.Avia.Passenger.IntraEEAwUK</t>
  </si>
  <si>
    <t>Stock.number.LU.Tr.Avia.Passenger.ExtraEEAwUK</t>
  </si>
  <si>
    <t>Stock.number.LU.Tr.Avia.Freight</t>
  </si>
  <si>
    <t>Stock.number.LU.Tr.Avia.Freight.Domestic</t>
  </si>
  <si>
    <t>Stock.number.LU.Tr.Avia.Freight.IntraEEAwUK</t>
  </si>
  <si>
    <t>Stock.number.LU.Tr.Avia.Freight.ExtraEEAwUK</t>
  </si>
  <si>
    <t>StockNew.number.LU.Tr.Avia</t>
  </si>
  <si>
    <t>StockNew.number.LU.Tr.Avia.Passenger</t>
  </si>
  <si>
    <t>StockNew.number.LU.Tr.Avia.Passenger.Domestic</t>
  </si>
  <si>
    <t>StockNew.number.LU.Tr.Avia.Passenger.IntraEEAwUK</t>
  </si>
  <si>
    <t>StockNew.number.LU.Tr.Avia.Passenger.ExtraEEAwUK</t>
  </si>
  <si>
    <t>StockNew.number.LU.Tr.Avia.Freight</t>
  </si>
  <si>
    <t>StockNew.number.LU.Tr.Avia.Freight.Domestic</t>
  </si>
  <si>
    <t>StockNew.number.LU.Tr.Avia.Freight.IntraEEAwUK</t>
  </si>
  <si>
    <t>StockNew.number.LU.Tr.Avia.Freight.ExtraEEAwUK</t>
  </si>
  <si>
    <t>Load.passenger_per_movement.LU.Tr.Avia.Passenger</t>
  </si>
  <si>
    <t>Load.passenger_per_movement.LU.Tr.Avia.Passenger.Domestic</t>
  </si>
  <si>
    <t>Load.passenger_per_movement.LU.Tr.Avia.Passenger.IntraEEAwUK</t>
  </si>
  <si>
    <t>Load.passenger_per_movement.LU.Tr.Avia.Passenger.ExtraEEAwUK</t>
  </si>
  <si>
    <t>Load.t_per_movement.LU.Tr.Avia.Freight</t>
  </si>
  <si>
    <t>Load.t_per_movement.LU.Tr.Avia.Freight.Domestic</t>
  </si>
  <si>
    <t>Load.t_per_movement.LU.Tr.Avia.Freight.IntraEEAwUK</t>
  </si>
  <si>
    <t>Load.t_per_movement.LU.Tr.Avia.Freight.ExtraEEAwUK</t>
  </si>
  <si>
    <t>VehicleKm_per_flight.km.LU.Tr.Avia</t>
  </si>
  <si>
    <t>VehicleKm_per_flight.km.LU.Tr.Avia.Passenger</t>
  </si>
  <si>
    <t>VehicleKm_per_flight.km.LU.Tr.Avia.Passenger.Domestic</t>
  </si>
  <si>
    <t>VehicleKm_per_flight.km.LU.Tr.Avia.Passenger.IntraEEAwUK</t>
  </si>
  <si>
    <t>VehicleKm_per_flight.km.LU.Tr.Avia.Passenger.ExtraEEAwUK</t>
  </si>
  <si>
    <t>VehicleKm_per_flight.km.LU.Tr.Avia.Freight</t>
  </si>
  <si>
    <t>VehicleKm_per_flight.km.LU.Tr.Avia.Freight.Domestic</t>
  </si>
  <si>
    <t>VehicleKm_per_flight.km.LU.Tr.Avia.Freight.IntraEEAwUK</t>
  </si>
  <si>
    <t>VehicleKm_per_flight.km.LU.Tr.Avia.Freight.ExtraEEAwUK</t>
  </si>
  <si>
    <t>Activity_per_flight.pkm.LU.Tr.Avia.Passenger</t>
  </si>
  <si>
    <t>Activity_per_flight.pkm.LU.Tr.Avia.Passenger.Domestic</t>
  </si>
  <si>
    <t>Activity_per_flight.pkm.LU.Tr.Avia.Passenger.IntraEEAwUK</t>
  </si>
  <si>
    <t>Activity_per_flight.pkm.LU.Tr.Avia.Passenger.ExtraEEAwUK</t>
  </si>
  <si>
    <t>Activity_per_flight.tkm.LU.Tr.Avia.Freight</t>
  </si>
  <si>
    <t>Activity_per_flight.tkm.LU.Tr.Avia.Freight.Domestic</t>
  </si>
  <si>
    <t>Activity_per_flight.tkm.LU.Tr.Avia.Freight.IntraEEAwUK</t>
  </si>
  <si>
    <t>Activity_per_flight.tkm.LU.Tr.Avia.Freight.ExtraEEAwUK</t>
  </si>
  <si>
    <t>Flights_per_vehicle.number.LU.Tr.Avia</t>
  </si>
  <si>
    <t>Flights_per_vehicle.number.LU.Tr.Avia.Passenger</t>
  </si>
  <si>
    <t>Flights_per_vehicle.number.LU.Tr.Avia.Passenger.Domestic</t>
  </si>
  <si>
    <t>Flights_per_vehicle.number.LU.Tr.Avia.Passenger.IntraEEAwUK</t>
  </si>
  <si>
    <t>Flights_per_vehicle.number.LU.Tr.Avia.Passenger.ExtraEEAwUK</t>
  </si>
  <si>
    <t>Flights_per_vehicle.number.LU.Tr.Avia.Freight</t>
  </si>
  <si>
    <t>Flights_per_vehicle.number.LU.Tr.Avia.Freight.Domestic</t>
  </si>
  <si>
    <t>Flights_per_vehicle.number.LU.Tr.Avia.Freight.IntraEEAwUK</t>
  </si>
  <si>
    <t>Flights_per_vehicle.number.LU.Tr.Avia.Freight.ExtraEEAwUK</t>
  </si>
  <si>
    <t>Aviation / energy consumption - LU - Luxembourg</t>
  </si>
  <si>
    <t>FEC.ktoe.LU.Tr.Avia</t>
  </si>
  <si>
    <t>FEC.ktoe.LU.Tr.Avia.Domestic</t>
  </si>
  <si>
    <t>FEC.ktoe.LU.Tr.Avia.International</t>
  </si>
  <si>
    <t>FEC.ktoe.LU.Tr.Avia.Passenger</t>
  </si>
  <si>
    <t>FEC.ktoe.LU.Tr.Avia.Passenger.Domestic</t>
  </si>
  <si>
    <t>FEC.ktoe.LU.Tr.Avia.Passenger.IntraEEAwUK</t>
  </si>
  <si>
    <t>FEC.ktoe.LU.Tr.Avia.Passenger.ExtraEEAwUK</t>
  </si>
  <si>
    <t>FEC.ktoe.LU.Tr.Avia.Freight</t>
  </si>
  <si>
    <t>FEC.ktoe.LU.Tr.Avia.Freight.Domestic</t>
  </si>
  <si>
    <t>FEC.ktoe.LU.Tr.Avia.Freight.IntraEEAwUK</t>
  </si>
  <si>
    <t>FEC.ktoe.LU.Tr.Avia.Freight.ExtraEEAwUK</t>
  </si>
  <si>
    <t>Eff.kgoe_per_100km.LU.Tr.Avia</t>
  </si>
  <si>
    <t>Eff.kgoe_per_100km.LU.Tr.Avia.Passenger</t>
  </si>
  <si>
    <t>Eff.kgoe_per_100km.LU.Tr.Avia.Passenger.Domestic</t>
  </si>
  <si>
    <t>Eff.kgoe_per_100km.LU.Tr.Avia.Passenger.IntraEEAwUK</t>
  </si>
  <si>
    <t>Eff.kgoe_per_100km.LU.Tr.Avia.Passenger.ExtraEEAwUK</t>
  </si>
  <si>
    <t>Eff.kgoe_per_100km.LU.Tr.Avia.Freight</t>
  </si>
  <si>
    <t>Eff.kgoe_per_100km.LU.Tr.Avia.Freight.Domestic</t>
  </si>
  <si>
    <t>Eff.kgoe_per_100km.LU.Tr.Avia.Freight.IntraEEAwUK</t>
  </si>
  <si>
    <t>Eff.kgoe_per_100km.LU.Tr.Avia.Freight.ExtraEEAwUK</t>
  </si>
  <si>
    <t>Eff.kgoe_per_kpkm.LU.Tr.Avia.Passenger</t>
  </si>
  <si>
    <t>Eff.kgoe_per_kpkm.LU.Tr.Avia.Passenger.Domestic</t>
  </si>
  <si>
    <t>Eff.kgoe_per_kpkm.LU.Tr.Avia.Passenger.IntraEEAwUK</t>
  </si>
  <si>
    <t>Eff.kgoe_per_kpkm.LU.Tr.Avia.Passenger.ExtraEEAwUK</t>
  </si>
  <si>
    <t>Eff.kgoe_per_ktkm.LU.Tr.Avia.Freight</t>
  </si>
  <si>
    <t>Eff.kgoe_per_ktkm.LU.Tr.Avia.Freight.Domestic</t>
  </si>
  <si>
    <t>Eff.kgoe_per_ktkm.LU.Tr.Avia.Freight.IntraEEAwUK</t>
  </si>
  <si>
    <t>Eff.kgoe_per_ktkm.LU.Tr.Avia.Freight.ExtraEEAwUK</t>
  </si>
  <si>
    <t>FEC_per_flight.kgoe.LU.Tr.Avia</t>
  </si>
  <si>
    <t>FEC_per_flight.kgoe.LU.Tr.Avia.Passenger</t>
  </si>
  <si>
    <t>FEC_per_flight.kgoe.LU.Tr.Avia.Passenger.Domestic</t>
  </si>
  <si>
    <t>FEC_per_flight.kgoe.LU.Tr.Avia.Passenger.IntraEEAwUK</t>
  </si>
  <si>
    <t>FEC_per_flight.kgoe.LU.Tr.Avia.Passenger.ExtraEEAwUK</t>
  </si>
  <si>
    <t>FEC_per_flight.kgoe.LU.Tr.Avia.Freight</t>
  </si>
  <si>
    <t>FEC_per_flight.kgoe.LU.Tr.Avia.Freight.Domestic</t>
  </si>
  <si>
    <t>FEC_per_flight.kgoe.LU.Tr.Avia.Freight.IntraEEAwUK</t>
  </si>
  <si>
    <t>FEC_per_flight.kgoe.LU.Tr.Avia.Freight.ExtraEEAwUK</t>
  </si>
  <si>
    <t>Eff_theor.kgoe_per_100km.LU.Tr.Avia</t>
  </si>
  <si>
    <t>Eff_theor.kgoe_per_100km.LU.Tr.Avia.Passenger</t>
  </si>
  <si>
    <t>Eff_theor.kgoe_per_100km.LU.Tr.Avia.Passenger.Domestic</t>
  </si>
  <si>
    <t>Eff_theor.kgoe_per_100km.LU.Tr.Avia.Passenger.IntraEEAwUK</t>
  </si>
  <si>
    <t>Eff_theor.kgoe_per_100km.LU.Tr.Avia.Passenger.ExtraEEAwUK</t>
  </si>
  <si>
    <t>Eff_theor.kgoe_per_100km.LU.Tr.Avia.Freight</t>
  </si>
  <si>
    <t>Eff_theor.kgoe_per_100km.LU.Tr.Avia.Freight.Domestic</t>
  </si>
  <si>
    <t>Eff_theor.kgoe_per_100km.LU.Tr.Avia.Freight.IntraEEAwUK</t>
  </si>
  <si>
    <t>Eff_theor.kgoe_per_100km.LU.Tr.Avia.Freight.ExtraEEAwUK</t>
  </si>
  <si>
    <t>Aviation / CO2 emissions - LU - Luxembourg</t>
  </si>
  <si>
    <t>EMI.ktCO2.LU.Tr.Avia</t>
  </si>
  <si>
    <t>EMI.ktCO2.LU.Tr.Avia.Domestic</t>
  </si>
  <si>
    <t>EMI.ktCO2.LU.Tr.Avia.International</t>
  </si>
  <si>
    <t>EMI.ktCO2.LU.Tr.Avia.Passenger</t>
  </si>
  <si>
    <t>EMI.ktCO2.LU.Tr.Avia.Passenger.Domestic</t>
  </si>
  <si>
    <t>EMI.ktCO2.LU.Tr.Avia.Passenger.IntraEEAwUK</t>
  </si>
  <si>
    <t>EMI.ktCO2.LU.Tr.Avia.Passenger.ExtraEEAwUK</t>
  </si>
  <si>
    <t>EMI.ktCO2.LU.Tr.Avia.Freight</t>
  </si>
  <si>
    <t>EMI.ktCO2.LU.Tr.Avia.Freight.Domestic</t>
  </si>
  <si>
    <t>EMI.ktCO2.LU.Tr.Avia.Freight.IntraEEAwUK</t>
  </si>
  <si>
    <t>EMI.ktCO2.LU.Tr.Avia.Freight.ExtraEEAwUK</t>
  </si>
  <si>
    <t>EMIint.gCO2_per_km.LU.Tr.Avia</t>
  </si>
  <si>
    <t>EMIint.gCO2_per_km.LU.Tr.Avia.Passenger</t>
  </si>
  <si>
    <t>EMIint.gCO2_per_km.LU.Tr.Avia.Passenger.Domestic</t>
  </si>
  <si>
    <t>EMIint.gCO2_per_km.LU.Tr.Avia.Passenger.IntraEEAwUK</t>
  </si>
  <si>
    <t>EMIint.gCO2_per_km.LU.Tr.Avia.Passenger.ExtraEEAwUK</t>
  </si>
  <si>
    <t>EMIint.gCO2_per_km.LU.Tr.Avia.Freight</t>
  </si>
  <si>
    <t>EMIint.gCO2_per_km.LU.Tr.Avia.Freight.Domestic</t>
  </si>
  <si>
    <t>EMIint.gCO2_per_km.LU.Tr.Avia.Freight.IntraEEAwUK</t>
  </si>
  <si>
    <t>EMIint.gCO2_per_km.LU.Tr.Avia.Freight.ExtraEEAwUK</t>
  </si>
  <si>
    <t>EMIint.gCO2_per_pkm.LU.Tr.Avia.Passenger</t>
  </si>
  <si>
    <t>EMIint.gCO2_per_pkm.LU.Tr.Avia.Passenger.Domestic</t>
  </si>
  <si>
    <t>EMIint.gCO2_per_pkm.LU.Tr.Avia.Passenger.IntraEEAwUK</t>
  </si>
  <si>
    <t>EMIint.gCO2_per_pkm.LU.Tr.Avia.Passenger.ExtraEEAwUK</t>
  </si>
  <si>
    <t>EMIint.gCO2_per_tkm.LU.Tr.Avia.Freight</t>
  </si>
  <si>
    <t>EMIint.gCO2_per_tkm.LU.Tr.Avia.Freight.Domestic</t>
  </si>
  <si>
    <t>EMIint.gCO2_per_tkm.LU.Tr.Avia.Freight.IntraEEAwUK</t>
  </si>
  <si>
    <t>EMIint.gCO2_per_tkm.LU.Tr.Avia.Freight.ExtraEEAwUK</t>
  </si>
  <si>
    <t>EMI_per_flight.kgCO2.LU.Tr.Avia</t>
  </si>
  <si>
    <t>EMI_per_flight.kgCO2.LU.Tr.Avia.Passenger</t>
  </si>
  <si>
    <t>EMI_per_flight.kgCO2.LU.Tr.Avia.Passenger.Domestic</t>
  </si>
  <si>
    <t>EMI_per_flight.kgCO2.LU.Tr.Avia.Passenger.IntraEEAwUK</t>
  </si>
  <si>
    <t>EMI_per_flight.kgCO2.LU.Tr.Avia.Passenger.ExtraEEAwUK</t>
  </si>
  <si>
    <t>EMI_per_flight.kgCO2.LU.Tr.Avia.Freight</t>
  </si>
  <si>
    <t>EMI_per_flight.kgCO2.LU.Tr.Avia.Freight.Domestic</t>
  </si>
  <si>
    <t>EMI_per_flight.kgCO2.LU.Tr.Avia.Freight.IntraEEAwUK</t>
  </si>
  <si>
    <t>EMI_per_flight.kgCO2.LU.Tr.Avia.Freight.ExtraEEAwUK</t>
  </si>
  <si>
    <t>Aviation / passenger transport specific data - LU - Luxembourg</t>
  </si>
  <si>
    <t>TrCap.seats.LU.Tr.Avia.Passenger</t>
  </si>
  <si>
    <t>TrCap.seats.LU.Tr.Avia.Passenger.Domestic</t>
  </si>
  <si>
    <t>TrCap.seats.LU.Tr.Avia.Passenger.IntraEEAwUK</t>
  </si>
  <si>
    <t>TrCap.seats.LU.Tr.Avia.Passenger.ExtraEEAwUK</t>
  </si>
  <si>
    <t>TrCap_per_flight.seats.LU.Tr.Avia.Passenger</t>
  </si>
  <si>
    <t>TrCap_per_flight.seats.LU.Tr.Avia.Passenger.Domestic</t>
  </si>
  <si>
    <t>TrCap_per_flight.seats.LU.Tr.Avia.Passenger.IntraEEAwUK</t>
  </si>
  <si>
    <t>TrCap_per_flight.seats.LU.Tr.Avia.Passenger.ExtraEEAwUK</t>
  </si>
  <si>
    <t>Transport overview - LU - Luxembourg</t>
  </si>
  <si>
    <t>Activity.Mpkm.LU.Tr</t>
  </si>
  <si>
    <t>Activity.Mpkm.LU.Tr.Road.Passenger</t>
  </si>
  <si>
    <t>Activity.Mpkm.LU.Tr.Road.Passenger.P2W</t>
  </si>
  <si>
    <t>Activity.Mpkm.LU.Tr.Road.Passenger.Car</t>
  </si>
  <si>
    <t>Activity.Mpkm.LU.Tr.Road.Passenger.Bus</t>
  </si>
  <si>
    <t>Activity.Mpkm.LU.Tr.Rail.Passenger</t>
  </si>
  <si>
    <t>Activity.Mpkm.LU.Tr.Rail.Passenger.MTU</t>
  </si>
  <si>
    <t>Activity.Mpkm.LU.Tr.Rail.Passenger.CPT</t>
  </si>
  <si>
    <t>Activity.Mpkm.LU.Tr.Rail.Passenger.HST</t>
  </si>
  <si>
    <t>Activity.Mtkm.LU.Tr</t>
  </si>
  <si>
    <t>Activity.Mtkm.LU.Tr.Road.Freight</t>
  </si>
  <si>
    <t>Activity.Mtkm.LU.Tr.Road.Freight.LCV</t>
  </si>
  <si>
    <t>Activity.Mtkm.LU.Tr.Road.Freight.HGV</t>
  </si>
  <si>
    <t>Activity.Mtkm.LU.Tr.Rail.Freight</t>
  </si>
  <si>
    <t>Activity.Mtkm.LU.Tr.DNavi.Freight</t>
  </si>
  <si>
    <t>Activity.Mtkm.LU.Tr.DNavi.Freight.DCS</t>
  </si>
  <si>
    <t>Activity.Mtkm.LU.Tr.DNavi.Freight.IWW</t>
  </si>
  <si>
    <t>Activity.Mtkm.LU.MBunk.Freight</t>
  </si>
  <si>
    <t>Activity.Mtkm.LU.MBunk.Freight.IntraEEA</t>
  </si>
  <si>
    <t>Activity.Mtkm.LU.MBunk.Freight.ExtraEEA</t>
  </si>
  <si>
    <t>FEC.ktoe.LU.Tr.Road.Passenger</t>
  </si>
  <si>
    <t>FEC.ktoe.LU.Tr.Road.Passenger.P2W</t>
  </si>
  <si>
    <t>FEC.ktoe.LU.Tr.Road.Passenger.Car</t>
  </si>
  <si>
    <t>FEC.ktoe.LU.Tr.Road.Passenger.Bus</t>
  </si>
  <si>
    <t>FEC.ktoe.LU.Tr.Rail.Passenger</t>
  </si>
  <si>
    <t>FEC.ktoe.LU.Tr.Rail.Passenger.MTU</t>
  </si>
  <si>
    <t>FEC.ktoe.LU.Tr.Rail.Passenger.CPT</t>
  </si>
  <si>
    <t>FEC.ktoe.LU.Tr.Rail.Passenger.HST</t>
  </si>
  <si>
    <t>FEC.ktoe.LU.Tr.Road.Freight</t>
  </si>
  <si>
    <t>FEC.ktoe.LU.Tr.Road.Freight.LCV</t>
  </si>
  <si>
    <t>FEC.ktoe.LU.Tr.Road.Freight.HGV</t>
  </si>
  <si>
    <t>FEC.ktoe.LU.Tr.Rail.Freight</t>
  </si>
  <si>
    <t>EMI.ktCO2.LU.Tr.Road.Passenger</t>
  </si>
  <si>
    <t>EMI.ktCO2.LU.Tr.Road.Passenger.P2W</t>
  </si>
  <si>
    <t>EMI.ktCO2.LU.Tr.Road.Passenger.Car</t>
  </si>
  <si>
    <t>EMI.ktCO2.LU.Tr.Road.Passenger.Bus</t>
  </si>
  <si>
    <t>EMI.ktCO2.LU.Tr.Rail.Passenger</t>
  </si>
  <si>
    <t>EMI.ktCO2.LU.Tr.Rail.Passenger.MTU</t>
  </si>
  <si>
    <t>EMI.ktCO2.LU.Tr.Rail.Passenger.CPT</t>
  </si>
  <si>
    <t>EMI.ktCO2.LU.Tr.Rail.Passenger.HST</t>
  </si>
  <si>
    <t>EMI.ktCO2.LU.Tr.Road.Freight</t>
  </si>
  <si>
    <t>EMI.ktCO2.LU.Tr.Road.Freight.LCV</t>
  </si>
  <si>
    <t>EMI.ktCO2.LU.Tr.Road.Freight.HGV</t>
  </si>
  <si>
    <t>EMI.ktCO2.LU.Tr.Rail.Freight</t>
  </si>
  <si>
    <t>Eff.kgoe_per_kpkm.LU.Tr</t>
  </si>
  <si>
    <t>Eff.kgoe_per_kpkm.LU.Tr.Road.Passenger</t>
  </si>
  <si>
    <t>Eff.kgoe_per_kpkm.LU.Tr.Road.Passenger.P2W</t>
  </si>
  <si>
    <t>Eff.kgoe_per_kpkm.LU.Tr.Road.Passenger.Car</t>
  </si>
  <si>
    <t>Eff.kgoe_per_kpkm.LU.Tr.Road.Passenger.Bus</t>
  </si>
  <si>
    <t>Eff.kgoe_per_kpkm.LU.Tr.Rail.Passenger</t>
  </si>
  <si>
    <t>Eff.kgoe_per_kpkm.LU.Tr.Rail.Passenger.MTU</t>
  </si>
  <si>
    <t>Eff.kgoe_per_kpkm.LU.Tr.Rail.Passenger.CPT</t>
  </si>
  <si>
    <t>Eff.kgoe_per_kpkm.LU.Tr.Rail.Passenger.HST</t>
  </si>
  <si>
    <t>Eff.kgoe_per_ktkm.LU.Tr</t>
  </si>
  <si>
    <t>Eff.kgoe_per_ktkm.LU.Tr.Road.Freight</t>
  </si>
  <si>
    <t>Eff.kgoe_per_ktkm.LU.Tr.Road.Freight.LCV</t>
  </si>
  <si>
    <t>Eff.kgoe_per_ktkm.LU.Tr.Road.Freight.HGV</t>
  </si>
  <si>
    <t>Eff.kgoe_per_ktkm.LU.Tr.Rail.Freight</t>
  </si>
  <si>
    <t>Eff.kgoe_per_ktkm.LU.Tr.DNavi.Freight</t>
  </si>
  <si>
    <t>Eff.kgoe_per_ktkm.LU.Tr.DNavi.Freight.DCS</t>
  </si>
  <si>
    <t>Eff.kgoe_per_ktkm.LU.Tr.DNavi.Freight.IWW</t>
  </si>
  <si>
    <t>Eff.kgoe_per_ktkm.LU.MBunk.Freight</t>
  </si>
  <si>
    <t>Eff.kgoe_per_ktkm.LU.MBunk.Freight.IntraEEA</t>
  </si>
  <si>
    <t>Eff.kgoe_per_ktkm.LU.MBunk.Freight.ExtraEEA</t>
  </si>
  <si>
    <t>EMIint.gCO2_per_pkm.LU.Tr</t>
  </si>
  <si>
    <t>EMIint.gCO2_per_pkm.LU.Tr.Road.Passenger</t>
  </si>
  <si>
    <t>EMIint.gCO2_per_pkm.LU.Tr.Road.Passenger.P2W</t>
  </si>
  <si>
    <t>EMIint.gCO2_per_pkm.LU.Tr.Road.Passenger.Car</t>
  </si>
  <si>
    <t>EMIint.gCO2_per_pkm.LU.Tr.Road.Passenger.Bus</t>
  </si>
  <si>
    <t>EMIint.gCO2_per_pkm.LU.Tr.Rail.Passenger</t>
  </si>
  <si>
    <t>EMIint.gCO2_per_pkm.LU.Tr.Rail.Passenger.MTU</t>
  </si>
  <si>
    <t>EMIint.gCO2_per_pkm.LU.Tr.Rail.Passenger.CPT</t>
  </si>
  <si>
    <t>EMIint.gCO2_per_pkm.LU.Tr.Rail.Passenger.HST</t>
  </si>
  <si>
    <t>EMIint.gCO2_per_tkm.LU.Tr</t>
  </si>
  <si>
    <t>EMIint.gCO2_per_tkm.LU.Tr.Road.Freight</t>
  </si>
  <si>
    <t>EMIint.gCO2_per_tkm.LU.Tr.Road.Freight.LCV</t>
  </si>
  <si>
    <t>EMIint.gCO2_per_tkm.LU.Tr.Road.Freight.HGV</t>
  </si>
  <si>
    <t>EMIint.gCO2_per_tkm.LU.Tr.Rail.Freight</t>
  </si>
  <si>
    <t>EMIint.gCO2_per_tkm.LU.Tr.DNavi.Freight</t>
  </si>
  <si>
    <t>EMIint.gCO2_per_tkm.LU.Tr.DNavi.Freight.DCS</t>
  </si>
  <si>
    <t>EMIint.gCO2_per_tkm.LU.Tr.DNavi.Freight.IWW</t>
  </si>
  <si>
    <t>EMIint.gCO2_per_tkm.LU.MBunk.Freight</t>
  </si>
  <si>
    <t>EMIint.gCO2_per_tkm.LU.MBunk.Freight.IntraEEA</t>
  </si>
  <si>
    <t>EMIint.gCO2_per_tkm.LU.MBunk.Freight.ExtraEEA</t>
  </si>
  <si>
    <t>Road transport - LU - Luxembourg</t>
  </si>
  <si>
    <t>Activity.Mpkm.LU.Tr.Road.Passenger.Car.ICE.Gasoline</t>
  </si>
  <si>
    <t>Activity.Mpkm.LU.Tr.Road.Passenger.Car.ICE.Diesel</t>
  </si>
  <si>
    <t>Activity.Mpkm.LU.Tr.Road.Passenger.Car.ICE.LPG</t>
  </si>
  <si>
    <t>Activity.Mpkm.LU.Tr.Road.Passenger.Car.ICE.NGas</t>
  </si>
  <si>
    <t>Activity.Mpkm.LU.Tr.Road.Passenger.Car.PHEV</t>
  </si>
  <si>
    <t>Activity.Mpkm.LU.Tr.Road.Passenger.Car.BEV</t>
  </si>
  <si>
    <t>Activity.Mpkm.LU.Tr.Road.Passenger.Bus.ICE.Gasoline</t>
  </si>
  <si>
    <t>Activity.Mpkm.LU.Tr.Road.Passenger.Bus.ICE.Diesel</t>
  </si>
  <si>
    <t>Activity.Mpkm.LU.Tr.Road.Passenger.Bus.ICE.LPG</t>
  </si>
  <si>
    <t>Activity.Mpkm.LU.Tr.Road.Passenger.Bus.ICE.NGas</t>
  </si>
  <si>
    <t>Activity.Mpkm.LU.Tr.Road.Passenger.Bus.ICE.BEV</t>
  </si>
  <si>
    <t>Activity.Mtkm.LU.Tr.Road.Freight.LCV.ICE.Gasoline</t>
  </si>
  <si>
    <t>Activity.Mtkm.LU.Tr.Road.Freight.LCV.ICE.Diesel</t>
  </si>
  <si>
    <t>Activity.Mtkm.LU.Tr.Road.Freight.LCV.ICE.LPG</t>
  </si>
  <si>
    <t>Activity.Mtkm.LU.Tr.Road.Freight.LCV.ICE.NGas</t>
  </si>
  <si>
    <t>Activity.Mtkm.LU.Tr.Road.Freight.LCV.ICE.BEV</t>
  </si>
  <si>
    <t>Activity.Mtkm.LU.Tr.Road.Freight.HGV.Domestic</t>
  </si>
  <si>
    <t>Activity.Mtkm.LU.Tr.Road.Freight.HGV.International</t>
  </si>
  <si>
    <t>VehicleKm.Mkm.LU.Tr.Road</t>
  </si>
  <si>
    <t>VehicleKm.Mkm.LU.Tr.Road.Passenger</t>
  </si>
  <si>
    <t>VehicleKm.Mkm.LU.Tr.Road.Passenger.P2W</t>
  </si>
  <si>
    <t>VehicleKm.Mkm.LU.Tr.Road.Passenger.Car</t>
  </si>
  <si>
    <t>VehicleKm.Mkm.LU.Tr.Road.Passenger.Car.ICE.Gasoline</t>
  </si>
  <si>
    <t>VehicleKm.Mkm.LU.Tr.Road.Passenger.Car.ICE.Diesel</t>
  </si>
  <si>
    <t>VehicleKm.Mkm.LU.Tr.Road.Passenger.Car.ICE.LPG</t>
  </si>
  <si>
    <t>VehicleKm.Mkm.LU.Tr.Road.Passenger.Car.ICE.NGas</t>
  </si>
  <si>
    <t>VehicleKm.Mkm.LU.Tr.Road.Passenger.Car.PHEV</t>
  </si>
  <si>
    <t>VehicleKm.Mkm.LU.Tr.Road.Passenger.Car.BEV</t>
  </si>
  <si>
    <t>VehicleKm.Mkm.LU.Tr.Road.Passenger.Bus</t>
  </si>
  <si>
    <t>VehicleKm.Mkm.LU.Tr.Road.Passenger.Bus.ICE.Gasoline</t>
  </si>
  <si>
    <t>VehicleKm.Mkm.LU.Tr.Road.Passenger.Bus.ICE.Diesel</t>
  </si>
  <si>
    <t>VehicleKm.Mkm.LU.Tr.Road.Passenger.Bus.ICE.LPG</t>
  </si>
  <si>
    <t>VehicleKm.Mkm.LU.Tr.Road.Passenger.Bus.ICE.NGas</t>
  </si>
  <si>
    <t>VehicleKm.Mkm.LU.Tr.Road.Passenger.Bus.ICE.BEV</t>
  </si>
  <si>
    <t>VehicleKm.Mkm.LU.Tr.Road.Freight</t>
  </si>
  <si>
    <t>VehicleKm.Mkm.LU.Tr.Road.Freight.LCV</t>
  </si>
  <si>
    <t>VehicleKm.Mkm.LU.Tr.Road.Freight.LCV.ICE.Gasoline</t>
  </si>
  <si>
    <t>VehicleKm.Mkm.LU.Tr.Road.Freight.LCV.ICE.Diesel</t>
  </si>
  <si>
    <t>VehicleKm.Mkm.LU.Tr.Road.Freight.LCV.ICE.LPG</t>
  </si>
  <si>
    <t>VehicleKm.Mkm.LU.Tr.Road.Freight.LCV.ICE.NGas</t>
  </si>
  <si>
    <t>VehicleKm.Mkm.LU.Tr.Road.Freight.LCV.ICE.BEV</t>
  </si>
  <si>
    <t>VehicleKm.Mkm.LU.Tr.Road.Freight.HGV</t>
  </si>
  <si>
    <t>VehicleKm.Mkm.LU.Tr.Road.Freight.HGV.Domestic</t>
  </si>
  <si>
    <t>VehicleKm.Mkm.LU.Tr.Road.Freight.HGV.International</t>
  </si>
  <si>
    <t>Stock.number.LU.Tr.Road</t>
  </si>
  <si>
    <t>Stock.number.LU.Tr.Road.Passenger</t>
  </si>
  <si>
    <t>Stock.number.LU.Tr.Road.Passenger.P2W</t>
  </si>
  <si>
    <t>Stock.number.LU.Tr.Road.Passenger.Car</t>
  </si>
  <si>
    <t>Stock.number.LU.Tr.Road.Passenger.Car.ICE.Gasoline</t>
  </si>
  <si>
    <t>Stock.number.LU.Tr.Road.Passenger.Car.ICE.Diesel</t>
  </si>
  <si>
    <t>Stock.number.LU.Tr.Road.Passenger.Car.ICE.LPG</t>
  </si>
  <si>
    <t>Stock.number.LU.Tr.Road.Passenger.Car.ICE.NGas</t>
  </si>
  <si>
    <t>Stock.number.LU.Tr.Road.Passenger.Car.PHEV</t>
  </si>
  <si>
    <t>Stock.number.LU.Tr.Road.Passenger.Car.BEV</t>
  </si>
  <si>
    <t>Stock.number.LU.Tr.Road.Passenger.Bus</t>
  </si>
  <si>
    <t>Stock.number.LU.Tr.Road.Passenger.Bus.ICE.Gasoline</t>
  </si>
  <si>
    <t>Stock.number.LU.Tr.Road.Passenger.Bus.ICE.Diesel</t>
  </si>
  <si>
    <t>Stock.number.LU.Tr.Road.Passenger.Bus.ICE.LPG</t>
  </si>
  <si>
    <t>Stock.number.LU.Tr.Road.Passenger.Bus.ICE.NGas</t>
  </si>
  <si>
    <t>Stock.number.LU.Tr.Road.Passenger.Bus.ICE.BEV</t>
  </si>
  <si>
    <t>Stock.number.LU.Tr.Road.Freight</t>
  </si>
  <si>
    <t>Stock.number.LU.Tr.Road.Freight.LCV</t>
  </si>
  <si>
    <t>Stock.number.LU.Tr.Road.Freight.LCV.ICE.Gasoline</t>
  </si>
  <si>
    <t>Stock.number.LU.Tr.Road.Freight.LCV.ICE.Diesel</t>
  </si>
  <si>
    <t>Stock.number.LU.Tr.Road.Freight.LCV.ICE.LPG</t>
  </si>
  <si>
    <t>Stock.number.LU.Tr.Road.Freight.LCV.ICE.NGas</t>
  </si>
  <si>
    <t>Stock.number.LU.Tr.Road.Freight.LCV.ICE.BEV</t>
  </si>
  <si>
    <t>Stock.number.LU.Tr.Road.Freight.HGV</t>
  </si>
  <si>
    <t>Stock.number.LU.Tr.Road.Freight.HGV.Domestic</t>
  </si>
  <si>
    <t>Stock.number.LU.Tr.Road.Freight.HGV.International</t>
  </si>
  <si>
    <t>StockNew.number.LU.Tr.Road</t>
  </si>
  <si>
    <t>StockNew.number.LU.Tr.Road.Passenger</t>
  </si>
  <si>
    <t>StockNew.number.LU.Tr.Road.Passenger.P2W</t>
  </si>
  <si>
    <t>StockNew.number.LU.Tr.Road.Passenger.Car</t>
  </si>
  <si>
    <t>StockNew.number.LU.Tr.Road.Passenger.Car.ICE.Gasoline</t>
  </si>
  <si>
    <t>StockNew.number.LU.Tr.Road.Passenger.Car.ICE.Diesel</t>
  </si>
  <si>
    <t>StockNew.number.LU.Tr.Road.Passenger.Car.ICE.LPG</t>
  </si>
  <si>
    <t>StockNew.number.LU.Tr.Road.Passenger.Car.ICE.NGas</t>
  </si>
  <si>
    <t>StockNew.number.LU.Tr.Road.Passenger.Car.PHEV</t>
  </si>
  <si>
    <t>StockNew.number.LU.Tr.Road.Passenger.Car.BEV</t>
  </si>
  <si>
    <t>StockNew.number.LU.Tr.Road.Passenger.Bus</t>
  </si>
  <si>
    <t>StockNew.number.LU.Tr.Road.Passenger.Bus.ICE.Gasoline</t>
  </si>
  <si>
    <t>StockNew.number.LU.Tr.Road.Passenger.Bus.ICE.Diesel</t>
  </si>
  <si>
    <t>StockNew.number.LU.Tr.Road.Passenger.Bus.ICE.LPG</t>
  </si>
  <si>
    <t>StockNew.number.LU.Tr.Road.Passenger.Bus.ICE.NGas</t>
  </si>
  <si>
    <t>StockNew.number.LU.Tr.Road.Passenger.Bus.ICE.BEV</t>
  </si>
  <si>
    <t>StockNew.number.LU.Tr.Road.Freight</t>
  </si>
  <si>
    <t>StockNew.number.LU.Tr.Road.Freight.LCV</t>
  </si>
  <si>
    <t>StockNew.number.LU.Tr.Road.Freight.LCV.ICE.Gasoline</t>
  </si>
  <si>
    <t>StockNew.number.LU.Tr.Road.Freight.LCV.ICE.Diesel</t>
  </si>
  <si>
    <t>StockNew.number.LU.Tr.Road.Freight.LCV.ICE.LPG</t>
  </si>
  <si>
    <t>StockNew.number.LU.Tr.Road.Freight.LCV.ICE.NGas</t>
  </si>
  <si>
    <t>StockNew.number.LU.Tr.Road.Freight.LCV.ICE.BEV</t>
  </si>
  <si>
    <t>StockNew.number.LU.Tr.Road.Freight.HGV</t>
  </si>
  <si>
    <t>StockNew.number.LU.Tr.Road.Freight.HGV.Domestic</t>
  </si>
  <si>
    <t>StockNew.number.LU.Tr.Road.Freight.HGV.International</t>
  </si>
  <si>
    <t>Load.passenger_per_movement.LU.Tr.Road.Passenger</t>
  </si>
  <si>
    <t>Load.passenger_per_movement.LU.Tr.Road.Passenger.P2W</t>
  </si>
  <si>
    <t>Load.passenger_per_movement.LU.Tr.Road.Passenger.Car</t>
  </si>
  <si>
    <t>Load.passenger_per_movement.LU.Tr.Road.Passenger.Car.ICE.Gasoline</t>
  </si>
  <si>
    <t>Load.passenger_per_movement.LU.Tr.Road.Passenger.Car.ICE.Diesel</t>
  </si>
  <si>
    <t>Load.passenger_per_movement.LU.Tr.Road.Passenger.Car.ICE.LPG</t>
  </si>
  <si>
    <t>Load.passenger_per_movement.LU.Tr.Road.Passenger.Car.ICE.NGas</t>
  </si>
  <si>
    <t>Load.passenger_per_movement.LU.Tr.Road.Passenger.Car.PHEV</t>
  </si>
  <si>
    <t>Load.passenger_per_movement.LU.Tr.Road.Passenger.Car.BEV</t>
  </si>
  <si>
    <t>Load.passenger_per_movement.LU.Tr.Road.Passenger.Bus</t>
  </si>
  <si>
    <t>Load.passenger_per_movement.LU.Tr.Road.Passenger.Bus.ICE.Gasoline</t>
  </si>
  <si>
    <t>Load.passenger_per_movement.LU.Tr.Road.Passenger.Bus.ICE.Diesel</t>
  </si>
  <si>
    <t>Load.passenger_per_movement.LU.Tr.Road.Passenger.Bus.ICE.LPG</t>
  </si>
  <si>
    <t>Load.passenger_per_movement.LU.Tr.Road.Passenger.Bus.ICE.NGas</t>
  </si>
  <si>
    <t>Load.passenger_per_movement.LU.Tr.Road.Passenger.Bus.ICE.BEV</t>
  </si>
  <si>
    <t>Load.t_per_movement.LU.Tr.Road.Freight</t>
  </si>
  <si>
    <t>Load.t_per_movement.LU.Tr.Road.Freight.LCV</t>
  </si>
  <si>
    <t>Load.t_per_movement.LU.Tr.Road.Freight.LCV.ICE.Gasoline</t>
  </si>
  <si>
    <t>Load.t_per_movement.LU.Tr.Road.Freight.LCV.ICE.Diesel</t>
  </si>
  <si>
    <t>Load.t_per_movement.LU.Tr.Road.Freight.LCV.ICE.LPG</t>
  </si>
  <si>
    <t>Load.t_per_movement.LU.Tr.Road.Freight.LCV.ICE.NGas</t>
  </si>
  <si>
    <t>Load.t_per_movement.LU.Tr.Road.Freight.LCV.ICE.BEV</t>
  </si>
  <si>
    <t>Load.t_per_movement.LU.Tr.Road.Freight.HGV</t>
  </si>
  <si>
    <t>Load.t_per_movement.LU.Tr.Road.Freight.HGV.Domestic</t>
  </si>
  <si>
    <t>Load.t_per_movement.LU.Tr.Road.Freight.HGV.International</t>
  </si>
  <si>
    <t>VehicleKm_per_vehicle.km.LU.Tr.Road</t>
  </si>
  <si>
    <t>VehicleKm_per_vehicle.km.LU.Tr.Road.Passenger</t>
  </si>
  <si>
    <t>VehicleKm_per_vehicle.km.LU.Tr.Road.Passenger.P2W</t>
  </si>
  <si>
    <t>VehicleKm_per_vehicle.km.LU.Tr.Road.Passenger.Car</t>
  </si>
  <si>
    <t>VehicleKm_per_vehicle.km.LU.Tr.Road.Passenger.Car.ICE.Gasoline</t>
  </si>
  <si>
    <t>VehicleKm_per_vehicle.km.LU.Tr.Road.Passenger.Car.ICE.Diesel</t>
  </si>
  <si>
    <t>VehicleKm_per_vehicle.km.LU.Tr.Road.Passenger.Car.ICE.LPG</t>
  </si>
  <si>
    <t>VehicleKm_per_vehicle.km.LU.Tr.Road.Passenger.Car.ICE.NGas</t>
  </si>
  <si>
    <t>VehicleKm_per_vehicle.km.LU.Tr.Road.Passenger.Car.PHEV</t>
  </si>
  <si>
    <t>VehicleKm_per_vehicle.km.LU.Tr.Road.Passenger.Car.BEV</t>
  </si>
  <si>
    <t>VehicleKm_per_vehicle.km.LU.Tr.Road.Passenger.Bus</t>
  </si>
  <si>
    <t>VehicleKm_per_vehicle.km.LU.Tr.Road.Passenger.Bus.ICE.Gasoline</t>
  </si>
  <si>
    <t>VehicleKm_per_vehicle.km.LU.Tr.Road.Passenger.Bus.ICE.Diesel</t>
  </si>
  <si>
    <t>VehicleKm_per_vehicle.km.LU.Tr.Road.Passenger.Bus.ICE.LPG</t>
  </si>
  <si>
    <t>VehicleKm_per_vehicle.km.LU.Tr.Road.Passenger.Bus.ICE.NGas</t>
  </si>
  <si>
    <t>VehicleKm_per_vehicle.km.LU.Tr.Road.Passenger.Bus.ICE.BEV</t>
  </si>
  <si>
    <t>VehicleKm_per_vehicle.km.LU.Tr.Road.Freight</t>
  </si>
  <si>
    <t>VehicleKm_per_vehicle.km.LU.Tr.Road.Freight.LCV</t>
  </si>
  <si>
    <t>VehicleKm_per_vehicle.km.LU.Tr.Road.Freight.LCV.ICE.Gasoline</t>
  </si>
  <si>
    <t>VehicleKm_per_vehicle.km.LU.Tr.Road.Freight.LCV.ICE.Diesel</t>
  </si>
  <si>
    <t>VehicleKm_per_vehicle.km.LU.Tr.Road.Freight.LCV.ICE.LPG</t>
  </si>
  <si>
    <t>VehicleKm_per_vehicle.km.LU.Tr.Road.Freight.LCV.ICE.NGas</t>
  </si>
  <si>
    <t>VehicleKm_per_vehicle.km.LU.Tr.Road.Freight.LCV.ICE.BEV</t>
  </si>
  <si>
    <t>VehicleKm_per_vehicle.km.LU.Tr.Road.Freight.HGV</t>
  </si>
  <si>
    <t>VehicleKm_per_vehicle.km.LU.Tr.Road.Freight.HGV.Domestic</t>
  </si>
  <si>
    <t>VehicleKm_per_vehicle.km.LU.Tr.Road.Freight.HGV.International</t>
  </si>
  <si>
    <t>Activity_per_vehicle.pkm.LU.Tr.Road.Passenger</t>
  </si>
  <si>
    <t>Activity_per_vehicle.pkm.LU.Tr.Road.Passenger.P2W</t>
  </si>
  <si>
    <t>Activity_per_vehicle.pkm.LU.Tr.Road.Passenger.Car</t>
  </si>
  <si>
    <t>Activity_per_vehicle.pkm.LU.Tr.Road.Passenger.Car.ICE.Gasoline</t>
  </si>
  <si>
    <t>Activity_per_vehicle.pkm.LU.Tr.Road.Passenger.Car.ICE.Diesel</t>
  </si>
  <si>
    <t>Activity_per_vehicle.pkm.LU.Tr.Road.Passenger.Car.ICE.LPG</t>
  </si>
  <si>
    <t>Activity_per_vehicle.pkm.LU.Tr.Road.Passenger.Car.ICE.NGas</t>
  </si>
  <si>
    <t>Activity_per_vehicle.pkm.LU.Tr.Road.Passenger.Car.PHEV</t>
  </si>
  <si>
    <t>Activity_per_vehicle.pkm.LU.Tr.Road.Passenger.Car.BEV</t>
  </si>
  <si>
    <t>Activity_per_vehicle.pkm.LU.Tr.Road.Passenger.Bus</t>
  </si>
  <si>
    <t>Activity_per_vehicle.pkm.LU.Tr.Road.Passenger.Bus.ICE.Gasoline</t>
  </si>
  <si>
    <t>Activity_per_vehicle.pkm.LU.Tr.Road.Passenger.Bus.ICE.Diesel</t>
  </si>
  <si>
    <t>Activity_per_vehicle.pkm.LU.Tr.Road.Passenger.Bus.ICE.LPG</t>
  </si>
  <si>
    <t>Activity_per_vehicle.pkm.LU.Tr.Road.Passenger.Bus.ICE.NGas</t>
  </si>
  <si>
    <t>Activity_per_vehicle.pkm.LU.Tr.Road.Passenger.Bus.ICE.BEV</t>
  </si>
  <si>
    <t>Activity_per_vehicle.tkm.LU.Tr.Road.Freight</t>
  </si>
  <si>
    <t>Activity_per_vehicle.tkm.LU.Tr.Road.Freight.LCV</t>
  </si>
  <si>
    <t>Activity_per_vehicle.tkm.LU.Tr.Road.Freight.LCV.ICE.Gasoline</t>
  </si>
  <si>
    <t>Activity_per_vehicle.tkm.LU.Tr.Road.Freight.LCV.ICE.Diesel</t>
  </si>
  <si>
    <t>Activity_per_vehicle.tkm.LU.Tr.Road.Freight.LCV.ICE.LPG</t>
  </si>
  <si>
    <t>Activity_per_vehicle.tkm.LU.Tr.Road.Freight.LCV.ICE.NGas</t>
  </si>
  <si>
    <t>Activity_per_vehicle.tkm.LU.Tr.Road.Freight.LCV.ICE.BEV</t>
  </si>
  <si>
    <t>Activity_per_vehicle.tkm.LU.Tr.Road.Freight.HGV</t>
  </si>
  <si>
    <t>Activity_per_vehicle.tkm.LU.Tr.Road.Freight.HGV.Domestic</t>
  </si>
  <si>
    <t>Activity_per_vehicle.tkm.LU.Tr.Road.Freight.HGV.International</t>
  </si>
  <si>
    <t>Road transport / energy consumption - LU - Luxembourg</t>
  </si>
  <si>
    <t>FEC.ktoe.LU.ES.Tr.Road</t>
  </si>
  <si>
    <t>FEC.ktoe.LU.ES.Tr.Road.LPG</t>
  </si>
  <si>
    <t>FEC.ktoe.LU.ES.Tr.Road.Gasoline</t>
  </si>
  <si>
    <t>FEC.ktoe.LU.ES.Tr.Road.Diesel</t>
  </si>
  <si>
    <t>FEC.ktoe.LU.ES.Tr.Road.NG</t>
  </si>
  <si>
    <t>FEC.ktoe.LU.ES.Tr.Road.Biogas</t>
  </si>
  <si>
    <t>FEC.ktoe.LU.ES.Tr.Road.Biogasoline</t>
  </si>
  <si>
    <t>FEC.ktoe.LU.ES.Tr.Road.Biodiesel</t>
  </si>
  <si>
    <t>FEC.ktoe.LU.ES.Tr.Road.OthLiqBio</t>
  </si>
  <si>
    <t>FEC.ktoe.LU.ES.Tr.Road.Elec</t>
  </si>
  <si>
    <t>FEC.ktoe.LU.Tr.Road</t>
  </si>
  <si>
    <t>FEC.ktoe.LU.Tr.Road.Passenger.P2W.Biogasoline</t>
  </si>
  <si>
    <t>FEC.ktoe.LU.Tr.Road.Passenger.Car.ICE.Gasoline</t>
  </si>
  <si>
    <t>FEC.ktoe.LU.Tr.Road.Passenger.Car.ICE.Gasoline.Biogasoline</t>
  </si>
  <si>
    <t>FEC.ktoe.LU.Tr.Road.Passenger.Car.ICE.Diesel</t>
  </si>
  <si>
    <t>FEC.ktoe.LU.Tr.Road.Passenger.Car.ICE.Diesel.BioDiesel_OthLiqBio</t>
  </si>
  <si>
    <t>FEC.ktoe.LU.Tr.Road.Passenger.Car.ICE.LPG</t>
  </si>
  <si>
    <t>FEC.ktoe.LU.Tr.Road.Passenger.Car.ICE.NGas</t>
  </si>
  <si>
    <t>FEC.ktoe.LU.Tr.Road.Passenger.Car.ICE.NGas.Biogas</t>
  </si>
  <si>
    <t>FEC.ktoe.LU.Tr.Road.Passenger.Car.PHEV</t>
  </si>
  <si>
    <t>FEC.ktoe.LU.Tr.Road.Passenger.Car.PHEV.Biogasoline</t>
  </si>
  <si>
    <t>FEC.ktoe.LU.Tr.Road.Passenger.Car.PHEV.Elec</t>
  </si>
  <si>
    <t>FEC.ktoe.LU.Tr.Road.Passenger.Car.BEV</t>
  </si>
  <si>
    <t>FEC.ktoe.LU.Tr.Road.Passenger.Bus.ICE.Gasoline</t>
  </si>
  <si>
    <t>FEC.ktoe.LU.Tr.Road.Passenger.Bus.ICE.Gasoline.Biogasoline</t>
  </si>
  <si>
    <t>FEC.ktoe.LU.Tr.Road.Passenger.Bus.ICE.Diesel</t>
  </si>
  <si>
    <t>FEC.ktoe.LU.Tr.Road.Passenger.Bus.ICE.Diesel.BioDiesel_OthLiqBio</t>
  </si>
  <si>
    <t>FEC.ktoe.LU.Tr.Road.Passenger.Bus.ICE.LPG</t>
  </si>
  <si>
    <t>FEC.ktoe.LU.Tr.Road.Passenger.Bus.ICE.NGas</t>
  </si>
  <si>
    <t>FEC.ktoe.LU.Tr.Road.Passenger.Bus.ICE.NGas.Biogas</t>
  </si>
  <si>
    <t>FEC.ktoe.LU.Tr.Road.Passenger.Bus.ICE.BEV</t>
  </si>
  <si>
    <t>FEC.ktoe.LU.Tr.Road.Freight.LCV.ICE.Gasoline</t>
  </si>
  <si>
    <t>FEC.ktoe.LU.Tr.Road.Freight.LCV.ICE.Gasoline.Biogasoline</t>
  </si>
  <si>
    <t>FEC.ktoe.LU.Tr.Road.Freight.LCV.ICE.Diesel</t>
  </si>
  <si>
    <t>FEC.ktoe.LU.Tr.Road.Freight.LCV.ICE.Diesel.BioDiesel_OthLiqBio</t>
  </si>
  <si>
    <t>FEC.ktoe.LU.Tr.Road.Freight.LCV.ICE.LPG</t>
  </si>
  <si>
    <t>FEC.ktoe.LU.Tr.Road.Freight.LCV.ICE.NGas</t>
  </si>
  <si>
    <t>FEC.ktoe.LU.Tr.Road.Freight.LCV.ICE.NGas.Biogas</t>
  </si>
  <si>
    <t>FEC.ktoe.LU.Tr.Road.Freight.LCV.ICE.BEV</t>
  </si>
  <si>
    <t>FEC.ktoe.LU.Tr.Road.Freight.HGV.Domestic</t>
  </si>
  <si>
    <t>FEC.ktoe.LU.Tr.Road.Freight.HGV.Domestic.BioDiesel_OthLiqBio</t>
  </si>
  <si>
    <t>FEC.ktoe.LU.Tr.Road.Freight.HGV.International</t>
  </si>
  <si>
    <t>FEC.ktoe.LU.Tr.Road.Freight.HGV.International.BioDiesel_OthLiqBio</t>
  </si>
  <si>
    <t>Eff.kgoe_per_100km.LU.Tr.Road</t>
  </si>
  <si>
    <t>Eff.kgoe_per_100km.LU.Tr.Road.Passenger</t>
  </si>
  <si>
    <t>Eff.kgoe_per_100km.LU.Tr.Road.Passenger.P2W</t>
  </si>
  <si>
    <t>Eff.kgoe_per_100km.LU.Tr.Road.Passenger.Car</t>
  </si>
  <si>
    <t>Eff.kgoe_per_100km.LU.Tr.Road.Passenger.Car.ICE.Gasoline</t>
  </si>
  <si>
    <t>Eff.kgoe_per_100km.LU.Tr.Road.Passenger.Car.ICE.Diesel</t>
  </si>
  <si>
    <t>Eff.kgoe_per_100km.LU.Tr.Road.Passenger.Car.ICE.LPG</t>
  </si>
  <si>
    <t>Eff.kgoe_per_100km.LU.Tr.Road.Passenger.Car.ICE.NGas</t>
  </si>
  <si>
    <t>Eff.kgoe_per_100km.LU.Tr.Road.Passenger.Car.PHEV</t>
  </si>
  <si>
    <t>Eff.kgoe_per_100km.LU.Tr.Road.Passenger.Car.BEV</t>
  </si>
  <si>
    <t>Eff.kgoe_per_100km.LU.Tr.Road.Passenger.Bus</t>
  </si>
  <si>
    <t>Eff.kgoe_per_100km.LU.Tr.Road.Passenger.Bus.ICE.Gasoline</t>
  </si>
  <si>
    <t>Eff.kgoe_per_100km.LU.Tr.Road.Passenger.Bus.ICE.Diesel</t>
  </si>
  <si>
    <t>Eff.kgoe_per_100km.LU.Tr.Road.Passenger.Bus.ICE.LPG</t>
  </si>
  <si>
    <t>Eff.kgoe_per_100km.LU.Tr.Road.Passenger.Bus.ICE.NGas</t>
  </si>
  <si>
    <t>Eff.kgoe_per_100km.LU.Tr.Road.Passenger.Bus.ICE.BEV</t>
  </si>
  <si>
    <t>Eff.kgoe_per_100km.LU.Tr.Road.Freight</t>
  </si>
  <si>
    <t>Eff.kgoe_per_100km.LU.Tr.Road.Freight.LCV</t>
  </si>
  <si>
    <t>Eff.kgoe_per_100km.LU.Tr.Road.Freight.LCV.ICE.Gasoline</t>
  </si>
  <si>
    <t>Eff.kgoe_per_100km.LU.Tr.Road.Freight.LCV.ICE.Diesel</t>
  </si>
  <si>
    <t>Eff.kgoe_per_100km.LU.Tr.Road.Freight.LCV.ICE.LPG</t>
  </si>
  <si>
    <t>Eff.kgoe_per_100km.LU.Tr.Road.Freight.LCV.ICE.NGas</t>
  </si>
  <si>
    <t>Eff.kgoe_per_100km.LU.Tr.Road.Freight.LCV.ICE.BEV</t>
  </si>
  <si>
    <t>Eff.kgoe_per_100km.LU.Tr.Road.Freight.HGV</t>
  </si>
  <si>
    <t>Eff.kgoe_per_100km.LU.Tr.Road.Freight.HGV.Domestic</t>
  </si>
  <si>
    <t>Eff.kgoe_per_100km.LU.Tr.Road.Freight.HGV.International</t>
  </si>
  <si>
    <t>Eff.kgoe_per_kpkm.LU.Tr.Road.Passenger.Car.ICE.Gasoline</t>
  </si>
  <si>
    <t>Eff.kgoe_per_kpkm.LU.Tr.Road.Passenger.Car.ICE.Diesel</t>
  </si>
  <si>
    <t>Eff.kgoe_per_kpkm.LU.Tr.Road.Passenger.Car.ICE.LPG</t>
  </si>
  <si>
    <t>Eff.kgoe_per_kpkm.LU.Tr.Road.Passenger.Car.ICE.NGas</t>
  </si>
  <si>
    <t>Eff.kgoe_per_kpkm.LU.Tr.Road.Passenger.Car.PHEV</t>
  </si>
  <si>
    <t>Eff.kgoe_per_kpkm.LU.Tr.Road.Passenger.Car.BEV</t>
  </si>
  <si>
    <t>Eff.kgoe_per_kpkm.LU.Tr.Road.Passenger.Bus.ICE.Gasoline</t>
  </si>
  <si>
    <t>Eff.kgoe_per_kpkm.LU.Tr.Road.Passenger.Bus.ICE.Diesel</t>
  </si>
  <si>
    <t>Eff.kgoe_per_kpkm.LU.Tr.Road.Passenger.Bus.ICE.LPG</t>
  </si>
  <si>
    <t>Eff.kgoe_per_kpkm.LU.Tr.Road.Passenger.Bus.ICE.NGas</t>
  </si>
  <si>
    <t>Eff.kgoe_per_kpkm.LU.Tr.Road.Passenger.Bus.ICE.BEV</t>
  </si>
  <si>
    <t>Eff.kgoe_per_ktkm.LU.Tr.Road.Freight.LCV.ICE.Gasoline</t>
  </si>
  <si>
    <t>Eff.kgoe_per_ktkm.LU.Tr.Road.Freight.LCV.ICE.Diesel</t>
  </si>
  <si>
    <t>Eff.kgoe_per_ktkm.LU.Tr.Road.Freight.LCV.ICE.LPG</t>
  </si>
  <si>
    <t>Eff.kgoe_per_ktkm.LU.Tr.Road.Freight.LCV.ICE.NGas</t>
  </si>
  <si>
    <t>Eff.kgoe_per_ktkm.LU.Tr.Road.Freight.LCV.ICE.BEV</t>
  </si>
  <si>
    <t>Eff.kgoe_per_ktkm.LU.Tr.Road.Freight.HGV.Domestic</t>
  </si>
  <si>
    <t>Eff.kgoe_per_ktkm.LU.Tr.Road.Freight.HGV.International</t>
  </si>
  <si>
    <t>FEC_per_vehicle.kgoe.LU.Tr.Road.Passenger.P2W</t>
  </si>
  <si>
    <t>FEC_per_vehicle.kgoe.LU.Tr.Road.Passenger.Car</t>
  </si>
  <si>
    <t>FEC_per_vehicle.kgoe.LU.Tr.Road.Passenger.Car.ICE.Gasoline</t>
  </si>
  <si>
    <t>FEC_per_vehicle.kgoe.LU.Tr.Road.Passenger.Car.ICE.Diesel</t>
  </si>
  <si>
    <t>FEC_per_vehicle.kgoe.LU.Tr.Road.Passenger.Car.ICE.LPG</t>
  </si>
  <si>
    <t>FEC_per_vehicle.kgoe.LU.Tr.Road.Passenger.Car.ICE.NGas</t>
  </si>
  <si>
    <t>FEC_per_vehicle.kgoe.LU.Tr.Road.Passenger.Car.PHEV</t>
  </si>
  <si>
    <t>FEC_per_vehicle.kgoe.LU.Tr.Road.Passenger.Car.BEV</t>
  </si>
  <si>
    <t>FEC_per_vehicle.kgoe.LU.Tr.Road.Passenger.Bus</t>
  </si>
  <si>
    <t>FEC_per_vehicle.kgoe.LU.Tr.Road.Passenger.Bus.ICE.Gasoline</t>
  </si>
  <si>
    <t>FEC_per_vehicle.kgoe.LU.Tr.Road.Passenger.Bus.ICE.Diesel</t>
  </si>
  <si>
    <t>FEC_per_vehicle.kgoe.LU.Tr.Road.Passenger.Bus.ICE.LPG</t>
  </si>
  <si>
    <t>FEC_per_vehicle.kgoe.LU.Tr.Road.Passenger.Bus.ICE.NGas</t>
  </si>
  <si>
    <t>FEC_per_vehicle.kgoe.LU.Tr.Road.Passenger.Bus.ICE.BEV</t>
  </si>
  <si>
    <t>FEC_per_vehicle.kgoe.LU.Tr.Road.Freight.LCV</t>
  </si>
  <si>
    <t>FEC_per_vehicle.kgoe.LU.Tr.Road.Freight.LCV.ICE.Gasoline</t>
  </si>
  <si>
    <t>FEC_per_vehicle.kgoe.LU.Tr.Road.Freight.LCV.ICE.Diesel</t>
  </si>
  <si>
    <t>FEC_per_vehicle.kgoe.LU.Tr.Road.Freight.LCV.ICE.LPG</t>
  </si>
  <si>
    <t>FEC_per_vehicle.kgoe.LU.Tr.Road.Freight.LCV.ICE.NGas</t>
  </si>
  <si>
    <t>FEC_per_vehicle.kgoe.LU.Tr.Road.Freight.LCV.ICE.BEV</t>
  </si>
  <si>
    <t>FEC_per_vehicle.kgoe.LU.Tr.Road.Freight.HGV</t>
  </si>
  <si>
    <t>FEC_per_vehicle.kgoe.LU.Tr.Road.Freight.HGV.Domestic</t>
  </si>
  <si>
    <t>FEC_per_vehicle.kgoe.LU.Tr.Road.Freight.HGV.International</t>
  </si>
  <si>
    <t>Road transport / CO2 emissions - LU - Luxembourg</t>
  </si>
  <si>
    <t>EMI.ktCO2.LU.ES.Tr.Road</t>
  </si>
  <si>
    <t>EMI.ktCO2.LU.ES.Tr.Road.LPG</t>
  </si>
  <si>
    <t>EMI.ktCO2.LU.ES.Tr.Road.Gasoline</t>
  </si>
  <si>
    <t>EMI.ktCO2.LU.ES.Tr.Road.Diesel</t>
  </si>
  <si>
    <t>EMI.ktCO2.LU.ES.Tr.Road.NG</t>
  </si>
  <si>
    <t>EMI.ktCO2.LU.ES.Tr.Road.Biogas</t>
  </si>
  <si>
    <t>EMI.ktCO2.LU.ES.Tr.Road.Biogasoline</t>
  </si>
  <si>
    <t>EMI.ktCO2.LU.ES.Tr.Road.Biodiesel</t>
  </si>
  <si>
    <t>EMI.ktCO2.LU.ES.Tr.Road.OthLiqBio</t>
  </si>
  <si>
    <t>EMI.ktCO2.LU.ES.Tr.Road.Elec</t>
  </si>
  <si>
    <t>EMI.ktCO2.LU.Tr.Road</t>
  </si>
  <si>
    <t>EMI.ktCO2.LU.Tr.Road.Passenger.Car.ICE.Gasoline</t>
  </si>
  <si>
    <t>EMI.ktCO2.LU.Tr.Road.Passenger.Car.ICE.Diesel</t>
  </si>
  <si>
    <t>EMI.ktCO2.LU.Tr.Road.Passenger.Car.ICE.LPG</t>
  </si>
  <si>
    <t>EMI.ktCO2.LU.Tr.Road.Passenger.Car.ICE.NGas</t>
  </si>
  <si>
    <t>EMI.ktCO2.LU.Tr.Road.Passenger.Car.PHEV</t>
  </si>
  <si>
    <t>EMI.ktCO2.LU.Tr.Road.Passenger.Car.BEV</t>
  </si>
  <si>
    <t>EMI.ktCO2.LU.Tr.Road.Passenger.Bus.ICE.Gasoline</t>
  </si>
  <si>
    <t>EMI.ktCO2.LU.Tr.Road.Passenger.Bus.ICE.Diesel</t>
  </si>
  <si>
    <t>EMI.ktCO2.LU.Tr.Road.Passenger.Bus.ICE.LPG</t>
  </si>
  <si>
    <t>EMI.ktCO2.LU.Tr.Road.Passenger.Bus.ICE.NGas</t>
  </si>
  <si>
    <t>EMI.ktCO2.LU.Tr.Road.Passenger.Bus.ICE.BEV</t>
  </si>
  <si>
    <t>EMI.ktCO2.LU.Tr.Road.Freight.LCV.ICE.Gasoline</t>
  </si>
  <si>
    <t>EMI.ktCO2.LU.Tr.Road.Freight.LCV.ICE.Diesel</t>
  </si>
  <si>
    <t>EMI.ktCO2.LU.Tr.Road.Freight.LCV.ICE.LPG</t>
  </si>
  <si>
    <t>EMI.ktCO2.LU.Tr.Road.Freight.LCV.ICE.NGas</t>
  </si>
  <si>
    <t>EMI.ktCO2.LU.Tr.Road.Freight.LCV.ICE.BEV</t>
  </si>
  <si>
    <t>EMI.ktCO2.LU.Tr.Road.Freight.HGV.Domestic</t>
  </si>
  <si>
    <t>EMI.ktCO2.LU.Tr.Road.Freight.HGV.International</t>
  </si>
  <si>
    <t>EMIint.gCO2_per_km.LU.Tr.Road</t>
  </si>
  <si>
    <t>EMIint.gCO2_per_km.LU.Tr.Road.Passenger</t>
  </si>
  <si>
    <t>EMIint.gCO2_per_km.LU.Tr.Road.Passenger.P2W</t>
  </si>
  <si>
    <t>EMIint.gCO2_per_km.LU.Tr.Road.Passenger.Car</t>
  </si>
  <si>
    <t>EMIint.gCO2_per_km.LU.Tr.Road.Passenger.Car.ICE.Gasoline</t>
  </si>
  <si>
    <t>EMIint.gCO2_per_km.LU.Tr.Road.Passenger.Car.ICE.Diesel</t>
  </si>
  <si>
    <t>EMIint.gCO2_per_km.LU.Tr.Road.Passenger.Car.ICE.LPG</t>
  </si>
  <si>
    <t>EMIint.gCO2_per_km.LU.Tr.Road.Passenger.Car.ICE.NGas</t>
  </si>
  <si>
    <t>EMIint.gCO2_per_km.LU.Tr.Road.Passenger.Car.PHEV</t>
  </si>
  <si>
    <t>EMIint.gCO2_per_km.LU.Tr.Road.Passenger.Car.BEV</t>
  </si>
  <si>
    <t>EMIint.gCO2_per_km.LU.Tr.Road.Passenger.Bus</t>
  </si>
  <si>
    <t>EMIint.gCO2_per_km.LU.Tr.Road.Passenger.Bus.ICE.Gasoline</t>
  </si>
  <si>
    <t>EMIint.gCO2_per_km.LU.Tr.Road.Passenger.Bus.ICE.Diesel</t>
  </si>
  <si>
    <t>EMIint.gCO2_per_km.LU.Tr.Road.Passenger.Bus.ICE.LPG</t>
  </si>
  <si>
    <t>EMIint.gCO2_per_km.LU.Tr.Road.Passenger.Bus.ICE.NGas</t>
  </si>
  <si>
    <t>EMIint.gCO2_per_km.LU.Tr.Road.Passenger.Bus.ICE.BEV</t>
  </si>
  <si>
    <t>EMIint.gCO2_per_km.LU.Tr.Road.Freight</t>
  </si>
  <si>
    <t>EMIint.gCO2_per_km.LU.Tr.Road.Freight.LCV</t>
  </si>
  <si>
    <t>EMIint.gCO2_per_km.LU.Tr.Road.Freight.LCV.ICE.Gasoline</t>
  </si>
  <si>
    <t>EMIint.gCO2_per_km.LU.Tr.Road.Freight.LCV.ICE.Diesel</t>
  </si>
  <si>
    <t>EMIint.gCO2_per_km.LU.Tr.Road.Freight.LCV.ICE.LPG</t>
  </si>
  <si>
    <t>EMIint.gCO2_per_km.LU.Tr.Road.Freight.LCV.ICE.NGas</t>
  </si>
  <si>
    <t>EMIint.gCO2_per_km.LU.Tr.Road.Freight.LCV.ICE.BEV</t>
  </si>
  <si>
    <t>EMIint.gCO2_per_km.LU.Tr.Road.Freight.HGV</t>
  </si>
  <si>
    <t>EMIint.gCO2_per_km.LU.Tr.Road.Freight.HGV.Domestic</t>
  </si>
  <si>
    <t>EMIint.gCO2_per_km.LU.Tr.Road.Freight.HGV.International</t>
  </si>
  <si>
    <t>EMIint.gCO2_per_pkm.LU.Tr.Road.Passenger.Car.ICE.Gasoline</t>
  </si>
  <si>
    <t>EMIint.gCO2_per_pkm.LU.Tr.Road.Passenger.Car.ICE.Diesel</t>
  </si>
  <si>
    <t>EMIint.gCO2_per_pkm.LU.Tr.Road.Passenger.Car.ICE.LPG</t>
  </si>
  <si>
    <t>EMIint.gCO2_per_pkm.LU.Tr.Road.Passenger.Car.ICE.NGas</t>
  </si>
  <si>
    <t>EMIint.gCO2_per_pkm.LU.Tr.Road.Passenger.Car.PHEV</t>
  </si>
  <si>
    <t>EMIint.gCO2_per_pkm.LU.Tr.Road.Passenger.Car.BEV</t>
  </si>
  <si>
    <t>EMIint.gCO2_per_pkm.LU.Tr.Road.Passenger.Bus.ICE.Gasoline</t>
  </si>
  <si>
    <t>EMIint.gCO2_per_pkm.LU.Tr.Road.Passenger.Bus.ICE.Diesel</t>
  </si>
  <si>
    <t>EMIint.gCO2_per_pkm.LU.Tr.Road.Passenger.Bus.ICE.LPG</t>
  </si>
  <si>
    <t>EMIint.gCO2_per_pkm.LU.Tr.Road.Passenger.Bus.ICE.NGas</t>
  </si>
  <si>
    <t>EMIint.gCO2_per_pkm.LU.Tr.Road.Passenger.Bus.ICE.BEV</t>
  </si>
  <si>
    <t>EMIint.gCO2_per_tkm.LU.Tr.Road.Freight.LCV.ICE.Gasoline</t>
  </si>
  <si>
    <t>EMIint.gCO2_per_tkm.LU.Tr.Road.Freight.LCV.ICE.Diesel</t>
  </si>
  <si>
    <t>EMIint.gCO2_per_tkm.LU.Tr.Road.Freight.LCV.ICE.LPG</t>
  </si>
  <si>
    <t>EMIint.gCO2_per_tkm.LU.Tr.Road.Freight.LCV.ICE.NGas</t>
  </si>
  <si>
    <t>EMIint.gCO2_per_tkm.LU.Tr.Road.Freight.LCV.ICE.BEV</t>
  </si>
  <si>
    <t>EMIint.gCO2_per_tkm.LU.Tr.Road.Freight.HGV.Domestic</t>
  </si>
  <si>
    <t>EMIint.gCO2_per_tkm.LU.Tr.Road.Freight.HGV.International</t>
  </si>
  <si>
    <t>EMI_per_vehicle.kgCO2.LU.Tr.Road.Passenger.P2W</t>
  </si>
  <si>
    <t>EMI_per_vehicle.kgCO2.LU.Tr.Road.Passenger.Car</t>
  </si>
  <si>
    <t>EMI_per_vehicle.kgCO2.LU.Tr.Road.Passenger.Car.ICE.Gasoline</t>
  </si>
  <si>
    <t>EMI_per_vehicle.kgCO2.LU.Tr.Road.Passenger.Car.ICE.Diesel</t>
  </si>
  <si>
    <t>EMI_per_vehicle.kgCO2.LU.Tr.Road.Passenger.Car.ICE.LPG</t>
  </si>
  <si>
    <t>EMI_per_vehicle.kgCO2.LU.Tr.Road.Passenger.Car.ICE.NGas</t>
  </si>
  <si>
    <t>EMI_per_vehicle.kgCO2.LU.Tr.Road.Passenger.Car.PHEV</t>
  </si>
  <si>
    <t>EMI_per_vehicle.kgCO2.LU.Tr.Road.Passenger.Car.BEV</t>
  </si>
  <si>
    <t>EMI_per_vehicle.kgCO2.LU.Tr.Road.Passenger.Bus</t>
  </si>
  <si>
    <t>EMI_per_vehicle.kgCO2.LU.Tr.Road.Passenger.Bus.ICE.Gasoline</t>
  </si>
  <si>
    <t>EMI_per_vehicle.kgCO2.LU.Tr.Road.Passenger.Bus.ICE.Diesel</t>
  </si>
  <si>
    <t>EMI_per_vehicle.kgCO2.LU.Tr.Road.Passenger.Bus.ICE.LPG</t>
  </si>
  <si>
    <t>EMI_per_vehicle.kgCO2.LU.Tr.Road.Passenger.Bus.ICE.NGas</t>
  </si>
  <si>
    <t>EMI_per_vehicle.kgCO2.LU.Tr.Road.Passenger.Bus.ICE.BEV</t>
  </si>
  <si>
    <t>EMI_per_vehicle.kgCO2.LU.Tr.Road.Freight.LCV</t>
  </si>
  <si>
    <t>EMI_per_vehicle.kgCO2.LU.Tr.Road.Freight.LCV.ICE.Gasoline</t>
  </si>
  <si>
    <t>EMI_per_vehicle.kgCO2.LU.Tr.Road.Freight.LCV.ICE.Diesel</t>
  </si>
  <si>
    <t>EMI_per_vehicle.kgCO2.LU.Tr.Road.Freight.LCV.ICE.LPG</t>
  </si>
  <si>
    <t>EMI_per_vehicle.kgCO2.LU.Tr.Road.Freight.LCV.ICE.NGas</t>
  </si>
  <si>
    <t>EMI_per_vehicle.kgCO2.LU.Tr.Road.Freight.LCV.ICE.BEV</t>
  </si>
  <si>
    <t>EMI_per_vehicle.kgCO2.LU.Tr.Road.Freight.HGV</t>
  </si>
  <si>
    <t>EMI_per_vehicle.kgCO2.LU.Tr.Road.Freight.HGV.Domestic</t>
  </si>
  <si>
    <t>EMI_per_vehicle.kgCO2.LU.Tr.Road.Freight.HGV.International</t>
  </si>
  <si>
    <t>Road transport / technologies - LU - Luxembourg</t>
  </si>
  <si>
    <t>StockVin.number.LU.Tr.Road</t>
  </si>
  <si>
    <t>StockVin.number.LU.Tr.Road.Passenger</t>
  </si>
  <si>
    <t>StockVin.number.LU.Tr.Road.Passenger.P2W</t>
  </si>
  <si>
    <t>StockVin.number.LU.Tr.Road.Passenger.Car</t>
  </si>
  <si>
    <t>StockVin.number.LU.Tr.Road.Passenger.Car.ICE.Gasoline</t>
  </si>
  <si>
    <t>StockVin.number.LU.Tr.Road.Passenger.Car.ICE.Diesel</t>
  </si>
  <si>
    <t>StockVin.number.LU.Tr.Road.Passenger.Car.ICE.LPG</t>
  </si>
  <si>
    <t>StockVin.number.LU.Tr.Road.Passenger.Car.ICE.NGas</t>
  </si>
  <si>
    <t>StockVin.number.LU.Tr.Road.Passenger.Car.PHEV</t>
  </si>
  <si>
    <t>StockVin.number.LU.Tr.Road.Passenger.Car.BEV</t>
  </si>
  <si>
    <t>StockVin.number.LU.Tr.Road.Passenger.Bus</t>
  </si>
  <si>
    <t>StockVin.number.LU.Tr.Road.Passenger.Bus.ICE.Gasoline</t>
  </si>
  <si>
    <t>StockVin.number.LU.Tr.Road.Passenger.Bus.ICE.Diesel</t>
  </si>
  <si>
    <t>StockVin.number.LU.Tr.Road.Passenger.Bus.ICE.LPG</t>
  </si>
  <si>
    <t>StockVin.number.LU.Tr.Road.Passenger.Bus.ICE.NGas</t>
  </si>
  <si>
    <t>StockVin.number.LU.Tr.Road.Passenger.Bus.ICE.BEV</t>
  </si>
  <si>
    <t>StockVin.number.LU.Tr.Road.Freight</t>
  </si>
  <si>
    <t>StockVin.number.LU.Tr.Road.Freight.LCV</t>
  </si>
  <si>
    <t>StockVin.number.LU.Tr.Road.Freight.LCV.ICE.Gasoline</t>
  </si>
  <si>
    <t>StockVin.number.LU.Tr.Road.Freight.LCV.ICE.Diesel</t>
  </si>
  <si>
    <t>StockVin.number.LU.Tr.Road.Freight.LCV.ICE.LPG</t>
  </si>
  <si>
    <t>StockVin.number.LU.Tr.Road.Freight.LCV.ICE.NGas</t>
  </si>
  <si>
    <t>StockVin.number.LU.Tr.Road.Freight.LCV.ICE.BEV</t>
  </si>
  <si>
    <t>StockVin.number.LU.Tr.Road.Freight.HGV</t>
  </si>
  <si>
    <t>StockVin.number.LU.Tr.Road.Freight.HGV.Domestic</t>
  </si>
  <si>
    <t>StockVin.number.LU.Tr.Road.Freight.HGV.International</t>
  </si>
  <si>
    <t>Eff_test_stock.kgoe_per_100km.LU.Tr.Road.Passenger.P2W</t>
  </si>
  <si>
    <t>Eff_test_stock.kgoe_per_100km.LU.Tr.Road.Passenger.Car</t>
  </si>
  <si>
    <t>Eff_test_stock.kgoe_per_100km.LU.Tr.Road.Passenger.Car.ICE.Gasoline</t>
  </si>
  <si>
    <t>Eff_test_stock.kgoe_per_100km.LU.Tr.Road.Passenger.Car.ICE.Diesel</t>
  </si>
  <si>
    <t>Eff_test_stock.kgoe_per_100km.LU.Tr.Road.Passenger.Car.ICE.LPG</t>
  </si>
  <si>
    <t>Eff_test_stock.kgoe_per_100km.LU.Tr.Road.Passenger.Car.ICE.NGas</t>
  </si>
  <si>
    <t>Eff_test_stock.kgoe_per_100km.LU.Tr.Road.Passenger.Car.PHEV</t>
  </si>
  <si>
    <t>Eff_test_stock.kgoe_per_100km.LU.Tr.Road.Passenger.Car.BEV</t>
  </si>
  <si>
    <t>Eff_test_stock.kgoe_per_100km.LU.Tr.Road.Passenger.Bus</t>
  </si>
  <si>
    <t>Eff_test_stock.kgoe_per_100km.LU.Tr.Road.Passenger.Bus.ICE.Gasoline</t>
  </si>
  <si>
    <t>Eff_test_stock.kgoe_per_100km.LU.Tr.Road.Passenger.Bus.ICE.Diesel</t>
  </si>
  <si>
    <t>Eff_test_stock.kgoe_per_100km.LU.Tr.Road.Passenger.Bus.ICE.LPG</t>
  </si>
  <si>
    <t>Eff_test_stock.kgoe_per_100km.LU.Tr.Road.Passenger.Bus.ICE.NGas</t>
  </si>
  <si>
    <t>Eff_test_stock.kgoe_per_100km.LU.Tr.Road.Passenger.Bus.ICE.BEV</t>
  </si>
  <si>
    <t>Eff_test_stock.kgoe_per_100km.LU.Tr.Road.Freight.LCV</t>
  </si>
  <si>
    <t>Eff_test_stock.kgoe_per_100km.LU.Tr.Road.Freight.LCV.ICE.Gasoline</t>
  </si>
  <si>
    <t>Eff_test_stock.kgoe_per_100km.LU.Tr.Road.Freight.LCV.ICE.Diesel</t>
  </si>
  <si>
    <t>Eff_test_stock.kgoe_per_100km.LU.Tr.Road.Freight.LCV.ICE.LPG</t>
  </si>
  <si>
    <t>Eff_test_stock.kgoe_per_100km.LU.Tr.Road.Freight.LCV.ICE.NGas</t>
  </si>
  <si>
    <t>Eff_test_stock.kgoe_per_100km.LU.Tr.Road.Freight.LCV.ICE.BEV</t>
  </si>
  <si>
    <t>Eff_test_stock.kgoe_per_100km.LU.Tr.Road.Freight.HGV</t>
  </si>
  <si>
    <t>Eff_test_stock.kgoe_per_100km.LU.Tr.Road.Freight.HGV.Domestic</t>
  </si>
  <si>
    <t>Eff_test_stock.kgoe_per_100km.LU.Tr.Road.Freight.HGV.International</t>
  </si>
  <si>
    <t>Eff_test_new.kgoe_per_100km.LU.Tr.Road.Passenger.P2W</t>
  </si>
  <si>
    <t>Eff_test_new.kgoe_per_100km.LU.Tr.Road.Passenger.Car</t>
  </si>
  <si>
    <t>Eff_test_new.kgoe_per_100km.LU.Tr.Road.Passenger.Car.ICE.Gasoline</t>
  </si>
  <si>
    <t>Eff_test_new.kgoe_per_100km.LU.Tr.Road.Passenger.Car.ICE.Diesel</t>
  </si>
  <si>
    <t>Eff_test_new.kgoe_per_100km.LU.Tr.Road.Passenger.Car.ICE.LPG</t>
  </si>
  <si>
    <t>Eff_test_new.kgoe_per_100km.LU.Tr.Road.Passenger.Car.ICE.NGas</t>
  </si>
  <si>
    <t>Eff_test_new.kgoe_per_100km.LU.Tr.Road.Passenger.Car.PHEV</t>
  </si>
  <si>
    <t>Eff_test_new.kgoe_per_100km.LU.Tr.Road.Passenger.Car.BEV</t>
  </si>
  <si>
    <t>Eff_test_new.kgoe_per_100km.LU.Tr.Road.Passenger.Bus</t>
  </si>
  <si>
    <t>Eff_test_new.kgoe_per_100km.LU.Tr.Road.Passenger.Bus.ICE.Gasoline</t>
  </si>
  <si>
    <t>Eff_test_new.kgoe_per_100km.LU.Tr.Road.Passenger.Bus.ICE.Diesel</t>
  </si>
  <si>
    <t>Eff_test_new.kgoe_per_100km.LU.Tr.Road.Passenger.Bus.ICE.LPG</t>
  </si>
  <si>
    <t>Eff_test_new.kgoe_per_100km.LU.Tr.Road.Passenger.Bus.ICE.NGas</t>
  </si>
  <si>
    <t>Eff_test_new.kgoe_per_100km.LU.Tr.Road.Passenger.Bus.ICE.BEV</t>
  </si>
  <si>
    <t>Eff_test_new.kgoe_per_100km.LU.Tr.Road.Freight.LCV</t>
  </si>
  <si>
    <t>Eff_test_new.kgoe_per_100km.LU.Tr.Road.Freight.LCV.ICE.Gasoline</t>
  </si>
  <si>
    <t>Eff_test_new.kgoe_per_100km.LU.Tr.Road.Freight.LCV.ICE.Diesel</t>
  </si>
  <si>
    <t>Eff_test_new.kgoe_per_100km.LU.Tr.Road.Freight.LCV.ICE.LPG</t>
  </si>
  <si>
    <t>Eff_test_new.kgoe_per_100km.LU.Tr.Road.Freight.LCV.ICE.NGas</t>
  </si>
  <si>
    <t>Eff_test_new.kgoe_per_100km.LU.Tr.Road.Freight.LCV.ICE.BEV</t>
  </si>
  <si>
    <t>Eff_test_new.kgoe_per_100km.LU.Tr.Road.Freight.HGV</t>
  </si>
  <si>
    <t>Eff_test_new.kgoe_per_100km.LU.Tr.Road.Freight.HGV.Domestic</t>
  </si>
  <si>
    <t>Eff_test_new.kgoe_per_100km.LU.Tr.Road.Freight.HGV.International</t>
  </si>
  <si>
    <t>EMIint_test_stock.gCO2_per_km.LU.Tr.Road.Passenger.P2W</t>
  </si>
  <si>
    <t>EMIint_test_stock.gCO2_per_km.LU.Tr.Road.Passenger.Car</t>
  </si>
  <si>
    <t>EMIint_test_stock.gCO2_per_km.LU.Tr.Road.Passenger.Car.ICE.Gasoline</t>
  </si>
  <si>
    <t>EMIint_test_stock.gCO2_per_km.LU.Tr.Road.Passenger.Car.ICE.Diesel</t>
  </si>
  <si>
    <t>EMIint_test_stock.gCO2_per_km.LU.Tr.Road.Passenger.Car.ICE.LPG</t>
  </si>
  <si>
    <t>EMIint_test_stock.gCO2_per_km.LU.Tr.Road.Passenger.Car.ICE.NGas</t>
  </si>
  <si>
    <t>EMIint_test_stock.gCO2_per_km.LU.Tr.Road.Passenger.Car.PHEV</t>
  </si>
  <si>
    <t>EMIint_test_stock.gCO2_per_km.LU.Tr.Road.Passenger.Car.BEV</t>
  </si>
  <si>
    <t>EMIint_test_stock.gCO2_per_km.LU.Tr.Road.Passenger.Bus</t>
  </si>
  <si>
    <t>EMIint_test_stock.gCO2_per_km.LU.Tr.Road.Passenger.Bus.ICE.Gasoline</t>
  </si>
  <si>
    <t>EMIint_test_stock.gCO2_per_km.LU.Tr.Road.Passenger.Bus.ICE.Diesel</t>
  </si>
  <si>
    <t>EMIint_test_stock.gCO2_per_km.LU.Tr.Road.Passenger.Bus.ICE.LPG</t>
  </si>
  <si>
    <t>EMIint_test_stock.gCO2_per_km.LU.Tr.Road.Passenger.Bus.ICE.NGas</t>
  </si>
  <si>
    <t>EMIint_test_stock.gCO2_per_km.LU.Tr.Road.Passenger.Bus.ICE.BEV</t>
  </si>
  <si>
    <t>EMIint_test_stock.gCO2_per_km.LU.Tr.Road.Freight.LCV</t>
  </si>
  <si>
    <t>EMIint_test_stock.gCO2_per_km.LU.Tr.Road.Freight.LCV.ICE.Gasoline</t>
  </si>
  <si>
    <t>EMIint_test_stock.gCO2_per_km.LU.Tr.Road.Freight.LCV.ICE.Diesel</t>
  </si>
  <si>
    <t>EMIint_test_stock.gCO2_per_km.LU.Tr.Road.Freight.LCV.ICE.LPG</t>
  </si>
  <si>
    <t>EMIint_test_stock.gCO2_per_km.LU.Tr.Road.Freight.LCV.ICE.NGas</t>
  </si>
  <si>
    <t>EMIint_test_stock.gCO2_per_km.LU.Tr.Road.Freight.LCV.ICE.BEV</t>
  </si>
  <si>
    <t>EMIint_test_stock.gCO2_per_km.LU.Tr.Road.Freight.HGV</t>
  </si>
  <si>
    <t>EMIint_test_stock.gCO2_per_km.LU.Tr.Road.Freight.HGV.Domestic</t>
  </si>
  <si>
    <t>EMIint_test_stock.gCO2_per_km.LU.Tr.Road.Freight.HGV.International</t>
  </si>
  <si>
    <t>EMIint_test_new.gCO2_per_km.LU.Tr.Road.Passenger.P2W</t>
  </si>
  <si>
    <t>EMIint_test_new.gCO2_per_km.LU.Tr.Road.Passenger.Car</t>
  </si>
  <si>
    <t>EMIint_test_new.gCO2_per_km.LU.Tr.Road.Passenger.Car.ICE.Gasoline</t>
  </si>
  <si>
    <t>EMIint_test_new.gCO2_per_km.LU.Tr.Road.Passenger.Car.ICE.Diesel</t>
  </si>
  <si>
    <t>EMIint_test_new.gCO2_per_km.LU.Tr.Road.Passenger.Car.ICE.LPG</t>
  </si>
  <si>
    <t>EMIint_test_new.gCO2_per_km.LU.Tr.Road.Passenger.Car.ICE.NGas</t>
  </si>
  <si>
    <t>EMIint_test_new.gCO2_per_km.LU.Tr.Road.Passenger.Car.PHEV</t>
  </si>
  <si>
    <t>EMIint_test_new.gCO2_per_km.LU.Tr.Road.Passenger.Car.BEV</t>
  </si>
  <si>
    <t>EMIint_test_new.gCO2_per_km.LU.Tr.Road.Passenger.Bus</t>
  </si>
  <si>
    <t>EMIint_test_new.gCO2_per_km.LU.Tr.Road.Passenger.Bus.ICE.Gasoline</t>
  </si>
  <si>
    <t>EMIint_test_new.gCO2_per_km.LU.Tr.Road.Passenger.Bus.ICE.Diesel</t>
  </si>
  <si>
    <t>EMIint_test_new.gCO2_per_km.LU.Tr.Road.Passenger.Bus.ICE.LPG</t>
  </si>
  <si>
    <t>EMIint_test_new.gCO2_per_km.LU.Tr.Road.Passenger.Bus.ICE.NGas</t>
  </si>
  <si>
    <t>EMIint_test_new.gCO2_per_km.LU.Tr.Road.Passenger.Bus.ICE.BEV</t>
  </si>
  <si>
    <t>EMIint_test_new.gCO2_per_km.LU.Tr.Road.Freight.LCV</t>
  </si>
  <si>
    <t>EMIint_test_new.gCO2_per_km.LU.Tr.Road.Freight.LCV.ICE.Gasoline</t>
  </si>
  <si>
    <t>EMIint_test_new.gCO2_per_km.LU.Tr.Road.Freight.LCV.ICE.Diesel</t>
  </si>
  <si>
    <t>EMIint_test_new.gCO2_per_km.LU.Tr.Road.Freight.LCV.ICE.LPG</t>
  </si>
  <si>
    <t>EMIint_test_new.gCO2_per_km.LU.Tr.Road.Freight.LCV.ICE.NGas</t>
  </si>
  <si>
    <t>EMIint_test_new.gCO2_per_km.LU.Tr.Road.Freight.LCV.ICE.BEV</t>
  </si>
  <si>
    <t>EMIint_test_new.gCO2_per_km.LU.Tr.Road.Freight.HGV</t>
  </si>
  <si>
    <t>EMIint_test_new.gCO2_per_km.LU.Tr.Road.Freight.HGV.Domestic</t>
  </si>
  <si>
    <t>EMIint_test_new.gCO2_per_km.LU.Tr.Road.Freight.HGV.International</t>
  </si>
  <si>
    <t>FEC.ktoe.LU.MBunk</t>
  </si>
  <si>
    <t>FEC.ktoe.LU.MBunk.IntraEEA</t>
  </si>
  <si>
    <t>FEC.ktoe.LU.MBunk.ExtraEEA</t>
  </si>
  <si>
    <t>EMI.ktCO2.LU.MBunk</t>
  </si>
  <si>
    <t>EMI.ktCO2.LU.MBunk.IntraEEA</t>
  </si>
  <si>
    <t>EMI.ktCO2.LU.MBunk.ExtraEEA</t>
  </si>
  <si>
    <t>International maritime bunkers - LU - Luxembourg</t>
  </si>
  <si>
    <t>VehicleKm.Mkm.LU.MBunk.Freight</t>
  </si>
  <si>
    <t>VehicleKm.Mkm.LU.MBunk.Freight.IntraEEA</t>
  </si>
  <si>
    <t>VehicleKm.Mkm.LU.MBunk.Freight.ExtraEEA</t>
  </si>
  <si>
    <t>Load.t_per_movement.LU.MBunk.Freight</t>
  </si>
  <si>
    <t>Load.t_per_movement.LU.MBunk.Freight.IntraEEA</t>
  </si>
  <si>
    <t>Load.t_per_movement.LU.MBunk.Freight.ExtraEEA</t>
  </si>
  <si>
    <t>International maritime bunkers / energy consumption - LU - Luxembourg</t>
  </si>
  <si>
    <t>FEC.ktoe.LU.ES.MBunk</t>
  </si>
  <si>
    <t>FEC.ktoe.LU.ES.MBunk.IntraEEA</t>
  </si>
  <si>
    <t>FEC.ktoe.LU.ES.MBunk.IntraEEA.Diesel</t>
  </si>
  <si>
    <t>FEC.ktoe.LU.ES.MBunk.IntraEEA.RFO_Other</t>
  </si>
  <si>
    <t>FEC.ktoe.LU.ES.MBunk.IntraEEA.LiqBio</t>
  </si>
  <si>
    <t>FEC.ktoe.LU.ES.MBunk.IntraEEA.NG</t>
  </si>
  <si>
    <t>FEC.ktoe.LU.ES.MBunk.IntraEEA.Biogas</t>
  </si>
  <si>
    <t>FEC.ktoe.LU.ES.MBunk.ExtraEEA</t>
  </si>
  <si>
    <t>FEC.ktoe.LU.ES.MBunk.ExtraEEA.Diesel</t>
  </si>
  <si>
    <t>FEC.ktoe.LU.ES.MBunk.ExtraEEA.RFO_Other</t>
  </si>
  <si>
    <t>FEC.ktoe.LU.ES.MBunk.ExtraEEA.LiqBio</t>
  </si>
  <si>
    <t>FEC.ktoe.LU.ES.MBunk.ExtraEEA.NG</t>
  </si>
  <si>
    <t>FEC.ktoe.LU.ES.MBunk.ExtraEEA.Biogas</t>
  </si>
  <si>
    <t>Eff.kgoe_per_100km.LU.MBunk.Freight</t>
  </si>
  <si>
    <t>Eff.kgoe_per_100km.LU.MBunk.Freight.IntraEEA</t>
  </si>
  <si>
    <t>Eff.kgoe_per_100km.LU.MBunk.Freight.ExtraEEA</t>
  </si>
  <si>
    <t>International maritime bunkers / CO2 emissions - LU - Luxembourg</t>
  </si>
  <si>
    <t>EMI.ktCO2.LU.ES.MBunk</t>
  </si>
  <si>
    <t>EMI.ktCO2.LU.ES.MBunk.IntraEEA</t>
  </si>
  <si>
    <t>EMI.ktCO2.LU.ES.MBunk.ExtraEEA</t>
  </si>
  <si>
    <t>EMIint.gCO2_per_km.LU.MBunk.Freight</t>
  </si>
  <si>
    <t>EMIint.gCO2_per_km.LU.MBunk.Freight.IntraEEA</t>
  </si>
  <si>
    <t>EMIint.gCO2_per_km.LU.MBunk.Freight.ExtraEEA</t>
  </si>
  <si>
    <t>FEC.ktoe.LU.Tr.DNavi</t>
  </si>
  <si>
    <t>FEC.ktoe.LU.Tr.Dnavi.DCS</t>
  </si>
  <si>
    <t>FEC.ktoe.LU.Tr.Dnavi.IWW</t>
  </si>
  <si>
    <t>EMI.ktCO2.LU.Tr.DNavi</t>
  </si>
  <si>
    <t>EMI.ktCO2.LU.Tr.Dnavi.DCS</t>
  </si>
  <si>
    <t>EMI.ktCO2.LU.Tr.Dnavi.IWW</t>
  </si>
  <si>
    <t>Domestic navigation - LU - Luxembourg</t>
  </si>
  <si>
    <t>VehicleKm.Mkm.LU.Tr.DNavi.Freight</t>
  </si>
  <si>
    <t>VehicleKm.Mkm.LU.Tr.DNavi.Freight.DCS</t>
  </si>
  <si>
    <t>VehicleKm.Mkm.LU.Tr.DNavi.Freight.IWW</t>
  </si>
  <si>
    <t>Load.t_per_movement.LU.Tr.DNavi.Freight</t>
  </si>
  <si>
    <t>Load.t_per_movement.LU.Tr.DNavi.Freight.DCS</t>
  </si>
  <si>
    <t>Load.t_per_movement.LU.Tr.DNavi.Freight.IWW</t>
  </si>
  <si>
    <t>Domestic navigation / energy consumption - LU - Luxembourg</t>
  </si>
  <si>
    <t>FEC.ktoe.LU.ES.Tr.DNavi</t>
  </si>
  <si>
    <t>FEC.ktoe.LU.ES.Tr.DNavi.DCS</t>
  </si>
  <si>
    <t>FEC.ktoe.LU.ES.Tr.DNavi.DCS.Diesel</t>
  </si>
  <si>
    <t>FEC.ktoe.LU.ES.Tr.DNavi.DCS.RFO_Other</t>
  </si>
  <si>
    <t>FEC.ktoe.LU.ES.Tr.DNavi.DCS.LiqBio</t>
  </si>
  <si>
    <t>FEC.ktoe.LU.ES.Tr.DNavi.DCS.NG</t>
  </si>
  <si>
    <t>FEC.ktoe.LU.ES.Tr.DNavi.DCS.Biogas</t>
  </si>
  <si>
    <t>FEC.ktoe.LU.ES.Tr.DNavi.IWW</t>
  </si>
  <si>
    <t>FEC.ktoe.LU.ES.Tr.DNavi.IWW.Diesel</t>
  </si>
  <si>
    <t>FEC.ktoe.LU.ES.Tr.DNavi.IWW.RFO_Other</t>
  </si>
  <si>
    <t>FEC.ktoe.LU.ES.Tr.DNavi.IWW.LiqBio</t>
  </si>
  <si>
    <t>FEC.ktoe.LU.ES.Tr.DNavi.IWW.NG</t>
  </si>
  <si>
    <t>FEC.ktoe.LU.ES.Tr.DNavi.IWW.Biogas</t>
  </si>
  <si>
    <t>Eff.kgoe_per_100km.LU.Tr.DNavi.Freight</t>
  </si>
  <si>
    <t>Eff.kgoe_per_100km.LU.Tr.DNavi.Freight.DCS</t>
  </si>
  <si>
    <t>Eff.kgoe_per_100km.LU.Tr.DNavi.Freight.IWW</t>
  </si>
  <si>
    <t>Domestic navigation / CO2 emissions - LU - Luxembourg</t>
  </si>
  <si>
    <t>EMI.ktCO2.LU.ES.Tr.DNavi</t>
  </si>
  <si>
    <t>EMI.ktCO2.LU.ES.Tr.DNavi.DCS</t>
  </si>
  <si>
    <t>EMI.ktCO2.LU.ES.Tr.DNavi.IWW</t>
  </si>
  <si>
    <t>EMIint.gCO2_per_km.LU.Tr.DNavi.Freight</t>
  </si>
  <si>
    <t>EMIint.gCO2_per_km.LU.Tr.DNavi.Freight.DCS</t>
  </si>
  <si>
    <t>EMIint.gCO2_per_km.LU.Tr.DNavi.Freight.IWW</t>
  </si>
  <si>
    <t>Rail, metro and tram - LU - Luxembourg</t>
  </si>
  <si>
    <t>Activity.Mpkm.LU.Tr.Rail.Passenger.CPT.Diesel</t>
  </si>
  <si>
    <t>Activity.Mpkm.LU.Tr.Rail.Passenger.CPT.Elc</t>
  </si>
  <si>
    <t>Activity.Mtkm.LU.Tr.Rail.Freight.Diesel</t>
  </si>
  <si>
    <t>Activity.Mtkm.LU.Tr.Rail.Freight.Elc</t>
  </si>
  <si>
    <t>VehicleKm.Mkm.LU.Tr.Rail</t>
  </si>
  <si>
    <t>VehicleKm.Mkm.LU.Tr.Rail.Passenger</t>
  </si>
  <si>
    <t>VehicleKm.Mkm.LU.Tr.Rail.Passenger.MTU</t>
  </si>
  <si>
    <t>VehicleKm.Mkm.LU.Tr.Rail.Passenger.CPT</t>
  </si>
  <si>
    <t>VehicleKm.Mkm.LU.Tr.Rail.Passenger.CPT.Diesel</t>
  </si>
  <si>
    <t>VehicleKm.Mkm.LU.Tr.Rail.Passenger.CPT.Elc</t>
  </si>
  <si>
    <t>VehicleKm.Mkm.LU.Tr.Rail.Passenger.HST</t>
  </si>
  <si>
    <t>VehicleKm.Mkm.LU.Tr.Rail.Freight</t>
  </si>
  <si>
    <t>VehicleKm.Mkm.LU.Tr.Rail.Freight.Diesel</t>
  </si>
  <si>
    <t>VehicleKm.Mkm.LU.Tr.Rail.Freight.Elc</t>
  </si>
  <si>
    <t>Stock.number.LU.Tr.Rail</t>
  </si>
  <si>
    <t>Stock.number.LU.Tr.Rail.Passenger</t>
  </si>
  <si>
    <t>Stock.number.LU.Tr.Rail.Passenger.MTU</t>
  </si>
  <si>
    <t>Stock.number.LU.Tr.Rail.Passenger.CPT</t>
  </si>
  <si>
    <t>Stock.number.LU.Tr.Rail.Passenger.CPT.Diesel</t>
  </si>
  <si>
    <t>Stock.number.LU.Tr.Rail.Passenger.CPT.Elc</t>
  </si>
  <si>
    <t>Stock.number.LU.Tr.Rail.Passenger.HST</t>
  </si>
  <si>
    <t>Stock.number.LU.Tr.Rail.Freight</t>
  </si>
  <si>
    <t>Stock.number.LU.Tr.Rail.Freight.Diesel</t>
  </si>
  <si>
    <t>Stock.number.LU.Tr.Rail.Freight.Elc</t>
  </si>
  <si>
    <t>StockNew.number.LU.Tr.Rail</t>
  </si>
  <si>
    <t>StockNew.number.LU.Tr.Rail.Passenger</t>
  </si>
  <si>
    <t>StockNew.number.LU.Tr.Rail.Passenger.MTU</t>
  </si>
  <si>
    <t>StockNew.number.LU.Tr.Rail.Passenger.CPT</t>
  </si>
  <si>
    <t>StockNew.number.LU.Tr.Rail.Passenger.CPT.Diesel</t>
  </si>
  <si>
    <t>StockNew.number.LU.Tr.Rail.Passenger.CPT.Elc</t>
  </si>
  <si>
    <t>StockNew.number.LU.Tr.Rail.Passenger.HST</t>
  </si>
  <si>
    <t>StockNew.number.LU.Tr.Rail.Freight</t>
  </si>
  <si>
    <t>StockNew.number.LU.Tr.Rail.Freight.Diesel</t>
  </si>
  <si>
    <t>StockNew.number.LU.Tr.Rail.Freight.Elc</t>
  </si>
  <si>
    <t>Load.passenger_per_movement.LU.Tr.Rail.Passenger</t>
  </si>
  <si>
    <t>Load.passenger_per_movement.LU.Tr.Rail.Passenger.MTU</t>
  </si>
  <si>
    <t>Load.passenger_per_movement.LU.Tr.Rail.Passenger.CPT</t>
  </si>
  <si>
    <t>Load.passenger_per_movement.LU.Tr.Rail.Passenger.CPT.Diesel</t>
  </si>
  <si>
    <t>Load.passenger_per_movement.LU.Tr.Rail.Passenger.CPT.Elc</t>
  </si>
  <si>
    <t>Load.passenger_per_movement.LU.Tr.Rail.Passenger.HST</t>
  </si>
  <si>
    <t>Load.t_per_movement.LU.Tr.Rail.Freight</t>
  </si>
  <si>
    <t>Load.t_per_movement.LU.Tr.Rail.Freight.Diesel</t>
  </si>
  <si>
    <t>Load.t_per_movement.LU.Tr.Rail.Freight.Elc</t>
  </si>
  <si>
    <t>TrCap.seats.LU.Tr.Rail.Passenger</t>
  </si>
  <si>
    <t>TrCap.seats.LU.Tr.Rail.Passenger.MTU</t>
  </si>
  <si>
    <t>TrCap.seats.LU.Tr.Rail.Passenger.CPT</t>
  </si>
  <si>
    <t>TrCap.seats.LU.Tr.Rail.Passenger.CPT.Diesel</t>
  </si>
  <si>
    <t>TrCap.seats.LU.Tr.Rail.Passenger.CPT.Elc</t>
  </si>
  <si>
    <t>TrCap.seats.LU.Tr.Rail.Passenger.HST</t>
  </si>
  <si>
    <t>TrCap.t.LU.Tr.Rail.Freight</t>
  </si>
  <si>
    <t>TrCap.t.LU.Tr.Rail.Freight.Diesel</t>
  </si>
  <si>
    <t>TrCap.t.LU.Tr.Rail.Freight.Elc</t>
  </si>
  <si>
    <t>VehicleKm_per_vehicle.km.LU.Tr.Rail</t>
  </si>
  <si>
    <t>VehicleKm_per_vehicle.km.LU.Tr.Rail.Passenger</t>
  </si>
  <si>
    <t>VehicleKm_per_vehicle.km.LU.Tr.Rail.Passenger.MTU</t>
  </si>
  <si>
    <t>VehicleKm_per_vehicle.km.LU.Tr.Rail.Passenger.CPT</t>
  </si>
  <si>
    <t>VehicleKm_per_vehicle.km.LU.Tr.Rail.Passenger.CPT.Diesel</t>
  </si>
  <si>
    <t>VehicleKm_per_vehicle.km.LU.Tr.Rail.Passenger.CPT.Elc</t>
  </si>
  <si>
    <t>VehicleKm_per_vehicle.km.LU.Tr.Rail.Passenger.HST</t>
  </si>
  <si>
    <t>VehicleKm_per_vehicle.km.LU.Tr.Rail.Freight</t>
  </si>
  <si>
    <t>VehicleKm_per_vehicle.km.LU.Tr.Rail.Freight.Diesel</t>
  </si>
  <si>
    <t>VehicleKm_per_vehicle.km.LU.Tr.Rail.Freight.Elc</t>
  </si>
  <si>
    <t>Activity_per_vehicle.pkm.LU.Tr.Rail.Passenger</t>
  </si>
  <si>
    <t>Activity_per_vehicle.pkm.LU.Tr.Rail.Passenger.MTU</t>
  </si>
  <si>
    <t>Activity_per_vehicle.pkm.LU.Tr.Rail.Passenger.CPT</t>
  </si>
  <si>
    <t>Activity_per_vehicle.pkm.LU.Tr.Rail.Passenger.CPT.Diesel</t>
  </si>
  <si>
    <t>Activity_per_vehicle.pkm.LU.Tr.Rail.Passenger.CPT.Elc</t>
  </si>
  <si>
    <t>Activity_per_vehicle.pkm.LU.Tr.Rail.Passenger.HST</t>
  </si>
  <si>
    <t>Activity_per_vehicle.tkm.LU.Tr.Rail.Freight</t>
  </si>
  <si>
    <t>Activity_per_vehicle.tkm.LU.Tr.Rail.Freight.Diesel</t>
  </si>
  <si>
    <t>Activity_per_vehicle.tkm.LU.Tr.Rail.Freight.Elc</t>
  </si>
  <si>
    <t>Rail, metro and tram / energy consumption - LU - Luxembourg</t>
  </si>
  <si>
    <t>FEC.ktoe.LU.ES.Tr.Rail</t>
  </si>
  <si>
    <t>FEC.ktoe.LU.ES.Tr.Rail.Diesel</t>
  </si>
  <si>
    <t>FEC.ktoe.LU.ES.Tr.Rail.LiqBio</t>
  </si>
  <si>
    <t>FEC.ktoe.LU.ES.Tr.Rail.Elec</t>
  </si>
  <si>
    <t>FEC.ktoe.LU.Tr.Rail</t>
  </si>
  <si>
    <t>FEC.ktoe.LU.Tr.Rail.Passenger.CPT.Diesel</t>
  </si>
  <si>
    <t>FEC.ktoe.LU.Tr.Rail.Passenger.CPT.Elc</t>
  </si>
  <si>
    <t>FEC.ktoe.LU.Tr.Rail.Freight.Diesel</t>
  </si>
  <si>
    <t>FEC.ktoe.LU.Tr.Rail.Freight.Elc</t>
  </si>
  <si>
    <t>Eff.kgoe_per_100km.LU.Tr.Rail</t>
  </si>
  <si>
    <t>Eff.kgoe_per_100km.LU.Tr.Rail.Passenger</t>
  </si>
  <si>
    <t>Eff.kgoe_per_100km.LU.Tr.Rail.Passenger.MTU</t>
  </si>
  <si>
    <t>Eff.kgoe_per_100km.LU.Tr.Rail.Passenger.CPT</t>
  </si>
  <si>
    <t>Eff.kgoe_per_100km.LU.Tr.Rail.Passenger.CPT.Diesel</t>
  </si>
  <si>
    <t>Eff.kgoe_per_100km.LU.Tr.Rail.Passenger.CPT.Elc</t>
  </si>
  <si>
    <t>Eff.kgoe_per_100km.LU.Tr.Rail.Passenger.HST</t>
  </si>
  <si>
    <t>Eff.kgoe_per_100km.LU.Tr.Rail.Freight</t>
  </si>
  <si>
    <t>Eff.kgoe_per_100km.LU.Tr.Rail.Freight.Diesel</t>
  </si>
  <si>
    <t>Eff.kgoe_per_100km.LU.Tr.Rail.Freight.Elc</t>
  </si>
  <si>
    <t>Eff.kgoe_per_kpkm.LU.Tr.Rail.Passenger.CPT.Diesel</t>
  </si>
  <si>
    <t>Eff.kgoe_per_kpkm.LU.Tr.Rail.Passenger.CPT.Elc</t>
  </si>
  <si>
    <t>Eff.kgoe_per_ktkm.LU.Tr.Rail.Freight.Diesel</t>
  </si>
  <si>
    <t>Eff.kgoe_per_ktkm.LU.Tr.Rail.Freight.Elc</t>
  </si>
  <si>
    <t>FEC_per_vehicle.kgoe.LU.Tr.Rail</t>
  </si>
  <si>
    <t>FEC_per_vehicle.kgoe.LU.Tr.Rail.Passenger</t>
  </si>
  <si>
    <t>FEC_per_vehicle.kgoe.LU.Tr.Rail.Passenger.MTU</t>
  </si>
  <si>
    <t>FEC_per_vehicle.kgoe.LU.Tr.Rail.Passenger.CPT</t>
  </si>
  <si>
    <t>FEC_per_vehicle.kgoe.LU.Tr.Rail.Passenger.CPT.Diesel</t>
  </si>
  <si>
    <t>FEC_per_vehicle.kgoe.LU.Tr.Rail.Passenger.CPT.Elc</t>
  </si>
  <si>
    <t>FEC_per_vehicle.kgoe.LU.Tr.Rail.Passenger.HST</t>
  </si>
  <si>
    <t>FEC_per_vehicle.kgoe.LU.Tr.Rail.Freight</t>
  </si>
  <si>
    <t>FEC_per_vehicle.kgoe.LU.Tr.Rail.Freight.Diesel</t>
  </si>
  <si>
    <t>FEC_per_vehicle.kgoe.LU.Tr.Rail.Freight.Elc</t>
  </si>
  <si>
    <t>Rail, metro and tram / CO2 emissions - LU - Luxembourg</t>
  </si>
  <si>
    <t>EMI.ktCO2.LU.ES.Tr.Rail</t>
  </si>
  <si>
    <t>EMI.ktCO2.LU.ES.Tr.Rail.Diesel</t>
  </si>
  <si>
    <t>EMI.ktCO2.LU.ES.Tr.Rail.Elec</t>
  </si>
  <si>
    <t>EMI.ktCO2.LU.Tr.Rail</t>
  </si>
  <si>
    <t>EMI.ktCO2.LU.Tr.Rail.Passenger.CPT.Diesel</t>
  </si>
  <si>
    <t>EMI.ktCO2.LU.Tr.Rail.Passenger.CPT.Elc</t>
  </si>
  <si>
    <t>EMI.ktCO2.LU.Tr.Rail.Freight.Diesel</t>
  </si>
  <si>
    <t>EMI.ktCO2.LU.Tr.Rail.Freight.Elc</t>
  </si>
  <si>
    <t>EMIint.gCO2_per_km.LU.Tr.Rail</t>
  </si>
  <si>
    <t>EMIint.gCO2_per_km.LU.Tr.Rail.Passenger</t>
  </si>
  <si>
    <t>EMIint.gCO2_per_km.LU.Tr.Rail.Passenger.MTU</t>
  </si>
  <si>
    <t>EMIint.gCO2_per_km.LU.Tr.Rail.Passenger.CPT</t>
  </si>
  <si>
    <t>EMIint.gCO2_per_km.LU.Tr.Rail.Passenger.CPT.Diesel</t>
  </si>
  <si>
    <t>EMIint.gCO2_per_km.LU.Tr.Rail.Passenger.CPT.Elc</t>
  </si>
  <si>
    <t>EMIint.gCO2_per_km.LU.Tr.Rail.Passenger.HST</t>
  </si>
  <si>
    <t>EMIint.gCO2_per_km.LU.Tr.Rail.Freight</t>
  </si>
  <si>
    <t>EMIint.gCO2_per_km.LU.Tr.Rail.Freight.Diesel</t>
  </si>
  <si>
    <t>EMIint.gCO2_per_km.LU.Tr.Rail.Freight.Elc</t>
  </si>
  <si>
    <t>EMIint.gCO2_per_pkm.LU.Tr.Rail.Passenger.CPT.Diesel</t>
  </si>
  <si>
    <t>EMIint.gCO2_per_pkm.LU.Tr.Rail.Passenger.CPT.Elc</t>
  </si>
  <si>
    <t>EMIint.gCO2_per_tkm.LU.Tr.Rail.Freight.Diesel</t>
  </si>
  <si>
    <t>EMIint.gCO2_per_tkm.LU.Tr.Rail.Freight.Elc</t>
  </si>
  <si>
    <t>EMI_per_vehicle.tCO2.LU.Tr.Rail</t>
  </si>
  <si>
    <t>EMI_per_vehicle.tCO2.LU.Tr.Rail.Passenger</t>
  </si>
  <si>
    <t>EMI_per_vehicle.tCO2.LU.Tr.Rail.Passenger.MTU</t>
  </si>
  <si>
    <t>EMI_per_vehicle.tCO2.LU.Tr.Rail.Passenger.CPT</t>
  </si>
  <si>
    <t>EMI_per_vehicle.tCO2.LU.Tr.Rail.Passenger.CPT.Diesel</t>
  </si>
  <si>
    <t>EMI_per_vehicle.tCO2.LU.Tr.Rail.Passenger.CPT.Elc</t>
  </si>
  <si>
    <t>EMI_per_vehicle.tCO2.LU.Tr.Rail.Passenger.HST</t>
  </si>
  <si>
    <t>EMI_per_vehicle.tCO2.LU.Tr.Rail.Freight</t>
  </si>
  <si>
    <t>EMI_per_vehicle.tCO2.LU.Tr.Rail.Freight.Diesel</t>
  </si>
  <si>
    <t>EMI_per_vehicle.tCO2.LU.Tr.Rail.Freight.Elc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</si>
</sst>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45432.786886574075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7323.644889701045</v>
      </c>
      <c r="C4" s="28">
        <f t="shared" si="0"/>
        <v>7651.5500915309603</v>
      </c>
      <c r="D4" s="28">
        <f t="shared" si="0"/>
        <v>7807.9763015532026</v>
      </c>
      <c r="E4" s="28">
        <f t="shared" si="0"/>
        <v>7952.6678391710666</v>
      </c>
      <c r="F4" s="28">
        <f t="shared" si="0"/>
        <v>8149.3241017082364</v>
      </c>
      <c r="G4" s="28">
        <f t="shared" si="0"/>
        <v>8401.3411920380277</v>
      </c>
      <c r="H4" s="28">
        <f t="shared" si="0"/>
        <v>8631.1882381463038</v>
      </c>
      <c r="I4" s="28">
        <f t="shared" si="0"/>
        <v>8847.8468929436003</v>
      </c>
      <c r="J4" s="28">
        <f t="shared" si="0"/>
        <v>9091.4782242980727</v>
      </c>
      <c r="K4" s="28">
        <f t="shared" si="0"/>
        <v>9014.7510630665656</v>
      </c>
      <c r="L4" s="28">
        <f t="shared" si="0"/>
        <v>8956.0551336815624</v>
      </c>
      <c r="M4" s="28">
        <f t="shared" si="0"/>
        <v>9129.4863227016449</v>
      </c>
      <c r="N4" s="28">
        <f t="shared" si="0"/>
        <v>9216.3631474637714</v>
      </c>
      <c r="O4" s="28">
        <f t="shared" si="0"/>
        <v>9522.7521968243254</v>
      </c>
      <c r="P4" s="28">
        <f t="shared" si="0"/>
        <v>10012.641506481876</v>
      </c>
      <c r="Q4" s="28">
        <f t="shared" si="0"/>
        <v>10488.425597231515</v>
      </c>
      <c r="R4" s="28">
        <f t="shared" ref="R4:V4" si="1">R5+R9+R13</f>
        <v>10904.588358734116</v>
      </c>
      <c r="S4" s="28">
        <f t="shared" si="1"/>
        <v>11564.021971643397</v>
      </c>
      <c r="T4" s="28">
        <f t="shared" si="1"/>
        <v>12123.140835846903</v>
      </c>
      <c r="U4" s="28">
        <f t="shared" si="1"/>
        <v>12671.887461330643</v>
      </c>
      <c r="V4" s="28">
        <f t="shared" si="1"/>
        <v>9316.3306809345831</v>
      </c>
      <c r="W4" s="28">
        <f t="shared" ref="W4" si="2">W5+W9+W13</f>
        <v>10495.421245582245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6255.6317222861408</v>
      </c>
      <c r="C5" s="137">
        <f t="shared" si="3"/>
        <v>6497.2440064611601</v>
      </c>
      <c r="D5" s="137">
        <f t="shared" si="3"/>
        <v>6660.0928900370072</v>
      </c>
      <c r="E5" s="137">
        <f t="shared" si="3"/>
        <v>6781.1754311188497</v>
      </c>
      <c r="F5" s="137">
        <f t="shared" si="3"/>
        <v>6914.1507940843348</v>
      </c>
      <c r="G5" s="137">
        <f t="shared" si="3"/>
        <v>7145.8472926373061</v>
      </c>
      <c r="H5" s="137">
        <f t="shared" si="3"/>
        <v>7366.8234755473977</v>
      </c>
      <c r="I5" s="137">
        <f t="shared" si="3"/>
        <v>7508.65457210158</v>
      </c>
      <c r="J5" s="137">
        <f t="shared" si="3"/>
        <v>7659.2430707339299</v>
      </c>
      <c r="K5" s="137">
        <f t="shared" si="3"/>
        <v>7656.9699239061711</v>
      </c>
      <c r="L5" s="137">
        <f t="shared" si="3"/>
        <v>7492.9961775990878</v>
      </c>
      <c r="M5" s="137">
        <f t="shared" si="3"/>
        <v>7633.9489954451537</v>
      </c>
      <c r="N5" s="137">
        <f t="shared" si="3"/>
        <v>7795.3654463655857</v>
      </c>
      <c r="O5" s="137">
        <f t="shared" si="3"/>
        <v>7936.7392246725503</v>
      </c>
      <c r="P5" s="137">
        <f t="shared" si="3"/>
        <v>8232.2041501387866</v>
      </c>
      <c r="Q5" s="137">
        <f t="shared" si="3"/>
        <v>8479.3337490367812</v>
      </c>
      <c r="R5" s="137">
        <f t="shared" ref="R5:V5" si="4">R6+R7+R8</f>
        <v>8703.8419914134101</v>
      </c>
      <c r="S5" s="137">
        <f t="shared" si="4"/>
        <v>8884.3187442664748</v>
      </c>
      <c r="T5" s="137">
        <f t="shared" si="4"/>
        <v>9065.7808838035435</v>
      </c>
      <c r="U5" s="137">
        <f t="shared" si="4"/>
        <v>9291.1239496617327</v>
      </c>
      <c r="V5" s="137">
        <f t="shared" si="4"/>
        <v>7966.6745682909341</v>
      </c>
      <c r="W5" s="137">
        <f t="shared" ref="W5" si="5">W6+W7+W8</f>
        <v>8506.9236858083495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35.631722286139635</v>
      </c>
      <c r="C6" s="102">
        <f>TrRoad_act!C$5</f>
        <v>37.244006461159678</v>
      </c>
      <c r="D6" s="102">
        <f>TrRoad_act!D$5</f>
        <v>40.092890037007457</v>
      </c>
      <c r="E6" s="102">
        <f>TrRoad_act!E$5</f>
        <v>41.175431118849787</v>
      </c>
      <c r="F6" s="102">
        <f>TrRoad_act!F$5</f>
        <v>44.150794084334599</v>
      </c>
      <c r="G6" s="102">
        <f>TrRoad_act!G$5</f>
        <v>45.847292637306907</v>
      </c>
      <c r="H6" s="102">
        <f>TrRoad_act!H$5</f>
        <v>46.823475547398452</v>
      </c>
      <c r="I6" s="102">
        <f>TrRoad_act!I$5</f>
        <v>48.654572101580982</v>
      </c>
      <c r="J6" s="102">
        <f>TrRoad_act!J$5</f>
        <v>49.243070733930274</v>
      </c>
      <c r="K6" s="102">
        <f>TrRoad_act!K$5</f>
        <v>51.097235672041158</v>
      </c>
      <c r="L6" s="102">
        <f>TrRoad_act!L$5</f>
        <v>52.996177599086657</v>
      </c>
      <c r="M6" s="102">
        <f>TrRoad_act!M$5</f>
        <v>54.560925540947764</v>
      </c>
      <c r="N6" s="102">
        <f>TrRoad_act!N$5</f>
        <v>57.32050922418118</v>
      </c>
      <c r="O6" s="102">
        <f>TrRoad_act!O$5</f>
        <v>59.34978016060294</v>
      </c>
      <c r="P6" s="102">
        <f>TrRoad_act!P$5</f>
        <v>62.261828745543184</v>
      </c>
      <c r="Q6" s="102">
        <f>TrRoad_act!Q$5</f>
        <v>65.146087920549377</v>
      </c>
      <c r="R6" s="102">
        <f>TrRoad_act!R$5</f>
        <v>68.433834711115381</v>
      </c>
      <c r="S6" s="102">
        <f>TrRoad_act!S$5</f>
        <v>64.889085961526646</v>
      </c>
      <c r="T6" s="102">
        <f>TrRoad_act!T$5</f>
        <v>61.698311972207932</v>
      </c>
      <c r="U6" s="102">
        <f>TrRoad_act!U$5</f>
        <v>65.295990022222725</v>
      </c>
      <c r="V6" s="102">
        <f>TrRoad_act!V$5</f>
        <v>58.855850582187678</v>
      </c>
      <c r="W6" s="102">
        <f>TrRoad_act!W$5</f>
        <v>61.555694768589845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5600.0000000000009</v>
      </c>
      <c r="C7" s="102">
        <f>TrRoad_act!C$6</f>
        <v>5800</v>
      </c>
      <c r="D7" s="102">
        <f>TrRoad_act!D$6</f>
        <v>5900</v>
      </c>
      <c r="E7" s="102">
        <f>TrRoad_act!E$6</f>
        <v>6000</v>
      </c>
      <c r="F7" s="102">
        <f>TrRoad_act!F$6</f>
        <v>6100</v>
      </c>
      <c r="G7" s="102">
        <f>TrRoad_act!G$6</f>
        <v>6299.9999999999991</v>
      </c>
      <c r="H7" s="102">
        <f>TrRoad_act!H$6</f>
        <v>6499.9999999999991</v>
      </c>
      <c r="I7" s="102">
        <f>TrRoad_act!I$6</f>
        <v>6599.9999999999991</v>
      </c>
      <c r="J7" s="102">
        <f>TrRoad_act!J$6</f>
        <v>6700</v>
      </c>
      <c r="K7" s="102">
        <f>TrRoad_act!K$6</f>
        <v>6699.9999999999991</v>
      </c>
      <c r="L7" s="102">
        <f>TrRoad_act!L$6</f>
        <v>6500.0000000000009</v>
      </c>
      <c r="M7" s="102">
        <f>TrRoad_act!M$6</f>
        <v>6591.7580235815713</v>
      </c>
      <c r="N7" s="102">
        <f>TrRoad_act!N$6</f>
        <v>6733.1326886576999</v>
      </c>
      <c r="O7" s="102">
        <f>TrRoad_act!O$6</f>
        <v>6850.9305497477962</v>
      </c>
      <c r="P7" s="102">
        <f>TrRoad_act!P$6</f>
        <v>7132.3960366344818</v>
      </c>
      <c r="Q7" s="102">
        <f>TrRoad_act!Q$6</f>
        <v>7321.358260666726</v>
      </c>
      <c r="R7" s="102">
        <f>TrRoad_act!R$6</f>
        <v>7525.4204786711543</v>
      </c>
      <c r="S7" s="102">
        <f>TrRoad_act!S$6</f>
        <v>7673.9151349680506</v>
      </c>
      <c r="T7" s="102">
        <f>TrRoad_act!T$6</f>
        <v>7833.7138706263568</v>
      </c>
      <c r="U7" s="102">
        <f>TrRoad_act!U$6</f>
        <v>8005.9701102464041</v>
      </c>
      <c r="V7" s="102">
        <f>TrRoad_act!V$6</f>
        <v>7076.6942506143023</v>
      </c>
      <c r="W7" s="102">
        <f>TrRoad_act!W$6</f>
        <v>7551.3655833822513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620</v>
      </c>
      <c r="C8" s="102">
        <f>TrRoad_act!C$13</f>
        <v>660</v>
      </c>
      <c r="D8" s="102">
        <f>TrRoad_act!D$13</f>
        <v>720</v>
      </c>
      <c r="E8" s="102">
        <f>TrRoad_act!E$13</f>
        <v>740</v>
      </c>
      <c r="F8" s="102">
        <f>TrRoad_act!F$13</f>
        <v>770</v>
      </c>
      <c r="G8" s="102">
        <f>TrRoad_act!G$13</f>
        <v>800</v>
      </c>
      <c r="H8" s="102">
        <f>TrRoad_act!H$13</f>
        <v>820</v>
      </c>
      <c r="I8" s="102">
        <f>TrRoad_act!I$13</f>
        <v>860</v>
      </c>
      <c r="J8" s="102">
        <f>TrRoad_act!J$13</f>
        <v>910.00000000000011</v>
      </c>
      <c r="K8" s="102">
        <f>TrRoad_act!K$13</f>
        <v>905.87268823413092</v>
      </c>
      <c r="L8" s="102">
        <f>TrRoad_act!L$13</f>
        <v>940.00000000000011</v>
      </c>
      <c r="M8" s="102">
        <f>TrRoad_act!M$13</f>
        <v>987.63004632263437</v>
      </c>
      <c r="N8" s="102">
        <f>TrRoad_act!N$13</f>
        <v>1004.9122484837048</v>
      </c>
      <c r="O8" s="102">
        <f>TrRoad_act!O$13</f>
        <v>1026.4588947641512</v>
      </c>
      <c r="P8" s="102">
        <f>TrRoad_act!P$13</f>
        <v>1037.5462847587612</v>
      </c>
      <c r="Q8" s="102">
        <f>TrRoad_act!Q$13</f>
        <v>1092.8294004495056</v>
      </c>
      <c r="R8" s="102">
        <f>TrRoad_act!R$13</f>
        <v>1109.9876780311415</v>
      </c>
      <c r="S8" s="102">
        <f>TrRoad_act!S$13</f>
        <v>1145.5145233368974</v>
      </c>
      <c r="T8" s="102">
        <f>TrRoad_act!T$13</f>
        <v>1170.3687012049782</v>
      </c>
      <c r="U8" s="102">
        <f>TrRoad_act!U$13</f>
        <v>1219.8578493931057</v>
      </c>
      <c r="V8" s="102">
        <f>TrRoad_act!V$13</f>
        <v>831.12446709444407</v>
      </c>
      <c r="W8" s="102">
        <f>TrRoad_act!W$13</f>
        <v>894.00240765750834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332</v>
      </c>
      <c r="C9" s="110">
        <f t="shared" si="6"/>
        <v>346</v>
      </c>
      <c r="D9" s="110">
        <f t="shared" si="6"/>
        <v>268</v>
      </c>
      <c r="E9" s="110">
        <f t="shared" si="6"/>
        <v>262</v>
      </c>
      <c r="F9" s="110">
        <f t="shared" si="6"/>
        <v>253</v>
      </c>
      <c r="G9" s="110">
        <f t="shared" si="6"/>
        <v>267</v>
      </c>
      <c r="H9" s="110">
        <f t="shared" si="6"/>
        <v>298</v>
      </c>
      <c r="I9" s="110">
        <f t="shared" si="6"/>
        <v>316</v>
      </c>
      <c r="J9" s="110">
        <f t="shared" si="6"/>
        <v>345</v>
      </c>
      <c r="K9" s="110">
        <f t="shared" si="6"/>
        <v>333</v>
      </c>
      <c r="L9" s="110">
        <f t="shared" si="6"/>
        <v>347</v>
      </c>
      <c r="M9" s="110">
        <f t="shared" si="6"/>
        <v>349</v>
      </c>
      <c r="N9" s="110">
        <f t="shared" si="6"/>
        <v>373</v>
      </c>
      <c r="O9" s="110">
        <f t="shared" si="6"/>
        <v>394</v>
      </c>
      <c r="P9" s="110">
        <f t="shared" si="6"/>
        <v>366</v>
      </c>
      <c r="Q9" s="110">
        <f t="shared" si="6"/>
        <v>418</v>
      </c>
      <c r="R9" s="110">
        <f t="shared" ref="R9:V9" si="7">R10+R11+R12</f>
        <v>417</v>
      </c>
      <c r="S9" s="110">
        <f t="shared" si="7"/>
        <v>438</v>
      </c>
      <c r="T9" s="110">
        <f t="shared" si="7"/>
        <v>462.5</v>
      </c>
      <c r="U9" s="110">
        <f t="shared" si="7"/>
        <v>494.2</v>
      </c>
      <c r="V9" s="110">
        <f t="shared" si="7"/>
        <v>299.73171150447064</v>
      </c>
      <c r="W9" s="110">
        <f t="shared" ref="W9" si="8">W10+W11+W12</f>
        <v>338.13234432053679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19.5</v>
      </c>
      <c r="U10" s="102">
        <f>TrRail_act!U$5</f>
        <v>31.2</v>
      </c>
      <c r="V10" s="102">
        <f>TrRail_act!V$5</f>
        <v>31.731711504470649</v>
      </c>
      <c r="W10" s="102">
        <f>TrRail_act!W$5</f>
        <v>34.132344320536788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332</v>
      </c>
      <c r="C11" s="102">
        <f>TrRail_act!C$6</f>
        <v>346</v>
      </c>
      <c r="D11" s="102">
        <f>TrRail_act!D$6</f>
        <v>268</v>
      </c>
      <c r="E11" s="102">
        <f>TrRail_act!E$6</f>
        <v>262</v>
      </c>
      <c r="F11" s="102">
        <f>TrRail_act!F$6</f>
        <v>253</v>
      </c>
      <c r="G11" s="102">
        <f>TrRail_act!G$6</f>
        <v>267</v>
      </c>
      <c r="H11" s="102">
        <f>TrRail_act!H$6</f>
        <v>298</v>
      </c>
      <c r="I11" s="102">
        <f>TrRail_act!I$6</f>
        <v>316</v>
      </c>
      <c r="J11" s="102">
        <f>TrRail_act!J$6</f>
        <v>345</v>
      </c>
      <c r="K11" s="102">
        <f>TrRail_act!K$6</f>
        <v>333</v>
      </c>
      <c r="L11" s="102">
        <f>TrRail_act!L$6</f>
        <v>347</v>
      </c>
      <c r="M11" s="102">
        <f>TrRail_act!M$6</f>
        <v>349</v>
      </c>
      <c r="N11" s="102">
        <f>TrRail_act!N$6</f>
        <v>373</v>
      </c>
      <c r="O11" s="102">
        <f>TrRail_act!O$6</f>
        <v>394</v>
      </c>
      <c r="P11" s="102">
        <f>TrRail_act!P$6</f>
        <v>366</v>
      </c>
      <c r="Q11" s="102">
        <f>TrRail_act!Q$6</f>
        <v>418</v>
      </c>
      <c r="R11" s="102">
        <f>TrRail_act!R$6</f>
        <v>417</v>
      </c>
      <c r="S11" s="102">
        <f>TrRail_act!S$6</f>
        <v>438</v>
      </c>
      <c r="T11" s="102">
        <f>TrRail_act!T$6</f>
        <v>443</v>
      </c>
      <c r="U11" s="102">
        <f>TrRail_act!U$6</f>
        <v>463</v>
      </c>
      <c r="V11" s="102">
        <f>TrRail_act!V$6</f>
        <v>268</v>
      </c>
      <c r="W11" s="102">
        <f>TrRail_act!W$6</f>
        <v>304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736.01316741490416</v>
      </c>
      <c r="C13" s="110">
        <f t="shared" ref="C13:V13" si="10">C14+C15+C16</f>
        <v>808.30608506980013</v>
      </c>
      <c r="D13" s="110">
        <f t="shared" si="10"/>
        <v>879.88341151619557</v>
      </c>
      <c r="E13" s="110">
        <f t="shared" si="10"/>
        <v>909.492408052217</v>
      </c>
      <c r="F13" s="110">
        <f t="shared" si="10"/>
        <v>982.17330762390134</v>
      </c>
      <c r="G13" s="110">
        <f t="shared" si="10"/>
        <v>988.49389940072183</v>
      </c>
      <c r="H13" s="110">
        <f t="shared" si="10"/>
        <v>966.36476259890628</v>
      </c>
      <c r="I13" s="110">
        <f t="shared" si="10"/>
        <v>1023.1923208420204</v>
      </c>
      <c r="J13" s="110">
        <f t="shared" si="10"/>
        <v>1087.2351535641419</v>
      </c>
      <c r="K13" s="110">
        <f t="shared" si="10"/>
        <v>1024.7811391603941</v>
      </c>
      <c r="L13" s="110">
        <f t="shared" si="10"/>
        <v>1116.0589560824751</v>
      </c>
      <c r="M13" s="110">
        <f t="shared" si="10"/>
        <v>1146.5373272564912</v>
      </c>
      <c r="N13" s="110">
        <f t="shared" si="10"/>
        <v>1047.9977010981856</v>
      </c>
      <c r="O13" s="110">
        <f t="shared" si="10"/>
        <v>1192.0129721517751</v>
      </c>
      <c r="P13" s="110">
        <f t="shared" si="10"/>
        <v>1414.4373563430895</v>
      </c>
      <c r="Q13" s="110">
        <f t="shared" si="10"/>
        <v>1591.091848194734</v>
      </c>
      <c r="R13" s="110">
        <f t="shared" si="10"/>
        <v>1783.7463673207055</v>
      </c>
      <c r="S13" s="110">
        <f t="shared" si="10"/>
        <v>2241.7032273769214</v>
      </c>
      <c r="T13" s="110">
        <f t="shared" si="10"/>
        <v>2594.85995204336</v>
      </c>
      <c r="U13" s="110">
        <f t="shared" si="10"/>
        <v>2886.5635116689109</v>
      </c>
      <c r="V13" s="110">
        <f t="shared" si="10"/>
        <v>1049.9244011391791</v>
      </c>
      <c r="W13" s="110">
        <f t="shared" ref="W13" si="11">W14+W15+W16</f>
        <v>1650.3652154533595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629.0223200356703</v>
      </c>
      <c r="C15" s="102">
        <f>TrAvia_act!C$6</f>
        <v>688.87827236780697</v>
      </c>
      <c r="D15" s="102">
        <f>TrAvia_act!D$6</f>
        <v>747.2107652353078</v>
      </c>
      <c r="E15" s="102">
        <f>TrAvia_act!E$6</f>
        <v>768.44667168930255</v>
      </c>
      <c r="F15" s="102">
        <f>TrAvia_act!F$6</f>
        <v>824.88959455523968</v>
      </c>
      <c r="G15" s="102">
        <f>TrAvia_act!G$6</f>
        <v>796.30821430892911</v>
      </c>
      <c r="H15" s="102">
        <f>TrAvia_act!H$6</f>
        <v>755.31635624681348</v>
      </c>
      <c r="I15" s="102">
        <f>TrAvia_act!I$6</f>
        <v>705.70033545997467</v>
      </c>
      <c r="J15" s="102">
        <f>TrAvia_act!J$6</f>
        <v>671.28273004607513</v>
      </c>
      <c r="K15" s="102">
        <f>TrAvia_act!K$6</f>
        <v>575.74959711610472</v>
      </c>
      <c r="L15" s="102">
        <f>TrAvia_act!L$6</f>
        <v>602.75480802088327</v>
      </c>
      <c r="M15" s="102">
        <f>TrAvia_act!M$6</f>
        <v>725.69373856370601</v>
      </c>
      <c r="N15" s="102">
        <f>TrAvia_act!N$6</f>
        <v>733.06758468427347</v>
      </c>
      <c r="O15" s="102">
        <f>TrAvia_act!O$6</f>
        <v>860.13736123430465</v>
      </c>
      <c r="P15" s="102">
        <f>TrAvia_act!P$6</f>
        <v>991.49241516906602</v>
      </c>
      <c r="Q15" s="102">
        <f>TrAvia_act!Q$6</f>
        <v>1114.0781855145037</v>
      </c>
      <c r="R15" s="102">
        <f>TrAvia_act!R$6</f>
        <v>1326.0068593909753</v>
      </c>
      <c r="S15" s="102">
        <f>TrAvia_act!S$6</f>
        <v>1644.4317935979886</v>
      </c>
      <c r="T15" s="102">
        <f>TrAvia_act!T$6</f>
        <v>1839.9338048216534</v>
      </c>
      <c r="U15" s="102">
        <f>TrAvia_act!U$6</f>
        <v>1989.989967598925</v>
      </c>
      <c r="V15" s="102">
        <f>TrAvia_act!V$6</f>
        <v>781.01057791205449</v>
      </c>
      <c r="W15" s="102">
        <f>TrAvia_act!W$6</f>
        <v>1175.5282436887985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106.99084737923387</v>
      </c>
      <c r="C16" s="102">
        <f>TrAvia_act!C$7</f>
        <v>119.42781270199316</v>
      </c>
      <c r="D16" s="102">
        <f>TrAvia_act!D$7</f>
        <v>132.6726462808877</v>
      </c>
      <c r="E16" s="102">
        <f>TrAvia_act!E$7</f>
        <v>141.04573636291448</v>
      </c>
      <c r="F16" s="102">
        <f>TrAvia_act!F$7</f>
        <v>157.28371306866165</v>
      </c>
      <c r="G16" s="102">
        <f>TrAvia_act!G$7</f>
        <v>192.18568509179266</v>
      </c>
      <c r="H16" s="102">
        <f>TrAvia_act!H$7</f>
        <v>211.04840635209285</v>
      </c>
      <c r="I16" s="102">
        <f>TrAvia_act!I$7</f>
        <v>317.49198538204575</v>
      </c>
      <c r="J16" s="102">
        <f>TrAvia_act!J$7</f>
        <v>415.95242351806684</v>
      </c>
      <c r="K16" s="102">
        <f>TrAvia_act!K$7</f>
        <v>449.03154204428938</v>
      </c>
      <c r="L16" s="102">
        <f>TrAvia_act!L$7</f>
        <v>513.30414806159183</v>
      </c>
      <c r="M16" s="102">
        <f>TrAvia_act!M$7</f>
        <v>420.84358869278503</v>
      </c>
      <c r="N16" s="102">
        <f>TrAvia_act!N$7</f>
        <v>314.93011641391206</v>
      </c>
      <c r="O16" s="102">
        <f>TrAvia_act!O$7</f>
        <v>331.87561091747051</v>
      </c>
      <c r="P16" s="102">
        <f>TrAvia_act!P$7</f>
        <v>422.94494117402343</v>
      </c>
      <c r="Q16" s="102">
        <f>TrAvia_act!Q$7</f>
        <v>477.01366268023025</v>
      </c>
      <c r="R16" s="102">
        <f>TrAvia_act!R$7</f>
        <v>457.73950792973034</v>
      </c>
      <c r="S16" s="102">
        <f>TrAvia_act!S$7</f>
        <v>597.27143377893276</v>
      </c>
      <c r="T16" s="102">
        <f>TrAvia_act!T$7</f>
        <v>754.92614722170629</v>
      </c>
      <c r="U16" s="102">
        <f>TrAvia_act!U$7</f>
        <v>896.57354406998593</v>
      </c>
      <c r="V16" s="102">
        <f>TrAvia_act!V$7</f>
        <v>268.91382322712462</v>
      </c>
      <c r="W16" s="102">
        <f>TrAvia_act!W$7</f>
        <v>474.83697176456099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4902.6671023485469</v>
      </c>
      <c r="C17" s="28">
        <f t="shared" si="12"/>
        <v>5191.3388278149177</v>
      </c>
      <c r="D17" s="28">
        <f t="shared" si="12"/>
        <v>5349.8732818723875</v>
      </c>
      <c r="E17" s="28">
        <f t="shared" si="12"/>
        <v>5251.6878394898595</v>
      </c>
      <c r="F17" s="28">
        <f t="shared" si="12"/>
        <v>5510.0152864908177</v>
      </c>
      <c r="G17" s="28">
        <f t="shared" si="12"/>
        <v>5404.5647107289133</v>
      </c>
      <c r="H17" s="28">
        <f t="shared" si="12"/>
        <v>5570.0835366064348</v>
      </c>
      <c r="I17" s="28">
        <f t="shared" si="12"/>
        <v>6423.0145302505243</v>
      </c>
      <c r="J17" s="28">
        <f t="shared" si="12"/>
        <v>6730.1048788297576</v>
      </c>
      <c r="K17" s="28">
        <f t="shared" si="12"/>
        <v>5836.7771102351016</v>
      </c>
      <c r="L17" s="28">
        <f t="shared" si="12"/>
        <v>6267.2042117747624</v>
      </c>
      <c r="M17" s="28">
        <f t="shared" si="12"/>
        <v>6371.1921340183362</v>
      </c>
      <c r="N17" s="28">
        <f t="shared" si="12"/>
        <v>6571.8154076113715</v>
      </c>
      <c r="O17" s="28">
        <f t="shared" si="12"/>
        <v>6411.3733588761297</v>
      </c>
      <c r="P17" s="28">
        <f t="shared" si="12"/>
        <v>7042.2265851120737</v>
      </c>
      <c r="Q17" s="28">
        <f t="shared" si="12"/>
        <v>6846.1958174997108</v>
      </c>
      <c r="R17" s="28">
        <f t="shared" ref="R17:V17" si="13">R18+R21+R22+R26</f>
        <v>7326.2123440608721</v>
      </c>
      <c r="S17" s="28">
        <f t="shared" si="13"/>
        <v>7708.3608914385077</v>
      </c>
      <c r="T17" s="28">
        <f t="shared" si="13"/>
        <v>7367.093920169068</v>
      </c>
      <c r="U17" s="28">
        <f t="shared" si="13"/>
        <v>7431.1104257148636</v>
      </c>
      <c r="V17" s="28">
        <f t="shared" si="13"/>
        <v>7742.4983370930031</v>
      </c>
      <c r="W17" s="28">
        <f t="shared" ref="W17" si="14">W18+W21+W22+W26</f>
        <v>8315.3846957708702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1484.3516976284084</v>
      </c>
      <c r="C18" s="137">
        <f t="shared" si="15"/>
        <v>1633.1219717807683</v>
      </c>
      <c r="D18" s="137">
        <f t="shared" si="15"/>
        <v>1798.0049864653581</v>
      </c>
      <c r="E18" s="137">
        <f t="shared" si="15"/>
        <v>1801.9070380920812</v>
      </c>
      <c r="F18" s="137">
        <f t="shared" si="15"/>
        <v>1975.4027291242824</v>
      </c>
      <c r="G18" s="137">
        <f t="shared" si="15"/>
        <v>1973.3453391993621</v>
      </c>
      <c r="H18" s="137">
        <f t="shared" si="15"/>
        <v>1995.9079458401959</v>
      </c>
      <c r="I18" s="137">
        <f t="shared" si="15"/>
        <v>2108.8142630767011</v>
      </c>
      <c r="J18" s="137">
        <f t="shared" si="15"/>
        <v>2295.808544437979</v>
      </c>
      <c r="K18" s="137">
        <f t="shared" si="15"/>
        <v>2077.6450773171105</v>
      </c>
      <c r="L18" s="137">
        <f t="shared" si="15"/>
        <v>2226.2261558117775</v>
      </c>
      <c r="M18" s="137">
        <f t="shared" si="15"/>
        <v>2285.4907297295131</v>
      </c>
      <c r="N18" s="137">
        <f t="shared" si="15"/>
        <v>2864.9772673343305</v>
      </c>
      <c r="O18" s="137">
        <f t="shared" si="15"/>
        <v>2597.5849808898615</v>
      </c>
      <c r="P18" s="137">
        <f t="shared" si="15"/>
        <v>3054.7408062696122</v>
      </c>
      <c r="Q18" s="137">
        <f t="shared" si="15"/>
        <v>2643.9551787474829</v>
      </c>
      <c r="R18" s="137">
        <f t="shared" ref="R18:V18" si="16">R19+R20</f>
        <v>2838.3651560661779</v>
      </c>
      <c r="S18" s="137">
        <f t="shared" si="16"/>
        <v>2895.8415730441898</v>
      </c>
      <c r="T18" s="137">
        <f t="shared" si="16"/>
        <v>2488.5247514449638</v>
      </c>
      <c r="U18" s="137">
        <f t="shared" si="16"/>
        <v>2548.17703058497</v>
      </c>
      <c r="V18" s="137">
        <f t="shared" si="16"/>
        <v>2268.4973748390476</v>
      </c>
      <c r="W18" s="137">
        <f t="shared" ref="W18" si="17">W19+W20</f>
        <v>2522.4185044611386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70.003928013515804</v>
      </c>
      <c r="C19" s="102">
        <f>TrRoad_act!C$20</f>
        <v>75.601362631221392</v>
      </c>
      <c r="D19" s="102">
        <f>TrRoad_act!D$20</f>
        <v>81.349508127054165</v>
      </c>
      <c r="E19" s="102">
        <f>TrRoad_act!E$20</f>
        <v>85.004968811079422</v>
      </c>
      <c r="F19" s="102">
        <f>TrRoad_act!F$20</f>
        <v>89.359409971679696</v>
      </c>
      <c r="G19" s="102">
        <f>TrRoad_act!G$20</f>
        <v>94.445439688662532</v>
      </c>
      <c r="H19" s="102">
        <f>TrRoad_act!H$20</f>
        <v>99.739353152770235</v>
      </c>
      <c r="I19" s="102">
        <f>TrRoad_act!I$20</f>
        <v>108.12070504391785</v>
      </c>
      <c r="J19" s="102">
        <f>TrRoad_act!J$20</f>
        <v>115.32653427801786</v>
      </c>
      <c r="K19" s="102">
        <f>TrRoad_act!K$20</f>
        <v>116.56798206861036</v>
      </c>
      <c r="L19" s="102">
        <f>TrRoad_act!L$20</f>
        <v>121.63882450298517</v>
      </c>
      <c r="M19" s="102">
        <f>TrRoad_act!M$20</f>
        <v>128.40138889915198</v>
      </c>
      <c r="N19" s="102">
        <f>TrRoad_act!N$20</f>
        <v>133.5704050295343</v>
      </c>
      <c r="O19" s="102">
        <f>TrRoad_act!O$20</f>
        <v>138.0941459539423</v>
      </c>
      <c r="P19" s="102">
        <f>TrRoad_act!P$20</f>
        <v>145.58356451114224</v>
      </c>
      <c r="Q19" s="102">
        <f>TrRoad_act!Q$20</f>
        <v>152.44343227575058</v>
      </c>
      <c r="R19" s="102">
        <f>TrRoad_act!R$20</f>
        <v>161.25697854636351</v>
      </c>
      <c r="S19" s="102">
        <f>TrRoad_act!S$20</f>
        <v>167.838366820255</v>
      </c>
      <c r="T19" s="102">
        <f>TrRoad_act!T$20</f>
        <v>175.52475144496393</v>
      </c>
      <c r="U19" s="102">
        <f>TrRoad_act!U$20</f>
        <v>180.17703058497</v>
      </c>
      <c r="V19" s="102">
        <f>TrRoad_act!V$20</f>
        <v>183.49737483904758</v>
      </c>
      <c r="W19" s="102">
        <f>TrRoad_act!W$20</f>
        <v>192.41850446113844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1414.3477696148925</v>
      </c>
      <c r="C20" s="102">
        <f>TrRoad_act!C$26</f>
        <v>1557.5206091495468</v>
      </c>
      <c r="D20" s="102">
        <f>TrRoad_act!D$26</f>
        <v>1716.655478338304</v>
      </c>
      <c r="E20" s="102">
        <f>TrRoad_act!E$26</f>
        <v>1716.9020692810018</v>
      </c>
      <c r="F20" s="102">
        <f>TrRoad_act!F$26</f>
        <v>1886.0433191526026</v>
      </c>
      <c r="G20" s="102">
        <f>TrRoad_act!G$26</f>
        <v>1878.8998995106997</v>
      </c>
      <c r="H20" s="102">
        <f>TrRoad_act!H$26</f>
        <v>1896.1685926874256</v>
      </c>
      <c r="I20" s="102">
        <f>TrRoad_act!I$26</f>
        <v>2000.6935580327831</v>
      </c>
      <c r="J20" s="102">
        <f>TrRoad_act!J$26</f>
        <v>2180.4820101599612</v>
      </c>
      <c r="K20" s="102">
        <f>TrRoad_act!K$26</f>
        <v>1961.0770952485</v>
      </c>
      <c r="L20" s="102">
        <f>TrRoad_act!L$26</f>
        <v>2104.5873313087923</v>
      </c>
      <c r="M20" s="102">
        <f>TrRoad_act!M$26</f>
        <v>2157.0893408303609</v>
      </c>
      <c r="N20" s="102">
        <f>TrRoad_act!N$26</f>
        <v>2731.4068623047961</v>
      </c>
      <c r="O20" s="102">
        <f>TrRoad_act!O$26</f>
        <v>2459.4908349359193</v>
      </c>
      <c r="P20" s="102">
        <f>TrRoad_act!P$26</f>
        <v>2909.1572417584698</v>
      </c>
      <c r="Q20" s="102">
        <f>TrRoad_act!Q$26</f>
        <v>2491.5117464717323</v>
      </c>
      <c r="R20" s="102">
        <f>TrRoad_act!R$26</f>
        <v>2677.1081775198145</v>
      </c>
      <c r="S20" s="102">
        <f>TrRoad_act!S$26</f>
        <v>2728.0032062239347</v>
      </c>
      <c r="T20" s="102">
        <f>TrRoad_act!T$26</f>
        <v>2313</v>
      </c>
      <c r="U20" s="102">
        <f>TrRoad_act!U$26</f>
        <v>2368</v>
      </c>
      <c r="V20" s="102">
        <f>TrRoad_act!V$26</f>
        <v>2085</v>
      </c>
      <c r="W20" s="102">
        <f>TrRoad_act!W$26</f>
        <v>2330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632</v>
      </c>
      <c r="C21" s="110">
        <f>TrRail_act!C$10</f>
        <v>585</v>
      </c>
      <c r="D21" s="110">
        <f>TrRail_act!D$10</f>
        <v>550</v>
      </c>
      <c r="E21" s="110">
        <f>TrRail_act!E$10</f>
        <v>525</v>
      </c>
      <c r="F21" s="110">
        <f>TrRail_act!F$10</f>
        <v>559</v>
      </c>
      <c r="G21" s="110">
        <f>TrRail_act!G$10</f>
        <v>392</v>
      </c>
      <c r="H21" s="110">
        <f>TrRail_act!H$10</f>
        <v>441</v>
      </c>
      <c r="I21" s="110">
        <f>TrRail_act!I$10</f>
        <v>574</v>
      </c>
      <c r="J21" s="110">
        <f>TrRail_act!J$10</f>
        <v>279</v>
      </c>
      <c r="K21" s="110">
        <f>TrRail_act!K$10</f>
        <v>200</v>
      </c>
      <c r="L21" s="110">
        <f>TrRail_act!L$10</f>
        <v>323</v>
      </c>
      <c r="M21" s="110">
        <f>TrRail_act!M$10</f>
        <v>288</v>
      </c>
      <c r="N21" s="110">
        <f>TrRail_act!N$10</f>
        <v>231</v>
      </c>
      <c r="O21" s="110">
        <f>TrRail_act!O$10</f>
        <v>218</v>
      </c>
      <c r="P21" s="110">
        <f>TrRail_act!P$10</f>
        <v>208</v>
      </c>
      <c r="Q21" s="110">
        <f>TrRail_act!Q$10</f>
        <v>207</v>
      </c>
      <c r="R21" s="110">
        <f>TrRail_act!R$10</f>
        <v>201</v>
      </c>
      <c r="S21" s="110">
        <f>TrRail_act!S$10</f>
        <v>213</v>
      </c>
      <c r="T21" s="110">
        <f>TrRail_act!T$10</f>
        <v>223</v>
      </c>
      <c r="U21" s="110">
        <f>TrRail_act!U$10</f>
        <v>191</v>
      </c>
      <c r="V21" s="110">
        <f>TrRail_act!V$10</f>
        <v>162</v>
      </c>
      <c r="W21" s="110">
        <f>TrRail_act!W$10</f>
        <v>176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2408.3154047201383</v>
      </c>
      <c r="C22" s="110">
        <f t="shared" ref="C22:V22" si="19">C23+C24+C25</f>
        <v>2602.2168560341502</v>
      </c>
      <c r="D22" s="110">
        <f t="shared" si="19"/>
        <v>2631.8682954070296</v>
      </c>
      <c r="E22" s="110">
        <f t="shared" si="19"/>
        <v>2608.7808013977783</v>
      </c>
      <c r="F22" s="110">
        <f t="shared" si="19"/>
        <v>2605.6125573665358</v>
      </c>
      <c r="G22" s="110">
        <f t="shared" si="19"/>
        <v>2697.2193715295516</v>
      </c>
      <c r="H22" s="110">
        <f t="shared" si="19"/>
        <v>2752.1755907662396</v>
      </c>
      <c r="I22" s="110">
        <f t="shared" si="19"/>
        <v>3395.2002671738232</v>
      </c>
      <c r="J22" s="110">
        <f t="shared" si="19"/>
        <v>3788.2963343917781</v>
      </c>
      <c r="K22" s="110">
        <f t="shared" si="19"/>
        <v>3280.1320329179916</v>
      </c>
      <c r="L22" s="110">
        <f t="shared" si="19"/>
        <v>3358.9780559629849</v>
      </c>
      <c r="M22" s="110">
        <f t="shared" si="19"/>
        <v>3492.7014042888236</v>
      </c>
      <c r="N22" s="110">
        <f t="shared" si="19"/>
        <v>3185.8381402770415</v>
      </c>
      <c r="O22" s="110">
        <f t="shared" si="19"/>
        <v>3282.7883779862677</v>
      </c>
      <c r="P22" s="110">
        <f t="shared" si="19"/>
        <v>3494.4857788424615</v>
      </c>
      <c r="Q22" s="110">
        <f t="shared" si="19"/>
        <v>3760.2406387522278</v>
      </c>
      <c r="R22" s="110">
        <f t="shared" si="19"/>
        <v>4096.8471879946937</v>
      </c>
      <c r="S22" s="110">
        <f t="shared" si="19"/>
        <v>4404.5193183943184</v>
      </c>
      <c r="T22" s="110">
        <f t="shared" si="19"/>
        <v>4450.5691687241042</v>
      </c>
      <c r="U22" s="110">
        <f t="shared" si="19"/>
        <v>4463.9333951298941</v>
      </c>
      <c r="V22" s="110">
        <f t="shared" si="19"/>
        <v>5111.0009622539555</v>
      </c>
      <c r="W22" s="110">
        <f t="shared" ref="W22" si="20">W23+W24+W25</f>
        <v>5399.9661913097325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40.111255034889076</v>
      </c>
      <c r="C24" s="102">
        <f>TrAvia_act!C$10</f>
        <v>21.909549652593988</v>
      </c>
      <c r="D24" s="102">
        <f>TrAvia_act!D$10</f>
        <v>18.863621897821933</v>
      </c>
      <c r="E24" s="102">
        <f>TrAvia_act!E$10</f>
        <v>31.432939540725886</v>
      </c>
      <c r="F24" s="102">
        <f>TrAvia_act!F$10</f>
        <v>25.0297284442915</v>
      </c>
      <c r="G24" s="102">
        <f>TrAvia_act!G$10</f>
        <v>30.16824760034935</v>
      </c>
      <c r="H24" s="102">
        <f>TrAvia_act!H$10</f>
        <v>16.798266589842179</v>
      </c>
      <c r="I24" s="102">
        <f>TrAvia_act!I$10</f>
        <v>22.665264755324841</v>
      </c>
      <c r="J24" s="102">
        <f>TrAvia_act!J$10</f>
        <v>30.659725545552892</v>
      </c>
      <c r="K24" s="102">
        <f>TrAvia_act!K$10</f>
        <v>24.231399769265046</v>
      </c>
      <c r="L24" s="102">
        <f>TrAvia_act!L$10</f>
        <v>26.127956515321674</v>
      </c>
      <c r="M24" s="102">
        <f>TrAvia_act!M$10</f>
        <v>20.570915246796083</v>
      </c>
      <c r="N24" s="102">
        <f>TrAvia_act!N$10</f>
        <v>22.967240387034202</v>
      </c>
      <c r="O24" s="102">
        <f>TrAvia_act!O$10</f>
        <v>25.792777089625403</v>
      </c>
      <c r="P24" s="102">
        <f>TrAvia_act!P$10</f>
        <v>29.176474057733902</v>
      </c>
      <c r="Q24" s="102">
        <f>TrAvia_act!Q$10</f>
        <v>24.838822560830248</v>
      </c>
      <c r="R24" s="102">
        <f>TrAvia_act!R$10</f>
        <v>21.791045794798436</v>
      </c>
      <c r="S24" s="102">
        <f>TrAvia_act!S$10</f>
        <v>25.276393558596524</v>
      </c>
      <c r="T24" s="102">
        <f>TrAvia_act!T$10</f>
        <v>23.177938957216373</v>
      </c>
      <c r="U24" s="102">
        <f>TrAvia_act!U$10</f>
        <v>21.806223153175527</v>
      </c>
      <c r="V24" s="102">
        <f>TrAvia_act!V$10</f>
        <v>21.801095095921692</v>
      </c>
      <c r="W24" s="102">
        <f>TrAvia_act!W$10</f>
        <v>25.742527794905499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2368.2041496852494</v>
      </c>
      <c r="C25" s="102">
        <f>TrAvia_act!C$11</f>
        <v>2580.3073063815564</v>
      </c>
      <c r="D25" s="102">
        <f>TrAvia_act!D$11</f>
        <v>2613.0046735092078</v>
      </c>
      <c r="E25" s="102">
        <f>TrAvia_act!E$11</f>
        <v>2577.3478618570525</v>
      </c>
      <c r="F25" s="102">
        <f>TrAvia_act!F$11</f>
        <v>2580.5828289222445</v>
      </c>
      <c r="G25" s="102">
        <f>TrAvia_act!G$11</f>
        <v>2667.0511239292023</v>
      </c>
      <c r="H25" s="102">
        <f>TrAvia_act!H$11</f>
        <v>2735.3773241763975</v>
      </c>
      <c r="I25" s="102">
        <f>TrAvia_act!I$11</f>
        <v>3372.5350024184986</v>
      </c>
      <c r="J25" s="102">
        <f>TrAvia_act!J$11</f>
        <v>3757.636608846225</v>
      </c>
      <c r="K25" s="102">
        <f>TrAvia_act!K$11</f>
        <v>3255.9006331487267</v>
      </c>
      <c r="L25" s="102">
        <f>TrAvia_act!L$11</f>
        <v>3332.8500994476631</v>
      </c>
      <c r="M25" s="102">
        <f>TrAvia_act!M$11</f>
        <v>3472.1304890420274</v>
      </c>
      <c r="N25" s="102">
        <f>TrAvia_act!N$11</f>
        <v>3162.8708998900074</v>
      </c>
      <c r="O25" s="102">
        <f>TrAvia_act!O$11</f>
        <v>3256.9956008966424</v>
      </c>
      <c r="P25" s="102">
        <f>TrAvia_act!P$11</f>
        <v>3465.3093047847278</v>
      </c>
      <c r="Q25" s="102">
        <f>TrAvia_act!Q$11</f>
        <v>3735.4018161913978</v>
      </c>
      <c r="R25" s="102">
        <f>TrAvia_act!R$11</f>
        <v>4075.056142199895</v>
      </c>
      <c r="S25" s="102">
        <f>TrAvia_act!S$11</f>
        <v>4379.2429248357221</v>
      </c>
      <c r="T25" s="102">
        <f>TrAvia_act!T$11</f>
        <v>4427.3912297668876</v>
      </c>
      <c r="U25" s="102">
        <f>TrAvia_act!U$11</f>
        <v>4442.1271719767183</v>
      </c>
      <c r="V25" s="102">
        <f>TrAvia_act!V$11</f>
        <v>5089.1998671580341</v>
      </c>
      <c r="W25" s="102">
        <f>TrAvia_act!W$11</f>
        <v>5374.2236635148274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378</v>
      </c>
      <c r="C26" s="110">
        <f t="shared" si="21"/>
        <v>371</v>
      </c>
      <c r="D26" s="110">
        <f t="shared" si="21"/>
        <v>370</v>
      </c>
      <c r="E26" s="110">
        <f t="shared" si="21"/>
        <v>316</v>
      </c>
      <c r="F26" s="110">
        <f t="shared" si="21"/>
        <v>370</v>
      </c>
      <c r="G26" s="110">
        <f t="shared" si="21"/>
        <v>342</v>
      </c>
      <c r="H26" s="110">
        <f t="shared" si="21"/>
        <v>381</v>
      </c>
      <c r="I26" s="110">
        <f t="shared" si="21"/>
        <v>345</v>
      </c>
      <c r="J26" s="110">
        <f t="shared" si="21"/>
        <v>367</v>
      </c>
      <c r="K26" s="110">
        <f t="shared" si="21"/>
        <v>279</v>
      </c>
      <c r="L26" s="110">
        <f t="shared" si="21"/>
        <v>359</v>
      </c>
      <c r="M26" s="110">
        <f t="shared" si="21"/>
        <v>305</v>
      </c>
      <c r="N26" s="110">
        <f t="shared" si="21"/>
        <v>290</v>
      </c>
      <c r="O26" s="110">
        <f t="shared" si="21"/>
        <v>313</v>
      </c>
      <c r="P26" s="110">
        <f t="shared" si="21"/>
        <v>285</v>
      </c>
      <c r="Q26" s="110">
        <f t="shared" si="21"/>
        <v>235</v>
      </c>
      <c r="R26" s="110">
        <f t="shared" ref="R26:V26" si="22">R27+R28</f>
        <v>190</v>
      </c>
      <c r="S26" s="110">
        <f t="shared" si="22"/>
        <v>195</v>
      </c>
      <c r="T26" s="110">
        <f t="shared" si="22"/>
        <v>205</v>
      </c>
      <c r="U26" s="110">
        <f t="shared" si="22"/>
        <v>228</v>
      </c>
      <c r="V26" s="110">
        <f t="shared" si="22"/>
        <v>201</v>
      </c>
      <c r="W26" s="110">
        <f t="shared" ref="W26" si="23">W27+W28</f>
        <v>217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378</v>
      </c>
      <c r="C28" s="169">
        <f>TrNavi_act!C5</f>
        <v>371</v>
      </c>
      <c r="D28" s="169">
        <f>TrNavi_act!D5</f>
        <v>370</v>
      </c>
      <c r="E28" s="169">
        <f>TrNavi_act!E5</f>
        <v>316</v>
      </c>
      <c r="F28" s="169">
        <f>TrNavi_act!F5</f>
        <v>370</v>
      </c>
      <c r="G28" s="169">
        <f>TrNavi_act!G5</f>
        <v>342</v>
      </c>
      <c r="H28" s="169">
        <f>TrNavi_act!H5</f>
        <v>381</v>
      </c>
      <c r="I28" s="169">
        <f>TrNavi_act!I5</f>
        <v>345</v>
      </c>
      <c r="J28" s="169">
        <f>TrNavi_act!J5</f>
        <v>367</v>
      </c>
      <c r="K28" s="169">
        <f>TrNavi_act!K5</f>
        <v>279</v>
      </c>
      <c r="L28" s="169">
        <f>TrNavi_act!L5</f>
        <v>359</v>
      </c>
      <c r="M28" s="169">
        <f>TrNavi_act!M5</f>
        <v>305</v>
      </c>
      <c r="N28" s="169">
        <f>TrNavi_act!N5</f>
        <v>290</v>
      </c>
      <c r="O28" s="169">
        <f>TrNavi_act!O5</f>
        <v>313</v>
      </c>
      <c r="P28" s="169">
        <f>TrNavi_act!P5</f>
        <v>285</v>
      </c>
      <c r="Q28" s="169">
        <f>TrNavi_act!Q5</f>
        <v>235</v>
      </c>
      <c r="R28" s="169">
        <f>TrNavi_act!R5</f>
        <v>190</v>
      </c>
      <c r="S28" s="169">
        <f>TrNavi_act!S5</f>
        <v>195</v>
      </c>
      <c r="T28" s="169">
        <f>TrNavi_act!T5</f>
        <v>205</v>
      </c>
      <c r="U28" s="169">
        <f>TrNavi_act!U5</f>
        <v>228</v>
      </c>
      <c r="V28" s="169">
        <f>TrNavi_act!V5</f>
        <v>201</v>
      </c>
      <c r="W28" s="169">
        <f>TrNavi_act!W5</f>
        <v>217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981.63754210509182</v>
      </c>
      <c r="C34" s="28">
        <f t="shared" si="25"/>
        <v>1014.6204371482836</v>
      </c>
      <c r="D34" s="28">
        <f t="shared" si="25"/>
        <v>1043.3909135327092</v>
      </c>
      <c r="E34" s="28">
        <f t="shared" si="25"/>
        <v>1099.2687029005301</v>
      </c>
      <c r="F34" s="28">
        <f t="shared" si="25"/>
        <v>1129.233098244126</v>
      </c>
      <c r="G34" s="28">
        <f t="shared" si="25"/>
        <v>1086.4390081113299</v>
      </c>
      <c r="H34" s="28">
        <f t="shared" si="25"/>
        <v>1044.837391608791</v>
      </c>
      <c r="I34" s="28">
        <f t="shared" si="25"/>
        <v>1074.0154616308312</v>
      </c>
      <c r="J34" s="28">
        <f t="shared" si="25"/>
        <v>1094.5904123793366</v>
      </c>
      <c r="K34" s="28">
        <f t="shared" si="25"/>
        <v>1098.3629042142115</v>
      </c>
      <c r="L34" s="28">
        <f t="shared" si="25"/>
        <v>1096.1303269956725</v>
      </c>
      <c r="M34" s="28">
        <f t="shared" si="25"/>
        <v>1137.8100084158802</v>
      </c>
      <c r="N34" s="28">
        <f t="shared" si="25"/>
        <v>1119.0940670896609</v>
      </c>
      <c r="O34" s="28">
        <f t="shared" si="25"/>
        <v>1059.4970334876573</v>
      </c>
      <c r="P34" s="28">
        <f t="shared" si="25"/>
        <v>1074.3800011905907</v>
      </c>
      <c r="Q34" s="28">
        <f t="shared" si="25"/>
        <v>1070.1808908473381</v>
      </c>
      <c r="R34" s="28">
        <f t="shared" ref="R34:V34" si="26">R35+R39+R43</f>
        <v>1076.3390967692642</v>
      </c>
      <c r="S34" s="28">
        <f t="shared" si="26"/>
        <v>1134.9430113701465</v>
      </c>
      <c r="T34" s="28">
        <f t="shared" si="26"/>
        <v>1241.2171212765309</v>
      </c>
      <c r="U34" s="28">
        <f t="shared" si="26"/>
        <v>1246.4735182398001</v>
      </c>
      <c r="V34" s="28">
        <f t="shared" si="26"/>
        <v>824.28401195540778</v>
      </c>
      <c r="W34" s="28">
        <f t="shared" ref="W34" si="27">W35+W39+W43</f>
        <v>960.14272829480183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914.36635028279466</v>
      </c>
      <c r="C35" s="137">
        <f t="shared" si="28"/>
        <v>937.36619564604541</v>
      </c>
      <c r="D35" s="137">
        <f t="shared" si="28"/>
        <v>959.60724797895944</v>
      </c>
      <c r="E35" s="137">
        <f t="shared" si="28"/>
        <v>1016.9265777414583</v>
      </c>
      <c r="F35" s="137">
        <f t="shared" si="28"/>
        <v>1037.2394319598632</v>
      </c>
      <c r="G35" s="137">
        <f t="shared" si="28"/>
        <v>1002.5654861399056</v>
      </c>
      <c r="H35" s="137">
        <f t="shared" si="28"/>
        <v>963.89527388729414</v>
      </c>
      <c r="I35" s="137">
        <f t="shared" si="28"/>
        <v>979.47071070085372</v>
      </c>
      <c r="J35" s="137">
        <f t="shared" si="28"/>
        <v>996.01994586948047</v>
      </c>
      <c r="K35" s="137">
        <f t="shared" si="28"/>
        <v>977.12529586787889</v>
      </c>
      <c r="L35" s="137">
        <f t="shared" si="28"/>
        <v>956.39206117482615</v>
      </c>
      <c r="M35" s="137">
        <f t="shared" si="28"/>
        <v>1023.6561521064782</v>
      </c>
      <c r="N35" s="137">
        <f t="shared" si="28"/>
        <v>1019.4044848515193</v>
      </c>
      <c r="O35" s="137">
        <f t="shared" si="28"/>
        <v>961.27632079486284</v>
      </c>
      <c r="P35" s="137">
        <f t="shared" si="28"/>
        <v>951.12972801070578</v>
      </c>
      <c r="Q35" s="137">
        <f t="shared" si="28"/>
        <v>921.3973787257371</v>
      </c>
      <c r="R35" s="137">
        <f t="shared" ref="R35:V35" si="29">R36+R37+R38</f>
        <v>897.24872460075176</v>
      </c>
      <c r="S35" s="137">
        <f t="shared" si="29"/>
        <v>897.42932544469568</v>
      </c>
      <c r="T35" s="137">
        <f t="shared" si="29"/>
        <v>934.81907526724024</v>
      </c>
      <c r="U35" s="137">
        <f t="shared" si="29"/>
        <v>920.72115351921536</v>
      </c>
      <c r="V35" s="137">
        <f t="shared" si="29"/>
        <v>708.28924767823764</v>
      </c>
      <c r="W35" s="137">
        <f t="shared" ref="W35" si="30">W36+W37+W38</f>
        <v>785.61584375543896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1.5658453299469843</v>
      </c>
      <c r="C36" s="102">
        <f>TrRoad_ene!C$19</f>
        <v>1.5954840517365898</v>
      </c>
      <c r="D36" s="102">
        <f>TrRoad_ene!D$19</f>
        <v>1.6741018463255783</v>
      </c>
      <c r="E36" s="102">
        <f>TrRoad_ene!E$19</f>
        <v>1.6996852398974149</v>
      </c>
      <c r="F36" s="102">
        <f>TrRoad_ene!F$19</f>
        <v>1.7981571194216976</v>
      </c>
      <c r="G36" s="102">
        <f>TrRoad_ene!G$19</f>
        <v>1.8193864795915993</v>
      </c>
      <c r="H36" s="102">
        <f>TrRoad_ene!H$19</f>
        <v>1.8333853927894204</v>
      </c>
      <c r="I36" s="102">
        <f>TrRoad_ene!I$19</f>
        <v>1.8370737832395783</v>
      </c>
      <c r="J36" s="102">
        <f>TrRoad_ene!J$19</f>
        <v>1.8531256416941824</v>
      </c>
      <c r="K36" s="102">
        <f>TrRoad_ene!K$19</f>
        <v>1.9016877615927223</v>
      </c>
      <c r="L36" s="102">
        <f>TrRoad_ene!L$19</f>
        <v>1.9489312118192685</v>
      </c>
      <c r="M36" s="102">
        <f>TrRoad_ene!M$19</f>
        <v>1.9862822509542166</v>
      </c>
      <c r="N36" s="102">
        <f>TrRoad_ene!N$19</f>
        <v>2.0750545566300524</v>
      </c>
      <c r="O36" s="102">
        <f>TrRoad_ene!O$19</f>
        <v>2.1173131300413939</v>
      </c>
      <c r="P36" s="102">
        <f>TrRoad_ene!P$19</f>
        <v>2.1851750210474212</v>
      </c>
      <c r="Q36" s="102">
        <f>TrRoad_ene!Q$19</f>
        <v>2.2550436353596348</v>
      </c>
      <c r="R36" s="102">
        <f>TrRoad_ene!R$19</f>
        <v>2.3354443837981491</v>
      </c>
      <c r="S36" s="102">
        <f>TrRoad_ene!S$19</f>
        <v>2.2536455407164455</v>
      </c>
      <c r="T36" s="102">
        <f>TrRoad_ene!T$19</f>
        <v>2.1506318329953045</v>
      </c>
      <c r="U36" s="102">
        <f>TrRoad_ene!U$19</f>
        <v>2.2405700771320665</v>
      </c>
      <c r="V36" s="102">
        <f>TrRoad_ene!V$19</f>
        <v>2.0014751632596761</v>
      </c>
      <c r="W36" s="102">
        <f>TrRoad_ene!W$19</f>
        <v>1.9008545745669767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888.42731406292194</v>
      </c>
      <c r="C37" s="102">
        <f>TrRoad_ene!C$21</f>
        <v>910.61613951256629</v>
      </c>
      <c r="D37" s="102">
        <f>TrRoad_ene!D$21</f>
        <v>931.32423192162094</v>
      </c>
      <c r="E37" s="102">
        <f>TrRoad_ene!E$21</f>
        <v>988.43150784546958</v>
      </c>
      <c r="F37" s="102">
        <f>TrRoad_ene!F$21</f>
        <v>1008.632472773079</v>
      </c>
      <c r="G37" s="102">
        <f>TrRoad_ene!G$21</f>
        <v>973.29307650567205</v>
      </c>
      <c r="H37" s="102">
        <f>TrRoad_ene!H$21</f>
        <v>934.66855300969939</v>
      </c>
      <c r="I37" s="102">
        <f>TrRoad_ene!I$21</f>
        <v>949.45040651392935</v>
      </c>
      <c r="J37" s="102">
        <f>TrRoad_ene!J$21</f>
        <v>965.04967268816347</v>
      </c>
      <c r="K37" s="102">
        <f>TrRoad_ene!K$21</f>
        <v>945.40319557963107</v>
      </c>
      <c r="L37" s="102">
        <f>TrRoad_ene!L$21</f>
        <v>923.98009454082592</v>
      </c>
      <c r="M37" s="102">
        <f>TrRoad_ene!M$21</f>
        <v>990.50128860428981</v>
      </c>
      <c r="N37" s="102">
        <f>TrRoad_ene!N$21</f>
        <v>986.17843961642836</v>
      </c>
      <c r="O37" s="102">
        <f>TrRoad_ene!O$21</f>
        <v>927.79739285758797</v>
      </c>
      <c r="P37" s="102">
        <f>TrRoad_ene!P$21</f>
        <v>917.67983344398374</v>
      </c>
      <c r="Q37" s="102">
        <f>TrRoad_ene!Q$21</f>
        <v>886.78288473719977</v>
      </c>
      <c r="R37" s="102">
        <f>TrRoad_ene!R$21</f>
        <v>861.80527835083365</v>
      </c>
      <c r="S37" s="102">
        <f>TrRoad_ene!S$21</f>
        <v>860.77653122956053</v>
      </c>
      <c r="T37" s="102">
        <f>TrRoad_ene!T$21</f>
        <v>897.51137165490888</v>
      </c>
      <c r="U37" s="102">
        <f>TrRoad_ene!U$21</f>
        <v>882.3501639719301</v>
      </c>
      <c r="V37" s="102">
        <f>TrRoad_ene!V$21</f>
        <v>670.5561111602043</v>
      </c>
      <c r="W37" s="102">
        <f>TrRoad_ene!W$21</f>
        <v>748.19676388177697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24.373190889925677</v>
      </c>
      <c r="C38" s="102">
        <f>TrRoad_ene!C$33</f>
        <v>25.154572081742625</v>
      </c>
      <c r="D38" s="102">
        <f>TrRoad_ene!D$33</f>
        <v>26.60891421101292</v>
      </c>
      <c r="E38" s="102">
        <f>TrRoad_ene!E$33</f>
        <v>26.795384656091279</v>
      </c>
      <c r="F38" s="102">
        <f>TrRoad_ene!F$33</f>
        <v>26.808802067362347</v>
      </c>
      <c r="G38" s="102">
        <f>TrRoad_ene!G$33</f>
        <v>27.453023154642011</v>
      </c>
      <c r="H38" s="102">
        <f>TrRoad_ene!H$33</f>
        <v>27.393335484805352</v>
      </c>
      <c r="I38" s="102">
        <f>TrRoad_ene!I$33</f>
        <v>28.183230403684721</v>
      </c>
      <c r="J38" s="102">
        <f>TrRoad_ene!J$33</f>
        <v>29.117147539622778</v>
      </c>
      <c r="K38" s="102">
        <f>TrRoad_ene!K$33</f>
        <v>29.820412526655101</v>
      </c>
      <c r="L38" s="102">
        <f>TrRoad_ene!L$33</f>
        <v>30.463035422180923</v>
      </c>
      <c r="M38" s="102">
        <f>TrRoad_ene!M$33</f>
        <v>31.168581251234219</v>
      </c>
      <c r="N38" s="102">
        <f>TrRoad_ene!N$33</f>
        <v>31.150990678460872</v>
      </c>
      <c r="O38" s="102">
        <f>TrRoad_ene!O$33</f>
        <v>31.361614807233575</v>
      </c>
      <c r="P38" s="102">
        <f>TrRoad_ene!P$33</f>
        <v>31.264719545674616</v>
      </c>
      <c r="Q38" s="102">
        <f>TrRoad_ene!Q$33</f>
        <v>32.359450353177763</v>
      </c>
      <c r="R38" s="102">
        <f>TrRoad_ene!R$33</f>
        <v>33.108001866119906</v>
      </c>
      <c r="S38" s="102">
        <f>TrRoad_ene!S$33</f>
        <v>34.399148674418669</v>
      </c>
      <c r="T38" s="102">
        <f>TrRoad_ene!T$33</f>
        <v>35.157071779336064</v>
      </c>
      <c r="U38" s="102">
        <f>TrRoad_ene!U$33</f>
        <v>36.1304194701532</v>
      </c>
      <c r="V38" s="102">
        <f>TrRoad_ene!V$33</f>
        <v>35.731661354773621</v>
      </c>
      <c r="W38" s="102">
        <f>TrRoad_ene!W$33</f>
        <v>35.518225299095029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8.4859883901889219</v>
      </c>
      <c r="C39" s="110">
        <f t="shared" si="31"/>
        <v>9.7643265324060593</v>
      </c>
      <c r="D39" s="110">
        <f t="shared" si="31"/>
        <v>9.5274119146209966</v>
      </c>
      <c r="E39" s="110">
        <f t="shared" si="31"/>
        <v>7.9130349386110659</v>
      </c>
      <c r="F39" s="110">
        <f t="shared" si="31"/>
        <v>7.2063162916475907</v>
      </c>
      <c r="G39" s="110">
        <f t="shared" si="31"/>
        <v>8.4652322759193908</v>
      </c>
      <c r="H39" s="110">
        <f t="shared" si="31"/>
        <v>9.1586479161528338</v>
      </c>
      <c r="I39" s="110">
        <f t="shared" si="31"/>
        <v>9.9555385031036607</v>
      </c>
      <c r="J39" s="110">
        <f t="shared" si="31"/>
        <v>11.804235243462587</v>
      </c>
      <c r="K39" s="110">
        <f t="shared" si="31"/>
        <v>11.576843426034475</v>
      </c>
      <c r="L39" s="110">
        <f t="shared" si="31"/>
        <v>12.482290952140435</v>
      </c>
      <c r="M39" s="110">
        <f t="shared" si="31"/>
        <v>13.28548769352013</v>
      </c>
      <c r="N39" s="110">
        <f t="shared" si="31"/>
        <v>13.527931062289642</v>
      </c>
      <c r="O39" s="110">
        <f t="shared" si="31"/>
        <v>13.953654509996264</v>
      </c>
      <c r="P39" s="110">
        <f t="shared" si="31"/>
        <v>13.625250219598653</v>
      </c>
      <c r="Q39" s="110">
        <f t="shared" si="31"/>
        <v>13.620821647915323</v>
      </c>
      <c r="R39" s="110">
        <f t="shared" ref="R39:V39" si="32">R40+R41+R42</f>
        <v>13.710062851154493</v>
      </c>
      <c r="S39" s="110">
        <f t="shared" si="32"/>
        <v>13.747602229383897</v>
      </c>
      <c r="T39" s="110">
        <f t="shared" si="32"/>
        <v>14.90141462426511</v>
      </c>
      <c r="U39" s="110">
        <f t="shared" si="32"/>
        <v>14.884948507425646</v>
      </c>
      <c r="V39" s="110">
        <f t="shared" si="32"/>
        <v>13.515771591057572</v>
      </c>
      <c r="W39" s="110">
        <f t="shared" ref="W39" si="33">W40+W41+W42</f>
        <v>14.808447863279637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0.16603576824136926</v>
      </c>
      <c r="U40" s="102">
        <f>TrRail_ene!U$12</f>
        <v>0.26219695143575916</v>
      </c>
      <c r="V40" s="102">
        <f>TrRail_ene!V$12</f>
        <v>0.26649772028613733</v>
      </c>
      <c r="W40" s="102">
        <f>TrRail_ene!W$12</f>
        <v>0.26615584200375642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8.4859883901889219</v>
      </c>
      <c r="C41" s="102">
        <f>TrRail_ene!C$13</f>
        <v>9.7643265324060593</v>
      </c>
      <c r="D41" s="102">
        <f>TrRail_ene!D$13</f>
        <v>9.5274119146209966</v>
      </c>
      <c r="E41" s="102">
        <f>TrRail_ene!E$13</f>
        <v>7.9130349386110659</v>
      </c>
      <c r="F41" s="102">
        <f>TrRail_ene!F$13</f>
        <v>7.2063162916475907</v>
      </c>
      <c r="G41" s="102">
        <f>TrRail_ene!G$13</f>
        <v>8.4652322759193908</v>
      </c>
      <c r="H41" s="102">
        <f>TrRail_ene!H$13</f>
        <v>9.1586479161528338</v>
      </c>
      <c r="I41" s="102">
        <f>TrRail_ene!I$13</f>
        <v>9.9555385031036607</v>
      </c>
      <c r="J41" s="102">
        <f>TrRail_ene!J$13</f>
        <v>11.804235243462587</v>
      </c>
      <c r="K41" s="102">
        <f>TrRail_ene!K$13</f>
        <v>11.576843426034475</v>
      </c>
      <c r="L41" s="102">
        <f>TrRail_ene!L$13</f>
        <v>12.482290952140435</v>
      </c>
      <c r="M41" s="102">
        <f>TrRail_ene!M$13</f>
        <v>13.28548769352013</v>
      </c>
      <c r="N41" s="102">
        <f>TrRail_ene!N$13</f>
        <v>13.527931062289642</v>
      </c>
      <c r="O41" s="102">
        <f>TrRail_ene!O$13</f>
        <v>13.953654509996264</v>
      </c>
      <c r="P41" s="102">
        <f>TrRail_ene!P$13</f>
        <v>13.625250219598653</v>
      </c>
      <c r="Q41" s="102">
        <f>TrRail_ene!Q$13</f>
        <v>13.620821647915323</v>
      </c>
      <c r="R41" s="102">
        <f>TrRail_ene!R$13</f>
        <v>13.710062851154493</v>
      </c>
      <c r="S41" s="102">
        <f>TrRail_ene!S$13</f>
        <v>13.747602229383897</v>
      </c>
      <c r="T41" s="102">
        <f>TrRail_ene!T$13</f>
        <v>14.73537885602374</v>
      </c>
      <c r="U41" s="102">
        <f>TrRail_ene!U$13</f>
        <v>14.622751555989886</v>
      </c>
      <c r="V41" s="102">
        <f>TrRail_ene!V$13</f>
        <v>13.249273870771434</v>
      </c>
      <c r="W41" s="102">
        <f>TrRail_ene!W$13</f>
        <v>14.54229202127588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58.785203432108212</v>
      </c>
      <c r="C43" s="110">
        <f t="shared" si="34"/>
        <v>67.489914969832142</v>
      </c>
      <c r="D43" s="110">
        <f t="shared" si="34"/>
        <v>74.256253639128701</v>
      </c>
      <c r="E43" s="110">
        <f t="shared" si="34"/>
        <v>74.429090220460608</v>
      </c>
      <c r="F43" s="110">
        <f t="shared" si="34"/>
        <v>84.78734999261512</v>
      </c>
      <c r="G43" s="110">
        <f t="shared" si="34"/>
        <v>75.408289695504806</v>
      </c>
      <c r="H43" s="110">
        <f t="shared" si="34"/>
        <v>71.783469805344026</v>
      </c>
      <c r="I43" s="110">
        <f t="shared" si="34"/>
        <v>84.589212426873829</v>
      </c>
      <c r="J43" s="110">
        <f t="shared" si="34"/>
        <v>86.766231266393547</v>
      </c>
      <c r="K43" s="110">
        <f t="shared" si="34"/>
        <v>109.66076492029818</v>
      </c>
      <c r="L43" s="110">
        <f t="shared" si="34"/>
        <v>127.25597486870595</v>
      </c>
      <c r="M43" s="110">
        <f t="shared" si="34"/>
        <v>100.86836861588189</v>
      </c>
      <c r="N43" s="110">
        <f t="shared" si="34"/>
        <v>86.161651175851972</v>
      </c>
      <c r="O43" s="110">
        <f t="shared" si="34"/>
        <v>84.267058182798223</v>
      </c>
      <c r="P43" s="110">
        <f t="shared" si="34"/>
        <v>109.62502296028634</v>
      </c>
      <c r="Q43" s="110">
        <f t="shared" si="34"/>
        <v>135.16269047368559</v>
      </c>
      <c r="R43" s="110">
        <f t="shared" ref="R43:V43" si="35">R44+R45+R46</f>
        <v>165.38030931735801</v>
      </c>
      <c r="S43" s="110">
        <f t="shared" si="35"/>
        <v>223.76608369606674</v>
      </c>
      <c r="T43" s="110">
        <f t="shared" si="35"/>
        <v>291.49663138502552</v>
      </c>
      <c r="U43" s="110">
        <f t="shared" si="35"/>
        <v>310.86741621315917</v>
      </c>
      <c r="V43" s="110">
        <f t="shared" si="35"/>
        <v>102.47899268611255</v>
      </c>
      <c r="W43" s="110">
        <f t="shared" ref="W43" si="36">W44+W45+W46</f>
        <v>159.71843667608317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44.312459846826556</v>
      </c>
      <c r="C45" s="102">
        <f>TrAvia_ene!C$8</f>
        <v>50.871527032259266</v>
      </c>
      <c r="D45" s="102">
        <f>TrAvia_ene!D$8</f>
        <v>55.971608232111514</v>
      </c>
      <c r="E45" s="102">
        <f>TrAvia_ene!E$8</f>
        <v>56.103808347973818</v>
      </c>
      <c r="F45" s="102">
        <f>TrAvia_ene!F$8</f>
        <v>63.908430126725989</v>
      </c>
      <c r="G45" s="102">
        <f>TrAvia_ene!G$8</f>
        <v>57.049835109557677</v>
      </c>
      <c r="H45" s="102">
        <f>TrAvia_ene!H$8</f>
        <v>54.399562215753086</v>
      </c>
      <c r="I45" s="102">
        <f>TrAvia_ene!I$8</f>
        <v>64.433746732181817</v>
      </c>
      <c r="J45" s="102">
        <f>TrAvia_ene!J$8</f>
        <v>65.026991391341397</v>
      </c>
      <c r="K45" s="102">
        <f>TrAvia_ene!K$8</f>
        <v>80.885271051915694</v>
      </c>
      <c r="L45" s="102">
        <f>TrAvia_ene!L$8</f>
        <v>94.390457732000272</v>
      </c>
      <c r="M45" s="102">
        <f>TrAvia_ene!M$8</f>
        <v>74.443485292497456</v>
      </c>
      <c r="N45" s="102">
        <f>TrAvia_ene!N$8</f>
        <v>63.717270419469088</v>
      </c>
      <c r="O45" s="102">
        <f>TrAvia_ene!O$8</f>
        <v>62.686675150726295</v>
      </c>
      <c r="P45" s="102">
        <f>TrAvia_ene!P$8</f>
        <v>81.542011640334394</v>
      </c>
      <c r="Q45" s="102">
        <f>TrAvia_ene!Q$8</f>
        <v>100.71120837038586</v>
      </c>
      <c r="R45" s="102">
        <f>TrAvia_ene!R$8</f>
        <v>125.23436696952565</v>
      </c>
      <c r="S45" s="102">
        <f>TrAvia_ene!S$8</f>
        <v>171.66168221322425</v>
      </c>
      <c r="T45" s="102">
        <f>TrAvia_ene!T$8</f>
        <v>222.54660951102053</v>
      </c>
      <c r="U45" s="102">
        <f>TrAvia_ene!U$8</f>
        <v>235.43322467292481</v>
      </c>
      <c r="V45" s="102">
        <f>TrAvia_ene!V$8</f>
        <v>73.070730392150139</v>
      </c>
      <c r="W45" s="102">
        <f>TrAvia_ene!W$8</f>
        <v>118.24824724873403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14.472743585281657</v>
      </c>
      <c r="C46" s="102">
        <f>TrAvia_ene!C$9</f>
        <v>16.61838793757288</v>
      </c>
      <c r="D46" s="102">
        <f>TrAvia_ene!D$9</f>
        <v>18.284645407017184</v>
      </c>
      <c r="E46" s="102">
        <f>TrAvia_ene!E$9</f>
        <v>18.325281872486791</v>
      </c>
      <c r="F46" s="102">
        <f>TrAvia_ene!F$9</f>
        <v>20.878919865889131</v>
      </c>
      <c r="G46" s="102">
        <f>TrAvia_ene!G$9</f>
        <v>18.358454585947133</v>
      </c>
      <c r="H46" s="102">
        <f>TrAvia_ene!H$9</f>
        <v>17.383907589590944</v>
      </c>
      <c r="I46" s="102">
        <f>TrAvia_ene!I$9</f>
        <v>20.155465694692015</v>
      </c>
      <c r="J46" s="102">
        <f>TrAvia_ene!J$9</f>
        <v>21.739239875052149</v>
      </c>
      <c r="K46" s="102">
        <f>TrAvia_ene!K$9</f>
        <v>28.775493868382483</v>
      </c>
      <c r="L46" s="102">
        <f>TrAvia_ene!L$9</f>
        <v>32.86551713670567</v>
      </c>
      <c r="M46" s="102">
        <f>TrAvia_ene!M$9</f>
        <v>26.424883323384432</v>
      </c>
      <c r="N46" s="102">
        <f>TrAvia_ene!N$9</f>
        <v>22.444380756382888</v>
      </c>
      <c r="O46" s="102">
        <f>TrAvia_ene!O$9</f>
        <v>21.580383032071932</v>
      </c>
      <c r="P46" s="102">
        <f>TrAvia_ene!P$9</f>
        <v>28.083011319951943</v>
      </c>
      <c r="Q46" s="102">
        <f>TrAvia_ene!Q$9</f>
        <v>34.451482103299732</v>
      </c>
      <c r="R46" s="102">
        <f>TrAvia_ene!R$9</f>
        <v>40.14594234783236</v>
      </c>
      <c r="S46" s="102">
        <f>TrAvia_ene!S$9</f>
        <v>52.104401482842498</v>
      </c>
      <c r="T46" s="102">
        <f>TrAvia_ene!T$9</f>
        <v>68.950021874004989</v>
      </c>
      <c r="U46" s="102">
        <f>TrAvia_ene!U$9</f>
        <v>75.434191540234352</v>
      </c>
      <c r="V46" s="102">
        <f>TrAvia_ene!V$9</f>
        <v>29.408262293962412</v>
      </c>
      <c r="W46" s="102">
        <f>TrAvia_ene!W$9</f>
        <v>41.47018942734914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932.22084138587945</v>
      </c>
      <c r="C47" s="28">
        <f t="shared" si="37"/>
        <v>1004.7897090254048</v>
      </c>
      <c r="D47" s="28">
        <f t="shared" si="37"/>
        <v>1071.8631707321229</v>
      </c>
      <c r="E47" s="28">
        <f t="shared" si="37"/>
        <v>1209.30079383922</v>
      </c>
      <c r="F47" s="28">
        <f t="shared" si="37"/>
        <v>1525.8248374440309</v>
      </c>
      <c r="G47" s="28">
        <f t="shared" si="37"/>
        <v>1696.1276562241321</v>
      </c>
      <c r="H47" s="28">
        <f t="shared" si="37"/>
        <v>1609.2743305622616</v>
      </c>
      <c r="I47" s="28">
        <f t="shared" si="37"/>
        <v>1566.2309114762411</v>
      </c>
      <c r="J47" s="28">
        <f t="shared" si="37"/>
        <v>1577.9128646732458</v>
      </c>
      <c r="K47" s="28">
        <f t="shared" si="37"/>
        <v>1381.9095727128574</v>
      </c>
      <c r="L47" s="28">
        <f t="shared" si="37"/>
        <v>1510.8330084856327</v>
      </c>
      <c r="M47" s="28">
        <f t="shared" si="37"/>
        <v>1573.2131887134949</v>
      </c>
      <c r="N47" s="28">
        <f t="shared" si="37"/>
        <v>1460.2990317746371</v>
      </c>
      <c r="O47" s="28">
        <f t="shared" si="37"/>
        <v>1481.061365504225</v>
      </c>
      <c r="P47" s="28">
        <f t="shared" si="37"/>
        <v>1418.6095609363401</v>
      </c>
      <c r="Q47" s="28">
        <f t="shared" si="37"/>
        <v>1345.7165839343211</v>
      </c>
      <c r="R47" s="28">
        <f t="shared" ref="R47:V47" si="38">R48+R51+R52+R56</f>
        <v>1338.7538165544725</v>
      </c>
      <c r="S47" s="28">
        <f t="shared" si="38"/>
        <v>1405.842094657213</v>
      </c>
      <c r="T47" s="28">
        <f t="shared" si="38"/>
        <v>1474.6460315418256</v>
      </c>
      <c r="U47" s="28">
        <f t="shared" si="38"/>
        <v>1509.1367452485765</v>
      </c>
      <c r="V47" s="28">
        <f t="shared" si="38"/>
        <v>1392.3096131497305</v>
      </c>
      <c r="W47" s="28">
        <f t="shared" ref="W47" si="39">W48+W51+W52+W56</f>
        <v>1439.0545986157119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665.23337714626791</v>
      </c>
      <c r="C48" s="137">
        <f t="shared" si="40"/>
        <v>719.9298697021917</v>
      </c>
      <c r="D48" s="137">
        <f t="shared" si="40"/>
        <v>764.88276663840895</v>
      </c>
      <c r="E48" s="137">
        <f t="shared" si="40"/>
        <v>887.29389836200642</v>
      </c>
      <c r="F48" s="137">
        <f t="shared" si="40"/>
        <v>1179.5679336509074</v>
      </c>
      <c r="G48" s="137">
        <f t="shared" si="40"/>
        <v>1335.1245238533381</v>
      </c>
      <c r="H48" s="137">
        <f t="shared" si="40"/>
        <v>1272.4694095907232</v>
      </c>
      <c r="I48" s="137">
        <f t="shared" si="40"/>
        <v>1211.2176761637425</v>
      </c>
      <c r="J48" s="137">
        <f t="shared" si="40"/>
        <v>1223.4529580102731</v>
      </c>
      <c r="K48" s="137">
        <f t="shared" si="40"/>
        <v>1069.290244687737</v>
      </c>
      <c r="L48" s="137">
        <f t="shared" si="40"/>
        <v>1204.5638624406149</v>
      </c>
      <c r="M48" s="137">
        <f t="shared" si="40"/>
        <v>1268.5984138964998</v>
      </c>
      <c r="N48" s="137">
        <f t="shared" si="40"/>
        <v>1172.4770061022027</v>
      </c>
      <c r="O48" s="137">
        <f t="shared" si="40"/>
        <v>1189.7453628057899</v>
      </c>
      <c r="P48" s="137">
        <f t="shared" si="40"/>
        <v>1120.6336088367755</v>
      </c>
      <c r="Q48" s="137">
        <f t="shared" si="40"/>
        <v>1021.6452379303847</v>
      </c>
      <c r="R48" s="137">
        <f t="shared" ref="R48:V48" si="41">R49+R50</f>
        <v>994.81246043407702</v>
      </c>
      <c r="S48" s="137">
        <f t="shared" si="41"/>
        <v>1053.8425389661547</v>
      </c>
      <c r="T48" s="137">
        <f t="shared" si="41"/>
        <v>1150.598419769517</v>
      </c>
      <c r="U48" s="137">
        <f t="shared" si="41"/>
        <v>1217.8900557989118</v>
      </c>
      <c r="V48" s="137">
        <f t="shared" si="41"/>
        <v>946.95467837273065</v>
      </c>
      <c r="W48" s="137">
        <f t="shared" ref="W48" si="42">W49+W50</f>
        <v>973.98492253598624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32.941317572402824</v>
      </c>
      <c r="C49" s="102">
        <f>TrRoad_ene!C$43</f>
        <v>33.972389753551745</v>
      </c>
      <c r="D49" s="102">
        <f>TrRoad_ene!D$43</f>
        <v>35.400726549815644</v>
      </c>
      <c r="E49" s="102">
        <f>TrRoad_ene!E$43</f>
        <v>36.070783262485868</v>
      </c>
      <c r="F49" s="102">
        <f>TrRoad_ene!F$43</f>
        <v>36.923232259429732</v>
      </c>
      <c r="G49" s="102">
        <f>TrRoad_ene!G$43</f>
        <v>38.229216873069291</v>
      </c>
      <c r="H49" s="102">
        <f>TrRoad_ene!H$43</f>
        <v>39.674779296574584</v>
      </c>
      <c r="I49" s="102">
        <f>TrRoad_ene!I$43</f>
        <v>42.452773688108714</v>
      </c>
      <c r="J49" s="102">
        <f>TrRoad_ene!J$43</f>
        <v>44.480531713023815</v>
      </c>
      <c r="K49" s="102">
        <f>TrRoad_ene!K$43</f>
        <v>44.540190429022637</v>
      </c>
      <c r="L49" s="102">
        <f>TrRoad_ene!L$43</f>
        <v>46.504347577380948</v>
      </c>
      <c r="M49" s="102">
        <f>TrRoad_ene!M$43</f>
        <v>49.05485232248683</v>
      </c>
      <c r="N49" s="102">
        <f>TrRoad_ene!N$43</f>
        <v>50.148887386822231</v>
      </c>
      <c r="O49" s="102">
        <f>TrRoad_ene!O$43</f>
        <v>50.911168079019305</v>
      </c>
      <c r="P49" s="102">
        <f>TrRoad_ene!P$43</f>
        <v>53.350857088348327</v>
      </c>
      <c r="Q49" s="102">
        <f>TrRoad_ene!Q$43</f>
        <v>55.148636971880393</v>
      </c>
      <c r="R49" s="102">
        <f>TrRoad_ene!R$43</f>
        <v>57.538454733633408</v>
      </c>
      <c r="S49" s="102">
        <f>TrRoad_ene!S$43</f>
        <v>58.368996302679321</v>
      </c>
      <c r="T49" s="102">
        <f>TrRoad_ene!T$43</f>
        <v>59.994385708264758</v>
      </c>
      <c r="U49" s="102">
        <f>TrRoad_ene!U$43</f>
        <v>60.700873173464025</v>
      </c>
      <c r="V49" s="102">
        <f>TrRoad_ene!V$43</f>
        <v>61.2978245082871</v>
      </c>
      <c r="W49" s="102">
        <f>TrRoad_ene!W$43</f>
        <v>63.717095225629272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632.29205957386512</v>
      </c>
      <c r="C50" s="102">
        <f>TrRoad_ene!C$52</f>
        <v>685.95747994863996</v>
      </c>
      <c r="D50" s="102">
        <f>TrRoad_ene!D$52</f>
        <v>729.48204008859329</v>
      </c>
      <c r="E50" s="102">
        <f>TrRoad_ene!E$52</f>
        <v>851.22311509952056</v>
      </c>
      <c r="F50" s="102">
        <f>TrRoad_ene!F$52</f>
        <v>1142.6447013914776</v>
      </c>
      <c r="G50" s="102">
        <f>TrRoad_ene!G$52</f>
        <v>1296.8953069802687</v>
      </c>
      <c r="H50" s="102">
        <f>TrRoad_ene!H$52</f>
        <v>1232.7946302941486</v>
      </c>
      <c r="I50" s="102">
        <f>TrRoad_ene!I$52</f>
        <v>1168.7649024756338</v>
      </c>
      <c r="J50" s="102">
        <f>TrRoad_ene!J$52</f>
        <v>1178.9724262972493</v>
      </c>
      <c r="K50" s="102">
        <f>TrRoad_ene!K$52</f>
        <v>1024.7500542587143</v>
      </c>
      <c r="L50" s="102">
        <f>TrRoad_ene!L$52</f>
        <v>1158.059514863234</v>
      </c>
      <c r="M50" s="102">
        <f>TrRoad_ene!M$52</f>
        <v>1219.543561574013</v>
      </c>
      <c r="N50" s="102">
        <f>TrRoad_ene!N$52</f>
        <v>1122.3281187153805</v>
      </c>
      <c r="O50" s="102">
        <f>TrRoad_ene!O$52</f>
        <v>1138.8341947267706</v>
      </c>
      <c r="P50" s="102">
        <f>TrRoad_ene!P$52</f>
        <v>1067.2827517484272</v>
      </c>
      <c r="Q50" s="102">
        <f>TrRoad_ene!Q$52</f>
        <v>966.49660095850436</v>
      </c>
      <c r="R50" s="102">
        <f>TrRoad_ene!R$52</f>
        <v>937.27400570044358</v>
      </c>
      <c r="S50" s="102">
        <f>TrRoad_ene!S$52</f>
        <v>995.47354266347531</v>
      </c>
      <c r="T50" s="102">
        <f>TrRoad_ene!T$52</f>
        <v>1090.6040340612522</v>
      </c>
      <c r="U50" s="102">
        <f>TrRoad_ene!U$52</f>
        <v>1157.1891826254478</v>
      </c>
      <c r="V50" s="102">
        <f>TrRoad_ene!V$52</f>
        <v>885.65685386444352</v>
      </c>
      <c r="W50" s="102">
        <f>TrRoad_ene!W$52</f>
        <v>910.26782731035701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4.4713632865092734</v>
      </c>
      <c r="C51" s="110">
        <f>TrRail_ene!C$17</f>
        <v>4.8782358063729605</v>
      </c>
      <c r="D51" s="110">
        <f>TrRail_ene!D$17</f>
        <v>4.803972436195858</v>
      </c>
      <c r="E51" s="110">
        <f>TrRail_ene!E$17</f>
        <v>4.3608257664620194</v>
      </c>
      <c r="F51" s="110">
        <f>TrRail_ene!F$17</f>
        <v>4.4078711546120823</v>
      </c>
      <c r="G51" s="110">
        <f>TrRail_ene!G$17</f>
        <v>2.9585854368923021</v>
      </c>
      <c r="H51" s="110">
        <f>TrRail_ene!H$17</f>
        <v>2.8778095215083868</v>
      </c>
      <c r="I51" s="110">
        <f>TrRail_ene!I$17</f>
        <v>3.5758458477131909</v>
      </c>
      <c r="J51" s="110">
        <f>TrRail_ene!J$17</f>
        <v>2.2979143696070601</v>
      </c>
      <c r="K51" s="110">
        <f>TrRail_ene!K$17</f>
        <v>1.7358822833378342</v>
      </c>
      <c r="L51" s="110">
        <f>TrRail_ene!L$17</f>
        <v>1.9650865199145986</v>
      </c>
      <c r="M51" s="110">
        <f>TrRail_ene!M$17</f>
        <v>1.7583644131006788</v>
      </c>
      <c r="N51" s="110">
        <f>TrRail_ene!N$17</f>
        <v>1.475336349576218</v>
      </c>
      <c r="O51" s="110">
        <f>TrRail_ene!O$17</f>
        <v>1.4148751546640979</v>
      </c>
      <c r="P51" s="110">
        <f>TrRail_ene!P$17</f>
        <v>1.2746637958785612</v>
      </c>
      <c r="Q51" s="110">
        <f>TrRail_ene!Q$17</f>
        <v>1.256392453546409</v>
      </c>
      <c r="R51" s="110">
        <f>TrRail_ene!R$17</f>
        <v>1.1794470370656267</v>
      </c>
      <c r="S51" s="110">
        <f>TrRail_ene!S$17</f>
        <v>1.2398440302893572</v>
      </c>
      <c r="T51" s="110">
        <f>TrRail_ene!T$17</f>
        <v>1.2317754015302469</v>
      </c>
      <c r="U51" s="110">
        <f>TrRail_ene!U$17</f>
        <v>1.1797978382321341</v>
      </c>
      <c r="V51" s="110">
        <f>TrRail_ene!V$17</f>
        <v>1.0790693375752713</v>
      </c>
      <c r="W51" s="110">
        <f>TrRail_ene!W$17</f>
        <v>1.0661007179757336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262.05710095310241</v>
      </c>
      <c r="C52" s="110">
        <f t="shared" si="43"/>
        <v>279.52960351684021</v>
      </c>
      <c r="D52" s="110">
        <f t="shared" si="43"/>
        <v>301.7254316575179</v>
      </c>
      <c r="E52" s="110">
        <f t="shared" si="43"/>
        <v>317.24906971075171</v>
      </c>
      <c r="F52" s="110">
        <f t="shared" si="43"/>
        <v>341.39803263851132</v>
      </c>
      <c r="G52" s="110">
        <f t="shared" si="43"/>
        <v>357.62154693390181</v>
      </c>
      <c r="H52" s="110">
        <f t="shared" si="43"/>
        <v>333.46511145002995</v>
      </c>
      <c r="I52" s="110">
        <f t="shared" si="43"/>
        <v>351.01138946478551</v>
      </c>
      <c r="J52" s="110">
        <f t="shared" si="43"/>
        <v>351.71399229336566</v>
      </c>
      <c r="K52" s="110">
        <f t="shared" si="43"/>
        <v>310.52444574178264</v>
      </c>
      <c r="L52" s="110">
        <f t="shared" si="43"/>
        <v>303.86405952510307</v>
      </c>
      <c r="M52" s="110">
        <f t="shared" si="43"/>
        <v>302.4704104038945</v>
      </c>
      <c r="N52" s="110">
        <f t="shared" si="43"/>
        <v>285.9757520915598</v>
      </c>
      <c r="O52" s="110">
        <f t="shared" si="43"/>
        <v>289.5577053597641</v>
      </c>
      <c r="P52" s="110">
        <f t="shared" si="43"/>
        <v>296.34832183765002</v>
      </c>
      <c r="Q52" s="110">
        <f t="shared" si="43"/>
        <v>322.48976008521367</v>
      </c>
      <c r="R52" s="110">
        <f t="shared" si="43"/>
        <v>342.45520229055262</v>
      </c>
      <c r="S52" s="110">
        <f t="shared" si="43"/>
        <v>350.4432026323941</v>
      </c>
      <c r="T52" s="110">
        <f t="shared" si="43"/>
        <v>322.50044514119969</v>
      </c>
      <c r="U52" s="110">
        <f t="shared" si="43"/>
        <v>289.76414010670317</v>
      </c>
      <c r="V52" s="110">
        <f t="shared" si="43"/>
        <v>444.17242605851328</v>
      </c>
      <c r="W52" s="110">
        <f t="shared" ref="W52" si="44">W53+W54+W55</f>
        <v>463.91415145805263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14.06692200333389</v>
      </c>
      <c r="C54" s="102">
        <f>TrAvia_ene!C$12</f>
        <v>5.9853084367357194</v>
      </c>
      <c r="D54" s="102">
        <f>TrAvia_ene!D$12</f>
        <v>4.1157175213024182</v>
      </c>
      <c r="E54" s="102">
        <f>TrAvia_ene!E$12</f>
        <v>6.7386847718545217</v>
      </c>
      <c r="F54" s="102">
        <f>TrAvia_ene!F$12</f>
        <v>6.3781146305723482</v>
      </c>
      <c r="G54" s="102">
        <f>TrAvia_ene!G$12</f>
        <v>6.9842784022398305</v>
      </c>
      <c r="H54" s="102">
        <f>TrAvia_ene!H$12</f>
        <v>3.6620274799512003</v>
      </c>
      <c r="I54" s="102">
        <f>TrAvia_ene!I$12</f>
        <v>5.981415653123257</v>
      </c>
      <c r="J54" s="102">
        <f>TrAvia_ene!J$12</f>
        <v>8.1112296637700236</v>
      </c>
      <c r="K54" s="102">
        <f>TrAvia_ene!K$12</f>
        <v>8.2443198718275337</v>
      </c>
      <c r="L54" s="102">
        <f>TrAvia_ene!L$12</f>
        <v>9.4982136575920979</v>
      </c>
      <c r="M54" s="102">
        <f>TrAvia_ene!M$12</f>
        <v>5.1036972015240236</v>
      </c>
      <c r="N54" s="102">
        <f>TrAvia_ene!N$12</f>
        <v>4.7943026664034676</v>
      </c>
      <c r="O54" s="102">
        <f>TrAvia_ene!O$12</f>
        <v>5.191188508277496</v>
      </c>
      <c r="P54" s="102">
        <f>TrAvia_ene!P$12</f>
        <v>6.3857661122464826</v>
      </c>
      <c r="Q54" s="102">
        <f>TrAvia_ene!Q$12</f>
        <v>6.882744610594596</v>
      </c>
      <c r="R54" s="102">
        <f>TrAvia_ene!R$12</f>
        <v>5.9258513119475253</v>
      </c>
      <c r="S54" s="102">
        <f>TrAvia_ene!S$12</f>
        <v>9.9145927709539308</v>
      </c>
      <c r="T54" s="102">
        <f>TrAvia_ene!T$12</f>
        <v>10.068651964773464</v>
      </c>
      <c r="U54" s="102">
        <f>TrAvia_ene!U$12</f>
        <v>10.660518154029642</v>
      </c>
      <c r="V54" s="102">
        <f>TrAvia_ene!V$12</f>
        <v>8.419232007173397</v>
      </c>
      <c r="W54" s="102">
        <f>TrAvia_ene!W$12</f>
        <v>12.153397667850612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247.99017894976851</v>
      </c>
      <c r="C55" s="102">
        <f>TrAvia_ene!C$13</f>
        <v>273.54429508010452</v>
      </c>
      <c r="D55" s="102">
        <f>TrAvia_ene!D$13</f>
        <v>297.60971413621547</v>
      </c>
      <c r="E55" s="102">
        <f>TrAvia_ene!E$13</f>
        <v>310.51038493889718</v>
      </c>
      <c r="F55" s="102">
        <f>TrAvia_ene!F$13</f>
        <v>335.019918007939</v>
      </c>
      <c r="G55" s="102">
        <f>TrAvia_ene!G$13</f>
        <v>350.63726853166196</v>
      </c>
      <c r="H55" s="102">
        <f>TrAvia_ene!H$13</f>
        <v>329.80308397007877</v>
      </c>
      <c r="I55" s="102">
        <f>TrAvia_ene!I$13</f>
        <v>345.02997381166227</v>
      </c>
      <c r="J55" s="102">
        <f>TrAvia_ene!J$13</f>
        <v>343.60276262959565</v>
      </c>
      <c r="K55" s="102">
        <f>TrAvia_ene!K$13</f>
        <v>302.2801258699551</v>
      </c>
      <c r="L55" s="102">
        <f>TrAvia_ene!L$13</f>
        <v>294.36584586751098</v>
      </c>
      <c r="M55" s="102">
        <f>TrAvia_ene!M$13</f>
        <v>297.36671320237048</v>
      </c>
      <c r="N55" s="102">
        <f>TrAvia_ene!N$13</f>
        <v>281.18144942515636</v>
      </c>
      <c r="O55" s="102">
        <f>TrAvia_ene!O$13</f>
        <v>284.36651685148661</v>
      </c>
      <c r="P55" s="102">
        <f>TrAvia_ene!P$13</f>
        <v>289.96255572540355</v>
      </c>
      <c r="Q55" s="102">
        <f>TrAvia_ene!Q$13</f>
        <v>315.60701547461906</v>
      </c>
      <c r="R55" s="102">
        <f>TrAvia_ene!R$13</f>
        <v>336.52935097860507</v>
      </c>
      <c r="S55" s="102">
        <f>TrAvia_ene!S$13</f>
        <v>340.5286098614402</v>
      </c>
      <c r="T55" s="102">
        <f>TrAvia_ene!T$13</f>
        <v>312.43179317642625</v>
      </c>
      <c r="U55" s="102">
        <f>TrAvia_ene!U$13</f>
        <v>279.10362195267351</v>
      </c>
      <c r="V55" s="102">
        <f>TrAvia_ene!V$13</f>
        <v>435.7531940513399</v>
      </c>
      <c r="W55" s="102">
        <f>TrAvia_ene!W$13</f>
        <v>451.76075379020199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0.45900000000000002</v>
      </c>
      <c r="C56" s="110">
        <f t="shared" si="45"/>
        <v>0.45200000000000001</v>
      </c>
      <c r="D56" s="110">
        <f t="shared" si="45"/>
        <v>0.45100000000000001</v>
      </c>
      <c r="E56" s="110">
        <f t="shared" si="45"/>
        <v>0.39700000000000002</v>
      </c>
      <c r="F56" s="110">
        <f t="shared" si="45"/>
        <v>0.45100000000000001</v>
      </c>
      <c r="G56" s="110">
        <f t="shared" si="45"/>
        <v>0.42299999999999999</v>
      </c>
      <c r="H56" s="110">
        <f t="shared" si="45"/>
        <v>0.46200000000000002</v>
      </c>
      <c r="I56" s="110">
        <f t="shared" si="45"/>
        <v>0.42599999999999999</v>
      </c>
      <c r="J56" s="110">
        <f t="shared" si="45"/>
        <v>0.44800000000000001</v>
      </c>
      <c r="K56" s="110">
        <f t="shared" si="45"/>
        <v>0.35899999999999999</v>
      </c>
      <c r="L56" s="110">
        <f t="shared" si="45"/>
        <v>0.44</v>
      </c>
      <c r="M56" s="110">
        <f t="shared" si="45"/>
        <v>0.38600000000000001</v>
      </c>
      <c r="N56" s="110">
        <f t="shared" si="45"/>
        <v>0.37093723129836631</v>
      </c>
      <c r="O56" s="110">
        <f t="shared" si="45"/>
        <v>0.34342218400687879</v>
      </c>
      <c r="P56" s="110">
        <f t="shared" si="45"/>
        <v>0.35296646603611348</v>
      </c>
      <c r="Q56" s="110">
        <f t="shared" si="45"/>
        <v>0.32519346517626824</v>
      </c>
      <c r="R56" s="110">
        <f t="shared" ref="R56:V56" si="46">R57+R58</f>
        <v>0.30670679277730006</v>
      </c>
      <c r="S56" s="110">
        <f t="shared" si="46"/>
        <v>0.31650902837489248</v>
      </c>
      <c r="T56" s="110">
        <f t="shared" si="46"/>
        <v>0.31539122957867594</v>
      </c>
      <c r="U56" s="110">
        <f t="shared" si="46"/>
        <v>0.30275150472914875</v>
      </c>
      <c r="V56" s="110">
        <f t="shared" si="46"/>
        <v>0.10343938091143594</v>
      </c>
      <c r="W56" s="110">
        <f t="shared" ref="W56" si="47">W57+W58</f>
        <v>8.9423903697334467E-2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0.45900000000000002</v>
      </c>
      <c r="C58" s="169">
        <f>TrNavi_ene!C10</f>
        <v>0.45200000000000001</v>
      </c>
      <c r="D58" s="169">
        <f>TrNavi_ene!D10</f>
        <v>0.45100000000000001</v>
      </c>
      <c r="E58" s="169">
        <f>TrNavi_ene!E10</f>
        <v>0.39700000000000002</v>
      </c>
      <c r="F58" s="169">
        <f>TrNavi_ene!F10</f>
        <v>0.45100000000000001</v>
      </c>
      <c r="G58" s="169">
        <f>TrNavi_ene!G10</f>
        <v>0.42299999999999999</v>
      </c>
      <c r="H58" s="169">
        <f>TrNavi_ene!H10</f>
        <v>0.46200000000000002</v>
      </c>
      <c r="I58" s="169">
        <f>TrNavi_ene!I10</f>
        <v>0.42599999999999999</v>
      </c>
      <c r="J58" s="169">
        <f>TrNavi_ene!J10</f>
        <v>0.44800000000000001</v>
      </c>
      <c r="K58" s="169">
        <f>TrNavi_ene!K10</f>
        <v>0.35899999999999999</v>
      </c>
      <c r="L58" s="169">
        <f>TrNavi_ene!L10</f>
        <v>0.44</v>
      </c>
      <c r="M58" s="169">
        <f>TrNavi_ene!M10</f>
        <v>0.38600000000000001</v>
      </c>
      <c r="N58" s="169">
        <f>TrNavi_ene!N10</f>
        <v>0.37093723129836631</v>
      </c>
      <c r="O58" s="169">
        <f>TrNavi_ene!O10</f>
        <v>0.34342218400687879</v>
      </c>
      <c r="P58" s="169">
        <f>TrNavi_ene!P10</f>
        <v>0.35296646603611348</v>
      </c>
      <c r="Q58" s="169">
        <f>TrNavi_ene!Q10</f>
        <v>0.32519346517626824</v>
      </c>
      <c r="R58" s="169">
        <f>TrNavi_ene!R10</f>
        <v>0.30670679277730006</v>
      </c>
      <c r="S58" s="169">
        <f>TrNavi_ene!S10</f>
        <v>0.31650902837489248</v>
      </c>
      <c r="T58" s="169">
        <f>TrNavi_ene!T10</f>
        <v>0.31539122957867594</v>
      </c>
      <c r="U58" s="169">
        <f>TrNavi_ene!U10</f>
        <v>0.30275150472914875</v>
      </c>
      <c r="V58" s="169">
        <f>TrNavi_ene!V10</f>
        <v>0.10343938091143594</v>
      </c>
      <c r="W58" s="169">
        <f>TrNavi_ene!W10</f>
        <v>8.9423903697334467E-2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0</v>
      </c>
      <c r="J59" s="28">
        <f t="shared" si="48"/>
        <v>0</v>
      </c>
      <c r="K59" s="28">
        <f t="shared" si="48"/>
        <v>0</v>
      </c>
      <c r="L59" s="28">
        <f t="shared" si="48"/>
        <v>0</v>
      </c>
      <c r="M59" s="28">
        <f t="shared" si="48"/>
        <v>0</v>
      </c>
      <c r="N59" s="28">
        <f t="shared" si="48"/>
        <v>0</v>
      </c>
      <c r="O59" s="28">
        <f t="shared" si="48"/>
        <v>0</v>
      </c>
      <c r="P59" s="28">
        <f t="shared" si="48"/>
        <v>0</v>
      </c>
      <c r="Q59" s="28">
        <f t="shared" si="48"/>
        <v>0</v>
      </c>
      <c r="R59" s="28">
        <f t="shared" si="48"/>
        <v>0</v>
      </c>
      <c r="S59" s="28">
        <f t="shared" si="48"/>
        <v>0</v>
      </c>
      <c r="T59" s="28">
        <f t="shared" si="48"/>
        <v>0</v>
      </c>
      <c r="U59" s="28">
        <f t="shared" si="48"/>
        <v>0</v>
      </c>
      <c r="V59" s="28">
        <f t="shared" si="48"/>
        <v>0</v>
      </c>
      <c r="W59" s="28">
        <f t="shared" si="48"/>
        <v>0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2911.6432977311811</v>
      </c>
      <c r="C64" s="28">
        <f t="shared" si="49"/>
        <v>3013.2617285919223</v>
      </c>
      <c r="D64" s="28">
        <f t="shared" si="49"/>
        <v>3103.9747411939807</v>
      </c>
      <c r="E64" s="28">
        <f t="shared" si="49"/>
        <v>3275.3439175052504</v>
      </c>
      <c r="F64" s="28">
        <f t="shared" si="49"/>
        <v>3369.5687438435839</v>
      </c>
      <c r="G64" s="28">
        <f t="shared" si="49"/>
        <v>3240.7669368572469</v>
      </c>
      <c r="H64" s="28">
        <f t="shared" si="49"/>
        <v>3119.1853859217108</v>
      </c>
      <c r="I64" s="28">
        <f t="shared" si="49"/>
        <v>3165.7789327830487</v>
      </c>
      <c r="J64" s="28">
        <f t="shared" si="49"/>
        <v>3231.0073827535853</v>
      </c>
      <c r="K64" s="28">
        <f t="shared" si="49"/>
        <v>3245.0625112446405</v>
      </c>
      <c r="L64" s="28">
        <f t="shared" si="49"/>
        <v>3243.8048914186043</v>
      </c>
      <c r="M64" s="28">
        <f t="shared" si="49"/>
        <v>3353.938864231035</v>
      </c>
      <c r="N64" s="28">
        <f t="shared" si="49"/>
        <v>3303.4101915342894</v>
      </c>
      <c r="O64" s="28">
        <f t="shared" si="49"/>
        <v>3119.0138374302314</v>
      </c>
      <c r="P64" s="28">
        <f t="shared" si="49"/>
        <v>3141.9040046949071</v>
      </c>
      <c r="Q64" s="28">
        <f t="shared" si="49"/>
        <v>3102.7841344167318</v>
      </c>
      <c r="R64" s="28">
        <f t="shared" ref="R64:V64" si="50">R65+R69+R73</f>
        <v>3110.2819473403715</v>
      </c>
      <c r="S64" s="28">
        <f t="shared" si="50"/>
        <v>3264.3520505913111</v>
      </c>
      <c r="T64" s="28">
        <f t="shared" si="50"/>
        <v>3568.0712288779937</v>
      </c>
      <c r="U64" s="28">
        <f t="shared" si="50"/>
        <v>3562.508572132132</v>
      </c>
      <c r="V64" s="28">
        <f t="shared" si="50"/>
        <v>2283.2115911503615</v>
      </c>
      <c r="W64" s="28">
        <f t="shared" ref="W64" si="51">W65+W69+W73</f>
        <v>2671.1858369854726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2716.6987530074625</v>
      </c>
      <c r="C65" s="137">
        <f t="shared" si="52"/>
        <v>2789.3230976981458</v>
      </c>
      <c r="D65" s="137">
        <f t="shared" si="52"/>
        <v>2860.5309055229854</v>
      </c>
      <c r="E65" s="137">
        <f t="shared" si="52"/>
        <v>3036.6027654395734</v>
      </c>
      <c r="F65" s="137">
        <f t="shared" si="52"/>
        <v>3102.6744144126069</v>
      </c>
      <c r="G65" s="137">
        <f t="shared" si="52"/>
        <v>3005.7181147913825</v>
      </c>
      <c r="H65" s="137">
        <f t="shared" si="52"/>
        <v>2896.6960395169294</v>
      </c>
      <c r="I65" s="137">
        <f t="shared" si="52"/>
        <v>2902.6335092180366</v>
      </c>
      <c r="J65" s="137">
        <f t="shared" si="52"/>
        <v>2957.5432855350864</v>
      </c>
      <c r="K65" s="137">
        <f t="shared" si="52"/>
        <v>2904.5504823532751</v>
      </c>
      <c r="L65" s="137">
        <f t="shared" si="52"/>
        <v>2848.8898142013472</v>
      </c>
      <c r="M65" s="137">
        <f t="shared" si="52"/>
        <v>3039.0453572065576</v>
      </c>
      <c r="N65" s="137">
        <f t="shared" si="52"/>
        <v>3032.8660024763808</v>
      </c>
      <c r="O65" s="137">
        <f t="shared" si="52"/>
        <v>2854.8294641481948</v>
      </c>
      <c r="P65" s="137">
        <f t="shared" si="52"/>
        <v>2801.2336135570272</v>
      </c>
      <c r="Q65" s="137">
        <f t="shared" si="52"/>
        <v>2687.3339766320951</v>
      </c>
      <c r="R65" s="137">
        <f t="shared" ref="R65:V65" si="53">R66+R67+R68</f>
        <v>2603.623652873549</v>
      </c>
      <c r="S65" s="137">
        <f t="shared" si="53"/>
        <v>2582.7246422358098</v>
      </c>
      <c r="T65" s="137">
        <f t="shared" si="53"/>
        <v>2680.9203199094682</v>
      </c>
      <c r="U65" s="137">
        <f t="shared" si="53"/>
        <v>2617.5030040502661</v>
      </c>
      <c r="V65" s="137">
        <f t="shared" si="53"/>
        <v>1965.8068624340663</v>
      </c>
      <c r="W65" s="137">
        <f t="shared" ref="W65" si="54">W66+W67+W68</f>
        <v>2180.8677037575326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4.54322569060347</v>
      </c>
      <c r="C66" s="102">
        <f>TrRoad_emi!C$19</f>
        <v>4.629221031072853</v>
      </c>
      <c r="D66" s="102">
        <f>TrRoad_emi!D$19</f>
        <v>4.8573268198657811</v>
      </c>
      <c r="E66" s="102">
        <f>TrRoad_emi!E$19</f>
        <v>4.9315558185449309</v>
      </c>
      <c r="F66" s="102">
        <f>TrRoad_emi!F$19</f>
        <v>5.2172672897231713</v>
      </c>
      <c r="G66" s="102">
        <f>TrRoad_emi!G$19</f>
        <v>5.2788632677385969</v>
      </c>
      <c r="H66" s="102">
        <f>TrRoad_emi!H$19</f>
        <v>5.3194804480338069</v>
      </c>
      <c r="I66" s="102">
        <f>TrRoad_emi!I$19</f>
        <v>5.3146742879960831</v>
      </c>
      <c r="J66" s="102">
        <f>TrRoad_emi!J$19</f>
        <v>5.3650354901962034</v>
      </c>
      <c r="K66" s="102">
        <f>TrRoad_emi!K$19</f>
        <v>5.5072527350087173</v>
      </c>
      <c r="L66" s="102">
        <f>TrRoad_emi!L$19</f>
        <v>5.6435702447012837</v>
      </c>
      <c r="M66" s="102">
        <f>TrRoad_emi!M$19</f>
        <v>5.6651742260765117</v>
      </c>
      <c r="N66" s="102">
        <f>TrRoad_emi!N$19</f>
        <v>5.9993544815999691</v>
      </c>
      <c r="O66" s="102">
        <f>TrRoad_emi!O$19</f>
        <v>6.1312503066844961</v>
      </c>
      <c r="P66" s="102">
        <f>TrRoad_emi!P$19</f>
        <v>6.2783444781631621</v>
      </c>
      <c r="Q66" s="102">
        <f>TrRoad_emi!Q$19</f>
        <v>6.38692167093118</v>
      </c>
      <c r="R66" s="102">
        <f>TrRoad_emi!R$19</f>
        <v>6.572023658139643</v>
      </c>
      <c r="S66" s="102">
        <f>TrRoad_emi!S$19</f>
        <v>6.3960755239074185</v>
      </c>
      <c r="T66" s="102">
        <f>TrRoad_emi!T$19</f>
        <v>6.055685328744941</v>
      </c>
      <c r="U66" s="102">
        <f>TrRoad_emi!U$19</f>
        <v>6.1928906806041146</v>
      </c>
      <c r="V66" s="102">
        <f>TrRoad_emi!V$19</f>
        <v>5.5161865264315155</v>
      </c>
      <c r="W66" s="102">
        <f>TrRoad_emi!W$19</f>
        <v>5.2209679890065592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2636.5396816839652</v>
      </c>
      <c r="C67" s="102">
        <f>TrRoad_emi!C$20</f>
        <v>2706.6538593347195</v>
      </c>
      <c r="D67" s="102">
        <f>TrRoad_emi!D$20</f>
        <v>2773.1215830072861</v>
      </c>
      <c r="E67" s="102">
        <f>TrRoad_emi!E$20</f>
        <v>2948.7010931826803</v>
      </c>
      <c r="F67" s="102">
        <f>TrRoad_emi!F$20</f>
        <v>3014.471851682787</v>
      </c>
      <c r="G67" s="102">
        <f>TrRoad_emi!G$20</f>
        <v>2915.4544188071413</v>
      </c>
      <c r="H67" s="102">
        <f>TrRoad_emi!H$20</f>
        <v>2806.5762224621294</v>
      </c>
      <c r="I67" s="102">
        <f>TrRoad_emi!I$20</f>
        <v>2812.2683857448228</v>
      </c>
      <c r="J67" s="102">
        <f>TrRoad_emi!J$20</f>
        <v>2864.2384712012167</v>
      </c>
      <c r="K67" s="102">
        <f>TrRoad_emi!K$20</f>
        <v>2808.9632977034216</v>
      </c>
      <c r="L67" s="102">
        <f>TrRoad_emi!L$20</f>
        <v>2751.031688310507</v>
      </c>
      <c r="M67" s="102">
        <f>TrRoad_emi!M$20</f>
        <v>2938.8295871257851</v>
      </c>
      <c r="N67" s="102">
        <f>TrRoad_emi!N$20</f>
        <v>2932.8168160468836</v>
      </c>
      <c r="O67" s="102">
        <f>TrRoad_emi!O$20</f>
        <v>2754.4992095287025</v>
      </c>
      <c r="P67" s="102">
        <f>TrRoad_emi!P$20</f>
        <v>2701.8302593466524</v>
      </c>
      <c r="Q67" s="102">
        <f>TrRoad_emi!Q$20</f>
        <v>2585.3414563052352</v>
      </c>
      <c r="R67" s="102">
        <f>TrRoad_emi!R$20</f>
        <v>2499.6464649331633</v>
      </c>
      <c r="S67" s="102">
        <f>TrRoad_emi!S$20</f>
        <v>2476.8562495061519</v>
      </c>
      <c r="T67" s="102">
        <f>TrRoad_emi!T$20</f>
        <v>2573.9714536443498</v>
      </c>
      <c r="U67" s="102">
        <f>TrRoad_emi!U$20</f>
        <v>2510.4891678645345</v>
      </c>
      <c r="V67" s="102">
        <f>TrRoad_emi!V$20</f>
        <v>1865.5004958841953</v>
      </c>
      <c r="W67" s="102">
        <f>TrRoad_emi!W$20</f>
        <v>2081.7893486273801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75.61584563289415</v>
      </c>
      <c r="C68" s="102">
        <f>TrRoad_emi!C$27</f>
        <v>78.040017332353457</v>
      </c>
      <c r="D68" s="102">
        <f>TrRoad_emi!D$27</f>
        <v>82.551995695833654</v>
      </c>
      <c r="E68" s="102">
        <f>TrRoad_emi!E$27</f>
        <v>82.970116438348427</v>
      </c>
      <c r="F68" s="102">
        <f>TrRoad_emi!F$27</f>
        <v>82.985295440096763</v>
      </c>
      <c r="G68" s="102">
        <f>TrRoad_emi!G$27</f>
        <v>84.984832716502822</v>
      </c>
      <c r="H68" s="102">
        <f>TrRoad_emi!H$27</f>
        <v>84.800336606765882</v>
      </c>
      <c r="I68" s="102">
        <f>TrRoad_emi!I$27</f>
        <v>85.050449185217516</v>
      </c>
      <c r="J68" s="102">
        <f>TrRoad_emi!J$27</f>
        <v>87.939778843673437</v>
      </c>
      <c r="K68" s="102">
        <f>TrRoad_emi!K$27</f>
        <v>90.079931914844678</v>
      </c>
      <c r="L68" s="102">
        <f>TrRoad_emi!L$27</f>
        <v>92.21455564613899</v>
      </c>
      <c r="M68" s="102">
        <f>TrRoad_emi!M$27</f>
        <v>94.55059585469597</v>
      </c>
      <c r="N68" s="102">
        <f>TrRoad_emi!N$27</f>
        <v>94.049831947897573</v>
      </c>
      <c r="O68" s="102">
        <f>TrRoad_emi!O$27</f>
        <v>94.199004312807588</v>
      </c>
      <c r="P68" s="102">
        <f>TrRoad_emi!P$27</f>
        <v>93.125009732211979</v>
      </c>
      <c r="Q68" s="102">
        <f>TrRoad_emi!Q$27</f>
        <v>95.605598655928461</v>
      </c>
      <c r="R68" s="102">
        <f>TrRoad_emi!R$27</f>
        <v>97.405164282246048</v>
      </c>
      <c r="S68" s="102">
        <f>TrRoad_emi!S$27</f>
        <v>99.472317205750755</v>
      </c>
      <c r="T68" s="102">
        <f>TrRoad_emi!T$27</f>
        <v>100.89318093637368</v>
      </c>
      <c r="U68" s="102">
        <f>TrRoad_emi!U$27</f>
        <v>100.8209455051274</v>
      </c>
      <c r="V68" s="102">
        <f>TrRoad_emi!V$27</f>
        <v>94.790180023439447</v>
      </c>
      <c r="W68" s="102">
        <f>TrRoad_emi!W$27</f>
        <v>93.857387141145637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17.98290600817176</v>
      </c>
      <c r="C69" s="110">
        <f t="shared" si="55"/>
        <v>20.773118952873318</v>
      </c>
      <c r="D69" s="110">
        <f t="shared" si="55"/>
        <v>19.909552183592517</v>
      </c>
      <c r="E69" s="110">
        <f t="shared" si="55"/>
        <v>14.686577027394506</v>
      </c>
      <c r="F69" s="110">
        <f t="shared" si="55"/>
        <v>11.658189704587748</v>
      </c>
      <c r="G69" s="110">
        <f t="shared" si="55"/>
        <v>8.0465538392206941</v>
      </c>
      <c r="H69" s="110">
        <f t="shared" si="55"/>
        <v>6.3989068418317192</v>
      </c>
      <c r="I69" s="110">
        <f t="shared" si="55"/>
        <v>8.5057391756394463</v>
      </c>
      <c r="J69" s="110">
        <f t="shared" si="55"/>
        <v>12.270912987946556</v>
      </c>
      <c r="K69" s="110">
        <f t="shared" si="55"/>
        <v>10.399219372754663</v>
      </c>
      <c r="L69" s="110">
        <f t="shared" si="55"/>
        <v>11.835245315022988</v>
      </c>
      <c r="M69" s="110">
        <f t="shared" si="55"/>
        <v>11.24852899109708</v>
      </c>
      <c r="N69" s="110">
        <f t="shared" si="55"/>
        <v>11.170977836050707</v>
      </c>
      <c r="O69" s="110">
        <f t="shared" si="55"/>
        <v>10.514472777423823</v>
      </c>
      <c r="P69" s="110">
        <f t="shared" si="55"/>
        <v>10.665175970318636</v>
      </c>
      <c r="Q69" s="110">
        <f t="shared" si="55"/>
        <v>8.5686671549482814</v>
      </c>
      <c r="R69" s="110">
        <f t="shared" ref="R69:V69" si="56">R70+R71+R72</f>
        <v>8.8124278299344319</v>
      </c>
      <c r="S69" s="110">
        <f t="shared" si="56"/>
        <v>8.0223079572616207</v>
      </c>
      <c r="T69" s="110">
        <f t="shared" si="56"/>
        <v>9.6559177411744166</v>
      </c>
      <c r="U69" s="110">
        <f t="shared" si="56"/>
        <v>9.1985250751636869</v>
      </c>
      <c r="V69" s="110">
        <f t="shared" si="56"/>
        <v>8.9112742265577616</v>
      </c>
      <c r="W69" s="110">
        <f t="shared" ref="W69" si="57">W70+W71+W72</f>
        <v>9.5162538923097095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17.98290600817176</v>
      </c>
      <c r="C71" s="102">
        <f>TrRail_emi!C$11</f>
        <v>20.773118952873318</v>
      </c>
      <c r="D71" s="102">
        <f>TrRail_emi!D$11</f>
        <v>19.909552183592517</v>
      </c>
      <c r="E71" s="102">
        <f>TrRail_emi!E$11</f>
        <v>14.686577027394506</v>
      </c>
      <c r="F71" s="102">
        <f>TrRail_emi!F$11</f>
        <v>11.658189704587748</v>
      </c>
      <c r="G71" s="102">
        <f>TrRail_emi!G$11</f>
        <v>8.0465538392206941</v>
      </c>
      <c r="H71" s="102">
        <f>TrRail_emi!H$11</f>
        <v>6.3989068418317192</v>
      </c>
      <c r="I71" s="102">
        <f>TrRail_emi!I$11</f>
        <v>8.5057391756394463</v>
      </c>
      <c r="J71" s="102">
        <f>TrRail_emi!J$11</f>
        <v>12.270912987946556</v>
      </c>
      <c r="K71" s="102">
        <f>TrRail_emi!K$11</f>
        <v>10.399219372754663</v>
      </c>
      <c r="L71" s="102">
        <f>TrRail_emi!L$11</f>
        <v>11.835245315022988</v>
      </c>
      <c r="M71" s="102">
        <f>TrRail_emi!M$11</f>
        <v>11.24852899109708</v>
      </c>
      <c r="N71" s="102">
        <f>TrRail_emi!N$11</f>
        <v>11.170977836050707</v>
      </c>
      <c r="O71" s="102">
        <f>TrRail_emi!O$11</f>
        <v>10.514472777423823</v>
      </c>
      <c r="P71" s="102">
        <f>TrRail_emi!P$11</f>
        <v>10.665175970318636</v>
      </c>
      <c r="Q71" s="102">
        <f>TrRail_emi!Q$11</f>
        <v>8.5686671549482814</v>
      </c>
      <c r="R71" s="102">
        <f>TrRail_emi!R$11</f>
        <v>8.8124278299344319</v>
      </c>
      <c r="S71" s="102">
        <f>TrRail_emi!S$11</f>
        <v>8.0223079572616207</v>
      </c>
      <c r="T71" s="102">
        <f>TrRail_emi!T$11</f>
        <v>9.6559177411744166</v>
      </c>
      <c r="U71" s="102">
        <f>TrRail_emi!U$11</f>
        <v>9.1985250751636869</v>
      </c>
      <c r="V71" s="102">
        <f>TrRail_emi!V$11</f>
        <v>8.9112742265577616</v>
      </c>
      <c r="W71" s="102">
        <f>TrRail_emi!W$11</f>
        <v>9.5162538923097095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176.96163871554694</v>
      </c>
      <c r="C73" s="110">
        <f t="shared" si="58"/>
        <v>203.16551194090343</v>
      </c>
      <c r="D73" s="110">
        <f t="shared" si="58"/>
        <v>223.53428348740269</v>
      </c>
      <c r="E73" s="110">
        <f t="shared" si="58"/>
        <v>224.05457503828262</v>
      </c>
      <c r="F73" s="110">
        <f t="shared" si="58"/>
        <v>255.23613972638924</v>
      </c>
      <c r="G73" s="110">
        <f t="shared" si="58"/>
        <v>227.00226822664337</v>
      </c>
      <c r="H73" s="110">
        <f t="shared" si="58"/>
        <v>216.09043956294937</v>
      </c>
      <c r="I73" s="110">
        <f t="shared" si="58"/>
        <v>254.63968438937269</v>
      </c>
      <c r="J73" s="110">
        <f t="shared" si="58"/>
        <v>261.19318423055222</v>
      </c>
      <c r="K73" s="110">
        <f t="shared" si="58"/>
        <v>330.11280951861096</v>
      </c>
      <c r="L73" s="110">
        <f t="shared" si="58"/>
        <v>383.07983190223439</v>
      </c>
      <c r="M73" s="110">
        <f t="shared" si="58"/>
        <v>303.64497803338054</v>
      </c>
      <c r="N73" s="110">
        <f t="shared" si="58"/>
        <v>259.37321122185801</v>
      </c>
      <c r="O73" s="110">
        <f t="shared" si="58"/>
        <v>253.66990050461283</v>
      </c>
      <c r="P73" s="110">
        <f t="shared" si="58"/>
        <v>330.00521516756135</v>
      </c>
      <c r="Q73" s="110">
        <f t="shared" si="58"/>
        <v>406.88149062968824</v>
      </c>
      <c r="R73" s="110">
        <f t="shared" ref="R73:V73" si="59">R74+R75+R76</f>
        <v>497.84586663688856</v>
      </c>
      <c r="S73" s="110">
        <f t="shared" si="59"/>
        <v>673.60510039823987</v>
      </c>
      <c r="T73" s="110">
        <f t="shared" si="59"/>
        <v>877.49499122735108</v>
      </c>
      <c r="U73" s="110">
        <f t="shared" si="59"/>
        <v>935.80704300670243</v>
      </c>
      <c r="V73" s="110">
        <f t="shared" si="59"/>
        <v>308.49345448973736</v>
      </c>
      <c r="W73" s="110">
        <f t="shared" ref="W73" si="60">W74+W75+W76</f>
        <v>480.8018793356307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133.39420555153256</v>
      </c>
      <c r="C75" s="102">
        <f>TrAvia_emi!C$8</f>
        <v>153.13902584325876</v>
      </c>
      <c r="D75" s="102">
        <f>TrAvia_emi!D$8</f>
        <v>168.4918471999211</v>
      </c>
      <c r="E75" s="102">
        <f>TrAvia_emi!E$8</f>
        <v>168.8898104249424</v>
      </c>
      <c r="F75" s="102">
        <f>TrAvia_emi!F$8</f>
        <v>192.38413516804042</v>
      </c>
      <c r="G75" s="102">
        <f>TrAvia_emi!G$8</f>
        <v>171.73764348878453</v>
      </c>
      <c r="H75" s="102">
        <f>TrAvia_emi!H$8</f>
        <v>163.75950261405393</v>
      </c>
      <c r="I75" s="102">
        <f>TrAvia_emi!I$8</f>
        <v>193.96550057835691</v>
      </c>
      <c r="J75" s="102">
        <f>TrAvia_emi!J$8</f>
        <v>195.75135043367587</v>
      </c>
      <c r="K75" s="102">
        <f>TrAvia_emi!K$8</f>
        <v>243.48967559207554</v>
      </c>
      <c r="L75" s="102">
        <f>TrAvia_emi!L$8</f>
        <v>284.14446330285165</v>
      </c>
      <c r="M75" s="102">
        <f>TrAvia_emi!M$8</f>
        <v>224.09790865606979</v>
      </c>
      <c r="N75" s="102">
        <f>TrAvia_emi!N$8</f>
        <v>191.80868534261566</v>
      </c>
      <c r="O75" s="102">
        <f>TrAvia_emi!O$8</f>
        <v>188.70627492364278</v>
      </c>
      <c r="P75" s="102">
        <f>TrAvia_emi!P$8</f>
        <v>245.46666782740581</v>
      </c>
      <c r="Q75" s="102">
        <f>TrAvia_emi!Q$8</f>
        <v>303.17187710048967</v>
      </c>
      <c r="R75" s="102">
        <f>TrAvia_emi!R$8</f>
        <v>376.99416704453921</v>
      </c>
      <c r="S75" s="102">
        <f>TrAvia_emi!S$8</f>
        <v>516.75474125394544</v>
      </c>
      <c r="T75" s="102">
        <f>TrAvia_emi!T$8</f>
        <v>669.93410603983261</v>
      </c>
      <c r="U75" s="102">
        <f>TrAvia_emi!U$8</f>
        <v>708.72680221857274</v>
      </c>
      <c r="V75" s="102">
        <f>TrAvia_emi!V$8</f>
        <v>219.96549195020921</v>
      </c>
      <c r="W75" s="102">
        <f>TrAvia_emi!W$8</f>
        <v>355.96378657673881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43.567433164014361</v>
      </c>
      <c r="C76" s="102">
        <f>TrAvia_emi!C$9</f>
        <v>50.026486097644671</v>
      </c>
      <c r="D76" s="102">
        <f>TrAvia_emi!D$9</f>
        <v>55.042436287481593</v>
      </c>
      <c r="E76" s="102">
        <f>TrAvia_emi!E$9</f>
        <v>55.164764613340218</v>
      </c>
      <c r="F76" s="102">
        <f>TrAvia_emi!F$9</f>
        <v>62.852004558348817</v>
      </c>
      <c r="G76" s="102">
        <f>TrAvia_emi!G$9</f>
        <v>55.264624737858853</v>
      </c>
      <c r="H76" s="102">
        <f>TrAvia_emi!H$9</f>
        <v>52.330936948895449</v>
      </c>
      <c r="I76" s="102">
        <f>TrAvia_emi!I$9</f>
        <v>60.674183811015773</v>
      </c>
      <c r="J76" s="102">
        <f>TrAvia_emi!J$9</f>
        <v>65.441833796876352</v>
      </c>
      <c r="K76" s="102">
        <f>TrAvia_emi!K$9</f>
        <v>86.623133926535402</v>
      </c>
      <c r="L76" s="102">
        <f>TrAvia_emi!L$9</f>
        <v>98.935368599382755</v>
      </c>
      <c r="M76" s="102">
        <f>TrAvia_emi!M$9</f>
        <v>79.547069377310734</v>
      </c>
      <c r="N76" s="102">
        <f>TrAvia_emi!N$9</f>
        <v>67.564525879242368</v>
      </c>
      <c r="O76" s="102">
        <f>TrAvia_emi!O$9</f>
        <v>64.963625580970046</v>
      </c>
      <c r="P76" s="102">
        <f>TrAvia_emi!P$9</f>
        <v>84.538547340155517</v>
      </c>
      <c r="Q76" s="102">
        <f>TrAvia_emi!Q$9</f>
        <v>103.70961352919856</v>
      </c>
      <c r="R76" s="102">
        <f>TrAvia_emi!R$9</f>
        <v>120.85169959234936</v>
      </c>
      <c r="S76" s="102">
        <f>TrAvia_emi!S$9</f>
        <v>156.85035914429443</v>
      </c>
      <c r="T76" s="102">
        <f>TrAvia_emi!T$9</f>
        <v>207.56088518751847</v>
      </c>
      <c r="U76" s="102">
        <f>TrAvia_emi!U$9</f>
        <v>227.08024078812971</v>
      </c>
      <c r="V76" s="102">
        <f>TrAvia_emi!V$9</f>
        <v>88.527962539528161</v>
      </c>
      <c r="W76" s="102">
        <f>TrAvia_emi!W$9</f>
        <v>124.83809275889188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2859.8078544288182</v>
      </c>
      <c r="C77" s="28">
        <f t="shared" si="61"/>
        <v>3081.9982048880779</v>
      </c>
      <c r="D77" s="28">
        <f t="shared" si="61"/>
        <v>3287.7245066860182</v>
      </c>
      <c r="E77" s="28">
        <f t="shared" si="61"/>
        <v>3713.2226079747488</v>
      </c>
      <c r="F77" s="28">
        <f t="shared" si="61"/>
        <v>4691.3612895564165</v>
      </c>
      <c r="G77" s="28">
        <f t="shared" si="61"/>
        <v>5220.6121486227503</v>
      </c>
      <c r="H77" s="28">
        <f t="shared" si="61"/>
        <v>4952.9345638382893</v>
      </c>
      <c r="I77" s="28">
        <f t="shared" si="61"/>
        <v>4721.7773855369487</v>
      </c>
      <c r="J77" s="28">
        <f t="shared" si="61"/>
        <v>4762.9352532064131</v>
      </c>
      <c r="K77" s="28">
        <f t="shared" si="61"/>
        <v>4170.5102461553597</v>
      </c>
      <c r="L77" s="28">
        <f t="shared" si="61"/>
        <v>4567.5140267413954</v>
      </c>
      <c r="M77" s="28">
        <f t="shared" si="61"/>
        <v>4765.0380022489662</v>
      </c>
      <c r="N77" s="28">
        <f t="shared" si="61"/>
        <v>4406.4956513057105</v>
      </c>
      <c r="O77" s="28">
        <f t="shared" si="61"/>
        <v>4454.0613424097701</v>
      </c>
      <c r="P77" s="28">
        <f t="shared" si="61"/>
        <v>4236.5551665050934</v>
      </c>
      <c r="Q77" s="28">
        <f t="shared" si="61"/>
        <v>3994.9045135832694</v>
      </c>
      <c r="R77" s="28">
        <f t="shared" ref="R77:V77" si="62">R78+R81+R82+R86+R92</f>
        <v>3963.0144279796277</v>
      </c>
      <c r="S77" s="28">
        <f t="shared" si="62"/>
        <v>4113.6615331286876</v>
      </c>
      <c r="T77" s="28">
        <f t="shared" si="62"/>
        <v>4311.3107840020066</v>
      </c>
      <c r="U77" s="28">
        <f t="shared" si="62"/>
        <v>4412.6302615878676</v>
      </c>
      <c r="V77" s="28">
        <f t="shared" si="62"/>
        <v>4001.2159788496378</v>
      </c>
      <c r="W77" s="28">
        <f t="shared" ref="W77" si="63">W78+W81+W82+W86+W92</f>
        <v>4161.5868566545278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2063.221622643337</v>
      </c>
      <c r="C78" s="137">
        <f t="shared" si="64"/>
        <v>2232.9786747642547</v>
      </c>
      <c r="D78" s="137">
        <f t="shared" si="64"/>
        <v>2372.4921854382133</v>
      </c>
      <c r="E78" s="137">
        <f t="shared" si="64"/>
        <v>2752.317497416826</v>
      </c>
      <c r="F78" s="137">
        <f t="shared" si="64"/>
        <v>3657.9738753485931</v>
      </c>
      <c r="G78" s="137">
        <f t="shared" si="64"/>
        <v>4140.5540300562152</v>
      </c>
      <c r="H78" s="137">
        <f t="shared" si="64"/>
        <v>3946.3038107974703</v>
      </c>
      <c r="I78" s="137">
        <f t="shared" si="64"/>
        <v>3661.7404483731607</v>
      </c>
      <c r="J78" s="137">
        <f t="shared" si="64"/>
        <v>3701.5178150825122</v>
      </c>
      <c r="K78" s="137">
        <f t="shared" si="64"/>
        <v>3233.6688627775256</v>
      </c>
      <c r="L78" s="137">
        <f t="shared" si="64"/>
        <v>3650.3426478866522</v>
      </c>
      <c r="M78" s="137">
        <f t="shared" si="64"/>
        <v>3852.4235589766431</v>
      </c>
      <c r="N78" s="137">
        <f t="shared" si="64"/>
        <v>3543.7107241236185</v>
      </c>
      <c r="O78" s="137">
        <f t="shared" si="64"/>
        <v>3580.6717559318067</v>
      </c>
      <c r="P78" s="137">
        <f t="shared" si="64"/>
        <v>3342.729725242973</v>
      </c>
      <c r="Q78" s="137">
        <f t="shared" si="64"/>
        <v>3022.5972028479059</v>
      </c>
      <c r="R78" s="137">
        <f t="shared" ref="R78:V78" si="65">R79+R80</f>
        <v>2930.6897356864506</v>
      </c>
      <c r="S78" s="137">
        <f t="shared" si="65"/>
        <v>3057.2914905641887</v>
      </c>
      <c r="T78" s="137">
        <f t="shared" si="65"/>
        <v>3338.9933275305325</v>
      </c>
      <c r="U78" s="137">
        <f t="shared" si="65"/>
        <v>3538.953027389734</v>
      </c>
      <c r="V78" s="137">
        <f t="shared" si="65"/>
        <v>2663.2210802859327</v>
      </c>
      <c r="W78" s="137">
        <f t="shared" ref="W78" si="66">W79+W80</f>
        <v>2764.3403571224685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101.58684993065755</v>
      </c>
      <c r="C79" s="102">
        <f>TrRoad_emi!C$34</f>
        <v>104.85129297097096</v>
      </c>
      <c r="D79" s="102">
        <f>TrRoad_emi!D$34</f>
        <v>109.33339000500733</v>
      </c>
      <c r="E79" s="102">
        <f>TrRoad_emi!E$34</f>
        <v>111.46690213750931</v>
      </c>
      <c r="F79" s="102">
        <f>TrRoad_emi!F$34</f>
        <v>114.13468595422466</v>
      </c>
      <c r="G79" s="102">
        <f>TrRoad_emi!G$34</f>
        <v>118.23773054610382</v>
      </c>
      <c r="H79" s="102">
        <f>TrRoad_emi!H$34</f>
        <v>122.76070329862354</v>
      </c>
      <c r="I79" s="102">
        <f>TrRoad_emi!I$34</f>
        <v>128.17444390359483</v>
      </c>
      <c r="J79" s="102">
        <f>TrRoad_emi!J$34</f>
        <v>134.4172075375696</v>
      </c>
      <c r="K79" s="102">
        <f>TrRoad_emi!K$34</f>
        <v>134.5572002067089</v>
      </c>
      <c r="L79" s="102">
        <f>TrRoad_emi!L$34</f>
        <v>140.78882676546752</v>
      </c>
      <c r="M79" s="102">
        <f>TrRoad_emi!M$34</f>
        <v>148.78612371732447</v>
      </c>
      <c r="N79" s="102">
        <f>TrRoad_emi!N$34</f>
        <v>151.43905723526925</v>
      </c>
      <c r="O79" s="102">
        <f>TrRoad_emi!O$34</f>
        <v>153.06031061723337</v>
      </c>
      <c r="P79" s="102">
        <f>TrRoad_emi!P$34</f>
        <v>158.96794966470134</v>
      </c>
      <c r="Q79" s="102">
        <f>TrRoad_emi!Q$34</f>
        <v>162.96373020649222</v>
      </c>
      <c r="R79" s="102">
        <f>TrRoad_emi!R$34</f>
        <v>169.29211128239643</v>
      </c>
      <c r="S79" s="102">
        <f>TrRoad_emi!S$34</f>
        <v>169.15535332618717</v>
      </c>
      <c r="T79" s="102">
        <f>TrRoad_emi!T$34</f>
        <v>173.86374497966881</v>
      </c>
      <c r="U79" s="102">
        <f>TrRoad_emi!U$34</f>
        <v>176.0490457685589</v>
      </c>
      <c r="V79" s="102">
        <f>TrRoad_emi!V$34</f>
        <v>172.10367434592007</v>
      </c>
      <c r="W79" s="102">
        <f>TrRoad_emi!W$34</f>
        <v>180.39587351968308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1961.6347727126793</v>
      </c>
      <c r="C80" s="102">
        <f>TrRoad_emi!C$40</f>
        <v>2128.1273817932838</v>
      </c>
      <c r="D80" s="102">
        <f>TrRoad_emi!D$40</f>
        <v>2263.1587954332058</v>
      </c>
      <c r="E80" s="102">
        <f>TrRoad_emi!E$40</f>
        <v>2640.8505952793166</v>
      </c>
      <c r="F80" s="102">
        <f>TrRoad_emi!F$40</f>
        <v>3543.8391893943685</v>
      </c>
      <c r="G80" s="102">
        <f>TrRoad_emi!G$40</f>
        <v>4022.3162995101115</v>
      </c>
      <c r="H80" s="102">
        <f>TrRoad_emi!H$40</f>
        <v>3823.5431074988469</v>
      </c>
      <c r="I80" s="102">
        <f>TrRoad_emi!I$40</f>
        <v>3533.566004469566</v>
      </c>
      <c r="J80" s="102">
        <f>TrRoad_emi!J$40</f>
        <v>3567.1006075449427</v>
      </c>
      <c r="K80" s="102">
        <f>TrRoad_emi!K$40</f>
        <v>3099.1116625708169</v>
      </c>
      <c r="L80" s="102">
        <f>TrRoad_emi!L$40</f>
        <v>3509.5538211211847</v>
      </c>
      <c r="M80" s="102">
        <f>TrRoad_emi!M$40</f>
        <v>3703.6374352593189</v>
      </c>
      <c r="N80" s="102">
        <f>TrRoad_emi!N$40</f>
        <v>3392.2716668883495</v>
      </c>
      <c r="O80" s="102">
        <f>TrRoad_emi!O$40</f>
        <v>3427.6114453145733</v>
      </c>
      <c r="P80" s="102">
        <f>TrRoad_emi!P$40</f>
        <v>3183.7617755782717</v>
      </c>
      <c r="Q80" s="102">
        <f>TrRoad_emi!Q$40</f>
        <v>2859.6334726414138</v>
      </c>
      <c r="R80" s="102">
        <f>TrRoad_emi!R$40</f>
        <v>2761.3976244040541</v>
      </c>
      <c r="S80" s="102">
        <f>TrRoad_emi!S$40</f>
        <v>2888.1361372380015</v>
      </c>
      <c r="T80" s="102">
        <f>TrRoad_emi!T$40</f>
        <v>3165.1295825508637</v>
      </c>
      <c r="U80" s="102">
        <f>TrRoad_emi!U$40</f>
        <v>3362.9039816211753</v>
      </c>
      <c r="V80" s="102">
        <f>TrRoad_emi!V$40</f>
        <v>2491.1174059400128</v>
      </c>
      <c r="W80" s="102">
        <f>TrRoad_emi!W$40</f>
        <v>2583.9444836027856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6.2893196318282421</v>
      </c>
      <c r="C81" s="110">
        <f>TrRail_emi!C$15</f>
        <v>6.1466996871266861</v>
      </c>
      <c r="D81" s="110">
        <f>TrRail_emi!D$15</f>
        <v>5.5462875764074875</v>
      </c>
      <c r="E81" s="110">
        <f>TrRail_emi!E$15</f>
        <v>4.6556570526054903</v>
      </c>
      <c r="F81" s="110">
        <f>TrRail_emi!F$15</f>
        <v>4.2745848154122497</v>
      </c>
      <c r="G81" s="110">
        <f>TrRail_emi!G$15</f>
        <v>2.1943625607793087</v>
      </c>
      <c r="H81" s="110">
        <f>TrRail_emi!H$15</f>
        <v>1.3643426781682799</v>
      </c>
      <c r="I81" s="110">
        <f>TrRail_emi!I$15</f>
        <v>2.0624917443605524</v>
      </c>
      <c r="J81" s="110">
        <f>TrRail_emi!J$15</f>
        <v>1.2596877320534452</v>
      </c>
      <c r="K81" s="110">
        <f>TrRail_emi!K$15</f>
        <v>0.95301918724533674</v>
      </c>
      <c r="L81" s="110">
        <f>TrRail_emi!L$15</f>
        <v>1.0815406449770113</v>
      </c>
      <c r="M81" s="110">
        <f>TrRail_emi!M$15</f>
        <v>0.88745044890292113</v>
      </c>
      <c r="N81" s="110">
        <f>TrRail_emi!N$15</f>
        <v>0.79187436394929367</v>
      </c>
      <c r="O81" s="110">
        <f>TrRail_emi!O$15</f>
        <v>0.70225170257617975</v>
      </c>
      <c r="P81" s="110">
        <f>TrRail_emi!P$15</f>
        <v>0.67745922968136441</v>
      </c>
      <c r="Q81" s="110">
        <f>TrRail_emi!Q$15</f>
        <v>0.55772596505171901</v>
      </c>
      <c r="R81" s="110">
        <f>TrRail_emi!R$15</f>
        <v>0.53137469006556937</v>
      </c>
      <c r="S81" s="110">
        <f>TrRail_emi!S$15</f>
        <v>0.51241148273838233</v>
      </c>
      <c r="T81" s="110">
        <f>TrRail_emi!T$15</f>
        <v>0.57859641882558321</v>
      </c>
      <c r="U81" s="110">
        <f>TrRail_emi!U$15</f>
        <v>0.52300960483631254</v>
      </c>
      <c r="V81" s="110">
        <f>TrRail_emi!V$15</f>
        <v>0.6056555334422371</v>
      </c>
      <c r="W81" s="110">
        <f>TrRail_emi!W$15</f>
        <v>0.46643882769028666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788.872901924453</v>
      </c>
      <c r="C82" s="110">
        <f t="shared" si="67"/>
        <v>841.47053713909656</v>
      </c>
      <c r="D82" s="110">
        <f t="shared" si="67"/>
        <v>908.28684279259767</v>
      </c>
      <c r="E82" s="110">
        <f t="shared" si="67"/>
        <v>955.01779324171707</v>
      </c>
      <c r="F82" s="110">
        <f t="shared" si="67"/>
        <v>1027.7136385136109</v>
      </c>
      <c r="G82" s="110">
        <f t="shared" si="67"/>
        <v>1076.5514328533566</v>
      </c>
      <c r="H82" s="110">
        <f t="shared" si="67"/>
        <v>1003.8330928770507</v>
      </c>
      <c r="I82" s="110">
        <f t="shared" si="67"/>
        <v>1056.6528150106269</v>
      </c>
      <c r="J82" s="110">
        <f t="shared" si="67"/>
        <v>1058.7678667694479</v>
      </c>
      <c r="K82" s="110">
        <f t="shared" si="67"/>
        <v>934.77459584138933</v>
      </c>
      <c r="L82" s="110">
        <f t="shared" si="67"/>
        <v>914.72477393776569</v>
      </c>
      <c r="M82" s="110">
        <f t="shared" si="67"/>
        <v>910.52945916661952</v>
      </c>
      <c r="N82" s="110">
        <f t="shared" si="67"/>
        <v>860.87543749814188</v>
      </c>
      <c r="O82" s="110">
        <f t="shared" si="67"/>
        <v>871.65822437538725</v>
      </c>
      <c r="P82" s="110">
        <f t="shared" si="67"/>
        <v>892.10007963243902</v>
      </c>
      <c r="Q82" s="110">
        <f t="shared" si="67"/>
        <v>970.79389169031174</v>
      </c>
      <c r="R82" s="110">
        <f t="shared" si="67"/>
        <v>1030.8960460431117</v>
      </c>
      <c r="S82" s="110">
        <f t="shared" si="67"/>
        <v>1054.9423969617606</v>
      </c>
      <c r="T82" s="110">
        <f t="shared" si="67"/>
        <v>970.82605701264902</v>
      </c>
      <c r="U82" s="110">
        <f t="shared" si="67"/>
        <v>872.27965679329782</v>
      </c>
      <c r="V82" s="110">
        <f t="shared" si="67"/>
        <v>1337.0963405502628</v>
      </c>
      <c r="W82" s="110">
        <f t="shared" ref="W82" si="68">W83+W84+W85</f>
        <v>1396.5250381443695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42.345784722318442</v>
      </c>
      <c r="C84" s="102">
        <f>TrAvia_emi!C$12</f>
        <v>18.017629051943157</v>
      </c>
      <c r="D84" s="102">
        <f>TrAvia_emi!D$12</f>
        <v>12.389582318977869</v>
      </c>
      <c r="E84" s="102">
        <f>TrAvia_emi!E$12</f>
        <v>20.285524764613566</v>
      </c>
      <c r="F84" s="102">
        <f>TrAvia_emi!F$12</f>
        <v>19.200097151066537</v>
      </c>
      <c r="G84" s="102">
        <f>TrAvia_emi!G$12</f>
        <v>21.024837529623866</v>
      </c>
      <c r="H84" s="102">
        <f>TrAvia_emi!H$12</f>
        <v>11.023835013549917</v>
      </c>
      <c r="I84" s="102">
        <f>TrAvia_emi!I$12</f>
        <v>18.005910569620951</v>
      </c>
      <c r="J84" s="102">
        <f>TrAvia_emi!J$12</f>
        <v>24.417309280159813</v>
      </c>
      <c r="K84" s="102">
        <f>TrAvia_emi!K$12</f>
        <v>24.817951957905247</v>
      </c>
      <c r="L84" s="102">
        <f>TrAvia_emi!L$12</f>
        <v>28.592559957015155</v>
      </c>
      <c r="M84" s="102">
        <f>TrAvia_emi!M$12</f>
        <v>15.363706639762025</v>
      </c>
      <c r="N84" s="102">
        <f>TrAvia_emi!N$12</f>
        <v>14.432333424258889</v>
      </c>
      <c r="O84" s="102">
        <f>TrAvia_emi!O$12</f>
        <v>15.627082525402026</v>
      </c>
      <c r="P84" s="102">
        <f>TrAvia_emi!P$12</f>
        <v>19.223130476743822</v>
      </c>
      <c r="Q84" s="102">
        <f>TrAvia_emi!Q$12</f>
        <v>20.719189422523336</v>
      </c>
      <c r="R84" s="102">
        <f>TrAvia_emi!R$12</f>
        <v>17.838644722187713</v>
      </c>
      <c r="S84" s="102">
        <f>TrAvia_emi!S$12</f>
        <v>29.845989832656112</v>
      </c>
      <c r="T84" s="102">
        <f>TrAvia_emi!T$12</f>
        <v>30.309755641155636</v>
      </c>
      <c r="U84" s="102">
        <f>TrAvia_emi!U$12</f>
        <v>32.091455875842456</v>
      </c>
      <c r="V84" s="102">
        <f>TrAvia_emi!V$12</f>
        <v>25.34449156812855</v>
      </c>
      <c r="W84" s="102">
        <f>TrAvia_emi!W$12</f>
        <v>36.585484810789247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746.5271172021346</v>
      </c>
      <c r="C85" s="102">
        <f>TrAvia_emi!C$13</f>
        <v>823.45290808715345</v>
      </c>
      <c r="D85" s="102">
        <f>TrAvia_emi!D$13</f>
        <v>895.89726047361978</v>
      </c>
      <c r="E85" s="102">
        <f>TrAvia_emi!E$13</f>
        <v>934.7322684771035</v>
      </c>
      <c r="F85" s="102">
        <f>TrAvia_emi!F$13</f>
        <v>1008.5135413625444</v>
      </c>
      <c r="G85" s="102">
        <f>TrAvia_emi!G$13</f>
        <v>1055.5265953237326</v>
      </c>
      <c r="H85" s="102">
        <f>TrAvia_emi!H$13</f>
        <v>992.80925786350076</v>
      </c>
      <c r="I85" s="102">
        <f>TrAvia_emi!I$13</f>
        <v>1038.646904441006</v>
      </c>
      <c r="J85" s="102">
        <f>TrAvia_emi!J$13</f>
        <v>1034.3505574892881</v>
      </c>
      <c r="K85" s="102">
        <f>TrAvia_emi!K$13</f>
        <v>909.95664388348405</v>
      </c>
      <c r="L85" s="102">
        <f>TrAvia_emi!L$13</f>
        <v>886.13221398075052</v>
      </c>
      <c r="M85" s="102">
        <f>TrAvia_emi!M$13</f>
        <v>895.16575252685755</v>
      </c>
      <c r="N85" s="102">
        <f>TrAvia_emi!N$13</f>
        <v>846.44310407388298</v>
      </c>
      <c r="O85" s="102">
        <f>TrAvia_emi!O$13</f>
        <v>856.03114184998526</v>
      </c>
      <c r="P85" s="102">
        <f>TrAvia_emi!P$13</f>
        <v>872.87694915569523</v>
      </c>
      <c r="Q85" s="102">
        <f>TrAvia_emi!Q$13</f>
        <v>950.07470226778844</v>
      </c>
      <c r="R85" s="102">
        <f>TrAvia_emi!R$13</f>
        <v>1013.057401320924</v>
      </c>
      <c r="S85" s="102">
        <f>TrAvia_emi!S$13</f>
        <v>1025.0964071291044</v>
      </c>
      <c r="T85" s="102">
        <f>TrAvia_emi!T$13</f>
        <v>940.51630137149334</v>
      </c>
      <c r="U85" s="102">
        <f>TrAvia_emi!U$13</f>
        <v>840.18820091745533</v>
      </c>
      <c r="V85" s="102">
        <f>TrAvia_emi!V$13</f>
        <v>1311.7518489821341</v>
      </c>
      <c r="W85" s="102">
        <f>TrAvia_emi!W$13</f>
        <v>1359.9395533335803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1.4240102292000001</v>
      </c>
      <c r="C86" s="110">
        <f t="shared" si="69"/>
        <v>1.4022932976000002</v>
      </c>
      <c r="D86" s="110">
        <f t="shared" si="69"/>
        <v>1.3991908788</v>
      </c>
      <c r="E86" s="110">
        <f t="shared" si="69"/>
        <v>1.2316602636</v>
      </c>
      <c r="F86" s="110">
        <f t="shared" si="69"/>
        <v>1.3991908788</v>
      </c>
      <c r="G86" s="110">
        <f t="shared" si="69"/>
        <v>1.3123231524000001</v>
      </c>
      <c r="H86" s="110">
        <f t="shared" si="69"/>
        <v>1.4333174856000002</v>
      </c>
      <c r="I86" s="110">
        <f t="shared" si="69"/>
        <v>1.3216304087999999</v>
      </c>
      <c r="J86" s="110">
        <f t="shared" si="69"/>
        <v>1.3898836224000002</v>
      </c>
      <c r="K86" s="110">
        <f t="shared" si="69"/>
        <v>1.1137683491999999</v>
      </c>
      <c r="L86" s="110">
        <f t="shared" si="69"/>
        <v>1.3650642720000001</v>
      </c>
      <c r="M86" s="110">
        <f t="shared" si="69"/>
        <v>1.1975336568000001</v>
      </c>
      <c r="N86" s="110">
        <f t="shared" si="69"/>
        <v>1.1176153200000001</v>
      </c>
      <c r="O86" s="110">
        <f t="shared" si="69"/>
        <v>1.0291104</v>
      </c>
      <c r="P86" s="110">
        <f t="shared" si="69"/>
        <v>1.0479023999999999</v>
      </c>
      <c r="Q86" s="110">
        <f t="shared" si="69"/>
        <v>0.95569307999999997</v>
      </c>
      <c r="R86" s="110">
        <f t="shared" ref="R86:V86" si="70">R87+R88</f>
        <v>0.89727155999999986</v>
      </c>
      <c r="S86" s="110">
        <f t="shared" si="70"/>
        <v>0.91523411999999993</v>
      </c>
      <c r="T86" s="110">
        <f t="shared" si="70"/>
        <v>0.91280304000000034</v>
      </c>
      <c r="U86" s="110">
        <f t="shared" si="70"/>
        <v>0.87456780000000012</v>
      </c>
      <c r="V86" s="110">
        <f t="shared" si="70"/>
        <v>0.29290248000000002</v>
      </c>
      <c r="W86" s="110">
        <f t="shared" ref="W86" si="71">W87+W88</f>
        <v>0.25502256000000001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1.4240102292000001</v>
      </c>
      <c r="C88" s="169">
        <f>TrNavi_emi!C$5</f>
        <v>1.4022932976000002</v>
      </c>
      <c r="D88" s="169">
        <f>TrNavi_emi!D$5</f>
        <v>1.3991908788</v>
      </c>
      <c r="E88" s="169">
        <f>TrNavi_emi!E$5</f>
        <v>1.2316602636</v>
      </c>
      <c r="F88" s="169">
        <f>TrNavi_emi!F$5</f>
        <v>1.3991908788</v>
      </c>
      <c r="G88" s="169">
        <f>TrNavi_emi!G$5</f>
        <v>1.3123231524000001</v>
      </c>
      <c r="H88" s="169">
        <f>TrNavi_emi!H$5</f>
        <v>1.4333174856000002</v>
      </c>
      <c r="I88" s="169">
        <f>TrNavi_emi!I$5</f>
        <v>1.3216304087999999</v>
      </c>
      <c r="J88" s="169">
        <f>TrNavi_emi!J$5</f>
        <v>1.3898836224000002</v>
      </c>
      <c r="K88" s="169">
        <f>TrNavi_emi!K$5</f>
        <v>1.1137683491999999</v>
      </c>
      <c r="L88" s="169">
        <f>TrNavi_emi!L$5</f>
        <v>1.3650642720000001</v>
      </c>
      <c r="M88" s="169">
        <f>TrNavi_emi!M$5</f>
        <v>1.1975336568000001</v>
      </c>
      <c r="N88" s="169">
        <f>TrNavi_emi!N$5</f>
        <v>1.1176153200000001</v>
      </c>
      <c r="O88" s="169">
        <f>TrNavi_emi!O$5</f>
        <v>1.0291104</v>
      </c>
      <c r="P88" s="169">
        <f>TrNavi_emi!P$5</f>
        <v>1.0479023999999999</v>
      </c>
      <c r="Q88" s="169">
        <f>TrNavi_emi!Q$5</f>
        <v>0.95569307999999997</v>
      </c>
      <c r="R88" s="169">
        <f>TrNavi_emi!R$5</f>
        <v>0.89727155999999986</v>
      </c>
      <c r="S88" s="169">
        <f>TrNavi_emi!S$5</f>
        <v>0.91523411999999993</v>
      </c>
      <c r="T88" s="169">
        <f>TrNavi_emi!T$5</f>
        <v>0.91280304000000034</v>
      </c>
      <c r="U88" s="169">
        <f>TrNavi_emi!U$5</f>
        <v>0.87456780000000012</v>
      </c>
      <c r="V88" s="169">
        <f>TrNavi_emi!V$5</f>
        <v>0.29290248000000002</v>
      </c>
      <c r="W88" s="169">
        <f>TrNavi_emi!W$5</f>
        <v>0.25502256000000001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0.85416917620940236</v>
      </c>
      <c r="C97" s="139">
        <f t="shared" si="76"/>
        <v>0.84914088370833096</v>
      </c>
      <c r="D97" s="139">
        <f t="shared" si="76"/>
        <v>0.85298579719205181</v>
      </c>
      <c r="E97" s="139">
        <f t="shared" si="76"/>
        <v>0.85269189764446074</v>
      </c>
      <c r="F97" s="139">
        <f t="shared" si="76"/>
        <v>0.84843242308095368</v>
      </c>
      <c r="G97" s="139">
        <f t="shared" si="76"/>
        <v>0.85056030094450197</v>
      </c>
      <c r="H97" s="139">
        <f t="shared" si="76"/>
        <v>0.8535120857391415</v>
      </c>
      <c r="I97" s="139">
        <f t="shared" si="76"/>
        <v>0.84864201007930384</v>
      </c>
      <c r="J97" s="139">
        <f t="shared" si="76"/>
        <v>0.84246399559795226</v>
      </c>
      <c r="K97" s="139">
        <f t="shared" si="76"/>
        <v>0.84938229246027397</v>
      </c>
      <c r="L97" s="139">
        <f t="shared" si="76"/>
        <v>0.83664024682248073</v>
      </c>
      <c r="M97" s="139">
        <f t="shared" si="76"/>
        <v>0.83618603781270318</v>
      </c>
      <c r="N97" s="139">
        <f t="shared" si="76"/>
        <v>0.84581795678382887</v>
      </c>
      <c r="O97" s="139">
        <f t="shared" si="76"/>
        <v>0.83345014767047254</v>
      </c>
      <c r="P97" s="139">
        <f t="shared" si="76"/>
        <v>0.82218105430115629</v>
      </c>
      <c r="Q97" s="139">
        <f t="shared" si="76"/>
        <v>0.80844676547783811</v>
      </c>
      <c r="R97" s="139">
        <f t="shared" ref="R97:V97" si="77">IF(R5=0,0,R5/R$4)</f>
        <v>0.7981816190651525</v>
      </c>
      <c r="S97" s="139">
        <f t="shared" si="77"/>
        <v>0.76827238533894782</v>
      </c>
      <c r="T97" s="139">
        <f t="shared" si="77"/>
        <v>0.74780793249526101</v>
      </c>
      <c r="U97" s="139">
        <f t="shared" si="77"/>
        <v>0.73320758079760395</v>
      </c>
      <c r="V97" s="139">
        <f t="shared" si="77"/>
        <v>0.8551300765433697</v>
      </c>
      <c r="W97" s="139">
        <f t="shared" ref="W97" si="78">IF(W5=0,0,W5/W$4)</f>
        <v>0.81053666039265471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4.8652990174669897E-3</v>
      </c>
      <c r="C98" s="140">
        <f t="shared" si="79"/>
        <v>4.8675112906053928E-3</v>
      </c>
      <c r="D98" s="140">
        <f t="shared" si="79"/>
        <v>5.1348631820298911E-3</v>
      </c>
      <c r="E98" s="140">
        <f t="shared" si="79"/>
        <v>5.1775620397521392E-3</v>
      </c>
      <c r="F98" s="140">
        <f t="shared" si="79"/>
        <v>5.4177246521683736E-3</v>
      </c>
      <c r="G98" s="140">
        <f t="shared" si="79"/>
        <v>5.4571397101163448E-3</v>
      </c>
      <c r="H98" s="140">
        <f t="shared" si="79"/>
        <v>5.4249165069136067E-3</v>
      </c>
      <c r="I98" s="140">
        <f t="shared" si="79"/>
        <v>5.4990296159378995E-3</v>
      </c>
      <c r="J98" s="140">
        <f t="shared" si="79"/>
        <v>5.4163986888647242E-3</v>
      </c>
      <c r="K98" s="140">
        <f t="shared" si="79"/>
        <v>5.6681804427619227E-3</v>
      </c>
      <c r="L98" s="140">
        <f t="shared" si="79"/>
        <v>5.9173572301694328E-3</v>
      </c>
      <c r="M98" s="140">
        <f t="shared" si="79"/>
        <v>5.9763412323949692E-3</v>
      </c>
      <c r="N98" s="140">
        <f t="shared" si="79"/>
        <v>6.2194282394303305E-3</v>
      </c>
      <c r="O98" s="140">
        <f t="shared" si="79"/>
        <v>6.2324188358482196E-3</v>
      </c>
      <c r="P98" s="140">
        <f t="shared" si="79"/>
        <v>6.2183219787941869E-3</v>
      </c>
      <c r="Q98" s="140">
        <f t="shared" si="79"/>
        <v>6.2112361208669E-3</v>
      </c>
      <c r="R98" s="140">
        <f t="shared" ref="R98:V98" si="80">IF(R6=0,0,R6/R$4)</f>
        <v>6.2756917051621447E-3</v>
      </c>
      <c r="S98" s="140">
        <f t="shared" si="80"/>
        <v>5.6112904420835405E-3</v>
      </c>
      <c r="T98" s="140">
        <f t="shared" si="80"/>
        <v>5.0893009334488839E-3</v>
      </c>
      <c r="U98" s="140">
        <f t="shared" si="80"/>
        <v>5.1528227520548191E-3</v>
      </c>
      <c r="V98" s="140">
        <f t="shared" si="80"/>
        <v>6.3174926478976653E-3</v>
      </c>
      <c r="W98" s="140">
        <f t="shared" ref="W98" si="81">IF(W6=0,0,W6/W$4)</f>
        <v>5.8650046842569558E-3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0.76464657753614751</v>
      </c>
      <c r="C99" s="140">
        <f t="shared" si="82"/>
        <v>0.75801634056080613</v>
      </c>
      <c r="D99" s="140">
        <f t="shared" si="82"/>
        <v>0.75563753937449085</v>
      </c>
      <c r="E99" s="140">
        <f t="shared" si="82"/>
        <v>0.75446380024158033</v>
      </c>
      <c r="F99" s="140">
        <f t="shared" si="82"/>
        <v>0.74852833484943082</v>
      </c>
      <c r="G99" s="140">
        <f t="shared" si="82"/>
        <v>0.74988026982769429</v>
      </c>
      <c r="H99" s="140">
        <f t="shared" si="82"/>
        <v>0.75308286885375419</v>
      </c>
      <c r="I99" s="140">
        <f t="shared" si="82"/>
        <v>0.74594419183085992</v>
      </c>
      <c r="J99" s="140">
        <f t="shared" si="82"/>
        <v>0.73695386324453172</v>
      </c>
      <c r="K99" s="140">
        <f t="shared" si="82"/>
        <v>0.74322629134484908</v>
      </c>
      <c r="L99" s="140">
        <f t="shared" si="82"/>
        <v>0.72576596536962679</v>
      </c>
      <c r="M99" s="140">
        <f t="shared" si="82"/>
        <v>0.72202945385769568</v>
      </c>
      <c r="N99" s="140">
        <f t="shared" si="82"/>
        <v>0.73056286747018795</v>
      </c>
      <c r="O99" s="140">
        <f t="shared" si="82"/>
        <v>0.71942757809370117</v>
      </c>
      <c r="P99" s="140">
        <f t="shared" si="82"/>
        <v>0.71233909972879672</v>
      </c>
      <c r="Q99" s="140">
        <f t="shared" si="82"/>
        <v>0.69804168345335305</v>
      </c>
      <c r="R99" s="140">
        <f t="shared" ref="R99:V99" si="83">IF(R7=0,0,R7/R$4)</f>
        <v>0.69011504433760762</v>
      </c>
      <c r="S99" s="140">
        <f t="shared" si="83"/>
        <v>0.66360260762090961</v>
      </c>
      <c r="T99" s="140">
        <f t="shared" si="83"/>
        <v>0.64617857506553544</v>
      </c>
      <c r="U99" s="140">
        <f t="shared" si="83"/>
        <v>0.63178986829525685</v>
      </c>
      <c r="V99" s="140">
        <f t="shared" si="83"/>
        <v>0.75960101599832774</v>
      </c>
      <c r="W99" s="140">
        <f t="shared" ref="W99" si="84">IF(W7=0,0,W7/W$4)</f>
        <v>0.71949142456390569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8.4657299655787749E-2</v>
      </c>
      <c r="C100" s="140">
        <f t="shared" si="85"/>
        <v>8.6257031856919325E-2</v>
      </c>
      <c r="D100" s="140">
        <f t="shared" si="85"/>
        <v>9.221339463553109E-2</v>
      </c>
      <c r="E100" s="140">
        <f t="shared" si="85"/>
        <v>9.3050535363128239E-2</v>
      </c>
      <c r="F100" s="140">
        <f t="shared" si="85"/>
        <v>9.4486363579354388E-2</v>
      </c>
      <c r="G100" s="140">
        <f t="shared" si="85"/>
        <v>9.5222891406691351E-2</v>
      </c>
      <c r="H100" s="140">
        <f t="shared" si="85"/>
        <v>9.5004300378473627E-2</v>
      </c>
      <c r="I100" s="140">
        <f t="shared" si="85"/>
        <v>9.7198788632506E-2</v>
      </c>
      <c r="J100" s="140">
        <f t="shared" si="85"/>
        <v>0.10009373366455582</v>
      </c>
      <c r="K100" s="140">
        <f t="shared" si="85"/>
        <v>0.10048782067266297</v>
      </c>
      <c r="L100" s="140">
        <f t="shared" si="85"/>
        <v>0.10495692422268449</v>
      </c>
      <c r="M100" s="140">
        <f t="shared" si="85"/>
        <v>0.10818024272261244</v>
      </c>
      <c r="N100" s="140">
        <f t="shared" si="85"/>
        <v>0.10903566107421063</v>
      </c>
      <c r="O100" s="140">
        <f t="shared" si="85"/>
        <v>0.10779015074092316</v>
      </c>
      <c r="P100" s="140">
        <f t="shared" si="85"/>
        <v>0.10362363259356541</v>
      </c>
      <c r="Q100" s="140">
        <f t="shared" si="85"/>
        <v>0.10419384590361824</v>
      </c>
      <c r="R100" s="140">
        <f t="shared" ref="R100:V100" si="86">IF(R8=0,0,R8/R$4)</f>
        <v>0.10179088302238279</v>
      </c>
      <c r="S100" s="140">
        <f t="shared" si="86"/>
        <v>9.9058487275954649E-2</v>
      </c>
      <c r="T100" s="140">
        <f t="shared" si="86"/>
        <v>9.6540056496276616E-2</v>
      </c>
      <c r="U100" s="140">
        <f t="shared" si="86"/>
        <v>9.6264889750292293E-2</v>
      </c>
      <c r="V100" s="140">
        <f t="shared" si="86"/>
        <v>8.9211567897144295E-2</v>
      </c>
      <c r="W100" s="140">
        <f t="shared" ref="W100" si="87">IF(W8=0,0,W8/W$4)</f>
        <v>8.5180231144492052E-2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4.5332618525357311E-2</v>
      </c>
      <c r="C101" s="124">
        <f t="shared" si="88"/>
        <v>4.5219595488627404E-2</v>
      </c>
      <c r="D101" s="124">
        <f t="shared" si="88"/>
        <v>3.4323874669892132E-2</v>
      </c>
      <c r="E101" s="124">
        <f t="shared" si="88"/>
        <v>3.2944919277215677E-2</v>
      </c>
      <c r="F101" s="124">
        <f t="shared" si="88"/>
        <v>3.1045519461787869E-2</v>
      </c>
      <c r="G101" s="124">
        <f t="shared" si="88"/>
        <v>3.1780640006983239E-2</v>
      </c>
      <c r="H101" s="124">
        <f t="shared" si="88"/>
        <v>3.4525953064372124E-2</v>
      </c>
      <c r="I101" s="124">
        <f t="shared" si="88"/>
        <v>3.5714903730083604E-2</v>
      </c>
      <c r="J101" s="124">
        <f t="shared" si="88"/>
        <v>3.7947624301397531E-2</v>
      </c>
      <c r="K101" s="124">
        <f t="shared" si="88"/>
        <v>3.6939455972811161E-2</v>
      </c>
      <c r="L101" s="124">
        <f t="shared" si="88"/>
        <v>3.8744736920501607E-2</v>
      </c>
      <c r="M101" s="124">
        <f t="shared" si="88"/>
        <v>3.8227780585219404E-2</v>
      </c>
      <c r="N101" s="124">
        <f t="shared" si="88"/>
        <v>4.0471495538090312E-2</v>
      </c>
      <c r="O101" s="124">
        <f t="shared" si="88"/>
        <v>4.1374593379778613E-2</v>
      </c>
      <c r="P101" s="124">
        <f t="shared" si="88"/>
        <v>3.6553790502043132E-2</v>
      </c>
      <c r="Q101" s="124">
        <f t="shared" si="88"/>
        <v>3.9853455232626497E-2</v>
      </c>
      <c r="R101" s="124">
        <f t="shared" ref="R101:V101" si="89">IF(R9=0,0,R9/R$4)</f>
        <v>3.8240783263129831E-2</v>
      </c>
      <c r="S101" s="124">
        <f t="shared" si="89"/>
        <v>3.7876095451395496E-2</v>
      </c>
      <c r="T101" s="124">
        <f t="shared" si="89"/>
        <v>3.8150179583201257E-2</v>
      </c>
      <c r="U101" s="124">
        <f t="shared" si="89"/>
        <v>3.8999715039144241E-2</v>
      </c>
      <c r="V101" s="124">
        <f t="shared" si="89"/>
        <v>3.2172721403916776E-2</v>
      </c>
      <c r="W101" s="124">
        <f t="shared" ref="W101" si="90">IF(W9=0,0,W9/W$4)</f>
        <v>3.221712939467429E-2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0</v>
      </c>
      <c r="G102" s="140">
        <f t="shared" si="91"/>
        <v>0</v>
      </c>
      <c r="H102" s="140">
        <f t="shared" si="91"/>
        <v>0</v>
      </c>
      <c r="I102" s="140">
        <f t="shared" si="91"/>
        <v>0</v>
      </c>
      <c r="J102" s="140">
        <f t="shared" si="91"/>
        <v>0</v>
      </c>
      <c r="K102" s="140">
        <f t="shared" si="91"/>
        <v>0</v>
      </c>
      <c r="L102" s="140">
        <f t="shared" si="91"/>
        <v>0</v>
      </c>
      <c r="M102" s="140">
        <f t="shared" si="91"/>
        <v>0</v>
      </c>
      <c r="N102" s="140">
        <f t="shared" si="91"/>
        <v>0</v>
      </c>
      <c r="O102" s="140">
        <f t="shared" si="91"/>
        <v>0</v>
      </c>
      <c r="P102" s="140">
        <f t="shared" si="91"/>
        <v>0</v>
      </c>
      <c r="Q102" s="140">
        <f t="shared" si="91"/>
        <v>0</v>
      </c>
      <c r="R102" s="140">
        <f t="shared" ref="R102:V102" si="92">IF(R10=0,0,R10/R$4)</f>
        <v>0</v>
      </c>
      <c r="S102" s="140">
        <f t="shared" si="92"/>
        <v>0</v>
      </c>
      <c r="T102" s="140">
        <f t="shared" si="92"/>
        <v>1.6084940581025397E-3</v>
      </c>
      <c r="U102" s="140">
        <f t="shared" si="92"/>
        <v>2.4621430781491304E-3</v>
      </c>
      <c r="V102" s="140">
        <f t="shared" si="92"/>
        <v>3.4060310428233351E-3</v>
      </c>
      <c r="W102" s="140">
        <f t="shared" ref="W102" si="93">IF(W10=0,0,W10/W$4)</f>
        <v>3.2521176160417425E-3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4.5332618525357311E-2</v>
      </c>
      <c r="C103" s="140">
        <f t="shared" si="94"/>
        <v>4.5219595488627404E-2</v>
      </c>
      <c r="D103" s="140">
        <f t="shared" si="94"/>
        <v>3.4323874669892132E-2</v>
      </c>
      <c r="E103" s="140">
        <f t="shared" si="94"/>
        <v>3.2944919277215677E-2</v>
      </c>
      <c r="F103" s="140">
        <f t="shared" si="94"/>
        <v>3.1045519461787869E-2</v>
      </c>
      <c r="G103" s="140">
        <f t="shared" si="94"/>
        <v>3.1780640006983239E-2</v>
      </c>
      <c r="H103" s="140">
        <f t="shared" si="94"/>
        <v>3.4525953064372124E-2</v>
      </c>
      <c r="I103" s="140">
        <f t="shared" si="94"/>
        <v>3.5714903730083604E-2</v>
      </c>
      <c r="J103" s="140">
        <f t="shared" si="94"/>
        <v>3.7947624301397531E-2</v>
      </c>
      <c r="K103" s="140">
        <f t="shared" si="94"/>
        <v>3.6939455972811161E-2</v>
      </c>
      <c r="L103" s="140">
        <f t="shared" si="94"/>
        <v>3.8744736920501607E-2</v>
      </c>
      <c r="M103" s="140">
        <f t="shared" si="94"/>
        <v>3.8227780585219404E-2</v>
      </c>
      <c r="N103" s="140">
        <f t="shared" si="94"/>
        <v>4.0471495538090312E-2</v>
      </c>
      <c r="O103" s="140">
        <f t="shared" si="94"/>
        <v>4.1374593379778613E-2</v>
      </c>
      <c r="P103" s="140">
        <f t="shared" si="94"/>
        <v>3.6553790502043132E-2</v>
      </c>
      <c r="Q103" s="140">
        <f t="shared" si="94"/>
        <v>3.9853455232626497E-2</v>
      </c>
      <c r="R103" s="140">
        <f t="shared" ref="R103:V103" si="95">IF(R11=0,0,R11/R$4)</f>
        <v>3.8240783263129831E-2</v>
      </c>
      <c r="S103" s="140">
        <f t="shared" si="95"/>
        <v>3.7876095451395496E-2</v>
      </c>
      <c r="T103" s="140">
        <f t="shared" si="95"/>
        <v>3.6541685525098719E-2</v>
      </c>
      <c r="U103" s="140">
        <f t="shared" si="95"/>
        <v>3.6537571960995108E-2</v>
      </c>
      <c r="V103" s="140">
        <f t="shared" si="95"/>
        <v>2.8766690361093444E-2</v>
      </c>
      <c r="W103" s="140">
        <f t="shared" ref="W103" si="96">IF(W11=0,0,W11/W$4)</f>
        <v>2.8965011778632546E-2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0.10049820526524035</v>
      </c>
      <c r="C105" s="124">
        <f t="shared" si="100"/>
        <v>0.10563952080304165</v>
      </c>
      <c r="D105" s="124">
        <f t="shared" si="100"/>
        <v>0.11269032813805603</v>
      </c>
      <c r="E105" s="124">
        <f t="shared" si="100"/>
        <v>0.11436318307832362</v>
      </c>
      <c r="F105" s="124">
        <f t="shared" si="100"/>
        <v>0.12052205745725847</v>
      </c>
      <c r="G105" s="124">
        <f t="shared" si="100"/>
        <v>0.11765905904851477</v>
      </c>
      <c r="H105" s="124">
        <f t="shared" si="100"/>
        <v>0.1119619611964864</v>
      </c>
      <c r="I105" s="124">
        <f t="shared" si="100"/>
        <v>0.11564308619061257</v>
      </c>
      <c r="J105" s="124">
        <f t="shared" si="100"/>
        <v>0.11958838010065016</v>
      </c>
      <c r="K105" s="124">
        <f t="shared" si="100"/>
        <v>0.11367825156691484</v>
      </c>
      <c r="L105" s="124">
        <f t="shared" si="100"/>
        <v>0.12461501625701774</v>
      </c>
      <c r="M105" s="124">
        <f t="shared" si="100"/>
        <v>0.12558618160207746</v>
      </c>
      <c r="N105" s="124">
        <f t="shared" si="100"/>
        <v>0.11371054767808077</v>
      </c>
      <c r="O105" s="124">
        <f t="shared" si="100"/>
        <v>0.1251752589497489</v>
      </c>
      <c r="P105" s="124">
        <f t="shared" si="100"/>
        <v>0.14126515519680061</v>
      </c>
      <c r="Q105" s="124">
        <f t="shared" si="100"/>
        <v>0.15169977928953537</v>
      </c>
      <c r="R105" s="124">
        <f t="shared" ref="R105:V105" si="101">IF(R13=0,0,R13/R$4)</f>
        <v>0.1635775976717177</v>
      </c>
      <c r="S105" s="124">
        <f t="shared" si="101"/>
        <v>0.19385151920965665</v>
      </c>
      <c r="T105" s="124">
        <f t="shared" si="101"/>
        <v>0.21404188792153772</v>
      </c>
      <c r="U105" s="124">
        <f t="shared" si="101"/>
        <v>0.22779270416325179</v>
      </c>
      <c r="V105" s="124">
        <f t="shared" si="101"/>
        <v>0.11269720205271354</v>
      </c>
      <c r="W105" s="124">
        <f t="shared" ref="W105" si="102">IF(W13=0,0,W13/W$4)</f>
        <v>0.15724621021267104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8.5889243608771884E-2</v>
      </c>
      <c r="C107" s="140">
        <f t="shared" si="106"/>
        <v>9.0031204674499196E-2</v>
      </c>
      <c r="D107" s="140">
        <f t="shared" si="106"/>
        <v>9.5698390514667525E-2</v>
      </c>
      <c r="E107" s="140">
        <f t="shared" si="106"/>
        <v>9.6627532700950869E-2</v>
      </c>
      <c r="F107" s="140">
        <f t="shared" si="106"/>
        <v>0.10122184174541897</v>
      </c>
      <c r="G107" s="140">
        <f t="shared" si="106"/>
        <v>9.4783463271744334E-2</v>
      </c>
      <c r="H107" s="140">
        <f t="shared" si="106"/>
        <v>8.751012437761764E-2</v>
      </c>
      <c r="I107" s="140">
        <f t="shared" si="106"/>
        <v>7.9759555516584493E-2</v>
      </c>
      <c r="J107" s="140">
        <f t="shared" si="106"/>
        <v>7.3836477796535988E-2</v>
      </c>
      <c r="K107" s="140">
        <f t="shared" si="106"/>
        <v>6.3867498180282617E-2</v>
      </c>
      <c r="L107" s="140">
        <f t="shared" si="106"/>
        <v>6.7301373096070816E-2</v>
      </c>
      <c r="M107" s="140">
        <f t="shared" si="106"/>
        <v>7.9489000028312107E-2</v>
      </c>
      <c r="N107" s="140">
        <f t="shared" si="106"/>
        <v>7.9539789497770019E-2</v>
      </c>
      <c r="O107" s="140">
        <f t="shared" si="106"/>
        <v>9.0324450689911448E-2</v>
      </c>
      <c r="P107" s="140">
        <f t="shared" si="106"/>
        <v>9.9024060187034996E-2</v>
      </c>
      <c r="Q107" s="140">
        <f t="shared" si="106"/>
        <v>0.10621977294748333</v>
      </c>
      <c r="R107" s="140">
        <f t="shared" ref="R107:V107" si="107">IF(R15=0,0,R15/R$4)</f>
        <v>0.1216008175429107</v>
      </c>
      <c r="S107" s="140">
        <f t="shared" si="107"/>
        <v>0.14220240999458197</v>
      </c>
      <c r="T107" s="140">
        <f t="shared" si="107"/>
        <v>0.1517703893516732</v>
      </c>
      <c r="U107" s="140">
        <f t="shared" si="107"/>
        <v>0.15703974436890722</v>
      </c>
      <c r="V107" s="140">
        <f t="shared" si="107"/>
        <v>8.3832423371398207E-2</v>
      </c>
      <c r="W107" s="140">
        <f t="shared" ref="W107" si="108">IF(W15=0,0,W15/W$4)</f>
        <v>0.11200391258079367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1.4608961656468477E-2</v>
      </c>
      <c r="C108" s="140">
        <f t="shared" si="109"/>
        <v>1.5608316128542452E-2</v>
      </c>
      <c r="D108" s="140">
        <f t="shared" si="109"/>
        <v>1.6991937623388506E-2</v>
      </c>
      <c r="E108" s="140">
        <f t="shared" si="109"/>
        <v>1.7735650377372753E-2</v>
      </c>
      <c r="F108" s="140">
        <f t="shared" si="109"/>
        <v>1.9300215711839503E-2</v>
      </c>
      <c r="G108" s="140">
        <f t="shared" si="109"/>
        <v>2.2875595776770442E-2</v>
      </c>
      <c r="H108" s="140">
        <f t="shared" si="109"/>
        <v>2.4451836818868769E-2</v>
      </c>
      <c r="I108" s="140">
        <f t="shared" si="109"/>
        <v>3.588353067402808E-2</v>
      </c>
      <c r="J108" s="140">
        <f t="shared" si="109"/>
        <v>4.5751902304114175E-2</v>
      </c>
      <c r="K108" s="140">
        <f t="shared" si="109"/>
        <v>4.9810753386632226E-2</v>
      </c>
      <c r="L108" s="140">
        <f t="shared" si="109"/>
        <v>5.731364316094692E-2</v>
      </c>
      <c r="M108" s="140">
        <f t="shared" si="109"/>
        <v>4.6097181573765349E-2</v>
      </c>
      <c r="N108" s="140">
        <f t="shared" si="109"/>
        <v>3.4170758180310734E-2</v>
      </c>
      <c r="O108" s="140">
        <f t="shared" si="109"/>
        <v>3.4850808259837461E-2</v>
      </c>
      <c r="P108" s="140">
        <f t="shared" si="109"/>
        <v>4.2241095009765597E-2</v>
      </c>
      <c r="Q108" s="140">
        <f t="shared" si="109"/>
        <v>4.5480006342052043E-2</v>
      </c>
      <c r="R108" s="140">
        <f t="shared" ref="R108:V108" si="110">IF(R16=0,0,R16/R$4)</f>
        <v>4.1976780128806998E-2</v>
      </c>
      <c r="S108" s="140">
        <f t="shared" si="110"/>
        <v>5.1649109215074658E-2</v>
      </c>
      <c r="T108" s="140">
        <f t="shared" si="110"/>
        <v>6.227149856986449E-2</v>
      </c>
      <c r="U108" s="140">
        <f t="shared" si="110"/>
        <v>7.0752959794344553E-2</v>
      </c>
      <c r="V108" s="140">
        <f t="shared" si="110"/>
        <v>2.8864778681315345E-2</v>
      </c>
      <c r="W108" s="140">
        <f t="shared" ref="W108" si="111">IF(W16=0,0,W16/W$4)</f>
        <v>4.5242297631877364E-2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0.30276412137331388</v>
      </c>
      <c r="C110" s="139">
        <f t="shared" si="115"/>
        <v>0.314585895074039</v>
      </c>
      <c r="D110" s="139">
        <f t="shared" si="115"/>
        <v>0.33608365875837704</v>
      </c>
      <c r="E110" s="139">
        <f t="shared" si="115"/>
        <v>0.34311008063783083</v>
      </c>
      <c r="F110" s="139">
        <f t="shared" si="115"/>
        <v>0.35851129741281784</v>
      </c>
      <c r="G110" s="139">
        <f t="shared" si="115"/>
        <v>0.36512567520599032</v>
      </c>
      <c r="H110" s="139">
        <f t="shared" si="115"/>
        <v>0.35832639362105506</v>
      </c>
      <c r="I110" s="139">
        <f t="shared" si="115"/>
        <v>0.3283215775310489</v>
      </c>
      <c r="J110" s="139">
        <f t="shared" si="115"/>
        <v>0.34112522550126712</v>
      </c>
      <c r="K110" s="139">
        <f t="shared" si="115"/>
        <v>0.35595758379634684</v>
      </c>
      <c r="L110" s="139">
        <f t="shared" si="115"/>
        <v>0.35521838455960403</v>
      </c>
      <c r="M110" s="139">
        <f t="shared" si="115"/>
        <v>0.35872261919811937</v>
      </c>
      <c r="N110" s="139">
        <f t="shared" si="115"/>
        <v>0.43594913880510999</v>
      </c>
      <c r="O110" s="139">
        <f t="shared" si="115"/>
        <v>0.40515266160465824</v>
      </c>
      <c r="P110" s="139">
        <f t="shared" si="115"/>
        <v>0.4337748536418326</v>
      </c>
      <c r="Q110" s="139">
        <f t="shared" si="115"/>
        <v>0.38619333265186651</v>
      </c>
      <c r="R110" s="139">
        <f t="shared" ref="R110:V110" si="116">IF(R18=0,0,R18/R$17)</f>
        <v>0.3874260017002033</v>
      </c>
      <c r="S110" s="139">
        <f t="shared" si="116"/>
        <v>0.37567540153193035</v>
      </c>
      <c r="T110" s="139">
        <f t="shared" si="116"/>
        <v>0.33778919861901996</v>
      </c>
      <c r="U110" s="139">
        <f t="shared" si="116"/>
        <v>0.34290662964274798</v>
      </c>
      <c r="V110" s="139">
        <f t="shared" si="116"/>
        <v>0.2929929431138602</v>
      </c>
      <c r="W110" s="139">
        <f t="shared" ref="W110" si="117">IF(W18=0,0,W18/W$17)</f>
        <v>0.30334357299717207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1.4278743906552722E-2</v>
      </c>
      <c r="C111" s="140">
        <f t="shared" si="118"/>
        <v>1.4562979828277305E-2</v>
      </c>
      <c r="D111" s="140">
        <f t="shared" si="118"/>
        <v>1.520587569853297E-2</v>
      </c>
      <c r="E111" s="140">
        <f t="shared" si="118"/>
        <v>1.6186218870795768E-2</v>
      </c>
      <c r="F111" s="140">
        <f t="shared" si="118"/>
        <v>1.6217633767871147E-2</v>
      </c>
      <c r="G111" s="140">
        <f t="shared" si="118"/>
        <v>1.7475124222524979E-2</v>
      </c>
      <c r="H111" s="140">
        <f t="shared" si="118"/>
        <v>1.7906258047529443E-2</v>
      </c>
      <c r="I111" s="140">
        <f t="shared" si="118"/>
        <v>1.6833327176001375E-2</v>
      </c>
      <c r="J111" s="140">
        <f t="shared" si="118"/>
        <v>1.7135919328804136E-2</v>
      </c>
      <c r="K111" s="140">
        <f t="shared" si="118"/>
        <v>1.9971292353138201E-2</v>
      </c>
      <c r="L111" s="140">
        <f t="shared" si="118"/>
        <v>1.9408785862514474E-2</v>
      </c>
      <c r="M111" s="140">
        <f t="shared" si="118"/>
        <v>2.0153432230298904E-2</v>
      </c>
      <c r="N111" s="140">
        <f t="shared" si="118"/>
        <v>2.0324734756675483E-2</v>
      </c>
      <c r="O111" s="140">
        <f t="shared" si="118"/>
        <v>2.1538933739174607E-2</v>
      </c>
      <c r="P111" s="140">
        <f t="shared" si="118"/>
        <v>2.0672945232821607E-2</v>
      </c>
      <c r="Q111" s="140">
        <f t="shared" si="118"/>
        <v>2.2266881687211838E-2</v>
      </c>
      <c r="R111" s="140">
        <f t="shared" ref="R111:V111" si="119">IF(R19=0,0,R19/R$17)</f>
        <v>2.2010961595603958E-2</v>
      </c>
      <c r="S111" s="140">
        <f t="shared" si="119"/>
        <v>2.1773548123138482E-2</v>
      </c>
      <c r="T111" s="140">
        <f t="shared" si="119"/>
        <v>2.3825507499561752E-2</v>
      </c>
      <c r="U111" s="140">
        <f t="shared" si="119"/>
        <v>2.4246313170300817E-2</v>
      </c>
      <c r="V111" s="140">
        <f t="shared" si="119"/>
        <v>2.3700021214075388E-2</v>
      </c>
      <c r="W111" s="140">
        <f t="shared" ref="W111" si="120">IF(W19=0,0,W19/W$17)</f>
        <v>2.31400604423029E-2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0.28848537746676112</v>
      </c>
      <c r="C112" s="140">
        <f t="shared" si="121"/>
        <v>0.30002291524576169</v>
      </c>
      <c r="D112" s="140">
        <f t="shared" si="121"/>
        <v>0.32087778305984405</v>
      </c>
      <c r="E112" s="140">
        <f t="shared" si="121"/>
        <v>0.32692386176703503</v>
      </c>
      <c r="F112" s="140">
        <f t="shared" si="121"/>
        <v>0.34229366364494673</v>
      </c>
      <c r="G112" s="140">
        <f t="shared" si="121"/>
        <v>0.34765055098346537</v>
      </c>
      <c r="H112" s="140">
        <f t="shared" si="121"/>
        <v>0.34042013557352563</v>
      </c>
      <c r="I112" s="140">
        <f t="shared" si="121"/>
        <v>0.31148825035504751</v>
      </c>
      <c r="J112" s="140">
        <f t="shared" si="121"/>
        <v>0.32398930617246297</v>
      </c>
      <c r="K112" s="140">
        <f t="shared" si="121"/>
        <v>0.33598629144320863</v>
      </c>
      <c r="L112" s="140">
        <f t="shared" si="121"/>
        <v>0.33580959869708954</v>
      </c>
      <c r="M112" s="140">
        <f t="shared" si="121"/>
        <v>0.33856918696782046</v>
      </c>
      <c r="N112" s="140">
        <f t="shared" si="121"/>
        <v>0.41562440404843454</v>
      </c>
      <c r="O112" s="140">
        <f t="shared" si="121"/>
        <v>0.38361372786548364</v>
      </c>
      <c r="P112" s="140">
        <f t="shared" si="121"/>
        <v>0.41310190840901095</v>
      </c>
      <c r="Q112" s="140">
        <f t="shared" si="121"/>
        <v>0.36392645096465465</v>
      </c>
      <c r="R112" s="140">
        <f t="shared" ref="R112:V112" si="122">IF(R20=0,0,R20/R$17)</f>
        <v>0.36541504010459935</v>
      </c>
      <c r="S112" s="140">
        <f t="shared" si="122"/>
        <v>0.35390185340879182</v>
      </c>
      <c r="T112" s="140">
        <f t="shared" si="122"/>
        <v>0.31396369111945821</v>
      </c>
      <c r="U112" s="140">
        <f t="shared" si="122"/>
        <v>0.31866031647244714</v>
      </c>
      <c r="V112" s="140">
        <f t="shared" si="122"/>
        <v>0.26929292189978482</v>
      </c>
      <c r="W112" s="140">
        <f t="shared" ref="W112" si="123">IF(W20=0,0,W20/W$17)</f>
        <v>0.28020351255486919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0.12890942558536153</v>
      </c>
      <c r="C113" s="124">
        <f t="shared" si="124"/>
        <v>0.11268769375360381</v>
      </c>
      <c r="D113" s="124">
        <f t="shared" si="124"/>
        <v>0.10280617334687729</v>
      </c>
      <c r="E113" s="124">
        <f t="shared" si="124"/>
        <v>9.9967861008851897E-2</v>
      </c>
      <c r="F113" s="124">
        <f t="shared" si="124"/>
        <v>0.10145162416709233</v>
      </c>
      <c r="G113" s="124">
        <f t="shared" si="124"/>
        <v>7.253128068238654E-2</v>
      </c>
      <c r="H113" s="124">
        <f t="shared" si="124"/>
        <v>7.9172959813216481E-2</v>
      </c>
      <c r="I113" s="124">
        <f t="shared" si="124"/>
        <v>8.9366137550620117E-2</v>
      </c>
      <c r="J113" s="124">
        <f t="shared" si="124"/>
        <v>4.1455520385369239E-2</v>
      </c>
      <c r="K113" s="124">
        <f t="shared" si="124"/>
        <v>3.4265485253718066E-2</v>
      </c>
      <c r="L113" s="124">
        <f t="shared" si="124"/>
        <v>5.1538132329109483E-2</v>
      </c>
      <c r="M113" s="124">
        <f t="shared" si="124"/>
        <v>4.5203471178063066E-2</v>
      </c>
      <c r="N113" s="124">
        <f t="shared" si="124"/>
        <v>3.5150104753773136E-2</v>
      </c>
      <c r="O113" s="124">
        <f t="shared" si="124"/>
        <v>3.4002075342904989E-2</v>
      </c>
      <c r="P113" s="124">
        <f t="shared" si="124"/>
        <v>2.9536112973094542E-2</v>
      </c>
      <c r="Q113" s="124">
        <f t="shared" si="124"/>
        <v>3.0235769691378499E-2</v>
      </c>
      <c r="R113" s="124">
        <f t="shared" ref="R113:V113" si="125">IF(R21=0,0,R21/R$17)</f>
        <v>2.7435732212013255E-2</v>
      </c>
      <c r="S113" s="124">
        <f t="shared" si="125"/>
        <v>2.7632333643923444E-2</v>
      </c>
      <c r="T113" s="124">
        <f t="shared" si="125"/>
        <v>3.0269737621979761E-2</v>
      </c>
      <c r="U113" s="124">
        <f t="shared" si="125"/>
        <v>2.5702753566823229E-2</v>
      </c>
      <c r="V113" s="124">
        <f t="shared" si="125"/>
        <v>2.0923478823868174E-2</v>
      </c>
      <c r="W113" s="124">
        <f t="shared" ref="W113" si="126">IF(W21=0,0,W21/W$17)</f>
        <v>2.1165587214445055E-2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0.49122556242223175</v>
      </c>
      <c r="C114" s="124">
        <f t="shared" si="127"/>
        <v>0.5012612241935761</v>
      </c>
      <c r="D114" s="124">
        <f t="shared" si="127"/>
        <v>0.49194965127957369</v>
      </c>
      <c r="E114" s="124">
        <f t="shared" si="127"/>
        <v>0.49675092677465593</v>
      </c>
      <c r="F114" s="124">
        <f t="shared" si="127"/>
        <v>0.47288662950806098</v>
      </c>
      <c r="G114" s="124">
        <f t="shared" si="127"/>
        <v>0.49906320229178602</v>
      </c>
      <c r="H114" s="124">
        <f t="shared" si="127"/>
        <v>0.49409951801961638</v>
      </c>
      <c r="I114" s="124">
        <f t="shared" si="127"/>
        <v>0.52859918830689556</v>
      </c>
      <c r="J114" s="124">
        <f t="shared" si="127"/>
        <v>0.5628881574057274</v>
      </c>
      <c r="K114" s="124">
        <f t="shared" si="127"/>
        <v>0.56197657902099851</v>
      </c>
      <c r="L114" s="124">
        <f t="shared" si="127"/>
        <v>0.53596116265880878</v>
      </c>
      <c r="M114" s="124">
        <f t="shared" si="127"/>
        <v>0.54820217799427173</v>
      </c>
      <c r="N114" s="124">
        <f t="shared" si="127"/>
        <v>0.48477291930434546</v>
      </c>
      <c r="O114" s="124">
        <f t="shared" si="127"/>
        <v>0.51202576955551349</v>
      </c>
      <c r="P114" s="124">
        <f t="shared" si="127"/>
        <v>0.49621887859020775</v>
      </c>
      <c r="Q114" s="124">
        <f t="shared" si="127"/>
        <v>0.54924526539842677</v>
      </c>
      <c r="R114" s="124">
        <f t="shared" ref="R114:V114" si="128">IF(R22=0,0,R22/R$17)</f>
        <v>0.55920399185752212</v>
      </c>
      <c r="S114" s="124">
        <f t="shared" si="128"/>
        <v>0.57139505796703327</v>
      </c>
      <c r="T114" s="124">
        <f t="shared" si="128"/>
        <v>0.60411462334417587</v>
      </c>
      <c r="U114" s="124">
        <f t="shared" si="128"/>
        <v>0.6007087957787236</v>
      </c>
      <c r="V114" s="124">
        <f t="shared" si="128"/>
        <v>0.66012296544747218</v>
      </c>
      <c r="W114" s="124">
        <f t="shared" ref="W114" si="129">IF(W22=0,0,W22/W$17)</f>
        <v>0.64939463282511833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8.1815171614802069E-3</v>
      </c>
      <c r="C116" s="140">
        <f t="shared" si="133"/>
        <v>4.2204044812493811E-3</v>
      </c>
      <c r="D116" s="140">
        <f t="shared" si="133"/>
        <v>3.525994150504422E-3</v>
      </c>
      <c r="E116" s="140">
        <f t="shared" si="133"/>
        <v>5.9853023449655818E-3</v>
      </c>
      <c r="F116" s="140">
        <f t="shared" si="133"/>
        <v>4.5425878410279815E-3</v>
      </c>
      <c r="G116" s="140">
        <f t="shared" si="133"/>
        <v>5.5819939652976347E-3</v>
      </c>
      <c r="H116" s="140">
        <f t="shared" si="133"/>
        <v>3.0158015547602536E-3</v>
      </c>
      <c r="I116" s="140">
        <f t="shared" si="133"/>
        <v>3.5287581319609442E-3</v>
      </c>
      <c r="J116" s="140">
        <f t="shared" si="133"/>
        <v>4.5556088794390468E-3</v>
      </c>
      <c r="K116" s="140">
        <f t="shared" si="133"/>
        <v>4.1515033573534931E-3</v>
      </c>
      <c r="L116" s="140">
        <f t="shared" si="133"/>
        <v>4.1689971528664606E-3</v>
      </c>
      <c r="M116" s="140">
        <f t="shared" si="133"/>
        <v>3.2287388002254338E-3</v>
      </c>
      <c r="N116" s="140">
        <f t="shared" si="133"/>
        <v>3.4948091147590532E-3</v>
      </c>
      <c r="O116" s="140">
        <f t="shared" si="133"/>
        <v>4.0229722472669574E-3</v>
      </c>
      <c r="P116" s="140">
        <f t="shared" si="133"/>
        <v>4.1430751631047627E-3</v>
      </c>
      <c r="Q116" s="140">
        <f t="shared" si="133"/>
        <v>3.6281203785230903E-3</v>
      </c>
      <c r="R116" s="140">
        <f t="shared" si="131"/>
        <v>2.9743945126657085E-3</v>
      </c>
      <c r="S116" s="140">
        <f t="shared" si="131"/>
        <v>3.2790879818134114E-3</v>
      </c>
      <c r="T116" s="140">
        <f t="shared" si="131"/>
        <v>3.1461440845435102E-3</v>
      </c>
      <c r="U116" s="140">
        <f t="shared" si="131"/>
        <v>2.934450156697516E-3</v>
      </c>
      <c r="V116" s="140">
        <f t="shared" si="131"/>
        <v>2.815770071460826E-3</v>
      </c>
      <c r="W116" s="140">
        <f t="shared" ref="W116" si="134">IF(W24=0,0,W24/W$17)</f>
        <v>3.0957711202462966E-3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0.48304404526075162</v>
      </c>
      <c r="C117" s="140">
        <f t="shared" si="135"/>
        <v>0.49704081971232678</v>
      </c>
      <c r="D117" s="140">
        <f t="shared" si="135"/>
        <v>0.48842365712906932</v>
      </c>
      <c r="E117" s="140">
        <f t="shared" si="135"/>
        <v>0.49076562442969041</v>
      </c>
      <c r="F117" s="140">
        <f t="shared" si="135"/>
        <v>0.46834404166703303</v>
      </c>
      <c r="G117" s="140">
        <f t="shared" si="135"/>
        <v>0.4934812083264884</v>
      </c>
      <c r="H117" s="140">
        <f t="shared" si="135"/>
        <v>0.4910837164648561</v>
      </c>
      <c r="I117" s="140">
        <f t="shared" si="135"/>
        <v>0.5250704301749346</v>
      </c>
      <c r="J117" s="140">
        <f t="shared" si="135"/>
        <v>0.55833254852628822</v>
      </c>
      <c r="K117" s="140">
        <f t="shared" si="135"/>
        <v>0.55782507566364503</v>
      </c>
      <c r="L117" s="140">
        <f t="shared" si="135"/>
        <v>0.53179216550594233</v>
      </c>
      <c r="M117" s="140">
        <f t="shared" si="135"/>
        <v>0.54497343919404628</v>
      </c>
      <c r="N117" s="140">
        <f t="shared" si="135"/>
        <v>0.48127811018958644</v>
      </c>
      <c r="O117" s="140">
        <f t="shared" si="135"/>
        <v>0.5080027973082466</v>
      </c>
      <c r="P117" s="140">
        <f t="shared" si="135"/>
        <v>0.49207580342710305</v>
      </c>
      <c r="Q117" s="140">
        <f t="shared" si="135"/>
        <v>0.54561714501990366</v>
      </c>
      <c r="R117" s="140">
        <f t="shared" ref="R117:V117" si="136">IF(R25=0,0,R25/R$17)</f>
        <v>0.55622959734485633</v>
      </c>
      <c r="S117" s="140">
        <f t="shared" si="136"/>
        <v>0.56811596998521985</v>
      </c>
      <c r="T117" s="140">
        <f t="shared" si="136"/>
        <v>0.60096847925963226</v>
      </c>
      <c r="U117" s="140">
        <f t="shared" si="136"/>
        <v>0.59777434562202614</v>
      </c>
      <c r="V117" s="140">
        <f t="shared" si="136"/>
        <v>0.65730719537601145</v>
      </c>
      <c r="W117" s="140">
        <f t="shared" ref="W117" si="137">IF(W25=0,0,W25/W$17)</f>
        <v>0.64629886170487205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7.710089061909281E-2</v>
      </c>
      <c r="C118" s="124">
        <f t="shared" si="138"/>
        <v>7.1465186978781223E-2</v>
      </c>
      <c r="D118" s="124">
        <f t="shared" si="138"/>
        <v>6.9160516615172002E-2</v>
      </c>
      <c r="E118" s="124">
        <f t="shared" si="138"/>
        <v>6.0171131578661337E-2</v>
      </c>
      <c r="F118" s="124">
        <f t="shared" si="138"/>
        <v>6.7150448912028912E-2</v>
      </c>
      <c r="G118" s="124">
        <f t="shared" si="138"/>
        <v>6.3279841819837229E-2</v>
      </c>
      <c r="H118" s="124">
        <f t="shared" si="138"/>
        <v>6.8401128546112203E-2</v>
      </c>
      <c r="I118" s="124">
        <f t="shared" si="138"/>
        <v>5.3713096611435432E-2</v>
      </c>
      <c r="J118" s="124">
        <f t="shared" si="138"/>
        <v>5.4531096707636242E-2</v>
      </c>
      <c r="K118" s="124">
        <f t="shared" si="138"/>
        <v>4.7800351928936696E-2</v>
      </c>
      <c r="L118" s="124">
        <f t="shared" si="138"/>
        <v>5.7282320452477727E-2</v>
      </c>
      <c r="M118" s="124">
        <f t="shared" si="138"/>
        <v>4.7871731629545958E-2</v>
      </c>
      <c r="N118" s="124">
        <f t="shared" si="138"/>
        <v>4.4127837136771465E-2</v>
      </c>
      <c r="O118" s="124">
        <f t="shared" si="138"/>
        <v>4.8819493496923223E-2</v>
      </c>
      <c r="P118" s="124">
        <f t="shared" si="138"/>
        <v>4.0470154794865119E-2</v>
      </c>
      <c r="Q118" s="124">
        <f t="shared" si="138"/>
        <v>3.4325632258328249E-2</v>
      </c>
      <c r="R118" s="124">
        <f t="shared" ref="R118:V118" si="139">IF(R26=0,0,R26/R$17)</f>
        <v>2.5934274230261286E-2</v>
      </c>
      <c r="S118" s="124">
        <f t="shared" si="139"/>
        <v>2.5297206857113015E-2</v>
      </c>
      <c r="T118" s="124">
        <f t="shared" si="139"/>
        <v>2.7826440414824443E-2</v>
      </c>
      <c r="U118" s="124">
        <f t="shared" si="139"/>
        <v>3.0681821011705218E-2</v>
      </c>
      <c r="V118" s="124">
        <f t="shared" si="139"/>
        <v>2.59606126147994E-2</v>
      </c>
      <c r="W118" s="124">
        <f t="shared" ref="W118" si="140">IF(W26=0,0,W26/W$17)</f>
        <v>2.6096206963264638E-2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7.710089061909281E-2</v>
      </c>
      <c r="C120" s="127">
        <f t="shared" si="144"/>
        <v>7.1465186978781223E-2</v>
      </c>
      <c r="D120" s="127">
        <f t="shared" si="144"/>
        <v>6.9160516615172002E-2</v>
      </c>
      <c r="E120" s="127">
        <f t="shared" si="144"/>
        <v>6.0171131578661337E-2</v>
      </c>
      <c r="F120" s="127">
        <f t="shared" si="144"/>
        <v>6.7150448912028912E-2</v>
      </c>
      <c r="G120" s="127">
        <f t="shared" si="144"/>
        <v>6.3279841819837229E-2</v>
      </c>
      <c r="H120" s="127">
        <f t="shared" si="144"/>
        <v>6.8401128546112203E-2</v>
      </c>
      <c r="I120" s="127">
        <f t="shared" si="144"/>
        <v>5.3713096611435432E-2</v>
      </c>
      <c r="J120" s="127">
        <f t="shared" si="144"/>
        <v>5.4531096707636242E-2</v>
      </c>
      <c r="K120" s="127">
        <f t="shared" si="144"/>
        <v>4.7800351928936696E-2</v>
      </c>
      <c r="L120" s="127">
        <f t="shared" si="144"/>
        <v>5.7282320452477727E-2</v>
      </c>
      <c r="M120" s="127">
        <f t="shared" si="144"/>
        <v>4.7871731629545958E-2</v>
      </c>
      <c r="N120" s="127">
        <f t="shared" si="144"/>
        <v>4.4127837136771465E-2</v>
      </c>
      <c r="O120" s="127">
        <f t="shared" si="144"/>
        <v>4.8819493496923223E-2</v>
      </c>
      <c r="P120" s="127">
        <f t="shared" si="144"/>
        <v>4.0470154794865119E-2</v>
      </c>
      <c r="Q120" s="127">
        <f t="shared" si="144"/>
        <v>3.4325632258328249E-2</v>
      </c>
      <c r="R120" s="127">
        <f t="shared" ref="R120:V120" si="145">IF(R28=0,0,R28/R$17)</f>
        <v>2.5934274230261286E-2</v>
      </c>
      <c r="S120" s="127">
        <f t="shared" si="145"/>
        <v>2.5297206857113015E-2</v>
      </c>
      <c r="T120" s="127">
        <f t="shared" si="145"/>
        <v>2.7826440414824443E-2</v>
      </c>
      <c r="U120" s="127">
        <f t="shared" si="145"/>
        <v>3.0681821011705218E-2</v>
      </c>
      <c r="V120" s="127">
        <f t="shared" si="145"/>
        <v>2.59606126147994E-2</v>
      </c>
      <c r="W120" s="127">
        <f t="shared" ref="W120" si="146">IF(W28=0,0,W28/W$17)</f>
        <v>2.6096206963264638E-2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0</v>
      </c>
      <c r="J121" s="31">
        <f t="shared" si="148"/>
        <v>0</v>
      </c>
      <c r="K121" s="31">
        <f t="shared" si="148"/>
        <v>0</v>
      </c>
      <c r="L121" s="31">
        <f t="shared" si="148"/>
        <v>0</v>
      </c>
      <c r="M121" s="31">
        <f t="shared" si="148"/>
        <v>0</v>
      </c>
      <c r="N121" s="31">
        <f t="shared" si="148"/>
        <v>0</v>
      </c>
      <c r="O121" s="31">
        <f t="shared" si="148"/>
        <v>0</v>
      </c>
      <c r="P121" s="31">
        <f t="shared" si="148"/>
        <v>0</v>
      </c>
      <c r="Q121" s="31">
        <f t="shared" si="148"/>
        <v>0</v>
      </c>
      <c r="R121" s="31">
        <f t="shared" si="148"/>
        <v>0</v>
      </c>
      <c r="S121" s="31">
        <f t="shared" si="148"/>
        <v>0</v>
      </c>
      <c r="T121" s="31">
        <f t="shared" si="148"/>
        <v>0</v>
      </c>
      <c r="U121" s="31">
        <f t="shared" si="148"/>
        <v>0</v>
      </c>
      <c r="V121" s="31">
        <f t="shared" si="148"/>
        <v>0</v>
      </c>
      <c r="W121" s="31">
        <f t="shared" si="148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</v>
      </c>
      <c r="J122" s="140">
        <f t="shared" si="150"/>
        <v>0</v>
      </c>
      <c r="K122" s="140">
        <f t="shared" si="150"/>
        <v>0</v>
      </c>
      <c r="L122" s="140">
        <f t="shared" si="150"/>
        <v>0</v>
      </c>
      <c r="M122" s="140">
        <f t="shared" si="150"/>
        <v>0</v>
      </c>
      <c r="N122" s="140">
        <f t="shared" si="150"/>
        <v>0</v>
      </c>
      <c r="O122" s="140">
        <f t="shared" si="150"/>
        <v>0</v>
      </c>
      <c r="P122" s="140">
        <f t="shared" si="150"/>
        <v>0</v>
      </c>
      <c r="Q122" s="140">
        <f t="shared" si="150"/>
        <v>0</v>
      </c>
      <c r="R122" s="140">
        <f t="shared" si="150"/>
        <v>0</v>
      </c>
      <c r="S122" s="140">
        <f t="shared" si="150"/>
        <v>0</v>
      </c>
      <c r="T122" s="140">
        <f t="shared" si="150"/>
        <v>0</v>
      </c>
      <c r="U122" s="140">
        <f t="shared" si="150"/>
        <v>0</v>
      </c>
      <c r="V122" s="140">
        <f t="shared" si="150"/>
        <v>0</v>
      </c>
      <c r="W122" s="140">
        <f t="shared" si="150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</v>
      </c>
      <c r="J123" s="127">
        <f t="shared" si="152"/>
        <v>0</v>
      </c>
      <c r="K123" s="127">
        <f t="shared" si="152"/>
        <v>0</v>
      </c>
      <c r="L123" s="127">
        <f t="shared" si="152"/>
        <v>0</v>
      </c>
      <c r="M123" s="127">
        <f t="shared" si="152"/>
        <v>0</v>
      </c>
      <c r="N123" s="127">
        <f t="shared" si="152"/>
        <v>0</v>
      </c>
      <c r="O123" s="127">
        <f t="shared" si="152"/>
        <v>0</v>
      </c>
      <c r="P123" s="127">
        <f t="shared" si="152"/>
        <v>0</v>
      </c>
      <c r="Q123" s="127">
        <f t="shared" si="152"/>
        <v>0</v>
      </c>
      <c r="R123" s="127">
        <f t="shared" si="152"/>
        <v>0</v>
      </c>
      <c r="S123" s="127">
        <f t="shared" si="152"/>
        <v>0</v>
      </c>
      <c r="T123" s="127">
        <f t="shared" si="152"/>
        <v>0</v>
      </c>
      <c r="U123" s="127">
        <f t="shared" si="152"/>
        <v>0</v>
      </c>
      <c r="V123" s="127">
        <f t="shared" si="152"/>
        <v>0</v>
      </c>
      <c r="W123" s="127">
        <f t="shared" si="152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0.93147043696185849</v>
      </c>
      <c r="C127" s="139">
        <f t="shared" ref="C127:W127" si="155">IF(C35=0,0,C35/C$34)</f>
        <v>0.92385897358881242</v>
      </c>
      <c r="D127" s="139">
        <f t="shared" si="155"/>
        <v>0.91970059881959743</v>
      </c>
      <c r="E127" s="139">
        <f t="shared" si="155"/>
        <v>0.92509372372577892</v>
      </c>
      <c r="F127" s="139">
        <f t="shared" si="155"/>
        <v>0.91853438725157255</v>
      </c>
      <c r="G127" s="139">
        <f t="shared" si="155"/>
        <v>0.92279960370970993</v>
      </c>
      <c r="H127" s="139">
        <f t="shared" si="155"/>
        <v>0.92253137342561409</v>
      </c>
      <c r="I127" s="139">
        <f t="shared" si="155"/>
        <v>0.91197077294733109</v>
      </c>
      <c r="J127" s="139">
        <f t="shared" si="155"/>
        <v>0.90994762479639191</v>
      </c>
      <c r="K127" s="139">
        <f t="shared" si="155"/>
        <v>0.88961971687029229</v>
      </c>
      <c r="L127" s="139">
        <f t="shared" si="155"/>
        <v>0.87251674150477365</v>
      </c>
      <c r="M127" s="139">
        <f t="shared" si="155"/>
        <v>0.89967230428186062</v>
      </c>
      <c r="N127" s="139">
        <f t="shared" si="155"/>
        <v>0.91091938991563381</v>
      </c>
      <c r="O127" s="139">
        <f t="shared" si="155"/>
        <v>0.90729496205433346</v>
      </c>
      <c r="P127" s="139">
        <f t="shared" si="155"/>
        <v>0.88528242051852857</v>
      </c>
      <c r="Q127" s="139">
        <f t="shared" si="155"/>
        <v>0.86097349205721796</v>
      </c>
      <c r="R127" s="139">
        <f t="shared" si="155"/>
        <v>0.83361157026993682</v>
      </c>
      <c r="S127" s="139">
        <f t="shared" si="155"/>
        <v>0.79072633291189198</v>
      </c>
      <c r="T127" s="139">
        <f t="shared" si="155"/>
        <v>0.75314709992545437</v>
      </c>
      <c r="U127" s="139">
        <f t="shared" si="155"/>
        <v>0.73866082194783089</v>
      </c>
      <c r="V127" s="139">
        <f t="shared" si="155"/>
        <v>0.85927815826246401</v>
      </c>
      <c r="W127" s="139">
        <f t="shared" si="155"/>
        <v>0.81822818691829302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1.5951359466031389E-3</v>
      </c>
      <c r="C128" s="140">
        <f t="shared" ref="C128:W128" si="156">IF(C36=0,0,C36/C$34)</f>
        <v>1.5724935092189698E-3</v>
      </c>
      <c r="D128" s="140">
        <f t="shared" si="156"/>
        <v>1.6044819104830139E-3</v>
      </c>
      <c r="E128" s="140">
        <f t="shared" si="156"/>
        <v>1.5461963352660054E-3</v>
      </c>
      <c r="F128" s="140">
        <f t="shared" si="156"/>
        <v>1.5923701866494163E-3</v>
      </c>
      <c r="G128" s="140">
        <f t="shared" si="156"/>
        <v>1.6746328749318641E-3</v>
      </c>
      <c r="H128" s="140">
        <f t="shared" si="156"/>
        <v>1.7547088259987141E-3</v>
      </c>
      <c r="I128" s="140">
        <f t="shared" si="156"/>
        <v>1.7104723803976589E-3</v>
      </c>
      <c r="J128" s="140">
        <f t="shared" si="156"/>
        <v>1.6929854498414618E-3</v>
      </c>
      <c r="K128" s="140">
        <f t="shared" si="156"/>
        <v>1.7313838206810379E-3</v>
      </c>
      <c r="L128" s="140">
        <f t="shared" si="156"/>
        <v>1.7780104827142173E-3</v>
      </c>
      <c r="M128" s="140">
        <f t="shared" si="156"/>
        <v>1.7457064327634317E-3</v>
      </c>
      <c r="N128" s="140">
        <f t="shared" si="156"/>
        <v>1.8542271089207738E-3</v>
      </c>
      <c r="O128" s="140">
        <f t="shared" si="156"/>
        <v>1.9984134576305633E-3</v>
      </c>
      <c r="P128" s="140">
        <f t="shared" si="156"/>
        <v>2.0338939840893219E-3</v>
      </c>
      <c r="Q128" s="140">
        <f t="shared" si="156"/>
        <v>2.1071611861562551E-3</v>
      </c>
      <c r="R128" s="140">
        <f t="shared" si="156"/>
        <v>2.169803541289368E-3</v>
      </c>
      <c r="S128" s="140">
        <f t="shared" si="156"/>
        <v>1.9856904867811458E-3</v>
      </c>
      <c r="T128" s="140">
        <f t="shared" si="156"/>
        <v>1.7326797996336735E-3</v>
      </c>
      <c r="U128" s="140">
        <f t="shared" si="156"/>
        <v>1.7975272192674208E-3</v>
      </c>
      <c r="V128" s="140">
        <f t="shared" si="156"/>
        <v>2.4281377950200402E-3</v>
      </c>
      <c r="W128" s="140">
        <f t="shared" si="156"/>
        <v>1.9797625067086268E-3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0.90504618655651314</v>
      </c>
      <c r="C129" s="140">
        <f t="shared" ref="C129:W129" si="157">IF(C37=0,0,C37/C$34)</f>
        <v>0.89749437934836573</v>
      </c>
      <c r="D129" s="140">
        <f t="shared" si="157"/>
        <v>0.89259377271012141</v>
      </c>
      <c r="E129" s="140">
        <f t="shared" si="157"/>
        <v>0.89917188148575</v>
      </c>
      <c r="F129" s="140">
        <f t="shared" si="157"/>
        <v>0.89320130125607189</v>
      </c>
      <c r="G129" s="140">
        <f t="shared" si="157"/>
        <v>0.89585615873425672</v>
      </c>
      <c r="H129" s="140">
        <f t="shared" si="157"/>
        <v>0.8945588667826494</v>
      </c>
      <c r="I129" s="140">
        <f t="shared" si="157"/>
        <v>0.88401930924927574</v>
      </c>
      <c r="J129" s="140">
        <f t="shared" si="157"/>
        <v>0.88165368687124945</v>
      </c>
      <c r="K129" s="140">
        <f t="shared" si="157"/>
        <v>0.86073846080589311</v>
      </c>
      <c r="L129" s="140">
        <f t="shared" si="157"/>
        <v>0.84294729539444058</v>
      </c>
      <c r="M129" s="140">
        <f t="shared" si="157"/>
        <v>0.87053311297842995</v>
      </c>
      <c r="N129" s="140">
        <f t="shared" si="157"/>
        <v>0.88122926268486468</v>
      </c>
      <c r="O129" s="140">
        <f t="shared" si="157"/>
        <v>0.87569607420556916</v>
      </c>
      <c r="P129" s="140">
        <f t="shared" si="157"/>
        <v>0.8541482831279833</v>
      </c>
      <c r="Q129" s="140">
        <f t="shared" si="157"/>
        <v>0.82862896573968059</v>
      </c>
      <c r="R129" s="140">
        <f t="shared" si="157"/>
        <v>0.80068194209206511</v>
      </c>
      <c r="S129" s="140">
        <f t="shared" si="157"/>
        <v>0.75843150061816611</v>
      </c>
      <c r="T129" s="140">
        <f t="shared" si="157"/>
        <v>0.72308974495281098</v>
      </c>
      <c r="U129" s="140">
        <f t="shared" si="157"/>
        <v>0.70787718395970056</v>
      </c>
      <c r="V129" s="140">
        <f t="shared" si="157"/>
        <v>0.81350129498384605</v>
      </c>
      <c r="W129" s="140">
        <f t="shared" si="157"/>
        <v>0.77925577295217607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2.4829114458742186E-2</v>
      </c>
      <c r="C130" s="140">
        <f t="shared" ref="C130:W130" si="158">IF(C38=0,0,C38/C$34)</f>
        <v>2.4792100731227795E-2</v>
      </c>
      <c r="D130" s="140">
        <f t="shared" si="158"/>
        <v>2.5502344198993027E-2</v>
      </c>
      <c r="E130" s="140">
        <f t="shared" si="158"/>
        <v>2.4375645904762853E-2</v>
      </c>
      <c r="F130" s="140">
        <f t="shared" si="158"/>
        <v>2.3740715808851204E-2</v>
      </c>
      <c r="G130" s="140">
        <f t="shared" si="158"/>
        <v>2.5268812100521371E-2</v>
      </c>
      <c r="H130" s="140">
        <f t="shared" si="158"/>
        <v>2.6217797816965944E-2</v>
      </c>
      <c r="I130" s="140">
        <f t="shared" si="158"/>
        <v>2.6240991317657655E-2</v>
      </c>
      <c r="J130" s="140">
        <f t="shared" si="158"/>
        <v>2.6600952475300928E-2</v>
      </c>
      <c r="K130" s="140">
        <f t="shared" si="158"/>
        <v>2.7149872243718169E-2</v>
      </c>
      <c r="L130" s="140">
        <f t="shared" si="158"/>
        <v>2.7791435627618752E-2</v>
      </c>
      <c r="M130" s="140">
        <f t="shared" si="158"/>
        <v>2.7393484870667274E-2</v>
      </c>
      <c r="N130" s="140">
        <f t="shared" si="158"/>
        <v>2.7835900121848361E-2</v>
      </c>
      <c r="O130" s="140">
        <f t="shared" si="158"/>
        <v>2.9600474391133749E-2</v>
      </c>
      <c r="P130" s="140">
        <f t="shared" si="158"/>
        <v>2.9100243406455943E-2</v>
      </c>
      <c r="Q130" s="140">
        <f t="shared" si="158"/>
        <v>3.0237365131381193E-2</v>
      </c>
      <c r="R130" s="140">
        <f t="shared" si="158"/>
        <v>3.0759824636582257E-2</v>
      </c>
      <c r="S130" s="140">
        <f t="shared" si="158"/>
        <v>3.0309141806944741E-2</v>
      </c>
      <c r="T130" s="140">
        <f t="shared" si="158"/>
        <v>2.8324675173009812E-2</v>
      </c>
      <c r="U130" s="140">
        <f t="shared" si="158"/>
        <v>2.8986110768862983E-2</v>
      </c>
      <c r="V130" s="140">
        <f t="shared" si="158"/>
        <v>4.3348725483597805E-2</v>
      </c>
      <c r="W130" s="140">
        <f t="shared" si="158"/>
        <v>3.6992651459408367E-2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8.6447268224796887E-3</v>
      </c>
      <c r="C131" s="124">
        <f t="shared" ref="C131:W131" si="159">IF(C39=0,0,C39/C$34)</f>
        <v>9.6236249289930603E-3</v>
      </c>
      <c r="D131" s="124">
        <f t="shared" si="159"/>
        <v>9.13120077149524E-3</v>
      </c>
      <c r="E131" s="124">
        <f t="shared" si="159"/>
        <v>7.1984537699761068E-3</v>
      </c>
      <c r="F131" s="124">
        <f t="shared" si="159"/>
        <v>6.3816020827346274E-3</v>
      </c>
      <c r="G131" s="124">
        <f t="shared" si="159"/>
        <v>7.7917234310606953E-3</v>
      </c>
      <c r="H131" s="124">
        <f t="shared" si="159"/>
        <v>8.7656203632325812E-3</v>
      </c>
      <c r="I131" s="124">
        <f t="shared" si="159"/>
        <v>9.2694554769134734E-3</v>
      </c>
      <c r="J131" s="124">
        <f t="shared" si="159"/>
        <v>1.0784157352340997E-2</v>
      </c>
      <c r="K131" s="124">
        <f t="shared" si="159"/>
        <v>1.0540089602094451E-2</v>
      </c>
      <c r="L131" s="124">
        <f t="shared" si="159"/>
        <v>1.1387597482456768E-2</v>
      </c>
      <c r="M131" s="124">
        <f t="shared" si="159"/>
        <v>1.1676367403391797E-2</v>
      </c>
      <c r="N131" s="124">
        <f t="shared" si="159"/>
        <v>1.2088287714249668E-2</v>
      </c>
      <c r="O131" s="124">
        <f t="shared" si="159"/>
        <v>1.3170074166289602E-2</v>
      </c>
      <c r="P131" s="124">
        <f t="shared" si="159"/>
        <v>1.2681965602952049E-2</v>
      </c>
      <c r="Q131" s="124">
        <f t="shared" si="159"/>
        <v>1.2727588171688202E-2</v>
      </c>
      <c r="R131" s="124">
        <f t="shared" si="159"/>
        <v>1.2737679874592098E-2</v>
      </c>
      <c r="S131" s="124">
        <f t="shared" si="159"/>
        <v>1.2113033070080997E-2</v>
      </c>
      <c r="T131" s="124">
        <f t="shared" si="159"/>
        <v>1.200548588061671E-2</v>
      </c>
      <c r="U131" s="124">
        <f t="shared" si="159"/>
        <v>1.1941648410184707E-2</v>
      </c>
      <c r="V131" s="124">
        <f t="shared" si="159"/>
        <v>1.6396983800516501E-2</v>
      </c>
      <c r="W131" s="124">
        <f t="shared" si="159"/>
        <v>1.5423173479196374E-2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0</v>
      </c>
      <c r="G132" s="140">
        <f t="shared" si="160"/>
        <v>0</v>
      </c>
      <c r="H132" s="140">
        <f t="shared" si="160"/>
        <v>0</v>
      </c>
      <c r="I132" s="140">
        <f t="shared" si="160"/>
        <v>0</v>
      </c>
      <c r="J132" s="140">
        <f t="shared" si="160"/>
        <v>0</v>
      </c>
      <c r="K132" s="140">
        <f t="shared" si="160"/>
        <v>0</v>
      </c>
      <c r="L132" s="140">
        <f t="shared" si="160"/>
        <v>0</v>
      </c>
      <c r="M132" s="140">
        <f t="shared" si="160"/>
        <v>0</v>
      </c>
      <c r="N132" s="140">
        <f t="shared" si="160"/>
        <v>0</v>
      </c>
      <c r="O132" s="140">
        <f t="shared" si="160"/>
        <v>0</v>
      </c>
      <c r="P132" s="140">
        <f t="shared" si="160"/>
        <v>0</v>
      </c>
      <c r="Q132" s="140">
        <f t="shared" si="160"/>
        <v>0</v>
      </c>
      <c r="R132" s="140">
        <f t="shared" si="160"/>
        <v>0</v>
      </c>
      <c r="S132" s="140">
        <f t="shared" si="160"/>
        <v>0</v>
      </c>
      <c r="T132" s="140">
        <f t="shared" si="160"/>
        <v>1.337685126922916E-4</v>
      </c>
      <c r="U132" s="140">
        <f t="shared" si="160"/>
        <v>2.1035100032130565E-4</v>
      </c>
      <c r="V132" s="140">
        <f t="shared" si="160"/>
        <v>3.2330812732123495E-4</v>
      </c>
      <c r="W132" s="140">
        <f t="shared" si="160"/>
        <v>2.7720445529639637E-4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8.6447268224796887E-3</v>
      </c>
      <c r="C133" s="140">
        <f t="shared" ref="C133:W133" si="161">IF(C41=0,0,C41/C$34)</f>
        <v>9.6236249289930603E-3</v>
      </c>
      <c r="D133" s="140">
        <f t="shared" si="161"/>
        <v>9.13120077149524E-3</v>
      </c>
      <c r="E133" s="140">
        <f t="shared" si="161"/>
        <v>7.1984537699761068E-3</v>
      </c>
      <c r="F133" s="140">
        <f t="shared" si="161"/>
        <v>6.3816020827346274E-3</v>
      </c>
      <c r="G133" s="140">
        <f t="shared" si="161"/>
        <v>7.7917234310606953E-3</v>
      </c>
      <c r="H133" s="140">
        <f t="shared" si="161"/>
        <v>8.7656203632325812E-3</v>
      </c>
      <c r="I133" s="140">
        <f t="shared" si="161"/>
        <v>9.2694554769134734E-3</v>
      </c>
      <c r="J133" s="140">
        <f t="shared" si="161"/>
        <v>1.0784157352340997E-2</v>
      </c>
      <c r="K133" s="140">
        <f t="shared" si="161"/>
        <v>1.0540089602094451E-2</v>
      </c>
      <c r="L133" s="140">
        <f t="shared" si="161"/>
        <v>1.1387597482456768E-2</v>
      </c>
      <c r="M133" s="140">
        <f t="shared" si="161"/>
        <v>1.1676367403391797E-2</v>
      </c>
      <c r="N133" s="140">
        <f t="shared" si="161"/>
        <v>1.2088287714249668E-2</v>
      </c>
      <c r="O133" s="140">
        <f t="shared" si="161"/>
        <v>1.3170074166289602E-2</v>
      </c>
      <c r="P133" s="140">
        <f t="shared" si="161"/>
        <v>1.2681965602952049E-2</v>
      </c>
      <c r="Q133" s="140">
        <f t="shared" si="161"/>
        <v>1.2727588171688202E-2</v>
      </c>
      <c r="R133" s="140">
        <f t="shared" si="161"/>
        <v>1.2737679874592098E-2</v>
      </c>
      <c r="S133" s="140">
        <f t="shared" si="161"/>
        <v>1.2113033070080997E-2</v>
      </c>
      <c r="T133" s="140">
        <f t="shared" si="161"/>
        <v>1.1871717367924417E-2</v>
      </c>
      <c r="U133" s="140">
        <f t="shared" si="161"/>
        <v>1.17312974098634E-2</v>
      </c>
      <c r="V133" s="140">
        <f t="shared" si="161"/>
        <v>1.6073675673195266E-2</v>
      </c>
      <c r="W133" s="140">
        <f t="shared" si="161"/>
        <v>1.5145969023899976E-2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5.988483621566177E-2</v>
      </c>
      <c r="C135" s="124">
        <f t="shared" ref="C135:W135" si="163">IF(C43=0,0,C43/C$34)</f>
        <v>6.6517401482194566E-2</v>
      </c>
      <c r="D135" s="124">
        <f t="shared" si="163"/>
        <v>7.1168200408907284E-2</v>
      </c>
      <c r="E135" s="124">
        <f t="shared" si="163"/>
        <v>6.7707822504244897E-2</v>
      </c>
      <c r="F135" s="124">
        <f t="shared" si="163"/>
        <v>7.508401066569266E-2</v>
      </c>
      <c r="G135" s="124">
        <f t="shared" si="163"/>
        <v>6.9408672859229248E-2</v>
      </c>
      <c r="H135" s="124">
        <f t="shared" si="163"/>
        <v>6.8703006211153342E-2</v>
      </c>
      <c r="I135" s="124">
        <f t="shared" si="163"/>
        <v>7.8759771575755477E-2</v>
      </c>
      <c r="J135" s="124">
        <f t="shared" si="163"/>
        <v>7.92682178512671E-2</v>
      </c>
      <c r="K135" s="124">
        <f t="shared" si="163"/>
        <v>9.9840193527613211E-2</v>
      </c>
      <c r="L135" s="124">
        <f t="shared" si="163"/>
        <v>0.11609566101276966</v>
      </c>
      <c r="M135" s="124">
        <f t="shared" si="163"/>
        <v>8.8651328314747563E-2</v>
      </c>
      <c r="N135" s="124">
        <f t="shared" si="163"/>
        <v>7.6992322370116509E-2</v>
      </c>
      <c r="O135" s="124">
        <f t="shared" si="163"/>
        <v>7.9534963779377021E-2</v>
      </c>
      <c r="P135" s="124">
        <f t="shared" si="163"/>
        <v>0.10203561387851941</v>
      </c>
      <c r="Q135" s="124">
        <f t="shared" si="163"/>
        <v>0.12629891977109375</v>
      </c>
      <c r="R135" s="124">
        <f t="shared" si="163"/>
        <v>0.1536507498554712</v>
      </c>
      <c r="S135" s="124">
        <f t="shared" si="163"/>
        <v>0.19716063401802686</v>
      </c>
      <c r="T135" s="124">
        <f t="shared" si="163"/>
        <v>0.23484741419392891</v>
      </c>
      <c r="U135" s="124">
        <f t="shared" si="163"/>
        <v>0.24939752964198444</v>
      </c>
      <c r="V135" s="124">
        <f t="shared" si="163"/>
        <v>0.12432485793701949</v>
      </c>
      <c r="W135" s="124">
        <f t="shared" si="163"/>
        <v>0.16634863960251053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4.5141366284545147E-2</v>
      </c>
      <c r="C137" s="140">
        <f t="shared" ref="C137:W137" si="165">IF(C45=0,0,C45/C$34)</f>
        <v>5.0138480528974946E-2</v>
      </c>
      <c r="D137" s="140">
        <f t="shared" si="165"/>
        <v>5.3643948309462508E-2</v>
      </c>
      <c r="E137" s="140">
        <f t="shared" si="165"/>
        <v>5.1037392586488019E-2</v>
      </c>
      <c r="F137" s="140">
        <f t="shared" si="165"/>
        <v>5.6594542106584433E-2</v>
      </c>
      <c r="G137" s="140">
        <f t="shared" si="165"/>
        <v>5.2510849374539072E-2</v>
      </c>
      <c r="H137" s="140">
        <f t="shared" si="165"/>
        <v>5.2065098983480315E-2</v>
      </c>
      <c r="I137" s="140">
        <f t="shared" si="165"/>
        <v>5.9993313908482143E-2</v>
      </c>
      <c r="J137" s="140">
        <f t="shared" si="165"/>
        <v>5.9407601835275277E-2</v>
      </c>
      <c r="K137" s="140">
        <f t="shared" si="165"/>
        <v>7.3641663189437795E-2</v>
      </c>
      <c r="L137" s="140">
        <f t="shared" si="165"/>
        <v>8.6112440653576525E-2</v>
      </c>
      <c r="M137" s="140">
        <f t="shared" si="165"/>
        <v>6.5426991098576859E-2</v>
      </c>
      <c r="N137" s="140">
        <f t="shared" si="165"/>
        <v>5.6936474147498195E-2</v>
      </c>
      <c r="O137" s="140">
        <f t="shared" si="165"/>
        <v>5.9166447068165921E-2</v>
      </c>
      <c r="P137" s="140">
        <f t="shared" si="165"/>
        <v>7.5896807042175357E-2</v>
      </c>
      <c r="Q137" s="140">
        <f t="shared" si="165"/>
        <v>9.4106715258806067E-2</v>
      </c>
      <c r="R137" s="140">
        <f t="shared" si="165"/>
        <v>0.11635214900715649</v>
      </c>
      <c r="S137" s="140">
        <f t="shared" si="165"/>
        <v>0.15125136724353033</v>
      </c>
      <c r="T137" s="140">
        <f t="shared" si="165"/>
        <v>0.17929708323886337</v>
      </c>
      <c r="U137" s="140">
        <f t="shared" si="165"/>
        <v>0.18887944366871939</v>
      </c>
      <c r="V137" s="140">
        <f t="shared" si="165"/>
        <v>8.8647516307890167E-2</v>
      </c>
      <c r="W137" s="140">
        <f t="shared" si="165"/>
        <v>0.12315694715382684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1.474346993111663E-2</v>
      </c>
      <c r="C138" s="140">
        <f t="shared" ref="C138:W138" si="166">IF(C46=0,0,C46/C$34)</f>
        <v>1.6378920953219626E-2</v>
      </c>
      <c r="D138" s="140">
        <f t="shared" si="166"/>
        <v>1.7524252099444779E-2</v>
      </c>
      <c r="E138" s="140">
        <f t="shared" si="166"/>
        <v>1.6670429917756874E-2</v>
      </c>
      <c r="F138" s="140">
        <f t="shared" si="166"/>
        <v>1.848946855910822E-2</v>
      </c>
      <c r="G138" s="140">
        <f t="shared" si="166"/>
        <v>1.6897823484690176E-2</v>
      </c>
      <c r="H138" s="140">
        <f t="shared" si="166"/>
        <v>1.6637907227673034E-2</v>
      </c>
      <c r="I138" s="140">
        <f t="shared" si="166"/>
        <v>1.8766457667273331E-2</v>
      </c>
      <c r="J138" s="140">
        <f t="shared" si="166"/>
        <v>1.9860616015991824E-2</v>
      </c>
      <c r="K138" s="140">
        <f t="shared" si="166"/>
        <v>2.6198530338175419E-2</v>
      </c>
      <c r="L138" s="140">
        <f t="shared" si="166"/>
        <v>2.9983220359193128E-2</v>
      </c>
      <c r="M138" s="140">
        <f t="shared" si="166"/>
        <v>2.3224337216170707E-2</v>
      </c>
      <c r="N138" s="140">
        <f t="shared" si="166"/>
        <v>2.0055848222618324E-2</v>
      </c>
      <c r="O138" s="140">
        <f t="shared" si="166"/>
        <v>2.0368516711211097E-2</v>
      </c>
      <c r="P138" s="140">
        <f t="shared" si="166"/>
        <v>2.613880683634405E-2</v>
      </c>
      <c r="Q138" s="140">
        <f t="shared" si="166"/>
        <v>3.2192204512287687E-2</v>
      </c>
      <c r="R138" s="140">
        <f t="shared" si="166"/>
        <v>3.7298600848314704E-2</v>
      </c>
      <c r="S138" s="140">
        <f t="shared" si="166"/>
        <v>4.5909266774496527E-2</v>
      </c>
      <c r="T138" s="140">
        <f t="shared" si="166"/>
        <v>5.5550330955065522E-2</v>
      </c>
      <c r="U138" s="140">
        <f t="shared" si="166"/>
        <v>6.0518085973265023E-2</v>
      </c>
      <c r="V138" s="140">
        <f t="shared" si="166"/>
        <v>3.5677341629129333E-2</v>
      </c>
      <c r="W138" s="140">
        <f t="shared" si="166"/>
        <v>4.3191692448683684E-2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0.7136006272476203</v>
      </c>
      <c r="C140" s="139">
        <f t="shared" ref="C140:W140" si="169">IF(C48=0,0,C48/C$47)</f>
        <v>0.71649805251338339</v>
      </c>
      <c r="D140" s="139">
        <f t="shared" si="169"/>
        <v>0.71360112701322242</v>
      </c>
      <c r="E140" s="139">
        <f t="shared" si="169"/>
        <v>0.73372472992850335</v>
      </c>
      <c r="F140" s="139">
        <f t="shared" si="169"/>
        <v>0.7730690343374198</v>
      </c>
      <c r="G140" s="139">
        <f t="shared" si="169"/>
        <v>0.7871603997222425</v>
      </c>
      <c r="H140" s="139">
        <f t="shared" si="169"/>
        <v>0.79071006442148195</v>
      </c>
      <c r="I140" s="139">
        <f t="shared" si="169"/>
        <v>0.77333276165652798</v>
      </c>
      <c r="J140" s="139">
        <f t="shared" si="169"/>
        <v>0.77536154587574491</v>
      </c>
      <c r="K140" s="139">
        <f t="shared" si="169"/>
        <v>0.77377729035380327</v>
      </c>
      <c r="L140" s="139">
        <f t="shared" si="169"/>
        <v>0.79728458120464063</v>
      </c>
      <c r="M140" s="139">
        <f t="shared" si="169"/>
        <v>0.80637412843831047</v>
      </c>
      <c r="N140" s="139">
        <f t="shared" si="169"/>
        <v>0.80290199513269767</v>
      </c>
      <c r="O140" s="139">
        <f t="shared" si="169"/>
        <v>0.80330592000875189</v>
      </c>
      <c r="P140" s="139">
        <f t="shared" si="169"/>
        <v>0.78995210500140123</v>
      </c>
      <c r="Q140" s="139">
        <f t="shared" si="169"/>
        <v>0.75918306285823933</v>
      </c>
      <c r="R140" s="139">
        <f t="shared" si="169"/>
        <v>0.74308842158479049</v>
      </c>
      <c r="S140" s="139">
        <f t="shared" si="169"/>
        <v>0.74961657711857999</v>
      </c>
      <c r="T140" s="139">
        <f t="shared" si="169"/>
        <v>0.78025396953498161</v>
      </c>
      <c r="U140" s="139">
        <f t="shared" si="169"/>
        <v>0.80701106750820506</v>
      </c>
      <c r="V140" s="139">
        <f t="shared" si="169"/>
        <v>0.68013225609388517</v>
      </c>
      <c r="W140" s="139">
        <f t="shared" si="169"/>
        <v>0.67682277202887497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3.5336388235464519E-2</v>
      </c>
      <c r="C141" s="140">
        <f t="shared" ref="C141:W141" si="170">IF(C49=0,0,C49/C$47)</f>
        <v>3.381044754777917E-2</v>
      </c>
      <c r="D141" s="140">
        <f t="shared" si="170"/>
        <v>3.302728138857091E-2</v>
      </c>
      <c r="E141" s="140">
        <f t="shared" si="170"/>
        <v>2.9827800863315719E-2</v>
      </c>
      <c r="F141" s="140">
        <f t="shared" si="170"/>
        <v>2.4198866969082303E-2</v>
      </c>
      <c r="G141" s="140">
        <f t="shared" si="170"/>
        <v>2.253911533886194E-2</v>
      </c>
      <c r="H141" s="140">
        <f t="shared" si="170"/>
        <v>2.4653832191999656E-2</v>
      </c>
      <c r="I141" s="140">
        <f t="shared" si="170"/>
        <v>2.7105054163498229E-2</v>
      </c>
      <c r="J141" s="140">
        <f t="shared" si="170"/>
        <v>2.8189472757885678E-2</v>
      </c>
      <c r="K141" s="140">
        <f t="shared" si="170"/>
        <v>3.2230900855245395E-2</v>
      </c>
      <c r="L141" s="140">
        <f t="shared" si="170"/>
        <v>3.078060071244676E-2</v>
      </c>
      <c r="M141" s="140">
        <f t="shared" si="170"/>
        <v>3.1181312662781419E-2</v>
      </c>
      <c r="N141" s="140">
        <f t="shared" si="170"/>
        <v>3.434151930230242E-2</v>
      </c>
      <c r="O141" s="140">
        <f t="shared" si="170"/>
        <v>3.4374786396299435E-2</v>
      </c>
      <c r="P141" s="140">
        <f t="shared" si="170"/>
        <v>3.7607851065894822E-2</v>
      </c>
      <c r="Q141" s="140">
        <f t="shared" si="170"/>
        <v>4.0980870437554162E-2</v>
      </c>
      <c r="R141" s="140">
        <f t="shared" si="170"/>
        <v>4.2979115369933464E-2</v>
      </c>
      <c r="S141" s="140">
        <f t="shared" si="170"/>
        <v>4.1518885033038834E-2</v>
      </c>
      <c r="T141" s="140">
        <f t="shared" si="170"/>
        <v>4.0683923073754347E-2</v>
      </c>
      <c r="U141" s="140">
        <f t="shared" si="170"/>
        <v>4.0222248490454533E-2</v>
      </c>
      <c r="V141" s="140">
        <f t="shared" si="170"/>
        <v>4.4026001062807477E-2</v>
      </c>
      <c r="W141" s="140">
        <f t="shared" si="170"/>
        <v>4.4277051952664945E-2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0.67826423901215582</v>
      </c>
      <c r="C142" s="140">
        <f t="shared" ref="C142:W142" si="171">IF(C50=0,0,C50/C$47)</f>
        <v>0.68268760496560421</v>
      </c>
      <c r="D142" s="140">
        <f t="shared" si="171"/>
        <v>0.68057384562465151</v>
      </c>
      <c r="E142" s="140">
        <f t="shared" si="171"/>
        <v>0.70389692906518764</v>
      </c>
      <c r="F142" s="140">
        <f t="shared" si="171"/>
        <v>0.74887016736833745</v>
      </c>
      <c r="G142" s="140">
        <f t="shared" si="171"/>
        <v>0.76462128438338051</v>
      </c>
      <c r="H142" s="140">
        <f t="shared" si="171"/>
        <v>0.76605623222948238</v>
      </c>
      <c r="I142" s="140">
        <f t="shared" si="171"/>
        <v>0.74622770749302969</v>
      </c>
      <c r="J142" s="140">
        <f t="shared" si="171"/>
        <v>0.74717207311785927</v>
      </c>
      <c r="K142" s="140">
        <f t="shared" si="171"/>
        <v>0.74154638949855789</v>
      </c>
      <c r="L142" s="140">
        <f t="shared" si="171"/>
        <v>0.76650398049219381</v>
      </c>
      <c r="M142" s="140">
        <f t="shared" si="171"/>
        <v>0.77519281577552912</v>
      </c>
      <c r="N142" s="140">
        <f t="shared" si="171"/>
        <v>0.76856047583039522</v>
      </c>
      <c r="O142" s="140">
        <f t="shared" si="171"/>
        <v>0.76893113361245258</v>
      </c>
      <c r="P142" s="140">
        <f t="shared" si="171"/>
        <v>0.75234425393550652</v>
      </c>
      <c r="Q142" s="140">
        <f t="shared" si="171"/>
        <v>0.71820219242068517</v>
      </c>
      <c r="R142" s="140">
        <f t="shared" si="171"/>
        <v>0.7001093062148569</v>
      </c>
      <c r="S142" s="140">
        <f t="shared" si="171"/>
        <v>0.70809769208554108</v>
      </c>
      <c r="T142" s="140">
        <f t="shared" si="171"/>
        <v>0.73957004646122715</v>
      </c>
      <c r="U142" s="140">
        <f t="shared" si="171"/>
        <v>0.76678881901775053</v>
      </c>
      <c r="V142" s="140">
        <f t="shared" si="171"/>
        <v>0.63610625503107765</v>
      </c>
      <c r="W142" s="140">
        <f t="shared" si="171"/>
        <v>0.63254572007621013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4.7964635502698617E-3</v>
      </c>
      <c r="C143" s="124">
        <f t="shared" ref="C143:W143" si="172">IF(C51=0,0,C51/C$47)</f>
        <v>4.854981855959296E-3</v>
      </c>
      <c r="D143" s="124">
        <f t="shared" si="172"/>
        <v>4.4818896360759967E-3</v>
      </c>
      <c r="E143" s="124">
        <f t="shared" si="172"/>
        <v>3.6060720282978694E-3</v>
      </c>
      <c r="F143" s="124">
        <f t="shared" si="172"/>
        <v>2.8888448047522156E-3</v>
      </c>
      <c r="G143" s="124">
        <f t="shared" si="172"/>
        <v>1.7443176673851396E-3</v>
      </c>
      <c r="H143" s="124">
        <f t="shared" si="172"/>
        <v>1.7882653484585899E-3</v>
      </c>
      <c r="I143" s="124">
        <f t="shared" si="172"/>
        <v>2.2830898186926981E-3</v>
      </c>
      <c r="J143" s="124">
        <f t="shared" si="172"/>
        <v>1.4562999143066828E-3</v>
      </c>
      <c r="K143" s="124">
        <f t="shared" si="172"/>
        <v>1.2561475205140125E-3</v>
      </c>
      <c r="L143" s="124">
        <f t="shared" si="172"/>
        <v>1.3006642751896731E-3</v>
      </c>
      <c r="M143" s="124">
        <f t="shared" si="172"/>
        <v>1.1176898501204357E-3</v>
      </c>
      <c r="N143" s="124">
        <f t="shared" si="172"/>
        <v>1.0102974236607597E-3</v>
      </c>
      <c r="O143" s="124">
        <f t="shared" si="172"/>
        <v>9.5531163503303313E-4</v>
      </c>
      <c r="P143" s="124">
        <f t="shared" si="172"/>
        <v>8.9853038565257599E-4</v>
      </c>
      <c r="Q143" s="124">
        <f t="shared" si="172"/>
        <v>9.336233710319858E-4</v>
      </c>
      <c r="R143" s="124">
        <f t="shared" si="172"/>
        <v>8.8100367855618823E-4</v>
      </c>
      <c r="S143" s="124">
        <f t="shared" si="172"/>
        <v>8.819226817871525E-4</v>
      </c>
      <c r="T143" s="124">
        <f t="shared" si="172"/>
        <v>8.3530242185804839E-4</v>
      </c>
      <c r="U143" s="124">
        <f t="shared" si="172"/>
        <v>7.8177000324632909E-4</v>
      </c>
      <c r="V143" s="124">
        <f t="shared" si="172"/>
        <v>7.7502110693192998E-4</v>
      </c>
      <c r="W143" s="124">
        <f t="shared" si="172"/>
        <v>7.4083409969382774E-4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0.28111053660151719</v>
      </c>
      <c r="C144" s="124">
        <f t="shared" ref="C144:W144" si="173">IF(C52=0,0,C52/C$47)</f>
        <v>0.2781971202590936</v>
      </c>
      <c r="D144" s="124">
        <f t="shared" si="173"/>
        <v>0.28149622068965025</v>
      </c>
      <c r="E144" s="124">
        <f t="shared" si="173"/>
        <v>0.26234090916583891</v>
      </c>
      <c r="F144" s="124">
        <f t="shared" si="173"/>
        <v>0.22374654302416558</v>
      </c>
      <c r="G144" s="124">
        <f t="shared" si="173"/>
        <v>0.21084589100447076</v>
      </c>
      <c r="H144" s="124">
        <f t="shared" si="173"/>
        <v>0.20721458431112932</v>
      </c>
      <c r="I144" s="124">
        <f t="shared" si="173"/>
        <v>0.22411215797927392</v>
      </c>
      <c r="J144" s="124">
        <f t="shared" si="173"/>
        <v>0.22289823485671281</v>
      </c>
      <c r="K144" s="124">
        <f t="shared" si="173"/>
        <v>0.22470677667583211</v>
      </c>
      <c r="L144" s="124">
        <f t="shared" si="173"/>
        <v>0.20112352445203588</v>
      </c>
      <c r="M144" s="124">
        <f t="shared" si="173"/>
        <v>0.19226282399224076</v>
      </c>
      <c r="N144" s="124">
        <f t="shared" si="173"/>
        <v>0.19583369287318234</v>
      </c>
      <c r="O144" s="124">
        <f t="shared" si="173"/>
        <v>0.19550689262708884</v>
      </c>
      <c r="P144" s="124">
        <f t="shared" si="173"/>
        <v>0.20890055304720212</v>
      </c>
      <c r="Q144" s="124">
        <f t="shared" si="173"/>
        <v>0.23964166298849229</v>
      </c>
      <c r="R144" s="124">
        <f t="shared" si="173"/>
        <v>0.25580147601141756</v>
      </c>
      <c r="S144" s="124">
        <f t="shared" si="173"/>
        <v>0.24927636180779095</v>
      </c>
      <c r="T144" s="124">
        <f t="shared" si="173"/>
        <v>0.21869685215509466</v>
      </c>
      <c r="U144" s="124">
        <f t="shared" si="173"/>
        <v>0.19200655011483062</v>
      </c>
      <c r="V144" s="124">
        <f t="shared" si="173"/>
        <v>0.31901842942367625</v>
      </c>
      <c r="W144" s="124">
        <f t="shared" si="173"/>
        <v>0.32237425314113272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1.5089688385877965E-2</v>
      </c>
      <c r="C146" s="140">
        <f t="shared" ref="C146:W146" si="175">IF(C54=0,0,C54/C$47)</f>
        <v>5.9567772071841439E-3</v>
      </c>
      <c r="D146" s="140">
        <f t="shared" si="175"/>
        <v>3.8397788390203092E-3</v>
      </c>
      <c r="E146" s="140">
        <f t="shared" si="175"/>
        <v>5.5723810041180283E-3</v>
      </c>
      <c r="F146" s="140">
        <f t="shared" si="175"/>
        <v>4.1801093245123593E-3</v>
      </c>
      <c r="G146" s="140">
        <f t="shared" si="175"/>
        <v>4.1177787394776752E-3</v>
      </c>
      <c r="H146" s="140">
        <f t="shared" si="175"/>
        <v>2.275576892270276E-3</v>
      </c>
      <c r="I146" s="140">
        <f t="shared" si="175"/>
        <v>3.8189871041974977E-3</v>
      </c>
      <c r="J146" s="140">
        <f t="shared" si="175"/>
        <v>5.1404800894691337E-3</v>
      </c>
      <c r="K146" s="140">
        <f t="shared" si="175"/>
        <v>5.9658895448874601E-3</v>
      </c>
      <c r="L146" s="140">
        <f t="shared" si="175"/>
        <v>6.2867395696580199E-3</v>
      </c>
      <c r="M146" s="140">
        <f t="shared" si="175"/>
        <v>3.2441230712651251E-3</v>
      </c>
      <c r="N146" s="140">
        <f t="shared" si="175"/>
        <v>3.2830965179626E-3</v>
      </c>
      <c r="O146" s="140">
        <f t="shared" si="175"/>
        <v>3.5050461980757723E-3</v>
      </c>
      <c r="P146" s="140">
        <f t="shared" si="175"/>
        <v>4.5014261063006065E-3</v>
      </c>
      <c r="Q146" s="140">
        <f t="shared" si="175"/>
        <v>5.1145573241523747E-3</v>
      </c>
      <c r="R146" s="140">
        <f t="shared" si="175"/>
        <v>4.4263935898227998E-3</v>
      </c>
      <c r="S146" s="140">
        <f t="shared" si="175"/>
        <v>7.0524227497764675E-3</v>
      </c>
      <c r="T146" s="140">
        <f t="shared" si="175"/>
        <v>6.8278432582537249E-3</v>
      </c>
      <c r="U146" s="140">
        <f t="shared" si="175"/>
        <v>7.0639842198486139E-3</v>
      </c>
      <c r="V146" s="140">
        <f t="shared" si="175"/>
        <v>6.0469538726570463E-3</v>
      </c>
      <c r="W146" s="140">
        <f t="shared" si="175"/>
        <v>8.445404142095431E-3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0.26602084821563921</v>
      </c>
      <c r="C147" s="140">
        <f t="shared" ref="C147:W147" si="176">IF(C55=0,0,C55/C$47)</f>
        <v>0.27224034305190947</v>
      </c>
      <c r="D147" s="140">
        <f t="shared" si="176"/>
        <v>0.27765644185062993</v>
      </c>
      <c r="E147" s="140">
        <f t="shared" si="176"/>
        <v>0.25676852816172091</v>
      </c>
      <c r="F147" s="140">
        <f t="shared" si="176"/>
        <v>0.21956643369965326</v>
      </c>
      <c r="G147" s="140">
        <f t="shared" si="176"/>
        <v>0.20672811226499307</v>
      </c>
      <c r="H147" s="140">
        <f t="shared" si="176"/>
        <v>0.20493900741885906</v>
      </c>
      <c r="I147" s="140">
        <f t="shared" si="176"/>
        <v>0.22029317087507641</v>
      </c>
      <c r="J147" s="140">
        <f t="shared" si="176"/>
        <v>0.21775775476724368</v>
      </c>
      <c r="K147" s="140">
        <f t="shared" si="176"/>
        <v>0.21874088713094467</v>
      </c>
      <c r="L147" s="140">
        <f t="shared" si="176"/>
        <v>0.19483678488237785</v>
      </c>
      <c r="M147" s="140">
        <f t="shared" si="176"/>
        <v>0.18901870092097561</v>
      </c>
      <c r="N147" s="140">
        <f t="shared" si="176"/>
        <v>0.19255059635521973</v>
      </c>
      <c r="O147" s="140">
        <f t="shared" si="176"/>
        <v>0.19200184642901308</v>
      </c>
      <c r="P147" s="140">
        <f t="shared" si="176"/>
        <v>0.20439912694090151</v>
      </c>
      <c r="Q147" s="140">
        <f t="shared" si="176"/>
        <v>0.2345271056643399</v>
      </c>
      <c r="R147" s="140">
        <f t="shared" si="176"/>
        <v>0.25137508242159479</v>
      </c>
      <c r="S147" s="140">
        <f t="shared" si="176"/>
        <v>0.24222393905801448</v>
      </c>
      <c r="T147" s="140">
        <f t="shared" si="176"/>
        <v>0.21186900889684096</v>
      </c>
      <c r="U147" s="140">
        <f t="shared" si="176"/>
        <v>0.18494256589498198</v>
      </c>
      <c r="V147" s="140">
        <f t="shared" si="176"/>
        <v>0.31297147555101923</v>
      </c>
      <c r="W147" s="140">
        <f t="shared" si="176"/>
        <v>0.31392884899903722</v>
      </c>
      <c r="DA147" s="175"/>
    </row>
    <row r="148" spans="1:105" ht="11.45" customHeight="1" x14ac:dyDescent="0.25">
      <c r="A148" s="109" t="s">
        <v>142</v>
      </c>
      <c r="B148" s="124">
        <f t="shared" si="167"/>
        <v>4.9237260059282833E-4</v>
      </c>
      <c r="C148" s="124">
        <f t="shared" ref="C148:W148" si="177">IF(C56=0,0,C56/C$47)</f>
        <v>4.4984537156378439E-4</v>
      </c>
      <c r="D148" s="124">
        <f t="shared" si="177"/>
        <v>4.2076266105117694E-4</v>
      </c>
      <c r="E148" s="124">
        <f t="shared" si="177"/>
        <v>3.2828887735997161E-4</v>
      </c>
      <c r="F148" s="124">
        <f t="shared" si="177"/>
        <v>2.9557783366240635E-4</v>
      </c>
      <c r="G148" s="124">
        <f t="shared" si="177"/>
        <v>2.4939160590168653E-4</v>
      </c>
      <c r="H148" s="124">
        <f t="shared" si="177"/>
        <v>2.8708591893004509E-4</v>
      </c>
      <c r="I148" s="124">
        <f t="shared" si="177"/>
        <v>2.7199054550550042E-4</v>
      </c>
      <c r="J148" s="124">
        <f t="shared" si="177"/>
        <v>2.8391935323549813E-4</v>
      </c>
      <c r="K148" s="124">
        <f t="shared" si="177"/>
        <v>2.597854498505565E-4</v>
      </c>
      <c r="L148" s="124">
        <f t="shared" si="177"/>
        <v>2.9123006813375706E-4</v>
      </c>
      <c r="M148" s="124">
        <f t="shared" si="177"/>
        <v>2.4535771932833461E-4</v>
      </c>
      <c r="N148" s="124">
        <f t="shared" si="177"/>
        <v>2.5401457045930013E-4</v>
      </c>
      <c r="O148" s="124">
        <f t="shared" si="177"/>
        <v>2.3187572912616031E-4</v>
      </c>
      <c r="P148" s="124">
        <f t="shared" si="177"/>
        <v>2.4881156574409468E-4</v>
      </c>
      <c r="Q148" s="124">
        <f t="shared" si="177"/>
        <v>2.4165078223643233E-4</v>
      </c>
      <c r="R148" s="124">
        <f t="shared" si="177"/>
        <v>2.2909872523588096E-4</v>
      </c>
      <c r="S148" s="124">
        <f t="shared" si="177"/>
        <v>2.2513839184198491E-4</v>
      </c>
      <c r="T148" s="124">
        <f t="shared" si="177"/>
        <v>2.1387588806577305E-4</v>
      </c>
      <c r="U148" s="124">
        <f t="shared" si="177"/>
        <v>2.0061237371785101E-4</v>
      </c>
      <c r="V148" s="124">
        <f t="shared" si="177"/>
        <v>7.4293375506782449E-5</v>
      </c>
      <c r="W148" s="124">
        <f t="shared" si="177"/>
        <v>6.2140730298457841E-5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4.9237260059282833E-4</v>
      </c>
      <c r="C150" s="127">
        <f t="shared" ref="C150:W150" si="179">IF(C58=0,0,C58/C$47)</f>
        <v>4.4984537156378439E-4</v>
      </c>
      <c r="D150" s="127">
        <f t="shared" si="179"/>
        <v>4.2076266105117694E-4</v>
      </c>
      <c r="E150" s="127">
        <f t="shared" si="179"/>
        <v>3.2828887735997161E-4</v>
      </c>
      <c r="F150" s="127">
        <f t="shared" si="179"/>
        <v>2.9557783366240635E-4</v>
      </c>
      <c r="G150" s="127">
        <f t="shared" si="179"/>
        <v>2.4939160590168653E-4</v>
      </c>
      <c r="H150" s="127">
        <f t="shared" si="179"/>
        <v>2.8708591893004509E-4</v>
      </c>
      <c r="I150" s="127">
        <f t="shared" si="179"/>
        <v>2.7199054550550042E-4</v>
      </c>
      <c r="J150" s="127">
        <f t="shared" si="179"/>
        <v>2.8391935323549813E-4</v>
      </c>
      <c r="K150" s="127">
        <f t="shared" si="179"/>
        <v>2.597854498505565E-4</v>
      </c>
      <c r="L150" s="127">
        <f t="shared" si="179"/>
        <v>2.9123006813375706E-4</v>
      </c>
      <c r="M150" s="127">
        <f t="shared" si="179"/>
        <v>2.4535771932833461E-4</v>
      </c>
      <c r="N150" s="127">
        <f t="shared" si="179"/>
        <v>2.5401457045930013E-4</v>
      </c>
      <c r="O150" s="127">
        <f t="shared" si="179"/>
        <v>2.3187572912616031E-4</v>
      </c>
      <c r="P150" s="127">
        <f t="shared" si="179"/>
        <v>2.4881156574409468E-4</v>
      </c>
      <c r="Q150" s="127">
        <f t="shared" si="179"/>
        <v>2.4165078223643233E-4</v>
      </c>
      <c r="R150" s="127">
        <f t="shared" si="179"/>
        <v>2.2909872523588096E-4</v>
      </c>
      <c r="S150" s="127">
        <f t="shared" si="179"/>
        <v>2.2513839184198491E-4</v>
      </c>
      <c r="T150" s="127">
        <f t="shared" si="179"/>
        <v>2.1387588806577305E-4</v>
      </c>
      <c r="U150" s="127">
        <f t="shared" si="179"/>
        <v>2.0061237371785101E-4</v>
      </c>
      <c r="V150" s="127">
        <f t="shared" si="179"/>
        <v>7.4293375506782449E-5</v>
      </c>
      <c r="W150" s="127">
        <f t="shared" si="179"/>
        <v>6.2140730298457841E-5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0</v>
      </c>
      <c r="J151" s="31">
        <f t="shared" si="180"/>
        <v>0</v>
      </c>
      <c r="K151" s="31">
        <f t="shared" si="180"/>
        <v>0</v>
      </c>
      <c r="L151" s="31">
        <f t="shared" si="180"/>
        <v>0</v>
      </c>
      <c r="M151" s="31">
        <f t="shared" si="180"/>
        <v>0</v>
      </c>
      <c r="N151" s="31">
        <f t="shared" si="180"/>
        <v>0</v>
      </c>
      <c r="O151" s="31">
        <f t="shared" si="180"/>
        <v>0</v>
      </c>
      <c r="P151" s="31">
        <f t="shared" si="180"/>
        <v>0</v>
      </c>
      <c r="Q151" s="31">
        <f t="shared" si="180"/>
        <v>0</v>
      </c>
      <c r="R151" s="31">
        <f t="shared" si="180"/>
        <v>0</v>
      </c>
      <c r="S151" s="31">
        <f t="shared" si="180"/>
        <v>0</v>
      </c>
      <c r="T151" s="31">
        <f t="shared" si="180"/>
        <v>0</v>
      </c>
      <c r="U151" s="31">
        <f t="shared" si="180"/>
        <v>0</v>
      </c>
      <c r="V151" s="31">
        <f t="shared" si="180"/>
        <v>0</v>
      </c>
      <c r="W151" s="31">
        <f t="shared" si="180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</v>
      </c>
      <c r="J152" s="140">
        <f t="shared" si="181"/>
        <v>0</v>
      </c>
      <c r="K152" s="140">
        <f t="shared" si="181"/>
        <v>0</v>
      </c>
      <c r="L152" s="140">
        <f t="shared" si="181"/>
        <v>0</v>
      </c>
      <c r="M152" s="140">
        <f t="shared" si="181"/>
        <v>0</v>
      </c>
      <c r="N152" s="140">
        <f t="shared" si="181"/>
        <v>0</v>
      </c>
      <c r="O152" s="140">
        <f t="shared" si="181"/>
        <v>0</v>
      </c>
      <c r="P152" s="140">
        <f t="shared" si="181"/>
        <v>0</v>
      </c>
      <c r="Q152" s="140">
        <f t="shared" si="181"/>
        <v>0</v>
      </c>
      <c r="R152" s="140">
        <f t="shared" si="181"/>
        <v>0</v>
      </c>
      <c r="S152" s="140">
        <f t="shared" si="181"/>
        <v>0</v>
      </c>
      <c r="T152" s="140">
        <f t="shared" si="181"/>
        <v>0</v>
      </c>
      <c r="U152" s="140">
        <f t="shared" si="181"/>
        <v>0</v>
      </c>
      <c r="V152" s="140">
        <f t="shared" si="181"/>
        <v>0</v>
      </c>
      <c r="W152" s="140">
        <f t="shared" si="181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</v>
      </c>
      <c r="J153" s="127">
        <f t="shared" si="182"/>
        <v>0</v>
      </c>
      <c r="K153" s="127">
        <f t="shared" si="182"/>
        <v>0</v>
      </c>
      <c r="L153" s="127">
        <f t="shared" si="182"/>
        <v>0</v>
      </c>
      <c r="M153" s="127">
        <f t="shared" si="182"/>
        <v>0</v>
      </c>
      <c r="N153" s="127">
        <f t="shared" si="182"/>
        <v>0</v>
      </c>
      <c r="O153" s="127">
        <f t="shared" si="182"/>
        <v>0</v>
      </c>
      <c r="P153" s="127">
        <f t="shared" si="182"/>
        <v>0</v>
      </c>
      <c r="Q153" s="127">
        <f t="shared" si="182"/>
        <v>0</v>
      </c>
      <c r="R153" s="127">
        <f t="shared" si="182"/>
        <v>0</v>
      </c>
      <c r="S153" s="127">
        <f t="shared" si="182"/>
        <v>0</v>
      </c>
      <c r="T153" s="127">
        <f t="shared" si="182"/>
        <v>0</v>
      </c>
      <c r="U153" s="127">
        <f t="shared" si="182"/>
        <v>0</v>
      </c>
      <c r="V153" s="127">
        <f t="shared" si="182"/>
        <v>0</v>
      </c>
      <c r="W153" s="127">
        <f t="shared" si="182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0.9330465566040923</v>
      </c>
      <c r="C157" s="139">
        <f t="shared" ref="C157:W157" si="185">IF(C65=0,0,C65/C$64)</f>
        <v>0.92568231668398038</v>
      </c>
      <c r="D157" s="139">
        <f t="shared" si="185"/>
        <v>0.92157029100779608</v>
      </c>
      <c r="E157" s="139">
        <f t="shared" si="185"/>
        <v>0.9271095927393419</v>
      </c>
      <c r="F157" s="139">
        <f t="shared" si="185"/>
        <v>0.9207927335156435</v>
      </c>
      <c r="G157" s="139">
        <f t="shared" si="185"/>
        <v>0.92747123546816834</v>
      </c>
      <c r="H157" s="139">
        <f t="shared" si="185"/>
        <v>0.92867068837621003</v>
      </c>
      <c r="I157" s="139">
        <f t="shared" si="185"/>
        <v>0.91687814305666637</v>
      </c>
      <c r="J157" s="139">
        <f t="shared" si="185"/>
        <v>0.91536258979840446</v>
      </c>
      <c r="K157" s="139">
        <f t="shared" si="185"/>
        <v>0.89506765194462701</v>
      </c>
      <c r="L157" s="139">
        <f t="shared" si="185"/>
        <v>0.87825560092655575</v>
      </c>
      <c r="M157" s="139">
        <f t="shared" si="185"/>
        <v>0.90611232948139209</v>
      </c>
      <c r="N157" s="139">
        <f t="shared" si="185"/>
        <v>0.91810154556305568</v>
      </c>
      <c r="O157" s="139">
        <f t="shared" si="185"/>
        <v>0.91529874920346643</v>
      </c>
      <c r="P157" s="139">
        <f t="shared" si="185"/>
        <v>0.89157199245144969</v>
      </c>
      <c r="Q157" s="139">
        <f t="shared" si="185"/>
        <v>0.86610407305607351</v>
      </c>
      <c r="R157" s="139">
        <f t="shared" si="185"/>
        <v>0.83710213316832249</v>
      </c>
      <c r="S157" s="139">
        <f t="shared" si="185"/>
        <v>0.79119059531828684</v>
      </c>
      <c r="T157" s="139">
        <f t="shared" si="185"/>
        <v>0.75136401375947404</v>
      </c>
      <c r="U157" s="139">
        <f t="shared" si="185"/>
        <v>0.73473591741667366</v>
      </c>
      <c r="V157" s="139">
        <f t="shared" si="185"/>
        <v>0.86098321769802522</v>
      </c>
      <c r="W157" s="139">
        <f t="shared" si="185"/>
        <v>0.81644177412183294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1.5603647926734896E-3</v>
      </c>
      <c r="C158" s="140">
        <f t="shared" ref="C158:W158" si="186">IF(C66=0,0,C66/C$64)</f>
        <v>1.5362824235105718E-3</v>
      </c>
      <c r="D158" s="140">
        <f t="shared" si="186"/>
        <v>1.5648731787029145E-3</v>
      </c>
      <c r="E158" s="140">
        <f t="shared" si="186"/>
        <v>1.5056604566586025E-3</v>
      </c>
      <c r="F158" s="140">
        <f t="shared" si="186"/>
        <v>1.5483486719941387E-3</v>
      </c>
      <c r="G158" s="140">
        <f t="shared" si="186"/>
        <v>1.6288932128077701E-3</v>
      </c>
      <c r="H158" s="140">
        <f t="shared" si="186"/>
        <v>1.7054069540217197E-3</v>
      </c>
      <c r="I158" s="140">
        <f t="shared" si="186"/>
        <v>1.678788822858181E-3</v>
      </c>
      <c r="J158" s="140">
        <f t="shared" si="186"/>
        <v>1.6604838227339239E-3</v>
      </c>
      <c r="K158" s="140">
        <f t="shared" si="186"/>
        <v>1.6971176105006422E-3</v>
      </c>
      <c r="L158" s="140">
        <f t="shared" si="186"/>
        <v>1.7397995359188193E-3</v>
      </c>
      <c r="M158" s="140">
        <f t="shared" si="186"/>
        <v>1.6891107606325968E-3</v>
      </c>
      <c r="N158" s="140">
        <f t="shared" si="186"/>
        <v>1.8161094547006684E-3</v>
      </c>
      <c r="O158" s="140">
        <f t="shared" si="186"/>
        <v>1.9657656638471534E-3</v>
      </c>
      <c r="P158" s="140">
        <f t="shared" si="186"/>
        <v>1.9982610763350861E-3</v>
      </c>
      <c r="Q158" s="140">
        <f t="shared" si="186"/>
        <v>2.0584486042989928E-3</v>
      </c>
      <c r="R158" s="140">
        <f t="shared" si="186"/>
        <v>2.1129993259162362E-3</v>
      </c>
      <c r="S158" s="140">
        <f t="shared" si="186"/>
        <v>1.9593706269361542E-3</v>
      </c>
      <c r="T158" s="140">
        <f t="shared" si="186"/>
        <v>1.6971873430478561E-3</v>
      </c>
      <c r="U158" s="140">
        <f t="shared" si="186"/>
        <v>1.7383510959238816E-3</v>
      </c>
      <c r="V158" s="140">
        <f t="shared" si="186"/>
        <v>2.4159769282058826E-3</v>
      </c>
      <c r="W158" s="140">
        <f t="shared" si="186"/>
        <v>1.9545506406617539E-3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0.90551603066846031</v>
      </c>
      <c r="C159" s="140">
        <f t="shared" ref="C159:W159" si="187">IF(C67=0,0,C67/C$64)</f>
        <v>0.89824718299512651</v>
      </c>
      <c r="D159" s="140">
        <f t="shared" si="187"/>
        <v>0.89340984196945239</v>
      </c>
      <c r="E159" s="140">
        <f t="shared" si="187"/>
        <v>0.90027220574401057</v>
      </c>
      <c r="F159" s="140">
        <f t="shared" si="187"/>
        <v>0.89461651648758278</v>
      </c>
      <c r="G159" s="140">
        <f t="shared" si="187"/>
        <v>0.89961866299290894</v>
      </c>
      <c r="H159" s="140">
        <f t="shared" si="187"/>
        <v>0.89977858806644595</v>
      </c>
      <c r="I159" s="140">
        <f t="shared" si="187"/>
        <v>0.88833378623584014</v>
      </c>
      <c r="J159" s="140">
        <f t="shared" si="187"/>
        <v>0.88648465691842693</v>
      </c>
      <c r="K159" s="140">
        <f t="shared" si="187"/>
        <v>0.86561145986246246</v>
      </c>
      <c r="L159" s="140">
        <f t="shared" si="187"/>
        <v>0.84808790306355508</v>
      </c>
      <c r="M159" s="140">
        <f t="shared" si="187"/>
        <v>0.87623230657771012</v>
      </c>
      <c r="N159" s="140">
        <f t="shared" si="187"/>
        <v>0.88781490823115694</v>
      </c>
      <c r="O159" s="140">
        <f t="shared" si="187"/>
        <v>0.88313144894481965</v>
      </c>
      <c r="P159" s="140">
        <f t="shared" si="187"/>
        <v>0.85993405759989539</v>
      </c>
      <c r="Q159" s="140">
        <f t="shared" si="187"/>
        <v>0.83323278201280138</v>
      </c>
      <c r="R159" s="140">
        <f t="shared" si="187"/>
        <v>0.8036719844870116</v>
      </c>
      <c r="S159" s="140">
        <f t="shared" si="187"/>
        <v>0.75875892401295664</v>
      </c>
      <c r="T159" s="140">
        <f t="shared" si="187"/>
        <v>0.72139015410119889</v>
      </c>
      <c r="U159" s="140">
        <f t="shared" si="187"/>
        <v>0.70469701813574226</v>
      </c>
      <c r="V159" s="140">
        <f t="shared" si="187"/>
        <v>0.81705107976623892</v>
      </c>
      <c r="W159" s="140">
        <f t="shared" si="187"/>
        <v>0.77935024954188614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2.5970161142958598E-2</v>
      </c>
      <c r="C160" s="140">
        <f t="shared" ref="C160:W160" si="188">IF(C68=0,0,C68/C$64)</f>
        <v>2.5898851265343303E-2</v>
      </c>
      <c r="D160" s="140">
        <f t="shared" si="188"/>
        <v>2.6595575859640872E-2</v>
      </c>
      <c r="E160" s="140">
        <f t="shared" si="188"/>
        <v>2.5331726538672845E-2</v>
      </c>
      <c r="F160" s="140">
        <f t="shared" si="188"/>
        <v>2.4627868356066684E-2</v>
      </c>
      <c r="G160" s="140">
        <f t="shared" si="188"/>
        <v>2.62236792624518E-2</v>
      </c>
      <c r="H160" s="140">
        <f t="shared" si="188"/>
        <v>2.718669335574218E-2</v>
      </c>
      <c r="I160" s="140">
        <f t="shared" si="188"/>
        <v>2.6865567997967986E-2</v>
      </c>
      <c r="J160" s="140">
        <f t="shared" si="188"/>
        <v>2.7217449057243524E-2</v>
      </c>
      <c r="K160" s="140">
        <f t="shared" si="188"/>
        <v>2.7759074471663911E-2</v>
      </c>
      <c r="L160" s="140">
        <f t="shared" si="188"/>
        <v>2.8427898327081889E-2</v>
      </c>
      <c r="M160" s="140">
        <f t="shared" si="188"/>
        <v>2.819091214304939E-2</v>
      </c>
      <c r="N160" s="140">
        <f t="shared" si="188"/>
        <v>2.8470527877198181E-2</v>
      </c>
      <c r="O160" s="140">
        <f t="shared" si="188"/>
        <v>3.0201534594799535E-2</v>
      </c>
      <c r="P160" s="140">
        <f t="shared" si="188"/>
        <v>2.9639673775219252E-2</v>
      </c>
      <c r="Q160" s="140">
        <f t="shared" si="188"/>
        <v>3.0812842438973156E-2</v>
      </c>
      <c r="R160" s="140">
        <f t="shared" si="188"/>
        <v>3.1317149355394626E-2</v>
      </c>
      <c r="S160" s="140">
        <f t="shared" si="188"/>
        <v>3.0472300678394092E-2</v>
      </c>
      <c r="T160" s="140">
        <f t="shared" si="188"/>
        <v>2.8276672315227375E-2</v>
      </c>
      <c r="U160" s="140">
        <f t="shared" si="188"/>
        <v>2.8300548185007424E-2</v>
      </c>
      <c r="V160" s="140">
        <f t="shared" si="188"/>
        <v>4.1516161003580423E-2</v>
      </c>
      <c r="W160" s="140">
        <f t="shared" si="188"/>
        <v>3.5136973939284957E-2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6.1762050393276025E-3</v>
      </c>
      <c r="C161" s="124">
        <f t="shared" ref="C161:W161" si="189">IF(C69=0,0,C69/C$64)</f>
        <v>6.893897982960963E-3</v>
      </c>
      <c r="D161" s="124">
        <f t="shared" si="189"/>
        <v>6.4142120486244906E-3</v>
      </c>
      <c r="E161" s="124">
        <f t="shared" si="189"/>
        <v>4.4839801246218183E-3</v>
      </c>
      <c r="F161" s="124">
        <f t="shared" si="189"/>
        <v>3.4598462268763627E-3</v>
      </c>
      <c r="G161" s="124">
        <f t="shared" si="189"/>
        <v>2.482916542904467E-3</v>
      </c>
      <c r="H161" s="124">
        <f t="shared" si="189"/>
        <v>2.0514673064040596E-3</v>
      </c>
      <c r="I161" s="124">
        <f t="shared" si="189"/>
        <v>2.6867761003646637E-3</v>
      </c>
      <c r="J161" s="124">
        <f t="shared" si="189"/>
        <v>3.7978597800320795E-3</v>
      </c>
      <c r="K161" s="124">
        <f t="shared" si="189"/>
        <v>3.2046283659312477E-3</v>
      </c>
      <c r="L161" s="124">
        <f t="shared" si="189"/>
        <v>3.6485687984295235E-3</v>
      </c>
      <c r="M161" s="124">
        <f t="shared" si="189"/>
        <v>3.3538264847519979E-3</v>
      </c>
      <c r="N161" s="124">
        <f t="shared" si="189"/>
        <v>3.3816502306249397E-3</v>
      </c>
      <c r="O161" s="124">
        <f t="shared" si="189"/>
        <v>3.3710888522657987E-3</v>
      </c>
      <c r="P161" s="124">
        <f t="shared" si="189"/>
        <v>3.3944945340092501E-3</v>
      </c>
      <c r="Q161" s="124">
        <f t="shared" si="189"/>
        <v>2.7616059589524226E-3</v>
      </c>
      <c r="R161" s="124">
        <f t="shared" si="189"/>
        <v>2.8333212162550132E-3</v>
      </c>
      <c r="S161" s="124">
        <f t="shared" si="189"/>
        <v>2.4575498699070907E-3</v>
      </c>
      <c r="T161" s="124">
        <f t="shared" si="189"/>
        <v>2.7062009477346648E-3</v>
      </c>
      <c r="U161" s="124">
        <f t="shared" si="189"/>
        <v>2.5820359134345731E-3</v>
      </c>
      <c r="V161" s="124">
        <f t="shared" si="189"/>
        <v>3.9029559332553806E-3</v>
      </c>
      <c r="W161" s="124">
        <f t="shared" si="189"/>
        <v>3.562557782594841E-3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6.1762050393276025E-3</v>
      </c>
      <c r="C163" s="140">
        <f t="shared" ref="C163:W163" si="191">IF(C71=0,0,C71/C$64)</f>
        <v>6.893897982960963E-3</v>
      </c>
      <c r="D163" s="140">
        <f t="shared" si="191"/>
        <v>6.4142120486244906E-3</v>
      </c>
      <c r="E163" s="140">
        <f t="shared" si="191"/>
        <v>4.4839801246218183E-3</v>
      </c>
      <c r="F163" s="140">
        <f t="shared" si="191"/>
        <v>3.4598462268763627E-3</v>
      </c>
      <c r="G163" s="140">
        <f t="shared" si="191"/>
        <v>2.482916542904467E-3</v>
      </c>
      <c r="H163" s="140">
        <f t="shared" si="191"/>
        <v>2.0514673064040596E-3</v>
      </c>
      <c r="I163" s="140">
        <f t="shared" si="191"/>
        <v>2.6867761003646637E-3</v>
      </c>
      <c r="J163" s="140">
        <f t="shared" si="191"/>
        <v>3.7978597800320795E-3</v>
      </c>
      <c r="K163" s="140">
        <f t="shared" si="191"/>
        <v>3.2046283659312477E-3</v>
      </c>
      <c r="L163" s="140">
        <f t="shared" si="191"/>
        <v>3.6485687984295235E-3</v>
      </c>
      <c r="M163" s="140">
        <f t="shared" si="191"/>
        <v>3.3538264847519979E-3</v>
      </c>
      <c r="N163" s="140">
        <f t="shared" si="191"/>
        <v>3.3816502306249397E-3</v>
      </c>
      <c r="O163" s="140">
        <f t="shared" si="191"/>
        <v>3.3710888522657987E-3</v>
      </c>
      <c r="P163" s="140">
        <f t="shared" si="191"/>
        <v>3.3944945340092501E-3</v>
      </c>
      <c r="Q163" s="140">
        <f t="shared" si="191"/>
        <v>2.7616059589524226E-3</v>
      </c>
      <c r="R163" s="140">
        <f t="shared" si="191"/>
        <v>2.8333212162550132E-3</v>
      </c>
      <c r="S163" s="140">
        <f t="shared" si="191"/>
        <v>2.4575498699070907E-3</v>
      </c>
      <c r="T163" s="140">
        <f t="shared" si="191"/>
        <v>2.7062009477346648E-3</v>
      </c>
      <c r="U163" s="140">
        <f t="shared" si="191"/>
        <v>2.5820359134345731E-3</v>
      </c>
      <c r="V163" s="140">
        <f t="shared" si="191"/>
        <v>3.9029559332553806E-3</v>
      </c>
      <c r="W163" s="140">
        <f t="shared" si="191"/>
        <v>3.562557782594841E-3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6.077723835658011E-2</v>
      </c>
      <c r="C165" s="124">
        <f t="shared" ref="C165:W165" si="193">IF(C73=0,0,C73/C$64)</f>
        <v>6.7423785333058789E-2</v>
      </c>
      <c r="D165" s="124">
        <f t="shared" si="193"/>
        <v>7.201549694357938E-2</v>
      </c>
      <c r="E165" s="124">
        <f t="shared" si="193"/>
        <v>6.8406427136036313E-2</v>
      </c>
      <c r="F165" s="124">
        <f t="shared" si="193"/>
        <v>7.5747420257480089E-2</v>
      </c>
      <c r="G165" s="124">
        <f t="shared" si="193"/>
        <v>7.0045847988927018E-2</v>
      </c>
      <c r="H165" s="124">
        <f t="shared" si="193"/>
        <v>6.9277844317385845E-2</v>
      </c>
      <c r="I165" s="124">
        <f t="shared" si="193"/>
        <v>8.0435080842969006E-2</v>
      </c>
      <c r="J165" s="124">
        <f t="shared" si="193"/>
        <v>8.0839550421563447E-2</v>
      </c>
      <c r="K165" s="124">
        <f t="shared" si="193"/>
        <v>0.10172771968944183</v>
      </c>
      <c r="L165" s="124">
        <f t="shared" si="193"/>
        <v>0.11809583027501483</v>
      </c>
      <c r="M165" s="124">
        <f t="shared" si="193"/>
        <v>9.0533844033855962E-2</v>
      </c>
      <c r="N165" s="124">
        <f t="shared" si="193"/>
        <v>7.8516804206319443E-2</v>
      </c>
      <c r="O165" s="124">
        <f t="shared" si="193"/>
        <v>8.1330161944267787E-2</v>
      </c>
      <c r="P165" s="124">
        <f t="shared" si="193"/>
        <v>0.1050335130145411</v>
      </c>
      <c r="Q165" s="124">
        <f t="shared" si="193"/>
        <v>0.13113432098497393</v>
      </c>
      <c r="R165" s="124">
        <f t="shared" si="193"/>
        <v>0.16006454561542266</v>
      </c>
      <c r="S165" s="124">
        <f t="shared" si="193"/>
        <v>0.20635185481180612</v>
      </c>
      <c r="T165" s="124">
        <f t="shared" si="193"/>
        <v>0.24592978529279133</v>
      </c>
      <c r="U165" s="124">
        <f t="shared" si="193"/>
        <v>0.26268204666989181</v>
      </c>
      <c r="V165" s="124">
        <f t="shared" si="193"/>
        <v>0.13511382636871935</v>
      </c>
      <c r="W165" s="124">
        <f t="shared" si="193"/>
        <v>0.17999566809557233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4.5814061652221058E-2</v>
      </c>
      <c r="C167" s="140">
        <f t="shared" ref="C167:W167" si="195">IF(C75=0,0,C75/C$64)</f>
        <v>5.0821680835145919E-2</v>
      </c>
      <c r="D167" s="140">
        <f t="shared" si="195"/>
        <v>5.4282608992851762E-2</v>
      </c>
      <c r="E167" s="140">
        <f t="shared" si="195"/>
        <v>5.1563992874855615E-2</v>
      </c>
      <c r="F167" s="140">
        <f t="shared" si="195"/>
        <v>5.7094586813086524E-2</v>
      </c>
      <c r="G167" s="140">
        <f t="shared" si="195"/>
        <v>5.2992901629429767E-2</v>
      </c>
      <c r="H167" s="140">
        <f t="shared" si="195"/>
        <v>5.250072770703991E-2</v>
      </c>
      <c r="I167" s="140">
        <f t="shared" si="195"/>
        <v>6.1269439432348825E-2</v>
      </c>
      <c r="J167" s="140">
        <f t="shared" si="195"/>
        <v>6.0585237743050045E-2</v>
      </c>
      <c r="K167" s="140">
        <f t="shared" si="195"/>
        <v>7.5033893722646752E-2</v>
      </c>
      <c r="L167" s="140">
        <f t="shared" si="195"/>
        <v>8.7596040086920124E-2</v>
      </c>
      <c r="M167" s="140">
        <f t="shared" si="195"/>
        <v>6.6816336769289691E-2</v>
      </c>
      <c r="N167" s="140">
        <f t="shared" si="195"/>
        <v>5.8063841370401818E-2</v>
      </c>
      <c r="O167" s="140">
        <f t="shared" si="195"/>
        <v>6.0501903729647658E-2</v>
      </c>
      <c r="P167" s="140">
        <f t="shared" si="195"/>
        <v>7.8126724260387359E-2</v>
      </c>
      <c r="Q167" s="140">
        <f t="shared" si="195"/>
        <v>9.7709625925195276E-2</v>
      </c>
      <c r="R167" s="140">
        <f t="shared" si="195"/>
        <v>0.12120900080036477</v>
      </c>
      <c r="S167" s="140">
        <f t="shared" si="195"/>
        <v>0.15830239301558774</v>
      </c>
      <c r="T167" s="140">
        <f t="shared" si="195"/>
        <v>0.18775805275908081</v>
      </c>
      <c r="U167" s="140">
        <f t="shared" si="195"/>
        <v>0.19894037807027803</v>
      </c>
      <c r="V167" s="140">
        <f t="shared" si="195"/>
        <v>9.6340388601208415E-2</v>
      </c>
      <c r="W167" s="140">
        <f t="shared" si="195"/>
        <v>0.13326058473657396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1.4963176704359047E-2</v>
      </c>
      <c r="C168" s="140">
        <f t="shared" ref="C168:W168" si="196">IF(C76=0,0,C76/C$64)</f>
        <v>1.6602104497912874E-2</v>
      </c>
      <c r="D168" s="140">
        <f t="shared" si="196"/>
        <v>1.773288795072761E-2</v>
      </c>
      <c r="E168" s="140">
        <f t="shared" si="196"/>
        <v>1.6842434261180692E-2</v>
      </c>
      <c r="F168" s="140">
        <f t="shared" si="196"/>
        <v>1.8652833444393564E-2</v>
      </c>
      <c r="G168" s="140">
        <f t="shared" si="196"/>
        <v>1.7052946359497254E-2</v>
      </c>
      <c r="H168" s="140">
        <f t="shared" si="196"/>
        <v>1.6777116610345942E-2</v>
      </c>
      <c r="I168" s="140">
        <f t="shared" si="196"/>
        <v>1.9165641410620184E-2</v>
      </c>
      <c r="J168" s="140">
        <f t="shared" si="196"/>
        <v>2.0254312678513405E-2</v>
      </c>
      <c r="K168" s="140">
        <f t="shared" si="196"/>
        <v>2.6693825966795068E-2</v>
      </c>
      <c r="L168" s="140">
        <f t="shared" si="196"/>
        <v>3.0499790188094705E-2</v>
      </c>
      <c r="M168" s="140">
        <f t="shared" si="196"/>
        <v>2.3717507264566274E-2</v>
      </c>
      <c r="N168" s="140">
        <f t="shared" si="196"/>
        <v>2.0452962835917632E-2</v>
      </c>
      <c r="O168" s="140">
        <f t="shared" si="196"/>
        <v>2.0828258214620123E-2</v>
      </c>
      <c r="P168" s="140">
        <f t="shared" si="196"/>
        <v>2.6906788754153737E-2</v>
      </c>
      <c r="Q168" s="140">
        <f t="shared" si="196"/>
        <v>3.3424695059778665E-2</v>
      </c>
      <c r="R168" s="140">
        <f t="shared" si="196"/>
        <v>3.8855544815057902E-2</v>
      </c>
      <c r="S168" s="140">
        <f t="shared" si="196"/>
        <v>4.8049461796218412E-2</v>
      </c>
      <c r="T168" s="140">
        <f t="shared" si="196"/>
        <v>5.8171732533710524E-2</v>
      </c>
      <c r="U168" s="140">
        <f t="shared" si="196"/>
        <v>6.3741668599613804E-2</v>
      </c>
      <c r="V168" s="140">
        <f t="shared" si="196"/>
        <v>3.8773437767510931E-2</v>
      </c>
      <c r="W168" s="140">
        <f t="shared" si="196"/>
        <v>4.6735083358998362E-2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0.72145463180267355</v>
      </c>
      <c r="C170" s="139">
        <f t="shared" ref="C170:W170" si="199">IF(C78=0,0,C78/C$77)</f>
        <v>0.72452302899551646</v>
      </c>
      <c r="D170" s="139">
        <f t="shared" si="199"/>
        <v>0.72162134650073018</v>
      </c>
      <c r="E170" s="139">
        <f t="shared" si="199"/>
        <v>0.74122070987766175</v>
      </c>
      <c r="F170" s="139">
        <f t="shared" si="199"/>
        <v>0.77972546763595485</v>
      </c>
      <c r="G170" s="139">
        <f t="shared" si="199"/>
        <v>0.79311657563922555</v>
      </c>
      <c r="H170" s="139">
        <f t="shared" si="199"/>
        <v>0.79676074051325085</v>
      </c>
      <c r="I170" s="139">
        <f t="shared" si="199"/>
        <v>0.77550044175933908</v>
      </c>
      <c r="J170" s="139">
        <f t="shared" si="199"/>
        <v>0.77715056331925703</v>
      </c>
      <c r="K170" s="139">
        <f t="shared" si="199"/>
        <v>0.7753652843218708</v>
      </c>
      <c r="L170" s="139">
        <f t="shared" si="199"/>
        <v>0.79919681177003821</v>
      </c>
      <c r="M170" s="139">
        <f t="shared" si="199"/>
        <v>0.80847698531646661</v>
      </c>
      <c r="N170" s="139">
        <f t="shared" si="199"/>
        <v>0.80420157071380838</v>
      </c>
      <c r="O170" s="139">
        <f t="shared" si="199"/>
        <v>0.80391163943749466</v>
      </c>
      <c r="P170" s="139">
        <f t="shared" si="199"/>
        <v>0.7890207005142168</v>
      </c>
      <c r="Q170" s="139">
        <f t="shared" si="199"/>
        <v>0.75661312869196895</v>
      </c>
      <c r="R170" s="139">
        <f t="shared" si="199"/>
        <v>0.73951023619677725</v>
      </c>
      <c r="S170" s="139">
        <f t="shared" si="199"/>
        <v>0.74320443379767664</v>
      </c>
      <c r="T170" s="139">
        <f t="shared" si="199"/>
        <v>0.7744728911496116</v>
      </c>
      <c r="U170" s="139">
        <f t="shared" si="199"/>
        <v>0.80200533867441126</v>
      </c>
      <c r="V170" s="139">
        <f t="shared" si="199"/>
        <v>0.66560293030010764</v>
      </c>
      <c r="W170" s="139">
        <f t="shared" si="199"/>
        <v>0.66425151086350354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3.5522264117617518E-2</v>
      </c>
      <c r="C171" s="140">
        <f t="shared" ref="C171:W171" si="200">IF(C79=0,0,C79/C$77)</f>
        <v>3.4020556145904247E-2</v>
      </c>
      <c r="D171" s="140">
        <f t="shared" si="200"/>
        <v>3.3255033924729269E-2</v>
      </c>
      <c r="E171" s="140">
        <f t="shared" si="200"/>
        <v>3.0018911847115231E-2</v>
      </c>
      <c r="F171" s="140">
        <f t="shared" si="200"/>
        <v>2.432869244334334E-2</v>
      </c>
      <c r="G171" s="140">
        <f t="shared" si="200"/>
        <v>2.2648250277947982E-2</v>
      </c>
      <c r="H171" s="140">
        <f t="shared" si="200"/>
        <v>2.4785448246158498E-2</v>
      </c>
      <c r="I171" s="140">
        <f t="shared" si="200"/>
        <v>2.7145380528993141E-2</v>
      </c>
      <c r="J171" s="140">
        <f t="shared" si="200"/>
        <v>2.8221506359356826E-2</v>
      </c>
      <c r="K171" s="140">
        <f t="shared" si="200"/>
        <v>3.2263965861432001E-2</v>
      </c>
      <c r="L171" s="140">
        <f t="shared" si="200"/>
        <v>3.0823950608841497E-2</v>
      </c>
      <c r="M171" s="140">
        <f t="shared" si="200"/>
        <v>3.122454084250777E-2</v>
      </c>
      <c r="N171" s="140">
        <f t="shared" si="200"/>
        <v>3.4367231745796818E-2</v>
      </c>
      <c r="O171" s="140">
        <f t="shared" si="200"/>
        <v>3.4364212535614412E-2</v>
      </c>
      <c r="P171" s="140">
        <f t="shared" si="200"/>
        <v>3.7522926863204395E-2</v>
      </c>
      <c r="Q171" s="140">
        <f t="shared" si="200"/>
        <v>4.0792897465356505E-2</v>
      </c>
      <c r="R171" s="140">
        <f t="shared" si="200"/>
        <v>4.2718015379192731E-2</v>
      </c>
      <c r="S171" s="140">
        <f t="shared" si="200"/>
        <v>4.1120386780468622E-2</v>
      </c>
      <c r="T171" s="140">
        <f t="shared" si="200"/>
        <v>4.0327351399677684E-2</v>
      </c>
      <c r="U171" s="140">
        <f t="shared" si="200"/>
        <v>3.9896622950958131E-2</v>
      </c>
      <c r="V171" s="140">
        <f t="shared" si="200"/>
        <v>4.301284290966978E-2</v>
      </c>
      <c r="W171" s="140">
        <f t="shared" si="200"/>
        <v>4.3347857375900627E-2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0.68593236768505594</v>
      </c>
      <c r="C172" s="140">
        <f t="shared" ref="C172:W172" si="201">IF(C80=0,0,C80/C$77)</f>
        <v>0.6905024728496123</v>
      </c>
      <c r="D172" s="140">
        <f t="shared" si="201"/>
        <v>0.68836631257600089</v>
      </c>
      <c r="E172" s="140">
        <f t="shared" si="201"/>
        <v>0.71120179803054651</v>
      </c>
      <c r="F172" s="140">
        <f t="shared" si="201"/>
        <v>0.7553967751926115</v>
      </c>
      <c r="G172" s="140">
        <f t="shared" si="201"/>
        <v>0.77046832536127752</v>
      </c>
      <c r="H172" s="140">
        <f t="shared" si="201"/>
        <v>0.77197529226709238</v>
      </c>
      <c r="I172" s="140">
        <f t="shared" si="201"/>
        <v>0.7483550612303459</v>
      </c>
      <c r="J172" s="140">
        <f t="shared" si="201"/>
        <v>0.74892905695990031</v>
      </c>
      <c r="K172" s="140">
        <f t="shared" si="201"/>
        <v>0.74310131846043881</v>
      </c>
      <c r="L172" s="140">
        <f t="shared" si="201"/>
        <v>0.76837286116119674</v>
      </c>
      <c r="M172" s="140">
        <f t="shared" si="201"/>
        <v>0.77725244447395891</v>
      </c>
      <c r="N172" s="140">
        <f t="shared" si="201"/>
        <v>0.76983433896801168</v>
      </c>
      <c r="O172" s="140">
        <f t="shared" si="201"/>
        <v>0.76954742690188027</v>
      </c>
      <c r="P172" s="140">
        <f t="shared" si="201"/>
        <v>0.75149777365101234</v>
      </c>
      <c r="Q172" s="140">
        <f t="shared" si="201"/>
        <v>0.71582023122661254</v>
      </c>
      <c r="R172" s="140">
        <f t="shared" si="201"/>
        <v>0.69679222081758452</v>
      </c>
      <c r="S172" s="140">
        <f t="shared" si="201"/>
        <v>0.70208404701720806</v>
      </c>
      <c r="T172" s="140">
        <f t="shared" si="201"/>
        <v>0.73414553974993391</v>
      </c>
      <c r="U172" s="140">
        <f t="shared" si="201"/>
        <v>0.76210871572345318</v>
      </c>
      <c r="V172" s="140">
        <f t="shared" si="201"/>
        <v>0.62259008739043797</v>
      </c>
      <c r="W172" s="140">
        <f t="shared" si="201"/>
        <v>0.6209036534876029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2.1992105595794969E-3</v>
      </c>
      <c r="C173" s="124">
        <f t="shared" ref="C173:W173" si="202">IF(C81=0,0,C81/C$77)</f>
        <v>1.9943878219584824E-3</v>
      </c>
      <c r="D173" s="124">
        <f t="shared" si="202"/>
        <v>1.686968468656174E-3</v>
      </c>
      <c r="E173" s="124">
        <f t="shared" si="202"/>
        <v>1.25380499477912E-3</v>
      </c>
      <c r="F173" s="124">
        <f t="shared" si="202"/>
        <v>9.1116086602156061E-4</v>
      </c>
      <c r="G173" s="124">
        <f t="shared" si="202"/>
        <v>4.2032667785102623E-4</v>
      </c>
      <c r="H173" s="124">
        <f t="shared" si="202"/>
        <v>2.7546147856049588E-4</v>
      </c>
      <c r="I173" s="124">
        <f t="shared" si="202"/>
        <v>4.3680410488602716E-4</v>
      </c>
      <c r="J173" s="124">
        <f t="shared" si="202"/>
        <v>2.6447719002802359E-4</v>
      </c>
      <c r="K173" s="124">
        <f t="shared" si="202"/>
        <v>2.2851381030028402E-4</v>
      </c>
      <c r="L173" s="124">
        <f t="shared" si="202"/>
        <v>2.3678978075270752E-4</v>
      </c>
      <c r="M173" s="124">
        <f t="shared" si="202"/>
        <v>1.8624205063717624E-4</v>
      </c>
      <c r="N173" s="124">
        <f t="shared" si="202"/>
        <v>1.7970614897002099E-4</v>
      </c>
      <c r="O173" s="124">
        <f t="shared" si="202"/>
        <v>1.5766547620025417E-4</v>
      </c>
      <c r="P173" s="124">
        <f t="shared" si="202"/>
        <v>1.5990803921012741E-4</v>
      </c>
      <c r="Q173" s="124">
        <f t="shared" si="202"/>
        <v>1.3960933563126923E-4</v>
      </c>
      <c r="R173" s="124">
        <f t="shared" si="202"/>
        <v>1.3408346089127611E-4</v>
      </c>
      <c r="S173" s="124">
        <f t="shared" si="202"/>
        <v>1.2456335520357275E-4</v>
      </c>
      <c r="T173" s="124">
        <f t="shared" si="202"/>
        <v>1.3420429373186982E-4</v>
      </c>
      <c r="U173" s="124">
        <f t="shared" si="202"/>
        <v>1.1852558991609454E-4</v>
      </c>
      <c r="V173" s="124">
        <f t="shared" si="202"/>
        <v>1.5136786832895858E-4</v>
      </c>
      <c r="W173" s="124">
        <f t="shared" si="202"/>
        <v>1.1208196386540248E-4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0.27584821850977553</v>
      </c>
      <c r="C174" s="124">
        <f t="shared" ref="C174:W174" si="203">IF(C82=0,0,C82/C$77)</f>
        <v>0.2730275883368512</v>
      </c>
      <c r="D174" s="124">
        <f t="shared" si="203"/>
        <v>0.27626610470113216</v>
      </c>
      <c r="E174" s="124">
        <f t="shared" si="203"/>
        <v>0.25719378934908488</v>
      </c>
      <c r="F174" s="124">
        <f t="shared" si="203"/>
        <v>0.21906512312352405</v>
      </c>
      <c r="G174" s="124">
        <f t="shared" si="203"/>
        <v>0.20621172425868903</v>
      </c>
      <c r="H174" s="124">
        <f t="shared" si="203"/>
        <v>0.2026744104810316</v>
      </c>
      <c r="I174" s="124">
        <f t="shared" si="203"/>
        <v>0.22378285309409329</v>
      </c>
      <c r="J174" s="124">
        <f t="shared" si="203"/>
        <v>0.22229314707914288</v>
      </c>
      <c r="K174" s="124">
        <f t="shared" si="203"/>
        <v>0.2241391438141469</v>
      </c>
      <c r="L174" s="124">
        <f t="shared" si="203"/>
        <v>0.20026753472071074</v>
      </c>
      <c r="M174" s="124">
        <f t="shared" si="203"/>
        <v>0.19108545592645321</v>
      </c>
      <c r="N174" s="124">
        <f t="shared" si="203"/>
        <v>0.19536509408401473</v>
      </c>
      <c r="O174" s="124">
        <f t="shared" si="203"/>
        <v>0.19569964519253705</v>
      </c>
      <c r="P174" s="124">
        <f t="shared" si="203"/>
        <v>0.21057204369378452</v>
      </c>
      <c r="Q174" s="124">
        <f t="shared" si="203"/>
        <v>0.24300803395662354</v>
      </c>
      <c r="R174" s="124">
        <f t="shared" si="203"/>
        <v>0.26012926896374428</v>
      </c>
      <c r="S174" s="124">
        <f t="shared" si="203"/>
        <v>0.25644851635603899</v>
      </c>
      <c r="T174" s="124">
        <f t="shared" si="203"/>
        <v>0.22518118169886894</v>
      </c>
      <c r="U174" s="124">
        <f t="shared" si="203"/>
        <v>0.19767793925236135</v>
      </c>
      <c r="V174" s="124">
        <f t="shared" si="203"/>
        <v>0.33417249846499969</v>
      </c>
      <c r="W174" s="124">
        <f t="shared" si="203"/>
        <v>0.33557512704829784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1.4807213238728604E-2</v>
      </c>
      <c r="C176" s="140">
        <f t="shared" ref="C176:W176" si="205">IF(C84=0,0,C84/C$77)</f>
        <v>5.8460868093196906E-3</v>
      </c>
      <c r="D176" s="140">
        <f t="shared" si="205"/>
        <v>3.7684368911634876E-3</v>
      </c>
      <c r="E176" s="140">
        <f t="shared" si="205"/>
        <v>5.4630510761857114E-3</v>
      </c>
      <c r="F176" s="140">
        <f t="shared" si="205"/>
        <v>4.0926494392594451E-3</v>
      </c>
      <c r="G176" s="140">
        <f t="shared" si="205"/>
        <v>4.0272743753183102E-3</v>
      </c>
      <c r="H176" s="140">
        <f t="shared" si="205"/>
        <v>2.2257178792620606E-3</v>
      </c>
      <c r="I176" s="140">
        <f t="shared" si="205"/>
        <v>3.8133755786060558E-3</v>
      </c>
      <c r="J176" s="140">
        <f t="shared" si="205"/>
        <v>5.1265255524357706E-3</v>
      </c>
      <c r="K176" s="140">
        <f t="shared" si="205"/>
        <v>5.9508190828170262E-3</v>
      </c>
      <c r="L176" s="140">
        <f t="shared" si="205"/>
        <v>6.2599829556328618E-3</v>
      </c>
      <c r="M176" s="140">
        <f t="shared" si="205"/>
        <v>3.224256896274653E-3</v>
      </c>
      <c r="N176" s="140">
        <f t="shared" si="205"/>
        <v>3.2752405916893104E-3</v>
      </c>
      <c r="O176" s="140">
        <f t="shared" si="205"/>
        <v>3.5085018647155277E-3</v>
      </c>
      <c r="P176" s="140">
        <f t="shared" si="205"/>
        <v>4.5374436827177594E-3</v>
      </c>
      <c r="Q176" s="140">
        <f t="shared" si="205"/>
        <v>5.1864041686290651E-3</v>
      </c>
      <c r="R176" s="140">
        <f t="shared" si="205"/>
        <v>4.5012818011066335E-3</v>
      </c>
      <c r="S176" s="140">
        <f t="shared" si="205"/>
        <v>7.255334351719607E-3</v>
      </c>
      <c r="T176" s="140">
        <f t="shared" si="205"/>
        <v>7.0302878079738845E-3</v>
      </c>
      <c r="U176" s="140">
        <f t="shared" si="205"/>
        <v>7.2726364942016404E-3</v>
      </c>
      <c r="V176" s="140">
        <f t="shared" si="205"/>
        <v>6.3341973295366E-3</v>
      </c>
      <c r="W176" s="140">
        <f t="shared" si="205"/>
        <v>8.7912342265037031E-3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0.26104100527104696</v>
      </c>
      <c r="C177" s="140">
        <f t="shared" ref="C177:W177" si="206">IF(C85=0,0,C85/C$77)</f>
        <v>0.26718150152753156</v>
      </c>
      <c r="D177" s="140">
        <f t="shared" si="206"/>
        <v>0.2724976678099687</v>
      </c>
      <c r="E177" s="140">
        <f t="shared" si="206"/>
        <v>0.25173073827289916</v>
      </c>
      <c r="F177" s="140">
        <f t="shared" si="206"/>
        <v>0.21497247368426461</v>
      </c>
      <c r="G177" s="140">
        <f t="shared" si="206"/>
        <v>0.2021844498833707</v>
      </c>
      <c r="H177" s="140">
        <f t="shared" si="206"/>
        <v>0.20044869260176953</v>
      </c>
      <c r="I177" s="140">
        <f t="shared" si="206"/>
        <v>0.21996947751548723</v>
      </c>
      <c r="J177" s="140">
        <f t="shared" si="206"/>
        <v>0.21716662152670713</v>
      </c>
      <c r="K177" s="140">
        <f t="shared" si="206"/>
        <v>0.21818832473132985</v>
      </c>
      <c r="L177" s="140">
        <f t="shared" si="206"/>
        <v>0.19400755176507786</v>
      </c>
      <c r="M177" s="140">
        <f t="shared" si="206"/>
        <v>0.18786119903017859</v>
      </c>
      <c r="N177" s="140">
        <f t="shared" si="206"/>
        <v>0.19208985349232541</v>
      </c>
      <c r="O177" s="140">
        <f t="shared" si="206"/>
        <v>0.19219114332782153</v>
      </c>
      <c r="P177" s="140">
        <f t="shared" si="206"/>
        <v>0.20603460001106674</v>
      </c>
      <c r="Q177" s="140">
        <f t="shared" si="206"/>
        <v>0.23782162978799448</v>
      </c>
      <c r="R177" s="140">
        <f t="shared" si="206"/>
        <v>0.25562798716263763</v>
      </c>
      <c r="S177" s="140">
        <f t="shared" si="206"/>
        <v>0.24919318200431934</v>
      </c>
      <c r="T177" s="140">
        <f t="shared" si="206"/>
        <v>0.21815089389089506</v>
      </c>
      <c r="U177" s="140">
        <f t="shared" si="206"/>
        <v>0.1904053027581597</v>
      </c>
      <c r="V177" s="140">
        <f t="shared" si="206"/>
        <v>0.32783830113546303</v>
      </c>
      <c r="W177" s="140">
        <f t="shared" si="206"/>
        <v>0.3267838928217941</v>
      </c>
      <c r="DA177" s="175"/>
    </row>
    <row r="178" spans="1:105" ht="11.45" customHeight="1" x14ac:dyDescent="0.25">
      <c r="A178" s="109" t="s">
        <v>142</v>
      </c>
      <c r="B178" s="124">
        <f t="shared" si="197"/>
        <v>4.979391279713839E-4</v>
      </c>
      <c r="C178" s="124">
        <f t="shared" ref="C178:W178" si="207">IF(C86=0,0,C86/C$77)</f>
        <v>4.5499484567380666E-4</v>
      </c>
      <c r="D178" s="124">
        <f t="shared" si="207"/>
        <v>4.2558032948154936E-4</v>
      </c>
      <c r="E178" s="124">
        <f t="shared" si="207"/>
        <v>3.3169577847415061E-4</v>
      </c>
      <c r="F178" s="124">
        <f t="shared" si="207"/>
        <v>2.9824837449948311E-4</v>
      </c>
      <c r="G178" s="124">
        <f t="shared" si="207"/>
        <v>2.5137342423458983E-4</v>
      </c>
      <c r="H178" s="124">
        <f t="shared" si="207"/>
        <v>2.8938752715708144E-4</v>
      </c>
      <c r="I178" s="124">
        <f t="shared" si="207"/>
        <v>2.7990104168151234E-4</v>
      </c>
      <c r="J178" s="124">
        <f t="shared" si="207"/>
        <v>2.9181241157211386E-4</v>
      </c>
      <c r="K178" s="124">
        <f t="shared" si="207"/>
        <v>2.6705805368221837E-4</v>
      </c>
      <c r="L178" s="124">
        <f t="shared" si="207"/>
        <v>2.9886372849825246E-4</v>
      </c>
      <c r="M178" s="124">
        <f t="shared" si="207"/>
        <v>2.5131670644280222E-4</v>
      </c>
      <c r="N178" s="124">
        <f t="shared" si="207"/>
        <v>2.5362905320667546E-4</v>
      </c>
      <c r="O178" s="124">
        <f t="shared" si="207"/>
        <v>2.3104989376801507E-4</v>
      </c>
      <c r="P178" s="124">
        <f t="shared" si="207"/>
        <v>2.4734775278860752E-4</v>
      </c>
      <c r="Q178" s="124">
        <f t="shared" si="207"/>
        <v>2.3922801577622228E-4</v>
      </c>
      <c r="R178" s="124">
        <f t="shared" si="207"/>
        <v>2.2641137858724251E-4</v>
      </c>
      <c r="S178" s="124">
        <f t="shared" si="207"/>
        <v>2.2248649108083261E-4</v>
      </c>
      <c r="T178" s="124">
        <f t="shared" si="207"/>
        <v>2.1172285778773853E-4</v>
      </c>
      <c r="U178" s="124">
        <f t="shared" si="207"/>
        <v>1.9819648331135959E-4</v>
      </c>
      <c r="V178" s="124">
        <f t="shared" si="207"/>
        <v>7.3203366563634085E-5</v>
      </c>
      <c r="W178" s="124">
        <f t="shared" si="207"/>
        <v>6.1280124333392129E-5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4.979391279713839E-4</v>
      </c>
      <c r="C180" s="127">
        <f t="shared" ref="C180:W180" si="209">IF(C88=0,0,C88/C$77)</f>
        <v>4.5499484567380666E-4</v>
      </c>
      <c r="D180" s="127">
        <f t="shared" si="209"/>
        <v>4.2558032948154936E-4</v>
      </c>
      <c r="E180" s="127">
        <f t="shared" si="209"/>
        <v>3.3169577847415061E-4</v>
      </c>
      <c r="F180" s="127">
        <f t="shared" si="209"/>
        <v>2.9824837449948311E-4</v>
      </c>
      <c r="G180" s="127">
        <f t="shared" si="209"/>
        <v>2.5137342423458983E-4</v>
      </c>
      <c r="H180" s="127">
        <f t="shared" si="209"/>
        <v>2.8938752715708144E-4</v>
      </c>
      <c r="I180" s="127">
        <f t="shared" si="209"/>
        <v>2.7990104168151234E-4</v>
      </c>
      <c r="J180" s="127">
        <f t="shared" si="209"/>
        <v>2.9181241157211386E-4</v>
      </c>
      <c r="K180" s="127">
        <f t="shared" si="209"/>
        <v>2.6705805368221837E-4</v>
      </c>
      <c r="L180" s="127">
        <f t="shared" si="209"/>
        <v>2.9886372849825246E-4</v>
      </c>
      <c r="M180" s="127">
        <f t="shared" si="209"/>
        <v>2.5131670644280222E-4</v>
      </c>
      <c r="N180" s="127">
        <f t="shared" si="209"/>
        <v>2.5362905320667546E-4</v>
      </c>
      <c r="O180" s="127">
        <f t="shared" si="209"/>
        <v>2.3104989376801507E-4</v>
      </c>
      <c r="P180" s="127">
        <f t="shared" si="209"/>
        <v>2.4734775278860752E-4</v>
      </c>
      <c r="Q180" s="127">
        <f t="shared" si="209"/>
        <v>2.3922801577622228E-4</v>
      </c>
      <c r="R180" s="127">
        <f t="shared" si="209"/>
        <v>2.2641137858724251E-4</v>
      </c>
      <c r="S180" s="127">
        <f t="shared" si="209"/>
        <v>2.2248649108083261E-4</v>
      </c>
      <c r="T180" s="127">
        <f t="shared" si="209"/>
        <v>2.1172285778773853E-4</v>
      </c>
      <c r="U180" s="127">
        <f t="shared" si="209"/>
        <v>1.9819648331135959E-4</v>
      </c>
      <c r="V180" s="127">
        <f t="shared" si="209"/>
        <v>7.3203366563634085E-5</v>
      </c>
      <c r="W180" s="127">
        <f t="shared" si="209"/>
        <v>6.1280124333392129E-5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0</v>
      </c>
      <c r="J181" s="31">
        <f t="shared" si="210"/>
        <v>0</v>
      </c>
      <c r="K181" s="31">
        <f t="shared" si="210"/>
        <v>0</v>
      </c>
      <c r="L181" s="31">
        <f t="shared" si="210"/>
        <v>0</v>
      </c>
      <c r="M181" s="31">
        <f t="shared" si="210"/>
        <v>0</v>
      </c>
      <c r="N181" s="31">
        <f t="shared" si="210"/>
        <v>0</v>
      </c>
      <c r="O181" s="31">
        <f t="shared" si="210"/>
        <v>0</v>
      </c>
      <c r="P181" s="31">
        <f t="shared" si="210"/>
        <v>0</v>
      </c>
      <c r="Q181" s="31">
        <f t="shared" si="210"/>
        <v>0</v>
      </c>
      <c r="R181" s="31">
        <f t="shared" si="210"/>
        <v>0</v>
      </c>
      <c r="S181" s="31">
        <f t="shared" si="210"/>
        <v>0</v>
      </c>
      <c r="T181" s="31">
        <f t="shared" si="210"/>
        <v>0</v>
      </c>
      <c r="U181" s="31">
        <f t="shared" si="210"/>
        <v>0</v>
      </c>
      <c r="V181" s="31">
        <f t="shared" si="210"/>
        <v>0</v>
      </c>
      <c r="W181" s="31">
        <f t="shared" si="210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</v>
      </c>
      <c r="J182" s="140">
        <f t="shared" si="211"/>
        <v>0</v>
      </c>
      <c r="K182" s="140">
        <f t="shared" si="211"/>
        <v>0</v>
      </c>
      <c r="L182" s="140">
        <f t="shared" si="211"/>
        <v>0</v>
      </c>
      <c r="M182" s="140">
        <f t="shared" si="211"/>
        <v>0</v>
      </c>
      <c r="N182" s="140">
        <f t="shared" si="211"/>
        <v>0</v>
      </c>
      <c r="O182" s="140">
        <f t="shared" si="211"/>
        <v>0</v>
      </c>
      <c r="P182" s="140">
        <f t="shared" si="211"/>
        <v>0</v>
      </c>
      <c r="Q182" s="140">
        <f t="shared" si="211"/>
        <v>0</v>
      </c>
      <c r="R182" s="140">
        <f t="shared" si="211"/>
        <v>0</v>
      </c>
      <c r="S182" s="140">
        <f t="shared" si="211"/>
        <v>0</v>
      </c>
      <c r="T182" s="140">
        <f t="shared" si="211"/>
        <v>0</v>
      </c>
      <c r="U182" s="140">
        <f t="shared" si="211"/>
        <v>0</v>
      </c>
      <c r="V182" s="140">
        <f t="shared" si="211"/>
        <v>0</v>
      </c>
      <c r="W182" s="140">
        <f t="shared" si="211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</v>
      </c>
      <c r="J183" s="127">
        <f t="shared" si="212"/>
        <v>0</v>
      </c>
      <c r="K183" s="127">
        <f t="shared" si="212"/>
        <v>0</v>
      </c>
      <c r="L183" s="127">
        <f t="shared" si="212"/>
        <v>0</v>
      </c>
      <c r="M183" s="127">
        <f t="shared" si="212"/>
        <v>0</v>
      </c>
      <c r="N183" s="127">
        <f t="shared" si="212"/>
        <v>0</v>
      </c>
      <c r="O183" s="127">
        <f t="shared" si="212"/>
        <v>0</v>
      </c>
      <c r="P183" s="127">
        <f t="shared" si="212"/>
        <v>0</v>
      </c>
      <c r="Q183" s="127">
        <f t="shared" si="212"/>
        <v>0</v>
      </c>
      <c r="R183" s="127">
        <f t="shared" si="212"/>
        <v>0</v>
      </c>
      <c r="S183" s="127">
        <f t="shared" si="212"/>
        <v>0</v>
      </c>
      <c r="T183" s="127">
        <f t="shared" si="212"/>
        <v>0</v>
      </c>
      <c r="U183" s="127">
        <f t="shared" si="212"/>
        <v>0</v>
      </c>
      <c r="V183" s="127">
        <f t="shared" si="212"/>
        <v>0</v>
      </c>
      <c r="W183" s="127">
        <f t="shared" si="21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134.03674766993825</v>
      </c>
      <c r="C186" s="32">
        <f t="shared" si="213"/>
        <v>132.60325359057711</v>
      </c>
      <c r="D186" s="32">
        <f t="shared" si="213"/>
        <v>133.63141398433194</v>
      </c>
      <c r="E186" s="32">
        <f t="shared" si="213"/>
        <v>138.22640717949443</v>
      </c>
      <c r="F186" s="32">
        <f t="shared" si="213"/>
        <v>138.56770011238351</v>
      </c>
      <c r="G186" s="32">
        <f t="shared" si="213"/>
        <v>129.3173296117233</v>
      </c>
      <c r="H186" s="32">
        <f t="shared" si="213"/>
        <v>121.05371390129568</v>
      </c>
      <c r="I186" s="32">
        <f t="shared" si="213"/>
        <v>121.38721144546339</v>
      </c>
      <c r="J186" s="32">
        <f t="shared" si="213"/>
        <v>120.39740792139958</v>
      </c>
      <c r="K186" s="32">
        <f t="shared" si="213"/>
        <v>121.84062505222184</v>
      </c>
      <c r="L186" s="32">
        <f t="shared" si="213"/>
        <v>122.38985922199058</v>
      </c>
      <c r="M186" s="32">
        <f t="shared" si="213"/>
        <v>124.6302330928049</v>
      </c>
      <c r="N186" s="32">
        <f t="shared" si="213"/>
        <v>121.42469314456449</v>
      </c>
      <c r="O186" s="32">
        <f t="shared" si="213"/>
        <v>111.25954047622717</v>
      </c>
      <c r="P186" s="32">
        <f t="shared" si="213"/>
        <v>107.30235377897733</v>
      </c>
      <c r="Q186" s="32">
        <f t="shared" si="213"/>
        <v>102.03446465118836</v>
      </c>
      <c r="R186" s="32">
        <f t="shared" si="213"/>
        <v>98.705156156322204</v>
      </c>
      <c r="S186" s="32">
        <f t="shared" si="213"/>
        <v>98.144314681620799</v>
      </c>
      <c r="T186" s="32">
        <f t="shared" si="213"/>
        <v>102.38412125068919</v>
      </c>
      <c r="U186" s="32">
        <f t="shared" si="213"/>
        <v>98.365261058664032</v>
      </c>
      <c r="V186" s="32">
        <f t="shared" si="213"/>
        <v>88.477324408660678</v>
      </c>
      <c r="W186" s="32">
        <f t="shared" ref="W186" si="214">IF(W34=0,0,W34/W4*1000)</f>
        <v>91.482057349431983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146.16690861536787</v>
      </c>
      <c r="C187" s="141">
        <f t="shared" si="215"/>
        <v>144.27135485659537</v>
      </c>
      <c r="D187" s="141">
        <f t="shared" si="215"/>
        <v>144.08316277607165</v>
      </c>
      <c r="E187" s="141">
        <f t="shared" si="215"/>
        <v>149.96317202984855</v>
      </c>
      <c r="F187" s="141">
        <f t="shared" si="215"/>
        <v>150.01689474972295</v>
      </c>
      <c r="G187" s="141">
        <f t="shared" si="215"/>
        <v>140.30043535535594</v>
      </c>
      <c r="H187" s="141">
        <f t="shared" si="215"/>
        <v>130.84272713833028</v>
      </c>
      <c r="I187" s="141">
        <f t="shared" si="215"/>
        <v>130.44556801694927</v>
      </c>
      <c r="J187" s="141">
        <f t="shared" si="215"/>
        <v>130.0415637251788</v>
      </c>
      <c r="K187" s="141">
        <f t="shared" si="215"/>
        <v>127.61252892180653</v>
      </c>
      <c r="L187" s="141">
        <f t="shared" si="215"/>
        <v>127.63813546763001</v>
      </c>
      <c r="M187" s="141">
        <f t="shared" si="215"/>
        <v>134.09261087770554</v>
      </c>
      <c r="N187" s="141">
        <f t="shared" si="215"/>
        <v>130.77058309393229</v>
      </c>
      <c r="O187" s="141">
        <f t="shared" si="215"/>
        <v>121.11728678278737</v>
      </c>
      <c r="P187" s="141">
        <f t="shared" si="215"/>
        <v>115.53767504595604</v>
      </c>
      <c r="Q187" s="141">
        <f t="shared" si="215"/>
        <v>108.66388869649153</v>
      </c>
      <c r="R187" s="141">
        <f t="shared" si="215"/>
        <v>103.08651345990809</v>
      </c>
      <c r="S187" s="141">
        <f t="shared" si="215"/>
        <v>101.01273392783827</v>
      </c>
      <c r="T187" s="141">
        <f t="shared" si="215"/>
        <v>103.11511906683513</v>
      </c>
      <c r="U187" s="141">
        <f t="shared" si="215"/>
        <v>99.09685399824383</v>
      </c>
      <c r="V187" s="141">
        <f t="shared" si="215"/>
        <v>88.906511946324514</v>
      </c>
      <c r="W187" s="141">
        <f t="shared" ref="W187" si="216">IF(W35=0,0,W35/W5*1000)</f>
        <v>92.350169435049736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43.945260837309618</v>
      </c>
      <c r="C188" s="97">
        <f t="shared" si="217"/>
        <v>42.838679383230641</v>
      </c>
      <c r="D188" s="97">
        <f t="shared" si="217"/>
        <v>41.75557922565099</v>
      </c>
      <c r="E188" s="97">
        <f t="shared" si="217"/>
        <v>41.279112172290347</v>
      </c>
      <c r="F188" s="97">
        <f t="shared" si="217"/>
        <v>40.727628046438973</v>
      </c>
      <c r="G188" s="97">
        <f t="shared" si="217"/>
        <v>39.683618703171284</v>
      </c>
      <c r="H188" s="97">
        <f t="shared" si="217"/>
        <v>39.155260718173764</v>
      </c>
      <c r="I188" s="97">
        <f t="shared" si="217"/>
        <v>37.757474865961967</v>
      </c>
      <c r="J188" s="97">
        <f t="shared" si="217"/>
        <v>37.632211275104559</v>
      </c>
      <c r="K188" s="97">
        <f t="shared" si="217"/>
        <v>37.217037997874854</v>
      </c>
      <c r="L188" s="97">
        <f t="shared" si="217"/>
        <v>36.774939252465195</v>
      </c>
      <c r="M188" s="97">
        <f t="shared" si="217"/>
        <v>36.404848914513366</v>
      </c>
      <c r="N188" s="97">
        <f t="shared" si="217"/>
        <v>36.20090932051022</v>
      </c>
      <c r="O188" s="97">
        <f t="shared" si="217"/>
        <v>35.675163822205533</v>
      </c>
      <c r="P188" s="97">
        <f t="shared" si="217"/>
        <v>35.096544143892338</v>
      </c>
      <c r="Q188" s="97">
        <f t="shared" si="217"/>
        <v>34.615181161911558</v>
      </c>
      <c r="R188" s="97">
        <f t="shared" si="217"/>
        <v>34.127042473316401</v>
      </c>
      <c r="S188" s="97">
        <f t="shared" si="217"/>
        <v>34.730733332453674</v>
      </c>
      <c r="T188" s="97">
        <f t="shared" si="217"/>
        <v>34.857223224584466</v>
      </c>
      <c r="U188" s="97">
        <f t="shared" si="217"/>
        <v>34.314053226997778</v>
      </c>
      <c r="V188" s="97">
        <f t="shared" si="217"/>
        <v>34.006392626418162</v>
      </c>
      <c r="W188" s="97">
        <f t="shared" ref="W188" si="218">IF(W36=0,0,W36/W6*1000)</f>
        <v>30.880239134867661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158.64773465409317</v>
      </c>
      <c r="C189" s="97">
        <f t="shared" si="219"/>
        <v>157.0027826745804</v>
      </c>
      <c r="D189" s="97">
        <f t="shared" si="219"/>
        <v>157.85156473247812</v>
      </c>
      <c r="E189" s="97">
        <f t="shared" si="219"/>
        <v>164.7385846409116</v>
      </c>
      <c r="F189" s="97">
        <f t="shared" si="219"/>
        <v>165.34958570050475</v>
      </c>
      <c r="G189" s="97">
        <f t="shared" si="219"/>
        <v>154.49096452470988</v>
      </c>
      <c r="H189" s="97">
        <f t="shared" si="219"/>
        <v>143.79516200149223</v>
      </c>
      <c r="I189" s="97">
        <f t="shared" si="219"/>
        <v>143.85612219908023</v>
      </c>
      <c r="J189" s="97">
        <f t="shared" si="219"/>
        <v>144.0372645803229</v>
      </c>
      <c r="K189" s="97">
        <f t="shared" si="219"/>
        <v>141.10495456412406</v>
      </c>
      <c r="L189" s="97">
        <f t="shared" si="219"/>
        <v>142.15078377551166</v>
      </c>
      <c r="M189" s="97">
        <f t="shared" si="219"/>
        <v>150.26359964380336</v>
      </c>
      <c r="N189" s="97">
        <f t="shared" si="219"/>
        <v>146.46650901113171</v>
      </c>
      <c r="O189" s="97">
        <f t="shared" si="219"/>
        <v>135.42647763255215</v>
      </c>
      <c r="P189" s="97">
        <f t="shared" si="219"/>
        <v>128.66361160127101</v>
      </c>
      <c r="Q189" s="97">
        <f t="shared" si="219"/>
        <v>121.12272793715795</v>
      </c>
      <c r="R189" s="97">
        <f t="shared" si="219"/>
        <v>114.51921933045421</v>
      </c>
      <c r="S189" s="97">
        <f t="shared" si="219"/>
        <v>112.1691491357813</v>
      </c>
      <c r="T189" s="97">
        <f t="shared" si="219"/>
        <v>114.57035404627906</v>
      </c>
      <c r="U189" s="97">
        <f t="shared" si="219"/>
        <v>110.21152362818071</v>
      </c>
      <c r="V189" s="97">
        <f t="shared" si="219"/>
        <v>94.755557808929751</v>
      </c>
      <c r="W189" s="97">
        <f t="shared" ref="W189" si="220">IF(W37=0,0,W37/W7*1000)</f>
        <v>99.080988149783124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39.311598209557545</v>
      </c>
      <c r="C190" s="97">
        <f t="shared" si="221"/>
        <v>38.112988002640343</v>
      </c>
      <c r="D190" s="97">
        <f t="shared" si="221"/>
        <v>36.9568252930735</v>
      </c>
      <c r="E190" s="97">
        <f t="shared" si="221"/>
        <v>36.209979264988213</v>
      </c>
      <c r="F190" s="97">
        <f t="shared" si="221"/>
        <v>34.816626061509545</v>
      </c>
      <c r="G190" s="97">
        <f t="shared" si="221"/>
        <v>34.316278943302514</v>
      </c>
      <c r="H190" s="97">
        <f t="shared" si="221"/>
        <v>33.406506688787019</v>
      </c>
      <c r="I190" s="97">
        <f t="shared" si="221"/>
        <v>32.771198143819447</v>
      </c>
      <c r="J190" s="97">
        <f t="shared" si="221"/>
        <v>31.996865428156891</v>
      </c>
      <c r="K190" s="97">
        <f t="shared" si="221"/>
        <v>32.918988411921021</v>
      </c>
      <c r="L190" s="97">
        <f t="shared" si="221"/>
        <v>32.407484491681828</v>
      </c>
      <c r="M190" s="97">
        <f t="shared" si="221"/>
        <v>31.558964176199446</v>
      </c>
      <c r="N190" s="97">
        <f t="shared" si="221"/>
        <v>30.998717276522481</v>
      </c>
      <c r="O190" s="97">
        <f t="shared" si="221"/>
        <v>30.553210622661624</v>
      </c>
      <c r="P190" s="97">
        <f t="shared" si="221"/>
        <v>30.133325139267345</v>
      </c>
      <c r="Q190" s="97">
        <f t="shared" si="221"/>
        <v>29.610706245519737</v>
      </c>
      <c r="R190" s="97">
        <f t="shared" si="221"/>
        <v>29.827359817944785</v>
      </c>
      <c r="S190" s="97">
        <f t="shared" si="221"/>
        <v>30.029430420675542</v>
      </c>
      <c r="T190" s="97">
        <f t="shared" si="221"/>
        <v>30.039313032841143</v>
      </c>
      <c r="U190" s="97">
        <f t="shared" si="221"/>
        <v>29.618548987595997</v>
      </c>
      <c r="V190" s="97">
        <f t="shared" si="221"/>
        <v>42.991949785438436</v>
      </c>
      <c r="W190" s="97">
        <f t="shared" ref="W190" si="222">IF(W38=0,0,W38/W8*1000)</f>
        <v>39.729451503560192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25.560205994544944</v>
      </c>
      <c r="C191" s="130">
        <f t="shared" si="223"/>
        <v>28.220596914468381</v>
      </c>
      <c r="D191" s="130">
        <f t="shared" si="223"/>
        <v>35.550044457541027</v>
      </c>
      <c r="E191" s="130">
        <f t="shared" si="223"/>
        <v>30.20242342981323</v>
      </c>
      <c r="F191" s="130">
        <f t="shared" si="223"/>
        <v>28.483463603350163</v>
      </c>
      <c r="G191" s="130">
        <f t="shared" si="223"/>
        <v>31.704989797450899</v>
      </c>
      <c r="H191" s="130">
        <f t="shared" si="223"/>
        <v>30.733717839439041</v>
      </c>
      <c r="I191" s="130">
        <f t="shared" si="223"/>
        <v>31.504868680707787</v>
      </c>
      <c r="J191" s="130">
        <f t="shared" si="223"/>
        <v>34.215174618732135</v>
      </c>
      <c r="K191" s="130">
        <f t="shared" si="223"/>
        <v>34.765295573677101</v>
      </c>
      <c r="L191" s="130">
        <f t="shared" si="223"/>
        <v>35.972020034986848</v>
      </c>
      <c r="M191" s="130">
        <f t="shared" si="223"/>
        <v>38.067299981433038</v>
      </c>
      <c r="N191" s="130">
        <f t="shared" si="223"/>
        <v>36.267911695146495</v>
      </c>
      <c r="O191" s="130">
        <f t="shared" si="223"/>
        <v>35.415366776640262</v>
      </c>
      <c r="P191" s="130">
        <f t="shared" si="223"/>
        <v>37.227459616389766</v>
      </c>
      <c r="Q191" s="130">
        <f t="shared" si="223"/>
        <v>32.58569772228546</v>
      </c>
      <c r="R191" s="130">
        <f t="shared" si="223"/>
        <v>32.877848563919649</v>
      </c>
      <c r="S191" s="130">
        <f t="shared" si="223"/>
        <v>31.387219701789718</v>
      </c>
      <c r="T191" s="130">
        <f t="shared" si="223"/>
        <v>32.219274863275913</v>
      </c>
      <c r="U191" s="130">
        <f t="shared" si="223"/>
        <v>30.119280670630609</v>
      </c>
      <c r="V191" s="130">
        <f t="shared" si="223"/>
        <v>45.092898323025715</v>
      </c>
      <c r="W191" s="130">
        <f t="shared" ref="W191" si="224">IF(W39=0,0,W39/W9*1000)</f>
        <v>43.794828007467345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0</v>
      </c>
      <c r="G192" s="97">
        <f t="shared" si="225"/>
        <v>0</v>
      </c>
      <c r="H192" s="97">
        <f t="shared" si="225"/>
        <v>0</v>
      </c>
      <c r="I192" s="97">
        <f t="shared" si="225"/>
        <v>0</v>
      </c>
      <c r="J192" s="97">
        <f t="shared" si="225"/>
        <v>0</v>
      </c>
      <c r="K192" s="97">
        <f t="shared" si="225"/>
        <v>0</v>
      </c>
      <c r="L192" s="97">
        <f t="shared" si="225"/>
        <v>0</v>
      </c>
      <c r="M192" s="97">
        <f t="shared" si="225"/>
        <v>0</v>
      </c>
      <c r="N192" s="97">
        <f t="shared" si="225"/>
        <v>0</v>
      </c>
      <c r="O192" s="97">
        <f t="shared" si="225"/>
        <v>0</v>
      </c>
      <c r="P192" s="97">
        <f t="shared" si="225"/>
        <v>0</v>
      </c>
      <c r="Q192" s="97">
        <f t="shared" si="225"/>
        <v>0</v>
      </c>
      <c r="R192" s="97">
        <f t="shared" si="225"/>
        <v>0</v>
      </c>
      <c r="S192" s="97">
        <f t="shared" si="225"/>
        <v>0</v>
      </c>
      <c r="T192" s="97">
        <f t="shared" si="225"/>
        <v>8.5146547816086802</v>
      </c>
      <c r="U192" s="97">
        <f t="shared" si="225"/>
        <v>8.4037484434538197</v>
      </c>
      <c r="V192" s="97">
        <f t="shared" si="225"/>
        <v>8.398466633247649</v>
      </c>
      <c r="W192" s="97">
        <f t="shared" ref="W192" si="226">IF(W40=0,0,W40/W10*1000)</f>
        <v>7.7977603736879999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25.560205994544944</v>
      </c>
      <c r="C193" s="97">
        <f t="shared" si="227"/>
        <v>28.220596914468381</v>
      </c>
      <c r="D193" s="97">
        <f t="shared" si="227"/>
        <v>35.550044457541027</v>
      </c>
      <c r="E193" s="97">
        <f t="shared" si="227"/>
        <v>30.20242342981323</v>
      </c>
      <c r="F193" s="97">
        <f t="shared" si="227"/>
        <v>28.483463603350163</v>
      </c>
      <c r="G193" s="97">
        <f t="shared" si="227"/>
        <v>31.704989797450899</v>
      </c>
      <c r="H193" s="97">
        <f t="shared" si="227"/>
        <v>30.733717839439041</v>
      </c>
      <c r="I193" s="97">
        <f t="shared" si="227"/>
        <v>31.504868680707787</v>
      </c>
      <c r="J193" s="97">
        <f t="shared" si="227"/>
        <v>34.215174618732135</v>
      </c>
      <c r="K193" s="97">
        <f t="shared" si="227"/>
        <v>34.765295573677101</v>
      </c>
      <c r="L193" s="97">
        <f t="shared" si="227"/>
        <v>35.972020034986848</v>
      </c>
      <c r="M193" s="97">
        <f t="shared" si="227"/>
        <v>38.067299981433038</v>
      </c>
      <c r="N193" s="97">
        <f t="shared" si="227"/>
        <v>36.267911695146495</v>
      </c>
      <c r="O193" s="97">
        <f t="shared" si="227"/>
        <v>35.415366776640262</v>
      </c>
      <c r="P193" s="97">
        <f t="shared" si="227"/>
        <v>37.227459616389766</v>
      </c>
      <c r="Q193" s="97">
        <f t="shared" si="227"/>
        <v>32.58569772228546</v>
      </c>
      <c r="R193" s="97">
        <f t="shared" si="227"/>
        <v>32.877848563919649</v>
      </c>
      <c r="S193" s="97">
        <f t="shared" si="227"/>
        <v>31.387219701789718</v>
      </c>
      <c r="T193" s="97">
        <f t="shared" si="227"/>
        <v>33.262706221272552</v>
      </c>
      <c r="U193" s="97">
        <f t="shared" si="227"/>
        <v>31.582616751598028</v>
      </c>
      <c r="V193" s="97">
        <f t="shared" si="227"/>
        <v>49.437589070042662</v>
      </c>
      <c r="W193" s="97">
        <f t="shared" ref="W193" si="228">IF(W41=0,0,W41/W11*1000)</f>
        <v>47.836486912091715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79.869771404469887</v>
      </c>
      <c r="C195" s="130">
        <f t="shared" si="231"/>
        <v>83.495492878794977</v>
      </c>
      <c r="D195" s="130">
        <f t="shared" si="231"/>
        <v>84.393287414263185</v>
      </c>
      <c r="E195" s="130">
        <f t="shared" si="231"/>
        <v>81.835856529972688</v>
      </c>
      <c r="F195" s="130">
        <f t="shared" si="231"/>
        <v>86.326261703990752</v>
      </c>
      <c r="G195" s="130">
        <f t="shared" si="231"/>
        <v>76.286044598981704</v>
      </c>
      <c r="H195" s="130">
        <f t="shared" si="231"/>
        <v>74.281961205096266</v>
      </c>
      <c r="I195" s="130">
        <f t="shared" si="231"/>
        <v>82.671860122310562</v>
      </c>
      <c r="J195" s="130">
        <f t="shared" si="231"/>
        <v>79.804475583740171</v>
      </c>
      <c r="K195" s="130">
        <f t="shared" si="231"/>
        <v>107.00896096716177</v>
      </c>
      <c r="L195" s="130">
        <f t="shared" si="231"/>
        <v>114.02262772514494</v>
      </c>
      <c r="M195" s="130">
        <f t="shared" si="231"/>
        <v>87.976523936858015</v>
      </c>
      <c r="N195" s="130">
        <f t="shared" si="231"/>
        <v>82.215496356112325</v>
      </c>
      <c r="O195" s="130">
        <f t="shared" si="231"/>
        <v>70.693071427471665</v>
      </c>
      <c r="P195" s="130">
        <f t="shared" si="231"/>
        <v>77.504332354253393</v>
      </c>
      <c r="Q195" s="130">
        <f t="shared" si="231"/>
        <v>84.949646764291003</v>
      </c>
      <c r="R195" s="130">
        <f t="shared" si="231"/>
        <v>92.715148491525269</v>
      </c>
      <c r="S195" s="130">
        <f t="shared" si="231"/>
        <v>99.819673257062476</v>
      </c>
      <c r="T195" s="130">
        <f t="shared" si="231"/>
        <v>112.33617103515829</v>
      </c>
      <c r="U195" s="130">
        <f t="shared" si="231"/>
        <v>107.69463930257554</v>
      </c>
      <c r="V195" s="130">
        <f t="shared" si="231"/>
        <v>97.606068184453818</v>
      </c>
      <c r="W195" s="130">
        <f t="shared" ref="W195" si="232">IF(W43=0,0,W43/W13*1000)</f>
        <v>96.777631508797953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70.446561966694134</v>
      </c>
      <c r="C197" s="97">
        <f t="shared" si="235"/>
        <v>73.846903107284902</v>
      </c>
      <c r="D197" s="97">
        <f t="shared" si="235"/>
        <v>74.907390038050664</v>
      </c>
      <c r="E197" s="97">
        <f t="shared" si="235"/>
        <v>73.009371261429123</v>
      </c>
      <c r="F197" s="97">
        <f t="shared" si="235"/>
        <v>77.475131882568903</v>
      </c>
      <c r="G197" s="97">
        <f t="shared" si="235"/>
        <v>71.642906709267095</v>
      </c>
      <c r="H197" s="97">
        <f t="shared" si="235"/>
        <v>72.022221901913937</v>
      </c>
      <c r="I197" s="97">
        <f t="shared" si="235"/>
        <v>91.304684856333495</v>
      </c>
      <c r="J197" s="97">
        <f t="shared" si="235"/>
        <v>96.869751716803606</v>
      </c>
      <c r="K197" s="97">
        <f t="shared" si="235"/>
        <v>140.48689127541761</v>
      </c>
      <c r="L197" s="97">
        <f t="shared" si="235"/>
        <v>156.59843185975876</v>
      </c>
      <c r="M197" s="97">
        <f t="shared" si="235"/>
        <v>102.58251013690169</v>
      </c>
      <c r="N197" s="97">
        <f t="shared" si="235"/>
        <v>86.918684921679656</v>
      </c>
      <c r="O197" s="97">
        <f t="shared" si="235"/>
        <v>72.879842192612557</v>
      </c>
      <c r="P197" s="97">
        <f t="shared" si="235"/>
        <v>82.241689792886731</v>
      </c>
      <c r="Q197" s="97">
        <f t="shared" si="235"/>
        <v>90.398689858445977</v>
      </c>
      <c r="R197" s="97">
        <f t="shared" si="235"/>
        <v>94.444735396802429</v>
      </c>
      <c r="S197" s="97">
        <f t="shared" si="235"/>
        <v>104.38966388361504</v>
      </c>
      <c r="T197" s="97">
        <f t="shared" si="235"/>
        <v>120.95359568253174</v>
      </c>
      <c r="U197" s="97">
        <f t="shared" si="235"/>
        <v>118.30874954459846</v>
      </c>
      <c r="V197" s="97">
        <f t="shared" si="235"/>
        <v>93.559207082056005</v>
      </c>
      <c r="W197" s="97">
        <f t="shared" ref="W197" si="236">IF(W45=0,0,W45/W15*1000)</f>
        <v>100.59158330187964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135.27085671153128</v>
      </c>
      <c r="C198" s="97">
        <f t="shared" si="237"/>
        <v>139.15006531217776</v>
      </c>
      <c r="D198" s="97">
        <f t="shared" si="237"/>
        <v>137.8177485682005</v>
      </c>
      <c r="E198" s="97">
        <f t="shared" si="237"/>
        <v>129.92439434918717</v>
      </c>
      <c r="F198" s="97">
        <f t="shared" si="237"/>
        <v>132.74686525727245</v>
      </c>
      <c r="G198" s="97">
        <f t="shared" si="237"/>
        <v>95.524568217339805</v>
      </c>
      <c r="H198" s="97">
        <f t="shared" si="237"/>
        <v>82.369290960621157</v>
      </c>
      <c r="I198" s="97">
        <f t="shared" si="237"/>
        <v>63.48338421972592</v>
      </c>
      <c r="J198" s="97">
        <f t="shared" si="237"/>
        <v>52.263765387360237</v>
      </c>
      <c r="K198" s="97">
        <f t="shared" si="237"/>
        <v>64.08345778422904</v>
      </c>
      <c r="L198" s="97">
        <f t="shared" si="237"/>
        <v>64.027374921509704</v>
      </c>
      <c r="M198" s="97">
        <f t="shared" si="237"/>
        <v>62.790271809687809</v>
      </c>
      <c r="N198" s="97">
        <f t="shared" si="237"/>
        <v>71.267813354770681</v>
      </c>
      <c r="O198" s="97">
        <f t="shared" si="237"/>
        <v>65.025516555473715</v>
      </c>
      <c r="P198" s="97">
        <f t="shared" si="237"/>
        <v>66.39874032302707</v>
      </c>
      <c r="Q198" s="97">
        <f t="shared" si="237"/>
        <v>72.223260670825994</v>
      </c>
      <c r="R198" s="97">
        <f t="shared" si="237"/>
        <v>87.704778924163449</v>
      </c>
      <c r="S198" s="97">
        <f t="shared" si="237"/>
        <v>87.237390800993552</v>
      </c>
      <c r="T198" s="97">
        <f t="shared" si="237"/>
        <v>91.3334663632412</v>
      </c>
      <c r="U198" s="97">
        <f t="shared" si="237"/>
        <v>84.136089046082773</v>
      </c>
      <c r="V198" s="97">
        <f t="shared" si="237"/>
        <v>109.35942950438881</v>
      </c>
      <c r="W198" s="97">
        <f t="shared" ref="W198" si="238">IF(W46=0,0,W46/W16*1000)</f>
        <v>87.335637057156873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190.14565376860148</v>
      </c>
      <c r="C199" s="32">
        <f t="shared" si="239"/>
        <v>193.55117096996153</v>
      </c>
      <c r="D199" s="32">
        <f t="shared" si="239"/>
        <v>200.35300169894575</v>
      </c>
      <c r="E199" s="32">
        <f t="shared" si="239"/>
        <v>230.26897843126366</v>
      </c>
      <c r="F199" s="32">
        <f t="shared" si="239"/>
        <v>276.91843998781138</v>
      </c>
      <c r="G199" s="32">
        <f t="shared" si="239"/>
        <v>313.83242629273201</v>
      </c>
      <c r="H199" s="32">
        <f t="shared" si="239"/>
        <v>288.91385918831475</v>
      </c>
      <c r="I199" s="32">
        <f t="shared" si="239"/>
        <v>243.84670221431858</v>
      </c>
      <c r="J199" s="32">
        <f t="shared" si="239"/>
        <v>234.45591013547713</v>
      </c>
      <c r="K199" s="32">
        <f t="shared" si="239"/>
        <v>236.75901042882123</v>
      </c>
      <c r="L199" s="32">
        <f t="shared" si="239"/>
        <v>241.06969510377439</v>
      </c>
      <c r="M199" s="32">
        <f t="shared" si="239"/>
        <v>246.92603136444154</v>
      </c>
      <c r="N199" s="32">
        <f t="shared" si="239"/>
        <v>222.20633739702157</v>
      </c>
      <c r="O199" s="32">
        <f t="shared" si="239"/>
        <v>231.00532173091929</v>
      </c>
      <c r="P199" s="32">
        <f t="shared" si="239"/>
        <v>201.44332815638361</v>
      </c>
      <c r="Q199" s="32">
        <f t="shared" si="239"/>
        <v>196.56413865558818</v>
      </c>
      <c r="R199" s="32">
        <f t="shared" si="239"/>
        <v>182.73478213332947</v>
      </c>
      <c r="S199" s="32">
        <f t="shared" si="239"/>
        <v>182.37886295887472</v>
      </c>
      <c r="T199" s="32">
        <f t="shared" si="239"/>
        <v>200.1665850227119</v>
      </c>
      <c r="U199" s="32">
        <f t="shared" si="239"/>
        <v>203.08361184168507</v>
      </c>
      <c r="V199" s="32">
        <f t="shared" si="239"/>
        <v>179.82691794448442</v>
      </c>
      <c r="W199" s="32">
        <f t="shared" ref="W199" si="240">IF(W47=0,0,W47/W17*1000)</f>
        <v>173.05929325766516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448.16425797816686</v>
      </c>
      <c r="C200" s="141">
        <f t="shared" si="241"/>
        <v>440.83043529025264</v>
      </c>
      <c r="D200" s="141">
        <f t="shared" si="241"/>
        <v>425.40636560862276</v>
      </c>
      <c r="E200" s="141">
        <f t="shared" si="241"/>
        <v>492.41935327668324</v>
      </c>
      <c r="F200" s="141">
        <f t="shared" si="241"/>
        <v>597.12782424565285</v>
      </c>
      <c r="G200" s="141">
        <f t="shared" si="241"/>
        <v>676.57925722977268</v>
      </c>
      <c r="H200" s="141">
        <f t="shared" si="241"/>
        <v>637.53912711393377</v>
      </c>
      <c r="I200" s="141">
        <f t="shared" si="241"/>
        <v>574.35958081799481</v>
      </c>
      <c r="J200" s="141">
        <f t="shared" si="241"/>
        <v>532.90722389474251</v>
      </c>
      <c r="K200" s="141">
        <f t="shared" si="241"/>
        <v>514.66453840543591</v>
      </c>
      <c r="L200" s="141">
        <f t="shared" si="241"/>
        <v>541.07883841719536</v>
      </c>
      <c r="M200" s="141">
        <f t="shared" si="241"/>
        <v>555.06609473171568</v>
      </c>
      <c r="N200" s="141">
        <f t="shared" si="241"/>
        <v>409.24478510543787</v>
      </c>
      <c r="O200" s="141">
        <f t="shared" si="241"/>
        <v>458.01980360935704</v>
      </c>
      <c r="P200" s="141">
        <f t="shared" si="241"/>
        <v>366.85063640645529</v>
      </c>
      <c r="Q200" s="141">
        <f t="shared" si="241"/>
        <v>386.40792633041809</v>
      </c>
      <c r="R200" s="141">
        <f t="shared" si="241"/>
        <v>350.4878356852555</v>
      </c>
      <c r="S200" s="141">
        <f t="shared" si="241"/>
        <v>363.91581251398571</v>
      </c>
      <c r="T200" s="141">
        <f t="shared" si="241"/>
        <v>462.36165386798791</v>
      </c>
      <c r="U200" s="141">
        <f t="shared" si="241"/>
        <v>477.94562198032526</v>
      </c>
      <c r="V200" s="141">
        <f t="shared" si="241"/>
        <v>417.4369734238366</v>
      </c>
      <c r="W200" s="141">
        <f t="shared" ref="W200" si="242">IF(W48=0,0,W48/W18*1000)</f>
        <v>386.13137384355554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470.56384558939004</v>
      </c>
      <c r="C201" s="97">
        <f t="shared" si="243"/>
        <v>449.36213543222607</v>
      </c>
      <c r="D201" s="97">
        <f t="shared" si="243"/>
        <v>435.16829253012446</v>
      </c>
      <c r="E201" s="97">
        <f t="shared" si="243"/>
        <v>424.33735071007351</v>
      </c>
      <c r="F201" s="97">
        <f t="shared" si="243"/>
        <v>413.19915016372261</v>
      </c>
      <c r="G201" s="97">
        <f t="shared" si="243"/>
        <v>404.7756778844074</v>
      </c>
      <c r="H201" s="97">
        <f t="shared" si="243"/>
        <v>397.78460600005036</v>
      </c>
      <c r="I201" s="97">
        <f t="shared" si="243"/>
        <v>392.64240527163327</v>
      </c>
      <c r="J201" s="97">
        <f t="shared" si="243"/>
        <v>385.69208718086094</v>
      </c>
      <c r="K201" s="97">
        <f t="shared" si="243"/>
        <v>382.09626381631</v>
      </c>
      <c r="L201" s="97">
        <f t="shared" si="243"/>
        <v>382.31500318584278</v>
      </c>
      <c r="M201" s="97">
        <f t="shared" si="243"/>
        <v>382.04300391964688</v>
      </c>
      <c r="N201" s="97">
        <f t="shared" si="243"/>
        <v>375.44909275174848</v>
      </c>
      <c r="O201" s="97">
        <f t="shared" si="243"/>
        <v>368.66999485987913</v>
      </c>
      <c r="P201" s="97">
        <f t="shared" si="243"/>
        <v>366.46208840603788</v>
      </c>
      <c r="Q201" s="97">
        <f t="shared" si="243"/>
        <v>361.76459784848976</v>
      </c>
      <c r="R201" s="97">
        <f t="shared" si="243"/>
        <v>356.8121842062813</v>
      </c>
      <c r="S201" s="97">
        <f t="shared" si="243"/>
        <v>347.7690912304281</v>
      </c>
      <c r="T201" s="97">
        <f t="shared" si="243"/>
        <v>341.80014621513988</v>
      </c>
      <c r="U201" s="97">
        <f t="shared" si="243"/>
        <v>336.89573513555041</v>
      </c>
      <c r="V201" s="97">
        <f t="shared" si="243"/>
        <v>334.05286894187839</v>
      </c>
      <c r="W201" s="97">
        <f t="shared" ref="W201" si="244">IF(W49=0,0,W49/W19*1000)</f>
        <v>331.13808572656177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447.05557795451506</v>
      </c>
      <c r="C202" s="97">
        <f t="shared" si="245"/>
        <v>440.4163103326083</v>
      </c>
      <c r="D202" s="97">
        <f t="shared" si="245"/>
        <v>424.94376378580091</v>
      </c>
      <c r="E202" s="97">
        <f t="shared" si="245"/>
        <v>495.79013872118685</v>
      </c>
      <c r="F202" s="97">
        <f t="shared" si="245"/>
        <v>605.84223585323934</v>
      </c>
      <c r="G202" s="97">
        <f t="shared" si="245"/>
        <v>690.24183104060205</v>
      </c>
      <c r="H202" s="97">
        <f t="shared" si="245"/>
        <v>650.15032684773985</v>
      </c>
      <c r="I202" s="97">
        <f t="shared" si="245"/>
        <v>584.17986991713133</v>
      </c>
      <c r="J202" s="97">
        <f t="shared" si="245"/>
        <v>540.69348923945461</v>
      </c>
      <c r="K202" s="97">
        <f t="shared" si="245"/>
        <v>522.54450207061439</v>
      </c>
      <c r="L202" s="97">
        <f t="shared" si="245"/>
        <v>550.25491108656649</v>
      </c>
      <c r="M202" s="97">
        <f t="shared" si="245"/>
        <v>565.36534601972289</v>
      </c>
      <c r="N202" s="97">
        <f t="shared" si="245"/>
        <v>410.89745149440887</v>
      </c>
      <c r="O202" s="97">
        <f t="shared" si="245"/>
        <v>463.03656779287911</v>
      </c>
      <c r="P202" s="97">
        <f t="shared" si="245"/>
        <v>366.87008059533326</v>
      </c>
      <c r="Q202" s="97">
        <f t="shared" si="245"/>
        <v>387.91573121305765</v>
      </c>
      <c r="R202" s="97">
        <f t="shared" si="245"/>
        <v>350.10688532159861</v>
      </c>
      <c r="S202" s="97">
        <f t="shared" si="245"/>
        <v>364.90922752301174</v>
      </c>
      <c r="T202" s="97">
        <f t="shared" si="245"/>
        <v>471.51060703037274</v>
      </c>
      <c r="U202" s="97">
        <f t="shared" si="245"/>
        <v>488.67786428439518</v>
      </c>
      <c r="V202" s="97">
        <f t="shared" si="245"/>
        <v>424.7754694793494</v>
      </c>
      <c r="W202" s="97">
        <f t="shared" ref="W202" si="246">IF(W50=0,0,W50/W20*1000)</f>
        <v>390.67288725766394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7.0749419090336607</v>
      </c>
      <c r="C203" s="130">
        <f t="shared" si="247"/>
        <v>8.338864626278566</v>
      </c>
      <c r="D203" s="130">
        <f t="shared" si="247"/>
        <v>8.7344953385379238</v>
      </c>
      <c r="E203" s="130">
        <f t="shared" si="247"/>
        <v>8.306334793260989</v>
      </c>
      <c r="F203" s="130">
        <f t="shared" si="247"/>
        <v>7.885279346354352</v>
      </c>
      <c r="G203" s="130">
        <f t="shared" si="247"/>
        <v>7.5474118288068937</v>
      </c>
      <c r="H203" s="130">
        <f t="shared" si="247"/>
        <v>6.5256451734884049</v>
      </c>
      <c r="I203" s="130">
        <f t="shared" si="247"/>
        <v>6.2296965988034687</v>
      </c>
      <c r="J203" s="130">
        <f t="shared" si="247"/>
        <v>8.2362522208138351</v>
      </c>
      <c r="K203" s="130">
        <f t="shared" si="247"/>
        <v>8.6794114166891703</v>
      </c>
      <c r="L203" s="130">
        <f t="shared" si="247"/>
        <v>6.0838591947820388</v>
      </c>
      <c r="M203" s="130">
        <f t="shared" si="247"/>
        <v>6.1054319899329119</v>
      </c>
      <c r="N203" s="130">
        <f t="shared" si="247"/>
        <v>6.3867374440528915</v>
      </c>
      <c r="O203" s="130">
        <f t="shared" si="247"/>
        <v>6.4902530030463206</v>
      </c>
      <c r="P203" s="130">
        <f t="shared" si="247"/>
        <v>6.1281913263392367</v>
      </c>
      <c r="Q203" s="130">
        <f t="shared" si="247"/>
        <v>6.069528761093764</v>
      </c>
      <c r="R203" s="130">
        <f t="shared" si="247"/>
        <v>5.8678957067941626</v>
      </c>
      <c r="S203" s="130">
        <f t="shared" si="247"/>
        <v>5.820863991968813</v>
      </c>
      <c r="T203" s="130">
        <f t="shared" si="247"/>
        <v>5.5236565091042458</v>
      </c>
      <c r="U203" s="130">
        <f t="shared" si="247"/>
        <v>6.1769520326289742</v>
      </c>
      <c r="V203" s="130">
        <f t="shared" si="247"/>
        <v>6.6609218368843912</v>
      </c>
      <c r="W203" s="130">
        <f t="shared" ref="W203" si="248">IF(W51=0,0,W51/W21*1000)</f>
        <v>6.0573904430439409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108.81344712552513</v>
      </c>
      <c r="C204" s="130">
        <f t="shared" si="249"/>
        <v>107.41979588236585</v>
      </c>
      <c r="D204" s="130">
        <f t="shared" si="249"/>
        <v>114.64305876706297</v>
      </c>
      <c r="E204" s="130">
        <f t="shared" si="249"/>
        <v>121.60817403316156</v>
      </c>
      <c r="F204" s="130">
        <f t="shared" si="249"/>
        <v>131.02409706819904</v>
      </c>
      <c r="G204" s="130">
        <f t="shared" si="249"/>
        <v>132.58897318800589</v>
      </c>
      <c r="H204" s="130">
        <f t="shared" si="249"/>
        <v>121.16418464317138</v>
      </c>
      <c r="I204" s="130">
        <f t="shared" si="249"/>
        <v>103.38459055228829</v>
      </c>
      <c r="J204" s="130">
        <f t="shared" si="249"/>
        <v>92.842259751528744</v>
      </c>
      <c r="K204" s="130">
        <f t="shared" si="249"/>
        <v>94.668276345431551</v>
      </c>
      <c r="L204" s="130">
        <f t="shared" si="249"/>
        <v>90.463246398907586</v>
      </c>
      <c r="M204" s="130">
        <f t="shared" si="249"/>
        <v>86.600706843270189</v>
      </c>
      <c r="N204" s="130">
        <f t="shared" si="249"/>
        <v>89.764683420699853</v>
      </c>
      <c r="O204" s="130">
        <f t="shared" si="249"/>
        <v>88.204803971368065</v>
      </c>
      <c r="P204" s="130">
        <f t="shared" si="249"/>
        <v>84.80455797871771</v>
      </c>
      <c r="Q204" s="130">
        <f t="shared" si="249"/>
        <v>85.763064406491395</v>
      </c>
      <c r="R204" s="130">
        <f t="shared" si="249"/>
        <v>83.589937963533387</v>
      </c>
      <c r="S204" s="130">
        <f t="shared" si="249"/>
        <v>79.564460341645017</v>
      </c>
      <c r="T204" s="130">
        <f t="shared" si="249"/>
        <v>72.462741935916156</v>
      </c>
      <c r="U204" s="130">
        <f t="shared" si="249"/>
        <v>64.912290228799762</v>
      </c>
      <c r="V204" s="130">
        <f t="shared" si="249"/>
        <v>86.905173632100613</v>
      </c>
      <c r="W204" s="130">
        <f t="shared" ref="W204" si="250">IF(W52=0,0,W52/W22*1000)</f>
        <v>85.910565922549381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350.69762816193042</v>
      </c>
      <c r="C206" s="97">
        <f t="shared" si="253"/>
        <v>273.18263184962763</v>
      </c>
      <c r="D206" s="97">
        <f t="shared" si="253"/>
        <v>218.18278290329999</v>
      </c>
      <c r="E206" s="97">
        <f t="shared" si="253"/>
        <v>214.38290119584863</v>
      </c>
      <c r="F206" s="97">
        <f t="shared" si="253"/>
        <v>254.82156727221695</v>
      </c>
      <c r="G206" s="97">
        <f t="shared" si="253"/>
        <v>231.51090824907416</v>
      </c>
      <c r="H206" s="97">
        <f t="shared" si="253"/>
        <v>218.00031928089584</v>
      </c>
      <c r="I206" s="97">
        <f t="shared" si="253"/>
        <v>263.90230679824816</v>
      </c>
      <c r="J206" s="97">
        <f t="shared" si="253"/>
        <v>264.55649942849982</v>
      </c>
      <c r="K206" s="97">
        <f t="shared" si="253"/>
        <v>340.23291887101698</v>
      </c>
      <c r="L206" s="97">
        <f t="shared" si="253"/>
        <v>363.52684726883473</v>
      </c>
      <c r="M206" s="97">
        <f t="shared" si="253"/>
        <v>248.10258271415142</v>
      </c>
      <c r="N206" s="97">
        <f t="shared" si="253"/>
        <v>208.74526436837473</v>
      </c>
      <c r="O206" s="97">
        <f t="shared" si="253"/>
        <v>201.26520266658457</v>
      </c>
      <c r="P206" s="97">
        <f t="shared" si="253"/>
        <v>218.86695765946354</v>
      </c>
      <c r="Q206" s="97">
        <f t="shared" si="253"/>
        <v>277.09625098930366</v>
      </c>
      <c r="R206" s="97">
        <f t="shared" si="253"/>
        <v>271.93973927410303</v>
      </c>
      <c r="S206" s="97">
        <f t="shared" si="253"/>
        <v>392.24712765963278</v>
      </c>
      <c r="T206" s="97">
        <f t="shared" si="253"/>
        <v>434.4066995499021</v>
      </c>
      <c r="U206" s="97">
        <f t="shared" si="253"/>
        <v>488.87503714632061</v>
      </c>
      <c r="V206" s="97">
        <f t="shared" si="253"/>
        <v>386.18390361263886</v>
      </c>
      <c r="W206" s="97">
        <f t="shared" ref="W206" si="254">IF(W54=0,0,W54/W24*1000)</f>
        <v>472.11360767204047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104.71655451778855</v>
      </c>
      <c r="C207" s="97">
        <f t="shared" si="255"/>
        <v>106.01229334334755</v>
      </c>
      <c r="D207" s="97">
        <f t="shared" si="255"/>
        <v>113.89559198014452</v>
      </c>
      <c r="E207" s="97">
        <f t="shared" si="255"/>
        <v>120.47670767855357</v>
      </c>
      <c r="F207" s="97">
        <f t="shared" si="255"/>
        <v>129.82335395444633</v>
      </c>
      <c r="G207" s="97">
        <f t="shared" si="255"/>
        <v>131.47002147266289</v>
      </c>
      <c r="H207" s="97">
        <f t="shared" si="255"/>
        <v>120.56950280867746</v>
      </c>
      <c r="I207" s="97">
        <f t="shared" si="255"/>
        <v>102.30582442116562</v>
      </c>
      <c r="J207" s="97">
        <f t="shared" si="255"/>
        <v>91.441189874690465</v>
      </c>
      <c r="K207" s="97">
        <f t="shared" si="255"/>
        <v>92.840709815405233</v>
      </c>
      <c r="L207" s="97">
        <f t="shared" si="255"/>
        <v>88.322557896106645</v>
      </c>
      <c r="M207" s="97">
        <f t="shared" si="255"/>
        <v>85.643876041195369</v>
      </c>
      <c r="N207" s="97">
        <f t="shared" si="255"/>
        <v>88.900703925327704</v>
      </c>
      <c r="O207" s="97">
        <f t="shared" si="255"/>
        <v>87.309456842128142</v>
      </c>
      <c r="P207" s="97">
        <f t="shared" si="255"/>
        <v>83.675807906970263</v>
      </c>
      <c r="Q207" s="97">
        <f t="shared" si="255"/>
        <v>84.490780645497154</v>
      </c>
      <c r="R207" s="97">
        <f t="shared" si="255"/>
        <v>82.582752049381995</v>
      </c>
      <c r="S207" s="97">
        <f t="shared" si="255"/>
        <v>77.7596985840228</v>
      </c>
      <c r="T207" s="97">
        <f t="shared" si="255"/>
        <v>70.567920692402083</v>
      </c>
      <c r="U207" s="97">
        <f t="shared" si="255"/>
        <v>62.831074200983359</v>
      </c>
      <c r="V207" s="97">
        <f t="shared" si="255"/>
        <v>85.623124543284618</v>
      </c>
      <c r="W207" s="97">
        <f t="shared" ref="W207" si="256">IF(W55=0,0,W55/W25*1000)</f>
        <v>84.060653607919122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1.2142857142857144</v>
      </c>
      <c r="C208" s="130">
        <f t="shared" si="257"/>
        <v>1.2183288409703505</v>
      </c>
      <c r="D208" s="130">
        <f t="shared" si="257"/>
        <v>1.2189189189189189</v>
      </c>
      <c r="E208" s="130">
        <f t="shared" si="257"/>
        <v>1.2563291139240509</v>
      </c>
      <c r="F208" s="130">
        <f t="shared" si="257"/>
        <v>1.2189189189189189</v>
      </c>
      <c r="G208" s="130">
        <f t="shared" si="257"/>
        <v>1.236842105263158</v>
      </c>
      <c r="H208" s="130">
        <f t="shared" si="257"/>
        <v>1.2125984251968505</v>
      </c>
      <c r="I208" s="130">
        <f t="shared" si="257"/>
        <v>1.2347826086956522</v>
      </c>
      <c r="J208" s="130">
        <f t="shared" si="257"/>
        <v>1.2207084468664851</v>
      </c>
      <c r="K208" s="130">
        <f t="shared" si="257"/>
        <v>1.2867383512544803</v>
      </c>
      <c r="L208" s="130">
        <f t="shared" si="257"/>
        <v>1.2256267409470751</v>
      </c>
      <c r="M208" s="130">
        <f t="shared" si="257"/>
        <v>1.2655737704918033</v>
      </c>
      <c r="N208" s="130">
        <f t="shared" si="257"/>
        <v>1.2790939010288493</v>
      </c>
      <c r="O208" s="130">
        <f t="shared" si="257"/>
        <v>1.0971954760603155</v>
      </c>
      <c r="P208" s="130">
        <f t="shared" si="257"/>
        <v>1.2384788281968895</v>
      </c>
      <c r="Q208" s="130">
        <f t="shared" si="257"/>
        <v>1.3838019794734819</v>
      </c>
      <c r="R208" s="130">
        <f t="shared" si="257"/>
        <v>1.6142462777752635</v>
      </c>
      <c r="S208" s="130">
        <f t="shared" si="257"/>
        <v>1.623123222435346</v>
      </c>
      <c r="T208" s="130">
        <f t="shared" si="257"/>
        <v>1.5384938028228095</v>
      </c>
      <c r="U208" s="130">
        <f t="shared" si="257"/>
        <v>1.3278574768822313</v>
      </c>
      <c r="V208" s="130">
        <f t="shared" si="257"/>
        <v>0.51462378562903455</v>
      </c>
      <c r="W208" s="130">
        <f t="shared" ref="W208" si="258">IF(W56=0,0,W56/W26*1000)</f>
        <v>0.41209172210753209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1.2142857142857144</v>
      </c>
      <c r="C210" s="98">
        <f t="shared" si="261"/>
        <v>1.2183288409703505</v>
      </c>
      <c r="D210" s="98">
        <f t="shared" si="261"/>
        <v>1.2189189189189189</v>
      </c>
      <c r="E210" s="98">
        <f t="shared" si="261"/>
        <v>1.2563291139240509</v>
      </c>
      <c r="F210" s="98">
        <f t="shared" si="261"/>
        <v>1.2189189189189189</v>
      </c>
      <c r="G210" s="98">
        <f t="shared" si="261"/>
        <v>1.236842105263158</v>
      </c>
      <c r="H210" s="98">
        <f t="shared" si="261"/>
        <v>1.2125984251968505</v>
      </c>
      <c r="I210" s="98">
        <f t="shared" si="261"/>
        <v>1.2347826086956522</v>
      </c>
      <c r="J210" s="98">
        <f t="shared" si="261"/>
        <v>1.2207084468664851</v>
      </c>
      <c r="K210" s="98">
        <f t="shared" si="261"/>
        <v>1.2867383512544803</v>
      </c>
      <c r="L210" s="98">
        <f t="shared" si="261"/>
        <v>1.2256267409470751</v>
      </c>
      <c r="M210" s="98">
        <f t="shared" si="261"/>
        <v>1.2655737704918033</v>
      </c>
      <c r="N210" s="98">
        <f t="shared" si="261"/>
        <v>1.2790939010288493</v>
      </c>
      <c r="O210" s="98">
        <f t="shared" si="261"/>
        <v>1.0971954760603155</v>
      </c>
      <c r="P210" s="98">
        <f t="shared" si="261"/>
        <v>1.2384788281968895</v>
      </c>
      <c r="Q210" s="98">
        <f t="shared" si="261"/>
        <v>1.3838019794734819</v>
      </c>
      <c r="R210" s="98">
        <f t="shared" si="261"/>
        <v>1.6142462777752635</v>
      </c>
      <c r="S210" s="98">
        <f t="shared" si="261"/>
        <v>1.623123222435346</v>
      </c>
      <c r="T210" s="98">
        <f t="shared" si="261"/>
        <v>1.5384938028228095</v>
      </c>
      <c r="U210" s="98">
        <f t="shared" si="261"/>
        <v>1.3278574768822313</v>
      </c>
      <c r="V210" s="98">
        <f t="shared" si="261"/>
        <v>0.51462378562903455</v>
      </c>
      <c r="W210" s="98">
        <f t="shared" ref="W210:W213" si="262">IF(W58=0,0,W58/W28*1000)</f>
        <v>0.41209172210753209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</v>
      </c>
      <c r="J211" s="32">
        <f t="shared" si="263"/>
        <v>0</v>
      </c>
      <c r="K211" s="32">
        <f t="shared" si="263"/>
        <v>0</v>
      </c>
      <c r="L211" s="32">
        <f t="shared" si="263"/>
        <v>0</v>
      </c>
      <c r="M211" s="32">
        <f t="shared" si="263"/>
        <v>0</v>
      </c>
      <c r="N211" s="32">
        <f t="shared" si="263"/>
        <v>0</v>
      </c>
      <c r="O211" s="32">
        <f t="shared" si="263"/>
        <v>0</v>
      </c>
      <c r="P211" s="32">
        <f t="shared" si="263"/>
        <v>0</v>
      </c>
      <c r="Q211" s="32">
        <f t="shared" si="263"/>
        <v>0</v>
      </c>
      <c r="R211" s="32">
        <f t="shared" si="263"/>
        <v>0</v>
      </c>
      <c r="S211" s="32">
        <f t="shared" si="263"/>
        <v>0</v>
      </c>
      <c r="T211" s="32">
        <f t="shared" si="263"/>
        <v>0</v>
      </c>
      <c r="U211" s="32">
        <f t="shared" si="263"/>
        <v>0</v>
      </c>
      <c r="V211" s="32">
        <f t="shared" si="263"/>
        <v>0</v>
      </c>
      <c r="W211" s="32">
        <f t="shared" si="262"/>
        <v>0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0</v>
      </c>
      <c r="J212" s="97">
        <f t="shared" si="264"/>
        <v>0</v>
      </c>
      <c r="K212" s="97">
        <f t="shared" si="264"/>
        <v>0</v>
      </c>
      <c r="L212" s="97">
        <f t="shared" si="264"/>
        <v>0</v>
      </c>
      <c r="M212" s="97">
        <f t="shared" si="264"/>
        <v>0</v>
      </c>
      <c r="N212" s="97">
        <f t="shared" si="264"/>
        <v>0</v>
      </c>
      <c r="O212" s="97">
        <f t="shared" si="264"/>
        <v>0</v>
      </c>
      <c r="P212" s="97">
        <f t="shared" si="264"/>
        <v>0</v>
      </c>
      <c r="Q212" s="97">
        <f t="shared" si="264"/>
        <v>0</v>
      </c>
      <c r="R212" s="97">
        <f t="shared" si="264"/>
        <v>0</v>
      </c>
      <c r="S212" s="97">
        <f t="shared" si="264"/>
        <v>0</v>
      </c>
      <c r="T212" s="97">
        <f t="shared" si="264"/>
        <v>0</v>
      </c>
      <c r="U212" s="97">
        <f t="shared" si="264"/>
        <v>0</v>
      </c>
      <c r="V212" s="97">
        <f t="shared" si="264"/>
        <v>0</v>
      </c>
      <c r="W212" s="97">
        <f t="shared" si="262"/>
        <v>0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</v>
      </c>
      <c r="J213" s="98">
        <f t="shared" si="265"/>
        <v>0</v>
      </c>
      <c r="K213" s="98">
        <f t="shared" si="265"/>
        <v>0</v>
      </c>
      <c r="L213" s="98">
        <f t="shared" si="265"/>
        <v>0</v>
      </c>
      <c r="M213" s="98">
        <f t="shared" si="265"/>
        <v>0</v>
      </c>
      <c r="N213" s="98">
        <f t="shared" si="265"/>
        <v>0</v>
      </c>
      <c r="O213" s="98">
        <f t="shared" si="265"/>
        <v>0</v>
      </c>
      <c r="P213" s="98">
        <f t="shared" si="265"/>
        <v>0</v>
      </c>
      <c r="Q213" s="98">
        <f t="shared" si="265"/>
        <v>0</v>
      </c>
      <c r="R213" s="98">
        <f t="shared" si="265"/>
        <v>0</v>
      </c>
      <c r="S213" s="98">
        <f t="shared" si="265"/>
        <v>0</v>
      </c>
      <c r="T213" s="98">
        <f t="shared" si="265"/>
        <v>0</v>
      </c>
      <c r="U213" s="98">
        <f t="shared" si="265"/>
        <v>0</v>
      </c>
      <c r="V213" s="98">
        <f t="shared" si="265"/>
        <v>0</v>
      </c>
      <c r="W213" s="98">
        <f t="shared" si="262"/>
        <v>0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397.56751475289451</v>
      </c>
      <c r="C216" s="32">
        <f t="shared" si="266"/>
        <v>393.81062563089273</v>
      </c>
      <c r="D216" s="32">
        <f t="shared" si="266"/>
        <v>397.53895520616811</v>
      </c>
      <c r="E216" s="32">
        <f t="shared" si="266"/>
        <v>411.85473651652609</v>
      </c>
      <c r="F216" s="32">
        <f t="shared" si="266"/>
        <v>413.4783083590043</v>
      </c>
      <c r="G216" s="32">
        <f t="shared" si="266"/>
        <v>385.74399762844178</v>
      </c>
      <c r="H216" s="32">
        <f t="shared" si="266"/>
        <v>361.38539675640413</v>
      </c>
      <c r="I216" s="32">
        <f t="shared" si="266"/>
        <v>357.80218295909299</v>
      </c>
      <c r="J216" s="32">
        <f t="shared" si="266"/>
        <v>355.38856311818779</v>
      </c>
      <c r="K216" s="32">
        <f t="shared" si="266"/>
        <v>359.97250379321747</v>
      </c>
      <c r="L216" s="32">
        <f t="shared" si="266"/>
        <v>362.19125976786773</v>
      </c>
      <c r="M216" s="32">
        <f t="shared" si="266"/>
        <v>367.37432377668762</v>
      </c>
      <c r="N216" s="32">
        <f t="shared" si="266"/>
        <v>358.42882259292776</v>
      </c>
      <c r="O216" s="32">
        <f t="shared" si="266"/>
        <v>327.53281540502223</v>
      </c>
      <c r="P216" s="32">
        <f t="shared" si="266"/>
        <v>313.7937179375628</v>
      </c>
      <c r="Q216" s="32">
        <f t="shared" si="266"/>
        <v>295.82935071167697</v>
      </c>
      <c r="R216" s="32">
        <f t="shared" si="266"/>
        <v>285.22690128409721</v>
      </c>
      <c r="S216" s="32">
        <f t="shared" si="266"/>
        <v>282.28518231770573</v>
      </c>
      <c r="T216" s="32">
        <f t="shared" si="266"/>
        <v>294.31904464291694</v>
      </c>
      <c r="U216" s="32">
        <f t="shared" si="266"/>
        <v>281.13480197827153</v>
      </c>
      <c r="V216" s="32">
        <f t="shared" si="266"/>
        <v>245.07627190851466</v>
      </c>
      <c r="W216" s="32">
        <f t="shared" ref="W216" si="267">IF(W4=0,0,W64/W4*1000)</f>
        <v>254.50963562894952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434.28048095111268</v>
      </c>
      <c r="C217" s="141">
        <f t="shared" si="268"/>
        <v>429.30865685886414</v>
      </c>
      <c r="D217" s="141">
        <f t="shared" si="268"/>
        <v>429.50315449835875</v>
      </c>
      <c r="E217" s="141">
        <f t="shared" si="268"/>
        <v>447.7988803393269</v>
      </c>
      <c r="F217" s="141">
        <f t="shared" si="268"/>
        <v>448.74265933962823</v>
      </c>
      <c r="G217" s="141">
        <f t="shared" si="268"/>
        <v>420.62445385424223</v>
      </c>
      <c r="H217" s="141">
        <f t="shared" si="268"/>
        <v>393.20828700889808</v>
      </c>
      <c r="I217" s="141">
        <f t="shared" si="268"/>
        <v>386.57171951986936</v>
      </c>
      <c r="J217" s="141">
        <f t="shared" si="268"/>
        <v>386.14041338313166</v>
      </c>
      <c r="K217" s="141">
        <f t="shared" si="268"/>
        <v>379.33418979286404</v>
      </c>
      <c r="L217" s="141">
        <f t="shared" si="268"/>
        <v>380.20702889430686</v>
      </c>
      <c r="M217" s="141">
        <f t="shared" si="268"/>
        <v>398.09610452202708</v>
      </c>
      <c r="N217" s="141">
        <f t="shared" si="268"/>
        <v>389.06014392056323</v>
      </c>
      <c r="O217" s="141">
        <f t="shared" si="268"/>
        <v>359.69803005162714</v>
      </c>
      <c r="P217" s="141">
        <f t="shared" si="268"/>
        <v>340.277471557821</v>
      </c>
      <c r="Q217" s="141">
        <f t="shared" si="268"/>
        <v>316.92749173098247</v>
      </c>
      <c r="R217" s="141">
        <f t="shared" si="268"/>
        <v>299.13498607190917</v>
      </c>
      <c r="S217" s="141">
        <f t="shared" si="268"/>
        <v>290.70598619647456</v>
      </c>
      <c r="T217" s="141">
        <f t="shared" si="268"/>
        <v>295.7186318830033</v>
      </c>
      <c r="U217" s="141">
        <f t="shared" si="268"/>
        <v>281.720814212748</v>
      </c>
      <c r="V217" s="141">
        <f t="shared" si="268"/>
        <v>246.75375472953263</v>
      </c>
      <c r="W217" s="141">
        <f t="shared" ref="W217" si="269">IF(W5=0,0,W65/W5*1000)</f>
        <v>256.36384953067801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127.50508252503801</v>
      </c>
      <c r="C218" s="97">
        <f t="shared" si="270"/>
        <v>124.29438910930507</v>
      </c>
      <c r="D218" s="97">
        <f t="shared" si="270"/>
        <v>121.15182555765523</v>
      </c>
      <c r="E218" s="97">
        <f t="shared" si="270"/>
        <v>119.76937908216105</v>
      </c>
      <c r="F218" s="97">
        <f t="shared" si="270"/>
        <v>118.16927414164768</v>
      </c>
      <c r="G218" s="97">
        <f t="shared" si="270"/>
        <v>115.14013072700121</v>
      </c>
      <c r="H218" s="97">
        <f t="shared" si="270"/>
        <v>113.607125183371</v>
      </c>
      <c r="I218" s="97">
        <f t="shared" si="270"/>
        <v>109.2327824176546</v>
      </c>
      <c r="J218" s="97">
        <f t="shared" si="270"/>
        <v>108.95005957659536</v>
      </c>
      <c r="K218" s="97">
        <f t="shared" si="270"/>
        <v>107.77985663169872</v>
      </c>
      <c r="L218" s="97">
        <f t="shared" si="270"/>
        <v>106.49013759812266</v>
      </c>
      <c r="M218" s="97">
        <f t="shared" si="270"/>
        <v>103.83207707546714</v>
      </c>
      <c r="N218" s="97">
        <f t="shared" si="270"/>
        <v>104.66331445410619</v>
      </c>
      <c r="O218" s="97">
        <f t="shared" si="270"/>
        <v>103.30704326272281</v>
      </c>
      <c r="P218" s="97">
        <f t="shared" si="270"/>
        <v>100.83777821274768</v>
      </c>
      <c r="Q218" s="97">
        <f t="shared" si="270"/>
        <v>98.039987891836546</v>
      </c>
      <c r="R218" s="97">
        <f t="shared" si="270"/>
        <v>96.034712739430631</v>
      </c>
      <c r="S218" s="97">
        <f t="shared" si="270"/>
        <v>98.569357683659035</v>
      </c>
      <c r="T218" s="97">
        <f t="shared" si="270"/>
        <v>98.149935308971337</v>
      </c>
      <c r="U218" s="97">
        <f t="shared" si="270"/>
        <v>94.843353757197605</v>
      </c>
      <c r="V218" s="97">
        <f t="shared" si="270"/>
        <v>93.723673549303044</v>
      </c>
      <c r="W218" s="97">
        <f t="shared" ref="W218" si="271">IF(W6=0,0,W66/W6*1000)</f>
        <v>84.816977675811614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470.81065744356516</v>
      </c>
      <c r="C219" s="97">
        <f t="shared" si="272"/>
        <v>466.66445850598615</v>
      </c>
      <c r="D219" s="97">
        <f t="shared" si="272"/>
        <v>470.0206072893705</v>
      </c>
      <c r="E219" s="97">
        <f t="shared" si="272"/>
        <v>491.45018219711341</v>
      </c>
      <c r="F219" s="97">
        <f t="shared" si="272"/>
        <v>494.17571339062084</v>
      </c>
      <c r="G219" s="97">
        <f t="shared" si="272"/>
        <v>462.77054266780027</v>
      </c>
      <c r="H219" s="97">
        <f t="shared" si="272"/>
        <v>431.78095730186612</v>
      </c>
      <c r="I219" s="97">
        <f t="shared" si="272"/>
        <v>426.10127056739742</v>
      </c>
      <c r="J219" s="97">
        <f t="shared" si="272"/>
        <v>427.49827928376374</v>
      </c>
      <c r="K219" s="97">
        <f t="shared" si="272"/>
        <v>419.24825338857045</v>
      </c>
      <c r="L219" s="97">
        <f t="shared" si="272"/>
        <v>423.23564435546257</v>
      </c>
      <c r="M219" s="97">
        <f t="shared" si="272"/>
        <v>445.83396062360299</v>
      </c>
      <c r="N219" s="97">
        <f t="shared" si="272"/>
        <v>435.5798335873227</v>
      </c>
      <c r="O219" s="97">
        <f t="shared" si="272"/>
        <v>402.06205412928966</v>
      </c>
      <c r="P219" s="97">
        <f t="shared" si="272"/>
        <v>378.81102584168161</v>
      </c>
      <c r="Q219" s="97">
        <f t="shared" si="272"/>
        <v>353.12319985687998</v>
      </c>
      <c r="R219" s="97">
        <f t="shared" si="272"/>
        <v>332.16037190450163</v>
      </c>
      <c r="S219" s="97">
        <f t="shared" si="272"/>
        <v>322.76304936182544</v>
      </c>
      <c r="T219" s="97">
        <f t="shared" si="272"/>
        <v>328.57613848979452</v>
      </c>
      <c r="U219" s="97">
        <f t="shared" si="272"/>
        <v>313.57713472493435</v>
      </c>
      <c r="V219" s="97">
        <f t="shared" si="272"/>
        <v>263.61185460602007</v>
      </c>
      <c r="W219" s="97">
        <f t="shared" ref="W219" si="273">IF(W7=0,0,W67/W7*1000)</f>
        <v>275.68382508305842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121.96104134337767</v>
      </c>
      <c r="C220" s="97">
        <f t="shared" si="274"/>
        <v>118.24245050356583</v>
      </c>
      <c r="D220" s="97">
        <f t="shared" si="274"/>
        <v>114.65554957754674</v>
      </c>
      <c r="E220" s="97">
        <f t="shared" si="274"/>
        <v>112.12177897074112</v>
      </c>
      <c r="F220" s="97">
        <f t="shared" si="274"/>
        <v>107.77311096116462</v>
      </c>
      <c r="G220" s="97">
        <f t="shared" si="274"/>
        <v>106.23104089562852</v>
      </c>
      <c r="H220" s="97">
        <f t="shared" si="274"/>
        <v>103.4150446423974</v>
      </c>
      <c r="I220" s="97">
        <f t="shared" si="274"/>
        <v>98.89587114560176</v>
      </c>
      <c r="J220" s="97">
        <f t="shared" si="274"/>
        <v>96.637119608432343</v>
      </c>
      <c r="K220" s="97">
        <f t="shared" si="274"/>
        <v>99.439946788154757</v>
      </c>
      <c r="L220" s="97">
        <f t="shared" si="274"/>
        <v>98.100591112913804</v>
      </c>
      <c r="M220" s="97">
        <f t="shared" si="274"/>
        <v>95.734831282976799</v>
      </c>
      <c r="N220" s="97">
        <f t="shared" si="274"/>
        <v>93.590094149820317</v>
      </c>
      <c r="O220" s="97">
        <f t="shared" si="274"/>
        <v>91.770849074722705</v>
      </c>
      <c r="P220" s="97">
        <f t="shared" si="274"/>
        <v>89.755041389661358</v>
      </c>
      <c r="Q220" s="97">
        <f t="shared" si="274"/>
        <v>87.484467947699528</v>
      </c>
      <c r="R220" s="97">
        <f t="shared" si="274"/>
        <v>87.753374393326609</v>
      </c>
      <c r="S220" s="97">
        <f t="shared" si="274"/>
        <v>86.836364951521276</v>
      </c>
      <c r="T220" s="97">
        <f t="shared" si="274"/>
        <v>86.206321847548509</v>
      </c>
      <c r="U220" s="97">
        <f t="shared" si="274"/>
        <v>82.649749358326517</v>
      </c>
      <c r="V220" s="97">
        <f t="shared" si="274"/>
        <v>114.05052284746185</v>
      </c>
      <c r="W220" s="97">
        <f t="shared" ref="W220" si="275">IF(W8=0,0,W68/W8*1000)</f>
        <v>104.9856089169531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54.165379542686019</v>
      </c>
      <c r="C221" s="130">
        <f t="shared" si="276"/>
        <v>60.03791604876681</v>
      </c>
      <c r="D221" s="130">
        <f t="shared" si="276"/>
        <v>74.289373819375058</v>
      </c>
      <c r="E221" s="130">
        <f t="shared" si="276"/>
        <v>56.055637509139331</v>
      </c>
      <c r="F221" s="130">
        <f t="shared" si="276"/>
        <v>46.07980120390414</v>
      </c>
      <c r="G221" s="130">
        <f t="shared" si="276"/>
        <v>30.136905764871511</v>
      </c>
      <c r="H221" s="130">
        <f t="shared" si="276"/>
        <v>21.472841751113151</v>
      </c>
      <c r="I221" s="130">
        <f t="shared" si="276"/>
        <v>26.916896125441284</v>
      </c>
      <c r="J221" s="130">
        <f t="shared" si="276"/>
        <v>35.56786373317842</v>
      </c>
      <c r="K221" s="130">
        <f t="shared" si="276"/>
        <v>31.228887005269257</v>
      </c>
      <c r="L221" s="130">
        <f t="shared" si="276"/>
        <v>34.107335201795351</v>
      </c>
      <c r="M221" s="130">
        <f t="shared" si="276"/>
        <v>32.230742094834042</v>
      </c>
      <c r="N221" s="130">
        <f t="shared" si="276"/>
        <v>29.949002241422804</v>
      </c>
      <c r="O221" s="130">
        <f t="shared" si="276"/>
        <v>26.686479130517316</v>
      </c>
      <c r="P221" s="130">
        <f t="shared" si="276"/>
        <v>29.139825055515399</v>
      </c>
      <c r="Q221" s="130">
        <f t="shared" si="276"/>
        <v>20.499203719971966</v>
      </c>
      <c r="R221" s="130">
        <f t="shared" si="276"/>
        <v>21.132920455478256</v>
      </c>
      <c r="S221" s="130">
        <f t="shared" si="276"/>
        <v>18.315771591921511</v>
      </c>
      <c r="T221" s="130">
        <f t="shared" si="276"/>
        <v>20.877659980917656</v>
      </c>
      <c r="U221" s="130">
        <f t="shared" si="276"/>
        <v>18.612960492034979</v>
      </c>
      <c r="V221" s="130">
        <f t="shared" si="276"/>
        <v>29.73083555900239</v>
      </c>
      <c r="W221" s="130">
        <f t="shared" ref="W221" si="277">IF(W9=0,0,W69/W9*1000)</f>
        <v>28.143577661676336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54.165379542686019</v>
      </c>
      <c r="C223" s="97">
        <f t="shared" si="280"/>
        <v>60.03791604876681</v>
      </c>
      <c r="D223" s="97">
        <f t="shared" si="280"/>
        <v>74.289373819375058</v>
      </c>
      <c r="E223" s="97">
        <f t="shared" si="280"/>
        <v>56.055637509139331</v>
      </c>
      <c r="F223" s="97">
        <f t="shared" si="280"/>
        <v>46.07980120390414</v>
      </c>
      <c r="G223" s="97">
        <f t="shared" si="280"/>
        <v>30.136905764871511</v>
      </c>
      <c r="H223" s="97">
        <f t="shared" si="280"/>
        <v>21.472841751113151</v>
      </c>
      <c r="I223" s="97">
        <f t="shared" si="280"/>
        <v>26.916896125441284</v>
      </c>
      <c r="J223" s="97">
        <f t="shared" si="280"/>
        <v>35.56786373317842</v>
      </c>
      <c r="K223" s="97">
        <f t="shared" si="280"/>
        <v>31.228887005269257</v>
      </c>
      <c r="L223" s="97">
        <f t="shared" si="280"/>
        <v>34.107335201795351</v>
      </c>
      <c r="M223" s="97">
        <f t="shared" si="280"/>
        <v>32.230742094834042</v>
      </c>
      <c r="N223" s="97">
        <f t="shared" si="280"/>
        <v>29.949002241422804</v>
      </c>
      <c r="O223" s="97">
        <f t="shared" si="280"/>
        <v>26.686479130517316</v>
      </c>
      <c r="P223" s="97">
        <f t="shared" si="280"/>
        <v>29.139825055515399</v>
      </c>
      <c r="Q223" s="97">
        <f t="shared" si="280"/>
        <v>20.499203719971966</v>
      </c>
      <c r="R223" s="97">
        <f t="shared" si="280"/>
        <v>21.132920455478256</v>
      </c>
      <c r="S223" s="97">
        <f t="shared" si="280"/>
        <v>18.315771591921511</v>
      </c>
      <c r="T223" s="97">
        <f t="shared" si="280"/>
        <v>21.796654043283109</v>
      </c>
      <c r="U223" s="97">
        <f t="shared" si="280"/>
        <v>19.867224784370816</v>
      </c>
      <c r="V223" s="97">
        <f t="shared" si="280"/>
        <v>33.251023233424483</v>
      </c>
      <c r="W223" s="97">
        <f t="shared" ref="W223" si="281">IF(W11=0,0,W71/W11*1000)</f>
        <v>31.303466751018785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240.43270766077259</v>
      </c>
      <c r="C225" s="130">
        <f t="shared" si="284"/>
        <v>251.34725037157102</v>
      </c>
      <c r="D225" s="130">
        <f t="shared" si="284"/>
        <v>254.04988952140079</v>
      </c>
      <c r="E225" s="130">
        <f t="shared" si="284"/>
        <v>246.3512318020569</v>
      </c>
      <c r="F225" s="130">
        <f t="shared" si="284"/>
        <v>259.86873980913106</v>
      </c>
      <c r="G225" s="130">
        <f t="shared" si="284"/>
        <v>229.644581887925</v>
      </c>
      <c r="H225" s="130">
        <f t="shared" si="284"/>
        <v>223.61167120974443</v>
      </c>
      <c r="I225" s="130">
        <f t="shared" si="284"/>
        <v>248.86786110730472</v>
      </c>
      <c r="J225" s="130">
        <f t="shared" si="284"/>
        <v>240.23614705090844</v>
      </c>
      <c r="K225" s="130">
        <f t="shared" si="284"/>
        <v>322.13005968188804</v>
      </c>
      <c r="L225" s="130">
        <f t="shared" si="284"/>
        <v>343.24336524917896</v>
      </c>
      <c r="M225" s="130">
        <f t="shared" si="284"/>
        <v>264.8365393911439</v>
      </c>
      <c r="N225" s="130">
        <f t="shared" si="284"/>
        <v>247.49406506337141</v>
      </c>
      <c r="O225" s="130">
        <f t="shared" si="284"/>
        <v>212.80800329437511</v>
      </c>
      <c r="P225" s="130">
        <f t="shared" si="284"/>
        <v>233.31200472586676</v>
      </c>
      <c r="Q225" s="130">
        <f t="shared" si="284"/>
        <v>255.72470319129559</v>
      </c>
      <c r="R225" s="130">
        <f t="shared" si="284"/>
        <v>279.10126448340469</v>
      </c>
      <c r="S225" s="130">
        <f t="shared" si="284"/>
        <v>300.48808074672922</v>
      </c>
      <c r="T225" s="130">
        <f t="shared" si="284"/>
        <v>338.16660915991054</v>
      </c>
      <c r="U225" s="130">
        <f t="shared" si="284"/>
        <v>324.19416348322483</v>
      </c>
      <c r="V225" s="130">
        <f t="shared" si="284"/>
        <v>293.82444503148861</v>
      </c>
      <c r="W225" s="130">
        <f t="shared" ref="W225" si="285">IF(W13=0,0,W73/W13*1000)</f>
        <v>291.33059448514445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212.06593359670941</v>
      </c>
      <c r="C227" s="97">
        <f t="shared" si="288"/>
        <v>222.30201181536836</v>
      </c>
      <c r="D227" s="97">
        <f t="shared" si="288"/>
        <v>225.4944053795324</v>
      </c>
      <c r="E227" s="97">
        <f t="shared" si="288"/>
        <v>219.7807819944957</v>
      </c>
      <c r="F227" s="97">
        <f t="shared" si="288"/>
        <v>233.22410227731049</v>
      </c>
      <c r="G227" s="97">
        <f t="shared" si="288"/>
        <v>215.6673011816485</v>
      </c>
      <c r="H227" s="97">
        <f t="shared" si="288"/>
        <v>216.80915719577308</v>
      </c>
      <c r="I227" s="97">
        <f t="shared" si="288"/>
        <v>274.85533282612147</v>
      </c>
      <c r="J227" s="97">
        <f t="shared" si="288"/>
        <v>291.60790479480977</v>
      </c>
      <c r="K227" s="97">
        <f t="shared" si="288"/>
        <v>422.90898128578948</v>
      </c>
      <c r="L227" s="97">
        <f t="shared" si="288"/>
        <v>471.40970013300512</v>
      </c>
      <c r="M227" s="97">
        <f t="shared" si="288"/>
        <v>308.80507402420841</v>
      </c>
      <c r="N227" s="97">
        <f t="shared" si="288"/>
        <v>261.65211687163361</v>
      </c>
      <c r="O227" s="97">
        <f t="shared" si="288"/>
        <v>219.39085944696976</v>
      </c>
      <c r="P227" s="97">
        <f t="shared" si="288"/>
        <v>247.57291540707314</v>
      </c>
      <c r="Q227" s="97">
        <f t="shared" si="288"/>
        <v>272.12800774882675</v>
      </c>
      <c r="R227" s="97">
        <f t="shared" si="288"/>
        <v>284.30785585655997</v>
      </c>
      <c r="S227" s="97">
        <f t="shared" si="288"/>
        <v>314.24516557375415</v>
      </c>
      <c r="T227" s="97">
        <f t="shared" si="288"/>
        <v>364.10772185620556</v>
      </c>
      <c r="U227" s="97">
        <f t="shared" si="288"/>
        <v>356.14591719460066</v>
      </c>
      <c r="V227" s="97">
        <f t="shared" si="288"/>
        <v>281.64214182381841</v>
      </c>
      <c r="W227" s="97">
        <f t="shared" ref="W227" si="289">IF(W15=0,0,W75/W15*1000)</f>
        <v>302.81176865621467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407.20710445060445</v>
      </c>
      <c r="C228" s="97">
        <f t="shared" si="290"/>
        <v>418.88472178984961</v>
      </c>
      <c r="D228" s="97">
        <f t="shared" si="290"/>
        <v>414.87403643814099</v>
      </c>
      <c r="E228" s="97">
        <f t="shared" si="290"/>
        <v>391.11259961378619</v>
      </c>
      <c r="F228" s="97">
        <f t="shared" si="290"/>
        <v>399.60910975512763</v>
      </c>
      <c r="G228" s="97">
        <f t="shared" si="290"/>
        <v>287.55848653068568</v>
      </c>
      <c r="H228" s="97">
        <f t="shared" si="290"/>
        <v>247.95703437623476</v>
      </c>
      <c r="I228" s="97">
        <f t="shared" si="290"/>
        <v>191.10461556377578</v>
      </c>
      <c r="J228" s="97">
        <f t="shared" si="290"/>
        <v>157.33009377221214</v>
      </c>
      <c r="K228" s="97">
        <f t="shared" si="290"/>
        <v>192.91102253567632</v>
      </c>
      <c r="L228" s="97">
        <f t="shared" si="290"/>
        <v>192.74219577806997</v>
      </c>
      <c r="M228" s="97">
        <f t="shared" si="290"/>
        <v>189.01813289920389</v>
      </c>
      <c r="N228" s="97">
        <f t="shared" si="290"/>
        <v>214.53815420574907</v>
      </c>
      <c r="O228" s="97">
        <f t="shared" si="290"/>
        <v>195.74691072169486</v>
      </c>
      <c r="P228" s="97">
        <f t="shared" si="290"/>
        <v>199.88073886281947</v>
      </c>
      <c r="Q228" s="97">
        <f t="shared" si="290"/>
        <v>217.41434605138573</v>
      </c>
      <c r="R228" s="97">
        <f t="shared" si="290"/>
        <v>264.01850287937532</v>
      </c>
      <c r="S228" s="97">
        <f t="shared" si="290"/>
        <v>262.61152011222629</v>
      </c>
      <c r="T228" s="97">
        <f t="shared" si="290"/>
        <v>274.94197406115558</v>
      </c>
      <c r="U228" s="97">
        <f t="shared" si="290"/>
        <v>253.27564290744226</v>
      </c>
      <c r="V228" s="97">
        <f t="shared" si="290"/>
        <v>329.20569674381312</v>
      </c>
      <c r="W228" s="97">
        <f t="shared" ref="W228" si="291">IF(W16=0,0,W76/W16*1000)</f>
        <v>262.90727172102032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583.31675284639891</v>
      </c>
      <c r="C229" s="32">
        <f t="shared" si="292"/>
        <v>593.68080318219552</v>
      </c>
      <c r="D229" s="32">
        <f t="shared" si="292"/>
        <v>614.54250100207162</v>
      </c>
      <c r="E229" s="32">
        <f t="shared" si="292"/>
        <v>707.05318394085009</v>
      </c>
      <c r="F229" s="32">
        <f t="shared" si="292"/>
        <v>851.4243691952114</v>
      </c>
      <c r="G229" s="32">
        <f t="shared" si="292"/>
        <v>965.96348236131053</v>
      </c>
      <c r="H229" s="32">
        <f t="shared" si="292"/>
        <v>889.20292331124665</v>
      </c>
      <c r="I229" s="32">
        <f t="shared" si="292"/>
        <v>735.1341590928613</v>
      </c>
      <c r="J229" s="32">
        <f t="shared" si="292"/>
        <v>707.70594796950638</v>
      </c>
      <c r="K229" s="32">
        <f t="shared" si="292"/>
        <v>714.52278670058274</v>
      </c>
      <c r="L229" s="32">
        <f t="shared" si="292"/>
        <v>728.79610627016018</v>
      </c>
      <c r="M229" s="32">
        <f t="shared" si="292"/>
        <v>747.90367360082075</v>
      </c>
      <c r="N229" s="32">
        <f t="shared" si="292"/>
        <v>670.51421532658662</v>
      </c>
      <c r="O229" s="32">
        <f t="shared" si="292"/>
        <v>694.71251993824569</v>
      </c>
      <c r="P229" s="32">
        <f t="shared" si="292"/>
        <v>601.59313468577795</v>
      </c>
      <c r="Q229" s="32">
        <f t="shared" si="292"/>
        <v>583.52180102295733</v>
      </c>
      <c r="R229" s="32">
        <f t="shared" si="292"/>
        <v>540.93633133529329</v>
      </c>
      <c r="S229" s="32">
        <f t="shared" si="292"/>
        <v>533.66229099335931</v>
      </c>
      <c r="T229" s="32">
        <f t="shared" si="292"/>
        <v>585.21186654059466</v>
      </c>
      <c r="U229" s="32">
        <f t="shared" si="292"/>
        <v>593.80496437224963</v>
      </c>
      <c r="V229" s="32">
        <f t="shared" si="292"/>
        <v>516.78615927890974</v>
      </c>
      <c r="W229" s="32">
        <f t="shared" ref="W229" si="293">IF(W17=0,0,W77/W17*1000)</f>
        <v>500.46834980119127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1389.9816505345775</v>
      </c>
      <c r="C230" s="141">
        <f t="shared" si="294"/>
        <v>1367.3067372484115</v>
      </c>
      <c r="D230" s="141">
        <f t="shared" si="294"/>
        <v>1319.5136850550239</v>
      </c>
      <c r="E230" s="141">
        <f t="shared" si="294"/>
        <v>1527.446998781397</v>
      </c>
      <c r="F230" s="141">
        <f t="shared" si="294"/>
        <v>1851.761072017053</v>
      </c>
      <c r="G230" s="141">
        <f t="shared" si="294"/>
        <v>2098.2409656366312</v>
      </c>
      <c r="H230" s="141">
        <f t="shared" si="294"/>
        <v>1977.1973046263099</v>
      </c>
      <c r="I230" s="141">
        <f t="shared" si="294"/>
        <v>1736.3978006440377</v>
      </c>
      <c r="J230" s="141">
        <f t="shared" si="294"/>
        <v>1612.2937707720116</v>
      </c>
      <c r="K230" s="141">
        <f t="shared" si="294"/>
        <v>1556.4106199280211</v>
      </c>
      <c r="L230" s="141">
        <f t="shared" si="294"/>
        <v>1639.6998293983213</v>
      </c>
      <c r="M230" s="141">
        <f t="shared" si="294"/>
        <v>1685.6001684297253</v>
      </c>
      <c r="N230" s="141">
        <f t="shared" si="294"/>
        <v>1236.9071002859316</v>
      </c>
      <c r="O230" s="141">
        <f t="shared" si="294"/>
        <v>1378.461833693374</v>
      </c>
      <c r="P230" s="141">
        <f t="shared" si="294"/>
        <v>1094.2760571968288</v>
      </c>
      <c r="Q230" s="141">
        <f t="shared" si="294"/>
        <v>1143.2104549819928</v>
      </c>
      <c r="R230" s="141">
        <f t="shared" si="294"/>
        <v>1032.5273791580184</v>
      </c>
      <c r="S230" s="141">
        <f t="shared" si="294"/>
        <v>1055.7523308674233</v>
      </c>
      <c r="T230" s="141">
        <f t="shared" si="294"/>
        <v>1341.7561250261799</v>
      </c>
      <c r="U230" s="141">
        <f t="shared" si="294"/>
        <v>1388.8175683685986</v>
      </c>
      <c r="V230" s="141">
        <f t="shared" si="294"/>
        <v>1174.002275614223</v>
      </c>
      <c r="W230" s="141">
        <f t="shared" ref="W230" si="295">IF(W18=0,0,W78/W18*1000)</f>
        <v>1095.9086893128431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1451.1592822483328</v>
      </c>
      <c r="C231" s="97">
        <f t="shared" si="296"/>
        <v>1386.8968669576614</v>
      </c>
      <c r="D231" s="97">
        <f t="shared" si="296"/>
        <v>1343.9957108806002</v>
      </c>
      <c r="E231" s="97">
        <f t="shared" si="296"/>
        <v>1311.2986652020379</v>
      </c>
      <c r="F231" s="97">
        <f t="shared" si="296"/>
        <v>1277.2542476544652</v>
      </c>
      <c r="G231" s="97">
        <f t="shared" si="296"/>
        <v>1251.9157191270651</v>
      </c>
      <c r="H231" s="97">
        <f t="shared" si="296"/>
        <v>1230.8151137755187</v>
      </c>
      <c r="I231" s="97">
        <f t="shared" si="296"/>
        <v>1185.4754725427595</v>
      </c>
      <c r="J231" s="97">
        <f t="shared" si="296"/>
        <v>1165.5358272843771</v>
      </c>
      <c r="K231" s="97">
        <f t="shared" si="296"/>
        <v>1154.3238359184284</v>
      </c>
      <c r="L231" s="97">
        <f t="shared" si="296"/>
        <v>1157.4333058604359</v>
      </c>
      <c r="M231" s="97">
        <f t="shared" si="296"/>
        <v>1158.7578996842699</v>
      </c>
      <c r="N231" s="97">
        <f t="shared" si="296"/>
        <v>1133.7770309357372</v>
      </c>
      <c r="O231" s="97">
        <f t="shared" si="296"/>
        <v>1108.3765322556299</v>
      </c>
      <c r="P231" s="97">
        <f t="shared" si="296"/>
        <v>1091.936100057055</v>
      </c>
      <c r="Q231" s="97">
        <f t="shared" si="296"/>
        <v>1069.0111589177011</v>
      </c>
      <c r="R231" s="97">
        <f t="shared" si="296"/>
        <v>1049.828124081605</v>
      </c>
      <c r="S231" s="97">
        <f t="shared" si="296"/>
        <v>1007.8467547729571</v>
      </c>
      <c r="T231" s="97">
        <f t="shared" si="296"/>
        <v>990.53691031252686</v>
      </c>
      <c r="U231" s="97">
        <f t="shared" si="296"/>
        <v>977.08928378379301</v>
      </c>
      <c r="V231" s="97">
        <f t="shared" si="296"/>
        <v>937.90810084819282</v>
      </c>
      <c r="W231" s="97">
        <f t="shared" ref="W231" si="297">IF(W19=0,0,W79/W19*1000)</f>
        <v>937.51832249645463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1386.9536296909532</v>
      </c>
      <c r="C232" s="97">
        <f t="shared" si="298"/>
        <v>1366.3558410025184</v>
      </c>
      <c r="D232" s="97">
        <f t="shared" si="298"/>
        <v>1318.3535217118281</v>
      </c>
      <c r="E232" s="97">
        <f t="shared" si="298"/>
        <v>1538.1486472232179</v>
      </c>
      <c r="F232" s="97">
        <f t="shared" si="298"/>
        <v>1878.9808025123259</v>
      </c>
      <c r="G232" s="97">
        <f t="shared" si="298"/>
        <v>2140.7826465675994</v>
      </c>
      <c r="H232" s="97">
        <f t="shared" si="298"/>
        <v>2016.4573562943406</v>
      </c>
      <c r="I232" s="97">
        <f t="shared" si="298"/>
        <v>1766.1705313551399</v>
      </c>
      <c r="J232" s="97">
        <f t="shared" si="298"/>
        <v>1635.922970666132</v>
      </c>
      <c r="K232" s="97">
        <f t="shared" si="298"/>
        <v>1580.3109781250644</v>
      </c>
      <c r="L232" s="97">
        <f t="shared" si="298"/>
        <v>1667.573385485827</v>
      </c>
      <c r="M232" s="97">
        <f t="shared" si="298"/>
        <v>1716.9606122264838</v>
      </c>
      <c r="N232" s="97">
        <f t="shared" si="298"/>
        <v>1241.9503347172188</v>
      </c>
      <c r="O232" s="97">
        <f t="shared" si="298"/>
        <v>1393.6264354503594</v>
      </c>
      <c r="P232" s="97">
        <f t="shared" si="298"/>
        <v>1094.3931561615468</v>
      </c>
      <c r="Q232" s="97">
        <f t="shared" si="298"/>
        <v>1147.7503474310263</v>
      </c>
      <c r="R232" s="97">
        <f t="shared" si="298"/>
        <v>1031.4852599502831</v>
      </c>
      <c r="S232" s="97">
        <f t="shared" si="298"/>
        <v>1058.6996857806926</v>
      </c>
      <c r="T232" s="97">
        <f t="shared" si="298"/>
        <v>1368.408812170715</v>
      </c>
      <c r="U232" s="97">
        <f t="shared" si="298"/>
        <v>1420.1452625089423</v>
      </c>
      <c r="V232" s="97">
        <f t="shared" si="298"/>
        <v>1194.7805304268645</v>
      </c>
      <c r="W232" s="97">
        <f t="shared" ref="W232" si="299">IF(W20=0,0,W80/W20*1000)</f>
        <v>1108.9890487565604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9.9514551136522815</v>
      </c>
      <c r="C233" s="130">
        <f t="shared" si="300"/>
        <v>10.507178952353311</v>
      </c>
      <c r="D233" s="130">
        <f t="shared" si="300"/>
        <v>10.084159229831794</v>
      </c>
      <c r="E233" s="130">
        <f t="shared" si="300"/>
        <v>8.867918195439028</v>
      </c>
      <c r="F233" s="130">
        <f t="shared" si="300"/>
        <v>7.6468422458179779</v>
      </c>
      <c r="G233" s="130">
        <f t="shared" si="300"/>
        <v>5.59786367545742</v>
      </c>
      <c r="H233" s="130">
        <f t="shared" si="300"/>
        <v>3.0937475695425851</v>
      </c>
      <c r="I233" s="130">
        <f t="shared" si="300"/>
        <v>3.5931911922657704</v>
      </c>
      <c r="J233" s="130">
        <f t="shared" si="300"/>
        <v>4.5150097923062544</v>
      </c>
      <c r="K233" s="130">
        <f t="shared" si="300"/>
        <v>4.7650959362266834</v>
      </c>
      <c r="L233" s="130">
        <f t="shared" si="300"/>
        <v>3.3484230494644311</v>
      </c>
      <c r="M233" s="130">
        <f t="shared" si="300"/>
        <v>3.0814251698018094</v>
      </c>
      <c r="N233" s="130">
        <f t="shared" si="300"/>
        <v>3.428027549564042</v>
      </c>
      <c r="O233" s="130">
        <f t="shared" si="300"/>
        <v>3.2213380852118338</v>
      </c>
      <c r="P233" s="130">
        <f t="shared" si="300"/>
        <v>3.2570155273142518</v>
      </c>
      <c r="Q233" s="130">
        <f t="shared" si="300"/>
        <v>2.6943283335831838</v>
      </c>
      <c r="R233" s="130">
        <f t="shared" si="300"/>
        <v>2.643655174455569</v>
      </c>
      <c r="S233" s="130">
        <f t="shared" si="300"/>
        <v>2.4056877123867717</v>
      </c>
      <c r="T233" s="130">
        <f t="shared" si="300"/>
        <v>2.594602775002615</v>
      </c>
      <c r="U233" s="130">
        <f t="shared" si="300"/>
        <v>2.7382701823890709</v>
      </c>
      <c r="V233" s="130">
        <f t="shared" si="300"/>
        <v>3.7386144039644265</v>
      </c>
      <c r="W233" s="130">
        <f t="shared" ref="W233" si="301">IF(W21=0,0,W81/W21*1000)</f>
        <v>2.6502206118766289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327.56212096568186</v>
      </c>
      <c r="C234" s="130">
        <f t="shared" si="302"/>
        <v>323.3667998068081</v>
      </c>
      <c r="D234" s="130">
        <f t="shared" si="302"/>
        <v>345.11105452263035</v>
      </c>
      <c r="E234" s="130">
        <f t="shared" si="302"/>
        <v>366.07820508722727</v>
      </c>
      <c r="F234" s="130">
        <f t="shared" si="302"/>
        <v>394.42304482609256</v>
      </c>
      <c r="G234" s="130">
        <f t="shared" si="302"/>
        <v>399.13380580640751</v>
      </c>
      <c r="H234" s="130">
        <f t="shared" si="302"/>
        <v>364.74165974183762</v>
      </c>
      <c r="I234" s="130">
        <f t="shared" si="302"/>
        <v>311.21958407778652</v>
      </c>
      <c r="J234" s="130">
        <f t="shared" si="302"/>
        <v>279.4839086788167</v>
      </c>
      <c r="K234" s="130">
        <f t="shared" si="302"/>
        <v>284.98078323079505</v>
      </c>
      <c r="L234" s="130">
        <f t="shared" si="302"/>
        <v>272.32234289649841</v>
      </c>
      <c r="M234" s="130">
        <f t="shared" si="302"/>
        <v>260.69490453679924</v>
      </c>
      <c r="N234" s="130">
        <f t="shared" si="302"/>
        <v>270.21945233642032</v>
      </c>
      <c r="O234" s="130">
        <f t="shared" si="302"/>
        <v>265.52373287920591</v>
      </c>
      <c r="P234" s="130">
        <f t="shared" si="302"/>
        <v>255.28794108526736</v>
      </c>
      <c r="Q234" s="130">
        <f t="shared" si="302"/>
        <v>258.17334180305369</v>
      </c>
      <c r="R234" s="130">
        <f t="shared" si="302"/>
        <v>251.63155927905385</v>
      </c>
      <c r="S234" s="130">
        <f t="shared" si="302"/>
        <v>239.51362695948924</v>
      </c>
      <c r="T234" s="130">
        <f t="shared" si="302"/>
        <v>218.1352587069143</v>
      </c>
      <c r="U234" s="130">
        <f t="shared" si="302"/>
        <v>195.40606446882609</v>
      </c>
      <c r="V234" s="130">
        <f t="shared" si="302"/>
        <v>261.61144371231001</v>
      </c>
      <c r="W234" s="130">
        <f t="shared" ref="W234" si="303">IF(W22=0,0,W82/W22*1000)</f>
        <v>258.61736697385692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1055.7082964740382</v>
      </c>
      <c r="C236" s="97">
        <f t="shared" si="306"/>
        <v>822.3641899371471</v>
      </c>
      <c r="D236" s="97">
        <f t="shared" si="306"/>
        <v>656.7976386554069</v>
      </c>
      <c r="E236" s="97">
        <f t="shared" si="306"/>
        <v>645.35881979255419</v>
      </c>
      <c r="F236" s="97">
        <f t="shared" si="306"/>
        <v>767.09170831797337</v>
      </c>
      <c r="G236" s="97">
        <f t="shared" si="306"/>
        <v>696.91941700254404</v>
      </c>
      <c r="H236" s="97">
        <f t="shared" si="306"/>
        <v>656.24836673421828</v>
      </c>
      <c r="I236" s="97">
        <f t="shared" si="306"/>
        <v>794.42754205598897</v>
      </c>
      <c r="J236" s="97">
        <f t="shared" si="306"/>
        <v>796.39686414940775</v>
      </c>
      <c r="K236" s="97">
        <f t="shared" si="306"/>
        <v>1024.206285820276</v>
      </c>
      <c r="L236" s="97">
        <f t="shared" si="306"/>
        <v>1094.3282127803686</v>
      </c>
      <c r="M236" s="97">
        <f t="shared" si="306"/>
        <v>746.86548728817115</v>
      </c>
      <c r="N236" s="97">
        <f t="shared" si="306"/>
        <v>628.38778978455059</v>
      </c>
      <c r="O236" s="97">
        <f t="shared" si="306"/>
        <v>605.87049122708413</v>
      </c>
      <c r="P236" s="97">
        <f t="shared" si="306"/>
        <v>658.85721621829373</v>
      </c>
      <c r="Q236" s="97">
        <f t="shared" si="306"/>
        <v>834.14539363861002</v>
      </c>
      <c r="R236" s="97">
        <f t="shared" si="306"/>
        <v>818.62269898243392</v>
      </c>
      <c r="S236" s="97">
        <f t="shared" si="306"/>
        <v>1180.7851370673673</v>
      </c>
      <c r="T236" s="97">
        <f t="shared" si="306"/>
        <v>1307.6984841967062</v>
      </c>
      <c r="U236" s="97">
        <f t="shared" si="306"/>
        <v>1471.6650219719108</v>
      </c>
      <c r="V236" s="97">
        <f t="shared" si="306"/>
        <v>1162.5329579370405</v>
      </c>
      <c r="W236" s="97">
        <f t="shared" ref="W236" si="307">IF(W24=0,0,W84/W24*1000)</f>
        <v>1421.2079366203343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315.22920745720052</v>
      </c>
      <c r="C237" s="97">
        <f t="shared" si="308"/>
        <v>319.12978196457794</v>
      </c>
      <c r="D237" s="97">
        <f t="shared" si="308"/>
        <v>342.86094837727535</v>
      </c>
      <c r="E237" s="97">
        <f t="shared" si="308"/>
        <v>362.67214151046039</v>
      </c>
      <c r="F237" s="97">
        <f t="shared" si="308"/>
        <v>390.8084367839262</v>
      </c>
      <c r="G237" s="97">
        <f t="shared" si="308"/>
        <v>395.7654151633547</v>
      </c>
      <c r="H237" s="97">
        <f t="shared" si="308"/>
        <v>362.9514835443876</v>
      </c>
      <c r="I237" s="97">
        <f t="shared" si="308"/>
        <v>307.97216446861955</v>
      </c>
      <c r="J237" s="97">
        <f t="shared" si="308"/>
        <v>275.26625513872762</v>
      </c>
      <c r="K237" s="97">
        <f t="shared" si="308"/>
        <v>279.47924289184471</v>
      </c>
      <c r="L237" s="97">
        <f t="shared" si="308"/>
        <v>265.87820860218255</v>
      </c>
      <c r="M237" s="97">
        <f t="shared" si="308"/>
        <v>257.81454797047007</v>
      </c>
      <c r="N237" s="97">
        <f t="shared" si="308"/>
        <v>267.61860691289013</v>
      </c>
      <c r="O237" s="97">
        <f t="shared" si="308"/>
        <v>262.82846117886135</v>
      </c>
      <c r="P237" s="97">
        <f t="shared" si="308"/>
        <v>251.89005435978541</v>
      </c>
      <c r="Q237" s="97">
        <f t="shared" si="308"/>
        <v>254.34337429232212</v>
      </c>
      <c r="R237" s="97">
        <f t="shared" si="308"/>
        <v>248.59961825557349</v>
      </c>
      <c r="S237" s="97">
        <f t="shared" si="308"/>
        <v>234.08073603671087</v>
      </c>
      <c r="T237" s="97">
        <f t="shared" si="308"/>
        <v>212.43126088520839</v>
      </c>
      <c r="U237" s="97">
        <f t="shared" si="308"/>
        <v>189.14096071310291</v>
      </c>
      <c r="V237" s="97">
        <f t="shared" si="308"/>
        <v>257.75207954539559</v>
      </c>
      <c r="W237" s="97">
        <f t="shared" ref="W237" si="309">IF(W25=0,0,W85/W25*1000)</f>
        <v>253.0485589139322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3.7672228285714286</v>
      </c>
      <c r="C238" s="130">
        <f t="shared" si="310"/>
        <v>3.779766300808626</v>
      </c>
      <c r="D238" s="130">
        <f t="shared" si="310"/>
        <v>3.7815969697297298</v>
      </c>
      <c r="E238" s="130">
        <f t="shared" si="310"/>
        <v>3.8976590620253169</v>
      </c>
      <c r="F238" s="130">
        <f t="shared" si="310"/>
        <v>3.7815969697297298</v>
      </c>
      <c r="G238" s="130">
        <f t="shared" si="310"/>
        <v>3.8372022000000001</v>
      </c>
      <c r="H238" s="130">
        <f t="shared" si="310"/>
        <v>3.7619881511811029</v>
      </c>
      <c r="I238" s="130">
        <f t="shared" si="310"/>
        <v>3.8308127791304343</v>
      </c>
      <c r="J238" s="130">
        <f t="shared" si="310"/>
        <v>3.7871488348773847</v>
      </c>
      <c r="K238" s="130">
        <f t="shared" si="310"/>
        <v>3.9920012516129026</v>
      </c>
      <c r="L238" s="130">
        <f t="shared" si="310"/>
        <v>3.8024074428969366</v>
      </c>
      <c r="M238" s="130">
        <f t="shared" si="310"/>
        <v>3.9263398583606559</v>
      </c>
      <c r="N238" s="130">
        <f t="shared" si="310"/>
        <v>3.853845931034483</v>
      </c>
      <c r="O238" s="130">
        <f t="shared" si="310"/>
        <v>3.2878926517571885</v>
      </c>
      <c r="P238" s="130">
        <f t="shared" si="310"/>
        <v>3.6768505263157891</v>
      </c>
      <c r="Q238" s="130">
        <f t="shared" si="310"/>
        <v>4.0667790638297872</v>
      </c>
      <c r="R238" s="130">
        <f t="shared" si="310"/>
        <v>4.7224818947368412</v>
      </c>
      <c r="S238" s="130">
        <f t="shared" si="310"/>
        <v>4.6935083076923076</v>
      </c>
      <c r="T238" s="130">
        <f t="shared" si="310"/>
        <v>4.452697756097562</v>
      </c>
      <c r="U238" s="130">
        <f t="shared" si="310"/>
        <v>3.8358236842105269</v>
      </c>
      <c r="V238" s="130">
        <f t="shared" si="310"/>
        <v>1.4572262686567166</v>
      </c>
      <c r="W238" s="130">
        <f t="shared" ref="W238" si="311">IF(W26=0,0,W86/W26*1000)</f>
        <v>1.1752191705069126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3.7672228285714286</v>
      </c>
      <c r="C240" s="98">
        <f t="shared" si="314"/>
        <v>3.779766300808626</v>
      </c>
      <c r="D240" s="98">
        <f t="shared" si="314"/>
        <v>3.7815969697297298</v>
      </c>
      <c r="E240" s="98">
        <f t="shared" si="314"/>
        <v>3.8976590620253169</v>
      </c>
      <c r="F240" s="98">
        <f t="shared" si="314"/>
        <v>3.7815969697297298</v>
      </c>
      <c r="G240" s="98">
        <f t="shared" si="314"/>
        <v>3.8372022000000001</v>
      </c>
      <c r="H240" s="98">
        <f t="shared" si="314"/>
        <v>3.7619881511811029</v>
      </c>
      <c r="I240" s="98">
        <f t="shared" si="314"/>
        <v>3.8308127791304343</v>
      </c>
      <c r="J240" s="98">
        <f t="shared" si="314"/>
        <v>3.7871488348773847</v>
      </c>
      <c r="K240" s="98">
        <f t="shared" si="314"/>
        <v>3.9920012516129026</v>
      </c>
      <c r="L240" s="98">
        <f t="shared" si="314"/>
        <v>3.8024074428969366</v>
      </c>
      <c r="M240" s="98">
        <f t="shared" si="314"/>
        <v>3.9263398583606559</v>
      </c>
      <c r="N240" s="98">
        <f t="shared" si="314"/>
        <v>3.853845931034483</v>
      </c>
      <c r="O240" s="98">
        <f t="shared" si="314"/>
        <v>3.2878926517571885</v>
      </c>
      <c r="P240" s="98">
        <f t="shared" si="314"/>
        <v>3.6768505263157891</v>
      </c>
      <c r="Q240" s="98">
        <f t="shared" si="314"/>
        <v>4.0667790638297872</v>
      </c>
      <c r="R240" s="98">
        <f t="shared" si="314"/>
        <v>4.7224818947368412</v>
      </c>
      <c r="S240" s="98">
        <f t="shared" si="314"/>
        <v>4.6935083076923076</v>
      </c>
      <c r="T240" s="98">
        <f t="shared" si="314"/>
        <v>4.452697756097562</v>
      </c>
      <c r="U240" s="98">
        <f t="shared" si="314"/>
        <v>3.8358236842105269</v>
      </c>
      <c r="V240" s="98">
        <f t="shared" si="314"/>
        <v>1.4572262686567166</v>
      </c>
      <c r="W240" s="98">
        <f t="shared" ref="W240:W243" si="315">IF(W28=0,0,W88/W28*1000)</f>
        <v>1.1752191705069126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0</v>
      </c>
      <c r="J241" s="32">
        <f t="shared" si="316"/>
        <v>0</v>
      </c>
      <c r="K241" s="32">
        <f t="shared" si="316"/>
        <v>0</v>
      </c>
      <c r="L241" s="32">
        <f t="shared" si="316"/>
        <v>0</v>
      </c>
      <c r="M241" s="32">
        <f t="shared" si="316"/>
        <v>0</v>
      </c>
      <c r="N241" s="32">
        <f t="shared" si="316"/>
        <v>0</v>
      </c>
      <c r="O241" s="32">
        <f t="shared" si="316"/>
        <v>0</v>
      </c>
      <c r="P241" s="32">
        <f t="shared" si="316"/>
        <v>0</v>
      </c>
      <c r="Q241" s="32">
        <f t="shared" si="316"/>
        <v>0</v>
      </c>
      <c r="R241" s="32">
        <f t="shared" si="316"/>
        <v>0</v>
      </c>
      <c r="S241" s="32">
        <f t="shared" si="316"/>
        <v>0</v>
      </c>
      <c r="T241" s="32">
        <f t="shared" si="316"/>
        <v>0</v>
      </c>
      <c r="U241" s="32">
        <f t="shared" si="316"/>
        <v>0</v>
      </c>
      <c r="V241" s="32">
        <f t="shared" si="316"/>
        <v>0</v>
      </c>
      <c r="W241" s="32">
        <f t="shared" si="315"/>
        <v>0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0</v>
      </c>
      <c r="J242" s="97">
        <f t="shared" si="317"/>
        <v>0</v>
      </c>
      <c r="K242" s="97">
        <f t="shared" si="317"/>
        <v>0</v>
      </c>
      <c r="L242" s="97">
        <f t="shared" si="317"/>
        <v>0</v>
      </c>
      <c r="M242" s="97">
        <f t="shared" si="317"/>
        <v>0</v>
      </c>
      <c r="N242" s="97">
        <f t="shared" si="317"/>
        <v>0</v>
      </c>
      <c r="O242" s="97">
        <f t="shared" si="317"/>
        <v>0</v>
      </c>
      <c r="P242" s="97">
        <f t="shared" si="317"/>
        <v>0</v>
      </c>
      <c r="Q242" s="97">
        <f t="shared" si="317"/>
        <v>0</v>
      </c>
      <c r="R242" s="97">
        <f t="shared" si="317"/>
        <v>0</v>
      </c>
      <c r="S242" s="97">
        <f t="shared" si="317"/>
        <v>0</v>
      </c>
      <c r="T242" s="97">
        <f t="shared" si="317"/>
        <v>0</v>
      </c>
      <c r="U242" s="97">
        <f t="shared" si="317"/>
        <v>0</v>
      </c>
      <c r="V242" s="97">
        <f t="shared" si="317"/>
        <v>0</v>
      </c>
      <c r="W242" s="97">
        <f t="shared" si="315"/>
        <v>0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0</v>
      </c>
      <c r="J243" s="98">
        <f t="shared" si="318"/>
        <v>0</v>
      </c>
      <c r="K243" s="98">
        <f t="shared" si="318"/>
        <v>0</v>
      </c>
      <c r="L243" s="98">
        <f t="shared" si="318"/>
        <v>0</v>
      </c>
      <c r="M243" s="98">
        <f t="shared" si="318"/>
        <v>0</v>
      </c>
      <c r="N243" s="98">
        <f t="shared" si="318"/>
        <v>0</v>
      </c>
      <c r="O243" s="98">
        <f t="shared" si="318"/>
        <v>0</v>
      </c>
      <c r="P243" s="98">
        <f t="shared" si="318"/>
        <v>0</v>
      </c>
      <c r="Q243" s="98">
        <f t="shared" si="318"/>
        <v>0</v>
      </c>
      <c r="R243" s="98">
        <f t="shared" si="318"/>
        <v>0</v>
      </c>
      <c r="S243" s="98">
        <f t="shared" si="318"/>
        <v>0</v>
      </c>
      <c r="T243" s="98">
        <f t="shared" si="318"/>
        <v>0</v>
      </c>
      <c r="U243" s="98">
        <f t="shared" si="318"/>
        <v>0</v>
      </c>
      <c r="V243" s="98">
        <f t="shared" si="318"/>
        <v>0</v>
      </c>
      <c r="W243" s="98">
        <f t="shared" si="315"/>
        <v>0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6255.6317222861408</v>
      </c>
      <c r="C4" s="29">
        <f t="shared" si="0"/>
        <v>6497.2440064611601</v>
      </c>
      <c r="D4" s="29">
        <f t="shared" si="0"/>
        <v>6660.0928900370072</v>
      </c>
      <c r="E4" s="29">
        <f t="shared" si="0"/>
        <v>6781.1754311188497</v>
      </c>
      <c r="F4" s="29">
        <f t="shared" si="0"/>
        <v>6914.1507940843348</v>
      </c>
      <c r="G4" s="29">
        <f t="shared" si="0"/>
        <v>7145.8472926373061</v>
      </c>
      <c r="H4" s="29">
        <f t="shared" si="0"/>
        <v>7366.8234755473977</v>
      </c>
      <c r="I4" s="29">
        <f t="shared" si="0"/>
        <v>7508.65457210158</v>
      </c>
      <c r="J4" s="29">
        <f t="shared" si="0"/>
        <v>7659.2430707339299</v>
      </c>
      <c r="K4" s="29">
        <f t="shared" si="0"/>
        <v>7656.9699239061711</v>
      </c>
      <c r="L4" s="29">
        <f t="shared" ref="L4" si="1">L5+L6+L13</f>
        <v>7492.9961775990878</v>
      </c>
      <c r="M4" s="29">
        <f t="shared" ref="M4:V4" si="2">M5+M6+M13</f>
        <v>7633.9489954451537</v>
      </c>
      <c r="N4" s="29">
        <f t="shared" si="2"/>
        <v>7795.3654463655857</v>
      </c>
      <c r="O4" s="29">
        <f t="shared" si="2"/>
        <v>7936.7392246725503</v>
      </c>
      <c r="P4" s="29">
        <f t="shared" si="2"/>
        <v>8232.2041501387866</v>
      </c>
      <c r="Q4" s="29">
        <f t="shared" si="2"/>
        <v>8479.3337490367812</v>
      </c>
      <c r="R4" s="29">
        <f t="shared" si="2"/>
        <v>8703.8419914134101</v>
      </c>
      <c r="S4" s="29">
        <f t="shared" si="2"/>
        <v>8884.3187442664748</v>
      </c>
      <c r="T4" s="29">
        <f t="shared" si="2"/>
        <v>9065.7808838035435</v>
      </c>
      <c r="U4" s="29">
        <f t="shared" si="2"/>
        <v>9291.1239496617327</v>
      </c>
      <c r="V4" s="29">
        <f t="shared" si="2"/>
        <v>7966.6745682909341</v>
      </c>
      <c r="W4" s="29">
        <f t="shared" ref="W4" si="3">W5+W6+W13</f>
        <v>8506.9236858083495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35.631722286139635</v>
      </c>
      <c r="C5" s="152">
        <f t="shared" si="4"/>
        <v>37.244006461159678</v>
      </c>
      <c r="D5" s="152">
        <f t="shared" si="4"/>
        <v>40.092890037007457</v>
      </c>
      <c r="E5" s="152">
        <f t="shared" si="4"/>
        <v>41.175431118849787</v>
      </c>
      <c r="F5" s="152">
        <f t="shared" si="4"/>
        <v>44.150794084334599</v>
      </c>
      <c r="G5" s="152">
        <f t="shared" si="4"/>
        <v>45.847292637306907</v>
      </c>
      <c r="H5" s="152">
        <f t="shared" si="4"/>
        <v>46.823475547398452</v>
      </c>
      <c r="I5" s="152">
        <f t="shared" si="4"/>
        <v>48.654572101580982</v>
      </c>
      <c r="J5" s="152">
        <f t="shared" si="4"/>
        <v>49.243070733930274</v>
      </c>
      <c r="K5" s="152">
        <f t="shared" si="4"/>
        <v>51.097235672041158</v>
      </c>
      <c r="L5" s="152">
        <f t="shared" ref="L5:L7" si="5">IF(L32=0,0,L32*L142)</f>
        <v>52.996177599086657</v>
      </c>
      <c r="M5" s="152">
        <f t="shared" ref="M5:V5" si="6">IF(M32=0,0,M32*M142)</f>
        <v>54.560925540947764</v>
      </c>
      <c r="N5" s="152">
        <f t="shared" si="6"/>
        <v>57.32050922418118</v>
      </c>
      <c r="O5" s="152">
        <f t="shared" si="6"/>
        <v>59.34978016060294</v>
      </c>
      <c r="P5" s="152">
        <f t="shared" si="6"/>
        <v>62.261828745543184</v>
      </c>
      <c r="Q5" s="152">
        <f t="shared" si="6"/>
        <v>65.146087920549377</v>
      </c>
      <c r="R5" s="152">
        <f t="shared" si="6"/>
        <v>68.433834711115381</v>
      </c>
      <c r="S5" s="152">
        <f t="shared" si="6"/>
        <v>64.889085961526646</v>
      </c>
      <c r="T5" s="152">
        <f t="shared" si="6"/>
        <v>61.698311972207932</v>
      </c>
      <c r="U5" s="152">
        <f t="shared" si="6"/>
        <v>65.295990022222725</v>
      </c>
      <c r="V5" s="152">
        <f t="shared" si="6"/>
        <v>58.855850582187678</v>
      </c>
      <c r="W5" s="152">
        <f t="shared" ref="W5" si="7">IF(W32=0,0,W32*W142)</f>
        <v>61.555694768589845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5600.0000000000009</v>
      </c>
      <c r="C6" s="116">
        <f t="shared" si="8"/>
        <v>5800</v>
      </c>
      <c r="D6" s="116">
        <f t="shared" si="8"/>
        <v>5900</v>
      </c>
      <c r="E6" s="116">
        <f t="shared" si="8"/>
        <v>6000</v>
      </c>
      <c r="F6" s="116">
        <f t="shared" si="8"/>
        <v>6100</v>
      </c>
      <c r="G6" s="116">
        <f t="shared" si="8"/>
        <v>6299.9999999999991</v>
      </c>
      <c r="H6" s="116">
        <f t="shared" si="8"/>
        <v>6499.9999999999991</v>
      </c>
      <c r="I6" s="116">
        <f t="shared" si="8"/>
        <v>6599.9999999999991</v>
      </c>
      <c r="J6" s="116">
        <f t="shared" si="8"/>
        <v>6700</v>
      </c>
      <c r="K6" s="116">
        <f t="shared" si="8"/>
        <v>6699.9999999999991</v>
      </c>
      <c r="L6" s="116">
        <f t="shared" ref="L6" si="9">SUM(L7:L12)</f>
        <v>6500.0000000000009</v>
      </c>
      <c r="M6" s="116">
        <f t="shared" ref="M6:V6" si="10">SUM(M7:M12)</f>
        <v>6591.7580235815713</v>
      </c>
      <c r="N6" s="116">
        <f t="shared" si="10"/>
        <v>6733.1326886576999</v>
      </c>
      <c r="O6" s="116">
        <f t="shared" si="10"/>
        <v>6850.9305497477962</v>
      </c>
      <c r="P6" s="116">
        <f t="shared" si="10"/>
        <v>7132.3960366344818</v>
      </c>
      <c r="Q6" s="116">
        <f t="shared" si="10"/>
        <v>7321.358260666726</v>
      </c>
      <c r="R6" s="116">
        <f t="shared" si="10"/>
        <v>7525.4204786711543</v>
      </c>
      <c r="S6" s="116">
        <f t="shared" si="10"/>
        <v>7673.9151349680506</v>
      </c>
      <c r="T6" s="116">
        <f t="shared" si="10"/>
        <v>7833.7138706263568</v>
      </c>
      <c r="U6" s="116">
        <f t="shared" si="10"/>
        <v>8005.9701102464041</v>
      </c>
      <c r="V6" s="116">
        <f t="shared" si="10"/>
        <v>7076.6942506143023</v>
      </c>
      <c r="W6" s="116">
        <f t="shared" ref="W6" si="11">SUM(W7:W12)</f>
        <v>7551.3655833822513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3709.8324113685862</v>
      </c>
      <c r="C7" s="87">
        <f t="shared" si="12"/>
        <v>3621.1538767718357</v>
      </c>
      <c r="D7" s="87">
        <f t="shared" si="12"/>
        <v>3463.1792465332373</v>
      </c>
      <c r="E7" s="87">
        <f t="shared" si="12"/>
        <v>3327.0408876933311</v>
      </c>
      <c r="F7" s="87">
        <f t="shared" si="12"/>
        <v>3125.3899090427026</v>
      </c>
      <c r="G7" s="87">
        <f t="shared" si="12"/>
        <v>2977.1305069397877</v>
      </c>
      <c r="H7" s="87">
        <f t="shared" si="12"/>
        <v>2820.4381977421149</v>
      </c>
      <c r="I7" s="87">
        <f t="shared" si="12"/>
        <v>2695.2692457140865</v>
      </c>
      <c r="J7" s="87">
        <f t="shared" si="12"/>
        <v>2630.2099418000275</v>
      </c>
      <c r="K7" s="87">
        <f t="shared" si="12"/>
        <v>2500.08561124779</v>
      </c>
      <c r="L7" s="87">
        <f t="shared" si="5"/>
        <v>2331.6565654912824</v>
      </c>
      <c r="M7" s="87">
        <f t="shared" ref="M7:V7" si="13">IF(M34=0,0,M34*M144)</f>
        <v>2344.1588243556666</v>
      </c>
      <c r="N7" s="87">
        <f t="shared" si="13"/>
        <v>2340.1109727506714</v>
      </c>
      <c r="O7" s="87">
        <f t="shared" si="13"/>
        <v>2298.6917157316288</v>
      </c>
      <c r="P7" s="87">
        <f t="shared" si="13"/>
        <v>2325.7289225796217</v>
      </c>
      <c r="Q7" s="87">
        <f t="shared" si="13"/>
        <v>2375.0156731992215</v>
      </c>
      <c r="R7" s="87">
        <f t="shared" si="13"/>
        <v>2516.3720285261925</v>
      </c>
      <c r="S7" s="87">
        <f t="shared" si="13"/>
        <v>2717.1992036975107</v>
      </c>
      <c r="T7" s="87">
        <f t="shared" si="13"/>
        <v>2979.7196976951777</v>
      </c>
      <c r="U7" s="87">
        <f t="shared" si="13"/>
        <v>3251.8916160924509</v>
      </c>
      <c r="V7" s="87">
        <f t="shared" si="13"/>
        <v>3001.3888820879865</v>
      </c>
      <c r="W7" s="87">
        <f t="shared" ref="W7" si="14">IF(W34=0,0,W34*W144)</f>
        <v>3280.0695170165691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1847.4549093005737</v>
      </c>
      <c r="C8" s="87">
        <f t="shared" si="15"/>
        <v>2128.6504362640089</v>
      </c>
      <c r="D8" s="87">
        <f t="shared" si="15"/>
        <v>2385.057990381858</v>
      </c>
      <c r="E8" s="87">
        <f t="shared" si="15"/>
        <v>2624.6315944601447</v>
      </c>
      <c r="F8" s="87">
        <f t="shared" si="15"/>
        <v>2929.2861101165781</v>
      </c>
      <c r="G8" s="87">
        <f t="shared" si="15"/>
        <v>3279.779428315755</v>
      </c>
      <c r="H8" s="87">
        <f t="shared" si="15"/>
        <v>3658.0942248284555</v>
      </c>
      <c r="I8" s="87">
        <f t="shared" si="15"/>
        <v>3884.2742184148219</v>
      </c>
      <c r="J8" s="87">
        <f t="shared" si="15"/>
        <v>4049.0024312031242</v>
      </c>
      <c r="K8" s="87">
        <f t="shared" si="15"/>
        <v>4177.7633232246444</v>
      </c>
      <c r="L8" s="87">
        <f t="shared" ref="L8" si="16">IF(L35=0,0,L35*L145)</f>
        <v>4144.092122793254</v>
      </c>
      <c r="M8" s="87">
        <f t="shared" ref="M8:V8" si="17">IF(M35=0,0,M35*M145)</f>
        <v>4222.5243730977791</v>
      </c>
      <c r="N8" s="87">
        <f t="shared" si="17"/>
        <v>4362.9055937993971</v>
      </c>
      <c r="O8" s="87">
        <f t="shared" si="17"/>
        <v>4514.5235119935169</v>
      </c>
      <c r="P8" s="87">
        <f t="shared" si="17"/>
        <v>4763.3628501936264</v>
      </c>
      <c r="Q8" s="87">
        <f t="shared" si="17"/>
        <v>4902.5875796720857</v>
      </c>
      <c r="R8" s="87">
        <f t="shared" si="17"/>
        <v>4960.5430941191653</v>
      </c>
      <c r="S8" s="87">
        <f t="shared" si="17"/>
        <v>4904.2420277726433</v>
      </c>
      <c r="T8" s="87">
        <f t="shared" si="17"/>
        <v>4796.8003245116215</v>
      </c>
      <c r="U8" s="87">
        <f t="shared" si="17"/>
        <v>4668.4035856643532</v>
      </c>
      <c r="V8" s="87">
        <f t="shared" si="17"/>
        <v>3947.8821132967778</v>
      </c>
      <c r="W8" s="87">
        <f t="shared" ref="W8" si="18">IF(W35=0,0,W35*W145)</f>
        <v>3994.2563177711772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42.712679330840345</v>
      </c>
      <c r="C9" s="87">
        <f t="shared" si="19"/>
        <v>50.195686964155428</v>
      </c>
      <c r="D9" s="87">
        <f t="shared" si="19"/>
        <v>51.762763084904712</v>
      </c>
      <c r="E9" s="87">
        <f t="shared" si="19"/>
        <v>48.32751784652438</v>
      </c>
      <c r="F9" s="87">
        <f t="shared" si="19"/>
        <v>45.323980840719365</v>
      </c>
      <c r="G9" s="87">
        <f t="shared" si="19"/>
        <v>43.090064744457152</v>
      </c>
      <c r="H9" s="87">
        <f t="shared" si="19"/>
        <v>21.467577429429554</v>
      </c>
      <c r="I9" s="87">
        <f t="shared" si="19"/>
        <v>20.456535871090956</v>
      </c>
      <c r="J9" s="87">
        <f t="shared" si="19"/>
        <v>20.771387722746045</v>
      </c>
      <c r="K9" s="87">
        <f t="shared" si="19"/>
        <v>22.11855269384732</v>
      </c>
      <c r="L9" s="87">
        <f t="shared" ref="L9" si="20">IF(L36=0,0,L36*L146)</f>
        <v>21.055535574565013</v>
      </c>
      <c r="M9" s="87">
        <f t="shared" ref="M9:V9" si="21">IF(M36=0,0,M36*M146)</f>
        <v>20.097213547368213</v>
      </c>
      <c r="N9" s="87">
        <f t="shared" si="21"/>
        <v>19.977661887273342</v>
      </c>
      <c r="O9" s="87">
        <f t="shared" si="21"/>
        <v>20.708888794179583</v>
      </c>
      <c r="P9" s="87">
        <f t="shared" si="21"/>
        <v>20.567604968206517</v>
      </c>
      <c r="Q9" s="87">
        <f t="shared" si="21"/>
        <v>20.011008590832024</v>
      </c>
      <c r="R9" s="87">
        <f t="shared" si="21"/>
        <v>19.964270142257156</v>
      </c>
      <c r="S9" s="87">
        <f t="shared" si="21"/>
        <v>16.742981554834348</v>
      </c>
      <c r="T9" s="87">
        <f t="shared" si="21"/>
        <v>4.6699566201111633</v>
      </c>
      <c r="U9" s="87">
        <f t="shared" si="21"/>
        <v>2.807225286069408</v>
      </c>
      <c r="V9" s="87">
        <f t="shared" si="21"/>
        <v>4.8244757722219997</v>
      </c>
      <c r="W9" s="87">
        <f t="shared" ref="W9" si="22">IF(W36=0,0,W36*W146)</f>
        <v>3.6643536808318431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" si="26">IF(W37=0,0,W37*W147)</f>
        <v>0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8.5149163720300844</v>
      </c>
      <c r="O11" s="87">
        <f t="shared" si="29"/>
        <v>12.743647793584055</v>
      </c>
      <c r="P11" s="87">
        <f t="shared" si="29"/>
        <v>13.600846022381349</v>
      </c>
      <c r="Q11" s="87">
        <f t="shared" si="29"/>
        <v>13.329571904385549</v>
      </c>
      <c r="R11" s="87">
        <f t="shared" si="29"/>
        <v>16.06096283691727</v>
      </c>
      <c r="S11" s="87">
        <f t="shared" si="29"/>
        <v>18.187931406341956</v>
      </c>
      <c r="T11" s="87">
        <f t="shared" si="29"/>
        <v>27.686589610476261</v>
      </c>
      <c r="U11" s="87">
        <f t="shared" si="29"/>
        <v>42.484064398479539</v>
      </c>
      <c r="V11" s="87">
        <f t="shared" si="29"/>
        <v>66.118078567926503</v>
      </c>
      <c r="W11" s="87">
        <f t="shared" ref="W11" si="30">IF(W38=0,0,W38*W148)</f>
        <v>142.54824360119451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1.6239274102258693E-2</v>
      </c>
      <c r="K12" s="87">
        <f t="shared" si="31"/>
        <v>3.2512833717552744E-2</v>
      </c>
      <c r="L12" s="87">
        <f t="shared" ref="L12" si="32">IF(L39=0,0,L39*L149)</f>
        <v>3.1957761408991301</v>
      </c>
      <c r="M12" s="87">
        <f t="shared" ref="M12:V12" si="33">IF(M39=0,0,M39*M149)</f>
        <v>4.9776125807574401</v>
      </c>
      <c r="N12" s="87">
        <f t="shared" si="33"/>
        <v>1.623543848329515</v>
      </c>
      <c r="O12" s="87">
        <f t="shared" si="33"/>
        <v>4.2627854348858794</v>
      </c>
      <c r="P12" s="87">
        <f t="shared" si="33"/>
        <v>9.1358128706463173</v>
      </c>
      <c r="Q12" s="87">
        <f t="shared" si="33"/>
        <v>10.41442730020141</v>
      </c>
      <c r="R12" s="87">
        <f t="shared" si="33"/>
        <v>12.480123046621921</v>
      </c>
      <c r="S12" s="87">
        <f t="shared" si="33"/>
        <v>17.542990536720662</v>
      </c>
      <c r="T12" s="87">
        <f t="shared" si="33"/>
        <v>24.837302188969712</v>
      </c>
      <c r="U12" s="87">
        <f t="shared" si="33"/>
        <v>40.383618805050624</v>
      </c>
      <c r="V12" s="87">
        <f t="shared" si="33"/>
        <v>56.480700889389638</v>
      </c>
      <c r="W12" s="87">
        <f t="shared" ref="W12" si="34">IF(W39=0,0,W39*W149)</f>
        <v>130.82715131247937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620</v>
      </c>
      <c r="C13" s="116">
        <f t="shared" si="35"/>
        <v>660</v>
      </c>
      <c r="D13" s="116">
        <f t="shared" si="35"/>
        <v>720</v>
      </c>
      <c r="E13" s="116">
        <f t="shared" si="35"/>
        <v>740</v>
      </c>
      <c r="F13" s="116">
        <f t="shared" si="35"/>
        <v>770</v>
      </c>
      <c r="G13" s="116">
        <f t="shared" si="35"/>
        <v>800</v>
      </c>
      <c r="H13" s="116">
        <f t="shared" si="35"/>
        <v>820</v>
      </c>
      <c r="I13" s="116">
        <f t="shared" si="35"/>
        <v>860</v>
      </c>
      <c r="J13" s="116">
        <f t="shared" si="35"/>
        <v>910.00000000000011</v>
      </c>
      <c r="K13" s="116">
        <f t="shared" si="35"/>
        <v>905.87268823413092</v>
      </c>
      <c r="L13" s="116">
        <f t="shared" ref="L13" si="36">SUM(L14:L18)</f>
        <v>940.00000000000011</v>
      </c>
      <c r="M13" s="116">
        <f t="shared" ref="M13:V13" si="37">SUM(M14:M18)</f>
        <v>987.63004632263437</v>
      </c>
      <c r="N13" s="116">
        <f t="shared" si="37"/>
        <v>1004.9122484837048</v>
      </c>
      <c r="O13" s="116">
        <f t="shared" si="37"/>
        <v>1026.4588947641512</v>
      </c>
      <c r="P13" s="116">
        <f t="shared" si="37"/>
        <v>1037.5462847587612</v>
      </c>
      <c r="Q13" s="116">
        <f t="shared" si="37"/>
        <v>1092.8294004495056</v>
      </c>
      <c r="R13" s="116">
        <f t="shared" si="37"/>
        <v>1109.9876780311415</v>
      </c>
      <c r="S13" s="116">
        <f t="shared" si="37"/>
        <v>1145.5145233368974</v>
      </c>
      <c r="T13" s="116">
        <f t="shared" si="37"/>
        <v>1170.3687012049782</v>
      </c>
      <c r="U13" s="116">
        <f t="shared" si="37"/>
        <v>1219.8578493931057</v>
      </c>
      <c r="V13" s="116">
        <f t="shared" si="37"/>
        <v>831.12446709444407</v>
      </c>
      <c r="W13" s="116">
        <f t="shared" ref="W13" si="38">SUM(W14:W18)</f>
        <v>894.00240765750834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6.9491432111833229E-2</v>
      </c>
      <c r="U14" s="101">
        <f t="shared" si="41"/>
        <v>6.641831113476622E-2</v>
      </c>
      <c r="V14" s="101">
        <f t="shared" si="41"/>
        <v>5.8085634562917293E-2</v>
      </c>
      <c r="W14" s="101">
        <f t="shared" ref="W14" si="42">IF(W41=0,0,W41*W151)</f>
        <v>5.4593388236424727E-2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620</v>
      </c>
      <c r="C15" s="101">
        <f t="shared" si="43"/>
        <v>660</v>
      </c>
      <c r="D15" s="101">
        <f t="shared" si="43"/>
        <v>720</v>
      </c>
      <c r="E15" s="101">
        <f t="shared" si="43"/>
        <v>738.00552641004856</v>
      </c>
      <c r="F15" s="101">
        <f t="shared" si="43"/>
        <v>767.95481301313055</v>
      </c>
      <c r="G15" s="101">
        <f t="shared" si="43"/>
        <v>797.951301639554</v>
      </c>
      <c r="H15" s="101">
        <f t="shared" si="43"/>
        <v>817.91973589323015</v>
      </c>
      <c r="I15" s="101">
        <f t="shared" si="43"/>
        <v>857.89471282595446</v>
      </c>
      <c r="J15" s="101">
        <f t="shared" si="43"/>
        <v>907.86474111649318</v>
      </c>
      <c r="K15" s="101">
        <f t="shared" si="43"/>
        <v>904.49895558727735</v>
      </c>
      <c r="L15" s="101">
        <f t="shared" ref="L15" si="44">IF(L42=0,0,L42*L152)</f>
        <v>938.61324952802124</v>
      </c>
      <c r="M15" s="101">
        <f t="shared" ref="M15:V15" si="45">IF(M42=0,0,M42*M152)</f>
        <v>986.20638651390209</v>
      </c>
      <c r="N15" s="101">
        <f t="shared" si="45"/>
        <v>1003.4574598321854</v>
      </c>
      <c r="O15" s="101">
        <f t="shared" si="45"/>
        <v>1023.4915733432651</v>
      </c>
      <c r="P15" s="101">
        <f t="shared" si="45"/>
        <v>1035.2753164441485</v>
      </c>
      <c r="Q15" s="101">
        <f t="shared" si="45"/>
        <v>1090.496400168669</v>
      </c>
      <c r="R15" s="101">
        <f t="shared" si="45"/>
        <v>1107.6561209439101</v>
      </c>
      <c r="S15" s="101">
        <f t="shared" si="45"/>
        <v>1139.2998764921383</v>
      </c>
      <c r="T15" s="101">
        <f t="shared" si="45"/>
        <v>1148.5736573271702</v>
      </c>
      <c r="U15" s="101">
        <f t="shared" si="45"/>
        <v>1139.2250575387011</v>
      </c>
      <c r="V15" s="101">
        <f t="shared" si="45"/>
        <v>752.76664887762536</v>
      </c>
      <c r="W15" s="101">
        <f t="shared" ref="W15" si="46">IF(W42=0,0,W42*W152)</f>
        <v>791.81627604767232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" si="54">IF(W44=0,0,W44*W154)</f>
        <v>0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1.9944735899513952</v>
      </c>
      <c r="F18" s="101">
        <f t="shared" si="55"/>
        <v>2.0451869868694987</v>
      </c>
      <c r="G18" s="101">
        <f t="shared" si="55"/>
        <v>2.0486983604459961</v>
      </c>
      <c r="H18" s="101">
        <f t="shared" si="55"/>
        <v>2.0802641067698313</v>
      </c>
      <c r="I18" s="101">
        <f t="shared" si="55"/>
        <v>2.1052871740454946</v>
      </c>
      <c r="J18" s="101">
        <f t="shared" si="55"/>
        <v>2.1352588835069608</v>
      </c>
      <c r="K18" s="101">
        <f t="shared" si="55"/>
        <v>1.3737326468536133</v>
      </c>
      <c r="L18" s="101">
        <f t="shared" ref="L18" si="56">IF(L45=0,0,L45*L155)</f>
        <v>1.3867504719789046</v>
      </c>
      <c r="M18" s="101">
        <f t="shared" ref="M18:V18" si="57">IF(M45=0,0,M45*M155)</f>
        <v>1.4236598087323351</v>
      </c>
      <c r="N18" s="101">
        <f t="shared" si="57"/>
        <v>1.4547886515194519</v>
      </c>
      <c r="O18" s="101">
        <f t="shared" si="57"/>
        <v>2.9673214208860244</v>
      </c>
      <c r="P18" s="101">
        <f t="shared" si="57"/>
        <v>2.2709683146126705</v>
      </c>
      <c r="Q18" s="101">
        <f t="shared" si="57"/>
        <v>2.3330002808365662</v>
      </c>
      <c r="R18" s="101">
        <f t="shared" si="57"/>
        <v>2.3315570872314599</v>
      </c>
      <c r="S18" s="101">
        <f t="shared" si="57"/>
        <v>6.2146468447589509</v>
      </c>
      <c r="T18" s="101">
        <f t="shared" si="57"/>
        <v>21.725552445696081</v>
      </c>
      <c r="U18" s="101">
        <f t="shared" si="57"/>
        <v>80.566373543269776</v>
      </c>
      <c r="V18" s="101">
        <f t="shared" si="57"/>
        <v>78.299732582255871</v>
      </c>
      <c r="W18" s="101">
        <f t="shared" ref="W18" si="58">IF(W45=0,0,W45*W155)</f>
        <v>102.13153822159961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1484.3516976284084</v>
      </c>
      <c r="C19" s="29">
        <f t="shared" si="59"/>
        <v>1633.1219717807683</v>
      </c>
      <c r="D19" s="29">
        <f t="shared" si="59"/>
        <v>1798.0049864653581</v>
      </c>
      <c r="E19" s="29">
        <f t="shared" si="59"/>
        <v>1801.9070380920812</v>
      </c>
      <c r="F19" s="29">
        <f t="shared" si="59"/>
        <v>1975.4027291242824</v>
      </c>
      <c r="G19" s="29">
        <f t="shared" si="59"/>
        <v>1973.3453391993621</v>
      </c>
      <c r="H19" s="29">
        <f t="shared" si="59"/>
        <v>1995.9079458401959</v>
      </c>
      <c r="I19" s="29">
        <f t="shared" si="59"/>
        <v>2108.8142630767011</v>
      </c>
      <c r="J19" s="29">
        <f t="shared" si="59"/>
        <v>2295.808544437979</v>
      </c>
      <c r="K19" s="29">
        <f t="shared" si="59"/>
        <v>2077.6450773171105</v>
      </c>
      <c r="L19" s="29">
        <f t="shared" ref="L19" si="60">L20+L26</f>
        <v>2226.2261558117775</v>
      </c>
      <c r="M19" s="29">
        <f t="shared" ref="M19:V19" si="61">M20+M26</f>
        <v>2285.4907297295131</v>
      </c>
      <c r="N19" s="29">
        <f t="shared" si="61"/>
        <v>2864.9772673343305</v>
      </c>
      <c r="O19" s="29">
        <f t="shared" si="61"/>
        <v>2597.5849808898615</v>
      </c>
      <c r="P19" s="29">
        <f t="shared" si="61"/>
        <v>3054.7408062696122</v>
      </c>
      <c r="Q19" s="29">
        <f t="shared" si="61"/>
        <v>2643.9551787474829</v>
      </c>
      <c r="R19" s="29">
        <f t="shared" si="61"/>
        <v>2838.3651560661779</v>
      </c>
      <c r="S19" s="29">
        <f t="shared" si="61"/>
        <v>2895.8415730441898</v>
      </c>
      <c r="T19" s="29">
        <f t="shared" si="61"/>
        <v>2488.5247514449638</v>
      </c>
      <c r="U19" s="29">
        <f t="shared" si="61"/>
        <v>2548.17703058497</v>
      </c>
      <c r="V19" s="29">
        <f t="shared" si="61"/>
        <v>2268.4973748390476</v>
      </c>
      <c r="W19" s="29">
        <f t="shared" ref="W19" si="62">W20+W26</f>
        <v>2522.4185044611386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70.003928013515804</v>
      </c>
      <c r="C20" s="152">
        <f t="shared" si="63"/>
        <v>75.601362631221392</v>
      </c>
      <c r="D20" s="152">
        <f t="shared" si="63"/>
        <v>81.349508127054165</v>
      </c>
      <c r="E20" s="152">
        <f t="shared" si="63"/>
        <v>85.004968811079422</v>
      </c>
      <c r="F20" s="152">
        <f t="shared" si="63"/>
        <v>89.359409971679696</v>
      </c>
      <c r="G20" s="152">
        <f t="shared" si="63"/>
        <v>94.445439688662532</v>
      </c>
      <c r="H20" s="152">
        <f t="shared" si="63"/>
        <v>99.739353152770235</v>
      </c>
      <c r="I20" s="152">
        <f t="shared" si="63"/>
        <v>108.12070504391785</v>
      </c>
      <c r="J20" s="152">
        <f t="shared" si="63"/>
        <v>115.32653427801786</v>
      </c>
      <c r="K20" s="152">
        <f t="shared" si="63"/>
        <v>116.56798206861036</v>
      </c>
      <c r="L20" s="152">
        <f t="shared" ref="L20" si="64">SUM(L21:L25)</f>
        <v>121.63882450298517</v>
      </c>
      <c r="M20" s="152">
        <f t="shared" ref="M20:V20" si="65">SUM(M21:M25)</f>
        <v>128.40138889915198</v>
      </c>
      <c r="N20" s="152">
        <f t="shared" si="65"/>
        <v>133.5704050295343</v>
      </c>
      <c r="O20" s="152">
        <f t="shared" si="65"/>
        <v>138.0941459539423</v>
      </c>
      <c r="P20" s="152">
        <f t="shared" si="65"/>
        <v>145.58356451114224</v>
      </c>
      <c r="Q20" s="152">
        <f t="shared" si="65"/>
        <v>152.44343227575058</v>
      </c>
      <c r="R20" s="152">
        <f t="shared" si="65"/>
        <v>161.25697854636351</v>
      </c>
      <c r="S20" s="152">
        <f t="shared" si="65"/>
        <v>167.838366820255</v>
      </c>
      <c r="T20" s="152">
        <f t="shared" si="65"/>
        <v>175.52475144496393</v>
      </c>
      <c r="U20" s="152">
        <f t="shared" si="65"/>
        <v>180.17703058497</v>
      </c>
      <c r="V20" s="152">
        <f t="shared" si="65"/>
        <v>183.49737483904758</v>
      </c>
      <c r="W20" s="152">
        <f t="shared" ref="W20" si="66">SUM(W21:W25)</f>
        <v>192.41850446113844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5.7313579987488694</v>
      </c>
      <c r="C21" s="87">
        <f t="shared" si="67"/>
        <v>5.1610065380283308</v>
      </c>
      <c r="D21" s="87">
        <f t="shared" si="67"/>
        <v>4.7257244748398035</v>
      </c>
      <c r="E21" s="87">
        <f t="shared" si="67"/>
        <v>4.2860989505839084</v>
      </c>
      <c r="F21" s="87">
        <f t="shared" si="67"/>
        <v>3.8070335814184673</v>
      </c>
      <c r="G21" s="87">
        <f t="shared" si="67"/>
        <v>3.3839179644489219</v>
      </c>
      <c r="H21" s="87">
        <f t="shared" si="67"/>
        <v>3.0543929850117912</v>
      </c>
      <c r="I21" s="87">
        <f t="shared" si="67"/>
        <v>2.8594601336142418</v>
      </c>
      <c r="J21" s="87">
        <f t="shared" si="67"/>
        <v>2.7628445294064221</v>
      </c>
      <c r="K21" s="87">
        <f t="shared" si="67"/>
        <v>2.5221169138730155</v>
      </c>
      <c r="L21" s="87">
        <f t="shared" ref="L21" si="68">IF(L48=0,0,L48*L158)</f>
        <v>2.4632603240343887</v>
      </c>
      <c r="M21" s="87">
        <f t="shared" ref="M21:V21" si="69">IF(M48=0,0,M48*M158)</f>
        <v>2.3997410192326982</v>
      </c>
      <c r="N21" s="87">
        <f t="shared" si="69"/>
        <v>2.2563178216358257</v>
      </c>
      <c r="O21" s="87">
        <f t="shared" si="69"/>
        <v>2.1815900231925722</v>
      </c>
      <c r="P21" s="87">
        <f t="shared" si="69"/>
        <v>2.1753986555342619</v>
      </c>
      <c r="Q21" s="87">
        <f t="shared" si="69"/>
        <v>2.1535829699149454</v>
      </c>
      <c r="R21" s="87">
        <f t="shared" si="69"/>
        <v>2.1909179470493618</v>
      </c>
      <c r="S21" s="87">
        <f t="shared" si="69"/>
        <v>2.241195111065994</v>
      </c>
      <c r="T21" s="87">
        <f t="shared" si="69"/>
        <v>2.3802021580854316</v>
      </c>
      <c r="U21" s="87">
        <f t="shared" si="69"/>
        <v>2.4766629181504469</v>
      </c>
      <c r="V21" s="87">
        <f t="shared" si="69"/>
        <v>2.5034048933462105</v>
      </c>
      <c r="W21" s="87">
        <f t="shared" ref="W21" si="70">IF(W48=0,0,W48*W158)</f>
        <v>2.6163888401083986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64.272570014766941</v>
      </c>
      <c r="C22" s="87">
        <f t="shared" si="71"/>
        <v>70.44035609319306</v>
      </c>
      <c r="D22" s="87">
        <f t="shared" si="71"/>
        <v>76.623783652214357</v>
      </c>
      <c r="E22" s="87">
        <f t="shared" si="71"/>
        <v>80.718869860495516</v>
      </c>
      <c r="F22" s="87">
        <f t="shared" si="71"/>
        <v>85.55237639026123</v>
      </c>
      <c r="G22" s="87">
        <f t="shared" si="71"/>
        <v>91.061521724213605</v>
      </c>
      <c r="H22" s="87">
        <f t="shared" si="71"/>
        <v>96.681385298104203</v>
      </c>
      <c r="I22" s="87">
        <f t="shared" si="71"/>
        <v>105.25409061853658</v>
      </c>
      <c r="J22" s="87">
        <f t="shared" si="71"/>
        <v>112.55653163939198</v>
      </c>
      <c r="K22" s="87">
        <f t="shared" si="71"/>
        <v>114.02078213741595</v>
      </c>
      <c r="L22" s="87">
        <f t="shared" ref="L22" si="72">IF(L49=0,0,L49*L159)</f>
        <v>119.15047633999134</v>
      </c>
      <c r="M22" s="87">
        <f t="shared" ref="M22:V22" si="73">IF(M49=0,0,M49*M159)</f>
        <v>125.97655471366816</v>
      </c>
      <c r="N22" s="87">
        <f t="shared" si="73"/>
        <v>131.22078717805545</v>
      </c>
      <c r="O22" s="87">
        <f t="shared" si="73"/>
        <v>135.52991085890687</v>
      </c>
      <c r="P22" s="87">
        <f t="shared" si="73"/>
        <v>142.93131779301672</v>
      </c>
      <c r="Q22" s="87">
        <f t="shared" si="73"/>
        <v>149.72522932813996</v>
      </c>
      <c r="R22" s="87">
        <f t="shared" si="73"/>
        <v>158.41726259665239</v>
      </c>
      <c r="S22" s="87">
        <f t="shared" si="73"/>
        <v>164.79445645742578</v>
      </c>
      <c r="T22" s="87">
        <f t="shared" si="73"/>
        <v>172.15385092673768</v>
      </c>
      <c r="U22" s="87">
        <f t="shared" si="73"/>
        <v>176.57654068976228</v>
      </c>
      <c r="V22" s="87">
        <f t="shared" si="73"/>
        <v>179.67030363581085</v>
      </c>
      <c r="W22" s="87">
        <f t="shared" ref="W22" si="74">IF(W49=0,0,W49*W159)</f>
        <v>188.04397841145709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0.13116581817598055</v>
      </c>
      <c r="P23" s="87">
        <f t="shared" si="77"/>
        <v>0.16396900172547019</v>
      </c>
      <c r="Q23" s="87">
        <f t="shared" si="77"/>
        <v>0.17249596604771286</v>
      </c>
      <c r="R23" s="87">
        <f t="shared" si="77"/>
        <v>0.20303657353622973</v>
      </c>
      <c r="S23" s="87">
        <f t="shared" si="77"/>
        <v>0.22064529297208926</v>
      </c>
      <c r="T23" s="87">
        <f t="shared" si="77"/>
        <v>0.22182281688957181</v>
      </c>
      <c r="U23" s="87">
        <f t="shared" si="77"/>
        <v>0.19711251421469786</v>
      </c>
      <c r="V23" s="87">
        <f t="shared" si="77"/>
        <v>0.23370028413135627</v>
      </c>
      <c r="W23" s="87">
        <f t="shared" ref="W23" si="78">IF(W50=0,0,W50*W160)</f>
        <v>0.21758599882544591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3.5748696542482693E-3</v>
      </c>
      <c r="I25" s="87">
        <f t="shared" si="83"/>
        <v>7.1542917670309692E-3</v>
      </c>
      <c r="J25" s="87">
        <f t="shared" si="83"/>
        <v>7.1581092194671174E-3</v>
      </c>
      <c r="K25" s="87">
        <f t="shared" si="83"/>
        <v>2.508301732139602E-2</v>
      </c>
      <c r="L25" s="87">
        <f t="shared" ref="L25" si="84">IF(L52=0,0,L52*L162)</f>
        <v>2.5087838959433003E-2</v>
      </c>
      <c r="M25" s="87">
        <f t="shared" ref="M25:V25" si="85">IF(M52=0,0,M52*M162)</f>
        <v>2.5093166251108356E-2</v>
      </c>
      <c r="N25" s="87">
        <f t="shared" si="85"/>
        <v>9.3300029843026613E-2</v>
      </c>
      <c r="O25" s="87">
        <f t="shared" si="85"/>
        <v>0.25147925366686119</v>
      </c>
      <c r="P25" s="87">
        <f t="shared" si="85"/>
        <v>0.31287906086579831</v>
      </c>
      <c r="Q25" s="87">
        <f t="shared" si="85"/>
        <v>0.39212401164798677</v>
      </c>
      <c r="R25" s="87">
        <f t="shared" si="85"/>
        <v>0.44576142912551164</v>
      </c>
      <c r="S25" s="87">
        <f t="shared" si="85"/>
        <v>0.58206995879116319</v>
      </c>
      <c r="T25" s="87">
        <f t="shared" si="85"/>
        <v>0.76887554325121765</v>
      </c>
      <c r="U25" s="87">
        <f t="shared" si="85"/>
        <v>0.92671446284257319</v>
      </c>
      <c r="V25" s="87">
        <f t="shared" si="85"/>
        <v>1.0899660257591541</v>
      </c>
      <c r="W25" s="87">
        <f t="shared" ref="W25" si="86">IF(W52=0,0,W52*W162)</f>
        <v>1.5405512107475168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1414.3477696148925</v>
      </c>
      <c r="C26" s="116">
        <f t="shared" si="87"/>
        <v>1557.5206091495468</v>
      </c>
      <c r="D26" s="116">
        <f t="shared" si="87"/>
        <v>1716.655478338304</v>
      </c>
      <c r="E26" s="116">
        <f t="shared" si="87"/>
        <v>1716.9020692810018</v>
      </c>
      <c r="F26" s="116">
        <f t="shared" si="87"/>
        <v>1886.0433191526026</v>
      </c>
      <c r="G26" s="116">
        <f t="shared" si="87"/>
        <v>1878.8998995106997</v>
      </c>
      <c r="H26" s="116">
        <f t="shared" si="87"/>
        <v>1896.1685926874256</v>
      </c>
      <c r="I26" s="116">
        <f t="shared" si="87"/>
        <v>2000.6935580327831</v>
      </c>
      <c r="J26" s="116">
        <f t="shared" si="87"/>
        <v>2180.4820101599612</v>
      </c>
      <c r="K26" s="116">
        <f t="shared" si="87"/>
        <v>1961.0770952485</v>
      </c>
      <c r="L26" s="116">
        <f t="shared" ref="L26" si="88">SUM(L27:L28)</f>
        <v>2104.5873313087923</v>
      </c>
      <c r="M26" s="116">
        <f t="shared" ref="M26:V26" si="89">SUM(M27:M28)</f>
        <v>2157.0893408303609</v>
      </c>
      <c r="N26" s="116">
        <f t="shared" si="89"/>
        <v>2731.4068623047961</v>
      </c>
      <c r="O26" s="116">
        <f t="shared" si="89"/>
        <v>2459.4908349359193</v>
      </c>
      <c r="P26" s="116">
        <f t="shared" si="89"/>
        <v>2909.1572417584698</v>
      </c>
      <c r="Q26" s="116">
        <f t="shared" si="89"/>
        <v>2491.5117464717323</v>
      </c>
      <c r="R26" s="116">
        <f t="shared" si="89"/>
        <v>2677.1081775198145</v>
      </c>
      <c r="S26" s="116">
        <f t="shared" si="89"/>
        <v>2728.0032062239347</v>
      </c>
      <c r="T26" s="116">
        <f t="shared" si="89"/>
        <v>2313</v>
      </c>
      <c r="U26" s="116">
        <f t="shared" si="89"/>
        <v>2368</v>
      </c>
      <c r="V26" s="116">
        <f t="shared" si="89"/>
        <v>2085</v>
      </c>
      <c r="W26" s="116">
        <f t="shared" ref="W26" si="90">SUM(W27:W28)</f>
        <v>2330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415</v>
      </c>
      <c r="C27" s="101">
        <f t="shared" si="91"/>
        <v>487</v>
      </c>
      <c r="D27" s="101">
        <f t="shared" si="91"/>
        <v>583</v>
      </c>
      <c r="E27" s="101">
        <f t="shared" si="91"/>
        <v>565</v>
      </c>
      <c r="F27" s="101">
        <f t="shared" si="91"/>
        <v>549</v>
      </c>
      <c r="G27" s="101">
        <f t="shared" si="91"/>
        <v>494</v>
      </c>
      <c r="H27" s="101">
        <f t="shared" si="91"/>
        <v>544</v>
      </c>
      <c r="I27" s="101">
        <f t="shared" si="91"/>
        <v>548</v>
      </c>
      <c r="J27" s="101">
        <f t="shared" si="91"/>
        <v>555</v>
      </c>
      <c r="K27" s="101">
        <f t="shared" si="91"/>
        <v>530</v>
      </c>
      <c r="L27" s="101">
        <f t="shared" ref="L27:V27" si="92">IF(L54=0,0,L54*L164)</f>
        <v>574</v>
      </c>
      <c r="M27" s="101">
        <f t="shared" si="92"/>
        <v>650</v>
      </c>
      <c r="N27" s="101">
        <f t="shared" si="92"/>
        <v>1044</v>
      </c>
      <c r="O27" s="101">
        <f t="shared" si="92"/>
        <v>777</v>
      </c>
      <c r="P27" s="101">
        <f t="shared" si="92"/>
        <v>1128</v>
      </c>
      <c r="Q27" s="101">
        <f t="shared" si="92"/>
        <v>978</v>
      </c>
      <c r="R27" s="101">
        <f t="shared" si="92"/>
        <v>1067</v>
      </c>
      <c r="S27" s="101">
        <f t="shared" si="92"/>
        <v>1016.9999999999999</v>
      </c>
      <c r="T27" s="101">
        <f t="shared" si="92"/>
        <v>647</v>
      </c>
      <c r="U27" s="101">
        <f t="shared" si="92"/>
        <v>661</v>
      </c>
      <c r="V27" s="101">
        <f t="shared" si="92"/>
        <v>511</v>
      </c>
      <c r="W27" s="101">
        <f t="shared" ref="W27" si="93">IF(W54=0,0,W54*W164)</f>
        <v>621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999.34776961489251</v>
      </c>
      <c r="C28" s="88">
        <f t="shared" si="94"/>
        <v>1070.5206091495468</v>
      </c>
      <c r="D28" s="88">
        <f t="shared" si="94"/>
        <v>1133.655478338304</v>
      </c>
      <c r="E28" s="88">
        <f t="shared" si="94"/>
        <v>1151.9020692810018</v>
      </c>
      <c r="F28" s="88">
        <f t="shared" si="94"/>
        <v>1337.0433191526026</v>
      </c>
      <c r="G28" s="88">
        <f t="shared" si="94"/>
        <v>1384.8998995106997</v>
      </c>
      <c r="H28" s="88">
        <f t="shared" si="94"/>
        <v>1352.1685926874256</v>
      </c>
      <c r="I28" s="88">
        <f t="shared" si="94"/>
        <v>1452.6935580327831</v>
      </c>
      <c r="J28" s="88">
        <f t="shared" si="94"/>
        <v>1625.4820101599612</v>
      </c>
      <c r="K28" s="88">
        <f t="shared" si="94"/>
        <v>1431.0770952485</v>
      </c>
      <c r="L28" s="88">
        <f t="shared" ref="L28:V28" si="95">IF(L55=0,0,L55*L165)</f>
        <v>1530.5873313087923</v>
      </c>
      <c r="M28" s="88">
        <f t="shared" si="95"/>
        <v>1507.0893408303609</v>
      </c>
      <c r="N28" s="88">
        <f t="shared" si="95"/>
        <v>1687.4068623047961</v>
      </c>
      <c r="O28" s="88">
        <f t="shared" si="95"/>
        <v>1682.4908349359193</v>
      </c>
      <c r="P28" s="88">
        <f t="shared" si="95"/>
        <v>1781.1572417584698</v>
      </c>
      <c r="Q28" s="88">
        <f t="shared" si="95"/>
        <v>1513.5117464717323</v>
      </c>
      <c r="R28" s="88">
        <f t="shared" si="95"/>
        <v>1610.1081775198145</v>
      </c>
      <c r="S28" s="88">
        <f t="shared" si="95"/>
        <v>1711.0032062239347</v>
      </c>
      <c r="T28" s="88">
        <f t="shared" si="95"/>
        <v>1666</v>
      </c>
      <c r="U28" s="88">
        <f t="shared" si="95"/>
        <v>1707</v>
      </c>
      <c r="V28" s="88">
        <f t="shared" si="95"/>
        <v>1574</v>
      </c>
      <c r="W28" s="88">
        <f t="shared" ref="W28" si="96">IF(W55=0,0,W55*W165)</f>
        <v>1709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4601.5782649239245</v>
      </c>
      <c r="C30" s="62">
        <f t="shared" ref="C30:V30" si="98">C31+C46</f>
        <v>4829.7313719630092</v>
      </c>
      <c r="D30" s="62">
        <f t="shared" si="98"/>
        <v>4990.687270083281</v>
      </c>
      <c r="E30" s="62">
        <f t="shared" si="98"/>
        <v>5125.3702395605351</v>
      </c>
      <c r="F30" s="62">
        <f t="shared" si="98"/>
        <v>5276.2317373338474</v>
      </c>
      <c r="G30" s="62">
        <f t="shared" si="98"/>
        <v>5497.3774336222332</v>
      </c>
      <c r="H30" s="62">
        <f t="shared" si="98"/>
        <v>5677.8520431853121</v>
      </c>
      <c r="I30" s="62">
        <f t="shared" si="98"/>
        <v>5796.9076513367836</v>
      </c>
      <c r="J30" s="62">
        <f t="shared" si="98"/>
        <v>5953.2362669464374</v>
      </c>
      <c r="K30" s="62">
        <f t="shared" si="98"/>
        <v>5918.5666903390847</v>
      </c>
      <c r="L30" s="62">
        <f t="shared" si="98"/>
        <v>5793.7911365803939</v>
      </c>
      <c r="M30" s="62">
        <f t="shared" si="98"/>
        <v>5913.1458758061963</v>
      </c>
      <c r="N30" s="62">
        <f t="shared" si="98"/>
        <v>6104.2420173324026</v>
      </c>
      <c r="O30" s="62">
        <f t="shared" si="98"/>
        <v>6205.1276393598009</v>
      </c>
      <c r="P30" s="62">
        <f t="shared" si="98"/>
        <v>6496.9347806102542</v>
      </c>
      <c r="Q30" s="62">
        <f t="shared" si="98"/>
        <v>6578.9541031831868</v>
      </c>
      <c r="R30" s="62">
        <f t="shared" si="98"/>
        <v>6859.0303580921136</v>
      </c>
      <c r="S30" s="62">
        <f t="shared" si="98"/>
        <v>7037.5615614125227</v>
      </c>
      <c r="T30" s="62">
        <f t="shared" si="98"/>
        <v>7275.6761846683075</v>
      </c>
      <c r="U30" s="62">
        <f t="shared" si="98"/>
        <v>7503.4542459399199</v>
      </c>
      <c r="V30" s="62">
        <f t="shared" si="98"/>
        <v>7128.5444131518962</v>
      </c>
      <c r="W30" s="62">
        <f t="shared" ref="W30" si="99">W31+W46</f>
        <v>7390.8472232193362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4194.5904685530231</v>
      </c>
      <c r="C31" s="29">
        <f t="shared" ref="C31:V31" si="101">C32+C33+C40</f>
        <v>4389.6342114929703</v>
      </c>
      <c r="D31" s="29">
        <f t="shared" si="101"/>
        <v>4513.4521248982237</v>
      </c>
      <c r="E31" s="29">
        <f t="shared" si="101"/>
        <v>4635.8145853626638</v>
      </c>
      <c r="F31" s="29">
        <f t="shared" si="101"/>
        <v>4761.3012826606846</v>
      </c>
      <c r="G31" s="29">
        <f t="shared" si="101"/>
        <v>4966.2009910609768</v>
      </c>
      <c r="H31" s="29">
        <f t="shared" si="101"/>
        <v>5122.37964666671</v>
      </c>
      <c r="I31" s="29">
        <f t="shared" si="101"/>
        <v>5203.1650240138006</v>
      </c>
      <c r="J31" s="29">
        <f t="shared" si="101"/>
        <v>5324.8666360595835</v>
      </c>
      <c r="K31" s="29">
        <f t="shared" si="101"/>
        <v>5328.194479728113</v>
      </c>
      <c r="L31" s="29">
        <f t="shared" si="101"/>
        <v>5175.4547245588119</v>
      </c>
      <c r="M31" s="29">
        <f t="shared" si="101"/>
        <v>5266.5110424917684</v>
      </c>
      <c r="N31" s="29">
        <f t="shared" si="101"/>
        <v>5393.9902884460953</v>
      </c>
      <c r="O31" s="29">
        <f t="shared" si="101"/>
        <v>5500.3233648969608</v>
      </c>
      <c r="P31" s="29">
        <f t="shared" si="101"/>
        <v>5728.8481690158924</v>
      </c>
      <c r="Q31" s="29">
        <f t="shared" si="101"/>
        <v>5815.4504019845308</v>
      </c>
      <c r="R31" s="29">
        <f t="shared" si="101"/>
        <v>6050.9448817544035</v>
      </c>
      <c r="S31" s="29">
        <f t="shared" si="101"/>
        <v>6204.5225463517299</v>
      </c>
      <c r="T31" s="29">
        <f t="shared" si="101"/>
        <v>6417.1190852504342</v>
      </c>
      <c r="U31" s="29">
        <f t="shared" si="101"/>
        <v>6627.4714615093199</v>
      </c>
      <c r="V31" s="29">
        <f t="shared" si="101"/>
        <v>6264.0240793990779</v>
      </c>
      <c r="W31" s="29">
        <f t="shared" ref="W31" si="102">W32+W33+W40</f>
        <v>6469.4729205236399</v>
      </c>
      <c r="DA31" s="173" t="s">
        <v>474</v>
      </c>
    </row>
    <row r="32" spans="1:105" ht="11.45" customHeight="1" x14ac:dyDescent="0.25">
      <c r="A32" s="136" t="s">
        <v>180</v>
      </c>
      <c r="B32" s="152">
        <v>30.851384522555513</v>
      </c>
      <c r="C32" s="152">
        <v>32.24798381426303</v>
      </c>
      <c r="D32" s="152">
        <v>34.720742794578271</v>
      </c>
      <c r="E32" s="152">
        <v>35.643262388047454</v>
      </c>
      <c r="F32" s="152">
        <v>38.213749789057474</v>
      </c>
      <c r="G32" s="152">
        <v>39.718082618448605</v>
      </c>
      <c r="H32" s="152">
        <v>40.552450176126513</v>
      </c>
      <c r="I32" s="152">
        <v>42.070783169267749</v>
      </c>
      <c r="J32" s="152">
        <v>42.557251098566148</v>
      </c>
      <c r="K32" s="152">
        <v>44.138491097865597</v>
      </c>
      <c r="L32" s="152">
        <v>45.857606083884143</v>
      </c>
      <c r="M32" s="152">
        <v>47.252976591408675</v>
      </c>
      <c r="N32" s="152">
        <v>49.951227534196207</v>
      </c>
      <c r="O32" s="152">
        <v>51.746230056983698</v>
      </c>
      <c r="P32" s="152">
        <v>54.167590965478837</v>
      </c>
      <c r="Q32" s="152">
        <v>56.579100113517015</v>
      </c>
      <c r="R32" s="152">
        <v>59.359230630419297</v>
      </c>
      <c r="S32" s="152">
        <v>56.35549370265749</v>
      </c>
      <c r="T32" s="152">
        <v>53.645624444740335</v>
      </c>
      <c r="U32" s="152">
        <v>56.726369613716962</v>
      </c>
      <c r="V32" s="152">
        <v>51.188880998628669</v>
      </c>
      <c r="W32" s="152">
        <v>53.531997176102024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4124.928834059413</v>
      </c>
      <c r="C33" s="116">
        <f t="shared" ref="C33:V33" si="104">SUM(C34:C39)</f>
        <v>4314.9701982000088</v>
      </c>
      <c r="D33" s="116">
        <f t="shared" si="104"/>
        <v>4433.2598984610077</v>
      </c>
      <c r="E33" s="116">
        <f t="shared" si="104"/>
        <v>4553.483895707408</v>
      </c>
      <c r="F33" s="116">
        <f t="shared" si="104"/>
        <v>4675.6690469088917</v>
      </c>
      <c r="G33" s="116">
        <f t="shared" si="104"/>
        <v>4877.2593681116832</v>
      </c>
      <c r="H33" s="116">
        <f t="shared" si="104"/>
        <v>5032.0929988453854</v>
      </c>
      <c r="I33" s="116">
        <f t="shared" si="104"/>
        <v>5109.5098142122406</v>
      </c>
      <c r="J33" s="116">
        <f t="shared" si="104"/>
        <v>5228.4467989179429</v>
      </c>
      <c r="K33" s="116">
        <f t="shared" si="104"/>
        <v>5228.4467989179439</v>
      </c>
      <c r="L33" s="116">
        <f t="shared" si="104"/>
        <v>5072.3757144494002</v>
      </c>
      <c r="M33" s="116">
        <f t="shared" si="104"/>
        <v>5160.6485500409071</v>
      </c>
      <c r="N33" s="116">
        <f t="shared" si="104"/>
        <v>5285.6275757535677</v>
      </c>
      <c r="O33" s="116">
        <f t="shared" si="104"/>
        <v>5390.029092467963</v>
      </c>
      <c r="P33" s="116">
        <f t="shared" si="104"/>
        <v>5616.6293488983938</v>
      </c>
      <c r="Q33" s="116">
        <f t="shared" si="104"/>
        <v>5699.3002316536767</v>
      </c>
      <c r="R33" s="116">
        <f t="shared" si="104"/>
        <v>5931.0698415399202</v>
      </c>
      <c r="S33" s="116">
        <f t="shared" si="104"/>
        <v>6085.6946636415414</v>
      </c>
      <c r="T33" s="116">
        <f t="shared" si="104"/>
        <v>6299.6319090694751</v>
      </c>
      <c r="U33" s="116">
        <f t="shared" si="104"/>
        <v>6504.1764302314614</v>
      </c>
      <c r="V33" s="116">
        <f t="shared" si="104"/>
        <v>6146.5214779512726</v>
      </c>
      <c r="W33" s="116">
        <f t="shared" ref="W33" si="105">SUM(W34:W39)</f>
        <v>6349.5788233891517</v>
      </c>
      <c r="DA33" s="176" t="s">
        <v>476</v>
      </c>
    </row>
    <row r="34" spans="1:105" ht="11.45" customHeight="1" x14ac:dyDescent="0.25">
      <c r="A34" s="111" t="s">
        <v>110</v>
      </c>
      <c r="B34" s="87">
        <v>2768.3976685380703</v>
      </c>
      <c r="C34" s="87">
        <v>2733.2955881308721</v>
      </c>
      <c r="D34" s="87">
        <v>2644.1774620090082</v>
      </c>
      <c r="E34" s="87">
        <v>2569.1203941406789</v>
      </c>
      <c r="F34" s="87">
        <v>2441.797598385634</v>
      </c>
      <c r="G34" s="87">
        <v>2353.1009661397452</v>
      </c>
      <c r="H34" s="87">
        <v>2233.1490893595042</v>
      </c>
      <c r="I34" s="87">
        <v>2136.2791504814263</v>
      </c>
      <c r="J34" s="87">
        <v>2102.7501696754234</v>
      </c>
      <c r="K34" s="87">
        <v>2000.2809952348659</v>
      </c>
      <c r="L34" s="87">
        <v>1866.5108924071858</v>
      </c>
      <c r="M34" s="87">
        <v>1882.7908387741909</v>
      </c>
      <c r="N34" s="87">
        <v>1885.2780717760409</v>
      </c>
      <c r="O34" s="87">
        <v>1856.7836612039764</v>
      </c>
      <c r="P34" s="87">
        <v>1880.9273623983006</v>
      </c>
      <c r="Q34" s="87">
        <v>1898.8723247628527</v>
      </c>
      <c r="R34" s="87">
        <v>2036.0186147306513</v>
      </c>
      <c r="S34" s="87">
        <v>2210.2415815159607</v>
      </c>
      <c r="T34" s="87">
        <v>2454.9411299161266</v>
      </c>
      <c r="U34" s="87">
        <v>2702.9457797579303</v>
      </c>
      <c r="V34" s="87">
        <v>2663.5606886934797</v>
      </c>
      <c r="W34" s="87">
        <v>2811.9019235789247</v>
      </c>
      <c r="DA34" s="171" t="s">
        <v>477</v>
      </c>
    </row>
    <row r="35" spans="1:105" ht="11.45" customHeight="1" x14ac:dyDescent="0.25">
      <c r="A35" s="111" t="s">
        <v>111</v>
      </c>
      <c r="B35" s="87">
        <v>1324.0961945066674</v>
      </c>
      <c r="C35" s="87">
        <v>1543.1760509990138</v>
      </c>
      <c r="D35" s="87">
        <v>1748.9849732652362</v>
      </c>
      <c r="E35" s="87">
        <v>1946.5527499801901</v>
      </c>
      <c r="F35" s="87">
        <v>2198.0560126098476</v>
      </c>
      <c r="G35" s="87">
        <v>2489.76772582279</v>
      </c>
      <c r="H35" s="87">
        <v>2781.810389091781</v>
      </c>
      <c r="I35" s="87">
        <v>2956.9040672300139</v>
      </c>
      <c r="J35" s="87">
        <v>3108.9719630411309</v>
      </c>
      <c r="K35" s="87">
        <v>3210.3432326381826</v>
      </c>
      <c r="L35" s="87">
        <v>3186.1546624616049</v>
      </c>
      <c r="M35" s="87">
        <v>3257.3071655256476</v>
      </c>
      <c r="N35" s="87">
        <v>3375.8744378979809</v>
      </c>
      <c r="O35" s="87">
        <v>3502.3859396304615</v>
      </c>
      <c r="P35" s="87">
        <v>3699.96914271489</v>
      </c>
      <c r="Q35" s="87">
        <v>3764.6634004098678</v>
      </c>
      <c r="R35" s="87">
        <v>3854.8512875398706</v>
      </c>
      <c r="S35" s="87">
        <v>3831.4368117239201</v>
      </c>
      <c r="T35" s="87">
        <v>3795.6732315214463</v>
      </c>
      <c r="U35" s="87">
        <v>3726.8436368730909</v>
      </c>
      <c r="V35" s="87">
        <v>3364.9298073347959</v>
      </c>
      <c r="W35" s="87">
        <v>3288.7022680221085</v>
      </c>
      <c r="DA35" s="171" t="s">
        <v>478</v>
      </c>
    </row>
    <row r="36" spans="1:105" ht="11.45" customHeight="1" x14ac:dyDescent="0.25">
      <c r="A36" s="111" t="s">
        <v>112</v>
      </c>
      <c r="B36" s="87">
        <v>32.434971014675412</v>
      </c>
      <c r="C36" s="87">
        <v>38.49855907012217</v>
      </c>
      <c r="D36" s="87">
        <v>40.097463186763214</v>
      </c>
      <c r="E36" s="87">
        <v>37.810751586539709</v>
      </c>
      <c r="F36" s="87">
        <v>35.81543591340936</v>
      </c>
      <c r="G36" s="87">
        <v>34.390676149147865</v>
      </c>
      <c r="H36" s="87">
        <v>17.133520394100504</v>
      </c>
      <c r="I36" s="87">
        <v>16.326596500800374</v>
      </c>
      <c r="J36" s="87">
        <v>16.710585574407602</v>
      </c>
      <c r="K36" s="87">
        <v>17.794380062908736</v>
      </c>
      <c r="L36" s="87">
        <v>16.939189104385246</v>
      </c>
      <c r="M36" s="87">
        <v>16.220608423781002</v>
      </c>
      <c r="N36" s="87">
        <v>16.167851471465926</v>
      </c>
      <c r="O36" s="87">
        <v>16.796802125235882</v>
      </c>
      <c r="P36" s="87">
        <v>16.697532719000584</v>
      </c>
      <c r="Q36" s="87">
        <v>16.05931884660901</v>
      </c>
      <c r="R36" s="87">
        <v>16.221237042905354</v>
      </c>
      <c r="S36" s="87">
        <v>13.688448654073269</v>
      </c>
      <c r="T36" s="87">
        <v>3.8715830648917051</v>
      </c>
      <c r="U36" s="87">
        <v>2.3511691885202195</v>
      </c>
      <c r="V36" s="87">
        <v>4.3199365371520466</v>
      </c>
      <c r="W36" s="87">
        <v>3.1764723052580792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6.8910918590846952</v>
      </c>
      <c r="O38" s="87">
        <v>10.336263450441221</v>
      </c>
      <c r="P38" s="87">
        <v>11.041663422447799</v>
      </c>
      <c r="Q38" s="87">
        <v>10.697304152845222</v>
      </c>
      <c r="R38" s="87">
        <v>13.049747546918004</v>
      </c>
      <c r="S38" s="87">
        <v>14.869786744024264</v>
      </c>
      <c r="T38" s="87">
        <v>22.953303463014812</v>
      </c>
      <c r="U38" s="87">
        <v>35.582189898507565</v>
      </c>
      <c r="V38" s="87">
        <v>59.203510776534621</v>
      </c>
      <c r="W38" s="87">
        <v>123.56900763454321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1.4080626981211524E-2</v>
      </c>
      <c r="K39" s="87">
        <v>2.8190981985786071E-2</v>
      </c>
      <c r="L39" s="87">
        <v>2.7709704762245417</v>
      </c>
      <c r="M39" s="87">
        <v>4.3299373172874382</v>
      </c>
      <c r="N39" s="87">
        <v>1.4161227489960757</v>
      </c>
      <c r="O39" s="87">
        <v>3.7264260578488426</v>
      </c>
      <c r="P39" s="87">
        <v>7.9936476437553328</v>
      </c>
      <c r="Q39" s="87">
        <v>9.0078834815023114</v>
      </c>
      <c r="R39" s="87">
        <v>10.928954679574732</v>
      </c>
      <c r="S39" s="87">
        <v>15.458035003562678</v>
      </c>
      <c r="T39" s="87">
        <v>22.192661103995942</v>
      </c>
      <c r="U39" s="87">
        <v>36.453654513411912</v>
      </c>
      <c r="V39" s="87">
        <v>54.507534609309545</v>
      </c>
      <c r="W39" s="87">
        <v>122.22915184831723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38.810249971055086</v>
      </c>
      <c r="C40" s="116">
        <f t="shared" ref="C40:V40" si="107">SUM(C41:C45)</f>
        <v>42.416029478699272</v>
      </c>
      <c r="D40" s="116">
        <f t="shared" si="107"/>
        <v>45.471483642637601</v>
      </c>
      <c r="E40" s="116">
        <f t="shared" si="107"/>
        <v>46.687427267208037</v>
      </c>
      <c r="F40" s="116">
        <f t="shared" si="107"/>
        <v>47.418485962735815</v>
      </c>
      <c r="G40" s="116">
        <f t="shared" si="107"/>
        <v>49.223540330845033</v>
      </c>
      <c r="H40" s="116">
        <f t="shared" si="107"/>
        <v>49.734197645198442</v>
      </c>
      <c r="I40" s="116">
        <f t="shared" si="107"/>
        <v>51.58442663229166</v>
      </c>
      <c r="J40" s="116">
        <f t="shared" si="107"/>
        <v>53.862586043074636</v>
      </c>
      <c r="K40" s="116">
        <f t="shared" si="107"/>
        <v>55.609189712303248</v>
      </c>
      <c r="L40" s="116">
        <f t="shared" si="107"/>
        <v>57.221404025527775</v>
      </c>
      <c r="M40" s="116">
        <f t="shared" si="107"/>
        <v>58.609515859452614</v>
      </c>
      <c r="N40" s="116">
        <f t="shared" si="107"/>
        <v>58.411485158331843</v>
      </c>
      <c r="O40" s="116">
        <f t="shared" si="107"/>
        <v>58.548042372013967</v>
      </c>
      <c r="P40" s="116">
        <f t="shared" si="107"/>
        <v>58.051229152020362</v>
      </c>
      <c r="Q40" s="116">
        <f t="shared" si="107"/>
        <v>59.57107021733777</v>
      </c>
      <c r="R40" s="116">
        <f t="shared" si="107"/>
        <v>60.515809584064542</v>
      </c>
      <c r="S40" s="116">
        <f t="shared" si="107"/>
        <v>62.472389007531348</v>
      </c>
      <c r="T40" s="116">
        <f t="shared" si="107"/>
        <v>63.841551736218989</v>
      </c>
      <c r="U40" s="116">
        <f t="shared" si="107"/>
        <v>66.568661664141644</v>
      </c>
      <c r="V40" s="116">
        <f t="shared" si="107"/>
        <v>66.313720449176685</v>
      </c>
      <c r="W40" s="116">
        <f t="shared" ref="W40" si="108">SUM(W41:W45)</f>
        <v>66.362099958386352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9.8556516591243315E-3</v>
      </c>
      <c r="U41" s="101">
        <v>9.4237070487577287E-3</v>
      </c>
      <c r="V41" s="101">
        <v>8.9610018486302942E-3</v>
      </c>
      <c r="W41" s="101">
        <v>8.3756113292026025E-3</v>
      </c>
      <c r="DA41" s="175" t="s">
        <v>484</v>
      </c>
    </row>
    <row r="42" spans="1:105" ht="11.45" customHeight="1" x14ac:dyDescent="0.25">
      <c r="A42" s="111" t="s">
        <v>111</v>
      </c>
      <c r="B42" s="101">
        <v>38.810249971055086</v>
      </c>
      <c r="C42" s="101">
        <v>42.416029478699272</v>
      </c>
      <c r="D42" s="101">
        <v>45.471483642637601</v>
      </c>
      <c r="E42" s="101">
        <v>46.561593698738818</v>
      </c>
      <c r="F42" s="101">
        <v>47.292538338803297</v>
      </c>
      <c r="G42" s="101">
        <v>49.097485097881098</v>
      </c>
      <c r="H42" s="101">
        <v>49.608026588807832</v>
      </c>
      <c r="I42" s="101">
        <v>51.458147525582994</v>
      </c>
      <c r="J42" s="101">
        <v>53.736200806440422</v>
      </c>
      <c r="K42" s="101">
        <v>55.524859805501684</v>
      </c>
      <c r="L42" s="101">
        <v>57.136987207400438</v>
      </c>
      <c r="M42" s="101">
        <v>58.525030770679699</v>
      </c>
      <c r="N42" s="101">
        <v>58.326924177156663</v>
      </c>
      <c r="O42" s="101">
        <v>58.378789749071537</v>
      </c>
      <c r="P42" s="101">
        <v>57.924167348643358</v>
      </c>
      <c r="Q42" s="101">
        <v>59.443896366149637</v>
      </c>
      <c r="R42" s="101">
        <v>60.388694601152707</v>
      </c>
      <c r="S42" s="101">
        <v>62.133463723459656</v>
      </c>
      <c r="T42" s="101">
        <v>62.646718046975799</v>
      </c>
      <c r="U42" s="101">
        <v>62.163046697370739</v>
      </c>
      <c r="V42" s="101">
        <v>60.057791636481518</v>
      </c>
      <c r="W42" s="101">
        <v>58.772959758649456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0.12583356846922036</v>
      </c>
      <c r="F45" s="101">
        <v>0.12594762393252115</v>
      </c>
      <c r="G45" s="101">
        <v>0.12605523296393698</v>
      </c>
      <c r="H45" s="101">
        <v>0.12617105639061341</v>
      </c>
      <c r="I45" s="101">
        <v>0.12627910670866796</v>
      </c>
      <c r="J45" s="101">
        <v>0.12638523663421228</v>
      </c>
      <c r="K45" s="101">
        <v>8.4329906801564616E-2</v>
      </c>
      <c r="L45" s="101">
        <v>8.4416818127336424E-2</v>
      </c>
      <c r="M45" s="101">
        <v>8.4485088772912109E-2</v>
      </c>
      <c r="N45" s="101">
        <v>8.4560981175179697E-2</v>
      </c>
      <c r="O45" s="101">
        <v>0.16925262294242935</v>
      </c>
      <c r="P45" s="101">
        <v>0.12706180337700293</v>
      </c>
      <c r="Q45" s="101">
        <v>0.12717385118813465</v>
      </c>
      <c r="R45" s="101">
        <v>0.12711498291183429</v>
      </c>
      <c r="S45" s="101">
        <v>0.33892528407169348</v>
      </c>
      <c r="T45" s="101">
        <v>1.1849780375840697</v>
      </c>
      <c r="U45" s="101">
        <v>4.3961912597221442</v>
      </c>
      <c r="V45" s="101">
        <v>6.2469678108465398</v>
      </c>
      <c r="W45" s="101">
        <v>7.5807645884076909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406.98779637090166</v>
      </c>
      <c r="C46" s="29">
        <f t="shared" ref="C46:V46" si="110">C47+C53</f>
        <v>440.09716047003872</v>
      </c>
      <c r="D46" s="29">
        <f t="shared" si="110"/>
        <v>477.23514518505681</v>
      </c>
      <c r="E46" s="29">
        <f t="shared" si="110"/>
        <v>489.55565419787126</v>
      </c>
      <c r="F46" s="29">
        <f t="shared" si="110"/>
        <v>514.93045467316244</v>
      </c>
      <c r="G46" s="29">
        <f t="shared" si="110"/>
        <v>531.17644256125652</v>
      </c>
      <c r="H46" s="29">
        <f t="shared" si="110"/>
        <v>555.47239651860173</v>
      </c>
      <c r="I46" s="29">
        <f t="shared" si="110"/>
        <v>593.74262732298325</v>
      </c>
      <c r="J46" s="29">
        <f t="shared" si="110"/>
        <v>628.36963088685422</v>
      </c>
      <c r="K46" s="29">
        <f t="shared" si="110"/>
        <v>590.37221061097216</v>
      </c>
      <c r="L46" s="29">
        <f t="shared" si="110"/>
        <v>618.33641202158151</v>
      </c>
      <c r="M46" s="29">
        <f t="shared" si="110"/>
        <v>646.63483331442785</v>
      </c>
      <c r="N46" s="29">
        <f t="shared" si="110"/>
        <v>710.25172888630732</v>
      </c>
      <c r="O46" s="29">
        <f t="shared" si="110"/>
        <v>704.80427446283977</v>
      </c>
      <c r="P46" s="29">
        <f t="shared" si="110"/>
        <v>768.08661159436133</v>
      </c>
      <c r="Q46" s="29">
        <f t="shared" si="110"/>
        <v>763.50370119865556</v>
      </c>
      <c r="R46" s="29">
        <f t="shared" si="110"/>
        <v>808.08547633771036</v>
      </c>
      <c r="S46" s="29">
        <f t="shared" si="110"/>
        <v>833.03901506079296</v>
      </c>
      <c r="T46" s="29">
        <f t="shared" si="110"/>
        <v>858.55709941787313</v>
      </c>
      <c r="U46" s="29">
        <f t="shared" si="110"/>
        <v>875.98278443060008</v>
      </c>
      <c r="V46" s="29">
        <f t="shared" si="110"/>
        <v>864.52033375281871</v>
      </c>
      <c r="W46" s="29">
        <f t="shared" ref="W46" si="111">W47+W53</f>
        <v>921.37430269569677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274.89463565970101</v>
      </c>
      <c r="C47" s="152">
        <f t="shared" ref="C47:V47" si="113">SUM(C48:C52)</f>
        <v>293.9468465853235</v>
      </c>
      <c r="D47" s="152">
        <f t="shared" si="113"/>
        <v>315.17197398123886</v>
      </c>
      <c r="E47" s="152">
        <f t="shared" si="113"/>
        <v>327.74397004131248</v>
      </c>
      <c r="F47" s="152">
        <f t="shared" si="113"/>
        <v>342.38052668449944</v>
      </c>
      <c r="G47" s="152">
        <f t="shared" si="113"/>
        <v>360.25080774350602</v>
      </c>
      <c r="H47" s="152">
        <f t="shared" si="113"/>
        <v>379.49801372581447</v>
      </c>
      <c r="I47" s="152">
        <f t="shared" si="113"/>
        <v>411.826114005107</v>
      </c>
      <c r="J47" s="152">
        <f t="shared" si="113"/>
        <v>437.5582994344449</v>
      </c>
      <c r="K47" s="152">
        <f t="shared" si="113"/>
        <v>439.1559437627173</v>
      </c>
      <c r="L47" s="152">
        <f t="shared" si="113"/>
        <v>458.38664853242778</v>
      </c>
      <c r="M47" s="152">
        <f t="shared" si="113"/>
        <v>484.00017524460264</v>
      </c>
      <c r="N47" s="152">
        <f t="shared" si="113"/>
        <v>500.46216404889077</v>
      </c>
      <c r="O47" s="152">
        <f t="shared" si="113"/>
        <v>514.52238846422881</v>
      </c>
      <c r="P47" s="152">
        <f t="shared" si="113"/>
        <v>545.10481872517425</v>
      </c>
      <c r="Q47" s="152">
        <f t="shared" si="113"/>
        <v>571.43860816448887</v>
      </c>
      <c r="R47" s="152">
        <f t="shared" si="113"/>
        <v>605.50849049372937</v>
      </c>
      <c r="S47" s="152">
        <f t="shared" si="113"/>
        <v>627.25648934210994</v>
      </c>
      <c r="T47" s="152">
        <f t="shared" si="113"/>
        <v>654.86825048102867</v>
      </c>
      <c r="U47" s="152">
        <f t="shared" si="113"/>
        <v>669.93640086228493</v>
      </c>
      <c r="V47" s="152">
        <f t="shared" si="113"/>
        <v>678.17520660797743</v>
      </c>
      <c r="W47" s="152">
        <f t="shared" ref="W47" si="114">SUM(W48:W52)</f>
        <v>711.65737191309177</v>
      </c>
      <c r="DA47" s="174" t="s">
        <v>490</v>
      </c>
    </row>
    <row r="48" spans="1:105" ht="11.45" customHeight="1" x14ac:dyDescent="0.25">
      <c r="A48" s="111" t="s">
        <v>110</v>
      </c>
      <c r="B48" s="87">
        <v>27.992658625066191</v>
      </c>
      <c r="C48" s="87">
        <v>25.06862190710428</v>
      </c>
      <c r="D48" s="87">
        <v>22.942074510538909</v>
      </c>
      <c r="E48" s="87">
        <v>20.743129517048448</v>
      </c>
      <c r="F48" s="87">
        <v>18.342133405036677</v>
      </c>
      <c r="G48" s="87">
        <v>16.25315045808642</v>
      </c>
      <c r="H48" s="87">
        <v>14.643546670346939</v>
      </c>
      <c r="I48" s="87">
        <v>13.727531427666181</v>
      </c>
      <c r="J48" s="87">
        <v>13.200314836309557</v>
      </c>
      <c r="K48" s="87">
        <v>11.951801283409173</v>
      </c>
      <c r="L48" s="87">
        <v>11.661446677006664</v>
      </c>
      <c r="M48" s="87">
        <v>11.350796188371808</v>
      </c>
      <c r="N48" s="87">
        <v>10.593272477168245</v>
      </c>
      <c r="O48" s="87">
        <v>10.160998122681226</v>
      </c>
      <c r="P48" s="87">
        <v>10.167559304423431</v>
      </c>
      <c r="Q48" s="87">
        <v>10.087801762974209</v>
      </c>
      <c r="R48" s="87">
        <v>10.281294586904748</v>
      </c>
      <c r="S48" s="87">
        <v>10.468153510480619</v>
      </c>
      <c r="T48" s="87">
        <v>11.137580678335212</v>
      </c>
      <c r="U48" s="87">
        <v>11.549462059107498</v>
      </c>
      <c r="V48" s="87">
        <v>11.603390634947399</v>
      </c>
      <c r="W48" s="87">
        <v>12.136331658721131</v>
      </c>
      <c r="DA48" s="171" t="s">
        <v>491</v>
      </c>
    </row>
    <row r="49" spans="1:105" ht="11.45" customHeight="1" x14ac:dyDescent="0.25">
      <c r="A49" s="111" t="s">
        <v>111</v>
      </c>
      <c r="B49" s="87">
        <v>246.90197703463483</v>
      </c>
      <c r="C49" s="87">
        <v>268.87822467821923</v>
      </c>
      <c r="D49" s="87">
        <v>292.22989947069993</v>
      </c>
      <c r="E49" s="87">
        <v>307.00084052426405</v>
      </c>
      <c r="F49" s="87">
        <v>324.03839327946275</v>
      </c>
      <c r="G49" s="87">
        <v>343.99765728541962</v>
      </c>
      <c r="H49" s="87">
        <v>364.84128925528836</v>
      </c>
      <c r="I49" s="87">
        <v>398.07220599863831</v>
      </c>
      <c r="J49" s="87">
        <v>424.33159042533936</v>
      </c>
      <c r="K49" s="87">
        <v>427.11162626227002</v>
      </c>
      <c r="L49" s="87">
        <v>446.63266340768286</v>
      </c>
      <c r="M49" s="87">
        <v>472.55681604517787</v>
      </c>
      <c r="N49" s="87">
        <v>489.52463951386676</v>
      </c>
      <c r="O49" s="87">
        <v>502.7901932109753</v>
      </c>
      <c r="P49" s="87">
        <v>532.9706419414681</v>
      </c>
      <c r="Q49" s="87">
        <v>559.04441151339825</v>
      </c>
      <c r="R49" s="87">
        <v>592.57126401428582</v>
      </c>
      <c r="S49" s="87">
        <v>613.54921822537165</v>
      </c>
      <c r="T49" s="87">
        <v>639.80046448203291</v>
      </c>
      <c r="U49" s="87">
        <v>654.0013575685573</v>
      </c>
      <c r="V49" s="87">
        <v>661.42546140007266</v>
      </c>
      <c r="W49" s="87">
        <v>692.78004527751784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0.64304140687243827</v>
      </c>
      <c r="P50" s="87">
        <v>0.81154705250341097</v>
      </c>
      <c r="Q50" s="87">
        <v>0.85865571566580501</v>
      </c>
      <c r="R50" s="87">
        <v>1.0104604807971127</v>
      </c>
      <c r="S50" s="87">
        <v>1.0907535289697521</v>
      </c>
      <c r="T50" s="87">
        <v>1.0923890854994389</v>
      </c>
      <c r="U50" s="87">
        <v>0.9654312367043596</v>
      </c>
      <c r="V50" s="87">
        <v>1.135385980097229</v>
      </c>
      <c r="W50" s="87">
        <v>1.0557588746940434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1.3177800179156712E-2</v>
      </c>
      <c r="I52" s="87">
        <v>2.6376578802539491E-2</v>
      </c>
      <c r="J52" s="87">
        <v>2.6394172796006251E-2</v>
      </c>
      <c r="K52" s="87">
        <v>9.2516217038133647E-2</v>
      </c>
      <c r="L52" s="87">
        <v>9.2538447738265292E-2</v>
      </c>
      <c r="M52" s="87">
        <v>9.2563011052967062E-2</v>
      </c>
      <c r="N52" s="87">
        <v>0.34425205785576307</v>
      </c>
      <c r="O52" s="87">
        <v>0.92815572369992827</v>
      </c>
      <c r="P52" s="87">
        <v>1.1550704267792746</v>
      </c>
      <c r="Q52" s="87">
        <v>1.4477391724505737</v>
      </c>
      <c r="R52" s="87">
        <v>1.6454714117417444</v>
      </c>
      <c r="S52" s="87">
        <v>2.1483640772878032</v>
      </c>
      <c r="T52" s="87">
        <v>2.8378162351610352</v>
      </c>
      <c r="U52" s="87">
        <v>3.4201499979157219</v>
      </c>
      <c r="V52" s="87">
        <v>4.0109685928602419</v>
      </c>
      <c r="W52" s="87">
        <v>5.6852361021588438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132.09316071120065</v>
      </c>
      <c r="C53" s="116">
        <f t="shared" ref="C53:V53" si="116">SUM(C54:C55)</f>
        <v>146.15031388471522</v>
      </c>
      <c r="D53" s="116">
        <f t="shared" si="116"/>
        <v>162.06317120381792</v>
      </c>
      <c r="E53" s="116">
        <f t="shared" si="116"/>
        <v>161.81168415655881</v>
      </c>
      <c r="F53" s="116">
        <f t="shared" si="116"/>
        <v>172.549927988663</v>
      </c>
      <c r="G53" s="116">
        <f t="shared" si="116"/>
        <v>170.92563481775051</v>
      </c>
      <c r="H53" s="116">
        <f t="shared" si="116"/>
        <v>175.97438279278731</v>
      </c>
      <c r="I53" s="116">
        <f t="shared" si="116"/>
        <v>181.91651331787625</v>
      </c>
      <c r="J53" s="116">
        <f t="shared" si="116"/>
        <v>190.81133145240932</v>
      </c>
      <c r="K53" s="116">
        <f t="shared" si="116"/>
        <v>151.21626684825486</v>
      </c>
      <c r="L53" s="116">
        <f t="shared" si="116"/>
        <v>159.94976348915372</v>
      </c>
      <c r="M53" s="116">
        <f t="shared" si="116"/>
        <v>162.63465806982521</v>
      </c>
      <c r="N53" s="116">
        <f t="shared" si="116"/>
        <v>209.78956483741649</v>
      </c>
      <c r="O53" s="116">
        <f t="shared" si="116"/>
        <v>190.28188599861096</v>
      </c>
      <c r="P53" s="116">
        <f t="shared" si="116"/>
        <v>222.98179286918707</v>
      </c>
      <c r="Q53" s="116">
        <f t="shared" si="116"/>
        <v>192.06509303416669</v>
      </c>
      <c r="R53" s="116">
        <f t="shared" si="116"/>
        <v>202.57698584398099</v>
      </c>
      <c r="S53" s="116">
        <f t="shared" si="116"/>
        <v>205.78252571868302</v>
      </c>
      <c r="T53" s="116">
        <f t="shared" si="116"/>
        <v>203.68884893684452</v>
      </c>
      <c r="U53" s="116">
        <f t="shared" si="116"/>
        <v>206.04638356831512</v>
      </c>
      <c r="V53" s="116">
        <f t="shared" si="116"/>
        <v>186.34512714484131</v>
      </c>
      <c r="W53" s="116">
        <f t="shared" ref="W53" si="117">SUM(W54:W55)</f>
        <v>209.71693078260495</v>
      </c>
      <c r="DA53" s="176" t="s">
        <v>496</v>
      </c>
    </row>
    <row r="54" spans="1:105" ht="11.45" customHeight="1" x14ac:dyDescent="0.25">
      <c r="A54" s="128" t="s">
        <v>27</v>
      </c>
      <c r="B54" s="101">
        <v>62</v>
      </c>
      <c r="C54" s="101">
        <v>71</v>
      </c>
      <c r="D54" s="101">
        <v>83</v>
      </c>
      <c r="E54" s="101">
        <v>81</v>
      </c>
      <c r="F54" s="101">
        <v>77</v>
      </c>
      <c r="G54" s="101">
        <v>72</v>
      </c>
      <c r="H54" s="101">
        <v>80</v>
      </c>
      <c r="I54" s="101">
        <v>79</v>
      </c>
      <c r="J54" s="101">
        <v>74</v>
      </c>
      <c r="K54" s="101">
        <v>47</v>
      </c>
      <c r="L54" s="101">
        <v>52</v>
      </c>
      <c r="M54" s="101">
        <v>56</v>
      </c>
      <c r="N54" s="101">
        <v>90</v>
      </c>
      <c r="O54" s="101">
        <v>71</v>
      </c>
      <c r="P54" s="101">
        <v>97</v>
      </c>
      <c r="Q54" s="101">
        <v>84</v>
      </c>
      <c r="R54" s="101">
        <v>87</v>
      </c>
      <c r="S54" s="101">
        <v>84</v>
      </c>
      <c r="T54" s="101">
        <v>86</v>
      </c>
      <c r="U54" s="101">
        <v>85</v>
      </c>
      <c r="V54" s="101">
        <v>73</v>
      </c>
      <c r="W54" s="101">
        <v>88</v>
      </c>
      <c r="DA54" s="175" t="s">
        <v>497</v>
      </c>
    </row>
    <row r="55" spans="1:105" ht="11.45" customHeight="1" x14ac:dyDescent="0.25">
      <c r="A55" s="138" t="s">
        <v>116</v>
      </c>
      <c r="B55" s="88">
        <v>70.093160711200653</v>
      </c>
      <c r="C55" s="88">
        <v>75.150313884715203</v>
      </c>
      <c r="D55" s="88">
        <v>79.063171203817916</v>
      </c>
      <c r="E55" s="88">
        <v>80.811684156558812</v>
      </c>
      <c r="F55" s="88">
        <v>95.549927988663015</v>
      </c>
      <c r="G55" s="88">
        <v>98.925634817750506</v>
      </c>
      <c r="H55" s="88">
        <v>95.974382792787324</v>
      </c>
      <c r="I55" s="88">
        <v>102.91651331787625</v>
      </c>
      <c r="J55" s="88">
        <v>116.81133145240932</v>
      </c>
      <c r="K55" s="88">
        <v>104.21626684825485</v>
      </c>
      <c r="L55" s="88">
        <v>107.94976348915372</v>
      </c>
      <c r="M55" s="88">
        <v>106.63465806982522</v>
      </c>
      <c r="N55" s="88">
        <v>119.78956483741648</v>
      </c>
      <c r="O55" s="88">
        <v>119.28188599861096</v>
      </c>
      <c r="P55" s="88">
        <v>125.98179286918709</v>
      </c>
      <c r="Q55" s="88">
        <v>108.06509303416668</v>
      </c>
      <c r="R55" s="88">
        <v>115.57698584398101</v>
      </c>
      <c r="S55" s="88">
        <v>121.782525718683</v>
      </c>
      <c r="T55" s="88">
        <v>117.68884893684451</v>
      </c>
      <c r="U55" s="88">
        <v>121.04638356831512</v>
      </c>
      <c r="V55" s="88">
        <v>113.34512714484131</v>
      </c>
      <c r="W55" s="88">
        <v>121.71693078260495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305318</v>
      </c>
      <c r="C57" s="54">
        <f t="shared" si="118"/>
        <v>312594</v>
      </c>
      <c r="D57" s="54">
        <f t="shared" si="118"/>
        <v>320081</v>
      </c>
      <c r="E57" s="54">
        <f t="shared" si="118"/>
        <v>328449</v>
      </c>
      <c r="F57" s="54">
        <f t="shared" si="118"/>
        <v>336491</v>
      </c>
      <c r="G57" s="54">
        <f t="shared" si="118"/>
        <v>347625</v>
      </c>
      <c r="H57" s="54">
        <f t="shared" si="118"/>
        <v>358157</v>
      </c>
      <c r="I57" s="54">
        <f t="shared" si="118"/>
        <v>367288</v>
      </c>
      <c r="J57" s="54">
        <f t="shared" si="118"/>
        <v>377317</v>
      </c>
      <c r="K57" s="54">
        <f t="shared" si="118"/>
        <v>383973</v>
      </c>
      <c r="L57" s="54">
        <f t="shared" ref="L57" si="119">L58+L73</f>
        <v>392113</v>
      </c>
      <c r="M57" s="54">
        <f t="shared" ref="M57:V57" si="120">M58+M73</f>
        <v>403040</v>
      </c>
      <c r="N57" s="54">
        <f t="shared" si="120"/>
        <v>415546</v>
      </c>
      <c r="O57" s="54">
        <f t="shared" si="120"/>
        <v>424292</v>
      </c>
      <c r="P57" s="54">
        <f t="shared" si="120"/>
        <v>435631</v>
      </c>
      <c r="Q57" s="54">
        <f t="shared" si="120"/>
        <v>446346</v>
      </c>
      <c r="R57" s="54">
        <f t="shared" si="120"/>
        <v>458900</v>
      </c>
      <c r="S57" s="54">
        <f t="shared" si="120"/>
        <v>476696</v>
      </c>
      <c r="T57" s="54">
        <f t="shared" si="120"/>
        <v>489716</v>
      </c>
      <c r="U57" s="54">
        <f t="shared" si="120"/>
        <v>506047</v>
      </c>
      <c r="V57" s="54">
        <f t="shared" si="120"/>
        <v>512580</v>
      </c>
      <c r="W57" s="54">
        <f t="shared" ref="W57" si="121">W58+W73</f>
        <v>521890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285578</v>
      </c>
      <c r="C58" s="28">
        <f t="shared" si="122"/>
        <v>292459</v>
      </c>
      <c r="D58" s="28">
        <f t="shared" si="122"/>
        <v>299516</v>
      </c>
      <c r="E58" s="28">
        <f t="shared" si="122"/>
        <v>307158</v>
      </c>
      <c r="F58" s="28">
        <f t="shared" si="122"/>
        <v>314521</v>
      </c>
      <c r="G58" s="28">
        <f t="shared" si="122"/>
        <v>323837</v>
      </c>
      <c r="H58" s="28">
        <f t="shared" si="122"/>
        <v>333308</v>
      </c>
      <c r="I58" s="28">
        <f t="shared" si="122"/>
        <v>341299</v>
      </c>
      <c r="J58" s="28">
        <f t="shared" si="122"/>
        <v>348653</v>
      </c>
      <c r="K58" s="28">
        <f t="shared" si="122"/>
        <v>353691</v>
      </c>
      <c r="L58" s="28">
        <f t="shared" ref="L58" si="123">L59+L60+L67</f>
        <v>360862</v>
      </c>
      <c r="M58" s="28">
        <f t="shared" ref="M58:V58" si="124">M59+M60+M67</f>
        <v>370525</v>
      </c>
      <c r="N58" s="28">
        <f t="shared" si="124"/>
        <v>381936</v>
      </c>
      <c r="O58" s="28">
        <f t="shared" si="124"/>
        <v>390759</v>
      </c>
      <c r="P58" s="28">
        <f t="shared" si="124"/>
        <v>401880</v>
      </c>
      <c r="Q58" s="28">
        <f t="shared" si="124"/>
        <v>411219</v>
      </c>
      <c r="R58" s="28">
        <f t="shared" si="124"/>
        <v>422092</v>
      </c>
      <c r="S58" s="28">
        <f t="shared" si="124"/>
        <v>437364</v>
      </c>
      <c r="T58" s="28">
        <f t="shared" si="124"/>
        <v>448849</v>
      </c>
      <c r="U58" s="28">
        <f t="shared" si="124"/>
        <v>463440</v>
      </c>
      <c r="V58" s="28">
        <f t="shared" si="124"/>
        <v>467863</v>
      </c>
      <c r="W58" s="28">
        <f t="shared" ref="W58" si="125">W59+W60+W67</f>
        <v>475796</v>
      </c>
      <c r="DA58" s="173" t="s">
        <v>500</v>
      </c>
    </row>
    <row r="59" spans="1:105" ht="11.45" customHeight="1" x14ac:dyDescent="0.25">
      <c r="A59" s="136" t="s">
        <v>180</v>
      </c>
      <c r="B59" s="137">
        <v>8972</v>
      </c>
      <c r="C59" s="137">
        <v>10067</v>
      </c>
      <c r="D59" s="137">
        <v>11340</v>
      </c>
      <c r="E59" s="137">
        <v>12721</v>
      </c>
      <c r="F59" s="137">
        <v>14012</v>
      </c>
      <c r="G59" s="137">
        <v>15207</v>
      </c>
      <c r="H59" s="137">
        <v>16509</v>
      </c>
      <c r="I59" s="137">
        <v>17844</v>
      </c>
      <c r="J59" s="137">
        <v>19108</v>
      </c>
      <c r="K59" s="137">
        <v>20566</v>
      </c>
      <c r="L59" s="137">
        <v>22026</v>
      </c>
      <c r="M59" s="137">
        <v>23222</v>
      </c>
      <c r="N59" s="137">
        <v>24308</v>
      </c>
      <c r="O59" s="137">
        <v>25753</v>
      </c>
      <c r="P59" s="137">
        <v>27275</v>
      </c>
      <c r="Q59" s="137">
        <v>28259</v>
      </c>
      <c r="R59" s="137">
        <v>29253</v>
      </c>
      <c r="S59" s="137">
        <v>30300</v>
      </c>
      <c r="T59" s="137">
        <v>30636</v>
      </c>
      <c r="U59" s="137">
        <v>30805</v>
      </c>
      <c r="V59" s="137">
        <v>32219</v>
      </c>
      <c r="W59" s="137">
        <v>33662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275555</v>
      </c>
      <c r="C60" s="110">
        <f t="shared" si="126"/>
        <v>281270</v>
      </c>
      <c r="D60" s="110">
        <f t="shared" si="126"/>
        <v>287000</v>
      </c>
      <c r="E60" s="110">
        <f t="shared" si="126"/>
        <v>293210</v>
      </c>
      <c r="F60" s="110">
        <f t="shared" si="126"/>
        <v>299240</v>
      </c>
      <c r="G60" s="110">
        <f t="shared" si="126"/>
        <v>307290</v>
      </c>
      <c r="H60" s="110">
        <f t="shared" si="126"/>
        <v>315420</v>
      </c>
      <c r="I60" s="110">
        <f t="shared" si="126"/>
        <v>322000</v>
      </c>
      <c r="J60" s="110">
        <f t="shared" si="126"/>
        <v>328000</v>
      </c>
      <c r="K60" s="110">
        <f t="shared" si="126"/>
        <v>331502</v>
      </c>
      <c r="L60" s="110">
        <f t="shared" ref="L60" si="127">SUM(L61:L66)</f>
        <v>337200</v>
      </c>
      <c r="M60" s="110">
        <f t="shared" ref="M60:V60" si="128">SUM(M61:M66)</f>
        <v>345600</v>
      </c>
      <c r="N60" s="110">
        <f t="shared" si="128"/>
        <v>355900</v>
      </c>
      <c r="O60" s="110">
        <f t="shared" si="128"/>
        <v>363247</v>
      </c>
      <c r="P60" s="110">
        <f t="shared" si="128"/>
        <v>372827</v>
      </c>
      <c r="Q60" s="110">
        <f t="shared" si="128"/>
        <v>381103</v>
      </c>
      <c r="R60" s="110">
        <f t="shared" si="128"/>
        <v>390935</v>
      </c>
      <c r="S60" s="110">
        <f t="shared" si="128"/>
        <v>405104</v>
      </c>
      <c r="T60" s="110">
        <f t="shared" si="128"/>
        <v>416167</v>
      </c>
      <c r="U60" s="110">
        <f t="shared" si="128"/>
        <v>430451</v>
      </c>
      <c r="V60" s="110">
        <f t="shared" si="128"/>
        <v>433405</v>
      </c>
      <c r="W60" s="110">
        <f t="shared" ref="W60" si="129">SUM(W61:W66)</f>
        <v>439790</v>
      </c>
      <c r="DA60" s="176" t="s">
        <v>502</v>
      </c>
    </row>
    <row r="61" spans="1:105" ht="11.45" customHeight="1" x14ac:dyDescent="0.25">
      <c r="A61" s="111" t="s">
        <v>110</v>
      </c>
      <c r="B61" s="84">
        <v>193570</v>
      </c>
      <c r="C61" s="84">
        <v>187393</v>
      </c>
      <c r="D61" s="84">
        <v>180869</v>
      </c>
      <c r="E61" s="84">
        <v>174546</v>
      </c>
      <c r="F61" s="84">
        <v>164745</v>
      </c>
      <c r="G61" s="84">
        <v>154960</v>
      </c>
      <c r="H61" s="84">
        <v>145733</v>
      </c>
      <c r="I61" s="84">
        <v>137098</v>
      </c>
      <c r="J61" s="84">
        <v>131185</v>
      </c>
      <c r="K61" s="84">
        <v>125342</v>
      </c>
      <c r="L61" s="84">
        <v>121570</v>
      </c>
      <c r="M61" s="84">
        <v>121127</v>
      </c>
      <c r="N61" s="84">
        <v>121879</v>
      </c>
      <c r="O61" s="84">
        <v>123343</v>
      </c>
      <c r="P61" s="84">
        <v>126602</v>
      </c>
      <c r="Q61" s="84">
        <v>130534</v>
      </c>
      <c r="R61" s="84">
        <v>137884</v>
      </c>
      <c r="S61" s="84">
        <v>151031</v>
      </c>
      <c r="T61" s="84">
        <v>166297</v>
      </c>
      <c r="U61" s="84">
        <v>183163</v>
      </c>
      <c r="V61" s="84">
        <v>192040</v>
      </c>
      <c r="W61" s="84">
        <v>198826</v>
      </c>
      <c r="DA61" s="171" t="s">
        <v>503</v>
      </c>
    </row>
    <row r="62" spans="1:105" ht="11.45" customHeight="1" x14ac:dyDescent="0.25">
      <c r="A62" s="111" t="s">
        <v>111</v>
      </c>
      <c r="B62" s="84">
        <v>79520</v>
      </c>
      <c r="C62" s="84">
        <v>91218</v>
      </c>
      <c r="D62" s="84">
        <v>103354</v>
      </c>
      <c r="E62" s="84">
        <v>116034</v>
      </c>
      <c r="F62" s="84">
        <v>131995</v>
      </c>
      <c r="G62" s="84">
        <v>149945</v>
      </c>
      <c r="H62" s="84">
        <v>168517</v>
      </c>
      <c r="I62" s="84">
        <v>183792</v>
      </c>
      <c r="J62" s="84">
        <v>195672</v>
      </c>
      <c r="K62" s="84">
        <v>204916</v>
      </c>
      <c r="L62" s="84">
        <v>214179</v>
      </c>
      <c r="M62" s="84">
        <v>222968</v>
      </c>
      <c r="N62" s="84">
        <v>232217</v>
      </c>
      <c r="O62" s="84">
        <v>237623</v>
      </c>
      <c r="P62" s="84">
        <v>243637</v>
      </c>
      <c r="Q62" s="84">
        <v>247971</v>
      </c>
      <c r="R62" s="84">
        <v>250142</v>
      </c>
      <c r="S62" s="84">
        <v>250862</v>
      </c>
      <c r="T62" s="84">
        <v>246365</v>
      </c>
      <c r="U62" s="84">
        <v>241985</v>
      </c>
      <c r="V62" s="84">
        <v>232462</v>
      </c>
      <c r="W62" s="84">
        <v>222815</v>
      </c>
      <c r="DA62" s="171" t="s">
        <v>504</v>
      </c>
    </row>
    <row r="63" spans="1:105" ht="11.45" customHeight="1" x14ac:dyDescent="0.25">
      <c r="A63" s="111" t="s">
        <v>112</v>
      </c>
      <c r="B63" s="84">
        <v>2465</v>
      </c>
      <c r="C63" s="84">
        <v>2659</v>
      </c>
      <c r="D63" s="84">
        <v>2777</v>
      </c>
      <c r="E63" s="84">
        <v>2630</v>
      </c>
      <c r="F63" s="84">
        <v>2500</v>
      </c>
      <c r="G63" s="84">
        <v>2385</v>
      </c>
      <c r="H63" s="84">
        <v>1170</v>
      </c>
      <c r="I63" s="84">
        <v>1110</v>
      </c>
      <c r="J63" s="84">
        <v>1142</v>
      </c>
      <c r="K63" s="84">
        <v>1242</v>
      </c>
      <c r="L63" s="84">
        <v>1255</v>
      </c>
      <c r="M63" s="84">
        <v>1199</v>
      </c>
      <c r="N63" s="84">
        <v>1214</v>
      </c>
      <c r="O63" s="84">
        <v>1275</v>
      </c>
      <c r="P63" s="84">
        <v>1235</v>
      </c>
      <c r="Q63" s="84">
        <v>1185</v>
      </c>
      <c r="R63" s="84">
        <v>1203</v>
      </c>
      <c r="S63" s="84">
        <v>1045</v>
      </c>
      <c r="T63" s="84">
        <v>293</v>
      </c>
      <c r="U63" s="84">
        <v>178</v>
      </c>
      <c r="V63" s="84">
        <v>355</v>
      </c>
      <c r="W63" s="84">
        <v>256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490</v>
      </c>
      <c r="O65" s="84">
        <v>743</v>
      </c>
      <c r="P65" s="84">
        <v>789</v>
      </c>
      <c r="Q65" s="84">
        <v>778</v>
      </c>
      <c r="R65" s="84">
        <v>935</v>
      </c>
      <c r="S65" s="84">
        <v>1075</v>
      </c>
      <c r="T65" s="84">
        <v>1645</v>
      </c>
      <c r="U65" s="84">
        <v>2551</v>
      </c>
      <c r="V65" s="84">
        <v>4516</v>
      </c>
      <c r="W65" s="84">
        <v>9244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1</v>
      </c>
      <c r="K66" s="84">
        <v>2</v>
      </c>
      <c r="L66" s="84">
        <v>196</v>
      </c>
      <c r="M66" s="84">
        <v>306</v>
      </c>
      <c r="N66" s="84">
        <v>100</v>
      </c>
      <c r="O66" s="84">
        <v>263</v>
      </c>
      <c r="P66" s="84">
        <v>564</v>
      </c>
      <c r="Q66" s="84">
        <v>635</v>
      </c>
      <c r="R66" s="84">
        <v>771</v>
      </c>
      <c r="S66" s="84">
        <v>1091</v>
      </c>
      <c r="T66" s="84">
        <v>1567</v>
      </c>
      <c r="U66" s="84">
        <v>2574</v>
      </c>
      <c r="V66" s="84">
        <v>4032</v>
      </c>
      <c r="W66" s="84">
        <v>8649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1051</v>
      </c>
      <c r="C67" s="110">
        <f t="shared" si="130"/>
        <v>1122</v>
      </c>
      <c r="D67" s="110">
        <f t="shared" si="130"/>
        <v>1176</v>
      </c>
      <c r="E67" s="110">
        <f t="shared" si="130"/>
        <v>1227</v>
      </c>
      <c r="F67" s="110">
        <f t="shared" si="130"/>
        <v>1269</v>
      </c>
      <c r="G67" s="110">
        <f t="shared" si="130"/>
        <v>1340</v>
      </c>
      <c r="H67" s="110">
        <f t="shared" si="130"/>
        <v>1379</v>
      </c>
      <c r="I67" s="110">
        <f t="shared" si="130"/>
        <v>1455</v>
      </c>
      <c r="J67" s="110">
        <f t="shared" si="130"/>
        <v>1545</v>
      </c>
      <c r="K67" s="110">
        <f t="shared" si="130"/>
        <v>1623</v>
      </c>
      <c r="L67" s="110">
        <f t="shared" ref="L67" si="131">SUM(L68:L72)</f>
        <v>1636</v>
      </c>
      <c r="M67" s="110">
        <f t="shared" ref="M67:V67" si="132">SUM(M68:M72)</f>
        <v>1703</v>
      </c>
      <c r="N67" s="110">
        <f t="shared" si="132"/>
        <v>1728</v>
      </c>
      <c r="O67" s="110">
        <f t="shared" si="132"/>
        <v>1759</v>
      </c>
      <c r="P67" s="110">
        <f t="shared" si="132"/>
        <v>1778</v>
      </c>
      <c r="Q67" s="110">
        <f t="shared" si="132"/>
        <v>1857</v>
      </c>
      <c r="R67" s="110">
        <f t="shared" si="132"/>
        <v>1904</v>
      </c>
      <c r="S67" s="110">
        <f t="shared" si="132"/>
        <v>1960</v>
      </c>
      <c r="T67" s="110">
        <f t="shared" si="132"/>
        <v>2046</v>
      </c>
      <c r="U67" s="110">
        <f t="shared" si="132"/>
        <v>2184</v>
      </c>
      <c r="V67" s="110">
        <f t="shared" si="132"/>
        <v>2239</v>
      </c>
      <c r="W67" s="110">
        <f t="shared" ref="W67" si="133">SUM(W68:W72)</f>
        <v>2344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1</v>
      </c>
      <c r="U68" s="102">
        <v>1</v>
      </c>
      <c r="V68" s="102">
        <v>1</v>
      </c>
      <c r="W68" s="102">
        <v>1</v>
      </c>
      <c r="DA68" s="175" t="s">
        <v>510</v>
      </c>
    </row>
    <row r="69" spans="1:105" ht="11.45" customHeight="1" x14ac:dyDescent="0.25">
      <c r="A69" s="111" t="s">
        <v>111</v>
      </c>
      <c r="B69" s="102">
        <v>1051</v>
      </c>
      <c r="C69" s="102">
        <v>1122</v>
      </c>
      <c r="D69" s="102">
        <v>1176</v>
      </c>
      <c r="E69" s="102">
        <v>1224</v>
      </c>
      <c r="F69" s="102">
        <v>1266</v>
      </c>
      <c r="G69" s="102">
        <v>1337</v>
      </c>
      <c r="H69" s="102">
        <v>1376</v>
      </c>
      <c r="I69" s="102">
        <v>1452</v>
      </c>
      <c r="J69" s="102">
        <v>1542</v>
      </c>
      <c r="K69" s="102">
        <v>1621</v>
      </c>
      <c r="L69" s="102">
        <v>1634</v>
      </c>
      <c r="M69" s="102">
        <v>1701</v>
      </c>
      <c r="N69" s="102">
        <v>1726</v>
      </c>
      <c r="O69" s="102">
        <v>1755</v>
      </c>
      <c r="P69" s="102">
        <v>1775</v>
      </c>
      <c r="Q69" s="102">
        <v>1854</v>
      </c>
      <c r="R69" s="102">
        <v>1901</v>
      </c>
      <c r="S69" s="102">
        <v>1952</v>
      </c>
      <c r="T69" s="102">
        <v>2017</v>
      </c>
      <c r="U69" s="102">
        <v>2079</v>
      </c>
      <c r="V69" s="102">
        <v>2087</v>
      </c>
      <c r="W69" s="102">
        <v>2163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3</v>
      </c>
      <c r="F72" s="102">
        <v>3</v>
      </c>
      <c r="G72" s="102">
        <v>3</v>
      </c>
      <c r="H72" s="102">
        <v>3</v>
      </c>
      <c r="I72" s="102">
        <v>3</v>
      </c>
      <c r="J72" s="102">
        <v>3</v>
      </c>
      <c r="K72" s="102">
        <v>2</v>
      </c>
      <c r="L72" s="102">
        <v>2</v>
      </c>
      <c r="M72" s="102">
        <v>2</v>
      </c>
      <c r="N72" s="102">
        <v>2</v>
      </c>
      <c r="O72" s="102">
        <v>4</v>
      </c>
      <c r="P72" s="102">
        <v>3</v>
      </c>
      <c r="Q72" s="102">
        <v>3</v>
      </c>
      <c r="R72" s="102">
        <v>3</v>
      </c>
      <c r="S72" s="102">
        <v>8</v>
      </c>
      <c r="T72" s="102">
        <v>28</v>
      </c>
      <c r="U72" s="102">
        <v>104</v>
      </c>
      <c r="V72" s="102">
        <v>151</v>
      </c>
      <c r="W72" s="102">
        <v>180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19740</v>
      </c>
      <c r="C73" s="28">
        <f t="shared" si="134"/>
        <v>20135</v>
      </c>
      <c r="D73" s="28">
        <f t="shared" si="134"/>
        <v>20565</v>
      </c>
      <c r="E73" s="28">
        <f t="shared" si="134"/>
        <v>21291</v>
      </c>
      <c r="F73" s="28">
        <f t="shared" si="134"/>
        <v>21970</v>
      </c>
      <c r="G73" s="28">
        <f t="shared" si="134"/>
        <v>23788</v>
      </c>
      <c r="H73" s="28">
        <f t="shared" si="134"/>
        <v>24849</v>
      </c>
      <c r="I73" s="28">
        <f t="shared" si="134"/>
        <v>25989</v>
      </c>
      <c r="J73" s="28">
        <f t="shared" si="134"/>
        <v>28664</v>
      </c>
      <c r="K73" s="28">
        <f t="shared" si="134"/>
        <v>30282</v>
      </c>
      <c r="L73" s="28">
        <f t="shared" ref="L73" si="135">L74+L80</f>
        <v>31251</v>
      </c>
      <c r="M73" s="28">
        <f t="shared" ref="M73:V73" si="136">M74+M80</f>
        <v>32515</v>
      </c>
      <c r="N73" s="28">
        <f t="shared" si="136"/>
        <v>33610</v>
      </c>
      <c r="O73" s="28">
        <f t="shared" si="136"/>
        <v>33533</v>
      </c>
      <c r="P73" s="28">
        <f t="shared" si="136"/>
        <v>33751</v>
      </c>
      <c r="Q73" s="28">
        <f t="shared" si="136"/>
        <v>35127</v>
      </c>
      <c r="R73" s="28">
        <f t="shared" si="136"/>
        <v>36808</v>
      </c>
      <c r="S73" s="28">
        <f t="shared" si="136"/>
        <v>39332</v>
      </c>
      <c r="T73" s="28">
        <f t="shared" si="136"/>
        <v>40867</v>
      </c>
      <c r="U73" s="28">
        <f t="shared" si="136"/>
        <v>42607</v>
      </c>
      <c r="V73" s="28">
        <f t="shared" si="136"/>
        <v>44717</v>
      </c>
      <c r="W73" s="28">
        <f t="shared" ref="W73" si="137">W74+W80</f>
        <v>46094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13354</v>
      </c>
      <c r="C74" s="137">
        <f t="shared" si="138"/>
        <v>14508</v>
      </c>
      <c r="D74" s="137">
        <f t="shared" si="138"/>
        <v>15439</v>
      </c>
      <c r="E74" s="137">
        <f t="shared" si="138"/>
        <v>16137</v>
      </c>
      <c r="F74" s="137">
        <f t="shared" si="138"/>
        <v>17056</v>
      </c>
      <c r="G74" s="137">
        <f t="shared" si="138"/>
        <v>18041</v>
      </c>
      <c r="H74" s="137">
        <f t="shared" si="138"/>
        <v>18991</v>
      </c>
      <c r="I74" s="137">
        <f t="shared" si="138"/>
        <v>20283</v>
      </c>
      <c r="J74" s="137">
        <f t="shared" si="138"/>
        <v>21839</v>
      </c>
      <c r="K74" s="137">
        <f t="shared" si="138"/>
        <v>22576</v>
      </c>
      <c r="L74" s="137">
        <f t="shared" ref="L74" si="139">SUM(L75:L79)</f>
        <v>23451</v>
      </c>
      <c r="M74" s="137">
        <f t="shared" ref="M74:V74" si="140">SUM(M75:M79)</f>
        <v>24631</v>
      </c>
      <c r="N74" s="137">
        <f t="shared" si="140"/>
        <v>26133</v>
      </c>
      <c r="O74" s="137">
        <f t="shared" si="140"/>
        <v>27635</v>
      </c>
      <c r="P74" s="137">
        <f t="shared" si="140"/>
        <v>28521</v>
      </c>
      <c r="Q74" s="137">
        <f t="shared" si="140"/>
        <v>29668</v>
      </c>
      <c r="R74" s="137">
        <f t="shared" si="140"/>
        <v>31138</v>
      </c>
      <c r="S74" s="137">
        <f t="shared" si="140"/>
        <v>33019</v>
      </c>
      <c r="T74" s="137">
        <f t="shared" si="140"/>
        <v>34785</v>
      </c>
      <c r="U74" s="137">
        <f t="shared" si="140"/>
        <v>36210</v>
      </c>
      <c r="V74" s="137">
        <f t="shared" si="140"/>
        <v>37797</v>
      </c>
      <c r="W74" s="137">
        <f t="shared" ref="W74" si="141">SUM(W75:W79)</f>
        <v>39533</v>
      </c>
      <c r="DA74" s="174" t="s">
        <v>516</v>
      </c>
    </row>
    <row r="75" spans="1:105" ht="11.45" customHeight="1" x14ac:dyDescent="0.25">
      <c r="A75" s="111" t="s">
        <v>110</v>
      </c>
      <c r="B75" s="84">
        <v>2479</v>
      </c>
      <c r="C75" s="84">
        <v>2282</v>
      </c>
      <c r="D75" s="84">
        <v>2094</v>
      </c>
      <c r="E75" s="84">
        <v>1923</v>
      </c>
      <c r="F75" s="84">
        <v>1739</v>
      </c>
      <c r="G75" s="84">
        <v>1565</v>
      </c>
      <c r="H75" s="84">
        <v>1423</v>
      </c>
      <c r="I75" s="84">
        <v>1325</v>
      </c>
      <c r="J75" s="84">
        <v>1305</v>
      </c>
      <c r="K75" s="84">
        <v>1231</v>
      </c>
      <c r="L75" s="84">
        <v>1207</v>
      </c>
      <c r="M75" s="84">
        <v>1180</v>
      </c>
      <c r="N75" s="84">
        <v>1143</v>
      </c>
      <c r="O75" s="84">
        <v>1141</v>
      </c>
      <c r="P75" s="84">
        <v>1122</v>
      </c>
      <c r="Q75" s="84">
        <v>1101</v>
      </c>
      <c r="R75" s="84">
        <v>1112</v>
      </c>
      <c r="S75" s="84">
        <v>1159</v>
      </c>
      <c r="T75" s="84">
        <v>1222</v>
      </c>
      <c r="U75" s="84">
        <v>1289</v>
      </c>
      <c r="V75" s="84">
        <v>1335</v>
      </c>
      <c r="W75" s="84">
        <v>1391</v>
      </c>
      <c r="DA75" s="171" t="s">
        <v>517</v>
      </c>
    </row>
    <row r="76" spans="1:105" ht="11.45" customHeight="1" x14ac:dyDescent="0.25">
      <c r="A76" s="111" t="s">
        <v>111</v>
      </c>
      <c r="B76" s="84">
        <v>10875</v>
      </c>
      <c r="C76" s="84">
        <v>12226</v>
      </c>
      <c r="D76" s="84">
        <v>13345</v>
      </c>
      <c r="E76" s="84">
        <v>14214</v>
      </c>
      <c r="F76" s="84">
        <v>15317</v>
      </c>
      <c r="G76" s="84">
        <v>16476</v>
      </c>
      <c r="H76" s="84">
        <v>17567</v>
      </c>
      <c r="I76" s="84">
        <v>18956</v>
      </c>
      <c r="J76" s="84">
        <v>20532</v>
      </c>
      <c r="K76" s="84">
        <v>21338</v>
      </c>
      <c r="L76" s="84">
        <v>22237</v>
      </c>
      <c r="M76" s="84">
        <v>23444</v>
      </c>
      <c r="N76" s="84">
        <v>24964</v>
      </c>
      <c r="O76" s="84">
        <v>26365</v>
      </c>
      <c r="P76" s="84">
        <v>27241</v>
      </c>
      <c r="Q76" s="84">
        <v>28385</v>
      </c>
      <c r="R76" s="84">
        <v>29816</v>
      </c>
      <c r="S76" s="84">
        <v>31602</v>
      </c>
      <c r="T76" s="84">
        <v>33251</v>
      </c>
      <c r="U76" s="84">
        <v>34574</v>
      </c>
      <c r="V76" s="84">
        <v>36046</v>
      </c>
      <c r="W76" s="84">
        <v>37611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59</v>
      </c>
      <c r="P77" s="84">
        <v>71</v>
      </c>
      <c r="Q77" s="84">
        <v>73</v>
      </c>
      <c r="R77" s="84">
        <v>86</v>
      </c>
      <c r="S77" s="84">
        <v>96</v>
      </c>
      <c r="T77" s="84">
        <v>98</v>
      </c>
      <c r="U77" s="84">
        <v>89</v>
      </c>
      <c r="V77" s="84">
        <v>109</v>
      </c>
      <c r="W77" s="84">
        <v>102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1</v>
      </c>
      <c r="I79" s="84">
        <v>2</v>
      </c>
      <c r="J79" s="84">
        <v>2</v>
      </c>
      <c r="K79" s="84">
        <v>7</v>
      </c>
      <c r="L79" s="84">
        <v>7</v>
      </c>
      <c r="M79" s="84">
        <v>7</v>
      </c>
      <c r="N79" s="84">
        <v>26</v>
      </c>
      <c r="O79" s="84">
        <v>70</v>
      </c>
      <c r="P79" s="84">
        <v>87</v>
      </c>
      <c r="Q79" s="84">
        <v>109</v>
      </c>
      <c r="R79" s="84">
        <v>124</v>
      </c>
      <c r="S79" s="84">
        <v>162</v>
      </c>
      <c r="T79" s="84">
        <v>214</v>
      </c>
      <c r="U79" s="84">
        <v>258</v>
      </c>
      <c r="V79" s="84">
        <v>307</v>
      </c>
      <c r="W79" s="84">
        <v>429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6386</v>
      </c>
      <c r="C80" s="110">
        <f t="shared" si="142"/>
        <v>5627</v>
      </c>
      <c r="D80" s="110">
        <f t="shared" si="142"/>
        <v>5126</v>
      </c>
      <c r="E80" s="110">
        <f t="shared" si="142"/>
        <v>5154</v>
      </c>
      <c r="F80" s="110">
        <f t="shared" si="142"/>
        <v>4914</v>
      </c>
      <c r="G80" s="110">
        <f t="shared" si="142"/>
        <v>5747</v>
      </c>
      <c r="H80" s="110">
        <f t="shared" si="142"/>
        <v>5858</v>
      </c>
      <c r="I80" s="110">
        <f t="shared" si="142"/>
        <v>5706</v>
      </c>
      <c r="J80" s="110">
        <f t="shared" si="142"/>
        <v>6825</v>
      </c>
      <c r="K80" s="110">
        <f t="shared" si="142"/>
        <v>7706</v>
      </c>
      <c r="L80" s="110">
        <f t="shared" ref="L80" si="143">SUM(L81:L82)</f>
        <v>7800</v>
      </c>
      <c r="M80" s="110">
        <f t="shared" ref="M80:V80" si="144">SUM(M81:M82)</f>
        <v>7884</v>
      </c>
      <c r="N80" s="110">
        <f t="shared" si="144"/>
        <v>7477</v>
      </c>
      <c r="O80" s="110">
        <f t="shared" si="144"/>
        <v>5898</v>
      </c>
      <c r="P80" s="110">
        <f t="shared" si="144"/>
        <v>5230</v>
      </c>
      <c r="Q80" s="110">
        <f t="shared" si="144"/>
        <v>5459</v>
      </c>
      <c r="R80" s="110">
        <f t="shared" si="144"/>
        <v>5670</v>
      </c>
      <c r="S80" s="110">
        <f t="shared" si="144"/>
        <v>6313</v>
      </c>
      <c r="T80" s="110">
        <f t="shared" si="144"/>
        <v>6082</v>
      </c>
      <c r="U80" s="110">
        <f t="shared" si="144"/>
        <v>6397</v>
      </c>
      <c r="V80" s="110">
        <f t="shared" si="144"/>
        <v>6920</v>
      </c>
      <c r="W80" s="110">
        <f t="shared" ref="W80" si="145">SUM(W81:W82)</f>
        <v>6561</v>
      </c>
      <c r="DA80" s="176" t="s">
        <v>522</v>
      </c>
    </row>
    <row r="81" spans="1:105" ht="11.45" customHeight="1" x14ac:dyDescent="0.25">
      <c r="A81" s="128" t="s">
        <v>27</v>
      </c>
      <c r="B81" s="102">
        <v>5561</v>
      </c>
      <c r="C81" s="102">
        <v>4743</v>
      </c>
      <c r="D81" s="102">
        <v>4196</v>
      </c>
      <c r="E81" s="102">
        <v>4203</v>
      </c>
      <c r="F81" s="102">
        <v>3790</v>
      </c>
      <c r="G81" s="102">
        <v>4583</v>
      </c>
      <c r="H81" s="102">
        <v>4729</v>
      </c>
      <c r="I81" s="102">
        <v>4495</v>
      </c>
      <c r="J81" s="102">
        <v>5451</v>
      </c>
      <c r="K81" s="102">
        <v>6480</v>
      </c>
      <c r="L81" s="102">
        <v>6530</v>
      </c>
      <c r="M81" s="102">
        <v>6629</v>
      </c>
      <c r="N81" s="102">
        <v>6068</v>
      </c>
      <c r="O81" s="102">
        <v>4495</v>
      </c>
      <c r="P81" s="102">
        <v>3748</v>
      </c>
      <c r="Q81" s="102">
        <v>4188</v>
      </c>
      <c r="R81" s="102">
        <v>4310</v>
      </c>
      <c r="S81" s="102">
        <v>4880</v>
      </c>
      <c r="T81" s="102">
        <v>4697</v>
      </c>
      <c r="U81" s="102">
        <v>4973</v>
      </c>
      <c r="V81" s="102">
        <v>5587</v>
      </c>
      <c r="W81" s="102">
        <v>5129</v>
      </c>
      <c r="DA81" s="175" t="s">
        <v>523</v>
      </c>
    </row>
    <row r="82" spans="1:105" ht="11.45" customHeight="1" x14ac:dyDescent="0.25">
      <c r="A82" s="138" t="s">
        <v>116</v>
      </c>
      <c r="B82" s="86">
        <v>825</v>
      </c>
      <c r="C82" s="86">
        <v>884</v>
      </c>
      <c r="D82" s="86">
        <v>930</v>
      </c>
      <c r="E82" s="86">
        <v>951</v>
      </c>
      <c r="F82" s="86">
        <v>1124</v>
      </c>
      <c r="G82" s="86">
        <v>1164</v>
      </c>
      <c r="H82" s="86">
        <v>1129</v>
      </c>
      <c r="I82" s="86">
        <v>1211</v>
      </c>
      <c r="J82" s="86">
        <v>1374</v>
      </c>
      <c r="K82" s="86">
        <v>1226</v>
      </c>
      <c r="L82" s="86">
        <v>1270</v>
      </c>
      <c r="M82" s="86">
        <v>1255</v>
      </c>
      <c r="N82" s="86">
        <v>1409</v>
      </c>
      <c r="O82" s="86">
        <v>1403</v>
      </c>
      <c r="P82" s="86">
        <v>1482</v>
      </c>
      <c r="Q82" s="86">
        <v>1271</v>
      </c>
      <c r="R82" s="86">
        <v>1360</v>
      </c>
      <c r="S82" s="86">
        <v>1433</v>
      </c>
      <c r="T82" s="86">
        <v>1385</v>
      </c>
      <c r="U82" s="86">
        <v>1424</v>
      </c>
      <c r="V82" s="86">
        <v>1333</v>
      </c>
      <c r="W82" s="86">
        <v>1432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305318</v>
      </c>
      <c r="C84" s="54">
        <f t="shared" si="146"/>
        <v>312594</v>
      </c>
      <c r="D84" s="54">
        <f t="shared" ref="D84:V84" si="147">D85+D100</f>
        <v>320081</v>
      </c>
      <c r="E84" s="54">
        <f t="shared" si="147"/>
        <v>328449</v>
      </c>
      <c r="F84" s="54">
        <f t="shared" si="147"/>
        <v>336491</v>
      </c>
      <c r="G84" s="54">
        <f t="shared" si="147"/>
        <v>347625</v>
      </c>
      <c r="H84" s="54">
        <f t="shared" si="147"/>
        <v>358157</v>
      </c>
      <c r="I84" s="54">
        <f t="shared" si="147"/>
        <v>367288</v>
      </c>
      <c r="J84" s="54">
        <f t="shared" si="147"/>
        <v>377317</v>
      </c>
      <c r="K84" s="54">
        <f t="shared" si="147"/>
        <v>383973</v>
      </c>
      <c r="L84" s="54">
        <f t="shared" si="147"/>
        <v>392113</v>
      </c>
      <c r="M84" s="54">
        <f t="shared" si="147"/>
        <v>403040</v>
      </c>
      <c r="N84" s="54">
        <f t="shared" si="147"/>
        <v>415546</v>
      </c>
      <c r="O84" s="54">
        <f t="shared" si="147"/>
        <v>424292</v>
      </c>
      <c r="P84" s="54">
        <f t="shared" si="147"/>
        <v>435631</v>
      </c>
      <c r="Q84" s="54">
        <f t="shared" si="147"/>
        <v>446346</v>
      </c>
      <c r="R84" s="54">
        <f t="shared" si="147"/>
        <v>458900</v>
      </c>
      <c r="S84" s="54">
        <f t="shared" si="147"/>
        <v>476696</v>
      </c>
      <c r="T84" s="54">
        <f t="shared" si="147"/>
        <v>489716</v>
      </c>
      <c r="U84" s="54">
        <f t="shared" si="147"/>
        <v>506047</v>
      </c>
      <c r="V84" s="54">
        <f t="shared" si="147"/>
        <v>512580</v>
      </c>
      <c r="W84" s="54">
        <f t="shared" ref="W84" si="148">W85+W100</f>
        <v>521890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285578</v>
      </c>
      <c r="C85" s="28">
        <f t="shared" si="149"/>
        <v>292459</v>
      </c>
      <c r="D85" s="28">
        <f t="shared" ref="D85:V85" si="150">D86+D87+D94</f>
        <v>299516</v>
      </c>
      <c r="E85" s="28">
        <f t="shared" si="150"/>
        <v>307158</v>
      </c>
      <c r="F85" s="28">
        <f t="shared" si="150"/>
        <v>314521</v>
      </c>
      <c r="G85" s="28">
        <f t="shared" si="150"/>
        <v>323837</v>
      </c>
      <c r="H85" s="28">
        <f t="shared" si="150"/>
        <v>333308</v>
      </c>
      <c r="I85" s="28">
        <f t="shared" si="150"/>
        <v>341299</v>
      </c>
      <c r="J85" s="28">
        <f t="shared" si="150"/>
        <v>348653</v>
      </c>
      <c r="K85" s="28">
        <f t="shared" si="150"/>
        <v>353691</v>
      </c>
      <c r="L85" s="28">
        <f t="shared" si="150"/>
        <v>360862</v>
      </c>
      <c r="M85" s="28">
        <f t="shared" si="150"/>
        <v>370525</v>
      </c>
      <c r="N85" s="28">
        <f t="shared" si="150"/>
        <v>381936</v>
      </c>
      <c r="O85" s="28">
        <f t="shared" si="150"/>
        <v>390759</v>
      </c>
      <c r="P85" s="28">
        <f t="shared" si="150"/>
        <v>401880</v>
      </c>
      <c r="Q85" s="28">
        <f t="shared" si="150"/>
        <v>411219</v>
      </c>
      <c r="R85" s="28">
        <f t="shared" si="150"/>
        <v>422092</v>
      </c>
      <c r="S85" s="28">
        <f t="shared" si="150"/>
        <v>437364</v>
      </c>
      <c r="T85" s="28">
        <f t="shared" si="150"/>
        <v>448849</v>
      </c>
      <c r="U85" s="28">
        <f t="shared" si="150"/>
        <v>463440</v>
      </c>
      <c r="V85" s="28">
        <f t="shared" si="150"/>
        <v>467863</v>
      </c>
      <c r="W85" s="28">
        <f t="shared" ref="W85" si="151">W86+W87+W94</f>
        <v>475796</v>
      </c>
      <c r="DA85" s="173"/>
    </row>
    <row r="86" spans="1:105" ht="11.45" hidden="1" customHeight="1" x14ac:dyDescent="0.25">
      <c r="A86" s="136" t="s">
        <v>180</v>
      </c>
      <c r="B86" s="137">
        <v>8972</v>
      </c>
      <c r="C86" s="137">
        <v>10067</v>
      </c>
      <c r="D86" s="137">
        <v>11340</v>
      </c>
      <c r="E86" s="137">
        <v>12721</v>
      </c>
      <c r="F86" s="137">
        <v>14012</v>
      </c>
      <c r="G86" s="137">
        <v>15207</v>
      </c>
      <c r="H86" s="137">
        <v>16509</v>
      </c>
      <c r="I86" s="137">
        <v>17844</v>
      </c>
      <c r="J86" s="137">
        <v>19108</v>
      </c>
      <c r="K86" s="137">
        <v>20566</v>
      </c>
      <c r="L86" s="137">
        <v>22026</v>
      </c>
      <c r="M86" s="137">
        <v>23222</v>
      </c>
      <c r="N86" s="137">
        <v>24308</v>
      </c>
      <c r="O86" s="137">
        <v>25753</v>
      </c>
      <c r="P86" s="137">
        <v>27275</v>
      </c>
      <c r="Q86" s="137">
        <v>28259</v>
      </c>
      <c r="R86" s="137">
        <v>29253</v>
      </c>
      <c r="S86" s="137">
        <v>30300</v>
      </c>
      <c r="T86" s="137">
        <v>30636</v>
      </c>
      <c r="U86" s="137">
        <v>30805</v>
      </c>
      <c r="V86" s="137">
        <v>32219</v>
      </c>
      <c r="W86" s="137">
        <v>33662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275555</v>
      </c>
      <c r="C87" s="110">
        <f t="shared" si="152"/>
        <v>281270</v>
      </c>
      <c r="D87" s="110">
        <f t="shared" ref="D87:V87" si="153">SUM(D88:D93)</f>
        <v>287000</v>
      </c>
      <c r="E87" s="110">
        <f t="shared" si="153"/>
        <v>293210</v>
      </c>
      <c r="F87" s="110">
        <f t="shared" si="153"/>
        <v>299240</v>
      </c>
      <c r="G87" s="110">
        <f t="shared" si="153"/>
        <v>307290</v>
      </c>
      <c r="H87" s="110">
        <f t="shared" si="153"/>
        <v>315420</v>
      </c>
      <c r="I87" s="110">
        <f t="shared" si="153"/>
        <v>322000</v>
      </c>
      <c r="J87" s="110">
        <f t="shared" si="153"/>
        <v>328000</v>
      </c>
      <c r="K87" s="110">
        <f t="shared" si="153"/>
        <v>331502</v>
      </c>
      <c r="L87" s="110">
        <f t="shared" si="153"/>
        <v>337200</v>
      </c>
      <c r="M87" s="110">
        <f t="shared" si="153"/>
        <v>345600</v>
      </c>
      <c r="N87" s="110">
        <f t="shared" si="153"/>
        <v>355900</v>
      </c>
      <c r="O87" s="110">
        <f t="shared" si="153"/>
        <v>363247</v>
      </c>
      <c r="P87" s="110">
        <f t="shared" si="153"/>
        <v>372827</v>
      </c>
      <c r="Q87" s="110">
        <f t="shared" si="153"/>
        <v>381103</v>
      </c>
      <c r="R87" s="110">
        <f t="shared" si="153"/>
        <v>390935</v>
      </c>
      <c r="S87" s="110">
        <f t="shared" si="153"/>
        <v>405104</v>
      </c>
      <c r="T87" s="110">
        <f t="shared" si="153"/>
        <v>416167</v>
      </c>
      <c r="U87" s="110">
        <f t="shared" si="153"/>
        <v>430451</v>
      </c>
      <c r="V87" s="110">
        <f t="shared" si="153"/>
        <v>433405</v>
      </c>
      <c r="W87" s="110">
        <f t="shared" ref="W87" si="154">SUM(W88:W93)</f>
        <v>439790</v>
      </c>
      <c r="DA87" s="176"/>
    </row>
    <row r="88" spans="1:105" ht="11.45" hidden="1" customHeight="1" x14ac:dyDescent="0.25">
      <c r="A88" s="111" t="s">
        <v>110</v>
      </c>
      <c r="B88" s="84">
        <v>193570</v>
      </c>
      <c r="C88" s="84">
        <v>187393</v>
      </c>
      <c r="D88" s="84">
        <v>180869</v>
      </c>
      <c r="E88" s="84">
        <v>174546</v>
      </c>
      <c r="F88" s="84">
        <v>164745</v>
      </c>
      <c r="G88" s="84">
        <v>154960</v>
      </c>
      <c r="H88" s="84">
        <v>145733</v>
      </c>
      <c r="I88" s="84">
        <v>137098</v>
      </c>
      <c r="J88" s="84">
        <v>131185</v>
      </c>
      <c r="K88" s="84">
        <v>125342</v>
      </c>
      <c r="L88" s="84">
        <v>121570</v>
      </c>
      <c r="M88" s="84">
        <v>121127</v>
      </c>
      <c r="N88" s="84">
        <v>121879</v>
      </c>
      <c r="O88" s="84">
        <v>123343</v>
      </c>
      <c r="P88" s="84">
        <v>126602</v>
      </c>
      <c r="Q88" s="84">
        <v>130534</v>
      </c>
      <c r="R88" s="84">
        <v>137884</v>
      </c>
      <c r="S88" s="84">
        <v>151031</v>
      </c>
      <c r="T88" s="84">
        <v>166297</v>
      </c>
      <c r="U88" s="84">
        <v>183163</v>
      </c>
      <c r="V88" s="84">
        <v>192040</v>
      </c>
      <c r="W88" s="84">
        <v>198826</v>
      </c>
      <c r="DA88" s="171"/>
    </row>
    <row r="89" spans="1:105" ht="11.45" hidden="1" customHeight="1" x14ac:dyDescent="0.25">
      <c r="A89" s="111" t="s">
        <v>111</v>
      </c>
      <c r="B89" s="84">
        <v>79520</v>
      </c>
      <c r="C89" s="84">
        <v>91218</v>
      </c>
      <c r="D89" s="84">
        <v>103354</v>
      </c>
      <c r="E89" s="84">
        <v>116034</v>
      </c>
      <c r="F89" s="84">
        <v>131995</v>
      </c>
      <c r="G89" s="84">
        <v>149945</v>
      </c>
      <c r="H89" s="84">
        <v>168517</v>
      </c>
      <c r="I89" s="84">
        <v>183792</v>
      </c>
      <c r="J89" s="84">
        <v>195672</v>
      </c>
      <c r="K89" s="84">
        <v>204916</v>
      </c>
      <c r="L89" s="84">
        <v>214179</v>
      </c>
      <c r="M89" s="84">
        <v>222968</v>
      </c>
      <c r="N89" s="84">
        <v>232217</v>
      </c>
      <c r="O89" s="84">
        <v>237623</v>
      </c>
      <c r="P89" s="84">
        <v>243637</v>
      </c>
      <c r="Q89" s="84">
        <v>247971</v>
      </c>
      <c r="R89" s="84">
        <v>250142</v>
      </c>
      <c r="S89" s="84">
        <v>250862</v>
      </c>
      <c r="T89" s="84">
        <v>246365</v>
      </c>
      <c r="U89" s="84">
        <v>241985</v>
      </c>
      <c r="V89" s="84">
        <v>232462</v>
      </c>
      <c r="W89" s="84">
        <v>222815</v>
      </c>
      <c r="DA89" s="171"/>
    </row>
    <row r="90" spans="1:105" ht="11.45" hidden="1" customHeight="1" x14ac:dyDescent="0.25">
      <c r="A90" s="111" t="s">
        <v>112</v>
      </c>
      <c r="B90" s="84">
        <v>2465</v>
      </c>
      <c r="C90" s="84">
        <v>2659</v>
      </c>
      <c r="D90" s="84">
        <v>2777</v>
      </c>
      <c r="E90" s="84">
        <v>2630</v>
      </c>
      <c r="F90" s="84">
        <v>2500</v>
      </c>
      <c r="G90" s="84">
        <v>2385</v>
      </c>
      <c r="H90" s="84">
        <v>1170</v>
      </c>
      <c r="I90" s="84">
        <v>1110</v>
      </c>
      <c r="J90" s="84">
        <v>1142</v>
      </c>
      <c r="K90" s="84">
        <v>1242</v>
      </c>
      <c r="L90" s="84">
        <v>1255</v>
      </c>
      <c r="M90" s="84">
        <v>1199</v>
      </c>
      <c r="N90" s="84">
        <v>1214</v>
      </c>
      <c r="O90" s="84">
        <v>1275</v>
      </c>
      <c r="P90" s="84">
        <v>1235</v>
      </c>
      <c r="Q90" s="84">
        <v>1185</v>
      </c>
      <c r="R90" s="84">
        <v>1203</v>
      </c>
      <c r="S90" s="84">
        <v>1045</v>
      </c>
      <c r="T90" s="84">
        <v>293</v>
      </c>
      <c r="U90" s="84">
        <v>178</v>
      </c>
      <c r="V90" s="84">
        <v>355</v>
      </c>
      <c r="W90" s="84">
        <v>256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490</v>
      </c>
      <c r="O92" s="84">
        <v>743</v>
      </c>
      <c r="P92" s="84">
        <v>789</v>
      </c>
      <c r="Q92" s="84">
        <v>778</v>
      </c>
      <c r="R92" s="84">
        <v>935</v>
      </c>
      <c r="S92" s="84">
        <v>1075</v>
      </c>
      <c r="T92" s="84">
        <v>1645</v>
      </c>
      <c r="U92" s="84">
        <v>2551</v>
      </c>
      <c r="V92" s="84">
        <v>4516</v>
      </c>
      <c r="W92" s="84">
        <v>9244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1</v>
      </c>
      <c r="K93" s="84">
        <v>2</v>
      </c>
      <c r="L93" s="84">
        <v>196</v>
      </c>
      <c r="M93" s="84">
        <v>306</v>
      </c>
      <c r="N93" s="84">
        <v>100</v>
      </c>
      <c r="O93" s="84">
        <v>263</v>
      </c>
      <c r="P93" s="84">
        <v>564</v>
      </c>
      <c r="Q93" s="84">
        <v>635</v>
      </c>
      <c r="R93" s="84">
        <v>771</v>
      </c>
      <c r="S93" s="84">
        <v>1091</v>
      </c>
      <c r="T93" s="84">
        <v>1567</v>
      </c>
      <c r="U93" s="84">
        <v>2574</v>
      </c>
      <c r="V93" s="84">
        <v>4032</v>
      </c>
      <c r="W93" s="84">
        <v>8649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1051</v>
      </c>
      <c r="C94" s="110">
        <f t="shared" si="155"/>
        <v>1122</v>
      </c>
      <c r="D94" s="110">
        <f t="shared" ref="D94:V94" si="156">SUM(D95:D99)</f>
        <v>1176</v>
      </c>
      <c r="E94" s="110">
        <f t="shared" si="156"/>
        <v>1227</v>
      </c>
      <c r="F94" s="110">
        <f t="shared" si="156"/>
        <v>1269</v>
      </c>
      <c r="G94" s="110">
        <f t="shared" si="156"/>
        <v>1340</v>
      </c>
      <c r="H94" s="110">
        <f t="shared" si="156"/>
        <v>1379</v>
      </c>
      <c r="I94" s="110">
        <f t="shared" si="156"/>
        <v>1455</v>
      </c>
      <c r="J94" s="110">
        <f t="shared" si="156"/>
        <v>1545</v>
      </c>
      <c r="K94" s="110">
        <f t="shared" si="156"/>
        <v>1623</v>
      </c>
      <c r="L94" s="110">
        <f t="shared" si="156"/>
        <v>1636</v>
      </c>
      <c r="M94" s="110">
        <f t="shared" si="156"/>
        <v>1703</v>
      </c>
      <c r="N94" s="110">
        <f t="shared" si="156"/>
        <v>1728</v>
      </c>
      <c r="O94" s="110">
        <f t="shared" si="156"/>
        <v>1759</v>
      </c>
      <c r="P94" s="110">
        <f t="shared" si="156"/>
        <v>1778</v>
      </c>
      <c r="Q94" s="110">
        <f t="shared" si="156"/>
        <v>1857</v>
      </c>
      <c r="R94" s="110">
        <f t="shared" si="156"/>
        <v>1904</v>
      </c>
      <c r="S94" s="110">
        <f t="shared" si="156"/>
        <v>1960</v>
      </c>
      <c r="T94" s="110">
        <f t="shared" si="156"/>
        <v>2046</v>
      </c>
      <c r="U94" s="110">
        <f t="shared" si="156"/>
        <v>2184</v>
      </c>
      <c r="V94" s="110">
        <f t="shared" si="156"/>
        <v>2239</v>
      </c>
      <c r="W94" s="110">
        <f t="shared" ref="W94" si="157">SUM(W95:W99)</f>
        <v>2344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1</v>
      </c>
      <c r="U95" s="102">
        <v>1</v>
      </c>
      <c r="V95" s="102">
        <v>1</v>
      </c>
      <c r="W95" s="102">
        <v>1</v>
      </c>
      <c r="DA95" s="175"/>
    </row>
    <row r="96" spans="1:105" ht="11.45" hidden="1" customHeight="1" x14ac:dyDescent="0.25">
      <c r="A96" s="111" t="s">
        <v>111</v>
      </c>
      <c r="B96" s="102">
        <v>1051</v>
      </c>
      <c r="C96" s="102">
        <v>1122</v>
      </c>
      <c r="D96" s="102">
        <v>1176</v>
      </c>
      <c r="E96" s="102">
        <v>1224</v>
      </c>
      <c r="F96" s="102">
        <v>1266</v>
      </c>
      <c r="G96" s="102">
        <v>1337</v>
      </c>
      <c r="H96" s="102">
        <v>1376</v>
      </c>
      <c r="I96" s="102">
        <v>1452</v>
      </c>
      <c r="J96" s="102">
        <v>1542</v>
      </c>
      <c r="K96" s="102">
        <v>1621</v>
      </c>
      <c r="L96" s="102">
        <v>1634</v>
      </c>
      <c r="M96" s="102">
        <v>1701</v>
      </c>
      <c r="N96" s="102">
        <v>1726</v>
      </c>
      <c r="O96" s="102">
        <v>1755</v>
      </c>
      <c r="P96" s="102">
        <v>1775</v>
      </c>
      <c r="Q96" s="102">
        <v>1854</v>
      </c>
      <c r="R96" s="102">
        <v>1901</v>
      </c>
      <c r="S96" s="102">
        <v>1952</v>
      </c>
      <c r="T96" s="102">
        <v>2017</v>
      </c>
      <c r="U96" s="102">
        <v>2079</v>
      </c>
      <c r="V96" s="102">
        <v>2087</v>
      </c>
      <c r="W96" s="102">
        <v>2163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3</v>
      </c>
      <c r="F99" s="102">
        <v>3</v>
      </c>
      <c r="G99" s="102">
        <v>3</v>
      </c>
      <c r="H99" s="102">
        <v>3</v>
      </c>
      <c r="I99" s="102">
        <v>3</v>
      </c>
      <c r="J99" s="102">
        <v>3</v>
      </c>
      <c r="K99" s="102">
        <v>2</v>
      </c>
      <c r="L99" s="102">
        <v>2</v>
      </c>
      <c r="M99" s="102">
        <v>2</v>
      </c>
      <c r="N99" s="102">
        <v>2</v>
      </c>
      <c r="O99" s="102">
        <v>4</v>
      </c>
      <c r="P99" s="102">
        <v>3</v>
      </c>
      <c r="Q99" s="102">
        <v>3</v>
      </c>
      <c r="R99" s="102">
        <v>3</v>
      </c>
      <c r="S99" s="102">
        <v>8</v>
      </c>
      <c r="T99" s="102">
        <v>28</v>
      </c>
      <c r="U99" s="102">
        <v>104</v>
      </c>
      <c r="V99" s="102">
        <v>151</v>
      </c>
      <c r="W99" s="102">
        <v>180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19740</v>
      </c>
      <c r="C100" s="28">
        <f t="shared" si="158"/>
        <v>20135</v>
      </c>
      <c r="D100" s="28">
        <f t="shared" ref="D100:V100" si="159">D101+D107</f>
        <v>20565</v>
      </c>
      <c r="E100" s="28">
        <f t="shared" si="159"/>
        <v>21291</v>
      </c>
      <c r="F100" s="28">
        <f t="shared" si="159"/>
        <v>21970</v>
      </c>
      <c r="G100" s="28">
        <f t="shared" si="159"/>
        <v>23788</v>
      </c>
      <c r="H100" s="28">
        <f t="shared" si="159"/>
        <v>24849</v>
      </c>
      <c r="I100" s="28">
        <f t="shared" si="159"/>
        <v>25989</v>
      </c>
      <c r="J100" s="28">
        <f t="shared" si="159"/>
        <v>28664</v>
      </c>
      <c r="K100" s="28">
        <f t="shared" si="159"/>
        <v>30282</v>
      </c>
      <c r="L100" s="28">
        <f t="shared" si="159"/>
        <v>31251</v>
      </c>
      <c r="M100" s="28">
        <f t="shared" si="159"/>
        <v>32515</v>
      </c>
      <c r="N100" s="28">
        <f t="shared" si="159"/>
        <v>33610</v>
      </c>
      <c r="O100" s="28">
        <f t="shared" si="159"/>
        <v>33533</v>
      </c>
      <c r="P100" s="28">
        <f t="shared" si="159"/>
        <v>33751</v>
      </c>
      <c r="Q100" s="28">
        <f t="shared" si="159"/>
        <v>35127</v>
      </c>
      <c r="R100" s="28">
        <f t="shared" si="159"/>
        <v>36808</v>
      </c>
      <c r="S100" s="28">
        <f t="shared" si="159"/>
        <v>39332</v>
      </c>
      <c r="T100" s="28">
        <f t="shared" si="159"/>
        <v>40867</v>
      </c>
      <c r="U100" s="28">
        <f t="shared" si="159"/>
        <v>42607</v>
      </c>
      <c r="V100" s="28">
        <f t="shared" si="159"/>
        <v>44717</v>
      </c>
      <c r="W100" s="28">
        <f t="shared" ref="W100" si="160">W101+W107</f>
        <v>46094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13354</v>
      </c>
      <c r="C101" s="137">
        <f t="shared" si="161"/>
        <v>14508</v>
      </c>
      <c r="D101" s="137">
        <f t="shared" ref="D101:V101" si="162">SUM(D102:D106)</f>
        <v>15439</v>
      </c>
      <c r="E101" s="137">
        <f t="shared" si="162"/>
        <v>16137</v>
      </c>
      <c r="F101" s="137">
        <f t="shared" si="162"/>
        <v>17056</v>
      </c>
      <c r="G101" s="137">
        <f t="shared" si="162"/>
        <v>18041</v>
      </c>
      <c r="H101" s="137">
        <f t="shared" si="162"/>
        <v>18991</v>
      </c>
      <c r="I101" s="137">
        <f t="shared" si="162"/>
        <v>20283</v>
      </c>
      <c r="J101" s="137">
        <f t="shared" si="162"/>
        <v>21839</v>
      </c>
      <c r="K101" s="137">
        <f t="shared" si="162"/>
        <v>22576</v>
      </c>
      <c r="L101" s="137">
        <f t="shared" si="162"/>
        <v>23451</v>
      </c>
      <c r="M101" s="137">
        <f t="shared" si="162"/>
        <v>24631</v>
      </c>
      <c r="N101" s="137">
        <f t="shared" si="162"/>
        <v>26133</v>
      </c>
      <c r="O101" s="137">
        <f t="shared" si="162"/>
        <v>27635</v>
      </c>
      <c r="P101" s="137">
        <f t="shared" si="162"/>
        <v>28521</v>
      </c>
      <c r="Q101" s="137">
        <f t="shared" si="162"/>
        <v>29668</v>
      </c>
      <c r="R101" s="137">
        <f t="shared" si="162"/>
        <v>31138</v>
      </c>
      <c r="S101" s="137">
        <f t="shared" si="162"/>
        <v>33019</v>
      </c>
      <c r="T101" s="137">
        <f t="shared" si="162"/>
        <v>34785</v>
      </c>
      <c r="U101" s="137">
        <f t="shared" si="162"/>
        <v>36210</v>
      </c>
      <c r="V101" s="137">
        <f t="shared" si="162"/>
        <v>37797</v>
      </c>
      <c r="W101" s="137">
        <f t="shared" ref="W101" si="163">SUM(W102:W106)</f>
        <v>39533</v>
      </c>
      <c r="DA101" s="174"/>
    </row>
    <row r="102" spans="1:105" ht="11.45" hidden="1" customHeight="1" x14ac:dyDescent="0.25">
      <c r="A102" s="111" t="s">
        <v>110</v>
      </c>
      <c r="B102" s="84">
        <v>2479</v>
      </c>
      <c r="C102" s="84">
        <v>2282</v>
      </c>
      <c r="D102" s="84">
        <v>2094</v>
      </c>
      <c r="E102" s="84">
        <v>1923</v>
      </c>
      <c r="F102" s="84">
        <v>1739</v>
      </c>
      <c r="G102" s="84">
        <v>1565</v>
      </c>
      <c r="H102" s="84">
        <v>1423</v>
      </c>
      <c r="I102" s="84">
        <v>1325</v>
      </c>
      <c r="J102" s="84">
        <v>1305</v>
      </c>
      <c r="K102" s="84">
        <v>1231</v>
      </c>
      <c r="L102" s="84">
        <v>1207</v>
      </c>
      <c r="M102" s="84">
        <v>1180</v>
      </c>
      <c r="N102" s="84">
        <v>1143</v>
      </c>
      <c r="O102" s="84">
        <v>1141</v>
      </c>
      <c r="P102" s="84">
        <v>1122</v>
      </c>
      <c r="Q102" s="84">
        <v>1101</v>
      </c>
      <c r="R102" s="84">
        <v>1112</v>
      </c>
      <c r="S102" s="84">
        <v>1159</v>
      </c>
      <c r="T102" s="84">
        <v>1222</v>
      </c>
      <c r="U102" s="84">
        <v>1289</v>
      </c>
      <c r="V102" s="84">
        <v>1335</v>
      </c>
      <c r="W102" s="84">
        <v>1391</v>
      </c>
      <c r="DA102" s="171"/>
    </row>
    <row r="103" spans="1:105" ht="11.45" hidden="1" customHeight="1" x14ac:dyDescent="0.25">
      <c r="A103" s="111" t="s">
        <v>111</v>
      </c>
      <c r="B103" s="84">
        <v>10875</v>
      </c>
      <c r="C103" s="84">
        <v>12226</v>
      </c>
      <c r="D103" s="84">
        <v>13345</v>
      </c>
      <c r="E103" s="84">
        <v>14214</v>
      </c>
      <c r="F103" s="84">
        <v>15317</v>
      </c>
      <c r="G103" s="84">
        <v>16476</v>
      </c>
      <c r="H103" s="84">
        <v>17567</v>
      </c>
      <c r="I103" s="84">
        <v>18956</v>
      </c>
      <c r="J103" s="84">
        <v>20532</v>
      </c>
      <c r="K103" s="84">
        <v>21338</v>
      </c>
      <c r="L103" s="84">
        <v>22237</v>
      </c>
      <c r="M103" s="84">
        <v>23444</v>
      </c>
      <c r="N103" s="84">
        <v>24964</v>
      </c>
      <c r="O103" s="84">
        <v>26365</v>
      </c>
      <c r="P103" s="84">
        <v>27241</v>
      </c>
      <c r="Q103" s="84">
        <v>28385</v>
      </c>
      <c r="R103" s="84">
        <v>29816</v>
      </c>
      <c r="S103" s="84">
        <v>31602</v>
      </c>
      <c r="T103" s="84">
        <v>33251</v>
      </c>
      <c r="U103" s="84">
        <v>34574</v>
      </c>
      <c r="V103" s="84">
        <v>36046</v>
      </c>
      <c r="W103" s="84">
        <v>37611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59</v>
      </c>
      <c r="P104" s="84">
        <v>71</v>
      </c>
      <c r="Q104" s="84">
        <v>73</v>
      </c>
      <c r="R104" s="84">
        <v>86</v>
      </c>
      <c r="S104" s="84">
        <v>96</v>
      </c>
      <c r="T104" s="84">
        <v>98</v>
      </c>
      <c r="U104" s="84">
        <v>89</v>
      </c>
      <c r="V104" s="84">
        <v>109</v>
      </c>
      <c r="W104" s="84">
        <v>102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1</v>
      </c>
      <c r="I106" s="84">
        <v>2</v>
      </c>
      <c r="J106" s="84">
        <v>2</v>
      </c>
      <c r="K106" s="84">
        <v>7</v>
      </c>
      <c r="L106" s="84">
        <v>7</v>
      </c>
      <c r="M106" s="84">
        <v>7</v>
      </c>
      <c r="N106" s="84">
        <v>26</v>
      </c>
      <c r="O106" s="84">
        <v>70</v>
      </c>
      <c r="P106" s="84">
        <v>87</v>
      </c>
      <c r="Q106" s="84">
        <v>109</v>
      </c>
      <c r="R106" s="84">
        <v>124</v>
      </c>
      <c r="S106" s="84">
        <v>162</v>
      </c>
      <c r="T106" s="84">
        <v>214</v>
      </c>
      <c r="U106" s="84">
        <v>258</v>
      </c>
      <c r="V106" s="84">
        <v>307</v>
      </c>
      <c r="W106" s="84">
        <v>429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6386</v>
      </c>
      <c r="C107" s="110">
        <f t="shared" si="164"/>
        <v>5627</v>
      </c>
      <c r="D107" s="110">
        <f t="shared" ref="D107:V107" si="165">SUM(D108:D109)</f>
        <v>5126</v>
      </c>
      <c r="E107" s="110">
        <f t="shared" si="165"/>
        <v>5154</v>
      </c>
      <c r="F107" s="110">
        <f t="shared" si="165"/>
        <v>4914</v>
      </c>
      <c r="G107" s="110">
        <f t="shared" si="165"/>
        <v>5747</v>
      </c>
      <c r="H107" s="110">
        <f t="shared" si="165"/>
        <v>5858</v>
      </c>
      <c r="I107" s="110">
        <f t="shared" si="165"/>
        <v>5706</v>
      </c>
      <c r="J107" s="110">
        <f t="shared" si="165"/>
        <v>6825</v>
      </c>
      <c r="K107" s="110">
        <f t="shared" si="165"/>
        <v>7706</v>
      </c>
      <c r="L107" s="110">
        <f t="shared" si="165"/>
        <v>7800</v>
      </c>
      <c r="M107" s="110">
        <f t="shared" si="165"/>
        <v>7884</v>
      </c>
      <c r="N107" s="110">
        <f t="shared" si="165"/>
        <v>7477</v>
      </c>
      <c r="O107" s="110">
        <f t="shared" si="165"/>
        <v>5898</v>
      </c>
      <c r="P107" s="110">
        <f t="shared" si="165"/>
        <v>5230</v>
      </c>
      <c r="Q107" s="110">
        <f t="shared" si="165"/>
        <v>5459</v>
      </c>
      <c r="R107" s="110">
        <f t="shared" si="165"/>
        <v>5670</v>
      </c>
      <c r="S107" s="110">
        <f t="shared" si="165"/>
        <v>6313</v>
      </c>
      <c r="T107" s="110">
        <f t="shared" si="165"/>
        <v>6082</v>
      </c>
      <c r="U107" s="110">
        <f t="shared" si="165"/>
        <v>6397</v>
      </c>
      <c r="V107" s="110">
        <f t="shared" si="165"/>
        <v>6920</v>
      </c>
      <c r="W107" s="110">
        <f t="shared" ref="W107" si="166">SUM(W108:W109)</f>
        <v>6561</v>
      </c>
      <c r="DA107" s="176"/>
    </row>
    <row r="108" spans="1:105" ht="11.45" hidden="1" customHeight="1" x14ac:dyDescent="0.25">
      <c r="A108" s="128" t="s">
        <v>27</v>
      </c>
      <c r="B108" s="102">
        <v>5561</v>
      </c>
      <c r="C108" s="102">
        <v>4743</v>
      </c>
      <c r="D108" s="102">
        <v>4196</v>
      </c>
      <c r="E108" s="102">
        <v>4203</v>
      </c>
      <c r="F108" s="102">
        <v>3790</v>
      </c>
      <c r="G108" s="102">
        <v>4583</v>
      </c>
      <c r="H108" s="102">
        <v>4729</v>
      </c>
      <c r="I108" s="102">
        <v>4495</v>
      </c>
      <c r="J108" s="102">
        <v>5451</v>
      </c>
      <c r="K108" s="102">
        <v>6480</v>
      </c>
      <c r="L108" s="102">
        <v>6530</v>
      </c>
      <c r="M108" s="102">
        <v>6629</v>
      </c>
      <c r="N108" s="102">
        <v>6068</v>
      </c>
      <c r="O108" s="102">
        <v>4495</v>
      </c>
      <c r="P108" s="102">
        <v>3748</v>
      </c>
      <c r="Q108" s="102">
        <v>4188</v>
      </c>
      <c r="R108" s="102">
        <v>4310</v>
      </c>
      <c r="S108" s="102">
        <v>4880</v>
      </c>
      <c r="T108" s="102">
        <v>4697</v>
      </c>
      <c r="U108" s="102">
        <v>4973</v>
      </c>
      <c r="V108" s="102">
        <v>5587</v>
      </c>
      <c r="W108" s="102">
        <v>5129</v>
      </c>
      <c r="DA108" s="175"/>
    </row>
    <row r="109" spans="1:105" ht="11.45" hidden="1" customHeight="1" x14ac:dyDescent="0.25">
      <c r="A109" s="138" t="s">
        <v>116</v>
      </c>
      <c r="B109" s="86">
        <v>825</v>
      </c>
      <c r="C109" s="86">
        <v>884</v>
      </c>
      <c r="D109" s="86">
        <v>930</v>
      </c>
      <c r="E109" s="86">
        <v>951</v>
      </c>
      <c r="F109" s="86">
        <v>1124</v>
      </c>
      <c r="G109" s="86">
        <v>1164</v>
      </c>
      <c r="H109" s="86">
        <v>1129</v>
      </c>
      <c r="I109" s="86">
        <v>1211</v>
      </c>
      <c r="J109" s="86">
        <v>1374</v>
      </c>
      <c r="K109" s="86">
        <v>1226</v>
      </c>
      <c r="L109" s="86">
        <v>1270</v>
      </c>
      <c r="M109" s="86">
        <v>1255</v>
      </c>
      <c r="N109" s="86">
        <v>1409</v>
      </c>
      <c r="O109" s="86">
        <v>1403</v>
      </c>
      <c r="P109" s="86">
        <v>1482</v>
      </c>
      <c r="Q109" s="86">
        <v>1271</v>
      </c>
      <c r="R109" s="86">
        <v>1360</v>
      </c>
      <c r="S109" s="86">
        <v>1433</v>
      </c>
      <c r="T109" s="86">
        <v>1385</v>
      </c>
      <c r="U109" s="86">
        <v>1424</v>
      </c>
      <c r="V109" s="86">
        <v>1333</v>
      </c>
      <c r="W109" s="86">
        <v>1432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44021</v>
      </c>
      <c r="C111" s="54">
        <f t="shared" si="167"/>
        <v>57189</v>
      </c>
      <c r="D111" s="54">
        <f t="shared" si="167"/>
        <v>48934</v>
      </c>
      <c r="E111" s="54">
        <f t="shared" si="167"/>
        <v>50061</v>
      </c>
      <c r="F111" s="54">
        <f t="shared" si="167"/>
        <v>53682</v>
      </c>
      <c r="G111" s="54">
        <f t="shared" si="167"/>
        <v>54971</v>
      </c>
      <c r="H111" s="54">
        <f t="shared" si="167"/>
        <v>56639</v>
      </c>
      <c r="I111" s="54">
        <f t="shared" si="167"/>
        <v>57083</v>
      </c>
      <c r="J111" s="54">
        <f t="shared" si="167"/>
        <v>59470</v>
      </c>
      <c r="K111" s="54">
        <f t="shared" si="167"/>
        <v>52047</v>
      </c>
      <c r="L111" s="54">
        <f t="shared" ref="L111" si="168">L112+L127</f>
        <v>55325</v>
      </c>
      <c r="M111" s="54">
        <f t="shared" ref="M111:V111" si="169">M112+M127</f>
        <v>55522</v>
      </c>
      <c r="N111" s="54">
        <f t="shared" si="169"/>
        <v>58653</v>
      </c>
      <c r="O111" s="54">
        <f t="shared" si="169"/>
        <v>52669</v>
      </c>
      <c r="P111" s="54">
        <f t="shared" si="169"/>
        <v>55640</v>
      </c>
      <c r="Q111" s="54">
        <f t="shared" si="169"/>
        <v>52532</v>
      </c>
      <c r="R111" s="54">
        <f t="shared" si="169"/>
        <v>57481</v>
      </c>
      <c r="S111" s="54">
        <f t="shared" si="169"/>
        <v>60407</v>
      </c>
      <c r="T111" s="54">
        <f t="shared" si="169"/>
        <v>60456</v>
      </c>
      <c r="U111" s="54">
        <f t="shared" si="169"/>
        <v>63018</v>
      </c>
      <c r="V111" s="54">
        <f t="shared" si="169"/>
        <v>53480</v>
      </c>
      <c r="W111" s="54">
        <f t="shared" ref="W111" si="170">W112+W127</f>
        <v>53106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43938</v>
      </c>
      <c r="C112" s="28">
        <f t="shared" si="171"/>
        <v>54366</v>
      </c>
      <c r="D112" s="28">
        <f t="shared" si="171"/>
        <v>46492</v>
      </c>
      <c r="E112" s="28">
        <f t="shared" si="171"/>
        <v>47526</v>
      </c>
      <c r="F112" s="28">
        <f t="shared" si="171"/>
        <v>50857</v>
      </c>
      <c r="G112" s="28">
        <f t="shared" si="171"/>
        <v>51448</v>
      </c>
      <c r="H112" s="28">
        <f t="shared" si="171"/>
        <v>53535</v>
      </c>
      <c r="I112" s="28">
        <f t="shared" si="171"/>
        <v>53361</v>
      </c>
      <c r="J112" s="28">
        <f t="shared" si="171"/>
        <v>54422</v>
      </c>
      <c r="K112" s="28">
        <f t="shared" si="171"/>
        <v>49642</v>
      </c>
      <c r="L112" s="28">
        <f t="shared" ref="L112" si="172">L113+L114+L121</f>
        <v>52022</v>
      </c>
      <c r="M112" s="28">
        <f t="shared" ref="M112:V112" si="173">M113+M114+M121</f>
        <v>51901</v>
      </c>
      <c r="N112" s="28">
        <f t="shared" si="173"/>
        <v>54888</v>
      </c>
      <c r="O112" s="28">
        <f t="shared" si="173"/>
        <v>48967</v>
      </c>
      <c r="P112" s="28">
        <f t="shared" si="173"/>
        <v>52242</v>
      </c>
      <c r="Q112" s="28">
        <f t="shared" si="173"/>
        <v>48709</v>
      </c>
      <c r="R112" s="28">
        <f t="shared" si="173"/>
        <v>52906</v>
      </c>
      <c r="S112" s="28">
        <f t="shared" si="173"/>
        <v>55220</v>
      </c>
      <c r="T112" s="28">
        <f t="shared" si="173"/>
        <v>55433</v>
      </c>
      <c r="U112" s="28">
        <f t="shared" si="173"/>
        <v>57847</v>
      </c>
      <c r="V112" s="28">
        <f t="shared" si="173"/>
        <v>48306</v>
      </c>
      <c r="W112" s="28">
        <f t="shared" ref="W112" si="174">W113+W114+W121</f>
        <v>47613</v>
      </c>
      <c r="DA112" s="173" t="s">
        <v>526</v>
      </c>
    </row>
    <row r="113" spans="1:105" ht="11.45" customHeight="1" x14ac:dyDescent="0.25">
      <c r="A113" s="136" t="s">
        <v>180</v>
      </c>
      <c r="B113" s="137">
        <v>1512</v>
      </c>
      <c r="C113" s="137">
        <v>1475</v>
      </c>
      <c r="D113" s="137">
        <v>1710</v>
      </c>
      <c r="E113" s="137">
        <v>1861</v>
      </c>
      <c r="F113" s="137">
        <v>1778</v>
      </c>
      <c r="G113" s="137">
        <v>1686</v>
      </c>
      <c r="H113" s="137">
        <v>1836</v>
      </c>
      <c r="I113" s="137">
        <v>1900</v>
      </c>
      <c r="J113" s="137">
        <v>1838</v>
      </c>
      <c r="K113" s="137">
        <v>2094</v>
      </c>
      <c r="L113" s="137">
        <v>2122</v>
      </c>
      <c r="M113" s="137">
        <v>1832</v>
      </c>
      <c r="N113" s="137">
        <v>1721</v>
      </c>
      <c r="O113" s="137">
        <v>2172</v>
      </c>
      <c r="P113" s="137">
        <v>2290</v>
      </c>
      <c r="Q113" s="137">
        <v>1985</v>
      </c>
      <c r="R113" s="137">
        <v>2140</v>
      </c>
      <c r="S113" s="137">
        <v>2206</v>
      </c>
      <c r="T113" s="137">
        <v>2407</v>
      </c>
      <c r="U113" s="137">
        <v>2556</v>
      </c>
      <c r="V113" s="137">
        <v>2903</v>
      </c>
      <c r="W113" s="137">
        <v>3074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42304</v>
      </c>
      <c r="C114" s="110">
        <f t="shared" si="175"/>
        <v>52740</v>
      </c>
      <c r="D114" s="110">
        <f t="shared" si="175"/>
        <v>44693</v>
      </c>
      <c r="E114" s="110">
        <f t="shared" si="175"/>
        <v>45530</v>
      </c>
      <c r="F114" s="110">
        <f t="shared" si="175"/>
        <v>48953</v>
      </c>
      <c r="G114" s="110">
        <f t="shared" si="175"/>
        <v>49604</v>
      </c>
      <c r="H114" s="110">
        <f t="shared" si="175"/>
        <v>51531</v>
      </c>
      <c r="I114" s="110">
        <f t="shared" si="175"/>
        <v>51285</v>
      </c>
      <c r="J114" s="110">
        <f t="shared" si="175"/>
        <v>52359</v>
      </c>
      <c r="K114" s="110">
        <f t="shared" si="175"/>
        <v>47339</v>
      </c>
      <c r="L114" s="110">
        <f t="shared" ref="L114" si="176">SUM(L115:L120)</f>
        <v>49726</v>
      </c>
      <c r="M114" s="110">
        <f t="shared" ref="M114:V114" si="177">SUM(M115:M120)</f>
        <v>49881</v>
      </c>
      <c r="N114" s="110">
        <f t="shared" si="177"/>
        <v>53008</v>
      </c>
      <c r="O114" s="110">
        <f t="shared" si="177"/>
        <v>46624</v>
      </c>
      <c r="P114" s="110">
        <f t="shared" si="177"/>
        <v>49793</v>
      </c>
      <c r="Q114" s="110">
        <f t="shared" si="177"/>
        <v>46473</v>
      </c>
      <c r="R114" s="110">
        <f t="shared" si="177"/>
        <v>50561</v>
      </c>
      <c r="S114" s="110">
        <f t="shared" si="177"/>
        <v>52775</v>
      </c>
      <c r="T114" s="110">
        <f t="shared" si="177"/>
        <v>52808</v>
      </c>
      <c r="U114" s="110">
        <f t="shared" si="177"/>
        <v>55008</v>
      </c>
      <c r="V114" s="110">
        <f t="shared" si="177"/>
        <v>45189</v>
      </c>
      <c r="W114" s="110">
        <f t="shared" ref="W114" si="178">SUM(W115:W120)</f>
        <v>44372</v>
      </c>
      <c r="DA114" s="176" t="s">
        <v>528</v>
      </c>
    </row>
    <row r="115" spans="1:105" ht="11.45" customHeight="1" x14ac:dyDescent="0.25">
      <c r="A115" s="111" t="s">
        <v>110</v>
      </c>
      <c r="B115" s="84">
        <v>16004</v>
      </c>
      <c r="C115" s="84">
        <v>25191</v>
      </c>
      <c r="D115" s="84">
        <v>17125</v>
      </c>
      <c r="E115" s="84">
        <v>16478</v>
      </c>
      <c r="F115" s="84">
        <v>13756</v>
      </c>
      <c r="G115" s="84">
        <v>12837</v>
      </c>
      <c r="H115" s="84">
        <v>12218</v>
      </c>
      <c r="I115" s="84">
        <v>11503</v>
      </c>
      <c r="J115" s="84">
        <v>12013</v>
      </c>
      <c r="K115" s="84">
        <v>12758</v>
      </c>
      <c r="L115" s="84">
        <v>14183</v>
      </c>
      <c r="M115" s="84">
        <v>14425</v>
      </c>
      <c r="N115" s="84">
        <v>16194</v>
      </c>
      <c r="O115" s="84">
        <v>13976</v>
      </c>
      <c r="P115" s="84">
        <v>18751</v>
      </c>
      <c r="Q115" s="84">
        <v>18565</v>
      </c>
      <c r="R115" s="84">
        <v>22590</v>
      </c>
      <c r="S115" s="84">
        <v>28315</v>
      </c>
      <c r="T115" s="84">
        <v>32046</v>
      </c>
      <c r="U115" s="84">
        <v>34346</v>
      </c>
      <c r="V115" s="84">
        <v>26599</v>
      </c>
      <c r="W115" s="84">
        <v>24787</v>
      </c>
      <c r="DA115" s="171" t="s">
        <v>529</v>
      </c>
    </row>
    <row r="116" spans="1:105" ht="11.45" customHeight="1" x14ac:dyDescent="0.25">
      <c r="A116" s="111" t="s">
        <v>111</v>
      </c>
      <c r="B116" s="84">
        <v>26300</v>
      </c>
      <c r="C116" s="84">
        <v>26834</v>
      </c>
      <c r="D116" s="84">
        <v>27152</v>
      </c>
      <c r="E116" s="84">
        <v>28884</v>
      </c>
      <c r="F116" s="84">
        <v>35004</v>
      </c>
      <c r="G116" s="84">
        <v>36561</v>
      </c>
      <c r="H116" s="84">
        <v>39280</v>
      </c>
      <c r="I116" s="84">
        <v>39753</v>
      </c>
      <c r="J116" s="84">
        <v>40313</v>
      </c>
      <c r="K116" s="84">
        <v>34480</v>
      </c>
      <c r="L116" s="84">
        <v>35322</v>
      </c>
      <c r="M116" s="84">
        <v>34999</v>
      </c>
      <c r="N116" s="84">
        <v>36060</v>
      </c>
      <c r="O116" s="84">
        <v>31966</v>
      </c>
      <c r="P116" s="84">
        <v>30541</v>
      </c>
      <c r="Q116" s="84">
        <v>27711</v>
      </c>
      <c r="R116" s="84">
        <v>27457</v>
      </c>
      <c r="S116" s="84">
        <v>23392</v>
      </c>
      <c r="T116" s="84">
        <v>19590</v>
      </c>
      <c r="U116" s="84">
        <v>18695</v>
      </c>
      <c r="V116" s="84">
        <v>13055</v>
      </c>
      <c r="W116" s="84">
        <v>10023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715</v>
      </c>
      <c r="D117" s="84">
        <v>416</v>
      </c>
      <c r="E117" s="84">
        <v>168</v>
      </c>
      <c r="F117" s="84">
        <v>193</v>
      </c>
      <c r="G117" s="84">
        <v>206</v>
      </c>
      <c r="H117" s="84">
        <v>33</v>
      </c>
      <c r="I117" s="84">
        <v>29</v>
      </c>
      <c r="J117" s="84">
        <v>32</v>
      </c>
      <c r="K117" s="84">
        <v>100</v>
      </c>
      <c r="L117" s="84">
        <v>25</v>
      </c>
      <c r="M117" s="84">
        <v>151</v>
      </c>
      <c r="N117" s="84">
        <v>203</v>
      </c>
      <c r="O117" s="84">
        <v>235</v>
      </c>
      <c r="P117" s="84">
        <v>121</v>
      </c>
      <c r="Q117" s="84">
        <v>100</v>
      </c>
      <c r="R117" s="84">
        <v>157</v>
      </c>
      <c r="S117" s="84">
        <v>0</v>
      </c>
      <c r="T117" s="84">
        <v>2</v>
      </c>
      <c r="U117" s="84">
        <v>1</v>
      </c>
      <c r="V117" s="84">
        <v>177</v>
      </c>
      <c r="W117" s="84">
        <v>98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490</v>
      </c>
      <c r="O119" s="84">
        <v>280</v>
      </c>
      <c r="P119" s="84">
        <v>73</v>
      </c>
      <c r="Q119" s="84">
        <v>16</v>
      </c>
      <c r="R119" s="84">
        <v>195</v>
      </c>
      <c r="S119" s="84">
        <v>694</v>
      </c>
      <c r="T119" s="84">
        <v>672</v>
      </c>
      <c r="U119" s="84">
        <v>931</v>
      </c>
      <c r="V119" s="84">
        <v>2833</v>
      </c>
      <c r="W119" s="84">
        <v>4778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1</v>
      </c>
      <c r="K120" s="84">
        <v>1</v>
      </c>
      <c r="L120" s="84">
        <v>196</v>
      </c>
      <c r="M120" s="84">
        <v>306</v>
      </c>
      <c r="N120" s="84">
        <v>61</v>
      </c>
      <c r="O120" s="84">
        <v>167</v>
      </c>
      <c r="P120" s="84">
        <v>307</v>
      </c>
      <c r="Q120" s="84">
        <v>81</v>
      </c>
      <c r="R120" s="84">
        <v>162</v>
      </c>
      <c r="S120" s="84">
        <v>374</v>
      </c>
      <c r="T120" s="84">
        <v>498</v>
      </c>
      <c r="U120" s="84">
        <v>1035</v>
      </c>
      <c r="V120" s="84">
        <v>2525</v>
      </c>
      <c r="W120" s="84">
        <v>4686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122</v>
      </c>
      <c r="C121" s="110">
        <f t="shared" si="179"/>
        <v>151</v>
      </c>
      <c r="D121" s="110">
        <f t="shared" si="179"/>
        <v>89</v>
      </c>
      <c r="E121" s="110">
        <f t="shared" si="179"/>
        <v>135</v>
      </c>
      <c r="F121" s="110">
        <f t="shared" si="179"/>
        <v>126</v>
      </c>
      <c r="G121" s="110">
        <f t="shared" si="179"/>
        <v>158</v>
      </c>
      <c r="H121" s="110">
        <f t="shared" si="179"/>
        <v>168</v>
      </c>
      <c r="I121" s="110">
        <f t="shared" si="179"/>
        <v>176</v>
      </c>
      <c r="J121" s="110">
        <f t="shared" si="179"/>
        <v>225</v>
      </c>
      <c r="K121" s="110">
        <f t="shared" si="179"/>
        <v>209</v>
      </c>
      <c r="L121" s="110">
        <f t="shared" ref="L121" si="180">SUM(L122:L126)</f>
        <v>174</v>
      </c>
      <c r="M121" s="110">
        <f t="shared" ref="M121:V121" si="181">SUM(M122:M126)</f>
        <v>188</v>
      </c>
      <c r="N121" s="110">
        <f t="shared" si="181"/>
        <v>159</v>
      </c>
      <c r="O121" s="110">
        <f t="shared" si="181"/>
        <v>171</v>
      </c>
      <c r="P121" s="110">
        <f t="shared" si="181"/>
        <v>159</v>
      </c>
      <c r="Q121" s="110">
        <f t="shared" si="181"/>
        <v>251</v>
      </c>
      <c r="R121" s="110">
        <f t="shared" si="181"/>
        <v>205</v>
      </c>
      <c r="S121" s="110">
        <f t="shared" si="181"/>
        <v>239</v>
      </c>
      <c r="T121" s="110">
        <f t="shared" si="181"/>
        <v>218</v>
      </c>
      <c r="U121" s="110">
        <f t="shared" si="181"/>
        <v>283</v>
      </c>
      <c r="V121" s="110">
        <f t="shared" si="181"/>
        <v>214</v>
      </c>
      <c r="W121" s="110">
        <f t="shared" ref="W121" si="182">SUM(W122:W126)</f>
        <v>167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1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122</v>
      </c>
      <c r="C123" s="102">
        <v>151</v>
      </c>
      <c r="D123" s="102">
        <v>89</v>
      </c>
      <c r="E123" s="102">
        <v>132</v>
      </c>
      <c r="F123" s="102">
        <v>126</v>
      </c>
      <c r="G123" s="102">
        <v>158</v>
      </c>
      <c r="H123" s="102">
        <v>168</v>
      </c>
      <c r="I123" s="102">
        <v>176</v>
      </c>
      <c r="J123" s="102">
        <v>225</v>
      </c>
      <c r="K123" s="102">
        <v>209</v>
      </c>
      <c r="L123" s="102">
        <v>174</v>
      </c>
      <c r="M123" s="102">
        <v>188</v>
      </c>
      <c r="N123" s="102">
        <v>159</v>
      </c>
      <c r="O123" s="102">
        <v>169</v>
      </c>
      <c r="P123" s="102">
        <v>159</v>
      </c>
      <c r="Q123" s="102">
        <v>251</v>
      </c>
      <c r="R123" s="102">
        <v>205</v>
      </c>
      <c r="S123" s="102">
        <v>231</v>
      </c>
      <c r="T123" s="102">
        <v>197</v>
      </c>
      <c r="U123" s="102">
        <v>207</v>
      </c>
      <c r="V123" s="102">
        <v>167</v>
      </c>
      <c r="W123" s="102">
        <v>137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3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2</v>
      </c>
      <c r="P126" s="102">
        <v>0</v>
      </c>
      <c r="Q126" s="102">
        <v>0</v>
      </c>
      <c r="R126" s="102">
        <v>0</v>
      </c>
      <c r="S126" s="102">
        <v>8</v>
      </c>
      <c r="T126" s="102">
        <v>20</v>
      </c>
      <c r="U126" s="102">
        <v>76</v>
      </c>
      <c r="V126" s="102">
        <v>47</v>
      </c>
      <c r="W126" s="102">
        <v>30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83</v>
      </c>
      <c r="C127" s="28">
        <f t="shared" si="183"/>
        <v>2823</v>
      </c>
      <c r="D127" s="28">
        <f t="shared" si="183"/>
        <v>2442</v>
      </c>
      <c r="E127" s="28">
        <f t="shared" si="183"/>
        <v>2535</v>
      </c>
      <c r="F127" s="28">
        <f t="shared" si="183"/>
        <v>2825</v>
      </c>
      <c r="G127" s="28">
        <f t="shared" si="183"/>
        <v>3523</v>
      </c>
      <c r="H127" s="28">
        <f t="shared" si="183"/>
        <v>3104</v>
      </c>
      <c r="I127" s="28">
        <f t="shared" si="183"/>
        <v>3722</v>
      </c>
      <c r="J127" s="28">
        <f t="shared" si="183"/>
        <v>5048</v>
      </c>
      <c r="K127" s="28">
        <f t="shared" si="183"/>
        <v>2405</v>
      </c>
      <c r="L127" s="28">
        <f t="shared" ref="L127" si="184">L128+L134</f>
        <v>3303</v>
      </c>
      <c r="M127" s="28">
        <f t="shared" ref="M127:V127" si="185">M128+M134</f>
        <v>3621</v>
      </c>
      <c r="N127" s="28">
        <f t="shared" si="185"/>
        <v>3765</v>
      </c>
      <c r="O127" s="28">
        <f t="shared" si="185"/>
        <v>3702</v>
      </c>
      <c r="P127" s="28">
        <f t="shared" si="185"/>
        <v>3398</v>
      </c>
      <c r="Q127" s="28">
        <f t="shared" si="185"/>
        <v>3823</v>
      </c>
      <c r="R127" s="28">
        <f t="shared" si="185"/>
        <v>4575</v>
      </c>
      <c r="S127" s="28">
        <f t="shared" si="185"/>
        <v>5187</v>
      </c>
      <c r="T127" s="28">
        <f t="shared" si="185"/>
        <v>5023</v>
      </c>
      <c r="U127" s="28">
        <f t="shared" si="185"/>
        <v>5171</v>
      </c>
      <c r="V127" s="28">
        <f t="shared" si="185"/>
        <v>5174</v>
      </c>
      <c r="W127" s="28">
        <f t="shared" ref="W127" si="186">W128+W134</f>
        <v>5493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2323</v>
      </c>
      <c r="D128" s="137">
        <f t="shared" si="187"/>
        <v>2232</v>
      </c>
      <c r="E128" s="137">
        <f t="shared" si="187"/>
        <v>2114</v>
      </c>
      <c r="F128" s="137">
        <f t="shared" si="187"/>
        <v>2427</v>
      </c>
      <c r="G128" s="137">
        <f t="shared" si="187"/>
        <v>2563</v>
      </c>
      <c r="H128" s="137">
        <f t="shared" si="187"/>
        <v>2793</v>
      </c>
      <c r="I128" s="137">
        <f t="shared" si="187"/>
        <v>3280</v>
      </c>
      <c r="J128" s="137">
        <f t="shared" si="187"/>
        <v>3793</v>
      </c>
      <c r="K128" s="137">
        <f t="shared" si="187"/>
        <v>1365</v>
      </c>
      <c r="L128" s="137">
        <f t="shared" ref="L128" si="188">SUM(L129:L133)</f>
        <v>2643</v>
      </c>
      <c r="M128" s="137">
        <f t="shared" ref="M128:V128" si="189">SUM(M129:M133)</f>
        <v>3002</v>
      </c>
      <c r="N128" s="137">
        <f t="shared" si="189"/>
        <v>3395</v>
      </c>
      <c r="O128" s="137">
        <f t="shared" si="189"/>
        <v>3491</v>
      </c>
      <c r="P128" s="137">
        <f t="shared" si="189"/>
        <v>2996</v>
      </c>
      <c r="Q128" s="137">
        <f t="shared" si="189"/>
        <v>3383</v>
      </c>
      <c r="R128" s="137">
        <f t="shared" si="189"/>
        <v>3859</v>
      </c>
      <c r="S128" s="137">
        <f t="shared" si="189"/>
        <v>4369</v>
      </c>
      <c r="T128" s="137">
        <f t="shared" si="189"/>
        <v>4418</v>
      </c>
      <c r="U128" s="137">
        <f t="shared" si="189"/>
        <v>4323</v>
      </c>
      <c r="V128" s="137">
        <f t="shared" si="189"/>
        <v>4482</v>
      </c>
      <c r="W128" s="137">
        <f t="shared" ref="W128" si="190">SUM(W129:W133)</f>
        <v>4803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20</v>
      </c>
      <c r="D129" s="84">
        <v>51</v>
      </c>
      <c r="E129" s="84">
        <v>84</v>
      </c>
      <c r="F129" s="84">
        <v>77</v>
      </c>
      <c r="G129" s="84">
        <v>86</v>
      </c>
      <c r="H129" s="84">
        <v>86</v>
      </c>
      <c r="I129" s="84">
        <v>126</v>
      </c>
      <c r="J129" s="84">
        <v>179</v>
      </c>
      <c r="K129" s="84">
        <v>159</v>
      </c>
      <c r="L129" s="84">
        <v>139</v>
      </c>
      <c r="M129" s="84">
        <v>115</v>
      </c>
      <c r="N129" s="84">
        <v>86</v>
      </c>
      <c r="O129" s="84">
        <v>109</v>
      </c>
      <c r="P129" s="84">
        <v>84</v>
      </c>
      <c r="Q129" s="84">
        <v>78</v>
      </c>
      <c r="R129" s="84">
        <v>110</v>
      </c>
      <c r="S129" s="84">
        <v>147</v>
      </c>
      <c r="T129" s="84">
        <v>167</v>
      </c>
      <c r="U129" s="84">
        <v>174</v>
      </c>
      <c r="V129" s="84">
        <v>156</v>
      </c>
      <c r="W129" s="84">
        <v>170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2303</v>
      </c>
      <c r="D130" s="84">
        <v>2181</v>
      </c>
      <c r="E130" s="84">
        <v>2030</v>
      </c>
      <c r="F130" s="84">
        <v>2350</v>
      </c>
      <c r="G130" s="84">
        <v>2477</v>
      </c>
      <c r="H130" s="84">
        <v>2706</v>
      </c>
      <c r="I130" s="84">
        <v>3153</v>
      </c>
      <c r="J130" s="84">
        <v>3614</v>
      </c>
      <c r="K130" s="84">
        <v>1201</v>
      </c>
      <c r="L130" s="84">
        <v>2504</v>
      </c>
      <c r="M130" s="84">
        <v>2887</v>
      </c>
      <c r="N130" s="84">
        <v>3289</v>
      </c>
      <c r="O130" s="84">
        <v>3279</v>
      </c>
      <c r="P130" s="84">
        <v>2879</v>
      </c>
      <c r="Q130" s="84">
        <v>3280</v>
      </c>
      <c r="R130" s="84">
        <v>3719</v>
      </c>
      <c r="S130" s="84">
        <v>4172</v>
      </c>
      <c r="T130" s="84">
        <v>4184</v>
      </c>
      <c r="U130" s="84">
        <v>4018</v>
      </c>
      <c r="V130" s="84">
        <v>4229</v>
      </c>
      <c r="W130" s="84">
        <v>4478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59</v>
      </c>
      <c r="P131" s="84">
        <v>12</v>
      </c>
      <c r="Q131" s="84">
        <v>2</v>
      </c>
      <c r="R131" s="84">
        <v>14</v>
      </c>
      <c r="S131" s="84">
        <v>11</v>
      </c>
      <c r="T131" s="84">
        <v>13</v>
      </c>
      <c r="U131" s="84">
        <v>45</v>
      </c>
      <c r="V131" s="84">
        <v>36</v>
      </c>
      <c r="W131" s="84">
        <v>30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1</v>
      </c>
      <c r="I133" s="84">
        <v>1</v>
      </c>
      <c r="J133" s="84">
        <v>0</v>
      </c>
      <c r="K133" s="84">
        <v>5</v>
      </c>
      <c r="L133" s="84">
        <v>0</v>
      </c>
      <c r="M133" s="84">
        <v>0</v>
      </c>
      <c r="N133" s="84">
        <v>20</v>
      </c>
      <c r="O133" s="84">
        <v>44</v>
      </c>
      <c r="P133" s="84">
        <v>21</v>
      </c>
      <c r="Q133" s="84">
        <v>23</v>
      </c>
      <c r="R133" s="84">
        <v>16</v>
      </c>
      <c r="S133" s="84">
        <v>39</v>
      </c>
      <c r="T133" s="84">
        <v>54</v>
      </c>
      <c r="U133" s="84">
        <v>86</v>
      </c>
      <c r="V133" s="84">
        <v>61</v>
      </c>
      <c r="W133" s="84">
        <v>125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83</v>
      </c>
      <c r="C134" s="110">
        <f t="shared" si="191"/>
        <v>500</v>
      </c>
      <c r="D134" s="110">
        <f t="shared" si="191"/>
        <v>210</v>
      </c>
      <c r="E134" s="110">
        <f t="shared" si="191"/>
        <v>421</v>
      </c>
      <c r="F134" s="110">
        <f t="shared" si="191"/>
        <v>398</v>
      </c>
      <c r="G134" s="110">
        <f t="shared" si="191"/>
        <v>960</v>
      </c>
      <c r="H134" s="110">
        <f t="shared" si="191"/>
        <v>311</v>
      </c>
      <c r="I134" s="110">
        <f t="shared" si="191"/>
        <v>442</v>
      </c>
      <c r="J134" s="110">
        <f t="shared" si="191"/>
        <v>1255</v>
      </c>
      <c r="K134" s="110">
        <f t="shared" si="191"/>
        <v>1040</v>
      </c>
      <c r="L134" s="110">
        <f t="shared" ref="L134" si="192">SUM(L135:L136)</f>
        <v>660</v>
      </c>
      <c r="M134" s="110">
        <f t="shared" ref="M134:V134" si="193">SUM(M135:M136)</f>
        <v>619</v>
      </c>
      <c r="N134" s="110">
        <f t="shared" si="193"/>
        <v>370</v>
      </c>
      <c r="O134" s="110">
        <f t="shared" si="193"/>
        <v>211</v>
      </c>
      <c r="P134" s="110">
        <f t="shared" si="193"/>
        <v>402</v>
      </c>
      <c r="Q134" s="110">
        <f t="shared" si="193"/>
        <v>440</v>
      </c>
      <c r="R134" s="110">
        <f t="shared" si="193"/>
        <v>716</v>
      </c>
      <c r="S134" s="110">
        <f t="shared" si="193"/>
        <v>818</v>
      </c>
      <c r="T134" s="110">
        <f t="shared" si="193"/>
        <v>605</v>
      </c>
      <c r="U134" s="110">
        <f t="shared" si="193"/>
        <v>848</v>
      </c>
      <c r="V134" s="110">
        <f t="shared" si="193"/>
        <v>692</v>
      </c>
      <c r="W134" s="110">
        <f t="shared" ref="W134" si="194">SUM(W135:W136)</f>
        <v>690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360</v>
      </c>
      <c r="D135" s="102">
        <v>70</v>
      </c>
      <c r="E135" s="102">
        <v>293</v>
      </c>
      <c r="F135" s="102">
        <v>108</v>
      </c>
      <c r="G135" s="102">
        <v>793</v>
      </c>
      <c r="H135" s="102">
        <v>212</v>
      </c>
      <c r="I135" s="102">
        <v>224</v>
      </c>
      <c r="J135" s="102">
        <v>956</v>
      </c>
      <c r="K135" s="102">
        <v>1040</v>
      </c>
      <c r="L135" s="102">
        <v>480</v>
      </c>
      <c r="M135" s="102">
        <v>492</v>
      </c>
      <c r="N135" s="102">
        <v>66</v>
      </c>
      <c r="O135" s="102">
        <v>61</v>
      </c>
      <c r="P135" s="102">
        <v>160</v>
      </c>
      <c r="Q135" s="102">
        <v>440</v>
      </c>
      <c r="R135" s="102">
        <v>467</v>
      </c>
      <c r="S135" s="102">
        <v>581</v>
      </c>
      <c r="T135" s="102">
        <v>487</v>
      </c>
      <c r="U135" s="102">
        <v>640</v>
      </c>
      <c r="V135" s="102">
        <v>614</v>
      </c>
      <c r="W135" s="102">
        <v>421</v>
      </c>
      <c r="DA135" s="175" t="s">
        <v>549</v>
      </c>
    </row>
    <row r="136" spans="1:105" ht="11.45" customHeight="1" x14ac:dyDescent="0.25">
      <c r="A136" s="138" t="s">
        <v>116</v>
      </c>
      <c r="B136" s="86">
        <v>83</v>
      </c>
      <c r="C136" s="86">
        <v>140</v>
      </c>
      <c r="D136" s="86">
        <v>140</v>
      </c>
      <c r="E136" s="86">
        <v>128</v>
      </c>
      <c r="F136" s="86">
        <v>290</v>
      </c>
      <c r="G136" s="86">
        <v>167</v>
      </c>
      <c r="H136" s="86">
        <v>99</v>
      </c>
      <c r="I136" s="86">
        <v>218</v>
      </c>
      <c r="J136" s="86">
        <v>299</v>
      </c>
      <c r="K136" s="86">
        <v>0</v>
      </c>
      <c r="L136" s="86">
        <v>180</v>
      </c>
      <c r="M136" s="86">
        <v>127</v>
      </c>
      <c r="N136" s="86">
        <v>304</v>
      </c>
      <c r="O136" s="86">
        <v>150</v>
      </c>
      <c r="P136" s="86">
        <v>242</v>
      </c>
      <c r="Q136" s="86">
        <v>0</v>
      </c>
      <c r="R136" s="86">
        <v>249</v>
      </c>
      <c r="S136" s="86">
        <v>237</v>
      </c>
      <c r="T136" s="86">
        <v>118</v>
      </c>
      <c r="U136" s="86">
        <v>208</v>
      </c>
      <c r="V136" s="86">
        <v>78</v>
      </c>
      <c r="W136" s="86">
        <v>269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1.491356967786202</v>
      </c>
      <c r="C141" s="32">
        <f t="shared" si="195"/>
        <v>1.4801333535833194</v>
      </c>
      <c r="D141" s="32">
        <f t="shared" si="195"/>
        <v>1.4756095125717523</v>
      </c>
      <c r="E141" s="32">
        <f t="shared" si="195"/>
        <v>1.4627796919510214</v>
      </c>
      <c r="F141" s="32">
        <f t="shared" si="195"/>
        <v>1.4521556993806968</v>
      </c>
      <c r="G141" s="32">
        <f t="shared" si="195"/>
        <v>1.4388961110312757</v>
      </c>
      <c r="H141" s="32">
        <f t="shared" si="195"/>
        <v>1.4381642876355751</v>
      </c>
      <c r="I141" s="32">
        <f t="shared" si="195"/>
        <v>1.4430936819123392</v>
      </c>
      <c r="J141" s="32">
        <f t="shared" si="195"/>
        <v>1.4383915305720767</v>
      </c>
      <c r="K141" s="32">
        <f t="shared" si="195"/>
        <v>1.4370665246995433</v>
      </c>
      <c r="L141" s="32">
        <f t="shared" ref="L141" si="196">IF(L4=0,0,L4/L31)</f>
        <v>1.4477947497140626</v>
      </c>
      <c r="M141" s="32">
        <f t="shared" ref="M141:V141" si="197">IF(M4=0,0,M4/M31)</f>
        <v>1.4495268183911885</v>
      </c>
      <c r="N141" s="32">
        <f t="shared" si="197"/>
        <v>1.4451945645996482</v>
      </c>
      <c r="O141" s="32">
        <f t="shared" si="197"/>
        <v>1.4429586586353786</v>
      </c>
      <c r="P141" s="32">
        <f t="shared" si="197"/>
        <v>1.4369736999947273</v>
      </c>
      <c r="Q141" s="32">
        <f t="shared" si="197"/>
        <v>1.4580699968042365</v>
      </c>
      <c r="R141" s="32">
        <f t="shared" si="197"/>
        <v>1.438426917035448</v>
      </c>
      <c r="S141" s="32">
        <f t="shared" si="197"/>
        <v>1.4319101394015354</v>
      </c>
      <c r="T141" s="32">
        <f t="shared" si="197"/>
        <v>1.4127493604787518</v>
      </c>
      <c r="U141" s="32">
        <f t="shared" si="197"/>
        <v>1.401910819778287</v>
      </c>
      <c r="V141" s="32">
        <f t="shared" si="197"/>
        <v>1.2718141672685261</v>
      </c>
      <c r="W141" s="32">
        <f t="shared" ref="W141" si="198">IF(W4=0,0,W4/W31)</f>
        <v>1.3149330386438649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1.1553640856511078</v>
      </c>
      <c r="G142" s="141">
        <v>1.1543178727366701</v>
      </c>
      <c r="H142" s="141">
        <v>1.1546398637822317</v>
      </c>
      <c r="I142" s="141">
        <v>1.156493139331968</v>
      </c>
      <c r="J142" s="141">
        <v>1.1571017737935942</v>
      </c>
      <c r="K142" s="141">
        <v>1.1576570562583655</v>
      </c>
      <c r="L142" s="141">
        <v>1.15566821133542</v>
      </c>
      <c r="M142" s="141">
        <v>1.1546558434345866</v>
      </c>
      <c r="N142" s="141">
        <v>1.1475295413899493</v>
      </c>
      <c r="O142" s="141">
        <v>1.1469392088128179</v>
      </c>
      <c r="P142" s="141">
        <v>1.1494295322312345</v>
      </c>
      <c r="Q142" s="141">
        <v>1.1514161199072459</v>
      </c>
      <c r="R142" s="141">
        <v>1.1528760394014559</v>
      </c>
      <c r="S142" s="141">
        <v>1.1514243190538627</v>
      </c>
      <c r="T142" s="141">
        <v>1.1501089345275972</v>
      </c>
      <c r="U142" s="141">
        <v>1.1510694314982841</v>
      </c>
      <c r="V142" s="141">
        <v>1.1497780266727144</v>
      </c>
      <c r="W142" s="141">
        <v>1.1498860123991375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1.3575991793509188</v>
      </c>
      <c r="C143" s="130">
        <f t="shared" si="199"/>
        <v>1.3441576033177407</v>
      </c>
      <c r="D143" s="130">
        <f t="shared" si="199"/>
        <v>1.3308491121957833</v>
      </c>
      <c r="E143" s="130">
        <f t="shared" si="199"/>
        <v>1.3176723883126567</v>
      </c>
      <c r="F143" s="130">
        <f t="shared" si="199"/>
        <v>1.3046261270422339</v>
      </c>
      <c r="G143" s="130">
        <f t="shared" si="199"/>
        <v>1.2917090366754793</v>
      </c>
      <c r="H143" s="130">
        <f t="shared" si="199"/>
        <v>1.2917090366754798</v>
      </c>
      <c r="I143" s="130">
        <f t="shared" si="199"/>
        <v>1.2917090366754791</v>
      </c>
      <c r="J143" s="130">
        <f t="shared" si="199"/>
        <v>1.2814513100499758</v>
      </c>
      <c r="K143" s="130">
        <f t="shared" si="199"/>
        <v>1.2814513100499754</v>
      </c>
      <c r="L143" s="130">
        <f t="shared" ref="L143" si="200">IF(L6=0,0,L6/L33)</f>
        <v>1.2814508163273091</v>
      </c>
      <c r="M143" s="130">
        <f t="shared" ref="M143:V143" si="201">IF(M6=0,0,M6/M33)</f>
        <v>1.2773119424164856</v>
      </c>
      <c r="N143" s="130">
        <f t="shared" si="201"/>
        <v>1.2738568111654673</v>
      </c>
      <c r="O143" s="130">
        <f t="shared" si="201"/>
        <v>1.2710377684827898</v>
      </c>
      <c r="P143" s="130">
        <f t="shared" si="201"/>
        <v>1.2698712330079927</v>
      </c>
      <c r="Q143" s="130">
        <f t="shared" si="201"/>
        <v>1.2846065241490887</v>
      </c>
      <c r="R143" s="130">
        <f t="shared" si="201"/>
        <v>1.268813330432353</v>
      </c>
      <c r="S143" s="130">
        <f t="shared" si="201"/>
        <v>1.2609760362798343</v>
      </c>
      <c r="T143" s="130">
        <f t="shared" si="201"/>
        <v>1.2435193013973229</v>
      </c>
      <c r="U143" s="130">
        <f t="shared" si="201"/>
        <v>1.230896823929098</v>
      </c>
      <c r="V143" s="130">
        <f t="shared" si="201"/>
        <v>1.1513332013887423</v>
      </c>
      <c r="W143" s="130">
        <f t="shared" ref="W143" si="202">IF(W6=0,0,W6/W33)</f>
        <v>1.1892703112159546</v>
      </c>
      <c r="DA143" s="176" t="s">
        <v>553</v>
      </c>
    </row>
    <row r="144" spans="1:105" ht="11.45" customHeight="1" x14ac:dyDescent="0.25">
      <c r="A144" s="111" t="s">
        <v>110</v>
      </c>
      <c r="B144" s="96">
        <v>1.3400648517839804</v>
      </c>
      <c r="C144" s="96">
        <v>1.3248306888199068</v>
      </c>
      <c r="D144" s="96">
        <v>1.3097378282250252</v>
      </c>
      <c r="E144" s="96">
        <v>1.2950116683053159</v>
      </c>
      <c r="F144" s="96">
        <v>1.2799545347693919</v>
      </c>
      <c r="G144" s="96">
        <v>1.2651945453168383</v>
      </c>
      <c r="H144" s="96">
        <v>1.2629869681253807</v>
      </c>
      <c r="I144" s="96">
        <v>1.261665286162011</v>
      </c>
      <c r="J144" s="96">
        <v>1.2508428151528919</v>
      </c>
      <c r="K144" s="96">
        <v>1.2498672022598698</v>
      </c>
      <c r="L144" s="96">
        <v>1.2492059783718763</v>
      </c>
      <c r="M144" s="96">
        <v>1.2450447368236899</v>
      </c>
      <c r="N144" s="96">
        <v>1.2412550741367037</v>
      </c>
      <c r="O144" s="96">
        <v>1.2379965225680143</v>
      </c>
      <c r="P144" s="96">
        <v>1.2364799242508606</v>
      </c>
      <c r="Q144" s="96">
        <v>1.2507505861384511</v>
      </c>
      <c r="R144" s="96">
        <v>1.2359278104434659</v>
      </c>
      <c r="S144" s="96">
        <v>1.2293675163933158</v>
      </c>
      <c r="T144" s="96">
        <v>1.2137642167398859</v>
      </c>
      <c r="U144" s="96">
        <v>1.2030916936793616</v>
      </c>
      <c r="V144" s="96">
        <v>1.1268333005621198</v>
      </c>
      <c r="W144" s="96">
        <v>1.1664949938373994</v>
      </c>
      <c r="DA144" s="171" t="s">
        <v>554</v>
      </c>
    </row>
    <row r="145" spans="1:105" ht="11.45" customHeight="1" x14ac:dyDescent="0.25">
      <c r="A145" s="111" t="s">
        <v>111</v>
      </c>
      <c r="B145" s="96">
        <v>1.395257321156262</v>
      </c>
      <c r="C145" s="96">
        <v>1.3793957176084826</v>
      </c>
      <c r="D145" s="96">
        <v>1.363681236168151</v>
      </c>
      <c r="E145" s="96">
        <v>1.3483485584897996</v>
      </c>
      <c r="F145" s="96">
        <v>1.3326712755779637</v>
      </c>
      <c r="G145" s="96">
        <v>1.3173033750495304</v>
      </c>
      <c r="H145" s="96">
        <v>1.315004875663998</v>
      </c>
      <c r="I145" s="96">
        <v>1.3136287583565589</v>
      </c>
      <c r="J145" s="96">
        <v>1.3023605485468821</v>
      </c>
      <c r="K145" s="96">
        <v>1.3013447536547236</v>
      </c>
      <c r="L145" s="96">
        <v>1.3006562963241566</v>
      </c>
      <c r="M145" s="96">
        <v>1.2963236681476338</v>
      </c>
      <c r="N145" s="96">
        <v>1.2923779228341206</v>
      </c>
      <c r="O145" s="96">
        <v>1.2889851632027298</v>
      </c>
      <c r="P145" s="96">
        <v>1.2874061016353398</v>
      </c>
      <c r="Q145" s="96">
        <v>1.3022645209498223</v>
      </c>
      <c r="R145" s="96">
        <v>1.2868312482386153</v>
      </c>
      <c r="S145" s="96">
        <v>1.2800007591841307</v>
      </c>
      <c r="T145" s="96">
        <v>1.2637548155294933</v>
      </c>
      <c r="U145" s="96">
        <v>1.2526427294871039</v>
      </c>
      <c r="V145" s="96">
        <v>1.1732435264151055</v>
      </c>
      <c r="W145" s="96">
        <v>1.2145387427161058</v>
      </c>
      <c r="DA145" s="171" t="s">
        <v>555</v>
      </c>
    </row>
    <row r="146" spans="1:105" ht="11.45" customHeight="1" x14ac:dyDescent="0.25">
      <c r="A146" s="111" t="s">
        <v>112</v>
      </c>
      <c r="B146" s="96">
        <v>1.3168712039703909</v>
      </c>
      <c r="C146" s="96">
        <v>1.3038328752182085</v>
      </c>
      <c r="D146" s="96">
        <v>1.2909236388299097</v>
      </c>
      <c r="E146" s="96">
        <v>1.278142216663277</v>
      </c>
      <c r="F146" s="96">
        <v>1.2654873432309668</v>
      </c>
      <c r="G146" s="96">
        <v>1.2529577655752151</v>
      </c>
      <c r="H146" s="96">
        <v>1.2529577655752155</v>
      </c>
      <c r="I146" s="96">
        <v>1.2529577655752147</v>
      </c>
      <c r="J146" s="96">
        <v>1.2430077707484766</v>
      </c>
      <c r="K146" s="96">
        <v>1.2430077707484763</v>
      </c>
      <c r="L146" s="96">
        <v>1.2430072918374895</v>
      </c>
      <c r="M146" s="96">
        <v>1.238992584143991</v>
      </c>
      <c r="N146" s="96">
        <v>1.2356411068305035</v>
      </c>
      <c r="O146" s="96">
        <v>1.2329066354283056</v>
      </c>
      <c r="P146" s="96">
        <v>1.2317750960177529</v>
      </c>
      <c r="Q146" s="96">
        <v>1.2460683284246161</v>
      </c>
      <c r="R146" s="96">
        <v>1.2307489305193826</v>
      </c>
      <c r="S146" s="96">
        <v>1.2231467551914394</v>
      </c>
      <c r="T146" s="96">
        <v>1.206213722355403</v>
      </c>
      <c r="U146" s="96">
        <v>1.193969919211225</v>
      </c>
      <c r="V146" s="96">
        <v>1.1167932053470802</v>
      </c>
      <c r="W146" s="96">
        <v>1.1535922018794762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1.2356411068305035</v>
      </c>
      <c r="O148" s="96">
        <v>1.2329066354283056</v>
      </c>
      <c r="P148" s="96">
        <v>1.2317750960177529</v>
      </c>
      <c r="Q148" s="96">
        <v>1.2460683284246161</v>
      </c>
      <c r="R148" s="96">
        <v>1.2307489305193826</v>
      </c>
      <c r="S148" s="96">
        <v>1.2231467551914394</v>
      </c>
      <c r="T148" s="96">
        <v>1.206213722355403</v>
      </c>
      <c r="U148" s="96">
        <v>1.193969919211225</v>
      </c>
      <c r="V148" s="96">
        <v>1.1167932053470802</v>
      </c>
      <c r="W148" s="96">
        <v>1.1535922018794762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1.1533061790449786</v>
      </c>
      <c r="K149" s="96">
        <v>1.1533061790449781</v>
      </c>
      <c r="L149" s="96">
        <v>1.1533057346945781</v>
      </c>
      <c r="M149" s="96">
        <v>1.149580748174837</v>
      </c>
      <c r="N149" s="96">
        <v>1.1464711300489208</v>
      </c>
      <c r="O149" s="96">
        <v>1.1439339916345104</v>
      </c>
      <c r="P149" s="96">
        <v>1.1428841097071933</v>
      </c>
      <c r="Q149" s="96">
        <v>1.1561458717341799</v>
      </c>
      <c r="R149" s="96">
        <v>1.141931997389118</v>
      </c>
      <c r="S149" s="96">
        <v>1.1348784326518511</v>
      </c>
      <c r="T149" s="96">
        <v>1.1191673712575905</v>
      </c>
      <c r="U149" s="96">
        <v>1.1078071415361883</v>
      </c>
      <c r="V149" s="96">
        <v>1.0361998812498683</v>
      </c>
      <c r="W149" s="96">
        <v>1.0703432800943593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15.975161212885762</v>
      </c>
      <c r="C150" s="130">
        <f t="shared" si="203"/>
        <v>15.56015516095024</v>
      </c>
      <c r="D150" s="130">
        <f t="shared" si="203"/>
        <v>15.834099578947365</v>
      </c>
      <c r="E150" s="130">
        <f t="shared" si="203"/>
        <v>15.850091626697015</v>
      </c>
      <c r="F150" s="130">
        <f t="shared" si="203"/>
        <v>16.238392777979257</v>
      </c>
      <c r="G150" s="130">
        <f t="shared" si="203"/>
        <v>16.252386452152336</v>
      </c>
      <c r="H150" s="130">
        <f t="shared" si="203"/>
        <v>16.487649119220613</v>
      </c>
      <c r="I150" s="130">
        <f t="shared" si="203"/>
        <v>16.671698342802618</v>
      </c>
      <c r="J150" s="130">
        <f t="shared" si="203"/>
        <v>16.894844211012462</v>
      </c>
      <c r="K150" s="130">
        <f t="shared" si="203"/>
        <v>16.289981798344947</v>
      </c>
      <c r="L150" s="130">
        <f t="shared" ref="L150" si="204">IF(L13=0,0,L13/L40)</f>
        <v>16.427419354838701</v>
      </c>
      <c r="M150" s="130">
        <f t="shared" ref="M150:V150" si="205">IF(M13=0,0,M13/M40)</f>
        <v>16.851018675721551</v>
      </c>
      <c r="N150" s="130">
        <f t="shared" si="205"/>
        <v>17.204018109790582</v>
      </c>
      <c r="O150" s="130">
        <f t="shared" si="205"/>
        <v>17.53190803958972</v>
      </c>
      <c r="P150" s="130">
        <f t="shared" si="205"/>
        <v>17.87294257011699</v>
      </c>
      <c r="Q150" s="130">
        <f t="shared" si="205"/>
        <v>18.34496839594204</v>
      </c>
      <c r="R150" s="130">
        <f t="shared" si="205"/>
        <v>18.342110692400478</v>
      </c>
      <c r="S150" s="130">
        <f t="shared" si="205"/>
        <v>18.336332922994188</v>
      </c>
      <c r="T150" s="130">
        <f t="shared" si="205"/>
        <v>18.332397464909945</v>
      </c>
      <c r="U150" s="130">
        <f t="shared" si="205"/>
        <v>18.324806581626127</v>
      </c>
      <c r="V150" s="130">
        <f t="shared" si="205"/>
        <v>12.533220296867883</v>
      </c>
      <c r="W150" s="130">
        <f t="shared" ref="W150" si="206">IF(W13=0,0,W13/W40)</f>
        <v>13.47158104125864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7.0509221018884407</v>
      </c>
      <c r="U151" s="97">
        <v>7.0480025313946646</v>
      </c>
      <c r="V151" s="97">
        <v>6.4820469344949183</v>
      </c>
      <c r="W151" s="97">
        <v>6.5181377323561014</v>
      </c>
      <c r="DA151" s="175" t="s">
        <v>561</v>
      </c>
    </row>
    <row r="152" spans="1:105" ht="11.45" customHeight="1" x14ac:dyDescent="0.25">
      <c r="A152" s="111" t="s">
        <v>111</v>
      </c>
      <c r="B152" s="97">
        <v>15.975161212885762</v>
      </c>
      <c r="C152" s="97">
        <v>15.56015516095024</v>
      </c>
      <c r="D152" s="97">
        <v>15.834099578947365</v>
      </c>
      <c r="E152" s="97">
        <v>15.850091626697013</v>
      </c>
      <c r="F152" s="97">
        <v>16.238392777979257</v>
      </c>
      <c r="G152" s="97">
        <v>16.252386452152336</v>
      </c>
      <c r="H152" s="97">
        <v>16.487649119220613</v>
      </c>
      <c r="I152" s="97">
        <v>16.671698342802614</v>
      </c>
      <c r="J152" s="97">
        <v>16.894844211012462</v>
      </c>
      <c r="K152" s="97">
        <v>16.289981798344947</v>
      </c>
      <c r="L152" s="97">
        <v>16.427419354838701</v>
      </c>
      <c r="M152" s="97">
        <v>16.851018675721551</v>
      </c>
      <c r="N152" s="97">
        <v>17.204018109790582</v>
      </c>
      <c r="O152" s="97">
        <v>17.53190803958972</v>
      </c>
      <c r="P152" s="97">
        <v>17.87294257011699</v>
      </c>
      <c r="Q152" s="97">
        <v>18.34496839594204</v>
      </c>
      <c r="R152" s="97">
        <v>18.342110692400478</v>
      </c>
      <c r="S152" s="97">
        <v>18.336332922994188</v>
      </c>
      <c r="T152" s="97">
        <v>18.334139331383799</v>
      </c>
      <c r="U152" s="97">
        <v>18.326403193923344</v>
      </c>
      <c r="V152" s="97">
        <v>12.534038105063534</v>
      </c>
      <c r="W152" s="97">
        <v>13.472458751426805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15.850091626697015</v>
      </c>
      <c r="F155" s="97">
        <v>16.238392777979257</v>
      </c>
      <c r="G155" s="97">
        <v>16.252386452152336</v>
      </c>
      <c r="H155" s="97">
        <v>16.487649119220613</v>
      </c>
      <c r="I155" s="97">
        <v>16.671698342802618</v>
      </c>
      <c r="J155" s="97">
        <v>16.894844211012458</v>
      </c>
      <c r="K155" s="97">
        <v>16.289981798344947</v>
      </c>
      <c r="L155" s="97">
        <v>16.427419354838698</v>
      </c>
      <c r="M155" s="97">
        <v>16.851018675721551</v>
      </c>
      <c r="N155" s="97">
        <v>17.204018109790582</v>
      </c>
      <c r="O155" s="97">
        <v>17.53190803958972</v>
      </c>
      <c r="P155" s="97">
        <v>17.87294257011699</v>
      </c>
      <c r="Q155" s="97">
        <v>18.34496839594204</v>
      </c>
      <c r="R155" s="97">
        <v>18.342110692400478</v>
      </c>
      <c r="S155" s="97">
        <v>18.336332922994188</v>
      </c>
      <c r="T155" s="97">
        <v>18.334139331383799</v>
      </c>
      <c r="U155" s="97">
        <v>18.32640319392334</v>
      </c>
      <c r="V155" s="97">
        <v>12.534038105063535</v>
      </c>
      <c r="W155" s="97">
        <v>13.472458751426805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3.6471651259923008</v>
      </c>
      <c r="C156" s="32">
        <f t="shared" si="207"/>
        <v>3.7108214241521997</v>
      </c>
      <c r="D156" s="32">
        <f t="shared" si="207"/>
        <v>3.7675452124720366</v>
      </c>
      <c r="E156" s="32">
        <f t="shared" si="207"/>
        <v>3.6806990638163004</v>
      </c>
      <c r="F156" s="32">
        <f t="shared" si="207"/>
        <v>3.8362514999780184</v>
      </c>
      <c r="G156" s="32">
        <f t="shared" si="207"/>
        <v>3.7150467925199662</v>
      </c>
      <c r="H156" s="32">
        <f t="shared" si="207"/>
        <v>3.5931721510365939</v>
      </c>
      <c r="I156" s="32">
        <f t="shared" si="207"/>
        <v>3.5517312822640768</v>
      </c>
      <c r="J156" s="32">
        <f t="shared" si="207"/>
        <v>3.6535956411479851</v>
      </c>
      <c r="K156" s="32">
        <f t="shared" si="207"/>
        <v>3.5192121850839992</v>
      </c>
      <c r="L156" s="32">
        <f t="shared" ref="L156" si="208">IF(L19=0,0,L19/L46)</f>
        <v>3.6003478244688534</v>
      </c>
      <c r="M156" s="32">
        <f t="shared" ref="M156:V156" si="209">IF(M19=0,0,M19/M46)</f>
        <v>3.5344380042362911</v>
      </c>
      <c r="N156" s="32">
        <f t="shared" si="209"/>
        <v>4.0337490931936024</v>
      </c>
      <c r="O156" s="32">
        <f t="shared" si="209"/>
        <v>3.6855409012233751</v>
      </c>
      <c r="P156" s="32">
        <f t="shared" si="209"/>
        <v>3.9770785744184654</v>
      </c>
      <c r="Q156" s="32">
        <f t="shared" si="209"/>
        <v>3.4629238530168616</v>
      </c>
      <c r="R156" s="32">
        <f t="shared" si="209"/>
        <v>3.5124565892828703</v>
      </c>
      <c r="S156" s="32">
        <f t="shared" si="209"/>
        <v>3.4762376319587611</v>
      </c>
      <c r="T156" s="32">
        <f t="shared" si="209"/>
        <v>2.8984965043469519</v>
      </c>
      <c r="U156" s="32">
        <f t="shared" si="209"/>
        <v>2.9089350565734207</v>
      </c>
      <c r="V156" s="32">
        <f t="shared" si="209"/>
        <v>2.6239953952172166</v>
      </c>
      <c r="W156" s="32">
        <f t="shared" ref="W156" si="210">IF(W19=0,0,W19/W46)</f>
        <v>2.7376696930674225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0.25465730841025008</v>
      </c>
      <c r="C157" s="141">
        <f t="shared" si="211"/>
        <v>0.25719399105469465</v>
      </c>
      <c r="D157" s="141">
        <f t="shared" si="211"/>
        <v>0.25811149100426239</v>
      </c>
      <c r="E157" s="141">
        <f t="shared" si="211"/>
        <v>0.25936394436292592</v>
      </c>
      <c r="F157" s="141">
        <f t="shared" si="211"/>
        <v>0.26099442873403716</v>
      </c>
      <c r="G157" s="141">
        <f t="shared" si="211"/>
        <v>0.2621657957694476</v>
      </c>
      <c r="H157" s="141">
        <f t="shared" si="211"/>
        <v>0.26281917044454267</v>
      </c>
      <c r="I157" s="141">
        <f t="shared" si="211"/>
        <v>0.26253970150755679</v>
      </c>
      <c r="J157" s="141">
        <f t="shared" si="211"/>
        <v>0.26356838489197965</v>
      </c>
      <c r="K157" s="141">
        <f t="shared" si="211"/>
        <v>0.2654364212171379</v>
      </c>
      <c r="L157" s="141">
        <f t="shared" ref="L157" si="212">IF(L20=0,0,L20/L47)</f>
        <v>0.26536293081926454</v>
      </c>
      <c r="M157" s="141">
        <f t="shared" ref="M157:V157" si="213">IF(M20=0,0,M20/M47)</f>
        <v>0.26529202976891664</v>
      </c>
      <c r="N157" s="141">
        <f t="shared" si="213"/>
        <v>0.26689411233190774</v>
      </c>
      <c r="O157" s="141">
        <f t="shared" si="213"/>
        <v>0.26839288056275329</v>
      </c>
      <c r="P157" s="141">
        <f t="shared" si="213"/>
        <v>0.26707444056652374</v>
      </c>
      <c r="Q157" s="141">
        <f t="shared" si="213"/>
        <v>0.26677132083429278</v>
      </c>
      <c r="R157" s="141">
        <f t="shared" si="213"/>
        <v>0.26631662656765587</v>
      </c>
      <c r="S157" s="141">
        <f t="shared" si="213"/>
        <v>0.26757533747684326</v>
      </c>
      <c r="T157" s="141">
        <f t="shared" si="213"/>
        <v>0.26803063259828752</v>
      </c>
      <c r="U157" s="141">
        <f t="shared" si="213"/>
        <v>0.26894647066954641</v>
      </c>
      <c r="V157" s="141">
        <f t="shared" si="213"/>
        <v>0.27057517445505663</v>
      </c>
      <c r="W157" s="141">
        <f t="shared" ref="W157" si="214">IF(W20=0,0,W20/W47)</f>
        <v>0.27038082096146226</v>
      </c>
      <c r="DA157" s="174" t="s">
        <v>567</v>
      </c>
    </row>
    <row r="158" spans="1:105" ht="11.45" customHeight="1" x14ac:dyDescent="0.25">
      <c r="A158" s="111" t="s">
        <v>110</v>
      </c>
      <c r="B158" s="96">
        <v>0.20474503960180085</v>
      </c>
      <c r="C158" s="96">
        <v>0.2058751596778336</v>
      </c>
      <c r="D158" s="96">
        <v>0.20598505478085452</v>
      </c>
      <c r="E158" s="96">
        <v>0.20662740147581068</v>
      </c>
      <c r="F158" s="96">
        <v>0.20755674911693048</v>
      </c>
      <c r="G158" s="96">
        <v>0.208200740722567</v>
      </c>
      <c r="H158" s="96">
        <v>0.20858286955829572</v>
      </c>
      <c r="I158" s="96">
        <v>0.2083011172607003</v>
      </c>
      <c r="J158" s="96">
        <v>0.20930141164563595</v>
      </c>
      <c r="K158" s="96">
        <v>0.2110239999868537</v>
      </c>
      <c r="L158" s="96">
        <v>0.21123110984945775</v>
      </c>
      <c r="M158" s="96">
        <v>0.21141609622865798</v>
      </c>
      <c r="N158" s="96">
        <v>0.21299535403237135</v>
      </c>
      <c r="O158" s="96">
        <v>0.21470233503171898</v>
      </c>
      <c r="P158" s="96">
        <v>0.21395485292009533</v>
      </c>
      <c r="Q158" s="96">
        <v>0.21348387096774191</v>
      </c>
      <c r="R158" s="96">
        <v>0.2130974780004774</v>
      </c>
      <c r="S158" s="96">
        <v>0.21409650792970605</v>
      </c>
      <c r="T158" s="96">
        <v>0.21370908340223238</v>
      </c>
      <c r="U158" s="96">
        <v>0.21443967740449332</v>
      </c>
      <c r="V158" s="96">
        <v>0.21574770445169617</v>
      </c>
      <c r="W158" s="96">
        <v>0.21558316908950567</v>
      </c>
      <c r="DA158" s="171" t="s">
        <v>568</v>
      </c>
    </row>
    <row r="159" spans="1:105" ht="11.45" customHeight="1" x14ac:dyDescent="0.25">
      <c r="A159" s="111" t="s">
        <v>111</v>
      </c>
      <c r="B159" s="96">
        <v>0.26031614159878086</v>
      </c>
      <c r="C159" s="96">
        <v>0.26197865661115827</v>
      </c>
      <c r="D159" s="96">
        <v>0.26220377788514737</v>
      </c>
      <c r="E159" s="96">
        <v>0.26292719499611872</v>
      </c>
      <c r="F159" s="96">
        <v>0.26401925871937554</v>
      </c>
      <c r="G159" s="96">
        <v>0.26471552871262316</v>
      </c>
      <c r="H159" s="96">
        <v>0.26499573416004973</v>
      </c>
      <c r="I159" s="96">
        <v>0.26440954438023895</v>
      </c>
      <c r="J159" s="96">
        <v>0.26525607373838966</v>
      </c>
      <c r="K159" s="96">
        <v>0.26695780476694614</v>
      </c>
      <c r="L159" s="96">
        <v>0.26677510648439007</v>
      </c>
      <c r="M159" s="96">
        <v>0.26658499134128333</v>
      </c>
      <c r="N159" s="96">
        <v>0.26805757378906842</v>
      </c>
      <c r="O159" s="96">
        <v>0.26955559732255419</v>
      </c>
      <c r="P159" s="96">
        <v>0.26817859473902078</v>
      </c>
      <c r="Q159" s="96">
        <v>0.26782349710431119</v>
      </c>
      <c r="R159" s="96">
        <v>0.26733875268179264</v>
      </c>
      <c r="S159" s="96">
        <v>0.26859207307618593</v>
      </c>
      <c r="T159" s="96">
        <v>0.26907428250479515</v>
      </c>
      <c r="U159" s="96">
        <v>0.26999415008286465</v>
      </c>
      <c r="V159" s="96">
        <v>0.27164104516855708</v>
      </c>
      <c r="W159" s="96">
        <v>0.27143388394815754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0.20397725056918495</v>
      </c>
      <c r="P160" s="96">
        <v>0.20204497227815515</v>
      </c>
      <c r="Q160" s="96">
        <v>0.20089072127582452</v>
      </c>
      <c r="R160" s="96">
        <v>0.20093469996576424</v>
      </c>
      <c r="S160" s="96">
        <v>0.20228703104036258</v>
      </c>
      <c r="T160" s="96">
        <v>0.20306209557939212</v>
      </c>
      <c r="U160" s="96">
        <v>0.20417043360599166</v>
      </c>
      <c r="V160" s="96">
        <v>0.20583333617642813</v>
      </c>
      <c r="W160" s="96">
        <v>0.20609440663096662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0.27127969810185998</v>
      </c>
      <c r="I162" s="96">
        <v>0.27123653225042843</v>
      </c>
      <c r="J162" s="96">
        <v>0.27120036209470538</v>
      </c>
      <c r="K162" s="96">
        <v>0.27112022220987719</v>
      </c>
      <c r="L162" s="96">
        <v>0.2711071946051134</v>
      </c>
      <c r="M162" s="96">
        <v>0.27109280441135786</v>
      </c>
      <c r="N162" s="96">
        <v>0.27102243171518836</v>
      </c>
      <c r="O162" s="96">
        <v>0.27094510893536672</v>
      </c>
      <c r="P162" s="96">
        <v>0.27087444506583941</v>
      </c>
      <c r="Q162" s="96">
        <v>0.27085266400869873</v>
      </c>
      <c r="R162" s="96">
        <v>0.27090195912529996</v>
      </c>
      <c r="S162" s="96">
        <v>0.27093636732466497</v>
      </c>
      <c r="T162" s="96">
        <v>0.27093915868290425</v>
      </c>
      <c r="U162" s="96">
        <v>0.27095725725694003</v>
      </c>
      <c r="V162" s="96">
        <v>0.27174633770490181</v>
      </c>
      <c r="W162" s="96">
        <v>0.27097400759882712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10.70719908585672</v>
      </c>
      <c r="C163" s="130">
        <f t="shared" si="215"/>
        <v>10.656977516847032</v>
      </c>
      <c r="D163" s="130">
        <f t="shared" si="215"/>
        <v>10.592508252102268</v>
      </c>
      <c r="E163" s="130">
        <f t="shared" si="215"/>
        <v>10.610495022224942</v>
      </c>
      <c r="F163" s="130">
        <f t="shared" si="215"/>
        <v>10.930420783928236</v>
      </c>
      <c r="G163" s="130">
        <f t="shared" si="215"/>
        <v>10.992499173772718</v>
      </c>
      <c r="H163" s="130">
        <f t="shared" si="215"/>
        <v>10.775253548808834</v>
      </c>
      <c r="I163" s="130">
        <f t="shared" si="215"/>
        <v>10.997866667204766</v>
      </c>
      <c r="J163" s="130">
        <f t="shared" si="215"/>
        <v>11.427424113456281</v>
      </c>
      <c r="K163" s="130">
        <f t="shared" si="215"/>
        <v>12.968691372446298</v>
      </c>
      <c r="L163" s="130">
        <f t="shared" ref="L163" si="216">IF(L26=0,0,L26/L53)</f>
        <v>13.157802083599238</v>
      </c>
      <c r="M163" s="130">
        <f t="shared" ref="M163:V163" si="217">IF(M26=0,0,M26/M53)</f>
        <v>13.263405023449804</v>
      </c>
      <c r="N163" s="130">
        <f t="shared" si="217"/>
        <v>13.019746069932468</v>
      </c>
      <c r="O163" s="130">
        <f t="shared" si="217"/>
        <v>12.92551217909346</v>
      </c>
      <c r="P163" s="130">
        <f t="shared" si="217"/>
        <v>13.046613377376222</v>
      </c>
      <c r="Q163" s="130">
        <f t="shared" si="217"/>
        <v>12.97222575488256</v>
      </c>
      <c r="R163" s="130">
        <f t="shared" si="217"/>
        <v>13.215263157196182</v>
      </c>
      <c r="S163" s="130">
        <f t="shared" si="217"/>
        <v>13.256729144987158</v>
      </c>
      <c r="T163" s="130">
        <f t="shared" si="217"/>
        <v>11.355555358443631</v>
      </c>
      <c r="U163" s="130">
        <f t="shared" si="217"/>
        <v>11.492557932786452</v>
      </c>
      <c r="V163" s="130">
        <f t="shared" si="217"/>
        <v>11.188916136129402</v>
      </c>
      <c r="W163" s="130">
        <f t="shared" ref="W163" si="218">IF(W26=0,0,W26/W53)</f>
        <v>11.110214093373823</v>
      </c>
      <c r="DA163" s="176" t="s">
        <v>573</v>
      </c>
    </row>
    <row r="164" spans="1:105" ht="11.45" customHeight="1" x14ac:dyDescent="0.25">
      <c r="A164" s="128" t="s">
        <v>27</v>
      </c>
      <c r="B164" s="97">
        <v>6.693548387096774</v>
      </c>
      <c r="C164" s="97">
        <v>6.859154929577465</v>
      </c>
      <c r="D164" s="97">
        <v>7.024096385542169</v>
      </c>
      <c r="E164" s="97">
        <v>6.9753086419753085</v>
      </c>
      <c r="F164" s="97">
        <v>7.1298701298701301</v>
      </c>
      <c r="G164" s="97">
        <v>6.8611111111111107</v>
      </c>
      <c r="H164" s="97">
        <v>6.8</v>
      </c>
      <c r="I164" s="97">
        <v>6.9367088607594933</v>
      </c>
      <c r="J164" s="97">
        <v>7.5</v>
      </c>
      <c r="K164" s="97">
        <v>11.276595744680851</v>
      </c>
      <c r="L164" s="97">
        <v>11.038461538461538</v>
      </c>
      <c r="M164" s="97">
        <v>11.607142857142858</v>
      </c>
      <c r="N164" s="97">
        <v>11.6</v>
      </c>
      <c r="O164" s="97">
        <v>10.943661971830986</v>
      </c>
      <c r="P164" s="97">
        <v>11.628865979381443</v>
      </c>
      <c r="Q164" s="97">
        <v>11.642857142857142</v>
      </c>
      <c r="R164" s="97">
        <v>12.264367816091953</v>
      </c>
      <c r="S164" s="97">
        <v>12.107142857142856</v>
      </c>
      <c r="T164" s="97">
        <v>7.5232558139534884</v>
      </c>
      <c r="U164" s="97">
        <v>7.776470588235294</v>
      </c>
      <c r="V164" s="97">
        <v>7</v>
      </c>
      <c r="W164" s="97">
        <v>7.0568181818181817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14.257421972058395</v>
      </c>
      <c r="C165" s="98">
        <v>14.245058387803748</v>
      </c>
      <c r="D165" s="98">
        <v>14.338603689647606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14.178700182725072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15071.428035438214</v>
      </c>
      <c r="C167" s="54">
        <f t="shared" si="219"/>
        <v>15450.492882022716</v>
      </c>
      <c r="D167" s="54">
        <f t="shared" si="219"/>
        <v>15591.951006411753</v>
      </c>
      <c r="E167" s="54">
        <f t="shared" si="219"/>
        <v>15604.76737502789</v>
      </c>
      <c r="F167" s="54">
        <f t="shared" si="219"/>
        <v>15680.157083945327</v>
      </c>
      <c r="G167" s="54">
        <f t="shared" si="219"/>
        <v>15814.102649758313</v>
      </c>
      <c r="H167" s="54">
        <f t="shared" si="219"/>
        <v>15852.969628362178</v>
      </c>
      <c r="I167" s="54">
        <f t="shared" si="219"/>
        <v>15783.003123806886</v>
      </c>
      <c r="J167" s="54">
        <f t="shared" si="219"/>
        <v>15777.810877714062</v>
      </c>
      <c r="K167" s="54">
        <f t="shared" si="219"/>
        <v>15414.017887557418</v>
      </c>
      <c r="L167" s="54">
        <f t="shared" si="219"/>
        <v>14775.820073755254</v>
      </c>
      <c r="M167" s="54">
        <f>IF(M30=0,0,M30*1000000/M57)</f>
        <v>14671.362335763686</v>
      </c>
      <c r="N167" s="54">
        <f t="shared" ref="N167:V167" si="220">IF(N30=0,0,N30*1000000/N57)</f>
        <v>14689.690232446954</v>
      </c>
      <c r="O167" s="54">
        <f t="shared" si="220"/>
        <v>14624.663296408609</v>
      </c>
      <c r="P167" s="54">
        <f t="shared" si="220"/>
        <v>14913.848602625281</v>
      </c>
      <c r="Q167" s="54">
        <f t="shared" si="220"/>
        <v>14739.58342448053</v>
      </c>
      <c r="R167" s="54">
        <f t="shared" si="220"/>
        <v>14946.67761623908</v>
      </c>
      <c r="S167" s="54">
        <f t="shared" si="220"/>
        <v>14763.206658777339</v>
      </c>
      <c r="T167" s="54">
        <f t="shared" si="220"/>
        <v>14856.929699393746</v>
      </c>
      <c r="U167" s="54">
        <f t="shared" si="220"/>
        <v>14827.583694676423</v>
      </c>
      <c r="V167" s="54">
        <f t="shared" si="220"/>
        <v>13907.184074977362</v>
      </c>
      <c r="W167" s="54">
        <f t="shared" ref="W167:W191" si="221">IF(W30=0,0,W30*1000000/W57)</f>
        <v>14161.695420911181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14688.072850685359</v>
      </c>
      <c r="C168" s="28">
        <f t="shared" si="219"/>
        <v>15009.400331304458</v>
      </c>
      <c r="D168" s="28">
        <f t="shared" si="219"/>
        <v>15069.151981524272</v>
      </c>
      <c r="E168" s="28">
        <f t="shared" si="219"/>
        <v>15092.605712247978</v>
      </c>
      <c r="F168" s="28">
        <f t="shared" si="219"/>
        <v>15138.261936915769</v>
      </c>
      <c r="G168" s="28">
        <f t="shared" si="219"/>
        <v>15335.495916343645</v>
      </c>
      <c r="H168" s="28">
        <f t="shared" si="219"/>
        <v>15368.30693132691</v>
      </c>
      <c r="I168" s="28">
        <f t="shared" si="219"/>
        <v>15245.180982111875</v>
      </c>
      <c r="J168" s="28">
        <f t="shared" si="219"/>
        <v>15272.682684673826</v>
      </c>
      <c r="K168" s="28">
        <f t="shared" si="219"/>
        <v>15064.546397075734</v>
      </c>
      <c r="L168" s="28">
        <f t="shared" si="219"/>
        <v>14341.922187869081</v>
      </c>
      <c r="M168" s="28">
        <f t="shared" ref="M168:M192" si="222">IF(M31=0,0,M31*1000000/M58)</f>
        <v>14213.645617682394</v>
      </c>
      <c r="N168" s="28">
        <f t="shared" si="219"/>
        <v>14122.759542033471</v>
      </c>
      <c r="O168" s="28">
        <f t="shared" si="219"/>
        <v>14075.999183376356</v>
      </c>
      <c r="P168" s="28">
        <f t="shared" si="219"/>
        <v>14255.121352184464</v>
      </c>
      <c r="Q168" s="28">
        <f t="shared" si="219"/>
        <v>14141.978853079576</v>
      </c>
      <c r="R168" s="28">
        <f t="shared" si="219"/>
        <v>14335.606649153273</v>
      </c>
      <c r="S168" s="28">
        <f t="shared" si="219"/>
        <v>14186.175694276919</v>
      </c>
      <c r="T168" s="28">
        <f t="shared" si="219"/>
        <v>14296.832755003206</v>
      </c>
      <c r="U168" s="28">
        <f t="shared" si="219"/>
        <v>14300.603015512947</v>
      </c>
      <c r="V168" s="28">
        <f t="shared" si="219"/>
        <v>13388.586144660034</v>
      </c>
      <c r="W168" s="28">
        <f t="shared" si="221"/>
        <v>13597.157017973332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3438.6295722866153</v>
      </c>
      <c r="C169" s="137">
        <f t="shared" si="219"/>
        <v>3203.3360300251347</v>
      </c>
      <c r="D169" s="137">
        <f t="shared" si="219"/>
        <v>3061.7938972291245</v>
      </c>
      <c r="E169" s="137">
        <f t="shared" si="219"/>
        <v>2801.922992535764</v>
      </c>
      <c r="F169" s="137">
        <f t="shared" si="219"/>
        <v>2727.2159426960798</v>
      </c>
      <c r="G169" s="137">
        <f t="shared" si="219"/>
        <v>2611.8289352566981</v>
      </c>
      <c r="H169" s="137">
        <f t="shared" si="219"/>
        <v>2456.3844070583627</v>
      </c>
      <c r="I169" s="137">
        <f t="shared" si="219"/>
        <v>2357.6991240342832</v>
      </c>
      <c r="J169" s="137">
        <f t="shared" si="219"/>
        <v>2227.1954730252328</v>
      </c>
      <c r="K169" s="137">
        <f t="shared" si="219"/>
        <v>2146.187450056676</v>
      </c>
      <c r="L169" s="137">
        <f t="shared" si="219"/>
        <v>2081.9761229403498</v>
      </c>
      <c r="M169" s="137">
        <f t="shared" si="222"/>
        <v>2034.8366459137317</v>
      </c>
      <c r="N169" s="137">
        <f t="shared" si="219"/>
        <v>2054.9295513491938</v>
      </c>
      <c r="O169" s="137">
        <f t="shared" si="219"/>
        <v>2009.3282358165534</v>
      </c>
      <c r="P169" s="137">
        <f t="shared" si="219"/>
        <v>1985.9795037755762</v>
      </c>
      <c r="Q169" s="137">
        <f t="shared" si="219"/>
        <v>2002.1621470510993</v>
      </c>
      <c r="R169" s="137">
        <f t="shared" si="219"/>
        <v>2029.1672864464942</v>
      </c>
      <c r="S169" s="137">
        <f t="shared" si="219"/>
        <v>1859.9172839160888</v>
      </c>
      <c r="T169" s="137">
        <f t="shared" si="219"/>
        <v>1751.0649054948535</v>
      </c>
      <c r="U169" s="137">
        <f t="shared" si="219"/>
        <v>1841.4663078629105</v>
      </c>
      <c r="V169" s="137">
        <f t="shared" si="219"/>
        <v>1588.7793227172995</v>
      </c>
      <c r="W169" s="137">
        <f t="shared" si="221"/>
        <v>1590.2797568802218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14969.529981526059</v>
      </c>
      <c r="C170" s="110">
        <f t="shared" si="219"/>
        <v>15341.025342908979</v>
      </c>
      <c r="D170" s="110">
        <f t="shared" si="219"/>
        <v>15446.898600909435</v>
      </c>
      <c r="E170" s="110">
        <f t="shared" si="219"/>
        <v>15529.77011598311</v>
      </c>
      <c r="F170" s="110">
        <f t="shared" si="219"/>
        <v>15625.147195925985</v>
      </c>
      <c r="G170" s="110">
        <f t="shared" si="219"/>
        <v>15871.845384202814</v>
      </c>
      <c r="H170" s="110">
        <f t="shared" si="219"/>
        <v>15953.626906490981</v>
      </c>
      <c r="I170" s="110">
        <f t="shared" si="219"/>
        <v>15868.042901280249</v>
      </c>
      <c r="J170" s="110">
        <f t="shared" si="219"/>
        <v>15940.3865820669</v>
      </c>
      <c r="K170" s="110">
        <f t="shared" si="219"/>
        <v>15771.991719259444</v>
      </c>
      <c r="L170" s="110">
        <f t="shared" si="219"/>
        <v>15042.632605128707</v>
      </c>
      <c r="M170" s="110">
        <f t="shared" si="222"/>
        <v>14932.432147109106</v>
      </c>
      <c r="N170" s="110">
        <f t="shared" si="219"/>
        <v>14851.440224089822</v>
      </c>
      <c r="O170" s="110">
        <f t="shared" si="219"/>
        <v>14838.468294212928</v>
      </c>
      <c r="P170" s="110">
        <f t="shared" si="219"/>
        <v>15064.974770867973</v>
      </c>
      <c r="Q170" s="110">
        <f t="shared" si="219"/>
        <v>14954.750373661915</v>
      </c>
      <c r="R170" s="110">
        <f t="shared" si="219"/>
        <v>15171.498692979447</v>
      </c>
      <c r="S170" s="110">
        <f t="shared" si="219"/>
        <v>15022.548934697119</v>
      </c>
      <c r="T170" s="110">
        <f t="shared" si="219"/>
        <v>15137.269194985367</v>
      </c>
      <c r="U170" s="110">
        <f t="shared" si="219"/>
        <v>15110.143617348924</v>
      </c>
      <c r="V170" s="110">
        <f t="shared" si="219"/>
        <v>14181.934859891495</v>
      </c>
      <c r="W170" s="110">
        <f t="shared" si="221"/>
        <v>14437.75170738114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14301.790920793874</v>
      </c>
      <c r="C171" s="84">
        <f t="shared" si="219"/>
        <v>14585.900157054277</v>
      </c>
      <c r="D171" s="84">
        <f t="shared" si="219"/>
        <v>14619.296076215429</v>
      </c>
      <c r="E171" s="84">
        <f t="shared" si="219"/>
        <v>14718.872928286406</v>
      </c>
      <c r="F171" s="84">
        <f t="shared" si="219"/>
        <v>14821.679555589753</v>
      </c>
      <c r="G171" s="84">
        <f t="shared" si="219"/>
        <v>15185.215320984416</v>
      </c>
      <c r="H171" s="84">
        <f t="shared" si="219"/>
        <v>15323.564939715125</v>
      </c>
      <c r="I171" s="84">
        <f t="shared" si="219"/>
        <v>15582.132127977258</v>
      </c>
      <c r="J171" s="84">
        <f t="shared" si="219"/>
        <v>16028.89179155714</v>
      </c>
      <c r="K171" s="84">
        <f t="shared" si="219"/>
        <v>15958.585272573167</v>
      </c>
      <c r="L171" s="84">
        <f t="shared" si="219"/>
        <v>15353.383996110766</v>
      </c>
      <c r="M171" s="84">
        <f t="shared" si="222"/>
        <v>15543.940151858718</v>
      </c>
      <c r="N171" s="84">
        <f t="shared" si="219"/>
        <v>15468.440599086314</v>
      </c>
      <c r="O171" s="84">
        <f t="shared" si="219"/>
        <v>15053.822764193967</v>
      </c>
      <c r="P171" s="84">
        <f t="shared" si="219"/>
        <v>14857.011440564134</v>
      </c>
      <c r="Q171" s="84">
        <f t="shared" si="219"/>
        <v>14546.955772157849</v>
      </c>
      <c r="R171" s="84">
        <f t="shared" si="219"/>
        <v>14766.17022084253</v>
      </c>
      <c r="S171" s="84">
        <f t="shared" si="219"/>
        <v>14634.357062563055</v>
      </c>
      <c r="T171" s="84">
        <f t="shared" si="219"/>
        <v>14762.389759984406</v>
      </c>
      <c r="U171" s="84">
        <f t="shared" si="219"/>
        <v>14757.051259031192</v>
      </c>
      <c r="V171" s="84">
        <f t="shared" si="219"/>
        <v>13869.822373950632</v>
      </c>
      <c r="W171" s="84">
        <f t="shared" si="221"/>
        <v>14142.526246964304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16651.109085848431</v>
      </c>
      <c r="C172" s="84">
        <f t="shared" si="219"/>
        <v>16917.451062279528</v>
      </c>
      <c r="D172" s="84">
        <f t="shared" si="219"/>
        <v>16922.276576283803</v>
      </c>
      <c r="E172" s="84">
        <f t="shared" si="219"/>
        <v>16775.710136513349</v>
      </c>
      <c r="F172" s="84">
        <f t="shared" si="219"/>
        <v>16652.570268645384</v>
      </c>
      <c r="G172" s="84">
        <f t="shared" si="219"/>
        <v>16604.539836758744</v>
      </c>
      <c r="H172" s="84">
        <f t="shared" si="219"/>
        <v>16507.595014697516</v>
      </c>
      <c r="I172" s="84">
        <f t="shared" si="219"/>
        <v>16088.317593964992</v>
      </c>
      <c r="J172" s="84">
        <f t="shared" si="219"/>
        <v>15888.691090401953</v>
      </c>
      <c r="K172" s="84">
        <f t="shared" si="219"/>
        <v>15666.630388247782</v>
      </c>
      <c r="L172" s="84">
        <f t="shared" si="219"/>
        <v>14876.130070929479</v>
      </c>
      <c r="M172" s="84">
        <f t="shared" si="222"/>
        <v>14608.85492772796</v>
      </c>
      <c r="N172" s="84">
        <f t="shared" si="219"/>
        <v>14537.58526678917</v>
      </c>
      <c r="O172" s="84">
        <f t="shared" si="219"/>
        <v>14739.254784387293</v>
      </c>
      <c r="P172" s="84">
        <f t="shared" si="219"/>
        <v>15186.400845170849</v>
      </c>
      <c r="Q172" s="84">
        <f t="shared" si="219"/>
        <v>15181.869655765666</v>
      </c>
      <c r="R172" s="84">
        <f t="shared" si="219"/>
        <v>15410.651899880351</v>
      </c>
      <c r="S172" s="84">
        <f t="shared" si="219"/>
        <v>15273.085647582813</v>
      </c>
      <c r="T172" s="84">
        <f t="shared" si="219"/>
        <v>15406.706437689794</v>
      </c>
      <c r="U172" s="84">
        <f t="shared" si="219"/>
        <v>15401.134933459061</v>
      </c>
      <c r="V172" s="84">
        <f t="shared" si="219"/>
        <v>14475.182211866007</v>
      </c>
      <c r="W172" s="84">
        <f t="shared" si="221"/>
        <v>14759.788470354817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13158.203251389619</v>
      </c>
      <c r="C173" s="84">
        <f t="shared" si="219"/>
        <v>14478.585584852262</v>
      </c>
      <c r="D173" s="84">
        <f t="shared" si="219"/>
        <v>14439.129703551751</v>
      </c>
      <c r="E173" s="84">
        <f t="shared" si="219"/>
        <v>14376.711629863006</v>
      </c>
      <c r="F173" s="84">
        <f t="shared" si="219"/>
        <v>14326.174365363744</v>
      </c>
      <c r="G173" s="84">
        <f t="shared" si="219"/>
        <v>14419.570712430972</v>
      </c>
      <c r="H173" s="84">
        <f t="shared" si="219"/>
        <v>14644.034524872228</v>
      </c>
      <c r="I173" s="84">
        <f t="shared" si="219"/>
        <v>14708.645496216552</v>
      </c>
      <c r="J173" s="84">
        <f t="shared" si="219"/>
        <v>14632.73693030438</v>
      </c>
      <c r="K173" s="84">
        <f t="shared" si="219"/>
        <v>14327.198118284006</v>
      </c>
      <c r="L173" s="84">
        <f t="shared" si="219"/>
        <v>13497.361836163542</v>
      </c>
      <c r="M173" s="84">
        <f t="shared" si="222"/>
        <v>13528.447392644706</v>
      </c>
      <c r="N173" s="84">
        <f t="shared" si="219"/>
        <v>13317.834819988408</v>
      </c>
      <c r="O173" s="84">
        <f t="shared" si="219"/>
        <v>13173.962451165396</v>
      </c>
      <c r="P173" s="84">
        <f t="shared" si="219"/>
        <v>13520.269408097638</v>
      </c>
      <c r="Q173" s="84">
        <f t="shared" si="219"/>
        <v>13552.167803045577</v>
      </c>
      <c r="R173" s="84">
        <f t="shared" si="219"/>
        <v>13483.98756683737</v>
      </c>
      <c r="S173" s="84">
        <f t="shared" si="219"/>
        <v>13098.993927342843</v>
      </c>
      <c r="T173" s="84">
        <f t="shared" si="219"/>
        <v>13213.594078128686</v>
      </c>
      <c r="U173" s="84">
        <f t="shared" si="219"/>
        <v>13208.815665843931</v>
      </c>
      <c r="V173" s="84">
        <f t="shared" si="219"/>
        <v>12168.835315921257</v>
      </c>
      <c r="W173" s="84">
        <f t="shared" si="221"/>
        <v>12408.094942414373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14063.452773642235</v>
      </c>
      <c r="O175" s="84">
        <f t="shared" si="219"/>
        <v>13911.525505304469</v>
      </c>
      <c r="P175" s="84">
        <f t="shared" si="219"/>
        <v>13994.503703989605</v>
      </c>
      <c r="Q175" s="84">
        <f t="shared" si="219"/>
        <v>13749.748268438589</v>
      </c>
      <c r="R175" s="84">
        <f t="shared" si="219"/>
        <v>13956.949248040646</v>
      </c>
      <c r="S175" s="84">
        <f t="shared" si="219"/>
        <v>13832.359761883035</v>
      </c>
      <c r="T175" s="84">
        <f t="shared" si="219"/>
        <v>13953.375965358548</v>
      </c>
      <c r="U175" s="84">
        <f t="shared" si="219"/>
        <v>13948.330026855181</v>
      </c>
      <c r="V175" s="84">
        <f t="shared" si="219"/>
        <v>13109.72337832919</v>
      </c>
      <c r="W175" s="84">
        <f t="shared" si="221"/>
        <v>13367.48243558451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14080.626981211524</v>
      </c>
      <c r="K176" s="84">
        <f t="shared" si="219"/>
        <v>14095.490992893036</v>
      </c>
      <c r="L176" s="84">
        <f t="shared" si="219"/>
        <v>14137.604470533375</v>
      </c>
      <c r="M176" s="84">
        <f t="shared" si="222"/>
        <v>14150.121951919733</v>
      </c>
      <c r="N176" s="84">
        <f t="shared" si="219"/>
        <v>14161.227489960756</v>
      </c>
      <c r="O176" s="84">
        <f t="shared" si="219"/>
        <v>14168.920372048831</v>
      </c>
      <c r="P176" s="84">
        <f t="shared" si="219"/>
        <v>14173.134120133569</v>
      </c>
      <c r="Q176" s="84">
        <f t="shared" si="219"/>
        <v>14185.643277956397</v>
      </c>
      <c r="R176" s="84">
        <f t="shared" si="219"/>
        <v>14175.03849490886</v>
      </c>
      <c r="S176" s="84">
        <f t="shared" si="219"/>
        <v>14168.684696207771</v>
      </c>
      <c r="T176" s="84">
        <f t="shared" si="219"/>
        <v>14162.515063175457</v>
      </c>
      <c r="U176" s="84">
        <f t="shared" si="219"/>
        <v>14162.258940719468</v>
      </c>
      <c r="V176" s="84">
        <f t="shared" si="219"/>
        <v>13518.73378207082</v>
      </c>
      <c r="W176" s="84">
        <f t="shared" si="221"/>
        <v>14132.171562991934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36926.974282640418</v>
      </c>
      <c r="C177" s="110">
        <f t="shared" si="219"/>
        <v>37803.947841977963</v>
      </c>
      <c r="D177" s="110">
        <f t="shared" si="219"/>
        <v>38666.227587276873</v>
      </c>
      <c r="E177" s="110">
        <f t="shared" si="219"/>
        <v>38050.062972459687</v>
      </c>
      <c r="F177" s="110">
        <f t="shared" si="219"/>
        <v>37366.813209405685</v>
      </c>
      <c r="G177" s="110">
        <f t="shared" si="219"/>
        <v>36733.985321526146</v>
      </c>
      <c r="H177" s="110">
        <f t="shared" si="219"/>
        <v>36065.408009571023</v>
      </c>
      <c r="I177" s="110">
        <f t="shared" si="219"/>
        <v>35453.214180269184</v>
      </c>
      <c r="J177" s="110">
        <f t="shared" si="219"/>
        <v>34862.51523823601</v>
      </c>
      <c r="K177" s="110">
        <f t="shared" si="219"/>
        <v>34263.209927481978</v>
      </c>
      <c r="L177" s="110">
        <f t="shared" si="219"/>
        <v>34976.408328562211</v>
      </c>
      <c r="M177" s="110">
        <f t="shared" si="222"/>
        <v>34415.452647946338</v>
      </c>
      <c r="N177" s="110">
        <f t="shared" si="219"/>
        <v>33802.942799960554</v>
      </c>
      <c r="O177" s="110">
        <f t="shared" si="219"/>
        <v>33284.845009672521</v>
      </c>
      <c r="P177" s="110">
        <f t="shared" si="219"/>
        <v>32649.735181113818</v>
      </c>
      <c r="Q177" s="110">
        <f t="shared" si="219"/>
        <v>32079.197747624003</v>
      </c>
      <c r="R177" s="110">
        <f t="shared" si="219"/>
        <v>31783.513437008689</v>
      </c>
      <c r="S177" s="110">
        <f t="shared" si="219"/>
        <v>31873.667860985381</v>
      </c>
      <c r="T177" s="110">
        <f t="shared" si="219"/>
        <v>31203.104465405177</v>
      </c>
      <c r="U177" s="110">
        <f t="shared" si="219"/>
        <v>30480.156439625294</v>
      </c>
      <c r="V177" s="110">
        <f t="shared" si="219"/>
        <v>29617.561611959216</v>
      </c>
      <c r="W177" s="110">
        <f t="shared" si="221"/>
        <v>28311.476091461755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9855.6516591243308</v>
      </c>
      <c r="U178" s="102">
        <f t="shared" si="219"/>
        <v>9423.7070487577294</v>
      </c>
      <c r="V178" s="102">
        <f t="shared" si="219"/>
        <v>8961.0018486302943</v>
      </c>
      <c r="W178" s="102">
        <f t="shared" si="221"/>
        <v>8375.6113292026021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36926.974282640418</v>
      </c>
      <c r="C179" s="102">
        <f t="shared" si="219"/>
        <v>37803.947841977963</v>
      </c>
      <c r="D179" s="102">
        <f t="shared" si="219"/>
        <v>38666.227587276873</v>
      </c>
      <c r="E179" s="102">
        <f t="shared" si="219"/>
        <v>38040.517727727798</v>
      </c>
      <c r="F179" s="102">
        <f t="shared" si="219"/>
        <v>37355.875465089492</v>
      </c>
      <c r="G179" s="102">
        <f t="shared" si="219"/>
        <v>36722.12797148923</v>
      </c>
      <c r="H179" s="102">
        <f t="shared" si="219"/>
        <v>36052.344904656849</v>
      </c>
      <c r="I179" s="102">
        <f t="shared" si="219"/>
        <v>35439.495541035118</v>
      </c>
      <c r="J179" s="102">
        <f t="shared" si="219"/>
        <v>34848.379251906888</v>
      </c>
      <c r="K179" s="102">
        <f t="shared" si="219"/>
        <v>34253.460706663594</v>
      </c>
      <c r="L179" s="102">
        <f t="shared" si="219"/>
        <v>34967.556430477627</v>
      </c>
      <c r="M179" s="102">
        <f t="shared" si="222"/>
        <v>34406.249718212639</v>
      </c>
      <c r="N179" s="102">
        <f t="shared" si="219"/>
        <v>33793.119453740823</v>
      </c>
      <c r="O179" s="102">
        <f t="shared" si="219"/>
        <v>33264.267663288629</v>
      </c>
      <c r="P179" s="102">
        <f t="shared" si="219"/>
        <v>32633.333717545553</v>
      </c>
      <c r="Q179" s="102">
        <f t="shared" si="219"/>
        <v>32062.511524352554</v>
      </c>
      <c r="R179" s="102">
        <f t="shared" si="219"/>
        <v>31766.804103710001</v>
      </c>
      <c r="S179" s="102">
        <f t="shared" si="219"/>
        <v>31830.667891116627</v>
      </c>
      <c r="T179" s="102">
        <f t="shared" si="219"/>
        <v>31059.35451015161</v>
      </c>
      <c r="U179" s="102">
        <f t="shared" si="219"/>
        <v>29900.455361890687</v>
      </c>
      <c r="V179" s="102">
        <f t="shared" si="219"/>
        <v>28777.092303057747</v>
      </c>
      <c r="W179" s="102">
        <f t="shared" si="221"/>
        <v>27171.96475203396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41944.522823073457</v>
      </c>
      <c r="F182" s="102">
        <f t="shared" si="223"/>
        <v>41982.541310840381</v>
      </c>
      <c r="G182" s="102">
        <f t="shared" si="223"/>
        <v>42018.41098797899</v>
      </c>
      <c r="H182" s="102">
        <f t="shared" si="223"/>
        <v>42057.018796871133</v>
      </c>
      <c r="I182" s="102">
        <f t="shared" si="223"/>
        <v>42093.035569555985</v>
      </c>
      <c r="J182" s="102">
        <f t="shared" si="223"/>
        <v>42128.412211404095</v>
      </c>
      <c r="K182" s="102">
        <f t="shared" si="223"/>
        <v>42164.953400782309</v>
      </c>
      <c r="L182" s="102">
        <f t="shared" si="223"/>
        <v>42208.409063668209</v>
      </c>
      <c r="M182" s="102">
        <f t="shared" si="222"/>
        <v>42242.544386456051</v>
      </c>
      <c r="N182" s="102">
        <f t="shared" si="223"/>
        <v>42280.490587589848</v>
      </c>
      <c r="O182" s="102">
        <f t="shared" si="223"/>
        <v>42313.155735607339</v>
      </c>
      <c r="P182" s="102">
        <f t="shared" si="223"/>
        <v>42353.934459000979</v>
      </c>
      <c r="Q182" s="102">
        <f t="shared" si="223"/>
        <v>42391.283729378214</v>
      </c>
      <c r="R182" s="102">
        <f t="shared" si="223"/>
        <v>42371.660970611432</v>
      </c>
      <c r="S182" s="102">
        <f t="shared" si="223"/>
        <v>42365.660508961686</v>
      </c>
      <c r="T182" s="102">
        <f t="shared" si="223"/>
        <v>42320.644199431059</v>
      </c>
      <c r="U182" s="102">
        <f t="shared" si="223"/>
        <v>42271.069805020619</v>
      </c>
      <c r="V182" s="102">
        <f t="shared" si="223"/>
        <v>41370.647753950594</v>
      </c>
      <c r="W182" s="102">
        <f t="shared" si="221"/>
        <v>42115.358824487172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20617.416229528957</v>
      </c>
      <c r="C183" s="28">
        <f t="shared" si="223"/>
        <v>21857.32110603619</v>
      </c>
      <c r="D183" s="28">
        <f t="shared" si="223"/>
        <v>23206.182600780783</v>
      </c>
      <c r="E183" s="28">
        <f t="shared" si="223"/>
        <v>22993.549114549398</v>
      </c>
      <c r="F183" s="28">
        <f t="shared" si="223"/>
        <v>23437.890517667842</v>
      </c>
      <c r="G183" s="28">
        <f t="shared" si="223"/>
        <v>22329.59654284751</v>
      </c>
      <c r="H183" s="28">
        <f t="shared" si="223"/>
        <v>22353.913498273643</v>
      </c>
      <c r="I183" s="28">
        <f t="shared" si="223"/>
        <v>22845.92047877884</v>
      </c>
      <c r="J183" s="28">
        <f t="shared" si="223"/>
        <v>21921.910092340713</v>
      </c>
      <c r="K183" s="28">
        <f t="shared" si="223"/>
        <v>19495.813044414906</v>
      </c>
      <c r="L183" s="28">
        <f t="shared" si="223"/>
        <v>19786.132028465698</v>
      </c>
      <c r="M183" s="28">
        <f t="shared" si="222"/>
        <v>19887.277666136488</v>
      </c>
      <c r="N183" s="28">
        <f t="shared" si="223"/>
        <v>21132.154980253119</v>
      </c>
      <c r="O183" s="28">
        <f t="shared" si="223"/>
        <v>21018.229041924067</v>
      </c>
      <c r="P183" s="28">
        <f t="shared" si="223"/>
        <v>22757.447530276473</v>
      </c>
      <c r="Q183" s="28">
        <f t="shared" si="223"/>
        <v>21735.52256664832</v>
      </c>
      <c r="R183" s="28">
        <f t="shared" si="223"/>
        <v>21954.071841385306</v>
      </c>
      <c r="S183" s="28">
        <f t="shared" si="223"/>
        <v>21179.67596513762</v>
      </c>
      <c r="T183" s="28">
        <f t="shared" si="223"/>
        <v>21008.566800055622</v>
      </c>
      <c r="U183" s="28">
        <f t="shared" si="223"/>
        <v>20559.597822672331</v>
      </c>
      <c r="V183" s="28">
        <f t="shared" si="223"/>
        <v>19333.146985549538</v>
      </c>
      <c r="W183" s="28">
        <f t="shared" si="221"/>
        <v>19989.028999342576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20585.19062900262</v>
      </c>
      <c r="C184" s="137">
        <f t="shared" si="223"/>
        <v>20261.017823636856</v>
      </c>
      <c r="D184" s="137">
        <f t="shared" si="223"/>
        <v>20414.014766580662</v>
      </c>
      <c r="E184" s="137">
        <f t="shared" si="223"/>
        <v>20310.09295664079</v>
      </c>
      <c r="F184" s="137">
        <f t="shared" si="223"/>
        <v>20073.905176154985</v>
      </c>
      <c r="G184" s="137">
        <f t="shared" si="223"/>
        <v>19968.450071698131</v>
      </c>
      <c r="H184" s="137">
        <f t="shared" si="223"/>
        <v>19983.045322827362</v>
      </c>
      <c r="I184" s="137">
        <f t="shared" si="223"/>
        <v>20304.004043046243</v>
      </c>
      <c r="J184" s="137">
        <f t="shared" si="223"/>
        <v>20035.638052770038</v>
      </c>
      <c r="K184" s="137">
        <f t="shared" si="223"/>
        <v>19452.336275811362</v>
      </c>
      <c r="L184" s="137">
        <f t="shared" si="223"/>
        <v>19546.571512192564</v>
      </c>
      <c r="M184" s="137">
        <f t="shared" si="222"/>
        <v>19650.041624156656</v>
      </c>
      <c r="N184" s="137">
        <f t="shared" si="223"/>
        <v>19150.582177663902</v>
      </c>
      <c r="O184" s="137">
        <f t="shared" si="223"/>
        <v>18618.505100931023</v>
      </c>
      <c r="P184" s="137">
        <f t="shared" si="223"/>
        <v>19112.402044990507</v>
      </c>
      <c r="Q184" s="137">
        <f t="shared" si="223"/>
        <v>19261.109888246221</v>
      </c>
      <c r="R184" s="137">
        <f t="shared" si="223"/>
        <v>19445.966038079816</v>
      </c>
      <c r="S184" s="137">
        <f t="shared" si="223"/>
        <v>18996.834832735996</v>
      </c>
      <c r="T184" s="137">
        <f t="shared" si="223"/>
        <v>18826.167902286292</v>
      </c>
      <c r="U184" s="137">
        <f t="shared" si="223"/>
        <v>18501.419521189862</v>
      </c>
      <c r="V184" s="137">
        <f t="shared" si="223"/>
        <v>17942.56704521463</v>
      </c>
      <c r="W184" s="137">
        <f t="shared" si="221"/>
        <v>18001.603013004118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11291.915540567241</v>
      </c>
      <c r="C185" s="84">
        <f t="shared" si="223"/>
        <v>10985.373315996618</v>
      </c>
      <c r="D185" s="84">
        <f t="shared" si="223"/>
        <v>10956.100530343319</v>
      </c>
      <c r="E185" s="84">
        <f t="shared" si="223"/>
        <v>10786.858823218121</v>
      </c>
      <c r="F185" s="84">
        <f t="shared" si="223"/>
        <v>10547.517771728968</v>
      </c>
      <c r="G185" s="84">
        <f t="shared" si="223"/>
        <v>10385.399653729342</v>
      </c>
      <c r="H185" s="84">
        <f t="shared" si="223"/>
        <v>10290.616071923359</v>
      </c>
      <c r="I185" s="84">
        <f t="shared" si="223"/>
        <v>10360.40107748391</v>
      </c>
      <c r="J185" s="84">
        <f t="shared" si="223"/>
        <v>10115.183782612688</v>
      </c>
      <c r="K185" s="84">
        <f t="shared" si="223"/>
        <v>9709.0181018758503</v>
      </c>
      <c r="L185" s="84">
        <f t="shared" si="223"/>
        <v>9661.513402656723</v>
      </c>
      <c r="M185" s="84">
        <f t="shared" si="222"/>
        <v>9619.3188037049222</v>
      </c>
      <c r="N185" s="84">
        <f t="shared" si="223"/>
        <v>9267.9549231568199</v>
      </c>
      <c r="O185" s="84">
        <f t="shared" si="223"/>
        <v>8905.3445422271925</v>
      </c>
      <c r="P185" s="84">
        <f t="shared" si="223"/>
        <v>9061.9958149941449</v>
      </c>
      <c r="Q185" s="84">
        <f t="shared" si="223"/>
        <v>9162.3994214116337</v>
      </c>
      <c r="R185" s="84">
        <f t="shared" si="223"/>
        <v>9245.7685134035492</v>
      </c>
      <c r="S185" s="84">
        <f t="shared" si="223"/>
        <v>9032.0565232792214</v>
      </c>
      <c r="T185" s="84">
        <f t="shared" si="223"/>
        <v>9114.2231410271779</v>
      </c>
      <c r="U185" s="84">
        <f t="shared" si="223"/>
        <v>8960.0171133494932</v>
      </c>
      <c r="V185" s="84">
        <f t="shared" si="223"/>
        <v>8691.6783782377515</v>
      </c>
      <c r="W185" s="84">
        <f t="shared" si="221"/>
        <v>8724.8969509138242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22703.630072150328</v>
      </c>
      <c r="C186" s="84">
        <f t="shared" si="223"/>
        <v>21992.329844447831</v>
      </c>
      <c r="D186" s="84">
        <f t="shared" si="223"/>
        <v>21898.081638868483</v>
      </c>
      <c r="E186" s="84">
        <f t="shared" si="223"/>
        <v>21598.483222475308</v>
      </c>
      <c r="F186" s="84">
        <f t="shared" si="223"/>
        <v>21155.473870827365</v>
      </c>
      <c r="G186" s="84">
        <f t="shared" si="223"/>
        <v>20878.711901275772</v>
      </c>
      <c r="H186" s="84">
        <f t="shared" si="223"/>
        <v>20768.559757231647</v>
      </c>
      <c r="I186" s="84">
        <f t="shared" si="223"/>
        <v>20999.799852217679</v>
      </c>
      <c r="J186" s="84">
        <f t="shared" si="223"/>
        <v>20666.841536398759</v>
      </c>
      <c r="K186" s="84">
        <f t="shared" si="223"/>
        <v>20016.478876289719</v>
      </c>
      <c r="L186" s="84">
        <f t="shared" si="223"/>
        <v>20085.113253032461</v>
      </c>
      <c r="M186" s="84">
        <f t="shared" si="222"/>
        <v>20156.833989301223</v>
      </c>
      <c r="N186" s="84">
        <f t="shared" si="223"/>
        <v>19609.222861475195</v>
      </c>
      <c r="O186" s="84">
        <f t="shared" si="223"/>
        <v>19070.365758049509</v>
      </c>
      <c r="P186" s="84">
        <f t="shared" si="223"/>
        <v>19565.017508221728</v>
      </c>
      <c r="Q186" s="84">
        <f t="shared" si="223"/>
        <v>19695.064700137336</v>
      </c>
      <c r="R186" s="84">
        <f t="shared" si="223"/>
        <v>19874.270995917821</v>
      </c>
      <c r="S186" s="84">
        <f t="shared" si="223"/>
        <v>19414.885710568051</v>
      </c>
      <c r="T186" s="84">
        <f t="shared" si="223"/>
        <v>19241.540539593785</v>
      </c>
      <c r="U186" s="84">
        <f t="shared" si="223"/>
        <v>18915.987666123598</v>
      </c>
      <c r="V186" s="84">
        <f t="shared" si="223"/>
        <v>18349.482921824132</v>
      </c>
      <c r="W186" s="84">
        <f t="shared" si="221"/>
        <v>18419.612487770009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10899.006896143021</v>
      </c>
      <c r="P187" s="84">
        <f t="shared" si="223"/>
        <v>11430.24017610438</v>
      </c>
      <c r="Q187" s="84">
        <f t="shared" si="223"/>
        <v>11762.407063915138</v>
      </c>
      <c r="R187" s="84">
        <f t="shared" si="223"/>
        <v>11749.54047438503</v>
      </c>
      <c r="S187" s="84">
        <f t="shared" si="223"/>
        <v>11362.015926768252</v>
      </c>
      <c r="T187" s="84">
        <f t="shared" si="223"/>
        <v>11146.827403055499</v>
      </c>
      <c r="U187" s="84">
        <f t="shared" si="223"/>
        <v>10847.541985442243</v>
      </c>
      <c r="V187" s="84">
        <f t="shared" si="223"/>
        <v>10416.38513850669</v>
      </c>
      <c r="W187" s="84">
        <f t="shared" si="221"/>
        <v>10350.577202882778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13177.800179156711</v>
      </c>
      <c r="I189" s="84">
        <f t="shared" si="223"/>
        <v>13188.289401269745</v>
      </c>
      <c r="J189" s="84">
        <f t="shared" si="223"/>
        <v>13197.086398003126</v>
      </c>
      <c r="K189" s="84">
        <f t="shared" si="223"/>
        <v>13216.602434019092</v>
      </c>
      <c r="L189" s="84">
        <f t="shared" si="223"/>
        <v>13219.778248323613</v>
      </c>
      <c r="M189" s="84">
        <f t="shared" si="222"/>
        <v>13223.28729328101</v>
      </c>
      <c r="N189" s="84">
        <f t="shared" si="223"/>
        <v>13240.463763683194</v>
      </c>
      <c r="O189" s="84">
        <f t="shared" si="223"/>
        <v>13259.367481427547</v>
      </c>
      <c r="P189" s="84">
        <f t="shared" si="223"/>
        <v>13276.67157217557</v>
      </c>
      <c r="Q189" s="84">
        <f t="shared" si="223"/>
        <v>13282.01075642728</v>
      </c>
      <c r="R189" s="84">
        <f t="shared" si="223"/>
        <v>13269.930739852778</v>
      </c>
      <c r="S189" s="84">
        <f t="shared" si="223"/>
        <v>13261.506649924713</v>
      </c>
      <c r="T189" s="84">
        <f t="shared" si="223"/>
        <v>13260.823528789884</v>
      </c>
      <c r="U189" s="84">
        <f t="shared" si="223"/>
        <v>13256.395340758612</v>
      </c>
      <c r="V189" s="84">
        <f t="shared" si="223"/>
        <v>13065.044276417726</v>
      </c>
      <c r="W189" s="84">
        <f t="shared" si="221"/>
        <v>13252.298606430872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20684.804370685979</v>
      </c>
      <c r="C190" s="110">
        <f t="shared" si="223"/>
        <v>25973.043164157672</v>
      </c>
      <c r="D190" s="110">
        <f t="shared" si="223"/>
        <v>31615.913227432287</v>
      </c>
      <c r="E190" s="110">
        <f t="shared" si="223"/>
        <v>31395.35975098153</v>
      </c>
      <c r="F190" s="110">
        <f t="shared" si="223"/>
        <v>35113.94545963838</v>
      </c>
      <c r="G190" s="110">
        <f t="shared" si="223"/>
        <v>29741.714776013661</v>
      </c>
      <c r="H190" s="110">
        <f t="shared" si="223"/>
        <v>30040.010719151131</v>
      </c>
      <c r="I190" s="110">
        <f t="shared" si="223"/>
        <v>31881.618176984972</v>
      </c>
      <c r="J190" s="110">
        <f t="shared" si="223"/>
        <v>27957.704242111256</v>
      </c>
      <c r="K190" s="110">
        <f t="shared" si="223"/>
        <v>19623.185420225131</v>
      </c>
      <c r="L190" s="110">
        <f t="shared" si="223"/>
        <v>20506.379934506887</v>
      </c>
      <c r="M190" s="110">
        <f t="shared" si="222"/>
        <v>20628.44470697935</v>
      </c>
      <c r="N190" s="110">
        <f t="shared" si="223"/>
        <v>28057.986470164036</v>
      </c>
      <c r="O190" s="110">
        <f t="shared" si="223"/>
        <v>32262.103424654284</v>
      </c>
      <c r="P190" s="110">
        <f t="shared" si="223"/>
        <v>42635.142039997532</v>
      </c>
      <c r="Q190" s="110">
        <f t="shared" si="223"/>
        <v>35183.200775630459</v>
      </c>
      <c r="R190" s="110">
        <f t="shared" si="223"/>
        <v>35727.863464546914</v>
      </c>
      <c r="S190" s="110">
        <f t="shared" si="223"/>
        <v>32596.630083745131</v>
      </c>
      <c r="T190" s="110">
        <f t="shared" si="223"/>
        <v>33490.438825525242</v>
      </c>
      <c r="U190" s="110">
        <f t="shared" si="223"/>
        <v>32209.845797766942</v>
      </c>
      <c r="V190" s="110">
        <f t="shared" si="223"/>
        <v>26928.486581624467</v>
      </c>
      <c r="W190" s="110">
        <f t="shared" si="221"/>
        <v>31964.171739461199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11149.073907570581</v>
      </c>
      <c r="C191" s="102">
        <f t="shared" si="223"/>
        <v>14969.428631667721</v>
      </c>
      <c r="D191" s="102">
        <f t="shared" si="223"/>
        <v>19780.743565300287</v>
      </c>
      <c r="E191" s="102">
        <f t="shared" si="223"/>
        <v>19271.948608137045</v>
      </c>
      <c r="F191" s="102">
        <f t="shared" si="223"/>
        <v>20316.622691292876</v>
      </c>
      <c r="G191" s="102">
        <f t="shared" si="223"/>
        <v>15710.233471525202</v>
      </c>
      <c r="H191" s="102">
        <f t="shared" si="223"/>
        <v>16916.895749629944</v>
      </c>
      <c r="I191" s="102">
        <f t="shared" si="223"/>
        <v>17575.083426028919</v>
      </c>
      <c r="J191" s="102">
        <f t="shared" si="223"/>
        <v>13575.490735644837</v>
      </c>
      <c r="K191" s="102">
        <f t="shared" si="223"/>
        <v>7253.0864197530864</v>
      </c>
      <c r="L191" s="102">
        <f t="shared" si="223"/>
        <v>7963.2465543644721</v>
      </c>
      <c r="M191" s="102">
        <f t="shared" si="222"/>
        <v>8447.7296726504755</v>
      </c>
      <c r="N191" s="102">
        <f t="shared" si="223"/>
        <v>14831.905075807515</v>
      </c>
      <c r="O191" s="102">
        <f t="shared" si="223"/>
        <v>15795.328142380422</v>
      </c>
      <c r="P191" s="102">
        <f t="shared" si="223"/>
        <v>25880.469583778016</v>
      </c>
      <c r="Q191" s="102">
        <f t="shared" si="223"/>
        <v>20057.306590257878</v>
      </c>
      <c r="R191" s="102">
        <f t="shared" si="223"/>
        <v>20185.614849187936</v>
      </c>
      <c r="S191" s="102">
        <f t="shared" si="223"/>
        <v>17213.114754098362</v>
      </c>
      <c r="T191" s="102">
        <f t="shared" si="223"/>
        <v>18309.55929316585</v>
      </c>
      <c r="U191" s="102">
        <f t="shared" si="223"/>
        <v>17092.298411421678</v>
      </c>
      <c r="V191" s="102">
        <f t="shared" si="223"/>
        <v>13066.04617862896</v>
      </c>
      <c r="W191" s="102">
        <f t="shared" si="221"/>
        <v>17157.340612205109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84961.406922667462</v>
      </c>
      <c r="C192" s="86">
        <f t="shared" si="223"/>
        <v>85011.667290401805</v>
      </c>
      <c r="D192" s="86">
        <f t="shared" si="223"/>
        <v>85014.162584750447</v>
      </c>
      <c r="E192" s="86">
        <f t="shared" si="223"/>
        <v>84975.48281446773</v>
      </c>
      <c r="F192" s="86">
        <f t="shared" si="223"/>
        <v>85008.832730127237</v>
      </c>
      <c r="G192" s="86">
        <f t="shared" si="223"/>
        <v>84987.658778136174</v>
      </c>
      <c r="H192" s="86">
        <f t="shared" si="223"/>
        <v>85008.31071106052</v>
      </c>
      <c r="I192" s="86">
        <f t="shared" si="223"/>
        <v>84984.734366536955</v>
      </c>
      <c r="J192" s="86">
        <f t="shared" si="223"/>
        <v>85015.525074533711</v>
      </c>
      <c r="K192" s="86">
        <f t="shared" si="223"/>
        <v>85005.111621741307</v>
      </c>
      <c r="L192" s="86">
        <f t="shared" si="223"/>
        <v>84999.813770987181</v>
      </c>
      <c r="M192" s="86">
        <f t="shared" si="222"/>
        <v>84967.855035717308</v>
      </c>
      <c r="N192" s="86">
        <f t="shared" si="223"/>
        <v>85017.434235213965</v>
      </c>
      <c r="O192" s="86">
        <f t="shared" si="223"/>
        <v>85019.163220677801</v>
      </c>
      <c r="P192" s="86">
        <f t="shared" si="223"/>
        <v>85007.957401610722</v>
      </c>
      <c r="Q192" s="86">
        <f t="shared" si="223"/>
        <v>85023.676659454504</v>
      </c>
      <c r="R192" s="86">
        <f t="shared" si="223"/>
        <v>84983.077826456632</v>
      </c>
      <c r="S192" s="86">
        <f t="shared" si="223"/>
        <v>84984.31662155129</v>
      </c>
      <c r="T192" s="86">
        <f t="shared" si="223"/>
        <v>84973.89814934622</v>
      </c>
      <c r="U192" s="86">
        <f t="shared" si="223"/>
        <v>85004.482842917918</v>
      </c>
      <c r="V192" s="86">
        <f t="shared" ref="V192:W192" si="224">IF(V55=0,0,V55*1000000/V82)</f>
        <v>85030.102884352076</v>
      </c>
      <c r="W192" s="86">
        <f t="shared" si="224"/>
        <v>84997.856691763227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21905.15978922095</v>
      </c>
      <c r="C195" s="28">
        <f t="shared" si="225"/>
        <v>22215.91404764825</v>
      </c>
      <c r="D195" s="28">
        <f t="shared" si="225"/>
        <v>22236.184010326684</v>
      </c>
      <c r="E195" s="28">
        <f t="shared" si="225"/>
        <v>22077.157134500321</v>
      </c>
      <c r="F195" s="28">
        <f t="shared" si="225"/>
        <v>21983.113350410098</v>
      </c>
      <c r="G195" s="28">
        <f t="shared" si="225"/>
        <v>22066.18543476288</v>
      </c>
      <c r="H195" s="28">
        <f t="shared" si="225"/>
        <v>22102.150190056636</v>
      </c>
      <c r="I195" s="28">
        <f t="shared" si="225"/>
        <v>22000.224354895796</v>
      </c>
      <c r="J195" s="28">
        <f t="shared" si="225"/>
        <v>21968.097422749637</v>
      </c>
      <c r="K195" s="28">
        <f t="shared" si="225"/>
        <v>21648.755337020651</v>
      </c>
      <c r="L195" s="28">
        <f t="shared" si="225"/>
        <v>20764.159644404474</v>
      </c>
      <c r="M195" s="28">
        <f>IF(M4=0,0,M4*1000000/M58)</f>
        <v>20603.060509939016</v>
      </c>
      <c r="N195" s="28">
        <f t="shared" ref="N195:V195" si="226">IF(N4=0,0,N4*1000000/N58)</f>
        <v>20410.135327294585</v>
      </c>
      <c r="O195" s="28">
        <f t="shared" si="226"/>
        <v>20311.084900597427</v>
      </c>
      <c r="P195" s="28">
        <f t="shared" si="226"/>
        <v>20484.234473322351</v>
      </c>
      <c r="Q195" s="28">
        <f t="shared" si="226"/>
        <v>20619.995061115322</v>
      </c>
      <c r="R195" s="28">
        <f t="shared" si="226"/>
        <v>20620.722476174411</v>
      </c>
      <c r="S195" s="28">
        <f t="shared" si="226"/>
        <v>20313.328815966735</v>
      </c>
      <c r="T195" s="28">
        <f t="shared" si="226"/>
        <v>20197.841331502448</v>
      </c>
      <c r="U195" s="28">
        <f t="shared" si="226"/>
        <v>20048.170096801601</v>
      </c>
      <c r="V195" s="28">
        <f t="shared" si="226"/>
        <v>17027.793538473728</v>
      </c>
      <c r="W195" s="28">
        <f t="shared" ref="W195" si="227">IF(W4=0,0,W4*1000000/W58)</f>
        <v>17879.350994561428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3971.435832160013</v>
      </c>
      <c r="C196" s="137">
        <f t="shared" si="228"/>
        <v>3699.6132374252188</v>
      </c>
      <c r="D196" s="137">
        <f t="shared" si="228"/>
        <v>3535.5282219583296</v>
      </c>
      <c r="E196" s="137">
        <f t="shared" si="228"/>
        <v>3236.8077288617078</v>
      </c>
      <c r="F196" s="137">
        <f t="shared" si="228"/>
        <v>3150.9273540061804</v>
      </c>
      <c r="G196" s="137">
        <f t="shared" si="228"/>
        <v>3014.8808204975935</v>
      </c>
      <c r="H196" s="137">
        <f t="shared" si="228"/>
        <v>2836.2393571626662</v>
      </c>
      <c r="I196" s="137">
        <f t="shared" si="228"/>
        <v>2726.6628615546392</v>
      </c>
      <c r="J196" s="137">
        <f t="shared" si="228"/>
        <v>2577.0918324225599</v>
      </c>
      <c r="K196" s="137">
        <f t="shared" si="228"/>
        <v>2484.5490456112593</v>
      </c>
      <c r="L196" s="137">
        <f t="shared" si="228"/>
        <v>2406.0736220415261</v>
      </c>
      <c r="M196" s="137">
        <f>IF(M5=0,0,M5*1000000/M59)</f>
        <v>2349.5360236391252</v>
      </c>
      <c r="N196" s="137">
        <f t="shared" ref="N196:V196" si="229">IF(N5=0,0,N5*1000000/N59)</f>
        <v>2358.0923656483947</v>
      </c>
      <c r="O196" s="137">
        <f t="shared" si="229"/>
        <v>2304.5773370326929</v>
      </c>
      <c r="P196" s="137">
        <f t="shared" si="229"/>
        <v>2282.7434920455794</v>
      </c>
      <c r="Q196" s="137">
        <f t="shared" si="229"/>
        <v>2305.3217707827375</v>
      </c>
      <c r="R196" s="137">
        <f t="shared" si="229"/>
        <v>2339.3783444814335</v>
      </c>
      <c r="S196" s="137">
        <f t="shared" si="229"/>
        <v>2141.5539921295922</v>
      </c>
      <c r="T196" s="137">
        <f t="shared" si="229"/>
        <v>2013.915392747354</v>
      </c>
      <c r="U196" s="137">
        <f t="shared" si="229"/>
        <v>2119.6555761150048</v>
      </c>
      <c r="V196" s="137">
        <f t="shared" si="229"/>
        <v>1826.743554492308</v>
      </c>
      <c r="W196" s="137">
        <f t="shared" ref="W196" si="230">IF(W5=0,0,W5*1000000/W59)</f>
        <v>1828.6404482380681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20322.62161818875</v>
      </c>
      <c r="C197" s="110">
        <f t="shared" si="231"/>
        <v>20620.755857361255</v>
      </c>
      <c r="D197" s="110">
        <f t="shared" si="231"/>
        <v>20557.491289198606</v>
      </c>
      <c r="E197" s="110">
        <f t="shared" si="231"/>
        <v>20463.149278673987</v>
      </c>
      <c r="F197" s="110">
        <f t="shared" si="231"/>
        <v>20384.975270685736</v>
      </c>
      <c r="G197" s="110">
        <f t="shared" si="231"/>
        <v>20501.806111490772</v>
      </c>
      <c r="H197" s="110">
        <f t="shared" si="231"/>
        <v>20607.444042863481</v>
      </c>
      <c r="I197" s="110">
        <f t="shared" si="231"/>
        <v>20496.894409937886</v>
      </c>
      <c r="J197" s="110">
        <f t="shared" si="231"/>
        <v>20426.829268292684</v>
      </c>
      <c r="K197" s="110">
        <f t="shared" si="231"/>
        <v>20211.039450742377</v>
      </c>
      <c r="L197" s="110">
        <f t="shared" si="231"/>
        <v>19276.393831553978</v>
      </c>
      <c r="M197" s="110">
        <f>IF(M6=0,0,M6*1000000/M60)</f>
        <v>19073.373910826307</v>
      </c>
      <c r="N197" s="110">
        <f t="shared" ref="N197:V197" si="232">IF(N6=0,0,N6*1000000/N60)</f>
        <v>18918.608285073617</v>
      </c>
      <c r="O197" s="110">
        <f t="shared" si="232"/>
        <v>18860.253628379025</v>
      </c>
      <c r="P197" s="110">
        <f t="shared" si="232"/>
        <v>19130.578087516413</v>
      </c>
      <c r="Q197" s="110">
        <f t="shared" si="232"/>
        <v>19210.96989702712</v>
      </c>
      <c r="R197" s="110">
        <f t="shared" si="232"/>
        <v>19249.799784289342</v>
      </c>
      <c r="S197" s="110">
        <f t="shared" si="232"/>
        <v>18943.074210494222</v>
      </c>
      <c r="T197" s="110">
        <f t="shared" si="232"/>
        <v>18823.486414411418</v>
      </c>
      <c r="U197" s="110">
        <f t="shared" si="232"/>
        <v>18599.02778770732</v>
      </c>
      <c r="V197" s="110">
        <f t="shared" si="232"/>
        <v>16328.132464125478</v>
      </c>
      <c r="W197" s="110">
        <f t="shared" ref="W197:W209" si="233">IF(W6=0,0,W6*1000000/W60)</f>
        <v>17170.389466295848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19165.327330519121</v>
      </c>
      <c r="C198" s="84">
        <f t="shared" si="231"/>
        <v>19323.848152128605</v>
      </c>
      <c r="D198" s="84">
        <f t="shared" si="231"/>
        <v>19147.445093041028</v>
      </c>
      <c r="E198" s="84">
        <f t="shared" si="231"/>
        <v>19061.112186434129</v>
      </c>
      <c r="F198" s="84">
        <f t="shared" si="231"/>
        <v>18971.07596007589</v>
      </c>
      <c r="G198" s="84">
        <f t="shared" si="231"/>
        <v>19212.251593571167</v>
      </c>
      <c r="H198" s="84">
        <f t="shared" si="231"/>
        <v>19353.462824083188</v>
      </c>
      <c r="I198" s="84">
        <f t="shared" si="231"/>
        <v>19659.435190258693</v>
      </c>
      <c r="J198" s="84">
        <f t="shared" si="231"/>
        <v>20049.62413233241</v>
      </c>
      <c r="K198" s="84">
        <f t="shared" si="231"/>
        <v>19946.112326656588</v>
      </c>
      <c r="L198" s="84">
        <f t="shared" si="231"/>
        <v>19179.539076180656</v>
      </c>
      <c r="M198" s="84">
        <f t="shared" ref="M198:M219" si="234">IF(M7=0,0,M7*1000000/M61)</f>
        <v>19352.900875574123</v>
      </c>
      <c r="N198" s="84">
        <f t="shared" si="231"/>
        <v>19200.280382598081</v>
      </c>
      <c r="O198" s="84">
        <f t="shared" si="231"/>
        <v>18636.580233427343</v>
      </c>
      <c r="P198" s="84">
        <f t="shared" si="231"/>
        <v>18370.396380622911</v>
      </c>
      <c r="Q198" s="84">
        <f t="shared" si="231"/>
        <v>18194.613458556556</v>
      </c>
      <c r="R198" s="84">
        <f t="shared" si="231"/>
        <v>18249.920429681417</v>
      </c>
      <c r="S198" s="84">
        <f t="shared" si="231"/>
        <v>17991.003196016121</v>
      </c>
      <c r="T198" s="84">
        <f t="shared" si="231"/>
        <v>17918.06044423638</v>
      </c>
      <c r="U198" s="84">
        <f t="shared" si="231"/>
        <v>17754.085792940994</v>
      </c>
      <c r="V198" s="84">
        <f t="shared" si="231"/>
        <v>15628.977723849128</v>
      </c>
      <c r="W198" s="84">
        <f t="shared" si="233"/>
        <v>16497.186067297884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23232.581857401583</v>
      </c>
      <c r="C199" s="84">
        <f t="shared" si="231"/>
        <v>23335.859548159453</v>
      </c>
      <c r="D199" s="84">
        <f t="shared" si="231"/>
        <v>23076.591040326042</v>
      </c>
      <c r="E199" s="84">
        <f t="shared" si="231"/>
        <v>22619.504580210494</v>
      </c>
      <c r="F199" s="84">
        <f t="shared" si="231"/>
        <v>22192.402061567318</v>
      </c>
      <c r="G199" s="84">
        <f t="shared" si="231"/>
        <v>21873.21636810667</v>
      </c>
      <c r="H199" s="84">
        <f t="shared" si="231"/>
        <v>21707.567929813937</v>
      </c>
      <c r="I199" s="84">
        <f t="shared" si="231"/>
        <v>21134.076665006214</v>
      </c>
      <c r="J199" s="84">
        <f t="shared" si="231"/>
        <v>20692.804444187845</v>
      </c>
      <c r="K199" s="84">
        <f t="shared" si="231"/>
        <v>20387.687263193915</v>
      </c>
      <c r="L199" s="84">
        <f t="shared" si="231"/>
        <v>19348.732241691549</v>
      </c>
      <c r="M199" s="84">
        <f t="shared" si="234"/>
        <v>18937.804407348944</v>
      </c>
      <c r="N199" s="84">
        <f t="shared" si="231"/>
        <v>18788.054250116904</v>
      </c>
      <c r="O199" s="84">
        <f t="shared" si="231"/>
        <v>18998.680733740071</v>
      </c>
      <c r="P199" s="84">
        <f t="shared" si="231"/>
        <v>19551.06510995303</v>
      </c>
      <c r="Q199" s="84">
        <f t="shared" si="231"/>
        <v>19770.810214388319</v>
      </c>
      <c r="R199" s="84">
        <f t="shared" si="231"/>
        <v>19830.908420493823</v>
      </c>
      <c r="S199" s="84">
        <f t="shared" si="231"/>
        <v>19549.561223990255</v>
      </c>
      <c r="T199" s="84">
        <f t="shared" si="231"/>
        <v>19470.299452079726</v>
      </c>
      <c r="U199" s="84">
        <f t="shared" si="231"/>
        <v>19292.119700247342</v>
      </c>
      <c r="V199" s="84">
        <f t="shared" si="231"/>
        <v>16982.913823750881</v>
      </c>
      <c r="W199" s="84">
        <f t="shared" si="233"/>
        <v>17926.334931540412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17327.658957744559</v>
      </c>
      <c r="C200" s="84">
        <f t="shared" si="231"/>
        <v>18877.655872190833</v>
      </c>
      <c r="D200" s="84">
        <f t="shared" si="231"/>
        <v>18639.813858446061</v>
      </c>
      <c r="E200" s="84">
        <f t="shared" si="231"/>
        <v>18375.482070921818</v>
      </c>
      <c r="F200" s="84">
        <f t="shared" si="231"/>
        <v>18129.592336287747</v>
      </c>
      <c r="G200" s="84">
        <f t="shared" si="231"/>
        <v>18067.113100401322</v>
      </c>
      <c r="H200" s="84">
        <f t="shared" si="231"/>
        <v>18348.356777290217</v>
      </c>
      <c r="I200" s="84">
        <f t="shared" si="231"/>
        <v>18429.311595577437</v>
      </c>
      <c r="J200" s="84">
        <f t="shared" si="231"/>
        <v>18188.605711686552</v>
      </c>
      <c r="K200" s="84">
        <f t="shared" si="231"/>
        <v>17808.81859407997</v>
      </c>
      <c r="L200" s="84">
        <f t="shared" si="231"/>
        <v>16777.319182920328</v>
      </c>
      <c r="M200" s="84">
        <f t="shared" si="234"/>
        <v>16761.645994468901</v>
      </c>
      <c r="N200" s="84">
        <f t="shared" si="231"/>
        <v>16456.064157556295</v>
      </c>
      <c r="O200" s="84">
        <f t="shared" si="231"/>
        <v>16242.265720925161</v>
      </c>
      <c r="P200" s="84">
        <f t="shared" si="231"/>
        <v>16653.931148345357</v>
      </c>
      <c r="Q200" s="84">
        <f t="shared" si="231"/>
        <v>16886.927080870908</v>
      </c>
      <c r="R200" s="84">
        <f t="shared" si="231"/>
        <v>16595.403277021745</v>
      </c>
      <c r="S200" s="84">
        <f t="shared" si="231"/>
        <v>16021.991918501768</v>
      </c>
      <c r="T200" s="84">
        <f t="shared" si="231"/>
        <v>15938.418498672914</v>
      </c>
      <c r="U200" s="84">
        <f t="shared" si="231"/>
        <v>15770.92857342364</v>
      </c>
      <c r="V200" s="84">
        <f t="shared" si="231"/>
        <v>13590.072597808452</v>
      </c>
      <c r="W200" s="84">
        <f t="shared" si="233"/>
        <v>14313.881565749387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0</v>
      </c>
      <c r="U201" s="84">
        <f t="shared" si="231"/>
        <v>0</v>
      </c>
      <c r="V201" s="84">
        <f t="shared" si="231"/>
        <v>0</v>
      </c>
      <c r="W201" s="84">
        <f t="shared" si="233"/>
        <v>0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17377.380351081807</v>
      </c>
      <c r="O202" s="84">
        <f t="shared" si="231"/>
        <v>17151.612104419994</v>
      </c>
      <c r="P202" s="84">
        <f t="shared" si="231"/>
        <v>17238.081143702595</v>
      </c>
      <c r="Q202" s="84">
        <f t="shared" si="231"/>
        <v>17133.125841112531</v>
      </c>
      <c r="R202" s="84">
        <f t="shared" si="231"/>
        <v>17177.500360339327</v>
      </c>
      <c r="S202" s="84">
        <f t="shared" si="231"/>
        <v>16919.005959387865</v>
      </c>
      <c r="T202" s="84">
        <f t="shared" si="231"/>
        <v>16830.753562599552</v>
      </c>
      <c r="U202" s="84">
        <f t="shared" si="231"/>
        <v>16653.886475295782</v>
      </c>
      <c r="V202" s="84">
        <f t="shared" si="231"/>
        <v>14640.849992897809</v>
      </c>
      <c r="W202" s="84">
        <f t="shared" si="233"/>
        <v>15420.623496451157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16239.274102258692</v>
      </c>
      <c r="K203" s="84">
        <f t="shared" si="231"/>
        <v>16256.416858776372</v>
      </c>
      <c r="L203" s="84">
        <f t="shared" si="231"/>
        <v>16304.980310709847</v>
      </c>
      <c r="M203" s="84">
        <f t="shared" si="234"/>
        <v>16266.707780253073</v>
      </c>
      <c r="N203" s="84">
        <f t="shared" si="231"/>
        <v>16235.438483295149</v>
      </c>
      <c r="O203" s="84">
        <f t="shared" si="231"/>
        <v>16208.30963834935</v>
      </c>
      <c r="P203" s="84">
        <f t="shared" si="231"/>
        <v>16198.249770649498</v>
      </c>
      <c r="Q203" s="84">
        <f t="shared" si="231"/>
        <v>16400.672913703009</v>
      </c>
      <c r="R203" s="84">
        <f t="shared" si="231"/>
        <v>16186.930021558912</v>
      </c>
      <c r="S203" s="84">
        <f t="shared" si="231"/>
        <v>16079.734680770543</v>
      </c>
      <c r="T203" s="84">
        <f t="shared" si="231"/>
        <v>15850.224753650104</v>
      </c>
      <c r="U203" s="84">
        <f t="shared" si="231"/>
        <v>15689.051594813764</v>
      </c>
      <c r="V203" s="84">
        <f t="shared" si="231"/>
        <v>14008.110339630368</v>
      </c>
      <c r="W203" s="84">
        <f t="shared" si="233"/>
        <v>15126.274865589014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589914.36726926733</v>
      </c>
      <c r="C204" s="110">
        <f t="shared" si="231"/>
        <v>588235.29411764711</v>
      </c>
      <c r="D204" s="110">
        <f t="shared" si="231"/>
        <v>612244.89795918367</v>
      </c>
      <c r="E204" s="110">
        <f t="shared" si="231"/>
        <v>603096.98451507743</v>
      </c>
      <c r="F204" s="110">
        <f t="shared" si="231"/>
        <v>606776.98975571315</v>
      </c>
      <c r="G204" s="110">
        <f t="shared" si="231"/>
        <v>597014.92537313432</v>
      </c>
      <c r="H204" s="110">
        <f t="shared" si="231"/>
        <v>594633.79260333569</v>
      </c>
      <c r="I204" s="110">
        <f t="shared" si="231"/>
        <v>591065.29209621996</v>
      </c>
      <c r="J204" s="110">
        <f t="shared" si="231"/>
        <v>588996.76375404536</v>
      </c>
      <c r="K204" s="110">
        <f t="shared" si="231"/>
        <v>558147.06607155327</v>
      </c>
      <c r="L204" s="110">
        <f t="shared" si="231"/>
        <v>574572.12713936437</v>
      </c>
      <c r="M204" s="110">
        <f t="shared" si="234"/>
        <v>579935.43530395441</v>
      </c>
      <c r="N204" s="110">
        <f t="shared" si="231"/>
        <v>581546.44009473652</v>
      </c>
      <c r="O204" s="110">
        <f t="shared" si="231"/>
        <v>583546.84182157542</v>
      </c>
      <c r="P204" s="110">
        <f t="shared" si="231"/>
        <v>583546.84182157542</v>
      </c>
      <c r="Q204" s="110">
        <f t="shared" si="231"/>
        <v>588491.86884733743</v>
      </c>
      <c r="R204" s="110">
        <f t="shared" si="231"/>
        <v>582976.72165501129</v>
      </c>
      <c r="S204" s="110">
        <f t="shared" si="231"/>
        <v>584446.18537596799</v>
      </c>
      <c r="T204" s="110">
        <f t="shared" si="231"/>
        <v>572027.71319891408</v>
      </c>
      <c r="U204" s="110">
        <f t="shared" si="231"/>
        <v>558542.97133383958</v>
      </c>
      <c r="V204" s="110">
        <f t="shared" si="231"/>
        <v>371203.42433874233</v>
      </c>
      <c r="W204" s="110">
        <f t="shared" si="233"/>
        <v>381400.34456378344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0</v>
      </c>
      <c r="M205" s="102">
        <f t="shared" si="234"/>
        <v>0</v>
      </c>
      <c r="N205" s="102">
        <f t="shared" si="231"/>
        <v>0</v>
      </c>
      <c r="O205" s="102">
        <f t="shared" si="231"/>
        <v>0</v>
      </c>
      <c r="P205" s="102">
        <f t="shared" si="231"/>
        <v>0</v>
      </c>
      <c r="Q205" s="102">
        <f t="shared" si="231"/>
        <v>0</v>
      </c>
      <c r="R205" s="102">
        <f t="shared" si="231"/>
        <v>0</v>
      </c>
      <c r="S205" s="102">
        <f t="shared" si="231"/>
        <v>0</v>
      </c>
      <c r="T205" s="102">
        <f t="shared" si="231"/>
        <v>69491.43211183323</v>
      </c>
      <c r="U205" s="102">
        <f t="shared" si="231"/>
        <v>66418.31113476622</v>
      </c>
      <c r="V205" s="102">
        <f t="shared" si="231"/>
        <v>58085.634562917294</v>
      </c>
      <c r="W205" s="102">
        <f t="shared" si="233"/>
        <v>54593.388236424726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589914.36726926733</v>
      </c>
      <c r="C206" s="102">
        <f t="shared" si="231"/>
        <v>588235.29411764711</v>
      </c>
      <c r="D206" s="102">
        <f t="shared" si="231"/>
        <v>612244.89795918367</v>
      </c>
      <c r="E206" s="102">
        <f t="shared" si="231"/>
        <v>602945.69151147758</v>
      </c>
      <c r="F206" s="102">
        <f t="shared" si="231"/>
        <v>606599.37836740166</v>
      </c>
      <c r="G206" s="102">
        <f t="shared" si="231"/>
        <v>596822.21513803594</v>
      </c>
      <c r="H206" s="102">
        <f t="shared" si="231"/>
        <v>594418.41271310335</v>
      </c>
      <c r="I206" s="102">
        <f t="shared" si="231"/>
        <v>590836.5790812358</v>
      </c>
      <c r="J206" s="102">
        <f t="shared" si="231"/>
        <v>588757.9384672459</v>
      </c>
      <c r="K206" s="102">
        <f t="shared" si="231"/>
        <v>557988.25144187373</v>
      </c>
      <c r="L206" s="102">
        <f t="shared" si="231"/>
        <v>574426.71329744265</v>
      </c>
      <c r="M206" s="102">
        <f t="shared" si="234"/>
        <v>579780.35656314052</v>
      </c>
      <c r="N206" s="102">
        <f t="shared" si="231"/>
        <v>581377.43906847353</v>
      </c>
      <c r="O206" s="102">
        <f t="shared" si="231"/>
        <v>583186.08167707419</v>
      </c>
      <c r="P206" s="102">
        <f t="shared" si="231"/>
        <v>583253.6994051541</v>
      </c>
      <c r="Q206" s="102">
        <f t="shared" si="231"/>
        <v>588185.76060877508</v>
      </c>
      <c r="R206" s="102">
        <f t="shared" si="231"/>
        <v>582670.2372140506</v>
      </c>
      <c r="S206" s="102">
        <f t="shared" si="231"/>
        <v>583657.72361277579</v>
      </c>
      <c r="T206" s="102">
        <f t="shared" si="231"/>
        <v>569446.53313196334</v>
      </c>
      <c r="U206" s="102">
        <f t="shared" si="231"/>
        <v>547967.80064391589</v>
      </c>
      <c r="V206" s="102">
        <f t="shared" si="231"/>
        <v>360693.1714794563</v>
      </c>
      <c r="W206" s="102">
        <f t="shared" si="233"/>
        <v>366073.17431700061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0</v>
      </c>
      <c r="V208" s="102">
        <f t="shared" si="231"/>
        <v>0</v>
      </c>
      <c r="W208" s="102">
        <f t="shared" si="233"/>
        <v>0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664824.52998379839</v>
      </c>
      <c r="F209" s="102">
        <f t="shared" si="231"/>
        <v>681728.99562316621</v>
      </c>
      <c r="G209" s="102">
        <f t="shared" si="231"/>
        <v>682899.45348199864</v>
      </c>
      <c r="H209" s="102">
        <f t="shared" si="231"/>
        <v>693421.36892327713</v>
      </c>
      <c r="I209" s="102">
        <f t="shared" si="231"/>
        <v>701762.39134849829</v>
      </c>
      <c r="J209" s="102">
        <f t="shared" si="231"/>
        <v>711752.96116898686</v>
      </c>
      <c r="K209" s="102">
        <f t="shared" si="231"/>
        <v>686866.3234268066</v>
      </c>
      <c r="L209" s="102">
        <f t="shared" si="231"/>
        <v>693375.23598945222</v>
      </c>
      <c r="M209" s="102">
        <f t="shared" si="234"/>
        <v>711829.90436616761</v>
      </c>
      <c r="N209" s="102">
        <f t="shared" si="231"/>
        <v>727394.32575972599</v>
      </c>
      <c r="O209" s="102">
        <f t="shared" si="231"/>
        <v>741830.35522150609</v>
      </c>
      <c r="P209" s="102">
        <f t="shared" si="231"/>
        <v>756989.43820422341</v>
      </c>
      <c r="Q209" s="102">
        <f t="shared" si="231"/>
        <v>777666.76027885545</v>
      </c>
      <c r="R209" s="102">
        <f t="shared" si="231"/>
        <v>777185.69574382005</v>
      </c>
      <c r="S209" s="102">
        <f t="shared" si="231"/>
        <v>776830.85559486889</v>
      </c>
      <c r="T209" s="102">
        <f t="shared" si="231"/>
        <v>775912.58734628861</v>
      </c>
      <c r="U209" s="102">
        <f t="shared" si="231"/>
        <v>774676.66868528642</v>
      </c>
      <c r="V209" s="102">
        <f t="shared" si="231"/>
        <v>518541.27537917794</v>
      </c>
      <c r="W209" s="102">
        <f t="shared" si="233"/>
        <v>567397.43456444226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75195.121460405702</v>
      </c>
      <c r="C210" s="28">
        <f t="shared" si="231"/>
        <v>81108.615434853142</v>
      </c>
      <c r="D210" s="28">
        <f t="shared" si="231"/>
        <v>87430.34215732351</v>
      </c>
      <c r="E210" s="28">
        <f t="shared" si="231"/>
        <v>84632.334699736093</v>
      </c>
      <c r="F210" s="28">
        <f t="shared" ref="B210:V219" si="235">IF(F19=0,0,F19*1000000/F73)</f>
        <v>89913.642654723822</v>
      </c>
      <c r="G210" s="28">
        <f t="shared" si="235"/>
        <v>82955.496014770557</v>
      </c>
      <c r="H210" s="28">
        <f t="shared" si="235"/>
        <v>80321.459448677851</v>
      </c>
      <c r="I210" s="28">
        <f t="shared" si="235"/>
        <v>81142.570436596303</v>
      </c>
      <c r="J210" s="28">
        <f t="shared" si="235"/>
        <v>80093.795159014044</v>
      </c>
      <c r="K210" s="28">
        <f t="shared" si="235"/>
        <v>68609.902824024524</v>
      </c>
      <c r="L210" s="28">
        <f t="shared" si="235"/>
        <v>71236.957403339969</v>
      </c>
      <c r="M210" s="28">
        <f t="shared" si="234"/>
        <v>70290.349983992404</v>
      </c>
      <c r="N210" s="28">
        <f t="shared" si="235"/>
        <v>85241.81098882269</v>
      </c>
      <c r="O210" s="28">
        <f t="shared" si="235"/>
        <v>77463.542805292149</v>
      </c>
      <c r="P210" s="28">
        <f t="shared" si="235"/>
        <v>90508.156981114997</v>
      </c>
      <c r="Q210" s="28">
        <f t="shared" si="235"/>
        <v>75268.459553832741</v>
      </c>
      <c r="R210" s="28">
        <f t="shared" si="235"/>
        <v>77112.724300863338</v>
      </c>
      <c r="S210" s="28">
        <f t="shared" si="235"/>
        <v>73625.586622703908</v>
      </c>
      <c r="T210" s="28">
        <f t="shared" si="235"/>
        <v>60893.257431300655</v>
      </c>
      <c r="U210" s="28">
        <f t="shared" si="235"/>
        <v>59806.534855422113</v>
      </c>
      <c r="V210" s="28">
        <f t="shared" si="235"/>
        <v>50730.088665139599</v>
      </c>
      <c r="W210" s="28">
        <f t="shared" ref="W210" si="236">IF(W19=0,0,W19*1000000/W73)</f>
        <v>54723.358885346002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5242.1692386937102</v>
      </c>
      <c r="C211" s="137">
        <f t="shared" si="235"/>
        <v>5211.0120368914668</v>
      </c>
      <c r="D211" s="137">
        <f t="shared" si="235"/>
        <v>5269.0917887851656</v>
      </c>
      <c r="E211" s="137">
        <f t="shared" si="235"/>
        <v>5267.7058196120361</v>
      </c>
      <c r="F211" s="137">
        <f t="shared" si="235"/>
        <v>5239.1774139118024</v>
      </c>
      <c r="G211" s="137">
        <f t="shared" si="235"/>
        <v>5235.0446033292237</v>
      </c>
      <c r="H211" s="137">
        <f t="shared" si="235"/>
        <v>5251.927394701187</v>
      </c>
      <c r="I211" s="137">
        <f t="shared" si="235"/>
        <v>5330.6071608695875</v>
      </c>
      <c r="J211" s="137">
        <f t="shared" si="235"/>
        <v>5280.7607618488883</v>
      </c>
      <c r="K211" s="137">
        <f t="shared" si="235"/>
        <v>5163.3585253636766</v>
      </c>
      <c r="L211" s="137">
        <f t="shared" si="235"/>
        <v>5186.9355039437623</v>
      </c>
      <c r="M211" s="137">
        <f t="shared" si="234"/>
        <v>5212.9994275162189</v>
      </c>
      <c r="N211" s="137">
        <f t="shared" si="235"/>
        <v>5111.1776309468605</v>
      </c>
      <c r="O211" s="137">
        <f t="shared" si="235"/>
        <v>4997.0742158111925</v>
      </c>
      <c r="P211" s="137">
        <f t="shared" si="235"/>
        <v>5104.4340840483246</v>
      </c>
      <c r="Q211" s="137">
        <f t="shared" si="235"/>
        <v>5138.311725621902</v>
      </c>
      <c r="R211" s="137">
        <f t="shared" si="235"/>
        <v>5178.7840756106207</v>
      </c>
      <c r="S211" s="137">
        <f t="shared" si="235"/>
        <v>5083.0844913611863</v>
      </c>
      <c r="T211" s="137">
        <f t="shared" si="235"/>
        <v>5045.9896922513708</v>
      </c>
      <c r="U211" s="137">
        <f t="shared" si="235"/>
        <v>4975.891482600663</v>
      </c>
      <c r="V211" s="137">
        <f t="shared" si="235"/>
        <v>4854.8132084304989</v>
      </c>
      <c r="W211" s="137">
        <f t="shared" ref="W211" si="237">IF(W20=0,0,W20*1000000/W74)</f>
        <v>4867.2882012783857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2311.9636945336301</v>
      </c>
      <c r="C212" s="84">
        <f t="shared" si="235"/>
        <v>2261.6154855514155</v>
      </c>
      <c r="D212" s="84">
        <f t="shared" si="235"/>
        <v>2256.7929679273179</v>
      </c>
      <c r="E212" s="84">
        <f t="shared" si="235"/>
        <v>2228.8606087279818</v>
      </c>
      <c r="F212" s="84">
        <f t="shared" si="235"/>
        <v>2189.2084999531153</v>
      </c>
      <c r="G212" s="84">
        <f t="shared" si="235"/>
        <v>2162.24790060634</v>
      </c>
      <c r="H212" s="84">
        <f t="shared" si="235"/>
        <v>2146.4462298044914</v>
      </c>
      <c r="I212" s="84">
        <f t="shared" si="235"/>
        <v>2158.0831197088614</v>
      </c>
      <c r="J212" s="84">
        <f t="shared" si="235"/>
        <v>2117.1222447558794</v>
      </c>
      <c r="K212" s="84">
        <f t="shared" si="235"/>
        <v>2048.8358358026121</v>
      </c>
      <c r="L212" s="84">
        <f t="shared" si="235"/>
        <v>2040.8121988685905</v>
      </c>
      <c r="M212" s="84">
        <f t="shared" si="234"/>
        <v>2033.6788298582189</v>
      </c>
      <c r="N212" s="84">
        <f t="shared" si="235"/>
        <v>1974.0313400138457</v>
      </c>
      <c r="O212" s="84">
        <f t="shared" si="235"/>
        <v>1911.9982674781529</v>
      </c>
      <c r="P212" s="84">
        <f t="shared" si="235"/>
        <v>1938.8579817595917</v>
      </c>
      <c r="Q212" s="84">
        <f t="shared" si="235"/>
        <v>1956.0244958355543</v>
      </c>
      <c r="R212" s="84">
        <f t="shared" si="235"/>
        <v>1970.2499523825195</v>
      </c>
      <c r="S212" s="84">
        <f t="shared" si="235"/>
        <v>1933.7317610578034</v>
      </c>
      <c r="T212" s="84">
        <f t="shared" si="235"/>
        <v>1947.7922733923335</v>
      </c>
      <c r="U212" s="84">
        <f t="shared" si="235"/>
        <v>1921.3831793254049</v>
      </c>
      <c r="V212" s="84">
        <f t="shared" si="235"/>
        <v>1875.2096579372362</v>
      </c>
      <c r="W212" s="84">
        <f t="shared" ref="W212" si="238">IF(W21=0,0,W21*1000000/W75)</f>
        <v>1880.9409346573675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5910.1213806682244</v>
      </c>
      <c r="C213" s="84">
        <f t="shared" si="235"/>
        <v>5761.5210283979268</v>
      </c>
      <c r="D213" s="84">
        <f t="shared" si="235"/>
        <v>5741.7597341486971</v>
      </c>
      <c r="E213" s="84">
        <f t="shared" si="235"/>
        <v>5678.8286098561648</v>
      </c>
      <c r="F213" s="84">
        <f t="shared" si="235"/>
        <v>5585.452529232959</v>
      </c>
      <c r="G213" s="84">
        <f t="shared" si="235"/>
        <v>5526.9192597847532</v>
      </c>
      <c r="H213" s="84">
        <f t="shared" si="235"/>
        <v>5503.5797403144643</v>
      </c>
      <c r="I213" s="84">
        <f t="shared" si="235"/>
        <v>5552.5475110010857</v>
      </c>
      <c r="J213" s="84">
        <f t="shared" si="235"/>
        <v>5482.0052425186041</v>
      </c>
      <c r="K213" s="84">
        <f t="shared" si="235"/>
        <v>5343.5552599782523</v>
      </c>
      <c r="L213" s="84">
        <f t="shared" si="235"/>
        <v>5358.2082268287695</v>
      </c>
      <c r="M213" s="84">
        <f t="shared" si="234"/>
        <v>5373.5094145055518</v>
      </c>
      <c r="N213" s="84">
        <f t="shared" si="235"/>
        <v>5256.4007041361738</v>
      </c>
      <c r="O213" s="84">
        <f t="shared" si="235"/>
        <v>5140.5238330706188</v>
      </c>
      <c r="P213" s="84">
        <f t="shared" si="235"/>
        <v>5246.9189013992409</v>
      </c>
      <c r="Q213" s="84">
        <f t="shared" si="235"/>
        <v>5274.8011036864527</v>
      </c>
      <c r="R213" s="84">
        <f t="shared" si="235"/>
        <v>5313.1628185085992</v>
      </c>
      <c r="S213" s="84">
        <f t="shared" si="235"/>
        <v>5214.6844015386932</v>
      </c>
      <c r="T213" s="84">
        <f t="shared" si="235"/>
        <v>5177.4037149781261</v>
      </c>
      <c r="U213" s="84">
        <f t="shared" si="235"/>
        <v>5107.2060128929916</v>
      </c>
      <c r="V213" s="84">
        <f t="shared" si="235"/>
        <v>4984.472719186896</v>
      </c>
      <c r="W213" s="84">
        <f t="shared" ref="W213" si="239">IF(W22=0,0,W22*1000000/W76)</f>
        <v>4999.7069583753982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2223.1494606098399</v>
      </c>
      <c r="P214" s="84">
        <f t="shared" si="235"/>
        <v>2309.4225595136645</v>
      </c>
      <c r="Q214" s="84">
        <f t="shared" si="235"/>
        <v>2362.9584390097652</v>
      </c>
      <c r="R214" s="84">
        <f t="shared" si="235"/>
        <v>2360.8903899561597</v>
      </c>
      <c r="S214" s="84">
        <f t="shared" si="235"/>
        <v>2298.3884684592631</v>
      </c>
      <c r="T214" s="84">
        <f t="shared" si="235"/>
        <v>2263.498131526243</v>
      </c>
      <c r="U214" s="84">
        <f t="shared" si="235"/>
        <v>2214.7473507269419</v>
      </c>
      <c r="V214" s="84">
        <f t="shared" si="235"/>
        <v>2144.0393039573969</v>
      </c>
      <c r="W214" s="84">
        <f t="shared" ref="W214" si="240">IF(W23=0,0,W23*1000000/W77)</f>
        <v>2133.1960669161363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3574.8696542482694</v>
      </c>
      <c r="I216" s="84">
        <f t="shared" si="235"/>
        <v>3577.1458835154845</v>
      </c>
      <c r="J216" s="84">
        <f t="shared" si="235"/>
        <v>3579.0546097335587</v>
      </c>
      <c r="K216" s="84">
        <f t="shared" si="235"/>
        <v>3583.28818877086</v>
      </c>
      <c r="L216" s="84">
        <f t="shared" si="235"/>
        <v>3583.9769942047146</v>
      </c>
      <c r="M216" s="84">
        <f t="shared" si="234"/>
        <v>3584.7380358726223</v>
      </c>
      <c r="N216" s="84">
        <f t="shared" si="235"/>
        <v>3588.4626862702544</v>
      </c>
      <c r="O216" s="84">
        <f t="shared" si="235"/>
        <v>3592.5607666694455</v>
      </c>
      <c r="P216" s="84">
        <f t="shared" si="235"/>
        <v>3596.3110444344634</v>
      </c>
      <c r="Q216" s="84">
        <f t="shared" si="235"/>
        <v>3597.467996770521</v>
      </c>
      <c r="R216" s="84">
        <f t="shared" si="235"/>
        <v>3594.8502348831585</v>
      </c>
      <c r="S216" s="84">
        <f t="shared" si="235"/>
        <v>3593.0244369824886</v>
      </c>
      <c r="T216" s="84">
        <f t="shared" si="235"/>
        <v>3592.8763703327932</v>
      </c>
      <c r="U216" s="84">
        <f t="shared" si="235"/>
        <v>3591.9165226456325</v>
      </c>
      <c r="V216" s="84">
        <f t="shared" si="235"/>
        <v>3550.3779340689061</v>
      </c>
      <c r="W216" s="84">
        <f t="shared" ref="W216" si="242">IF(W25=0,0,W25*1000000/W79)</f>
        <v>3591.0284632809248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221476.31844893401</v>
      </c>
      <c r="C217" s="110">
        <f t="shared" si="235"/>
        <v>276794.13704452582</v>
      </c>
      <c r="D217" s="110">
        <f t="shared" si="235"/>
        <v>334891.8217593258</v>
      </c>
      <c r="E217" s="110">
        <f t="shared" si="235"/>
        <v>333120.30835875083</v>
      </c>
      <c r="F217" s="110">
        <f t="shared" si="235"/>
        <v>383810.19925775391</v>
      </c>
      <c r="G217" s="110">
        <f t="shared" si="235"/>
        <v>326935.77510191401</v>
      </c>
      <c r="H217" s="110">
        <f t="shared" si="235"/>
        <v>323688.73210778862</v>
      </c>
      <c r="I217" s="110">
        <f t="shared" si="235"/>
        <v>350629.78584521258</v>
      </c>
      <c r="J217" s="110">
        <f t="shared" si="235"/>
        <v>319484.54361318116</v>
      </c>
      <c r="K217" s="110">
        <f t="shared" si="235"/>
        <v>254487.03545918764</v>
      </c>
      <c r="L217" s="110">
        <f t="shared" si="235"/>
        <v>269818.88862933236</v>
      </c>
      <c r="M217" s="110">
        <f t="shared" si="234"/>
        <v>273603.41715250647</v>
      </c>
      <c r="N217" s="110">
        <f t="shared" si="235"/>
        <v>365307.8590751366</v>
      </c>
      <c r="O217" s="110">
        <f t="shared" si="235"/>
        <v>417004.21073854173</v>
      </c>
      <c r="P217" s="110">
        <f t="shared" si="235"/>
        <v>556244.21448536706</v>
      </c>
      <c r="Q217" s="110">
        <f t="shared" si="235"/>
        <v>456404.42324083752</v>
      </c>
      <c r="R217" s="110">
        <f t="shared" si="235"/>
        <v>472153.11772836233</v>
      </c>
      <c r="S217" s="110">
        <f t="shared" si="235"/>
        <v>432124.69605954929</v>
      </c>
      <c r="T217" s="110">
        <f t="shared" si="235"/>
        <v>380302.53206182178</v>
      </c>
      <c r="U217" s="110">
        <f t="shared" si="235"/>
        <v>370173.51883695484</v>
      </c>
      <c r="V217" s="110">
        <f t="shared" si="235"/>
        <v>301300.57803468208</v>
      </c>
      <c r="W217" s="110">
        <f t="shared" ref="W217" si="243">IF(W26=0,0,W26*1000000/W80)</f>
        <v>355128.79134278314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74626.86567164179</v>
      </c>
      <c r="C218" s="163">
        <f t="shared" si="235"/>
        <v>102677.6301918617</v>
      </c>
      <c r="D218" s="163">
        <f t="shared" si="235"/>
        <v>138941.84938036226</v>
      </c>
      <c r="E218" s="163">
        <f t="shared" si="235"/>
        <v>134427.78967404235</v>
      </c>
      <c r="F218" s="163">
        <f t="shared" si="235"/>
        <v>144854.88126649076</v>
      </c>
      <c r="G218" s="163">
        <f t="shared" si="235"/>
        <v>107789.65742963125</v>
      </c>
      <c r="H218" s="163">
        <f t="shared" si="235"/>
        <v>115034.89109748362</v>
      </c>
      <c r="I218" s="163">
        <f t="shared" si="235"/>
        <v>121913.23692992213</v>
      </c>
      <c r="J218" s="163">
        <f t="shared" si="235"/>
        <v>101816.18051733627</v>
      </c>
      <c r="K218" s="163">
        <f t="shared" si="235"/>
        <v>81790.123456790127</v>
      </c>
      <c r="L218" s="163">
        <f t="shared" si="235"/>
        <v>87901.990811638592</v>
      </c>
      <c r="M218" s="163">
        <f t="shared" si="234"/>
        <v>98054.005128978737</v>
      </c>
      <c r="N218" s="163">
        <f t="shared" si="235"/>
        <v>172050.09887936717</v>
      </c>
      <c r="O218" s="163">
        <f t="shared" si="235"/>
        <v>172858.73192436041</v>
      </c>
      <c r="P218" s="163">
        <f t="shared" si="235"/>
        <v>300960.51227321237</v>
      </c>
      <c r="Q218" s="163">
        <f t="shared" si="235"/>
        <v>233524.35530085961</v>
      </c>
      <c r="R218" s="163">
        <f t="shared" si="235"/>
        <v>247563.80510440835</v>
      </c>
      <c r="S218" s="163">
        <f t="shared" si="235"/>
        <v>208401.63934426228</v>
      </c>
      <c r="T218" s="163">
        <f t="shared" si="235"/>
        <v>137747.4984032361</v>
      </c>
      <c r="U218" s="163">
        <f t="shared" si="235"/>
        <v>132917.75588176152</v>
      </c>
      <c r="V218" s="163">
        <f t="shared" si="235"/>
        <v>91462.323250402726</v>
      </c>
      <c r="W218" s="163">
        <f t="shared" ref="W218" si="244">IF(W27=0,0,W27*1000000/W81)</f>
        <v>121076.2331838565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1211330.6298362333</v>
      </c>
      <c r="C219" s="86">
        <f t="shared" si="235"/>
        <v>1210996.1641963199</v>
      </c>
      <c r="D219" s="86">
        <f t="shared" si="235"/>
        <v>1218984.3853100042</v>
      </c>
      <c r="E219" s="86">
        <f t="shared" si="235"/>
        <v>1211253.4903059956</v>
      </c>
      <c r="F219" s="86">
        <f t="shared" si="235"/>
        <v>1189540.3195307853</v>
      </c>
      <c r="G219" s="86">
        <f t="shared" si="235"/>
        <v>1189776.5459713915</v>
      </c>
      <c r="H219" s="86">
        <f t="shared" si="235"/>
        <v>1197669.2583591016</v>
      </c>
      <c r="I219" s="86">
        <f t="shared" si="235"/>
        <v>1199581.798540696</v>
      </c>
      <c r="J219" s="86">
        <f t="shared" si="235"/>
        <v>1183029.1194759542</v>
      </c>
      <c r="K219" s="86">
        <f t="shared" si="235"/>
        <v>1167273.3240199836</v>
      </c>
      <c r="L219" s="86">
        <f t="shared" si="235"/>
        <v>1205186.8750462933</v>
      </c>
      <c r="M219" s="86">
        <f t="shared" si="234"/>
        <v>1200868.0006616421</v>
      </c>
      <c r="N219" s="86">
        <f t="shared" si="235"/>
        <v>1197591.8114299474</v>
      </c>
      <c r="O219" s="86">
        <f t="shared" si="235"/>
        <v>1199209.4333114179</v>
      </c>
      <c r="P219" s="86">
        <f t="shared" si="235"/>
        <v>1201860.4870165114</v>
      </c>
      <c r="Q219" s="86">
        <f t="shared" si="235"/>
        <v>1190803.8917952261</v>
      </c>
      <c r="R219" s="86">
        <f t="shared" si="235"/>
        <v>1183903.071705746</v>
      </c>
      <c r="S219" s="86">
        <f t="shared" si="235"/>
        <v>1194000.8417473375</v>
      </c>
      <c r="T219" s="86">
        <f t="shared" si="235"/>
        <v>1202888.0866425992</v>
      </c>
      <c r="U219" s="86">
        <f t="shared" si="235"/>
        <v>1198735.9550561798</v>
      </c>
      <c r="V219" s="86">
        <f t="shared" si="235"/>
        <v>1180795.1987997</v>
      </c>
      <c r="W219" s="86">
        <f t="shared" ref="W219" si="245">IF(W28=0,0,W28*1000000/W82)</f>
        <v>1193435.7541899441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5.6959430906392784E-3</v>
      </c>
      <c r="C223" s="154">
        <f t="shared" si="250"/>
        <v>5.7322776278869187E-3</v>
      </c>
      <c r="D223" s="154">
        <f t="shared" si="250"/>
        <v>6.0198694971632261E-3</v>
      </c>
      <c r="E223" s="154">
        <f t="shared" si="250"/>
        <v>6.0720197460008953E-3</v>
      </c>
      <c r="F223" s="154">
        <f t="shared" si="250"/>
        <v>6.3855700286591221E-3</v>
      </c>
      <c r="G223" s="154">
        <f t="shared" si="250"/>
        <v>6.4159351242427855E-3</v>
      </c>
      <c r="H223" s="154">
        <f t="shared" si="250"/>
        <v>6.3559926069654054E-3</v>
      </c>
      <c r="I223" s="154">
        <f t="shared" si="250"/>
        <v>6.4797989619015282E-3</v>
      </c>
      <c r="J223" s="154">
        <f t="shared" si="250"/>
        <v>6.4292346226859816E-3</v>
      </c>
      <c r="K223" s="154">
        <f t="shared" si="250"/>
        <v>6.6732971632170283E-3</v>
      </c>
      <c r="L223" s="154">
        <f t="shared" ref="L223" si="251">IF(L5=0,0,L5/L$4)</f>
        <v>7.072761862273862E-3</v>
      </c>
      <c r="M223" s="154">
        <f t="shared" ref="M223:V223" si="252">IF(M5=0,0,M5/M$4)</f>
        <v>7.1471430544665544E-3</v>
      </c>
      <c r="N223" s="154">
        <f t="shared" si="252"/>
        <v>7.3531522824123122E-3</v>
      </c>
      <c r="O223" s="154">
        <f t="shared" si="252"/>
        <v>7.4778543782949552E-3</v>
      </c>
      <c r="P223" s="154">
        <f t="shared" si="252"/>
        <v>7.563202710964537E-3</v>
      </c>
      <c r="Q223" s="154">
        <f t="shared" si="252"/>
        <v>7.6829253156770385E-3</v>
      </c>
      <c r="R223" s="154">
        <f t="shared" si="252"/>
        <v>7.8624858744709893E-3</v>
      </c>
      <c r="S223" s="154">
        <f t="shared" si="252"/>
        <v>7.3037773440313624E-3</v>
      </c>
      <c r="T223" s="154">
        <f t="shared" si="252"/>
        <v>6.8056257660534187E-3</v>
      </c>
      <c r="U223" s="154">
        <f t="shared" si="252"/>
        <v>7.0277816091991749E-3</v>
      </c>
      <c r="V223" s="154">
        <f t="shared" si="252"/>
        <v>7.3877563439639585E-3</v>
      </c>
      <c r="W223" s="154">
        <f t="shared" ref="W223" si="253">IF(W5=0,0,W5/W$4)</f>
        <v>7.2359523891439102E-3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0.89519336313382958</v>
      </c>
      <c r="C224" s="156">
        <f t="shared" si="254"/>
        <v>0.89268619036505503</v>
      </c>
      <c r="D224" s="156">
        <f t="shared" si="254"/>
        <v>0.88587353020645576</v>
      </c>
      <c r="E224" s="156">
        <f t="shared" si="254"/>
        <v>0.88480235630919801</v>
      </c>
      <c r="F224" s="156">
        <f t="shared" si="254"/>
        <v>0.88224862049857045</v>
      </c>
      <c r="G224" s="156">
        <f t="shared" si="254"/>
        <v>0.88163093080524935</v>
      </c>
      <c r="H224" s="156">
        <f t="shared" si="254"/>
        <v>0.88233415957031758</v>
      </c>
      <c r="I224" s="156">
        <f t="shared" si="254"/>
        <v>0.87898570065032844</v>
      </c>
      <c r="J224" s="156">
        <f t="shared" si="254"/>
        <v>0.87476006938607154</v>
      </c>
      <c r="K224" s="156">
        <f t="shared" si="254"/>
        <v>0.87501976194024567</v>
      </c>
      <c r="L224" s="156">
        <f t="shared" ref="L224" si="255">IF(L6=0,0,L6/L$4)</f>
        <v>0.86747675374935751</v>
      </c>
      <c r="M224" s="156">
        <f t="shared" ref="M224:V224" si="256">IF(M6=0,0,M6/M$4)</f>
        <v>0.86347944262066556</v>
      </c>
      <c r="N224" s="156">
        <f t="shared" si="256"/>
        <v>0.86373534826348286</v>
      </c>
      <c r="O224" s="156">
        <f t="shared" si="256"/>
        <v>0.86319209385772</v>
      </c>
      <c r="P224" s="156">
        <f t="shared" si="256"/>
        <v>0.86640174448470608</v>
      </c>
      <c r="Q224" s="156">
        <f t="shared" si="256"/>
        <v>0.86343555724509646</v>
      </c>
      <c r="R224" s="156">
        <f t="shared" si="256"/>
        <v>0.86460904116770476</v>
      </c>
      <c r="S224" s="156">
        <f t="shared" si="256"/>
        <v>0.86375954711445235</v>
      </c>
      <c r="T224" s="156">
        <f t="shared" si="256"/>
        <v>0.86409697863111445</v>
      </c>
      <c r="U224" s="156">
        <f t="shared" si="256"/>
        <v>0.86167939999744403</v>
      </c>
      <c r="V224" s="156">
        <f t="shared" si="256"/>
        <v>0.88828710021381529</v>
      </c>
      <c r="W224" s="156">
        <f t="shared" ref="W224" si="257">IF(W6=0,0,W6/W$4)</f>
        <v>0.88767289590005316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0.59303881303498729</v>
      </c>
      <c r="C225" s="103">
        <f t="shared" si="258"/>
        <v>0.55733690672087932</v>
      </c>
      <c r="D225" s="103">
        <f t="shared" si="258"/>
        <v>0.51998963133290377</v>
      </c>
      <c r="E225" s="103">
        <f t="shared" si="258"/>
        <v>0.49062893616135089</v>
      </c>
      <c r="F225" s="103">
        <f t="shared" si="258"/>
        <v>0.45202802225788147</v>
      </c>
      <c r="G225" s="103">
        <f t="shared" si="258"/>
        <v>0.41662386348603636</v>
      </c>
      <c r="H225" s="103">
        <f t="shared" si="258"/>
        <v>0.3828567641268939</v>
      </c>
      <c r="I225" s="103">
        <f t="shared" si="258"/>
        <v>0.35895501914928468</v>
      </c>
      <c r="J225" s="103">
        <f t="shared" si="258"/>
        <v>0.34340337778939212</v>
      </c>
      <c r="K225" s="103">
        <f t="shared" si="258"/>
        <v>0.32651109199765299</v>
      </c>
      <c r="L225" s="103">
        <f t="shared" ref="L225" si="259">IF(L7=0,0,L7/L$4)</f>
        <v>0.31117813358319285</v>
      </c>
      <c r="M225" s="103">
        <f t="shared" ref="M225:V225" si="260">IF(M7=0,0,M7/M$4)</f>
        <v>0.30707027591543046</v>
      </c>
      <c r="N225" s="103">
        <f t="shared" si="260"/>
        <v>0.30019259377271346</v>
      </c>
      <c r="O225" s="103">
        <f t="shared" si="260"/>
        <v>0.2896267157910139</v>
      </c>
      <c r="P225" s="103">
        <f t="shared" si="260"/>
        <v>0.28251594350225295</v>
      </c>
      <c r="Q225" s="103">
        <f t="shared" si="260"/>
        <v>0.28009460925736224</v>
      </c>
      <c r="R225" s="103">
        <f t="shared" si="260"/>
        <v>0.28911049063260402</v>
      </c>
      <c r="S225" s="103">
        <f t="shared" si="260"/>
        <v>0.30584215649073426</v>
      </c>
      <c r="T225" s="103">
        <f t="shared" si="260"/>
        <v>0.32867766559619715</v>
      </c>
      <c r="U225" s="103">
        <f t="shared" si="260"/>
        <v>0.34999980989499602</v>
      </c>
      <c r="V225" s="103">
        <f t="shared" si="260"/>
        <v>0.37674300065351674</v>
      </c>
      <c r="W225" s="103">
        <f t="shared" ref="W225" si="261">IF(W7=0,0,W7/W$4)</f>
        <v>0.38557645961824433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0.29532667383837219</v>
      </c>
      <c r="C226" s="103">
        <f t="shared" si="262"/>
        <v>0.32762359458059148</v>
      </c>
      <c r="D226" s="103">
        <f t="shared" si="262"/>
        <v>0.35811182062486296</v>
      </c>
      <c r="E226" s="103">
        <f t="shared" si="262"/>
        <v>0.38704670320365059</v>
      </c>
      <c r="F226" s="103">
        <f t="shared" si="262"/>
        <v>0.42366534913048765</v>
      </c>
      <c r="G226" s="103">
        <f t="shared" si="262"/>
        <v>0.45897698257490921</v>
      </c>
      <c r="H226" s="103">
        <f t="shared" si="262"/>
        <v>0.49656330669123816</v>
      </c>
      <c r="I226" s="103">
        <f t="shared" si="262"/>
        <v>0.51730628718050897</v>
      </c>
      <c r="J226" s="103">
        <f t="shared" si="262"/>
        <v>0.52864263397964439</v>
      </c>
      <c r="K226" s="103">
        <f t="shared" si="262"/>
        <v>0.54561574157174908</v>
      </c>
      <c r="L226" s="103">
        <f t="shared" ref="L226" si="263">IF(L8=0,0,L8/L$4)</f>
        <v>0.55306208952599623</v>
      </c>
      <c r="M226" s="103">
        <f t="shared" ref="M226:V226" si="264">IF(M8=0,0,M8/M$4)</f>
        <v>0.55312451990669265</v>
      </c>
      <c r="N226" s="103">
        <f t="shared" si="264"/>
        <v>0.55967941770241236</v>
      </c>
      <c r="O226" s="103">
        <f t="shared" si="264"/>
        <v>0.56881338597587283</v>
      </c>
      <c r="P226" s="103">
        <f t="shared" si="264"/>
        <v>0.57862545234781637</v>
      </c>
      <c r="Q226" s="103">
        <f t="shared" si="264"/>
        <v>0.57818075390994017</v>
      </c>
      <c r="R226" s="103">
        <f t="shared" si="264"/>
        <v>0.56992568328019777</v>
      </c>
      <c r="S226" s="103">
        <f t="shared" si="264"/>
        <v>0.55201103978148158</v>
      </c>
      <c r="T226" s="103">
        <f t="shared" si="264"/>
        <v>0.52911055164385645</v>
      </c>
      <c r="U226" s="103">
        <f t="shared" si="264"/>
        <v>0.502458433549831</v>
      </c>
      <c r="V226" s="103">
        <f t="shared" si="264"/>
        <v>0.49554956455861665</v>
      </c>
      <c r="W226" s="103">
        <f t="shared" ref="W226" si="265">IF(W8=0,0,W8/W$4)</f>
        <v>0.46953005167244932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6.8278762604699591E-3</v>
      </c>
      <c r="C227" s="103">
        <f t="shared" si="266"/>
        <v>7.7256890635842698E-3</v>
      </c>
      <c r="D227" s="103">
        <f t="shared" si="266"/>
        <v>7.7720782486889739E-3</v>
      </c>
      <c r="E227" s="103">
        <f t="shared" si="266"/>
        <v>7.1267169441965985E-3</v>
      </c>
      <c r="F227" s="103">
        <f t="shared" si="266"/>
        <v>6.5552491102013602E-3</v>
      </c>
      <c r="G227" s="103">
        <f t="shared" si="266"/>
        <v>6.0300847443038449E-3</v>
      </c>
      <c r="H227" s="103">
        <f t="shared" si="266"/>
        <v>2.9140887521856072E-3</v>
      </c>
      <c r="I227" s="103">
        <f t="shared" si="266"/>
        <v>2.7243943205347669E-3</v>
      </c>
      <c r="J227" s="103">
        <f t="shared" si="266"/>
        <v>2.7119373978498991E-3</v>
      </c>
      <c r="K227" s="103">
        <f t="shared" si="266"/>
        <v>2.8886821959153829E-3</v>
      </c>
      <c r="L227" s="103">
        <f t="shared" ref="L227" si="267">IF(L9=0,0,L9/L$4)</f>
        <v>2.8100288690273488E-3</v>
      </c>
      <c r="M227" s="103">
        <f t="shared" ref="M227:V227" si="268">IF(M9=0,0,M9/M$4)</f>
        <v>2.632610403784378E-3</v>
      </c>
      <c r="N227" s="103">
        <f t="shared" si="268"/>
        <v>2.5627614285341142E-3</v>
      </c>
      <c r="O227" s="103">
        <f t="shared" si="268"/>
        <v>2.6092439486738936E-3</v>
      </c>
      <c r="P227" s="103">
        <f t="shared" si="268"/>
        <v>2.4984323266399764E-3</v>
      </c>
      <c r="Q227" s="103">
        <f t="shared" si="268"/>
        <v>2.3599741657892867E-3</v>
      </c>
      <c r="R227" s="103">
        <f t="shared" si="268"/>
        <v>2.2937307641789089E-3</v>
      </c>
      <c r="S227" s="103">
        <f t="shared" si="268"/>
        <v>1.8845543520868708E-3</v>
      </c>
      <c r="T227" s="103">
        <f t="shared" si="268"/>
        <v>5.15119070267214E-4</v>
      </c>
      <c r="U227" s="103">
        <f t="shared" si="268"/>
        <v>3.0214054847170697E-4</v>
      </c>
      <c r="V227" s="103">
        <f t="shared" si="268"/>
        <v>6.0558213227692814E-4</v>
      </c>
      <c r="W227" s="103">
        <f t="shared" ref="W227" si="269">IF(W9=0,0,W9/W$4)</f>
        <v>4.3074956543278861E-4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0</v>
      </c>
      <c r="U228" s="103">
        <f t="shared" si="272"/>
        <v>0</v>
      </c>
      <c r="V228" s="103">
        <f t="shared" si="272"/>
        <v>0</v>
      </c>
      <c r="W228" s="103">
        <f t="shared" ref="W228" si="273">IF(W10=0,0,W10/W$4)</f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1.0923049638423268E-3</v>
      </c>
      <c r="O229" s="103">
        <f t="shared" si="276"/>
        <v>1.6056528295611003E-3</v>
      </c>
      <c r="P229" s="103">
        <f t="shared" si="276"/>
        <v>1.6521512069342999E-3</v>
      </c>
      <c r="Q229" s="103">
        <f t="shared" si="276"/>
        <v>1.5720069876834057E-3</v>
      </c>
      <c r="R229" s="103">
        <f t="shared" si="276"/>
        <v>1.8452727947912968E-3</v>
      </c>
      <c r="S229" s="103">
        <f t="shared" si="276"/>
        <v>2.0471948305636378E-3</v>
      </c>
      <c r="T229" s="103">
        <f t="shared" si="276"/>
        <v>3.0539663339911177E-3</v>
      </c>
      <c r="U229" s="103">
        <f t="shared" si="276"/>
        <v>4.5725430667649504E-3</v>
      </c>
      <c r="V229" s="103">
        <f t="shared" si="276"/>
        <v>8.2993321744420905E-3</v>
      </c>
      <c r="W229" s="103">
        <f t="shared" ref="W229" si="277">IF(W11=0,0,W11/W$4)</f>
        <v>1.6756732382471023E-2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2.1202191851449626E-6</v>
      </c>
      <c r="K230" s="103">
        <f t="shared" si="278"/>
        <v>4.2461749282889253E-6</v>
      </c>
      <c r="L230" s="103">
        <f t="shared" ref="L230" si="279">IF(L12=0,0,L12/L$4)</f>
        <v>4.2650177114105019E-4</v>
      </c>
      <c r="M230" s="103">
        <f t="shared" ref="M230:V230" si="280">IF(M12=0,0,M12/M$4)</f>
        <v>6.5203639475812131E-4</v>
      </c>
      <c r="N230" s="103">
        <f t="shared" si="280"/>
        <v>2.0827039598078829E-4</v>
      </c>
      <c r="O230" s="103">
        <f t="shared" si="280"/>
        <v>5.3709531259819756E-4</v>
      </c>
      <c r="P230" s="103">
        <f t="shared" si="280"/>
        <v>1.1097651010625504E-3</v>
      </c>
      <c r="Q230" s="103">
        <f t="shared" si="280"/>
        <v>1.228212924321377E-3</v>
      </c>
      <c r="R230" s="103">
        <f t="shared" si="280"/>
        <v>1.4338636959326605E-3</v>
      </c>
      <c r="S230" s="103">
        <f t="shared" si="280"/>
        <v>1.9746016595861208E-3</v>
      </c>
      <c r="T230" s="103">
        <f t="shared" si="280"/>
        <v>2.7396759868025E-3</v>
      </c>
      <c r="U230" s="103">
        <f t="shared" si="280"/>
        <v>4.3464729373802937E-3</v>
      </c>
      <c r="V230" s="103">
        <f t="shared" si="280"/>
        <v>7.0896206949628508E-3</v>
      </c>
      <c r="W230" s="103">
        <f t="shared" ref="W230" si="281">IF(W12=0,0,W12/W$4)</f>
        <v>1.5378902661455796E-2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9.9110693775531111E-2</v>
      </c>
      <c r="C231" s="156">
        <f t="shared" si="282"/>
        <v>0.10158153200705798</v>
      </c>
      <c r="D231" s="156">
        <f t="shared" si="282"/>
        <v>0.10810660029638104</v>
      </c>
      <c r="E231" s="156">
        <f t="shared" si="282"/>
        <v>0.10912562394480109</v>
      </c>
      <c r="F231" s="156">
        <f t="shared" si="282"/>
        <v>0.11136580947277037</v>
      </c>
      <c r="G231" s="156">
        <f t="shared" si="282"/>
        <v>0.11195313407050787</v>
      </c>
      <c r="H231" s="156">
        <f t="shared" si="282"/>
        <v>0.111309847822717</v>
      </c>
      <c r="I231" s="156">
        <f t="shared" si="282"/>
        <v>0.11453450038777008</v>
      </c>
      <c r="J231" s="156">
        <f t="shared" si="282"/>
        <v>0.11881069599124257</v>
      </c>
      <c r="K231" s="156">
        <f t="shared" si="282"/>
        <v>0.11830694089653727</v>
      </c>
      <c r="L231" s="156">
        <f t="shared" ref="L231" si="283">IF(L13=0,0,L13/L$4)</f>
        <v>0.12545048438836862</v>
      </c>
      <c r="M231" s="156">
        <f t="shared" ref="M231:V231" si="284">IF(M13=0,0,M13/M$4)</f>
        <v>0.12937341432486782</v>
      </c>
      <c r="N231" s="156">
        <f t="shared" si="284"/>
        <v>0.12891149945410482</v>
      </c>
      <c r="O231" s="156">
        <f t="shared" si="284"/>
        <v>0.12933005176398502</v>
      </c>
      <c r="P231" s="156">
        <f t="shared" si="284"/>
        <v>0.12603505280432936</v>
      </c>
      <c r="Q231" s="156">
        <f t="shared" si="284"/>
        <v>0.12888151743922649</v>
      </c>
      <c r="R231" s="156">
        <f t="shared" si="284"/>
        <v>0.12752847295782441</v>
      </c>
      <c r="S231" s="156">
        <f t="shared" si="284"/>
        <v>0.12893667554151622</v>
      </c>
      <c r="T231" s="156">
        <f t="shared" si="284"/>
        <v>0.12909739560283201</v>
      </c>
      <c r="U231" s="156">
        <f t="shared" si="284"/>
        <v>0.13129281839335677</v>
      </c>
      <c r="V231" s="156">
        <f t="shared" si="284"/>
        <v>0.10432514344222078</v>
      </c>
      <c r="W231" s="156">
        <f t="shared" ref="W231" si="285">IF(W13=0,0,W13/W$4)</f>
        <v>0.10509115171080295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0</v>
      </c>
      <c r="M232" s="103">
        <f t="shared" ref="M232:V232" si="288">IF(M14=0,0,M14/M$4)</f>
        <v>0</v>
      </c>
      <c r="N232" s="103">
        <f t="shared" si="288"/>
        <v>0</v>
      </c>
      <c r="O232" s="103">
        <f t="shared" si="288"/>
        <v>0</v>
      </c>
      <c r="P232" s="103">
        <f t="shared" si="288"/>
        <v>0</v>
      </c>
      <c r="Q232" s="103">
        <f t="shared" si="288"/>
        <v>0</v>
      </c>
      <c r="R232" s="103">
        <f t="shared" si="288"/>
        <v>0</v>
      </c>
      <c r="S232" s="103">
        <f t="shared" si="288"/>
        <v>0</v>
      </c>
      <c r="T232" s="103">
        <f t="shared" si="288"/>
        <v>7.6652450574867782E-6</v>
      </c>
      <c r="U232" s="103">
        <f t="shared" si="288"/>
        <v>7.1485765871398531E-6</v>
      </c>
      <c r="V232" s="103">
        <f t="shared" si="288"/>
        <v>7.2910766047995133E-6</v>
      </c>
      <c r="W232" s="103">
        <f t="shared" ref="W232" si="289">IF(W14=0,0,W14/W$4)</f>
        <v>6.417524154765839E-6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9.9110693775531111E-2</v>
      </c>
      <c r="C233" s="103">
        <f t="shared" si="290"/>
        <v>0.10158153200705798</v>
      </c>
      <c r="D233" s="103">
        <f t="shared" si="290"/>
        <v>0.10810660029638104</v>
      </c>
      <c r="E233" s="103">
        <f t="shared" si="290"/>
        <v>0.10883150478947018</v>
      </c>
      <c r="F233" s="103">
        <f t="shared" si="290"/>
        <v>0.11107001219443804</v>
      </c>
      <c r="G233" s="103">
        <f t="shared" si="290"/>
        <v>0.11166643631773657</v>
      </c>
      <c r="H233" s="103">
        <f t="shared" si="290"/>
        <v>0.11102746504081991</v>
      </c>
      <c r="I233" s="103">
        <f t="shared" si="290"/>
        <v>0.11425411897538393</v>
      </c>
      <c r="J233" s="103">
        <f t="shared" si="290"/>
        <v>0.11853191401973603</v>
      </c>
      <c r="K233" s="103">
        <f t="shared" si="290"/>
        <v>0.11812753146166871</v>
      </c>
      <c r="L233" s="103">
        <f t="shared" ref="L233" si="291">IF(L15=0,0,L15/L$4)</f>
        <v>0.1252654114964159</v>
      </c>
      <c r="M233" s="103">
        <f t="shared" ref="M233:V233" si="292">IF(M15=0,0,M15/M$4)</f>
        <v>0.12918692371436183</v>
      </c>
      <c r="N233" s="103">
        <f t="shared" si="292"/>
        <v>0.12872487720252102</v>
      </c>
      <c r="O233" s="103">
        <f t="shared" si="292"/>
        <v>0.12895618016043506</v>
      </c>
      <c r="P233" s="103">
        <f t="shared" si="292"/>
        <v>0.12575918885912163</v>
      </c>
      <c r="Q233" s="103">
        <f t="shared" si="292"/>
        <v>0.12860637786459875</v>
      </c>
      <c r="R233" s="103">
        <f t="shared" si="292"/>
        <v>0.12726059618690741</v>
      </c>
      <c r="S233" s="103">
        <f t="shared" si="292"/>
        <v>0.12823716812584976</v>
      </c>
      <c r="T233" s="103">
        <f t="shared" si="292"/>
        <v>0.1266932955967591</v>
      </c>
      <c r="U233" s="103">
        <f t="shared" si="292"/>
        <v>0.12261434286216551</v>
      </c>
      <c r="V233" s="103">
        <f t="shared" si="292"/>
        <v>9.4489443798017977E-2</v>
      </c>
      <c r="W233" s="103">
        <f t="shared" ref="W233" si="293">IF(W15=0,0,W15/W$4)</f>
        <v>9.3079038356558605E-2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0</v>
      </c>
      <c r="V235" s="103">
        <f t="shared" si="300"/>
        <v>0</v>
      </c>
      <c r="W235" s="103">
        <f t="shared" ref="W235" si="301">IF(W17=0,0,W17/W$4)</f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2.9411915533090994E-4</v>
      </c>
      <c r="F236" s="103">
        <f t="shared" si="302"/>
        <v>2.9579727833233498E-4</v>
      </c>
      <c r="G236" s="103">
        <f t="shared" si="302"/>
        <v>2.866977527713003E-4</v>
      </c>
      <c r="H236" s="103">
        <f t="shared" si="302"/>
        <v>2.8238278189708567E-4</v>
      </c>
      <c r="I236" s="103">
        <f t="shared" si="302"/>
        <v>2.8038141238614076E-4</v>
      </c>
      <c r="J236" s="103">
        <f t="shared" si="302"/>
        <v>2.787819715065335E-4</v>
      </c>
      <c r="K236" s="103">
        <f t="shared" si="302"/>
        <v>1.7940943486856605E-4</v>
      </c>
      <c r="L236" s="103">
        <f t="shared" ref="L236" si="303">IF(L18=0,0,L18/L$4)</f>
        <v>1.8507289195271527E-4</v>
      </c>
      <c r="M236" s="103">
        <f t="shared" ref="M236:V236" si="304">IF(M18=0,0,M18/M$4)</f>
        <v>1.8649061050601349E-4</v>
      </c>
      <c r="N236" s="103">
        <f t="shared" si="304"/>
        <v>1.8662225158381954E-4</v>
      </c>
      <c r="O236" s="103">
        <f t="shared" si="304"/>
        <v>3.7387160354993877E-4</v>
      </c>
      <c r="P236" s="103">
        <f t="shared" si="304"/>
        <v>2.7586394520772231E-4</v>
      </c>
      <c r="Q236" s="103">
        <f t="shared" si="304"/>
        <v>2.7513957462773367E-4</v>
      </c>
      <c r="R236" s="103">
        <f t="shared" si="304"/>
        <v>2.6787677091698217E-4</v>
      </c>
      <c r="S236" s="103">
        <f t="shared" si="304"/>
        <v>6.9950741566646222E-4</v>
      </c>
      <c r="T236" s="103">
        <f t="shared" si="304"/>
        <v>2.3964347610154393E-3</v>
      </c>
      <c r="U236" s="103">
        <f t="shared" si="304"/>
        <v>8.6713269546041302E-3</v>
      </c>
      <c r="V236" s="103">
        <f t="shared" si="304"/>
        <v>9.8284085675980192E-3</v>
      </c>
      <c r="W236" s="103">
        <f t="shared" ref="W236" si="305">IF(W18=0,0,W18/W$4)</f>
        <v>1.2005695830089584E-2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4.7161281336062809E-2</v>
      </c>
      <c r="C238" s="154">
        <f t="shared" si="310"/>
        <v>4.6292539037231316E-2</v>
      </c>
      <c r="D238" s="154">
        <f t="shared" si="310"/>
        <v>4.5244317306915048E-2</v>
      </c>
      <c r="E238" s="154">
        <f t="shared" si="310"/>
        <v>4.7175002380303421E-2</v>
      </c>
      <c r="F238" s="154">
        <f t="shared" si="310"/>
        <v>4.5236046632017003E-2</v>
      </c>
      <c r="G238" s="154">
        <f t="shared" si="310"/>
        <v>4.7860573520791615E-2</v>
      </c>
      <c r="H238" s="154">
        <f t="shared" si="310"/>
        <v>4.9971920478919699E-2</v>
      </c>
      <c r="I238" s="154">
        <f t="shared" si="310"/>
        <v>5.1270852505603204E-2</v>
      </c>
      <c r="J238" s="154">
        <f t="shared" si="310"/>
        <v>5.0233515576644114E-2</v>
      </c>
      <c r="K238" s="154">
        <f t="shared" si="310"/>
        <v>5.6105820643406565E-2</v>
      </c>
      <c r="L238" s="154">
        <f t="shared" ref="L238" si="311">IF(L20=0,0,L20/L$19)</f>
        <v>5.4639024065652686E-2</v>
      </c>
      <c r="M238" s="154">
        <f t="shared" ref="M238:V238" si="312">IF(M20=0,0,M20/M$19)</f>
        <v>5.6181102477868387E-2</v>
      </c>
      <c r="N238" s="154">
        <f t="shared" si="312"/>
        <v>4.6621802746034564E-2</v>
      </c>
      <c r="O238" s="154">
        <f t="shared" si="312"/>
        <v>5.3162513245913146E-2</v>
      </c>
      <c r="P238" s="154">
        <f t="shared" si="312"/>
        <v>4.7658238045055597E-2</v>
      </c>
      <c r="Q238" s="154">
        <f t="shared" si="312"/>
        <v>5.7657343627121313E-2</v>
      </c>
      <c r="R238" s="154">
        <f t="shared" si="312"/>
        <v>5.6813330801262038E-2</v>
      </c>
      <c r="S238" s="154">
        <f t="shared" si="312"/>
        <v>5.7958407801922192E-2</v>
      </c>
      <c r="T238" s="154">
        <f t="shared" si="312"/>
        <v>7.0533657076565281E-2</v>
      </c>
      <c r="U238" s="154">
        <f t="shared" si="312"/>
        <v>7.0708207641133877E-2</v>
      </c>
      <c r="V238" s="154">
        <f t="shared" si="312"/>
        <v>8.0889392632454302E-2</v>
      </c>
      <c r="W238" s="154">
        <f t="shared" ref="W238" si="313">IF(W20=0,0,W20/W$19)</f>
        <v>7.6283338439211368E-2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3.8611860032268805E-3</v>
      </c>
      <c r="C239" s="103">
        <f t="shared" si="314"/>
        <v>3.1602088681721252E-3</v>
      </c>
      <c r="D239" s="103">
        <f t="shared" si="314"/>
        <v>2.6283155555257708E-3</v>
      </c>
      <c r="E239" s="103">
        <f t="shared" si="314"/>
        <v>2.378645990040736E-3</v>
      </c>
      <c r="F239" s="103">
        <f t="shared" si="314"/>
        <v>1.9272189540338273E-3</v>
      </c>
      <c r="G239" s="103">
        <f t="shared" si="314"/>
        <v>1.7148128597814845E-3</v>
      </c>
      <c r="H239" s="103">
        <f t="shared" si="314"/>
        <v>1.5303275841842578E-3</v>
      </c>
      <c r="I239" s="103">
        <f t="shared" si="314"/>
        <v>1.3559563702126944E-3</v>
      </c>
      <c r="J239" s="103">
        <f t="shared" si="314"/>
        <v>1.2034298487563016E-3</v>
      </c>
      <c r="K239" s="103">
        <f t="shared" si="314"/>
        <v>1.213930589689485E-3</v>
      </c>
      <c r="L239" s="103">
        <f t="shared" ref="L239" si="315">IF(L21=0,0,L21/L$19)</f>
        <v>1.1064735348669814E-3</v>
      </c>
      <c r="M239" s="103">
        <f t="shared" ref="M239:V239" si="316">IF(M21=0,0,M21/M$19)</f>
        <v>1.0499893909071802E-3</v>
      </c>
      <c r="N239" s="103">
        <f t="shared" si="316"/>
        <v>7.8755173640005123E-4</v>
      </c>
      <c r="O239" s="103">
        <f t="shared" si="316"/>
        <v>8.3985318641826266E-4</v>
      </c>
      <c r="P239" s="103">
        <f t="shared" si="316"/>
        <v>7.1213853924019651E-4</v>
      </c>
      <c r="Q239" s="103">
        <f t="shared" si="316"/>
        <v>8.1453081626563695E-4</v>
      </c>
      <c r="R239" s="103">
        <f t="shared" si="316"/>
        <v>7.7189432176015603E-4</v>
      </c>
      <c r="S239" s="103">
        <f t="shared" si="316"/>
        <v>7.7393567794870315E-4</v>
      </c>
      <c r="T239" s="103">
        <f t="shared" si="316"/>
        <v>9.5647116095725607E-4</v>
      </c>
      <c r="U239" s="103">
        <f t="shared" si="316"/>
        <v>9.71935186772284E-4</v>
      </c>
      <c r="V239" s="103">
        <f t="shared" si="316"/>
        <v>1.1035520345373244E-3</v>
      </c>
      <c r="W239" s="103">
        <f t="shared" ref="W239" si="317">IF(W21=0,0,W21/W$19)</f>
        <v>1.0372540621158084E-3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4.3300095332835936E-2</v>
      </c>
      <c r="C240" s="103">
        <f t="shared" si="318"/>
        <v>4.3132330169059187E-2</v>
      </c>
      <c r="D240" s="103">
        <f t="shared" si="318"/>
        <v>4.2616001751389278E-2</v>
      </c>
      <c r="E240" s="103">
        <f t="shared" si="318"/>
        <v>4.4796356390262693E-2</v>
      </c>
      <c r="F240" s="103">
        <f t="shared" si="318"/>
        <v>4.3308827677983178E-2</v>
      </c>
      <c r="G240" s="103">
        <f t="shared" si="318"/>
        <v>4.6145760661010123E-2</v>
      </c>
      <c r="H240" s="103">
        <f t="shared" si="318"/>
        <v>4.8439801795270312E-2</v>
      </c>
      <c r="I240" s="103">
        <f t="shared" si="318"/>
        <v>4.991150356929671E-2</v>
      </c>
      <c r="J240" s="103">
        <f t="shared" si="318"/>
        <v>4.9026967824508279E-2</v>
      </c>
      <c r="K240" s="103">
        <f t="shared" si="318"/>
        <v>5.4879817242246415E-2</v>
      </c>
      <c r="L240" s="103">
        <f t="shared" ref="L240" si="319">IF(L22=0,0,L22/L$19)</f>
        <v>5.3521281307803148E-2</v>
      </c>
      <c r="M240" s="103">
        <f t="shared" ref="M240:V240" si="320">IF(M22=0,0,M22/M$19)</f>
        <v>5.5120133752884416E-2</v>
      </c>
      <c r="N240" s="103">
        <f t="shared" si="320"/>
        <v>4.5801685295795591E-2</v>
      </c>
      <c r="O240" s="103">
        <f t="shared" si="320"/>
        <v>5.2175352050456508E-2</v>
      </c>
      <c r="P240" s="103">
        <f t="shared" si="320"/>
        <v>4.6789998516293618E-2</v>
      </c>
      <c r="Q240" s="103">
        <f t="shared" si="320"/>
        <v>5.6629261544089066E-2</v>
      </c>
      <c r="R240" s="103">
        <f t="shared" si="320"/>
        <v>5.5812854895742253E-2</v>
      </c>
      <c r="S240" s="103">
        <f t="shared" si="320"/>
        <v>5.6907276278995202E-2</v>
      </c>
      <c r="T240" s="103">
        <f t="shared" si="320"/>
        <v>6.9179079222248613E-2</v>
      </c>
      <c r="U240" s="103">
        <f t="shared" si="320"/>
        <v>6.9295240703596897E-2</v>
      </c>
      <c r="V240" s="103">
        <f t="shared" si="320"/>
        <v>7.9202341439146992E-2</v>
      </c>
      <c r="W240" s="103">
        <f t="shared" ref="W240" si="321">IF(W22=0,0,W22/W$19)</f>
        <v>7.4549079813236108E-2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5.049529433722193E-5</v>
      </c>
      <c r="P241" s="103">
        <f t="shared" si="324"/>
        <v>5.3676895070421974E-5</v>
      </c>
      <c r="Q241" s="103">
        <f t="shared" si="324"/>
        <v>6.5241637768394066E-5</v>
      </c>
      <c r="R241" s="103">
        <f t="shared" si="324"/>
        <v>7.1532929123759232E-5</v>
      </c>
      <c r="S241" s="103">
        <f t="shared" si="324"/>
        <v>7.6193841205249616E-5</v>
      </c>
      <c r="T241" s="103">
        <f t="shared" si="324"/>
        <v>8.9138280324827071E-5</v>
      </c>
      <c r="U241" s="103">
        <f t="shared" si="324"/>
        <v>7.7354325013065484E-5</v>
      </c>
      <c r="V241" s="103">
        <f t="shared" si="324"/>
        <v>1.0301986095440713E-4</v>
      </c>
      <c r="W241" s="103">
        <f t="shared" ref="W241" si="325">IF(W23=0,0,W23/W$19)</f>
        <v>8.626086370704316E-5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1.7910994651325941E-6</v>
      </c>
      <c r="I243" s="103">
        <f t="shared" si="330"/>
        <v>3.3925660937976857E-6</v>
      </c>
      <c r="J243" s="103">
        <f t="shared" si="330"/>
        <v>3.117903379534396E-6</v>
      </c>
      <c r="K243" s="103">
        <f t="shared" si="330"/>
        <v>1.2072811470660831E-5</v>
      </c>
      <c r="L243" s="103">
        <f t="shared" ref="L243" si="331">IF(L25=0,0,L25/L$19)</f>
        <v>1.1269222982552238E-5</v>
      </c>
      <c r="M243" s="103">
        <f t="shared" ref="M243:V243" si="332">IF(M25=0,0,M25/M$19)</f>
        <v>1.0979334076790643E-5</v>
      </c>
      <c r="N243" s="103">
        <f t="shared" si="332"/>
        <v>3.2565713838922025E-5</v>
      </c>
      <c r="O243" s="103">
        <f t="shared" si="332"/>
        <v>9.6812714701141863E-5</v>
      </c>
      <c r="P243" s="103">
        <f t="shared" si="332"/>
        <v>1.0242409445136522E-4</v>
      </c>
      <c r="Q243" s="103">
        <f t="shared" si="332"/>
        <v>1.4830962899822951E-4</v>
      </c>
      <c r="R243" s="103">
        <f t="shared" si="332"/>
        <v>1.570486546358655E-4</v>
      </c>
      <c r="S243" s="103">
        <f t="shared" si="332"/>
        <v>2.0100200377304306E-4</v>
      </c>
      <c r="T243" s="103">
        <f t="shared" si="332"/>
        <v>3.089684130345778E-4</v>
      </c>
      <c r="U243" s="103">
        <f t="shared" si="332"/>
        <v>3.636774257516295E-4</v>
      </c>
      <c r="V243" s="103">
        <f t="shared" si="332"/>
        <v>4.8047929781558086E-4</v>
      </c>
      <c r="W243" s="103">
        <f t="shared" ref="W243" si="333">IF(W25=0,0,W25/W$19)</f>
        <v>6.1074370015241507E-4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0.9528387186639371</v>
      </c>
      <c r="C244" s="156">
        <f t="shared" si="334"/>
        <v>0.95370746096276859</v>
      </c>
      <c r="D244" s="156">
        <f t="shared" si="334"/>
        <v>0.95475568269308497</v>
      </c>
      <c r="E244" s="156">
        <f t="shared" si="334"/>
        <v>0.95282499761969663</v>
      </c>
      <c r="F244" s="156">
        <f t="shared" si="334"/>
        <v>0.95476395336798303</v>
      </c>
      <c r="G244" s="156">
        <f t="shared" si="334"/>
        <v>0.95213942647920846</v>
      </c>
      <c r="H244" s="156">
        <f t="shared" si="334"/>
        <v>0.95002807952108026</v>
      </c>
      <c r="I244" s="156">
        <f t="shared" si="334"/>
        <v>0.94872914749439674</v>
      </c>
      <c r="J244" s="156">
        <f t="shared" si="334"/>
        <v>0.94976648442335587</v>
      </c>
      <c r="K244" s="156">
        <f t="shared" si="334"/>
        <v>0.94389417935659337</v>
      </c>
      <c r="L244" s="156">
        <f t="shared" ref="L244" si="335">IF(L26=0,0,L26/L$19)</f>
        <v>0.94536097593434731</v>
      </c>
      <c r="M244" s="156">
        <f t="shared" ref="M244:V244" si="336">IF(M26=0,0,M26/M$19)</f>
        <v>0.94381889752213155</v>
      </c>
      <c r="N244" s="156">
        <f t="shared" si="336"/>
        <v>0.95337819725396544</v>
      </c>
      <c r="O244" s="156">
        <f t="shared" si="336"/>
        <v>0.94683748675408685</v>
      </c>
      <c r="P244" s="156">
        <f t="shared" si="336"/>
        <v>0.95234176195494435</v>
      </c>
      <c r="Q244" s="156">
        <f t="shared" si="336"/>
        <v>0.94234265637287862</v>
      </c>
      <c r="R244" s="156">
        <f t="shared" si="336"/>
        <v>0.94318666919873806</v>
      </c>
      <c r="S244" s="156">
        <f t="shared" si="336"/>
        <v>0.94204159219807782</v>
      </c>
      <c r="T244" s="156">
        <f t="shared" si="336"/>
        <v>0.92946634292343477</v>
      </c>
      <c r="U244" s="156">
        <f t="shared" si="336"/>
        <v>0.92929179235886616</v>
      </c>
      <c r="V244" s="156">
        <f t="shared" si="336"/>
        <v>0.91911060736754568</v>
      </c>
      <c r="W244" s="156">
        <f t="shared" ref="W244" si="337">IF(W26=0,0,W26/W$19)</f>
        <v>0.92371666156078858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0.27958333639059901</v>
      </c>
      <c r="C245" s="103">
        <f t="shared" si="338"/>
        <v>0.29820185412665262</v>
      </c>
      <c r="D245" s="103">
        <f t="shared" si="338"/>
        <v>0.32424826648901656</v>
      </c>
      <c r="E245" s="103">
        <f t="shared" si="338"/>
        <v>0.3135566863639318</v>
      </c>
      <c r="F245" s="103">
        <f t="shared" si="338"/>
        <v>0.27791801231507751</v>
      </c>
      <c r="G245" s="103">
        <f t="shared" si="338"/>
        <v>0.25033631477824797</v>
      </c>
      <c r="H245" s="103">
        <f t="shared" si="338"/>
        <v>0.27255766035391887</v>
      </c>
      <c r="I245" s="103">
        <f t="shared" si="338"/>
        <v>0.25986167183850667</v>
      </c>
      <c r="J245" s="103">
        <f t="shared" si="338"/>
        <v>0.24174489695344598</v>
      </c>
      <c r="K245" s="103">
        <f t="shared" si="338"/>
        <v>0.25509650603287631</v>
      </c>
      <c r="L245" s="103">
        <f t="shared" ref="L245" si="339">IF(L27=0,0,L27/L$19)</f>
        <v>0.25783543980988533</v>
      </c>
      <c r="M245" s="103">
        <f t="shared" ref="M245:V245" si="340">IF(M27=0,0,M27/M$19)</f>
        <v>0.28440281622884866</v>
      </c>
      <c r="N245" s="103">
        <f t="shared" si="340"/>
        <v>0.3644007971383913</v>
      </c>
      <c r="O245" s="103">
        <f t="shared" si="340"/>
        <v>0.29912399621814145</v>
      </c>
      <c r="P245" s="103">
        <f t="shared" si="340"/>
        <v>0.36926209833740065</v>
      </c>
      <c r="Q245" s="103">
        <f t="shared" si="340"/>
        <v>0.36990037042280971</v>
      </c>
      <c r="R245" s="103">
        <f t="shared" si="340"/>
        <v>0.37592062378570235</v>
      </c>
      <c r="S245" s="103">
        <f t="shared" si="340"/>
        <v>0.35119324533037249</v>
      </c>
      <c r="T245" s="103">
        <f t="shared" si="340"/>
        <v>0.25999339553457079</v>
      </c>
      <c r="U245" s="103">
        <f t="shared" si="340"/>
        <v>0.25940112953936256</v>
      </c>
      <c r="V245" s="103">
        <f t="shared" si="340"/>
        <v>0.22525924238120665</v>
      </c>
      <c r="W245" s="103">
        <f t="shared" ref="W245" si="341">IF(W27=0,0,W27/W$19)</f>
        <v>0.24619229477650201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0.67325538227333814</v>
      </c>
      <c r="C246" s="105">
        <f t="shared" si="342"/>
        <v>0.65550560683611603</v>
      </c>
      <c r="D246" s="105">
        <f t="shared" si="342"/>
        <v>0.63050741620406847</v>
      </c>
      <c r="E246" s="105">
        <f t="shared" si="342"/>
        <v>0.63926831125576478</v>
      </c>
      <c r="F246" s="105">
        <f t="shared" si="342"/>
        <v>0.67684594105290552</v>
      </c>
      <c r="G246" s="105">
        <f t="shared" si="342"/>
        <v>0.70180311170096044</v>
      </c>
      <c r="H246" s="105">
        <f t="shared" si="342"/>
        <v>0.67747041916716144</v>
      </c>
      <c r="I246" s="105">
        <f t="shared" si="342"/>
        <v>0.68886747565589002</v>
      </c>
      <c r="J246" s="105">
        <f t="shared" si="342"/>
        <v>0.70802158746990995</v>
      </c>
      <c r="K246" s="105">
        <f t="shared" si="342"/>
        <v>0.68879767332371711</v>
      </c>
      <c r="L246" s="105">
        <f t="shared" ref="L246" si="343">IF(L28=0,0,L28/L$19)</f>
        <v>0.68752553612446199</v>
      </c>
      <c r="M246" s="105">
        <f t="shared" ref="M246:V246" si="344">IF(M28=0,0,M28/M$19)</f>
        <v>0.65941608129328289</v>
      </c>
      <c r="N246" s="105">
        <f t="shared" si="344"/>
        <v>0.58897740011557409</v>
      </c>
      <c r="O246" s="105">
        <f t="shared" si="344"/>
        <v>0.6477134905359454</v>
      </c>
      <c r="P246" s="105">
        <f t="shared" si="344"/>
        <v>0.58307966361754371</v>
      </c>
      <c r="Q246" s="105">
        <f t="shared" si="344"/>
        <v>0.57244228595006896</v>
      </c>
      <c r="R246" s="105">
        <f t="shared" si="344"/>
        <v>0.5672660454130356</v>
      </c>
      <c r="S246" s="105">
        <f t="shared" si="344"/>
        <v>0.59084834686770527</v>
      </c>
      <c r="T246" s="105">
        <f t="shared" si="344"/>
        <v>0.66947294738886398</v>
      </c>
      <c r="U246" s="105">
        <f t="shared" si="344"/>
        <v>0.6698906628195036</v>
      </c>
      <c r="V246" s="105">
        <f t="shared" si="344"/>
        <v>0.69385136498633904</v>
      </c>
      <c r="W246" s="105">
        <f t="shared" ref="W246" si="345">IF(W28=0,0,W28/W$19)</f>
        <v>0.67752436678428651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7.3550409161154857E-3</v>
      </c>
      <c r="C250" s="154">
        <f t="shared" si="350"/>
        <v>7.3463943145492937E-3</v>
      </c>
      <c r="D250" s="154">
        <f t="shared" si="350"/>
        <v>7.6927242903592798E-3</v>
      </c>
      <c r="E250" s="154">
        <f t="shared" si="350"/>
        <v>7.6886729897673528E-3</v>
      </c>
      <c r="F250" s="154">
        <f t="shared" si="350"/>
        <v>8.0259045837366271E-3</v>
      </c>
      <c r="G250" s="154">
        <f t="shared" si="350"/>
        <v>7.9976792501833989E-3</v>
      </c>
      <c r="H250" s="154">
        <f t="shared" si="350"/>
        <v>7.9167209331145998E-3</v>
      </c>
      <c r="I250" s="154">
        <f t="shared" si="350"/>
        <v>8.0856138475526775E-3</v>
      </c>
      <c r="J250" s="154">
        <f t="shared" si="350"/>
        <v>7.992172200214696E-3</v>
      </c>
      <c r="K250" s="154">
        <f t="shared" si="350"/>
        <v>8.2839489560294528E-3</v>
      </c>
      <c r="L250" s="154">
        <f t="shared" ref="L250" si="351">IF(L32=0,0,L32/L$31)</f>
        <v>8.8605945804681608E-3</v>
      </c>
      <c r="M250" s="154">
        <f t="shared" ref="M250:V250" si="352">IF(M32=0,0,M32/M$31)</f>
        <v>8.9723492859233919E-3</v>
      </c>
      <c r="N250" s="154">
        <f t="shared" si="352"/>
        <v>9.2605334572425039E-3</v>
      </c>
      <c r="O250" s="154">
        <f t="shared" si="352"/>
        <v>9.4078523432327473E-3</v>
      </c>
      <c r="P250" s="154">
        <f t="shared" si="352"/>
        <v>9.4552324249821771E-3</v>
      </c>
      <c r="Q250" s="154">
        <f t="shared" si="352"/>
        <v>9.7291002764307508E-3</v>
      </c>
      <c r="R250" s="154">
        <f t="shared" si="352"/>
        <v>9.8099109792599455E-3</v>
      </c>
      <c r="S250" s="154">
        <f t="shared" si="352"/>
        <v>9.0829702497889405E-3</v>
      </c>
      <c r="T250" s="154">
        <f t="shared" si="352"/>
        <v>8.3597676359229919E-3</v>
      </c>
      <c r="U250" s="154">
        <f t="shared" si="352"/>
        <v>8.5592778396963894E-3</v>
      </c>
      <c r="V250" s="154">
        <f t="shared" si="352"/>
        <v>8.1718844547512236E-3</v>
      </c>
      <c r="W250" s="154">
        <f t="shared" ref="W250" si="353">IF(W32=0,0,W32/W$31)</f>
        <v>8.2745530947781042E-3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0.98339250636841291</v>
      </c>
      <c r="C251" s="156">
        <f t="shared" si="354"/>
        <v>0.98299083484052596</v>
      </c>
      <c r="D251" s="156">
        <f t="shared" si="354"/>
        <v>0.98223261835550668</v>
      </c>
      <c r="E251" s="156">
        <f t="shared" si="354"/>
        <v>0.98224029711731553</v>
      </c>
      <c r="F251" s="156">
        <f t="shared" si="354"/>
        <v>0.98201495123536053</v>
      </c>
      <c r="G251" s="156">
        <f t="shared" si="354"/>
        <v>0.98209061149369792</v>
      </c>
      <c r="H251" s="156">
        <f t="shared" si="354"/>
        <v>0.98237408117922753</v>
      </c>
      <c r="I251" s="156">
        <f t="shared" si="354"/>
        <v>0.98200033837686873</v>
      </c>
      <c r="J251" s="156">
        <f t="shared" si="354"/>
        <v>0.98189253483107108</v>
      </c>
      <c r="K251" s="156">
        <f t="shared" si="354"/>
        <v>0.98127927177026408</v>
      </c>
      <c r="L251" s="156">
        <f t="shared" ref="L251" si="355">IF(L33=0,0,L33/L$31)</f>
        <v>0.9800831007910713</v>
      </c>
      <c r="M251" s="156">
        <f t="shared" ref="M251:V251" si="356">IF(M33=0,0,M33/M$31)</f>
        <v>0.97989893278553275</v>
      </c>
      <c r="N251" s="156">
        <f t="shared" si="356"/>
        <v>0.97991047315664614</v>
      </c>
      <c r="O251" s="156">
        <f t="shared" si="356"/>
        <v>0.97994767487073664</v>
      </c>
      <c r="P251" s="156">
        <f t="shared" si="356"/>
        <v>0.98041162607093923</v>
      </c>
      <c r="Q251" s="156">
        <f t="shared" si="356"/>
        <v>0.98002731305365143</v>
      </c>
      <c r="R251" s="156">
        <f t="shared" si="356"/>
        <v>0.9801890378185486</v>
      </c>
      <c r="S251" s="156">
        <f t="shared" si="356"/>
        <v>0.98084818262445361</v>
      </c>
      <c r="T251" s="156">
        <f t="shared" si="356"/>
        <v>0.98169160107204489</v>
      </c>
      <c r="U251" s="156">
        <f t="shared" si="356"/>
        <v>0.98139636934026431</v>
      </c>
      <c r="V251" s="156">
        <f t="shared" si="356"/>
        <v>0.98124167468732371</v>
      </c>
      <c r="W251" s="156">
        <f t="shared" ref="W251" si="357">IF(W33=0,0,W33/W$31)</f>
        <v>0.98146771791035115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0.65999236142189199</v>
      </c>
      <c r="C252" s="103">
        <f t="shared" si="358"/>
        <v>0.62267046784320634</v>
      </c>
      <c r="D252" s="103">
        <f t="shared" si="358"/>
        <v>0.58584369321711438</v>
      </c>
      <c r="E252" s="103">
        <f t="shared" si="358"/>
        <v>0.55418963524825582</v>
      </c>
      <c r="F252" s="103">
        <f t="shared" si="358"/>
        <v>0.51284248851841652</v>
      </c>
      <c r="G252" s="103">
        <f t="shared" si="358"/>
        <v>0.47382314376225637</v>
      </c>
      <c r="H252" s="103">
        <f t="shared" si="358"/>
        <v>0.43595930864138172</v>
      </c>
      <c r="I252" s="103">
        <f t="shared" si="358"/>
        <v>0.41057301481348524</v>
      </c>
      <c r="J252" s="103">
        <f t="shared" si="358"/>
        <v>0.39489255100508291</v>
      </c>
      <c r="K252" s="103">
        <f t="shared" si="358"/>
        <v>0.37541441155070904</v>
      </c>
      <c r="L252" s="103">
        <f t="shared" ref="L252" si="359">IF(L34=0,0,L34/L$31)</f>
        <v>0.3606467434735986</v>
      </c>
      <c r="M252" s="103">
        <f t="shared" ref="M252:V252" si="360">IF(M34=0,0,M34/M$31)</f>
        <v>0.35750249521614552</v>
      </c>
      <c r="N252" s="103">
        <f t="shared" si="360"/>
        <v>0.34951454692350831</v>
      </c>
      <c r="O252" s="103">
        <f t="shared" si="360"/>
        <v>0.3375771819260594</v>
      </c>
      <c r="P252" s="103">
        <f t="shared" si="360"/>
        <v>0.32832557381624733</v>
      </c>
      <c r="Q252" s="103">
        <f t="shared" si="360"/>
        <v>0.32652197052783044</v>
      </c>
      <c r="R252" s="103">
        <f t="shared" si="360"/>
        <v>0.33647945147706099</v>
      </c>
      <c r="S252" s="103">
        <f t="shared" si="360"/>
        <v>0.35623072766744746</v>
      </c>
      <c r="T252" s="103">
        <f t="shared" si="360"/>
        <v>0.38256125487194698</v>
      </c>
      <c r="U252" s="103">
        <f t="shared" si="360"/>
        <v>0.40783967089952128</v>
      </c>
      <c r="V252" s="103">
        <f t="shared" si="360"/>
        <v>0.42521558904176515</v>
      </c>
      <c r="W252" s="103">
        <f t="shared" ref="W252" si="361">IF(W34=0,0,W34/W$31)</f>
        <v>0.43464157870705317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0.31566757337419665</v>
      </c>
      <c r="C253" s="103">
        <f t="shared" si="362"/>
        <v>0.35155003279286001</v>
      </c>
      <c r="D253" s="103">
        <f t="shared" si="362"/>
        <v>0.38750493521733659</v>
      </c>
      <c r="E253" s="103">
        <f t="shared" si="362"/>
        <v>0.41989443584010588</v>
      </c>
      <c r="F253" s="103">
        <f t="shared" si="362"/>
        <v>0.46165026788255287</v>
      </c>
      <c r="G253" s="103">
        <f t="shared" si="362"/>
        <v>0.50134252123591105</v>
      </c>
      <c r="H253" s="103">
        <f t="shared" si="362"/>
        <v>0.54306993643120349</v>
      </c>
      <c r="I253" s="103">
        <f t="shared" si="362"/>
        <v>0.56828950332792116</v>
      </c>
      <c r="J253" s="103">
        <f t="shared" si="362"/>
        <v>0.58385912277828977</v>
      </c>
      <c r="K253" s="103">
        <f t="shared" si="362"/>
        <v>0.60251990516720022</v>
      </c>
      <c r="L253" s="103">
        <f t="shared" ref="L253" si="363">IF(L35=0,0,L35/L$31)</f>
        <v>0.61562796546987719</v>
      </c>
      <c r="M253" s="103">
        <f t="shared" ref="M253:V253" si="364">IF(M35=0,0,M35/M$31)</f>
        <v>0.61849431991022719</v>
      </c>
      <c r="N253" s="103">
        <f t="shared" si="364"/>
        <v>0.62585845679572127</v>
      </c>
      <c r="O253" s="103">
        <f t="shared" si="364"/>
        <v>0.63676000614485195</v>
      </c>
      <c r="P253" s="103">
        <f t="shared" si="364"/>
        <v>0.64584870004513917</v>
      </c>
      <c r="Q253" s="103">
        <f t="shared" si="364"/>
        <v>0.64735543082358182</v>
      </c>
      <c r="R253" s="103">
        <f t="shared" si="364"/>
        <v>0.63706600586687212</v>
      </c>
      <c r="S253" s="103">
        <f t="shared" si="364"/>
        <v>0.6175232313366017</v>
      </c>
      <c r="T253" s="103">
        <f t="shared" si="364"/>
        <v>0.59149178643819988</v>
      </c>
      <c r="U253" s="103">
        <f t="shared" si="364"/>
        <v>0.56233265711028069</v>
      </c>
      <c r="V253" s="103">
        <f t="shared" si="364"/>
        <v>0.53718340872942516</v>
      </c>
      <c r="W253" s="103">
        <f t="shared" ref="W253" si="365">IF(W35=0,0,W35/W$31)</f>
        <v>0.50834160810675755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7.7325715723242615E-3</v>
      </c>
      <c r="C254" s="103">
        <f t="shared" si="366"/>
        <v>8.7703342044594471E-3</v>
      </c>
      <c r="D254" s="103">
        <f t="shared" si="366"/>
        <v>8.8839899210556919E-3</v>
      </c>
      <c r="E254" s="103">
        <f t="shared" si="366"/>
        <v>8.1562260289540327E-3</v>
      </c>
      <c r="F254" s="103">
        <f t="shared" si="366"/>
        <v>7.5221948343909819E-3</v>
      </c>
      <c r="G254" s="103">
        <f t="shared" si="366"/>
        <v>6.924946495530512E-3</v>
      </c>
      <c r="H254" s="103">
        <f t="shared" si="366"/>
        <v>3.3448361066423129E-3</v>
      </c>
      <c r="I254" s="103">
        <f t="shared" si="366"/>
        <v>3.1378202354623358E-3</v>
      </c>
      <c r="J254" s="103">
        <f t="shared" si="366"/>
        <v>3.138216732273596E-3</v>
      </c>
      <c r="K254" s="103">
        <f t="shared" si="366"/>
        <v>3.3396641452578413E-3</v>
      </c>
      <c r="L254" s="103">
        <f t="shared" ref="L254" si="367">IF(L36=0,0,L36/L$31)</f>
        <v>3.2729856613380476E-3</v>
      </c>
      <c r="M254" s="103">
        <f t="shared" ref="M254:V254" si="368">IF(M36=0,0,M36/M$31)</f>
        <v>3.0799533681612622E-3</v>
      </c>
      <c r="N254" s="103">
        <f t="shared" si="368"/>
        <v>2.9973823842614987E-3</v>
      </c>
      <c r="O254" s="103">
        <f t="shared" si="368"/>
        <v>3.0537844797331368E-3</v>
      </c>
      <c r="P254" s="103">
        <f t="shared" si="368"/>
        <v>2.9146404698431557E-3</v>
      </c>
      <c r="Q254" s="103">
        <f t="shared" si="368"/>
        <v>2.7614918426831984E-3</v>
      </c>
      <c r="R254" s="103">
        <f t="shared" si="368"/>
        <v>2.6807775248156268E-3</v>
      </c>
      <c r="S254" s="103">
        <f t="shared" si="368"/>
        <v>2.206204998339816E-3</v>
      </c>
      <c r="T254" s="103">
        <f t="shared" si="368"/>
        <v>6.0332105629618568E-4</v>
      </c>
      <c r="U254" s="103">
        <f t="shared" si="368"/>
        <v>3.5476111850125892E-4</v>
      </c>
      <c r="V254" s="103">
        <f t="shared" si="368"/>
        <v>6.8964239000282829E-4</v>
      </c>
      <c r="W254" s="103">
        <f t="shared" ref="W254" si="369">IF(W36=0,0,W36/W$31)</f>
        <v>4.9099398734340409E-4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0</v>
      </c>
      <c r="U255" s="103">
        <f t="shared" si="372"/>
        <v>0</v>
      </c>
      <c r="V255" s="103">
        <f t="shared" si="372"/>
        <v>0</v>
      </c>
      <c r="W255" s="103">
        <f t="shared" ref="W255" si="373">IF(W37=0,0,W37/W$31)</f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1.2775499195549879E-3</v>
      </c>
      <c r="O256" s="103">
        <f t="shared" si="376"/>
        <v>1.8792101417904278E-3</v>
      </c>
      <c r="P256" s="103">
        <f t="shared" si="376"/>
        <v>1.927379308491003E-3</v>
      </c>
      <c r="Q256" s="103">
        <f t="shared" si="376"/>
        <v>1.8394627094050619E-3</v>
      </c>
      <c r="R256" s="103">
        <f t="shared" si="376"/>
        <v>2.1566462431788632E-3</v>
      </c>
      <c r="S256" s="103">
        <f t="shared" si="376"/>
        <v>2.3966045143582766E-3</v>
      </c>
      <c r="T256" s="103">
        <f t="shared" si="376"/>
        <v>3.5768860072695747E-3</v>
      </c>
      <c r="U256" s="103">
        <f t="shared" si="376"/>
        <v>5.3688937183901785E-3</v>
      </c>
      <c r="V256" s="103">
        <f t="shared" si="376"/>
        <v>9.4513542773951385E-3</v>
      </c>
      <c r="W256" s="103">
        <f t="shared" ref="W256" si="377">IF(W38=0,0,W38/W$31)</f>
        <v>1.9100320714309678E-2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2.6443154248894446E-6</v>
      </c>
      <c r="K257" s="103">
        <f t="shared" si="378"/>
        <v>5.2909070967741025E-6</v>
      </c>
      <c r="L257" s="103">
        <f t="shared" ref="L257" si="379">IF(L39=0,0,L39/L$31)</f>
        <v>5.354061862575286E-4</v>
      </c>
      <c r="M257" s="103">
        <f t="shared" ref="M257:V257" si="380">IF(M39=0,0,M39/M$31)</f>
        <v>8.2216429099877012E-4</v>
      </c>
      <c r="N257" s="103">
        <f t="shared" si="380"/>
        <v>2.625371336002226E-4</v>
      </c>
      <c r="O257" s="103">
        <f t="shared" si="380"/>
        <v>6.7749217830189346E-4</v>
      </c>
      <c r="P257" s="103">
        <f t="shared" si="380"/>
        <v>1.3953324312186283E-3</v>
      </c>
      <c r="Q257" s="103">
        <f t="shared" si="380"/>
        <v>1.5489571501509768E-3</v>
      </c>
      <c r="R257" s="103">
        <f t="shared" si="380"/>
        <v>1.8061567066210004E-3</v>
      </c>
      <c r="S257" s="103">
        <f t="shared" si="380"/>
        <v>2.491414107706326E-3</v>
      </c>
      <c r="T257" s="103">
        <f t="shared" si="380"/>
        <v>3.4583526983323625E-3</v>
      </c>
      <c r="U257" s="103">
        <f t="shared" si="380"/>
        <v>5.5003864935708182E-3</v>
      </c>
      <c r="V257" s="103">
        <f t="shared" si="380"/>
        <v>8.7016802487353429E-3</v>
      </c>
      <c r="W257" s="103">
        <f t="shared" ref="W257" si="381">IF(W39=0,0,W39/W$31)</f>
        <v>1.8893216394887388E-2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9.2524527154716901E-3</v>
      </c>
      <c r="C258" s="156">
        <f t="shared" si="382"/>
        <v>9.6627708449249228E-3</v>
      </c>
      <c r="D258" s="156">
        <f t="shared" si="382"/>
        <v>1.0074657354133995E-2</v>
      </c>
      <c r="E258" s="156">
        <f t="shared" si="382"/>
        <v>1.0071029892917005E-2</v>
      </c>
      <c r="F258" s="156">
        <f t="shared" si="382"/>
        <v>9.9591441809029312E-3</v>
      </c>
      <c r="G258" s="156">
        <f t="shared" si="382"/>
        <v>9.9117092561187177E-3</v>
      </c>
      <c r="H258" s="156">
        <f t="shared" si="382"/>
        <v>9.7091978876579395E-3</v>
      </c>
      <c r="I258" s="156">
        <f t="shared" si="382"/>
        <v>9.9140477755784596E-3</v>
      </c>
      <c r="J258" s="156">
        <f t="shared" si="382"/>
        <v>1.0115292968714256E-2</v>
      </c>
      <c r="K258" s="156">
        <f t="shared" si="382"/>
        <v>1.0436779273706405E-2</v>
      </c>
      <c r="L258" s="156">
        <f t="shared" ref="L258" si="383">IF(L40=0,0,L40/L$31)</f>
        <v>1.1056304628460582E-2</v>
      </c>
      <c r="M258" s="156">
        <f t="shared" ref="M258:V258" si="384">IF(M40=0,0,M40/M$31)</f>
        <v>1.1128717928543908E-2</v>
      </c>
      <c r="N258" s="156">
        <f t="shared" si="384"/>
        <v>1.0828993386111391E-2</v>
      </c>
      <c r="O258" s="156">
        <f t="shared" si="384"/>
        <v>1.0644472786030602E-2</v>
      </c>
      <c r="P258" s="156">
        <f t="shared" si="384"/>
        <v>1.0133141504078727E-2</v>
      </c>
      <c r="Q258" s="156">
        <f t="shared" si="384"/>
        <v>1.0243586669917959E-2</v>
      </c>
      <c r="R258" s="156">
        <f t="shared" si="384"/>
        <v>1.0001051202191526E-2</v>
      </c>
      <c r="S258" s="156">
        <f t="shared" si="384"/>
        <v>1.006884712575752E-2</v>
      </c>
      <c r="T258" s="156">
        <f t="shared" si="384"/>
        <v>9.9486312920321184E-3</v>
      </c>
      <c r="U258" s="156">
        <f t="shared" si="384"/>
        <v>1.004435282003938E-2</v>
      </c>
      <c r="V258" s="156">
        <f t="shared" si="384"/>
        <v>1.0586440857925041E-2</v>
      </c>
      <c r="W258" s="156">
        <f t="shared" ref="W258" si="385">IF(W40=0,0,W40/W$31)</f>
        <v>1.0257728994870728E-2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0</v>
      </c>
      <c r="M259" s="103">
        <f t="shared" ref="M259:V259" si="388">IF(M41=0,0,M41/M$31)</f>
        <v>0</v>
      </c>
      <c r="N259" s="103">
        <f t="shared" si="388"/>
        <v>0</v>
      </c>
      <c r="O259" s="103">
        <f t="shared" si="388"/>
        <v>0</v>
      </c>
      <c r="P259" s="103">
        <f t="shared" si="388"/>
        <v>0</v>
      </c>
      <c r="Q259" s="103">
        <f t="shared" si="388"/>
        <v>0</v>
      </c>
      <c r="R259" s="103">
        <f t="shared" si="388"/>
        <v>0</v>
      </c>
      <c r="S259" s="103">
        <f t="shared" si="388"/>
        <v>0</v>
      </c>
      <c r="T259" s="103">
        <f t="shared" si="388"/>
        <v>1.5358374261399116E-6</v>
      </c>
      <c r="U259" s="103">
        <f t="shared" si="388"/>
        <v>1.4219159001269547E-6</v>
      </c>
      <c r="V259" s="103">
        <f t="shared" si="388"/>
        <v>1.4305503515066217E-6</v>
      </c>
      <c r="W259" s="103">
        <f t="shared" ref="W259" si="389">IF(W41=0,0,W41/W$31)</f>
        <v>1.2946358122362586E-6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9.2524527154716901E-3</v>
      </c>
      <c r="C260" s="103">
        <f t="shared" si="390"/>
        <v>9.6627708449249228E-3</v>
      </c>
      <c r="D260" s="103">
        <f t="shared" si="390"/>
        <v>1.0074657354133995E-2</v>
      </c>
      <c r="E260" s="103">
        <f t="shared" si="390"/>
        <v>1.0043886104883175E-2</v>
      </c>
      <c r="F260" s="103">
        <f t="shared" si="390"/>
        <v>9.9326918275533995E-3</v>
      </c>
      <c r="G260" s="103">
        <f t="shared" si="390"/>
        <v>9.8863266279909327E-3</v>
      </c>
      <c r="H260" s="103">
        <f t="shared" si="390"/>
        <v>9.6845665512296231E-3</v>
      </c>
      <c r="I260" s="103">
        <f t="shared" si="390"/>
        <v>9.8897781039217151E-3</v>
      </c>
      <c r="J260" s="103">
        <f t="shared" si="390"/>
        <v>1.0091558057537637E-2</v>
      </c>
      <c r="K260" s="103">
        <f t="shared" si="390"/>
        <v>1.042095216620828E-2</v>
      </c>
      <c r="L260" s="103">
        <f t="shared" ref="L260" si="391">IF(L42=0,0,L42/L$31)</f>
        <v>1.1039993633075623E-2</v>
      </c>
      <c r="M260" s="103">
        <f t="shared" ref="M260:V260" si="392">IF(M42=0,0,M42/M$31)</f>
        <v>1.1112675981970311E-2</v>
      </c>
      <c r="N260" s="103">
        <f t="shared" si="392"/>
        <v>1.0813316498194794E-2</v>
      </c>
      <c r="O260" s="103">
        <f t="shared" si="392"/>
        <v>1.0613701391020884E-2</v>
      </c>
      <c r="P260" s="103">
        <f t="shared" si="392"/>
        <v>1.0110962210854618E-2</v>
      </c>
      <c r="Q260" s="103">
        <f t="shared" si="392"/>
        <v>1.0221718397918814E-2</v>
      </c>
      <c r="R260" s="103">
        <f t="shared" si="392"/>
        <v>9.9800437421343167E-3</v>
      </c>
      <c r="S260" s="103">
        <f t="shared" si="392"/>
        <v>1.001422160356146E-2</v>
      </c>
      <c r="T260" s="103">
        <f t="shared" si="392"/>
        <v>9.7624365723502776E-3</v>
      </c>
      <c r="U260" s="103">
        <f t="shared" si="392"/>
        <v>9.379602320190741E-3</v>
      </c>
      <c r="V260" s="103">
        <f t="shared" si="392"/>
        <v>9.5877332007706772E-3</v>
      </c>
      <c r="W260" s="103">
        <f t="shared" ref="W260" si="393">IF(W42=0,0,W42/W$31)</f>
        <v>9.0846596748553003E-3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0</v>
      </c>
      <c r="V262" s="103">
        <f t="shared" si="400"/>
        <v>0</v>
      </c>
      <c r="W262" s="103">
        <f t="shared" ref="W262" si="401">IF(W44=0,0,W44/W$31)</f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2.714378803382972E-5</v>
      </c>
      <c r="F263" s="103">
        <f t="shared" si="402"/>
        <v>2.6452353349532163E-5</v>
      </c>
      <c r="G263" s="103">
        <f t="shared" si="402"/>
        <v>2.5382628127784776E-5</v>
      </c>
      <c r="H263" s="103">
        <f t="shared" si="402"/>
        <v>2.4631336428317413E-5</v>
      </c>
      <c r="I263" s="103">
        <f t="shared" si="402"/>
        <v>2.4269671656743712E-5</v>
      </c>
      <c r="J263" s="103">
        <f t="shared" si="402"/>
        <v>2.3734911176618257E-5</v>
      </c>
      <c r="K263" s="103">
        <f t="shared" si="402"/>
        <v>1.5827107498123416E-5</v>
      </c>
      <c r="L263" s="103">
        <f t="shared" ref="L263" si="403">IF(L45=0,0,L45/L$31)</f>
        <v>1.6310995384957724E-5</v>
      </c>
      <c r="M263" s="103">
        <f t="shared" ref="M263:V263" si="404">IF(M45=0,0,M45/M$31)</f>
        <v>1.6041946573597097E-5</v>
      </c>
      <c r="N263" s="103">
        <f t="shared" si="404"/>
        <v>1.5676887916596545E-5</v>
      </c>
      <c r="O263" s="103">
        <f t="shared" si="404"/>
        <v>3.0771395009718674E-5</v>
      </c>
      <c r="P263" s="103">
        <f t="shared" si="404"/>
        <v>2.2179293224108913E-5</v>
      </c>
      <c r="Q263" s="103">
        <f t="shared" si="404"/>
        <v>2.1868271999144966E-5</v>
      </c>
      <c r="R263" s="103">
        <f t="shared" si="404"/>
        <v>2.1007460057209895E-5</v>
      </c>
      <c r="S263" s="103">
        <f t="shared" si="404"/>
        <v>5.4625522196060379E-5</v>
      </c>
      <c r="T263" s="103">
        <f t="shared" si="404"/>
        <v>1.8465888225570071E-4</v>
      </c>
      <c r="U263" s="103">
        <f t="shared" si="404"/>
        <v>6.6332858394851078E-4</v>
      </c>
      <c r="V263" s="103">
        <f t="shared" si="404"/>
        <v>9.9727710680285668E-4</v>
      </c>
      <c r="W263" s="103">
        <f t="shared" ref="W263" si="405">IF(W45=0,0,W45/W$31)</f>
        <v>1.1717746842031921E-3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0.67543704777128077</v>
      </c>
      <c r="C265" s="154">
        <f t="shared" si="410"/>
        <v>0.66791352680253213</v>
      </c>
      <c r="D265" s="154">
        <f t="shared" si="410"/>
        <v>0.66041232956350071</v>
      </c>
      <c r="E265" s="154">
        <f t="shared" si="410"/>
        <v>0.66947234135885014</v>
      </c>
      <c r="F265" s="154">
        <f t="shared" si="410"/>
        <v>0.6649063452691214</v>
      </c>
      <c r="G265" s="154">
        <f t="shared" si="410"/>
        <v>0.67821307361905647</v>
      </c>
      <c r="H265" s="154">
        <f t="shared" si="410"/>
        <v>0.68319869016768653</v>
      </c>
      <c r="I265" s="154">
        <f t="shared" si="410"/>
        <v>0.69361048887783905</v>
      </c>
      <c r="J265" s="154">
        <f t="shared" si="410"/>
        <v>0.6963390302884207</v>
      </c>
      <c r="K265" s="154">
        <f t="shared" si="410"/>
        <v>0.74386283071867121</v>
      </c>
      <c r="L265" s="154">
        <f t="shared" ref="L265" si="411">IF(L47=0,0,L47/L$46)</f>
        <v>0.74132242517270508</v>
      </c>
      <c r="M265" s="154">
        <f t="shared" ref="M265:V265" si="412">IF(M47=0,0,M47/M$46)</f>
        <v>0.74849072507242476</v>
      </c>
      <c r="N265" s="154">
        <f t="shared" si="412"/>
        <v>0.70462646368158521</v>
      </c>
      <c r="O265" s="154">
        <f t="shared" si="412"/>
        <v>0.7300216629026085</v>
      </c>
      <c r="P265" s="154">
        <f t="shared" si="412"/>
        <v>0.70969186351740854</v>
      </c>
      <c r="Q265" s="154">
        <f t="shared" si="412"/>
        <v>0.74844248595961504</v>
      </c>
      <c r="R265" s="154">
        <f t="shared" si="412"/>
        <v>0.74931242823213273</v>
      </c>
      <c r="S265" s="154">
        <f t="shared" si="412"/>
        <v>0.7529737239213633</v>
      </c>
      <c r="T265" s="154">
        <f t="shared" si="412"/>
        <v>0.76275445270331876</v>
      </c>
      <c r="U265" s="154">
        <f t="shared" si="412"/>
        <v>0.76478261076529275</v>
      </c>
      <c r="V265" s="154">
        <f t="shared" si="412"/>
        <v>0.78445258038532084</v>
      </c>
      <c r="W265" s="154">
        <f t="shared" ref="W265" si="413">IF(W47=0,0,W47/W$46)</f>
        <v>0.77238682458472208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6.8780093345982146E-2</v>
      </c>
      <c r="C266" s="103">
        <f t="shared" si="414"/>
        <v>5.6961562488451731E-2</v>
      </c>
      <c r="D266" s="103">
        <f t="shared" si="414"/>
        <v>4.8072893922434592E-2</v>
      </c>
      <c r="E266" s="103">
        <f t="shared" si="414"/>
        <v>4.2371340907165538E-2</v>
      </c>
      <c r="F266" s="103">
        <f t="shared" si="414"/>
        <v>3.5620603206852133E-2</v>
      </c>
      <c r="G266" s="103">
        <f t="shared" si="414"/>
        <v>3.0598402255408885E-2</v>
      </c>
      <c r="H266" s="103">
        <f t="shared" si="414"/>
        <v>2.6362330085391659E-2</v>
      </c>
      <c r="I266" s="103">
        <f t="shared" si="414"/>
        <v>2.3120340019310587E-2</v>
      </c>
      <c r="J266" s="103">
        <f t="shared" si="414"/>
        <v>2.1007245079109237E-2</v>
      </c>
      <c r="K266" s="103">
        <f t="shared" si="414"/>
        <v>2.024451874359116E-2</v>
      </c>
      <c r="L266" s="103">
        <f t="shared" ref="L266" si="415">IF(L48=0,0,L48/L$46)</f>
        <v>1.8859388595410181E-2</v>
      </c>
      <c r="M266" s="103">
        <f t="shared" ref="M266:V266" si="416">IF(M48=0,0,M48/M$46)</f>
        <v>1.7553641721080086E-2</v>
      </c>
      <c r="N266" s="103">
        <f t="shared" si="416"/>
        <v>1.4914814067089657E-2</v>
      </c>
      <c r="O266" s="103">
        <f t="shared" si="416"/>
        <v>1.4416765747377653E-2</v>
      </c>
      <c r="P266" s="103">
        <f t="shared" si="416"/>
        <v>1.323751664323122E-2</v>
      </c>
      <c r="Q266" s="103">
        <f t="shared" si="416"/>
        <v>1.3212511932996471E-2</v>
      </c>
      <c r="R266" s="103">
        <f t="shared" si="416"/>
        <v>1.2723028550766886E-2</v>
      </c>
      <c r="S266" s="103">
        <f t="shared" si="416"/>
        <v>1.2566222375210939E-2</v>
      </c>
      <c r="T266" s="103">
        <f t="shared" si="416"/>
        <v>1.2972440255734671E-2</v>
      </c>
      <c r="U266" s="103">
        <f t="shared" si="416"/>
        <v>1.3184576528652667E-2</v>
      </c>
      <c r="V266" s="103">
        <f t="shared" si="416"/>
        <v>1.3421767171834976E-2</v>
      </c>
      <c r="W266" s="103">
        <f t="shared" ref="W266" si="417">IF(W48=0,0,W48/W$46)</f>
        <v>1.3171988434248105E-2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0.60665695442529866</v>
      </c>
      <c r="C267" s="103">
        <f t="shared" si="418"/>
        <v>0.61095196431408039</v>
      </c>
      <c r="D267" s="103">
        <f t="shared" si="418"/>
        <v>0.61233943564106608</v>
      </c>
      <c r="E267" s="103">
        <f t="shared" si="418"/>
        <v>0.62710100045168471</v>
      </c>
      <c r="F267" s="103">
        <f t="shared" si="418"/>
        <v>0.62928574206226928</v>
      </c>
      <c r="G267" s="103">
        <f t="shared" si="418"/>
        <v>0.6476146713636477</v>
      </c>
      <c r="H267" s="103">
        <f t="shared" si="418"/>
        <v>0.65681263649087651</v>
      </c>
      <c r="I267" s="103">
        <f t="shared" si="418"/>
        <v>0.67044572459523877</v>
      </c>
      <c r="J267" s="103">
        <f t="shared" si="418"/>
        <v>0.67528978099475589</v>
      </c>
      <c r="K267" s="103">
        <f t="shared" si="418"/>
        <v>0.72346160368939982</v>
      </c>
      <c r="L267" s="103">
        <f t="shared" ref="L267" si="419">IF(L49=0,0,L49/L$46)</f>
        <v>0.72231337945547713</v>
      </c>
      <c r="M267" s="103">
        <f t="shared" ref="M267:V267" si="420">IF(M49=0,0,M49/M$46)</f>
        <v>0.73079393762784794</v>
      </c>
      <c r="N267" s="103">
        <f t="shared" si="420"/>
        <v>0.68922695940698908</v>
      </c>
      <c r="O267" s="103">
        <f t="shared" si="420"/>
        <v>0.71337562984301184</v>
      </c>
      <c r="P267" s="103">
        <f t="shared" si="420"/>
        <v>0.69389393578303682</v>
      </c>
      <c r="Q267" s="103">
        <f t="shared" si="420"/>
        <v>0.73220917021846998</v>
      </c>
      <c r="R267" s="103">
        <f t="shared" si="420"/>
        <v>0.73330270295149058</v>
      </c>
      <c r="S267" s="103">
        <f t="shared" si="420"/>
        <v>0.73651918713626696</v>
      </c>
      <c r="T267" s="103">
        <f t="shared" si="420"/>
        <v>0.74520432585769347</v>
      </c>
      <c r="U267" s="103">
        <f t="shared" si="420"/>
        <v>0.74659156457471532</v>
      </c>
      <c r="V267" s="103">
        <f t="shared" si="420"/>
        <v>0.76507796933922156</v>
      </c>
      <c r="W267" s="103">
        <f t="shared" ref="W267" si="421">IF(W49=0,0,W49/W$46)</f>
        <v>0.75189859674903803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9.1236876700631034E-4</v>
      </c>
      <c r="P268" s="103">
        <f t="shared" si="424"/>
        <v>1.0565827346200403E-3</v>
      </c>
      <c r="Q268" s="103">
        <f t="shared" si="424"/>
        <v>1.1246254789829655E-3</v>
      </c>
      <c r="R268" s="103">
        <f t="shared" si="424"/>
        <v>1.2504376212484074E-3</v>
      </c>
      <c r="S268" s="103">
        <f t="shared" si="424"/>
        <v>1.3093666794107498E-3</v>
      </c>
      <c r="T268" s="103">
        <f t="shared" si="424"/>
        <v>1.2723546124539774E-3</v>
      </c>
      <c r="U268" s="103">
        <f t="shared" si="424"/>
        <v>1.1021121120912236E-3</v>
      </c>
      <c r="V268" s="103">
        <f t="shared" si="424"/>
        <v>1.3133132163226312E-3</v>
      </c>
      <c r="W268" s="103">
        <f t="shared" ref="W268" si="425">IF(W50=0,0,W50/W$46)</f>
        <v>1.1458523117099891E-3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2.372359141830986E-5</v>
      </c>
      <c r="I270" s="103">
        <f t="shared" si="430"/>
        <v>4.4424263289742202E-5</v>
      </c>
      <c r="J270" s="103">
        <f t="shared" si="430"/>
        <v>4.2004214555618538E-5</v>
      </c>
      <c r="K270" s="103">
        <f t="shared" si="430"/>
        <v>1.5670828568029862E-4</v>
      </c>
      <c r="L270" s="103">
        <f t="shared" ref="L270" si="431">IF(L52=0,0,L52/L$46)</f>
        <v>1.4965712181775164E-4</v>
      </c>
      <c r="M270" s="103">
        <f t="shared" ref="M270:V270" si="432">IF(M52=0,0,M52/M$46)</f>
        <v>1.4314572349670817E-4</v>
      </c>
      <c r="N270" s="103">
        <f t="shared" si="432"/>
        <v>4.8469020750651183E-4</v>
      </c>
      <c r="O270" s="103">
        <f t="shared" si="432"/>
        <v>1.3168985452128733E-3</v>
      </c>
      <c r="P270" s="103">
        <f t="shared" si="432"/>
        <v>1.5038283565204044E-3</v>
      </c>
      <c r="Q270" s="103">
        <f t="shared" si="432"/>
        <v>1.8961783291655417E-3</v>
      </c>
      <c r="R270" s="103">
        <f t="shared" si="432"/>
        <v>2.0362591086268682E-3</v>
      </c>
      <c r="S270" s="103">
        <f t="shared" si="432"/>
        <v>2.57894773047457E-3</v>
      </c>
      <c r="T270" s="103">
        <f t="shared" si="432"/>
        <v>3.3053319774365127E-3</v>
      </c>
      <c r="U270" s="103">
        <f t="shared" si="432"/>
        <v>3.9043575498334281E-3</v>
      </c>
      <c r="V270" s="103">
        <f t="shared" si="432"/>
        <v>4.6395306579417568E-3</v>
      </c>
      <c r="W270" s="103">
        <f t="shared" ref="W270" si="433">IF(W52=0,0,W52/W$46)</f>
        <v>6.1703870897260229E-3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0.32456295222871923</v>
      </c>
      <c r="C271" s="156">
        <f t="shared" si="434"/>
        <v>0.33208647319746787</v>
      </c>
      <c r="D271" s="156">
        <f t="shared" si="434"/>
        <v>0.33958767043649918</v>
      </c>
      <c r="E271" s="156">
        <f t="shared" si="434"/>
        <v>0.33052765864114991</v>
      </c>
      <c r="F271" s="156">
        <f t="shared" si="434"/>
        <v>0.33509365473087854</v>
      </c>
      <c r="G271" s="156">
        <f t="shared" si="434"/>
        <v>0.32178692638094347</v>
      </c>
      <c r="H271" s="156">
        <f t="shared" si="434"/>
        <v>0.31680130983231364</v>
      </c>
      <c r="I271" s="156">
        <f t="shared" si="434"/>
        <v>0.30638951112216095</v>
      </c>
      <c r="J271" s="156">
        <f t="shared" si="434"/>
        <v>0.3036609697115793</v>
      </c>
      <c r="K271" s="156">
        <f t="shared" si="434"/>
        <v>0.25613716928132879</v>
      </c>
      <c r="L271" s="156">
        <f t="shared" ref="L271" si="435">IF(L53=0,0,L53/L$46)</f>
        <v>0.25867757482729492</v>
      </c>
      <c r="M271" s="156">
        <f t="shared" ref="M271:V271" si="436">IF(M53=0,0,M53/M$46)</f>
        <v>0.25150927492757519</v>
      </c>
      <c r="N271" s="156">
        <f t="shared" si="436"/>
        <v>0.29537353631841468</v>
      </c>
      <c r="O271" s="156">
        <f t="shared" si="436"/>
        <v>0.26997833709739144</v>
      </c>
      <c r="P271" s="156">
        <f t="shared" si="436"/>
        <v>0.29030813648259146</v>
      </c>
      <c r="Q271" s="156">
        <f t="shared" si="436"/>
        <v>0.25155751404038496</v>
      </c>
      <c r="R271" s="156">
        <f t="shared" si="436"/>
        <v>0.25068757176786727</v>
      </c>
      <c r="S271" s="156">
        <f t="shared" si="436"/>
        <v>0.24702627607863667</v>
      </c>
      <c r="T271" s="156">
        <f t="shared" si="436"/>
        <v>0.23724554729668129</v>
      </c>
      <c r="U271" s="156">
        <f t="shared" si="436"/>
        <v>0.23521738923470725</v>
      </c>
      <c r="V271" s="156">
        <f t="shared" si="436"/>
        <v>0.21554741961467919</v>
      </c>
      <c r="W271" s="156">
        <f t="shared" ref="W271" si="437">IF(W53=0,0,W53/W$46)</f>
        <v>0.22761317541527787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0.15233872011114877</v>
      </c>
      <c r="C272" s="104">
        <f t="shared" si="438"/>
        <v>0.16132801203300104</v>
      </c>
      <c r="D272" s="104">
        <f t="shared" si="438"/>
        <v>0.17391845683916513</v>
      </c>
      <c r="E272" s="104">
        <f t="shared" si="438"/>
        <v>0.16545616275787303</v>
      </c>
      <c r="F272" s="104">
        <f t="shared" si="438"/>
        <v>0.14953475620095838</v>
      </c>
      <c r="G272" s="104">
        <f t="shared" si="438"/>
        <v>0.13554817990953502</v>
      </c>
      <c r="H272" s="104">
        <f t="shared" si="438"/>
        <v>0.14402155804932235</v>
      </c>
      <c r="I272" s="104">
        <f t="shared" si="438"/>
        <v>0.13305428373264785</v>
      </c>
      <c r="J272" s="104">
        <f t="shared" si="438"/>
        <v>0.11776508023718386</v>
      </c>
      <c r="K272" s="104">
        <f t="shared" si="438"/>
        <v>7.9610793250854447E-2</v>
      </c>
      <c r="L272" s="104">
        <f t="shared" ref="L272" si="439">IF(L54=0,0,L54/L$46)</f>
        <v>8.4096616322483483E-2</v>
      </c>
      <c r="M272" s="104">
        <f t="shared" ref="M272:V272" si="440">IF(M54=0,0,M54/M$46)</f>
        <v>8.6602201296461637E-2</v>
      </c>
      <c r="N272" s="104">
        <f t="shared" si="440"/>
        <v>0.12671563663931135</v>
      </c>
      <c r="O272" s="104">
        <f t="shared" si="440"/>
        <v>0.1007371870071475</v>
      </c>
      <c r="P272" s="104">
        <f t="shared" si="440"/>
        <v>0.12628784115719913</v>
      </c>
      <c r="Q272" s="104">
        <f t="shared" si="440"/>
        <v>0.11001911302869256</v>
      </c>
      <c r="R272" s="104">
        <f t="shared" si="440"/>
        <v>0.10766187804078473</v>
      </c>
      <c r="S272" s="104">
        <f t="shared" si="440"/>
        <v>0.10083561331622613</v>
      </c>
      <c r="T272" s="104">
        <f t="shared" si="440"/>
        <v>0.10016806110893559</v>
      </c>
      <c r="U272" s="104">
        <f t="shared" si="440"/>
        <v>9.7033870426176325E-2</v>
      </c>
      <c r="V272" s="104">
        <f t="shared" si="440"/>
        <v>8.4439887819772158E-2</v>
      </c>
      <c r="W272" s="104">
        <f t="shared" ref="W272" si="441">IF(W54=0,0,W54/W$46)</f>
        <v>9.5509501125151136E-2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0.17222423211757043</v>
      </c>
      <c r="C273" s="105">
        <f t="shared" si="442"/>
        <v>0.17075846116446677</v>
      </c>
      <c r="D273" s="105">
        <f t="shared" si="442"/>
        <v>0.16566921359733408</v>
      </c>
      <c r="E273" s="105">
        <f t="shared" si="442"/>
        <v>0.16507149588327685</v>
      </c>
      <c r="F273" s="105">
        <f t="shared" si="442"/>
        <v>0.18555889852992019</v>
      </c>
      <c r="G273" s="105">
        <f t="shared" si="442"/>
        <v>0.18623874647140845</v>
      </c>
      <c r="H273" s="105">
        <f t="shared" si="442"/>
        <v>0.17277975178299129</v>
      </c>
      <c r="I273" s="105">
        <f t="shared" si="442"/>
        <v>0.17333522738951312</v>
      </c>
      <c r="J273" s="105">
        <f t="shared" si="442"/>
        <v>0.18589588947439545</v>
      </c>
      <c r="K273" s="105">
        <f t="shared" si="442"/>
        <v>0.1765263760304743</v>
      </c>
      <c r="L273" s="105">
        <f t="shared" ref="L273" si="443">IF(L55=0,0,L55/L$46)</f>
        <v>0.17458095850481145</v>
      </c>
      <c r="M273" s="105">
        <f t="shared" ref="M273:V273" si="444">IF(M55=0,0,M55/M$46)</f>
        <v>0.16490707363111359</v>
      </c>
      <c r="N273" s="105">
        <f t="shared" si="444"/>
        <v>0.16865789967910327</v>
      </c>
      <c r="O273" s="105">
        <f t="shared" si="444"/>
        <v>0.16924115009024396</v>
      </c>
      <c r="P273" s="105">
        <f t="shared" si="444"/>
        <v>0.16402029532539236</v>
      </c>
      <c r="Q273" s="105">
        <f t="shared" si="444"/>
        <v>0.14153840101169241</v>
      </c>
      <c r="R273" s="105">
        <f t="shared" si="444"/>
        <v>0.1430256937270826</v>
      </c>
      <c r="S273" s="105">
        <f t="shared" si="444"/>
        <v>0.14619066276241052</v>
      </c>
      <c r="T273" s="105">
        <f t="shared" si="444"/>
        <v>0.13707748618774568</v>
      </c>
      <c r="U273" s="105">
        <f t="shared" si="444"/>
        <v>0.13818351880853094</v>
      </c>
      <c r="V273" s="105">
        <f t="shared" si="444"/>
        <v>0.13110753179490703</v>
      </c>
      <c r="W273" s="105">
        <f t="shared" ref="W273" si="445">IF(W55=0,0,W55/W$46)</f>
        <v>0.1321036742901267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1579.5997274290628</v>
      </c>
      <c r="C4" s="145">
        <f t="shared" si="0"/>
        <v>1657.2960653482373</v>
      </c>
      <c r="D4" s="145">
        <f t="shared" si="0"/>
        <v>1724.4900146173682</v>
      </c>
      <c r="E4" s="145">
        <f t="shared" si="0"/>
        <v>1904.220476103465</v>
      </c>
      <c r="F4" s="145">
        <f t="shared" si="0"/>
        <v>2216.8073656107704</v>
      </c>
      <c r="G4" s="145">
        <f t="shared" si="0"/>
        <v>2337.6900099932441</v>
      </c>
      <c r="H4" s="145">
        <f t="shared" si="0"/>
        <v>2236.364683478017</v>
      </c>
      <c r="I4" s="145">
        <f t="shared" si="0"/>
        <v>2190.6883868645964</v>
      </c>
      <c r="J4" s="145">
        <f t="shared" si="0"/>
        <v>2219.4729038797532</v>
      </c>
      <c r="K4" s="145">
        <f t="shared" si="0"/>
        <v>2046.4155405556155</v>
      </c>
      <c r="L4" s="145">
        <f t="shared" ref="L4" si="1">L5+L9+L10+L15</f>
        <v>2160.955923615441</v>
      </c>
      <c r="M4" s="145">
        <f t="shared" ref="M4:V4" si="2">M5+M9+M10+M15</f>
        <v>2292.2545660029782</v>
      </c>
      <c r="N4" s="145">
        <f t="shared" si="2"/>
        <v>2191.8814909537223</v>
      </c>
      <c r="O4" s="145">
        <f t="shared" si="2"/>
        <v>2151.0216836006525</v>
      </c>
      <c r="P4" s="145">
        <f t="shared" si="2"/>
        <v>2071.7633368474812</v>
      </c>
      <c r="Q4" s="145">
        <f t="shared" si="2"/>
        <v>1943.0426166561217</v>
      </c>
      <c r="R4" s="145">
        <f t="shared" si="2"/>
        <v>1892.0611850348287</v>
      </c>
      <c r="S4" s="145">
        <f t="shared" si="2"/>
        <v>1951.2718644108506</v>
      </c>
      <c r="T4" s="145">
        <f t="shared" si="2"/>
        <v>2085.4174950367569</v>
      </c>
      <c r="U4" s="145">
        <f t="shared" si="2"/>
        <v>2138.6112093181273</v>
      </c>
      <c r="V4" s="145">
        <f t="shared" si="2"/>
        <v>1655.2439260509682</v>
      </c>
      <c r="W4" s="145">
        <f t="shared" ref="W4" si="3">W5+W9+W10+W15</f>
        <v>1759.6007662914253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1579.5997274290628</v>
      </c>
      <c r="C5" s="97">
        <f t="shared" si="4"/>
        <v>1657.2960653482373</v>
      </c>
      <c r="D5" s="97">
        <f t="shared" si="4"/>
        <v>1724.4900146173682</v>
      </c>
      <c r="E5" s="97">
        <f t="shared" si="4"/>
        <v>1904.1687781599312</v>
      </c>
      <c r="F5" s="97">
        <f t="shared" si="4"/>
        <v>2216.2332648323304</v>
      </c>
      <c r="G5" s="97">
        <f t="shared" si="4"/>
        <v>2337.096862424763</v>
      </c>
      <c r="H5" s="97">
        <f t="shared" si="4"/>
        <v>2235.8017145313838</v>
      </c>
      <c r="I5" s="97">
        <f t="shared" si="4"/>
        <v>2144.8668632846084</v>
      </c>
      <c r="J5" s="97">
        <f t="shared" si="4"/>
        <v>2174.0701427343074</v>
      </c>
      <c r="K5" s="97">
        <f t="shared" si="4"/>
        <v>2003.947018916595</v>
      </c>
      <c r="L5" s="97">
        <f t="shared" ref="L5" si="5">SUM(L6:L8)</f>
        <v>2118.5339466895957</v>
      </c>
      <c r="M5" s="97">
        <f t="shared" ref="M5:V5" si="6">SUM(M6:M8)</f>
        <v>2245.3168374892521</v>
      </c>
      <c r="N5" s="97">
        <f t="shared" si="6"/>
        <v>2143.3717110920034</v>
      </c>
      <c r="O5" s="97">
        <f t="shared" si="6"/>
        <v>2095.7348237317283</v>
      </c>
      <c r="P5" s="97">
        <f t="shared" si="6"/>
        <v>2000.9346517626827</v>
      </c>
      <c r="Q5" s="97">
        <f t="shared" si="6"/>
        <v>1859.5493551160794</v>
      </c>
      <c r="R5" s="97">
        <f t="shared" si="6"/>
        <v>1802.4171969045569</v>
      </c>
      <c r="S5" s="97">
        <f t="shared" si="6"/>
        <v>1837.5181427343075</v>
      </c>
      <c r="T5" s="97">
        <f t="shared" si="6"/>
        <v>1961.7134995700776</v>
      </c>
      <c r="U5" s="97">
        <f t="shared" si="6"/>
        <v>2006.6607050730868</v>
      </c>
      <c r="V5" s="97">
        <f t="shared" si="6"/>
        <v>1509.056061908856</v>
      </c>
      <c r="W5" s="97">
        <f t="shared" ref="W5" si="7">SUM(W6:W8)</f>
        <v>1614.5680137575241</v>
      </c>
      <c r="DA5" s="175"/>
    </row>
    <row r="6" spans="1:105" ht="11.45" customHeight="1" x14ac:dyDescent="0.25">
      <c r="A6" s="128" t="s">
        <v>52</v>
      </c>
      <c r="B6" s="97">
        <v>2.1974204643164228</v>
      </c>
      <c r="C6" s="97">
        <v>3.2960447119518479</v>
      </c>
      <c r="D6" s="97">
        <v>4.3947549441100593</v>
      </c>
      <c r="E6" s="97">
        <v>3.2960447119518479</v>
      </c>
      <c r="F6" s="97">
        <v>3.2960447119518479</v>
      </c>
      <c r="G6" s="97">
        <v>2.1974204643164228</v>
      </c>
      <c r="H6" s="97">
        <v>1.098710232158211</v>
      </c>
      <c r="I6" s="97">
        <v>2.1974204643164228</v>
      </c>
      <c r="J6" s="97">
        <v>2.1974204643164228</v>
      </c>
      <c r="K6" s="97">
        <v>1.4821152192605329</v>
      </c>
      <c r="L6" s="97">
        <v>1.485468615649183</v>
      </c>
      <c r="M6" s="97">
        <v>0.68555460017196901</v>
      </c>
      <c r="N6" s="97">
        <v>1.873258813413585</v>
      </c>
      <c r="O6" s="97">
        <v>1.284350816852966</v>
      </c>
      <c r="P6" s="97">
        <v>1.4809974204643159</v>
      </c>
      <c r="Q6" s="97">
        <v>0.74273430782459149</v>
      </c>
      <c r="R6" s="97">
        <v>0.80318142734307818</v>
      </c>
      <c r="S6" s="97">
        <v>0.69441100601891659</v>
      </c>
      <c r="T6" s="97">
        <v>0.36913155631986239</v>
      </c>
      <c r="U6" s="97">
        <v>0.32304385210662079</v>
      </c>
      <c r="V6" s="97">
        <v>0.1911435941530524</v>
      </c>
      <c r="W6" s="97">
        <v>0.28237317282889068</v>
      </c>
      <c r="DA6" s="175" t="s">
        <v>629</v>
      </c>
    </row>
    <row r="7" spans="1:105" ht="11.45" customHeight="1" x14ac:dyDescent="0.25">
      <c r="A7" s="128" t="s">
        <v>53</v>
      </c>
      <c r="B7" s="97">
        <v>595.36070507308682</v>
      </c>
      <c r="C7" s="97">
        <v>586.20103181427339</v>
      </c>
      <c r="D7" s="97">
        <v>572.4496990541702</v>
      </c>
      <c r="E7" s="97">
        <v>582.63852106620811</v>
      </c>
      <c r="F7" s="97">
        <v>564.85795356835763</v>
      </c>
      <c r="G7" s="97">
        <v>514.36001719690444</v>
      </c>
      <c r="H7" s="97">
        <v>462.20369733447978</v>
      </c>
      <c r="I7" s="97">
        <v>442.30928632846081</v>
      </c>
      <c r="J7" s="97">
        <v>421.9758383490971</v>
      </c>
      <c r="K7" s="97">
        <v>389.02510748065339</v>
      </c>
      <c r="L7" s="97">
        <v>361.56766981943252</v>
      </c>
      <c r="M7" s="97">
        <v>368.86027515047289</v>
      </c>
      <c r="N7" s="97">
        <v>359.25030094582968</v>
      </c>
      <c r="O7" s="97">
        <v>327.19097162510752</v>
      </c>
      <c r="P7" s="97">
        <v>313.94239036973352</v>
      </c>
      <c r="Q7" s="97">
        <v>292.7237317282889</v>
      </c>
      <c r="R7" s="97">
        <v>284.47394668959578</v>
      </c>
      <c r="S7" s="97">
        <v>300.62184006878761</v>
      </c>
      <c r="T7" s="97">
        <v>328.27970765262251</v>
      </c>
      <c r="U7" s="97">
        <v>342.82889079965611</v>
      </c>
      <c r="V7" s="97">
        <v>261.77472055030091</v>
      </c>
      <c r="W7" s="97">
        <v>317.10799656061909</v>
      </c>
      <c r="DA7" s="175" t="s">
        <v>630</v>
      </c>
    </row>
    <row r="8" spans="1:105" ht="11.45" customHeight="1" x14ac:dyDescent="0.25">
      <c r="A8" s="128" t="s">
        <v>54</v>
      </c>
      <c r="B8" s="97">
        <v>982.04160189165952</v>
      </c>
      <c r="C8" s="97">
        <v>1067.798988822012</v>
      </c>
      <c r="D8" s="97">
        <v>1147.645560619088</v>
      </c>
      <c r="E8" s="97">
        <v>1318.2342123817712</v>
      </c>
      <c r="F8" s="97">
        <v>1648.079266552021</v>
      </c>
      <c r="G8" s="97">
        <v>1820.539424763542</v>
      </c>
      <c r="H8" s="97">
        <v>1772.499306964746</v>
      </c>
      <c r="I8" s="97">
        <v>1700.360156491831</v>
      </c>
      <c r="J8" s="97">
        <v>1749.896883920894</v>
      </c>
      <c r="K8" s="97">
        <v>1613.4397962166811</v>
      </c>
      <c r="L8" s="97">
        <v>1755.4808082545139</v>
      </c>
      <c r="M8" s="97">
        <v>1875.7710077386071</v>
      </c>
      <c r="N8" s="97">
        <v>1782.24815133276</v>
      </c>
      <c r="O8" s="97">
        <v>1767.259501289768</v>
      </c>
      <c r="P8" s="97">
        <v>1685.511263972485</v>
      </c>
      <c r="Q8" s="97">
        <v>1566.082889079966</v>
      </c>
      <c r="R8" s="97">
        <v>1517.140068787618</v>
      </c>
      <c r="S8" s="97">
        <v>1536.2018916595009</v>
      </c>
      <c r="T8" s="97">
        <v>1633.0646603611351</v>
      </c>
      <c r="U8" s="97">
        <v>1663.508770421324</v>
      </c>
      <c r="V8" s="97">
        <v>1247.0901977644021</v>
      </c>
      <c r="W8" s="97">
        <v>1297.177644024076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0.52235597592433358</v>
      </c>
      <c r="G10" s="97">
        <f t="shared" si="8"/>
        <v>0.54135855546001721</v>
      </c>
      <c r="H10" s="97">
        <f t="shared" si="8"/>
        <v>0.51092003439380906</v>
      </c>
      <c r="I10" s="97">
        <f t="shared" si="8"/>
        <v>45.769217540842646</v>
      </c>
      <c r="J10" s="97">
        <f t="shared" si="8"/>
        <v>45.350214961306961</v>
      </c>
      <c r="K10" s="97">
        <f t="shared" si="8"/>
        <v>42.431986242476349</v>
      </c>
      <c r="L10" s="97">
        <f t="shared" si="8"/>
        <v>42.34763542562338</v>
      </c>
      <c r="M10" s="97">
        <f t="shared" si="8"/>
        <v>46.841616509028377</v>
      </c>
      <c r="N10" s="97">
        <f t="shared" si="8"/>
        <v>48.382631126397236</v>
      </c>
      <c r="O10" s="97">
        <f t="shared" si="8"/>
        <v>55.052450558899395</v>
      </c>
      <c r="P10" s="97">
        <f t="shared" si="8"/>
        <v>70.536801375752361</v>
      </c>
      <c r="Q10" s="97">
        <f t="shared" si="8"/>
        <v>83.186844368013752</v>
      </c>
      <c r="R10" s="97">
        <f t="shared" si="8"/>
        <v>89.2810834049871</v>
      </c>
      <c r="S10" s="97">
        <f t="shared" si="8"/>
        <v>113.21797076526222</v>
      </c>
      <c r="T10" s="97">
        <f t="shared" si="8"/>
        <v>122.66405846947552</v>
      </c>
      <c r="U10" s="97">
        <f t="shared" si="8"/>
        <v>129.42992261392948</v>
      </c>
      <c r="V10" s="97">
        <f t="shared" si="8"/>
        <v>142.24780739466894</v>
      </c>
      <c r="W10" s="97">
        <f t="shared" si="8"/>
        <v>138.4006878761823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1.2906276870163369</v>
      </c>
      <c r="J12" s="97">
        <v>0.92184006878761815</v>
      </c>
      <c r="K12" s="97">
        <v>0.73490971625107482</v>
      </c>
      <c r="L12" s="97">
        <v>0.71504729148753221</v>
      </c>
      <c r="M12" s="97">
        <v>6.376182287188306</v>
      </c>
      <c r="N12" s="97">
        <v>1.27652622527945</v>
      </c>
      <c r="O12" s="97">
        <v>0.6421324161650902</v>
      </c>
      <c r="P12" s="97">
        <v>3.0920894239036971</v>
      </c>
      <c r="Q12" s="97">
        <v>7.1488392089423902</v>
      </c>
      <c r="R12" s="97">
        <v>8.8370593293207218</v>
      </c>
      <c r="S12" s="97">
        <v>6.710318142734307</v>
      </c>
      <c r="T12" s="97">
        <v>9.9893379191745488</v>
      </c>
      <c r="U12" s="97">
        <v>17.051332760103179</v>
      </c>
      <c r="V12" s="97">
        <v>13.809544282029229</v>
      </c>
      <c r="W12" s="97">
        <v>17.873258813413589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0.52235597592433358</v>
      </c>
      <c r="G13" s="97">
        <v>0.54135855546001721</v>
      </c>
      <c r="H13" s="97">
        <v>0.51092003439380906</v>
      </c>
      <c r="I13" s="97">
        <v>44.478589853826307</v>
      </c>
      <c r="J13" s="97">
        <v>44.428374892519344</v>
      </c>
      <c r="K13" s="97">
        <v>41.697076526225274</v>
      </c>
      <c r="L13" s="97">
        <v>41.632588134135851</v>
      </c>
      <c r="M13" s="97">
        <v>40.46543422184007</v>
      </c>
      <c r="N13" s="97">
        <v>47.106104901117789</v>
      </c>
      <c r="O13" s="97">
        <v>54.410318142734305</v>
      </c>
      <c r="P13" s="97">
        <v>67.44471195184866</v>
      </c>
      <c r="Q13" s="97">
        <v>76.038005159071361</v>
      </c>
      <c r="R13" s="97">
        <v>80.444024075666377</v>
      </c>
      <c r="S13" s="97">
        <v>106.50765262252791</v>
      </c>
      <c r="T13" s="97">
        <v>112.67472055030098</v>
      </c>
      <c r="U13" s="97">
        <v>112.37858985382628</v>
      </c>
      <c r="V13" s="97">
        <v>128.4382631126397</v>
      </c>
      <c r="W13" s="97">
        <v>120.52742906276872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5.1697943533829678E-2</v>
      </c>
      <c r="F15" s="98">
        <v>5.1744802515683086E-2</v>
      </c>
      <c r="G15" s="98">
        <v>5.178901302085704E-2</v>
      </c>
      <c r="H15" s="98">
        <v>5.2048912239483373E-2</v>
      </c>
      <c r="I15" s="98">
        <v>5.2306039145293685E-2</v>
      </c>
      <c r="J15" s="98">
        <v>5.2546184139095883E-2</v>
      </c>
      <c r="K15" s="98">
        <v>3.6535396544305411E-2</v>
      </c>
      <c r="L15" s="98">
        <v>7.4341500221834583E-2</v>
      </c>
      <c r="M15" s="98">
        <v>9.6112004697644027E-2</v>
      </c>
      <c r="N15" s="98">
        <v>0.12714873532139903</v>
      </c>
      <c r="O15" s="98">
        <v>0.23440931002491983</v>
      </c>
      <c r="P15" s="98">
        <v>0.29188370904618111</v>
      </c>
      <c r="Q15" s="98">
        <v>0.30641717202872976</v>
      </c>
      <c r="R15" s="98">
        <v>0.3629047252846006</v>
      </c>
      <c r="S15" s="98">
        <v>0.53575091128091934</v>
      </c>
      <c r="T15" s="98">
        <v>1.0399369972039931</v>
      </c>
      <c r="U15" s="98">
        <v>2.5205816311107831</v>
      </c>
      <c r="V15" s="98">
        <v>3.9400567474431769</v>
      </c>
      <c r="W15" s="98">
        <v>6.632064657719015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1579.5997274290626</v>
      </c>
      <c r="C17" s="79">
        <f t="shared" si="9"/>
        <v>1657.2960653482371</v>
      </c>
      <c r="D17" s="79">
        <f t="shared" si="9"/>
        <v>1724.4900146173684</v>
      </c>
      <c r="E17" s="79">
        <f t="shared" si="9"/>
        <v>1904.2204761034648</v>
      </c>
      <c r="F17" s="79">
        <f t="shared" si="9"/>
        <v>2216.8073656107708</v>
      </c>
      <c r="G17" s="79">
        <f t="shared" si="9"/>
        <v>2337.6900099932436</v>
      </c>
      <c r="H17" s="79">
        <f t="shared" si="9"/>
        <v>2236.3646834780175</v>
      </c>
      <c r="I17" s="79">
        <f t="shared" si="9"/>
        <v>2190.6883868645964</v>
      </c>
      <c r="J17" s="79">
        <f t="shared" si="9"/>
        <v>2219.4729038797536</v>
      </c>
      <c r="K17" s="79">
        <f t="shared" si="9"/>
        <v>2046.4155405556157</v>
      </c>
      <c r="L17" s="79">
        <f t="shared" ref="L17" si="10">L18+L42</f>
        <v>2160.955923615441</v>
      </c>
      <c r="M17" s="79">
        <f t="shared" ref="M17:V17" si="11">M18+M42</f>
        <v>2292.2545660029782</v>
      </c>
      <c r="N17" s="79">
        <f t="shared" si="11"/>
        <v>2191.8814909537223</v>
      </c>
      <c r="O17" s="79">
        <f t="shared" si="11"/>
        <v>2151.021683600653</v>
      </c>
      <c r="P17" s="79">
        <f t="shared" si="11"/>
        <v>2071.7633368474812</v>
      </c>
      <c r="Q17" s="79">
        <f t="shared" si="11"/>
        <v>1943.0426166561219</v>
      </c>
      <c r="R17" s="79">
        <f t="shared" si="11"/>
        <v>1892.0611850348287</v>
      </c>
      <c r="S17" s="79">
        <f t="shared" si="11"/>
        <v>1951.2718644108504</v>
      </c>
      <c r="T17" s="79">
        <f t="shared" si="11"/>
        <v>2085.4174950367574</v>
      </c>
      <c r="U17" s="79">
        <f t="shared" si="11"/>
        <v>2138.6112093181273</v>
      </c>
      <c r="V17" s="79">
        <f t="shared" si="11"/>
        <v>1655.2439260509682</v>
      </c>
      <c r="W17" s="79">
        <f t="shared" ref="W17" si="12">W18+W42</f>
        <v>1759.6007662914253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914.36635028279466</v>
      </c>
      <c r="C18" s="32">
        <f t="shared" si="13"/>
        <v>937.36619564604541</v>
      </c>
      <c r="D18" s="32">
        <f t="shared" si="13"/>
        <v>959.60724797895944</v>
      </c>
      <c r="E18" s="32">
        <f t="shared" si="13"/>
        <v>1016.9265777414583</v>
      </c>
      <c r="F18" s="32">
        <f t="shared" si="13"/>
        <v>1037.2394319598632</v>
      </c>
      <c r="G18" s="32">
        <f t="shared" si="13"/>
        <v>1002.5654861399056</v>
      </c>
      <c r="H18" s="32">
        <f t="shared" si="13"/>
        <v>963.89527388729414</v>
      </c>
      <c r="I18" s="32">
        <f t="shared" si="13"/>
        <v>979.47071070085372</v>
      </c>
      <c r="J18" s="32">
        <f t="shared" si="13"/>
        <v>996.01994586948047</v>
      </c>
      <c r="K18" s="32">
        <f t="shared" si="13"/>
        <v>977.12529586787889</v>
      </c>
      <c r="L18" s="32">
        <f t="shared" ref="L18" si="14">L19+L21+L33</f>
        <v>956.39206117482615</v>
      </c>
      <c r="M18" s="32">
        <f t="shared" ref="M18:V18" si="15">M19+M21+M33</f>
        <v>1023.6561521064782</v>
      </c>
      <c r="N18" s="32">
        <f t="shared" si="15"/>
        <v>1019.4044848515193</v>
      </c>
      <c r="O18" s="32">
        <f t="shared" si="15"/>
        <v>961.27632079486284</v>
      </c>
      <c r="P18" s="32">
        <f t="shared" si="15"/>
        <v>951.12972801070578</v>
      </c>
      <c r="Q18" s="32">
        <f t="shared" si="15"/>
        <v>921.3973787257371</v>
      </c>
      <c r="R18" s="32">
        <f t="shared" si="15"/>
        <v>897.24872460075176</v>
      </c>
      <c r="S18" s="32">
        <f t="shared" si="15"/>
        <v>897.42932544469568</v>
      </c>
      <c r="T18" s="32">
        <f t="shared" si="15"/>
        <v>934.81907526724024</v>
      </c>
      <c r="U18" s="32">
        <f t="shared" si="15"/>
        <v>920.72115351921536</v>
      </c>
      <c r="V18" s="32">
        <f t="shared" si="15"/>
        <v>708.28924767823764</v>
      </c>
      <c r="W18" s="32">
        <f t="shared" ref="W18" si="16">W19+W21+W33</f>
        <v>785.61584375543896</v>
      </c>
      <c r="DA18" s="173" t="s">
        <v>390</v>
      </c>
    </row>
    <row r="19" spans="1:105" ht="11.45" customHeight="1" x14ac:dyDescent="0.25">
      <c r="A19" s="107" t="s">
        <v>181</v>
      </c>
      <c r="B19" s="129">
        <v>1.5658453299469843</v>
      </c>
      <c r="C19" s="129">
        <v>1.5954840517365898</v>
      </c>
      <c r="D19" s="129">
        <v>1.6741018463255783</v>
      </c>
      <c r="E19" s="129">
        <v>1.6996852398974149</v>
      </c>
      <c r="F19" s="129">
        <v>1.7981571194216976</v>
      </c>
      <c r="G19" s="129">
        <v>1.8193864795915993</v>
      </c>
      <c r="H19" s="129">
        <v>1.8333853927894204</v>
      </c>
      <c r="I19" s="129">
        <v>1.8370737832395783</v>
      </c>
      <c r="J19" s="129">
        <v>1.8531256416941824</v>
      </c>
      <c r="K19" s="129">
        <v>1.9016877615927223</v>
      </c>
      <c r="L19" s="129">
        <v>1.9489312118192685</v>
      </c>
      <c r="M19" s="129">
        <v>1.9862822509542166</v>
      </c>
      <c r="N19" s="129">
        <v>2.0750545566300524</v>
      </c>
      <c r="O19" s="129">
        <v>2.1173131300413939</v>
      </c>
      <c r="P19" s="129">
        <v>2.1851750210474212</v>
      </c>
      <c r="Q19" s="129">
        <v>2.2550436353596348</v>
      </c>
      <c r="R19" s="129">
        <v>2.3354443837981491</v>
      </c>
      <c r="S19" s="129">
        <v>2.2536455407164455</v>
      </c>
      <c r="T19" s="129">
        <v>2.1506318329953045</v>
      </c>
      <c r="U19" s="129">
        <v>2.2405700771320665</v>
      </c>
      <c r="V19" s="129">
        <v>2.0014751632596761</v>
      </c>
      <c r="W19" s="129">
        <v>1.9008545745669767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5.3448574105407183E-3</v>
      </c>
      <c r="J20" s="97">
        <v>4.0394770560159667E-3</v>
      </c>
      <c r="K20" s="97">
        <v>3.5857162140984968E-3</v>
      </c>
      <c r="L20" s="97">
        <v>3.8466587515413007E-3</v>
      </c>
      <c r="M20" s="97">
        <v>3.3751778258366165E-2</v>
      </c>
      <c r="N20" s="97">
        <v>7.3471968264006912E-3</v>
      </c>
      <c r="O20" s="97">
        <v>4.1472181399971842E-3</v>
      </c>
      <c r="P20" s="97">
        <v>2.1312371374739274E-2</v>
      </c>
      <c r="Q20" s="97">
        <v>5.3759316192041273E-2</v>
      </c>
      <c r="R20" s="97">
        <v>7.0363744136563641E-2</v>
      </c>
      <c r="S20" s="97">
        <v>4.9206300594009496E-2</v>
      </c>
      <c r="T20" s="97">
        <v>6.3509766562320713E-2</v>
      </c>
      <c r="U20" s="97">
        <v>0.10615950379158552</v>
      </c>
      <c r="V20" s="97">
        <v>0.10029404223507633</v>
      </c>
      <c r="W20" s="97">
        <v>0.10142199073187427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888.42731406292194</v>
      </c>
      <c r="C21" s="130">
        <f t="shared" si="17"/>
        <v>910.61613951256629</v>
      </c>
      <c r="D21" s="130">
        <f t="shared" si="17"/>
        <v>931.32423192162094</v>
      </c>
      <c r="E21" s="130">
        <f t="shared" si="17"/>
        <v>988.43150784546958</v>
      </c>
      <c r="F21" s="130">
        <f t="shared" si="17"/>
        <v>1008.632472773079</v>
      </c>
      <c r="G21" s="130">
        <f t="shared" si="17"/>
        <v>973.29307650567205</v>
      </c>
      <c r="H21" s="130">
        <f t="shared" si="17"/>
        <v>934.66855300969939</v>
      </c>
      <c r="I21" s="130">
        <f t="shared" si="17"/>
        <v>949.45040651392935</v>
      </c>
      <c r="J21" s="130">
        <f t="shared" si="17"/>
        <v>965.04967268816347</v>
      </c>
      <c r="K21" s="130">
        <f t="shared" si="17"/>
        <v>945.40319557963107</v>
      </c>
      <c r="L21" s="130">
        <f t="shared" ref="L21" si="18">L22+L24+L26+L27+L29+L32</f>
        <v>923.98009454082592</v>
      </c>
      <c r="M21" s="130">
        <f t="shared" ref="M21:V21" si="19">M22+M24+M26+M27+M29+M32</f>
        <v>990.50128860428981</v>
      </c>
      <c r="N21" s="130">
        <f t="shared" si="19"/>
        <v>986.17843961642836</v>
      </c>
      <c r="O21" s="130">
        <f t="shared" si="19"/>
        <v>927.79739285758797</v>
      </c>
      <c r="P21" s="130">
        <f t="shared" si="19"/>
        <v>917.67983344398374</v>
      </c>
      <c r="Q21" s="130">
        <f t="shared" si="19"/>
        <v>886.78288473719977</v>
      </c>
      <c r="R21" s="130">
        <f t="shared" si="19"/>
        <v>861.80527835083365</v>
      </c>
      <c r="S21" s="130">
        <f t="shared" si="19"/>
        <v>860.77653122956053</v>
      </c>
      <c r="T21" s="130">
        <f t="shared" si="19"/>
        <v>897.51137165490888</v>
      </c>
      <c r="U21" s="130">
        <f t="shared" si="19"/>
        <v>882.3501639719301</v>
      </c>
      <c r="V21" s="130">
        <f t="shared" si="19"/>
        <v>670.5561111602043</v>
      </c>
      <c r="W21" s="130">
        <f t="shared" ref="W21" si="20">W22+W24+W26+W27+W29+W32</f>
        <v>748.19676388177697</v>
      </c>
      <c r="DA21" s="176" t="s">
        <v>392</v>
      </c>
    </row>
    <row r="22" spans="1:105" ht="11.45" customHeight="1" x14ac:dyDescent="0.25">
      <c r="A22" s="111" t="s">
        <v>110</v>
      </c>
      <c r="B22" s="96">
        <v>590.75498341189564</v>
      </c>
      <c r="C22" s="96">
        <v>581.89222015466135</v>
      </c>
      <c r="D22" s="96">
        <v>568.31503874235057</v>
      </c>
      <c r="E22" s="96">
        <v>578.75053973924241</v>
      </c>
      <c r="F22" s="96">
        <v>561.15789556506343</v>
      </c>
      <c r="G22" s="96">
        <v>510.89072939182341</v>
      </c>
      <c r="H22" s="96">
        <v>458.91608954116919</v>
      </c>
      <c r="I22" s="96">
        <v>440.43412994213395</v>
      </c>
      <c r="J22" s="96">
        <v>419.80396491998818</v>
      </c>
      <c r="K22" s="96">
        <v>386.77137302128529</v>
      </c>
      <c r="L22" s="96">
        <v>359.29354281987969</v>
      </c>
      <c r="M22" s="96">
        <v>372.25300075306467</v>
      </c>
      <c r="N22" s="96">
        <v>356.83435953093669</v>
      </c>
      <c r="O22" s="96">
        <v>323.82445973559186</v>
      </c>
      <c r="P22" s="96">
        <v>313.0009269843253</v>
      </c>
      <c r="Q22" s="96">
        <v>295.8549835887685</v>
      </c>
      <c r="R22" s="96">
        <v>289.19271929808281</v>
      </c>
      <c r="S22" s="96">
        <v>303.47426210418405</v>
      </c>
      <c r="T22" s="96">
        <v>334.06967565151916</v>
      </c>
      <c r="U22" s="96">
        <v>354.97570975967028</v>
      </c>
      <c r="V22" s="96">
        <v>270.72943058500658</v>
      </c>
      <c r="W22" s="96">
        <v>328.06344644818353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1.281417025681471</v>
      </c>
      <c r="J23" s="96">
        <v>0.91509633570688931</v>
      </c>
      <c r="K23" s="96">
        <v>0.72927449574057757</v>
      </c>
      <c r="L23" s="96">
        <v>0.70914747656498323</v>
      </c>
      <c r="M23" s="96">
        <v>6.3254860840612999</v>
      </c>
      <c r="N23" s="96">
        <v>1.2634522140729585</v>
      </c>
      <c r="O23" s="96">
        <v>0.63428061467884012</v>
      </c>
      <c r="P23" s="96">
        <v>3.0527495199583949</v>
      </c>
      <c r="Q23" s="96">
        <v>7.0530615728875965</v>
      </c>
      <c r="R23" s="96">
        <v>8.7129809846955801</v>
      </c>
      <c r="S23" s="96">
        <v>6.6260844901529987</v>
      </c>
      <c r="T23" s="96">
        <v>9.8653273845707563</v>
      </c>
      <c r="U23" s="96">
        <v>16.818954064756646</v>
      </c>
      <c r="V23" s="96">
        <v>13.566268242444325</v>
      </c>
      <c r="W23" s="96">
        <v>17.50415222201525</v>
      </c>
      <c r="DA23" s="171" t="s">
        <v>641</v>
      </c>
    </row>
    <row r="24" spans="1:105" ht="11.45" customHeight="1" x14ac:dyDescent="0.25">
      <c r="A24" s="111" t="s">
        <v>111</v>
      </c>
      <c r="B24" s="96">
        <v>295.47491018670991</v>
      </c>
      <c r="C24" s="96">
        <v>325.42787464595318</v>
      </c>
      <c r="D24" s="96">
        <v>358.61443823516021</v>
      </c>
      <c r="E24" s="96">
        <v>406.3849233942754</v>
      </c>
      <c r="F24" s="96">
        <v>444.17853249606384</v>
      </c>
      <c r="G24" s="96">
        <v>460.20492664953218</v>
      </c>
      <c r="H24" s="96">
        <v>474.65375323637198</v>
      </c>
      <c r="I24" s="96">
        <v>506.81885610747895</v>
      </c>
      <c r="J24" s="96">
        <v>543.0480910452095</v>
      </c>
      <c r="K24" s="96">
        <v>557.14931563748644</v>
      </c>
      <c r="L24" s="96">
        <v>563.16292136678112</v>
      </c>
      <c r="M24" s="96">
        <v>617.50282945416461</v>
      </c>
      <c r="N24" s="96">
        <v>626.68354688319266</v>
      </c>
      <c r="O24" s="96">
        <v>601.58903524548157</v>
      </c>
      <c r="P24" s="96">
        <v>602.08596847685624</v>
      </c>
      <c r="Q24" s="96">
        <v>589.14610028215964</v>
      </c>
      <c r="R24" s="96">
        <v>570.7208765452674</v>
      </c>
      <c r="S24" s="96">
        <v>555.60856176704863</v>
      </c>
      <c r="T24" s="96">
        <v>561.46171596952058</v>
      </c>
      <c r="U24" s="96">
        <v>524.41430250596648</v>
      </c>
      <c r="V24" s="96">
        <v>396.01412356133483</v>
      </c>
      <c r="W24" s="96">
        <v>411.86317531498054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0.1407370389887426</v>
      </c>
      <c r="G25" s="96">
        <v>0.13680660220493487</v>
      </c>
      <c r="H25" s="96">
        <v>0.13677874398904716</v>
      </c>
      <c r="I25" s="96">
        <v>12.919582441760047</v>
      </c>
      <c r="J25" s="96">
        <v>13.446137513317153</v>
      </c>
      <c r="K25" s="96">
        <v>14.03599788830206</v>
      </c>
      <c r="L25" s="96">
        <v>13.046438808366347</v>
      </c>
      <c r="M25" s="96">
        <v>13.039894023471136</v>
      </c>
      <c r="N25" s="96">
        <v>16.137181083809779</v>
      </c>
      <c r="O25" s="96">
        <v>17.968487181219441</v>
      </c>
      <c r="P25" s="96">
        <v>23.165165167801241</v>
      </c>
      <c r="Q25" s="96">
        <v>27.280265642963453</v>
      </c>
      <c r="R25" s="96">
        <v>28.737819898424473</v>
      </c>
      <c r="S25" s="96">
        <v>36.023753497244805</v>
      </c>
      <c r="T25" s="96">
        <v>36.238251046115103</v>
      </c>
      <c r="U25" s="96">
        <v>33.185066312802356</v>
      </c>
      <c r="V25" s="96">
        <v>36.977327365412329</v>
      </c>
      <c r="W25" s="96">
        <v>35.014905842339559</v>
      </c>
      <c r="DA25" s="171" t="s">
        <v>643</v>
      </c>
    </row>
    <row r="26" spans="1:105" ht="11.45" customHeight="1" x14ac:dyDescent="0.25">
      <c r="A26" s="111" t="s">
        <v>112</v>
      </c>
      <c r="B26" s="96">
        <v>2.1974204643164228</v>
      </c>
      <c r="C26" s="96">
        <v>3.2960447119518479</v>
      </c>
      <c r="D26" s="96">
        <v>4.3947549441100593</v>
      </c>
      <c r="E26" s="96">
        <v>3.2960447119518479</v>
      </c>
      <c r="F26" s="96">
        <v>3.2960447119518479</v>
      </c>
      <c r="G26" s="96">
        <v>2.1974204643164228</v>
      </c>
      <c r="H26" s="96">
        <v>1.098710232158211</v>
      </c>
      <c r="I26" s="96">
        <v>2.1974204643164228</v>
      </c>
      <c r="J26" s="96">
        <v>2.1974204643164228</v>
      </c>
      <c r="K26" s="96">
        <v>1.4821152192605329</v>
      </c>
      <c r="L26" s="96">
        <v>1.485468615649183</v>
      </c>
      <c r="M26" s="96">
        <v>0.68555460017196901</v>
      </c>
      <c r="N26" s="96">
        <v>1.873258813413585</v>
      </c>
      <c r="O26" s="96">
        <v>1.2156920968940934</v>
      </c>
      <c r="P26" s="96">
        <v>1.3949034125816131</v>
      </c>
      <c r="Q26" s="96">
        <v>0.65182185764511857</v>
      </c>
      <c r="R26" s="96">
        <v>0.69622880163794421</v>
      </c>
      <c r="S26" s="96">
        <v>0.58143272418830882</v>
      </c>
      <c r="T26" s="96">
        <v>0.26010326389570571</v>
      </c>
      <c r="U26" s="96">
        <v>0.24112388750221542</v>
      </c>
      <c r="V26" s="96">
        <v>9.4903192429969987E-2</v>
      </c>
      <c r="W26" s="96">
        <v>0.19339426976411844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0.76856564314086628</v>
      </c>
      <c r="O29" s="96">
        <v>1.1171465510119691</v>
      </c>
      <c r="P29" s="96">
        <v>1.0910577740996965</v>
      </c>
      <c r="Q29" s="96">
        <v>1.0110801052538507</v>
      </c>
      <c r="R29" s="96">
        <v>1.054583930945211</v>
      </c>
      <c r="S29" s="96">
        <v>0.90881024033857527</v>
      </c>
      <c r="T29" s="96">
        <v>1.4121428145190937</v>
      </c>
      <c r="U29" s="96">
        <v>2.1733238130782206</v>
      </c>
      <c r="V29" s="96">
        <v>2.8359151478087155</v>
      </c>
      <c r="W29" s="96">
        <v>6.0888247168703682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2.4803405134877785E-3</v>
      </c>
      <c r="O30" s="96">
        <v>1.9827011567534469E-3</v>
      </c>
      <c r="P30" s="96">
        <v>9.4723760349033643E-3</v>
      </c>
      <c r="Q30" s="96">
        <v>2.1305927176130755E-2</v>
      </c>
      <c r="R30" s="96">
        <v>2.7302622106162293E-2</v>
      </c>
      <c r="S30" s="96">
        <v>1.5845262017080718E-2</v>
      </c>
      <c r="T30" s="96">
        <v>3.3116340957943455E-2</v>
      </c>
      <c r="U30" s="96">
        <v>8.0698449500788513E-2</v>
      </c>
      <c r="V30" s="96">
        <v>9.4919627063402651E-2</v>
      </c>
      <c r="W30" s="96">
        <v>0.21493319247179196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6.8047880228515101E-2</v>
      </c>
      <c r="O31" s="96">
        <v>0.1049019450059821</v>
      </c>
      <c r="P31" s="96">
        <v>0.11984724395791553</v>
      </c>
      <c r="Q31" s="96">
        <v>0.11735974425933336</v>
      </c>
      <c r="R31" s="96">
        <v>0.14838207595230868</v>
      </c>
      <c r="S31" s="96">
        <v>0.18309821453704592</v>
      </c>
      <c r="T31" s="96">
        <v>0.29072384368109272</v>
      </c>
      <c r="U31" s="96">
        <v>0.47012697469255182</v>
      </c>
      <c r="V31" s="96">
        <v>0.94169220256153463</v>
      </c>
      <c r="W31" s="96">
        <v>2.0605391430210331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1.9625864931964123E-4</v>
      </c>
      <c r="K32" s="96">
        <v>3.9170159877966474E-4</v>
      </c>
      <c r="L32" s="96">
        <v>3.8161738515856435E-2</v>
      </c>
      <c r="M32" s="96">
        <v>5.9903796888584937E-2</v>
      </c>
      <c r="N32" s="96">
        <v>1.8708745744557741E-2</v>
      </c>
      <c r="O32" s="96">
        <v>5.1059228608402195E-2</v>
      </c>
      <c r="P32" s="96">
        <v>0.10697679612099099</v>
      </c>
      <c r="Q32" s="96">
        <v>0.11889890337266415</v>
      </c>
      <c r="R32" s="96">
        <v>0.14086977490022623</v>
      </c>
      <c r="S32" s="96">
        <v>0.20346439380105441</v>
      </c>
      <c r="T32" s="96">
        <v>0.30773395545415339</v>
      </c>
      <c r="U32" s="96">
        <v>0.54570400571289368</v>
      </c>
      <c r="V32" s="96">
        <v>0.88173867362412495</v>
      </c>
      <c r="W32" s="96">
        <v>1.9879231319784318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24.373190889925677</v>
      </c>
      <c r="C33" s="130">
        <f t="shared" si="21"/>
        <v>25.154572081742625</v>
      </c>
      <c r="D33" s="130">
        <f t="shared" si="21"/>
        <v>26.60891421101292</v>
      </c>
      <c r="E33" s="130">
        <f t="shared" si="21"/>
        <v>26.795384656091279</v>
      </c>
      <c r="F33" s="130">
        <f t="shared" si="21"/>
        <v>26.808802067362347</v>
      </c>
      <c r="G33" s="130">
        <f t="shared" si="21"/>
        <v>27.453023154642011</v>
      </c>
      <c r="H33" s="130">
        <f t="shared" si="21"/>
        <v>27.393335484805352</v>
      </c>
      <c r="I33" s="130">
        <f t="shared" si="21"/>
        <v>28.183230403684721</v>
      </c>
      <c r="J33" s="130">
        <f t="shared" si="21"/>
        <v>29.117147539622778</v>
      </c>
      <c r="K33" s="130">
        <f t="shared" si="21"/>
        <v>29.820412526655101</v>
      </c>
      <c r="L33" s="130">
        <f t="shared" ref="L33" si="22">L34+L36+L38+L39+L41</f>
        <v>30.463035422180923</v>
      </c>
      <c r="M33" s="130">
        <f t="shared" ref="M33:V33" si="23">M34+M36+M38+M39+M41</f>
        <v>31.168581251234219</v>
      </c>
      <c r="N33" s="130">
        <f t="shared" si="23"/>
        <v>31.150990678460872</v>
      </c>
      <c r="O33" s="130">
        <f t="shared" si="23"/>
        <v>31.361614807233575</v>
      </c>
      <c r="P33" s="130">
        <f t="shared" si="23"/>
        <v>31.264719545674616</v>
      </c>
      <c r="Q33" s="130">
        <f t="shared" si="23"/>
        <v>32.359450353177763</v>
      </c>
      <c r="R33" s="130">
        <f t="shared" si="23"/>
        <v>33.108001866119906</v>
      </c>
      <c r="S33" s="130">
        <f t="shared" si="23"/>
        <v>34.399148674418669</v>
      </c>
      <c r="T33" s="130">
        <f t="shared" si="23"/>
        <v>35.157071779336064</v>
      </c>
      <c r="U33" s="130">
        <f t="shared" si="23"/>
        <v>36.1304194701532</v>
      </c>
      <c r="V33" s="130">
        <f t="shared" si="23"/>
        <v>35.731661354773621</v>
      </c>
      <c r="W33" s="130">
        <f t="shared" ref="W33" si="24">W34+W36+W38+W39+W41</f>
        <v>35.518225299095029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1.3286191637856288E-3</v>
      </c>
      <c r="U34" s="97">
        <v>1.2703896415910531E-3</v>
      </c>
      <c r="V34" s="97">
        <v>1.2080133505719369E-3</v>
      </c>
      <c r="W34" s="97">
        <v>1.1290981160130933E-3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3.9235117628073941E-5</v>
      </c>
      <c r="U35" s="97">
        <v>6.0191794646254689E-5</v>
      </c>
      <c r="V35" s="97">
        <v>6.0533622513445487E-5</v>
      </c>
      <c r="W35" s="97">
        <v>6.024415554448387E-5</v>
      </c>
      <c r="DA35" s="175" t="s">
        <v>652</v>
      </c>
    </row>
    <row r="36" spans="1:105" ht="11.45" customHeight="1" x14ac:dyDescent="0.25">
      <c r="A36" s="111" t="s">
        <v>111</v>
      </c>
      <c r="B36" s="97">
        <v>24.373190889925677</v>
      </c>
      <c r="C36" s="97">
        <v>25.154572081742625</v>
      </c>
      <c r="D36" s="97">
        <v>26.60891421101292</v>
      </c>
      <c r="E36" s="97">
        <v>26.743686712557448</v>
      </c>
      <c r="F36" s="97">
        <v>26.757057264846665</v>
      </c>
      <c r="G36" s="97">
        <v>27.401234141621153</v>
      </c>
      <c r="H36" s="97">
        <v>27.341498886445819</v>
      </c>
      <c r="I36" s="97">
        <v>28.13134941352013</v>
      </c>
      <c r="J36" s="97">
        <v>29.065222946634513</v>
      </c>
      <c r="K36" s="97">
        <v>29.785766105886172</v>
      </c>
      <c r="L36" s="97">
        <v>30.428353294431204</v>
      </c>
      <c r="M36" s="97">
        <v>31.133871074911905</v>
      </c>
      <c r="N36" s="97">
        <v>31.116249322214355</v>
      </c>
      <c r="O36" s="97">
        <v>31.297902032414978</v>
      </c>
      <c r="P36" s="97">
        <v>31.218013045445833</v>
      </c>
      <c r="Q36" s="97">
        <v>32.312702665424666</v>
      </c>
      <c r="R36" s="97">
        <v>33.061275817687886</v>
      </c>
      <c r="S36" s="97">
        <v>34.285800703442952</v>
      </c>
      <c r="T36" s="97">
        <v>34.763325552644964</v>
      </c>
      <c r="U36" s="97">
        <v>34.691696487151617</v>
      </c>
      <c r="V36" s="97">
        <v>33.699184048116642</v>
      </c>
      <c r="W36" s="97">
        <v>33.062837635736166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8.4779176299793705E-3</v>
      </c>
      <c r="G37" s="97">
        <v>8.1456532124260274E-3</v>
      </c>
      <c r="H37" s="97">
        <v>7.8788713898647854E-3</v>
      </c>
      <c r="I37" s="97">
        <v>0.71711082483651156</v>
      </c>
      <c r="J37" s="97">
        <v>0.71966919880606472</v>
      </c>
      <c r="K37" s="97">
        <v>0.75037864793088938</v>
      </c>
      <c r="L37" s="97">
        <v>0.70491439374539355</v>
      </c>
      <c r="M37" s="97">
        <v>0.65745833054097691</v>
      </c>
      <c r="N37" s="97">
        <v>0.80124737989194073</v>
      </c>
      <c r="O37" s="97">
        <v>0.93481748921675434</v>
      </c>
      <c r="P37" s="97">
        <v>1.2011082574101286</v>
      </c>
      <c r="Q37" s="97">
        <v>1.4962317699000329</v>
      </c>
      <c r="R37" s="97">
        <v>1.6647524720177145</v>
      </c>
      <c r="S37" s="97">
        <v>2.2229737228461501</v>
      </c>
      <c r="T37" s="97">
        <v>2.2437186414379919</v>
      </c>
      <c r="U37" s="97">
        <v>2.1952991040259451</v>
      </c>
      <c r="V37" s="97">
        <v>3.1466194924775013</v>
      </c>
      <c r="W37" s="97">
        <v>2.8108658799381487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5.1697943533829678E-2</v>
      </c>
      <c r="F41" s="97">
        <v>5.1744802515683086E-2</v>
      </c>
      <c r="G41" s="97">
        <v>5.178901302085704E-2</v>
      </c>
      <c r="H41" s="97">
        <v>5.1836598359531416E-2</v>
      </c>
      <c r="I41" s="97">
        <v>5.1880990164592265E-2</v>
      </c>
      <c r="J41" s="97">
        <v>5.1924592988264726E-2</v>
      </c>
      <c r="K41" s="97">
        <v>3.4646420768928689E-2</v>
      </c>
      <c r="L41" s="97">
        <v>3.4682127749719752E-2</v>
      </c>
      <c r="M41" s="97">
        <v>3.47101763223139E-2</v>
      </c>
      <c r="N41" s="97">
        <v>3.4741356246517002E-2</v>
      </c>
      <c r="O41" s="97">
        <v>6.3712774818596787E-2</v>
      </c>
      <c r="P41" s="97">
        <v>4.6706500228783102E-2</v>
      </c>
      <c r="Q41" s="97">
        <v>4.6747687753099364E-2</v>
      </c>
      <c r="R41" s="97">
        <v>4.6726048432017685E-2</v>
      </c>
      <c r="S41" s="97">
        <v>0.11334797097571871</v>
      </c>
      <c r="T41" s="97">
        <v>0.39241760752731503</v>
      </c>
      <c r="U41" s="97">
        <v>1.4374525933599913</v>
      </c>
      <c r="V41" s="97">
        <v>2.0312692933064067</v>
      </c>
      <c r="W41" s="97">
        <v>2.4542585652428546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665.23337714626791</v>
      </c>
      <c r="C42" s="32">
        <f t="shared" si="25"/>
        <v>719.9298697021917</v>
      </c>
      <c r="D42" s="32">
        <f t="shared" si="25"/>
        <v>764.88276663840895</v>
      </c>
      <c r="E42" s="32">
        <f t="shared" si="25"/>
        <v>887.29389836200642</v>
      </c>
      <c r="F42" s="32">
        <f t="shared" si="25"/>
        <v>1179.5679336509074</v>
      </c>
      <c r="G42" s="32">
        <f t="shared" si="25"/>
        <v>1335.1245238533381</v>
      </c>
      <c r="H42" s="32">
        <f t="shared" si="25"/>
        <v>1272.4694095907232</v>
      </c>
      <c r="I42" s="32">
        <f t="shared" si="25"/>
        <v>1211.2176761637425</v>
      </c>
      <c r="J42" s="32">
        <f t="shared" si="25"/>
        <v>1223.4529580102731</v>
      </c>
      <c r="K42" s="32">
        <f t="shared" si="25"/>
        <v>1069.290244687737</v>
      </c>
      <c r="L42" s="32">
        <f t="shared" ref="L42" si="26">L43+L52</f>
        <v>1204.5638624406149</v>
      </c>
      <c r="M42" s="32">
        <f t="shared" ref="M42:V42" si="27">M43+M52</f>
        <v>1268.5984138964998</v>
      </c>
      <c r="N42" s="32">
        <f t="shared" si="27"/>
        <v>1172.4770061022027</v>
      </c>
      <c r="O42" s="32">
        <f t="shared" si="27"/>
        <v>1189.7453628057899</v>
      </c>
      <c r="P42" s="32">
        <f t="shared" si="27"/>
        <v>1120.6336088367755</v>
      </c>
      <c r="Q42" s="32">
        <f t="shared" si="27"/>
        <v>1021.6452379303847</v>
      </c>
      <c r="R42" s="32">
        <f t="shared" si="27"/>
        <v>994.81246043407702</v>
      </c>
      <c r="S42" s="32">
        <f t="shared" si="27"/>
        <v>1053.8425389661547</v>
      </c>
      <c r="T42" s="32">
        <f t="shared" si="27"/>
        <v>1150.598419769517</v>
      </c>
      <c r="U42" s="32">
        <f t="shared" si="27"/>
        <v>1217.8900557989118</v>
      </c>
      <c r="V42" s="32">
        <f t="shared" si="27"/>
        <v>946.95467837273065</v>
      </c>
      <c r="W42" s="32">
        <f t="shared" ref="W42" si="28">W43+W52</f>
        <v>973.98492253598624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32.941317572402824</v>
      </c>
      <c r="C43" s="141">
        <f t="shared" si="29"/>
        <v>33.972389753551745</v>
      </c>
      <c r="D43" s="141">
        <f t="shared" si="29"/>
        <v>35.400726549815644</v>
      </c>
      <c r="E43" s="141">
        <f t="shared" si="29"/>
        <v>36.070783262485868</v>
      </c>
      <c r="F43" s="141">
        <f t="shared" si="29"/>
        <v>36.923232259429732</v>
      </c>
      <c r="G43" s="141">
        <f t="shared" si="29"/>
        <v>38.229216873069291</v>
      </c>
      <c r="H43" s="141">
        <f t="shared" si="29"/>
        <v>39.674779296574584</v>
      </c>
      <c r="I43" s="141">
        <f t="shared" si="29"/>
        <v>42.452773688108714</v>
      </c>
      <c r="J43" s="141">
        <f t="shared" si="29"/>
        <v>44.480531713023815</v>
      </c>
      <c r="K43" s="141">
        <f t="shared" si="29"/>
        <v>44.540190429022637</v>
      </c>
      <c r="L43" s="141">
        <f t="shared" ref="L43" si="30">L44+L46+L48+L49+L51</f>
        <v>46.504347577380948</v>
      </c>
      <c r="M43" s="141">
        <f t="shared" ref="M43:V43" si="31">M44+M46+M48+M49+M51</f>
        <v>49.05485232248683</v>
      </c>
      <c r="N43" s="141">
        <f t="shared" si="31"/>
        <v>50.148887386822231</v>
      </c>
      <c r="O43" s="141">
        <f t="shared" si="31"/>
        <v>50.911168079019305</v>
      </c>
      <c r="P43" s="141">
        <f t="shared" si="31"/>
        <v>53.350857088348327</v>
      </c>
      <c r="Q43" s="141">
        <f t="shared" si="31"/>
        <v>55.148636971880393</v>
      </c>
      <c r="R43" s="141">
        <f t="shared" si="31"/>
        <v>57.538454733633408</v>
      </c>
      <c r="S43" s="141">
        <f t="shared" si="31"/>
        <v>58.368996302679321</v>
      </c>
      <c r="T43" s="141">
        <f t="shared" si="31"/>
        <v>59.994385708264758</v>
      </c>
      <c r="U43" s="141">
        <f t="shared" si="31"/>
        <v>60.700873173464025</v>
      </c>
      <c r="V43" s="141">
        <f t="shared" si="31"/>
        <v>61.2978245082871</v>
      </c>
      <c r="W43" s="141">
        <f t="shared" ref="W43" si="32">W44+W46+W48+W49+W51</f>
        <v>63.717095225629272</v>
      </c>
      <c r="DA43" s="174" t="s">
        <v>399</v>
      </c>
    </row>
    <row r="44" spans="1:105" ht="11.45" customHeight="1" x14ac:dyDescent="0.25">
      <c r="A44" s="111" t="s">
        <v>110</v>
      </c>
      <c r="B44" s="96">
        <v>3.0398763312441082</v>
      </c>
      <c r="C44" s="96">
        <v>2.7133276078754887</v>
      </c>
      <c r="D44" s="96">
        <v>2.4605584654940249</v>
      </c>
      <c r="E44" s="96">
        <v>2.1882960870682209</v>
      </c>
      <c r="F44" s="96">
        <v>1.901900883872478</v>
      </c>
      <c r="G44" s="96">
        <v>1.649901325489431</v>
      </c>
      <c r="H44" s="96">
        <v>1.4542224005212112</v>
      </c>
      <c r="I44" s="96">
        <v>1.3287102901036403</v>
      </c>
      <c r="J44" s="96">
        <v>1.2405878562023638</v>
      </c>
      <c r="K44" s="96">
        <v>1.0869564140264756</v>
      </c>
      <c r="L44" s="96">
        <v>1.0402430792211022</v>
      </c>
      <c r="M44" s="96">
        <v>0.99717443364229874</v>
      </c>
      <c r="N44" s="96">
        <v>0.91689532063004353</v>
      </c>
      <c r="O44" s="96">
        <v>0.87908656963341825</v>
      </c>
      <c r="P44" s="96">
        <v>0.87716725812274621</v>
      </c>
      <c r="Q44" s="96">
        <v>0.86882335210863659</v>
      </c>
      <c r="R44" s="96">
        <v>0.87664048204271205</v>
      </c>
      <c r="S44" s="96">
        <v>0.87853854081985316</v>
      </c>
      <c r="T44" s="96">
        <v>0.9259904972808306</v>
      </c>
      <c r="U44" s="96">
        <v>0.95947649492974718</v>
      </c>
      <c r="V44" s="96">
        <v>0.9579281254661498</v>
      </c>
      <c r="W44" s="96">
        <v>0.98753967931680353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3.8658039243250068E-3</v>
      </c>
      <c r="J45" s="96">
        <v>2.7042560247129174E-3</v>
      </c>
      <c r="K45" s="96">
        <v>2.04950429639869E-3</v>
      </c>
      <c r="L45" s="96">
        <v>2.0531561710076369E-3</v>
      </c>
      <c r="M45" s="96">
        <v>1.694442486863993E-2</v>
      </c>
      <c r="N45" s="96">
        <v>3.2464738666028847E-3</v>
      </c>
      <c r="O45" s="96">
        <v>1.7218821894994503E-3</v>
      </c>
      <c r="P45" s="96">
        <v>8.5551565356595076E-3</v>
      </c>
      <c r="Q45" s="96">
        <v>2.0712392686622449E-2</v>
      </c>
      <c r="R45" s="96">
        <v>2.6411978382414131E-2</v>
      </c>
      <c r="S45" s="96">
        <v>1.9182089970218322E-2</v>
      </c>
      <c r="T45" s="96">
        <v>2.7345191965900392E-2</v>
      </c>
      <c r="U45" s="96">
        <v>4.5460550259516772E-2</v>
      </c>
      <c r="V45" s="96">
        <v>4.8001836663912979E-2</v>
      </c>
      <c r="W45" s="96">
        <v>5.2691164039123536E-2</v>
      </c>
      <c r="DA45" s="171" t="s">
        <v>660</v>
      </c>
    </row>
    <row r="46" spans="1:105" ht="11.45" customHeight="1" x14ac:dyDescent="0.25">
      <c r="A46" s="111" t="s">
        <v>111</v>
      </c>
      <c r="B46" s="96">
        <v>29.901441241158714</v>
      </c>
      <c r="C46" s="96">
        <v>31.259062145676257</v>
      </c>
      <c r="D46" s="96">
        <v>32.94016808432162</v>
      </c>
      <c r="E46" s="96">
        <v>33.882487175417644</v>
      </c>
      <c r="F46" s="96">
        <v>35.021331375557253</v>
      </c>
      <c r="G46" s="96">
        <v>36.57931554757986</v>
      </c>
      <c r="H46" s="96">
        <v>38.220344582173425</v>
      </c>
      <c r="I46" s="96">
        <v>41.123638349024368</v>
      </c>
      <c r="J46" s="96">
        <v>43.239518524319941</v>
      </c>
      <c r="K46" s="96">
        <v>43.451736740819562</v>
      </c>
      <c r="L46" s="96">
        <v>45.462606864203593</v>
      </c>
      <c r="M46" s="96">
        <v>48.056179857357783</v>
      </c>
      <c r="N46" s="96">
        <v>49.22634131309038</v>
      </c>
      <c r="O46" s="96">
        <v>49.948687427835075</v>
      </c>
      <c r="P46" s="96">
        <v>52.369242653604388</v>
      </c>
      <c r="Q46" s="96">
        <v>54.16549033294865</v>
      </c>
      <c r="R46" s="96">
        <v>56.527934799885514</v>
      </c>
      <c r="S46" s="96">
        <v>57.341639148061759</v>
      </c>
      <c r="T46" s="96">
        <v>58.910305328018339</v>
      </c>
      <c r="U46" s="96">
        <v>59.59217865658453</v>
      </c>
      <c r="V46" s="96">
        <v>60.158299403146763</v>
      </c>
      <c r="W46" s="96">
        <v>62.511232825771003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1.1096435596610364E-2</v>
      </c>
      <c r="G47" s="96">
        <v>1.0874051061295031E-2</v>
      </c>
      <c r="H47" s="96">
        <v>1.1013777287409156E-2</v>
      </c>
      <c r="I47" s="96">
        <v>1.0483040035958622</v>
      </c>
      <c r="J47" s="96">
        <v>1.0706317206061728</v>
      </c>
      <c r="K47" s="96">
        <v>1.0946589505173676</v>
      </c>
      <c r="L47" s="96">
        <v>1.0532034266090342</v>
      </c>
      <c r="M47" s="96">
        <v>1.0148091030882116</v>
      </c>
      <c r="N47" s="96">
        <v>1.2675845533420858</v>
      </c>
      <c r="O47" s="96">
        <v>1.4918861501515908</v>
      </c>
      <c r="P47" s="96">
        <v>2.0148985681436615</v>
      </c>
      <c r="Q47" s="96">
        <v>2.5081197418713592</v>
      </c>
      <c r="R47" s="96">
        <v>2.8463819640565449</v>
      </c>
      <c r="S47" s="96">
        <v>3.7178352097889631</v>
      </c>
      <c r="T47" s="96">
        <v>3.80222973884102</v>
      </c>
      <c r="U47" s="96">
        <v>3.7710077528265411</v>
      </c>
      <c r="V47" s="96">
        <v>5.6172065550892309</v>
      </c>
      <c r="W47" s="96">
        <v>5.3144467936687718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6.8658719958872558E-2</v>
      </c>
      <c r="P48" s="96">
        <v>8.6094007882702939E-2</v>
      </c>
      <c r="Q48" s="96">
        <v>9.0912450179472928E-2</v>
      </c>
      <c r="R48" s="96">
        <v>0.10695262570513395</v>
      </c>
      <c r="S48" s="96">
        <v>0.11297828183060778</v>
      </c>
      <c r="T48" s="96">
        <v>0.10902829242415665</v>
      </c>
      <c r="U48" s="96">
        <v>8.1919964604405385E-2</v>
      </c>
      <c r="V48" s="96">
        <v>9.6240401723082417E-2</v>
      </c>
      <c r="W48" s="96">
        <v>8.8978903064772241E-2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2.1231387995195944E-4</v>
      </c>
      <c r="I51" s="96">
        <v>4.2504898070142092E-4</v>
      </c>
      <c r="J51" s="96">
        <v>4.2533250151151157E-4</v>
      </c>
      <c r="K51" s="96">
        <v>1.4972741765970589E-3</v>
      </c>
      <c r="L51" s="96">
        <v>1.4976339562584023E-3</v>
      </c>
      <c r="M51" s="96">
        <v>1.4980314867451866E-3</v>
      </c>
      <c r="N51" s="96">
        <v>5.6507531018091754E-3</v>
      </c>
      <c r="O51" s="96">
        <v>1.4735361591938738E-2</v>
      </c>
      <c r="P51" s="96">
        <v>1.8353168738491479E-2</v>
      </c>
      <c r="Q51" s="96">
        <v>2.3410836643632874E-2</v>
      </c>
      <c r="R51" s="96">
        <v>2.692682600004799E-2</v>
      </c>
      <c r="S51" s="96">
        <v>3.5840331967100243E-2</v>
      </c>
      <c r="T51" s="96">
        <v>4.9061590541431895E-2</v>
      </c>
      <c r="U51" s="96">
        <v>6.7298057345346121E-2</v>
      </c>
      <c r="V51" s="96">
        <v>8.5356577951110457E-2</v>
      </c>
      <c r="W51" s="96">
        <v>0.12934381747669468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632.29205957386512</v>
      </c>
      <c r="C52" s="130">
        <f t="shared" si="33"/>
        <v>685.95747994863996</v>
      </c>
      <c r="D52" s="130">
        <f t="shared" si="33"/>
        <v>729.48204008859329</v>
      </c>
      <c r="E52" s="130">
        <f t="shared" si="33"/>
        <v>851.22311509952056</v>
      </c>
      <c r="F52" s="130">
        <f t="shared" si="33"/>
        <v>1142.6447013914776</v>
      </c>
      <c r="G52" s="130">
        <f t="shared" si="33"/>
        <v>1296.8953069802687</v>
      </c>
      <c r="H52" s="130">
        <f t="shared" si="33"/>
        <v>1232.7946302941486</v>
      </c>
      <c r="I52" s="130">
        <f t="shared" si="33"/>
        <v>1168.7649024756338</v>
      </c>
      <c r="J52" s="130">
        <f t="shared" si="33"/>
        <v>1178.9724262972493</v>
      </c>
      <c r="K52" s="130">
        <f t="shared" si="33"/>
        <v>1024.7500542587143</v>
      </c>
      <c r="L52" s="130">
        <f t="shared" ref="L52" si="34">L53+L55</f>
        <v>1158.059514863234</v>
      </c>
      <c r="M52" s="130">
        <f t="shared" ref="M52:V52" si="35">M53+M55</f>
        <v>1219.543561574013</v>
      </c>
      <c r="N52" s="130">
        <f t="shared" si="35"/>
        <v>1122.3281187153805</v>
      </c>
      <c r="O52" s="130">
        <f t="shared" si="35"/>
        <v>1138.8341947267706</v>
      </c>
      <c r="P52" s="130">
        <f t="shared" si="35"/>
        <v>1067.2827517484272</v>
      </c>
      <c r="Q52" s="130">
        <f t="shared" si="35"/>
        <v>966.49660095850436</v>
      </c>
      <c r="R52" s="130">
        <f t="shared" si="35"/>
        <v>937.27400570044358</v>
      </c>
      <c r="S52" s="130">
        <f t="shared" si="35"/>
        <v>995.47354266347531</v>
      </c>
      <c r="T52" s="130">
        <f t="shared" si="35"/>
        <v>1090.6040340612522</v>
      </c>
      <c r="U52" s="130">
        <f t="shared" si="35"/>
        <v>1157.1891826254478</v>
      </c>
      <c r="V52" s="130">
        <f t="shared" si="35"/>
        <v>885.65685386444352</v>
      </c>
      <c r="W52" s="130">
        <f t="shared" ref="W52" si="36">W53+W55</f>
        <v>910.26782731035701</v>
      </c>
      <c r="DA52" s="176" t="s">
        <v>400</v>
      </c>
    </row>
    <row r="53" spans="1:105" ht="11.45" customHeight="1" x14ac:dyDescent="0.25">
      <c r="A53" s="128" t="s">
        <v>27</v>
      </c>
      <c r="B53" s="97">
        <v>27.534836656420339</v>
      </c>
      <c r="C53" s="97">
        <v>31.369132505453877</v>
      </c>
      <c r="D53" s="97">
        <v>36.392807175323014</v>
      </c>
      <c r="E53" s="97">
        <v>36.624647941410558</v>
      </c>
      <c r="F53" s="97">
        <v>36.80744085259856</v>
      </c>
      <c r="G53" s="97">
        <v>35.588894932891755</v>
      </c>
      <c r="H53" s="97">
        <v>38.657172357490765</v>
      </c>
      <c r="I53" s="97">
        <v>37.219329464566393</v>
      </c>
      <c r="J53" s="97">
        <v>34.367719422061398</v>
      </c>
      <c r="K53" s="97">
        <v>22.273994702432905</v>
      </c>
      <c r="L53" s="97">
        <v>25.036101927823449</v>
      </c>
      <c r="M53" s="97">
        <v>27.168138887003739</v>
      </c>
      <c r="N53" s="97">
        <v>39.881809264861886</v>
      </c>
      <c r="O53" s="97">
        <v>32.029422034911427</v>
      </c>
      <c r="P53" s="97">
        <v>41.420455653716012</v>
      </c>
      <c r="Q53" s="97">
        <v>36.190994131778218</v>
      </c>
      <c r="R53" s="97">
        <v>36.637083456630087</v>
      </c>
      <c r="S53" s="97">
        <v>35.500619184355095</v>
      </c>
      <c r="T53" s="97">
        <v>36.92972395323622</v>
      </c>
      <c r="U53" s="97">
        <v>36.583114460710874</v>
      </c>
      <c r="V53" s="97">
        <v>30.072100423659947</v>
      </c>
      <c r="W53" s="97">
        <v>35.253132744131392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1.1662360648629189E-2</v>
      </c>
      <c r="G54" s="97">
        <v>1.0579625532138537E-2</v>
      </c>
      <c r="H54" s="97">
        <v>1.1139655896900913E-2</v>
      </c>
      <c r="I54" s="97">
        <v>0.9487772399346639</v>
      </c>
      <c r="J54" s="97">
        <v>0.85096161645408586</v>
      </c>
      <c r="K54" s="97">
        <v>0.56113816140953432</v>
      </c>
      <c r="L54" s="97">
        <v>0.57999552067213855</v>
      </c>
      <c r="M54" s="97">
        <v>0.57371340664888137</v>
      </c>
      <c r="N54" s="97">
        <v>1.0269616639177457</v>
      </c>
      <c r="O54" s="97">
        <v>0.95666680331255094</v>
      </c>
      <c r="P54" s="97">
        <v>1.5936456698555403</v>
      </c>
      <c r="Q54" s="97">
        <v>1.6758151048186463</v>
      </c>
      <c r="R54" s="97">
        <v>1.8448070663780598</v>
      </c>
      <c r="S54" s="97">
        <v>2.3017383865170942</v>
      </c>
      <c r="T54" s="97">
        <v>2.3835438278640311</v>
      </c>
      <c r="U54" s="97">
        <v>2.3149884995627303</v>
      </c>
      <c r="V54" s="97">
        <v>2.8079450599670395</v>
      </c>
      <c r="W54" s="97">
        <v>2.9970757223906617</v>
      </c>
      <c r="DA54" s="175" t="s">
        <v>668</v>
      </c>
    </row>
    <row r="55" spans="1:105" ht="11.45" customHeight="1" x14ac:dyDescent="0.25">
      <c r="A55" s="128" t="s">
        <v>116</v>
      </c>
      <c r="B55" s="97">
        <v>604.75722291744478</v>
      </c>
      <c r="C55" s="97">
        <v>654.58834744318608</v>
      </c>
      <c r="D55" s="97">
        <v>693.08923291327028</v>
      </c>
      <c r="E55" s="97">
        <v>814.59846715811</v>
      </c>
      <c r="F55" s="97">
        <v>1105.837260538879</v>
      </c>
      <c r="G55" s="97">
        <v>1261.3064120473771</v>
      </c>
      <c r="H55" s="97">
        <v>1194.1374579366579</v>
      </c>
      <c r="I55" s="97">
        <v>1131.5455730110673</v>
      </c>
      <c r="J55" s="97">
        <v>1144.604706875188</v>
      </c>
      <c r="K55" s="97">
        <v>1002.4760595562814</v>
      </c>
      <c r="L55" s="97">
        <v>1133.0234129354105</v>
      </c>
      <c r="M55" s="97">
        <v>1192.3754226870092</v>
      </c>
      <c r="N55" s="97">
        <v>1082.4463094505186</v>
      </c>
      <c r="O55" s="97">
        <v>1106.8047726918592</v>
      </c>
      <c r="P55" s="97">
        <v>1025.8622960947112</v>
      </c>
      <c r="Q55" s="97">
        <v>930.30560682672615</v>
      </c>
      <c r="R55" s="97">
        <v>900.6369222438135</v>
      </c>
      <c r="S55" s="97">
        <v>959.97292347912025</v>
      </c>
      <c r="T55" s="97">
        <v>1053.674310108016</v>
      </c>
      <c r="U55" s="97">
        <v>1120.6060681647368</v>
      </c>
      <c r="V55" s="97">
        <v>855.58475344078363</v>
      </c>
      <c r="W55" s="97">
        <v>875.01469456622567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0.35038222306037209</v>
      </c>
      <c r="G56" s="98">
        <v>0.37495262344922275</v>
      </c>
      <c r="H56" s="98">
        <v>0.34410898583058708</v>
      </c>
      <c r="I56" s="98">
        <v>28.844815343699224</v>
      </c>
      <c r="J56" s="98">
        <v>28.340974843335864</v>
      </c>
      <c r="K56" s="98">
        <v>25.254902878065423</v>
      </c>
      <c r="L56" s="98">
        <v>26.248035984742938</v>
      </c>
      <c r="M56" s="98">
        <v>25.179559358090867</v>
      </c>
      <c r="N56" s="98">
        <v>27.873130220156241</v>
      </c>
      <c r="O56" s="98">
        <v>33.058460518833961</v>
      </c>
      <c r="P56" s="98">
        <v>39.469894288638088</v>
      </c>
      <c r="Q56" s="98">
        <v>43.077572899517868</v>
      </c>
      <c r="R56" s="98">
        <v>45.350262674789583</v>
      </c>
      <c r="S56" s="98">
        <v>62.241351806130915</v>
      </c>
      <c r="T56" s="98">
        <v>68.006977296042834</v>
      </c>
      <c r="U56" s="98">
        <v>70.912228184608722</v>
      </c>
      <c r="V56" s="98">
        <v>79.889164639693604</v>
      </c>
      <c r="W56" s="98">
        <v>74.39013482443157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34.327346759909503</v>
      </c>
      <c r="C60" s="79">
        <f>IF(C17=0,0,C17/TrRoad_act!C30*100)</f>
        <v>34.31445638920993</v>
      </c>
      <c r="D60" s="79">
        <f>IF(D17=0,0,D17/TrRoad_act!D30*100)</f>
        <v>34.554159002405122</v>
      </c>
      <c r="E60" s="79">
        <f>IF(E17=0,0,E17/TrRoad_act!E30*100)</f>
        <v>37.152837494657525</v>
      </c>
      <c r="F60" s="79">
        <f>IF(F17=0,0,F17/TrRoad_act!F30*100)</f>
        <v>42.014973488085531</v>
      </c>
      <c r="G60" s="79">
        <f>IF(G17=0,0,G17/TrRoad_act!G30*100)</f>
        <v>42.523731328611632</v>
      </c>
      <c r="H60" s="79">
        <f>IF(H17=0,0,H17/TrRoad_act!H30*100)</f>
        <v>39.387512504172307</v>
      </c>
      <c r="I60" s="79">
        <f>IF(I17=0,0,I17/TrRoad_act!I30*100)</f>
        <v>37.790638019900442</v>
      </c>
      <c r="J60" s="79">
        <f>IF(J17=0,0,J17/TrRoad_act!J30*100)</f>
        <v>37.28178765896984</v>
      </c>
      <c r="K60" s="79">
        <f>IF(K17=0,0,K17/TrRoad_act!K30*100)</f>
        <v>34.576201428903275</v>
      </c>
      <c r="L60" s="79">
        <f>IF(L17=0,0,L17/TrRoad_act!L30*100)</f>
        <v>37.297787798592935</v>
      </c>
      <c r="M60" s="79">
        <f>IF(M17=0,0,M17/TrRoad_act!M30*100)</f>
        <v>38.765398556829162</v>
      </c>
      <c r="N60" s="79">
        <f>IF(N17=0,0,N17/TrRoad_act!N30*100)</f>
        <v>35.907512918558723</v>
      </c>
      <c r="O60" s="79">
        <f>IF(O17=0,0,O17/TrRoad_act!O30*100)</f>
        <v>34.66522864020537</v>
      </c>
      <c r="P60" s="79">
        <f>IF(P17=0,0,P17/TrRoad_act!P30*100)</f>
        <v>31.88831975088538</v>
      </c>
      <c r="Q60" s="79">
        <f>IF(Q17=0,0,Q17/TrRoad_act!Q30*100)</f>
        <v>29.534217539471701</v>
      </c>
      <c r="R60" s="79">
        <f>IF(R17=0,0,R17/TrRoad_act!R30*100)</f>
        <v>27.584965895399804</v>
      </c>
      <c r="S60" s="79">
        <f>IF(S17=0,0,S17/TrRoad_act!S30*100)</f>
        <v>27.726533507142875</v>
      </c>
      <c r="T60" s="79">
        <f>IF(T17=0,0,T17/TrRoad_act!T30*100)</f>
        <v>28.66286846893022</v>
      </c>
      <c r="U60" s="79">
        <f>IF(U17=0,0,U17/TrRoad_act!U30*100)</f>
        <v>28.501689211676322</v>
      </c>
      <c r="V60" s="79">
        <f>IF(V17=0,0,V17/TrRoad_act!V30*100)</f>
        <v>23.219942671565676</v>
      </c>
      <c r="W60" s="79">
        <f>IF(W17=0,0,W17/TrRoad_act!W30*100)</f>
        <v>23.807835734493388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21.79870376232979</v>
      </c>
      <c r="C61" s="32">
        <f>IF(C18=0,0,C18/TrRoad_act!C31*100)</f>
        <v>21.354084428990163</v>
      </c>
      <c r="D61" s="32">
        <f>IF(D18=0,0,D18/TrRoad_act!D31*100)</f>
        <v>21.26104855937955</v>
      </c>
      <c r="E61" s="32">
        <f>IF(E18=0,0,E18/TrRoad_act!E31*100)</f>
        <v>21.936308258581988</v>
      </c>
      <c r="F61" s="32">
        <f>IF(F18=0,0,F18/TrRoad_act!F31*100)</f>
        <v>21.784788871420432</v>
      </c>
      <c r="G61" s="32">
        <f>IF(G18=0,0,G18/TrRoad_act!G31*100)</f>
        <v>20.187775080881654</v>
      </c>
      <c r="H61" s="32">
        <f>IF(H18=0,0,H18/TrRoad_act!H31*100)</f>
        <v>18.817333746719271</v>
      </c>
      <c r="I61" s="32">
        <f>IF(I18=0,0,I18/TrRoad_act!I31*100)</f>
        <v>18.824517503872578</v>
      </c>
      <c r="J61" s="32">
        <f>IF(J18=0,0,J18/TrRoad_act!J31*100)</f>
        <v>18.705068388464618</v>
      </c>
      <c r="K61" s="32">
        <f>IF(K18=0,0,K18/TrRoad_act!K31*100)</f>
        <v>18.338769344578047</v>
      </c>
      <c r="L61" s="32">
        <f>IF(L18=0,0,L18/TrRoad_act!L31*100)</f>
        <v>18.479382239332697</v>
      </c>
      <c r="M61" s="32">
        <f>IF(M18=0,0,M18/TrRoad_act!M31*100)</f>
        <v>19.43708356153282</v>
      </c>
      <c r="N61" s="32">
        <f>IF(N18=0,0,N18/TrRoad_act!N31*100)</f>
        <v>18.898893589687759</v>
      </c>
      <c r="O61" s="32">
        <f>IF(O18=0,0,O18/TrRoad_act!O31*100)</f>
        <v>17.476723767364735</v>
      </c>
      <c r="P61" s="32">
        <f>IF(P18=0,0,P18/TrRoad_act!P31*100)</f>
        <v>16.602460039957592</v>
      </c>
      <c r="Q61" s="32">
        <f>IF(Q18=0,0,Q18/TrRoad_act!Q31*100)</f>
        <v>15.843955584442934</v>
      </c>
      <c r="R61" s="32">
        <f>IF(R18=0,0,R18/TrRoad_act!R31*100)</f>
        <v>14.828241574406881</v>
      </c>
      <c r="S61" s="32">
        <f>IF(S18=0,0,S18/TrRoad_act!S31*100)</f>
        <v>14.464115791994111</v>
      </c>
      <c r="T61" s="32">
        <f>IF(T18=0,0,T18/TrRoad_act!T31*100)</f>
        <v>14.567581851736167</v>
      </c>
      <c r="U61" s="32">
        <f>IF(U18=0,0,U18/TrRoad_act!U31*100)</f>
        <v>13.892495182612723</v>
      </c>
      <c r="V61" s="32">
        <f>IF(V18=0,0,V18/TrRoad_act!V31*100)</f>
        <v>11.307256145576398</v>
      </c>
      <c r="W61" s="32">
        <f>IF(W18=0,0,W18/TrRoad_act!W31*100)</f>
        <v>12.143428891450576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5.0754458970948013</v>
      </c>
      <c r="C62" s="141">
        <f>IF(C19=0,0,C19/TrRoad_act!C32*100)</f>
        <v>4.9475466774171464</v>
      </c>
      <c r="D62" s="141">
        <f>IF(D19=0,0,D19/TrRoad_act!D32*100)</f>
        <v>4.8216187546166012</v>
      </c>
      <c r="E62" s="141">
        <f>IF(E19=0,0,E19/TrRoad_act!E32*100)</f>
        <v>4.7686017665638385</v>
      </c>
      <c r="F62" s="141">
        <f>IF(F19=0,0,F19/TrRoad_act!F32*100)</f>
        <v>4.705523873861237</v>
      </c>
      <c r="G62" s="141">
        <f>IF(G19=0,0,G19/TrRoad_act!G32*100)</f>
        <v>4.5807510323937812</v>
      </c>
      <c r="H62" s="141">
        <f>IF(H19=0,0,H19/TrRoad_act!H32*100)</f>
        <v>4.5210224901989919</v>
      </c>
      <c r="I62" s="141">
        <f>IF(I19=0,0,I19/TrRoad_act!I32*100)</f>
        <v>4.3666260640984236</v>
      </c>
      <c r="J62" s="141">
        <f>IF(J19=0,0,J19/TrRoad_act!J32*100)</f>
        <v>4.3544298418198784</v>
      </c>
      <c r="K62" s="141">
        <f>IF(K19=0,0,K19/TrRoad_act!K32*100)</f>
        <v>4.3084566651275535</v>
      </c>
      <c r="L62" s="141">
        <f>IF(L19=0,0,L19/TrRoad_act!L32*100)</f>
        <v>4.2499628267865175</v>
      </c>
      <c r="M62" s="141">
        <f>IF(M19=0,0,M19/TrRoad_act!M32*100)</f>
        <v>4.2035071528496122</v>
      </c>
      <c r="N62" s="141">
        <f>IF(N19=0,0,N19/TrRoad_act!N32*100)</f>
        <v>4.1541612870464233</v>
      </c>
      <c r="O62" s="141">
        <f>IF(O19=0,0,O19/TrRoad_act!O32*100)</f>
        <v>4.0917244168508082</v>
      </c>
      <c r="P62" s="141">
        <f>IF(P19=0,0,P19/TrRoad_act!P32*100)</f>
        <v>4.0341004318247036</v>
      </c>
      <c r="Q62" s="141">
        <f>IF(Q19=0,0,Q19/TrRoad_act!Q32*100)</f>
        <v>3.9856477583334597</v>
      </c>
      <c r="R62" s="141">
        <f>IF(R19=0,0,R19/TrRoad_act!R32*100)</f>
        <v>3.9344249563122284</v>
      </c>
      <c r="S62" s="141">
        <f>IF(S19=0,0,S19/TrRoad_act!S32*100)</f>
        <v>3.998981097756177</v>
      </c>
      <c r="T62" s="141">
        <f>IF(T19=0,0,T19/TrRoad_act!T32*100)</f>
        <v>4.0089603863417462</v>
      </c>
      <c r="U62" s="141">
        <f>IF(U19=0,0,U19/TrRoad_act!U32*100)</f>
        <v>3.9497857740402194</v>
      </c>
      <c r="V62" s="141">
        <f>IF(V19=0,0,V19/TrRoad_act!V32*100)</f>
        <v>3.9099803008260618</v>
      </c>
      <c r="W62" s="141">
        <f>IF(W19=0,0,W19/TrRoad_act!W32*100)</f>
        <v>3.5508755040724767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21.538003437227921</v>
      </c>
      <c r="C63" s="130">
        <f>IF(C21=0,0,C21/TrRoad_act!C33*100)</f>
        <v>21.103648407408006</v>
      </c>
      <c r="D63" s="130">
        <f>IF(D21=0,0,D21/TrRoad_act!D33*100)</f>
        <v>21.007661478293372</v>
      </c>
      <c r="E63" s="130">
        <f>IF(E21=0,0,E21/TrRoad_act!E33*100)</f>
        <v>21.707148427103672</v>
      </c>
      <c r="F63" s="130">
        <f>IF(F21=0,0,F21/TrRoad_act!F33*100)</f>
        <v>21.571938960048744</v>
      </c>
      <c r="G63" s="130">
        <f>IF(G21=0,0,G21/TrRoad_act!G33*100)</f>
        <v>19.955737496127863</v>
      </c>
      <c r="H63" s="130">
        <f>IF(H21=0,0,H21/TrRoad_act!H33*100)</f>
        <v>18.574151018754208</v>
      </c>
      <c r="I63" s="130">
        <f>IF(I21=0,0,I21/TrRoad_act!I33*100)</f>
        <v>18.582025302564393</v>
      </c>
      <c r="J63" s="130">
        <f>IF(J21=0,0,J21/TrRoad_act!J33*100)</f>
        <v>18.457674139246976</v>
      </c>
      <c r="K63" s="130">
        <f>IF(K21=0,0,K21/TrRoad_act!K33*100)</f>
        <v>18.081912888073902</v>
      </c>
      <c r="L63" s="130">
        <f>IF(L21=0,0,L21/TrRoad_act!L33*100)</f>
        <v>18.215923791069621</v>
      </c>
      <c r="M63" s="130">
        <f>IF(M21=0,0,M21/TrRoad_act!M33*100)</f>
        <v>19.193349033551961</v>
      </c>
      <c r="N63" s="130">
        <f>IF(N21=0,0,N21/TrRoad_act!N33*100)</f>
        <v>18.657736011145843</v>
      </c>
      <c r="O63" s="130">
        <f>IF(O21=0,0,O21/TrRoad_act!O33*100)</f>
        <v>17.213216792356352</v>
      </c>
      <c r="P63" s="130">
        <f>IF(P21=0,0,P21/TrRoad_act!P33*100)</f>
        <v>16.338621910736748</v>
      </c>
      <c r="Q63" s="130">
        <f>IF(Q21=0,0,Q21/TrRoad_act!Q33*100)</f>
        <v>15.559504653080818</v>
      </c>
      <c r="R63" s="130">
        <f>IF(R21=0,0,R21/TrRoad_act!R33*100)</f>
        <v>14.53035120771867</v>
      </c>
      <c r="S63" s="130">
        <f>IF(S21=0,0,S21/TrRoad_act!S33*100)</f>
        <v>14.14426090701191</v>
      </c>
      <c r="T63" s="130">
        <f>IF(T21=0,0,T21/TrRoad_act!T33*100)</f>
        <v>14.247044662447289</v>
      </c>
      <c r="U63" s="130">
        <f>IF(U21=0,0,U21/TrRoad_act!U33*100)</f>
        <v>13.565901439431439</v>
      </c>
      <c r="V63" s="130">
        <f>IF(V21=0,0,V21/TrRoad_act!V33*100)</f>
        <v>10.909521972153112</v>
      </c>
      <c r="W63" s="130">
        <f>IF(W21=0,0,W21/TrRoad_act!W33*100)</f>
        <v>11.783407761247688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21.339238582868056</v>
      </c>
      <c r="C64" s="96">
        <f>IF(C22=0,0,C22/TrRoad_act!C34*100)</f>
        <v>21.289033746715283</v>
      </c>
      <c r="D64" s="96">
        <f>IF(D22=0,0,D22/TrRoad_act!D34*100)</f>
        <v>21.493074761727716</v>
      </c>
      <c r="E64" s="96">
        <f>IF(E22=0,0,E22/TrRoad_act!E34*100)</f>
        <v>22.527186388741555</v>
      </c>
      <c r="F64" s="96">
        <f>IF(F22=0,0,F22/TrRoad_act!F34*100)</f>
        <v>22.981343578029005</v>
      </c>
      <c r="G64" s="96">
        <f>IF(G22=0,0,G22/TrRoad_act!G34*100)</f>
        <v>21.711381565999613</v>
      </c>
      <c r="H64" s="96">
        <f>IF(H22=0,0,H22/TrRoad_act!H34*100)</f>
        <v>20.550176955394956</v>
      </c>
      <c r="I64" s="96">
        <f>IF(I22=0,0,I22/TrRoad_act!I34*100)</f>
        <v>20.616880984064228</v>
      </c>
      <c r="J64" s="96">
        <f>IF(J22=0,0,J22/TrRoad_act!J34*100)</f>
        <v>19.964519369640012</v>
      </c>
      <c r="K64" s="96">
        <f>IF(K22=0,0,K22/TrRoad_act!K34*100)</f>
        <v>19.335852009925834</v>
      </c>
      <c r="L64" s="96">
        <f>IF(L22=0,0,L22/TrRoad_act!L34*100)</f>
        <v>19.249474743568683</v>
      </c>
      <c r="M64" s="96">
        <f>IF(M22=0,0,M22/TrRoad_act!M34*100)</f>
        <v>19.771341196636776</v>
      </c>
      <c r="N64" s="96">
        <f>IF(N22=0,0,N22/TrRoad_act!N34*100)</f>
        <v>18.927412612123479</v>
      </c>
      <c r="O64" s="96">
        <f>IF(O22=0,0,O22/TrRoad_act!O34*100)</f>
        <v>17.440074818711913</v>
      </c>
      <c r="P64" s="96">
        <f>IF(P22=0,0,P22/TrRoad_act!P34*100)</f>
        <v>16.640776950856274</v>
      </c>
      <c r="Q64" s="96">
        <f>IF(Q22=0,0,Q22/TrRoad_act!Q34*100)</f>
        <v>15.580562196340262</v>
      </c>
      <c r="R64" s="96">
        <f>IF(R22=0,0,R22/TrRoad_act!R34*100)</f>
        <v>14.203834739317481</v>
      </c>
      <c r="S64" s="96">
        <f>IF(S22=0,0,S22/TrRoad_act!S34*100)</f>
        <v>13.730366157351773</v>
      </c>
      <c r="T64" s="96">
        <f>IF(T22=0,0,T22/TrRoad_act!T34*100)</f>
        <v>13.608052412357956</v>
      </c>
      <c r="U64" s="96">
        <f>IF(U22=0,0,U22/TrRoad_act!U34*100)</f>
        <v>13.132920105835829</v>
      </c>
      <c r="V64" s="96">
        <f>IF(V22=0,0,V22/TrRoad_act!V34*100)</f>
        <v>10.164192305969339</v>
      </c>
      <c r="W64" s="96">
        <f>IF(W22=0,0,W22/TrRoad_act!W34*100)</f>
        <v>11.666959067712854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22.315214816911254</v>
      </c>
      <c r="C65" s="96">
        <f>IF(C24=0,0,C24/TrRoad_act!C35*100)</f>
        <v>21.08818850806292</v>
      </c>
      <c r="D65" s="96">
        <f>IF(D24=0,0,D24/TrRoad_act!D35*100)</f>
        <v>20.504146331552032</v>
      </c>
      <c r="E65" s="96">
        <f>IF(E24=0,0,E24/TrRoad_act!E35*100)</f>
        <v>20.877159552876805</v>
      </c>
      <c r="F65" s="96">
        <f>IF(F24=0,0,F24/TrRoad_act!F35*100)</f>
        <v>20.207789517095669</v>
      </c>
      <c r="G65" s="96">
        <f>IF(G24=0,0,G24/TrRoad_act!G35*100)</f>
        <v>18.483849793556502</v>
      </c>
      <c r="H65" s="96">
        <f>IF(H24=0,0,H24/TrRoad_act!H35*100)</f>
        <v>17.062764417647433</v>
      </c>
      <c r="I65" s="96">
        <f>IF(I24=0,0,I24/TrRoad_act!I35*100)</f>
        <v>17.140185971006481</v>
      </c>
      <c r="J65" s="96">
        <f>IF(J24=0,0,J24/TrRoad_act!J35*100)</f>
        <v>17.467127317353203</v>
      </c>
      <c r="K65" s="96">
        <f>IF(K24=0,0,K24/TrRoad_act!K35*100)</f>
        <v>17.354820817076142</v>
      </c>
      <c r="L65" s="96">
        <f>IF(L24=0,0,L24/TrRoad_act!L35*100)</f>
        <v>17.675316518743152</v>
      </c>
      <c r="M65" s="96">
        <f>IF(M24=0,0,M24/TrRoad_act!M35*100)</f>
        <v>18.957463882731954</v>
      </c>
      <c r="N65" s="96">
        <f>IF(N24=0,0,N24/TrRoad_act!N35*100)</f>
        <v>18.563591697841787</v>
      </c>
      <c r="O65" s="96">
        <f>IF(O24=0,0,O24/TrRoad_act!O35*100)</f>
        <v>17.176548947342894</v>
      </c>
      <c r="P65" s="96">
        <f>IF(P24=0,0,P24/TrRoad_act!P35*100)</f>
        <v>16.272729454037272</v>
      </c>
      <c r="Q65" s="96">
        <f>IF(Q24=0,0,Q24/TrRoad_act!Q35*100)</f>
        <v>15.649369880399345</v>
      </c>
      <c r="R65" s="96">
        <f>IF(R24=0,0,R24/TrRoad_act!R35*100)</f>
        <v>14.805263134015634</v>
      </c>
      <c r="S65" s="96">
        <f>IF(S24=0,0,S24/TrRoad_act!S35*100)</f>
        <v>14.501310841586282</v>
      </c>
      <c r="T65" s="96">
        <f>IF(T24=0,0,T24/TrRoad_act!T35*100)</f>
        <v>14.7921510025368</v>
      </c>
      <c r="U65" s="96">
        <f>IF(U24=0,0,U24/TrRoad_act!U35*100)</f>
        <v>14.071271928810042</v>
      </c>
      <c r="V65" s="96">
        <f>IF(V24=0,0,V24/TrRoad_act!V35*100)</f>
        <v>11.768867293995626</v>
      </c>
      <c r="W65" s="96">
        <f>IF(W24=0,0,W24/TrRoad_act!W35*100)</f>
        <v>12.5235774402492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6.7748494775043451</v>
      </c>
      <c r="C66" s="96">
        <f>IF(C26=0,0,C26/TrRoad_act!C36*100)</f>
        <v>8.5614755241835301</v>
      </c>
      <c r="D66" s="96">
        <f>IF(D26=0,0,D26/TrRoad_act!D36*100)</f>
        <v>10.960182003635669</v>
      </c>
      <c r="E66" s="96">
        <f>IF(E26=0,0,E26/TrRoad_act!E36*100)</f>
        <v>8.7172155369829003</v>
      </c>
      <c r="F66" s="96">
        <f>IF(F26=0,0,F26/TrRoad_act!F36*100)</f>
        <v>9.2028607997977847</v>
      </c>
      <c r="G66" s="96">
        <f>IF(G26=0,0,G26/TrRoad_act!G36*100)</f>
        <v>6.3895820331839301</v>
      </c>
      <c r="H66" s="96">
        <f>IF(H26=0,0,H26/TrRoad_act!H36*100)</f>
        <v>6.4126356223705443</v>
      </c>
      <c r="I66" s="96">
        <f>IF(I26=0,0,I26/TrRoad_act!I36*100)</f>
        <v>13.459146027212096</v>
      </c>
      <c r="J66" s="96">
        <f>IF(J26=0,0,J26/TrRoad_act!J36*100)</f>
        <v>13.149871107340427</v>
      </c>
      <c r="K66" s="96">
        <f>IF(K26=0,0,K26/TrRoad_act!K36*100)</f>
        <v>8.3291197221863822</v>
      </c>
      <c r="L66" s="96">
        <f>IF(L26=0,0,L26/TrRoad_act!L36*100)</f>
        <v>8.7694198730246331</v>
      </c>
      <c r="M66" s="96">
        <f>IF(M26=0,0,M26/TrRoad_act!M36*100)</f>
        <v>4.2264419574229954</v>
      </c>
      <c r="N66" s="96">
        <f>IF(N26=0,0,N26/TrRoad_act!N36*100)</f>
        <v>11.5863187926957</v>
      </c>
      <c r="O66" s="96">
        <f>IF(O26=0,0,O26/TrRoad_act!O36*100)</f>
        <v>7.2376401640620092</v>
      </c>
      <c r="P66" s="96">
        <f>IF(P26=0,0,P26/TrRoad_act!P36*100)</f>
        <v>8.3539492693690853</v>
      </c>
      <c r="Q66" s="96">
        <f>IF(Q26=0,0,Q26/TrRoad_act!Q36*100)</f>
        <v>4.0588387581753089</v>
      </c>
      <c r="R66" s="96">
        <f>IF(R26=0,0,R26/TrRoad_act!R36*100)</f>
        <v>4.292082039097334</v>
      </c>
      <c r="S66" s="96">
        <f>IF(S26=0,0,S26/TrRoad_act!S36*100)</f>
        <v>4.2476159196848942</v>
      </c>
      <c r="T66" s="96">
        <f>IF(T26=0,0,T26/TrRoad_act!T36*100)</f>
        <v>6.718266392225301</v>
      </c>
      <c r="U66" s="96">
        <f>IF(U26=0,0,U26/TrRoad_act!U36*100)</f>
        <v>10.255488574770501</v>
      </c>
      <c r="V66" s="96">
        <f>IF(V26=0,0,V26/TrRoad_act!V36*100)</f>
        <v>2.1968654310957931</v>
      </c>
      <c r="W66" s="96">
        <f>IF(W26=0,0,W26/TrRoad_act!W36*100)</f>
        <v>6.0883348311895871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11.153031462316779</v>
      </c>
      <c r="O68" s="96">
        <f>IF(O29=0,0,O29/TrRoad_act!O38*100)</f>
        <v>10.808030932728228</v>
      </c>
      <c r="P68" s="96">
        <f>IF(P29=0,0,P29/TrRoad_act!P38*100)</f>
        <v>9.8812808573893527</v>
      </c>
      <c r="Q68" s="96">
        <f>IF(Q29=0,0,Q29/TrRoad_act!Q38*100)</f>
        <v>9.4517281252111367</v>
      </c>
      <c r="R68" s="96">
        <f>IF(R29=0,0,R29/TrRoad_act!R38*100)</f>
        <v>8.0812592515958297</v>
      </c>
      <c r="S68" s="96">
        <f>IF(S29=0,0,S29/TrRoad_act!S38*100)</f>
        <v>6.1117906798750816</v>
      </c>
      <c r="T68" s="96">
        <f>IF(T29=0,0,T29/TrRoad_act!T38*100)</f>
        <v>6.1522421676448973</v>
      </c>
      <c r="U68" s="96">
        <f>IF(U29=0,0,U29/TrRoad_act!U38*100)</f>
        <v>6.1078978536095585</v>
      </c>
      <c r="V68" s="96">
        <f>IF(V29=0,0,V29/TrRoad_act!V38*100)</f>
        <v>4.7901131379065678</v>
      </c>
      <c r="W68" s="96">
        <f>IF(W29=0,0,W29/TrRoad_act!W38*100)</f>
        <v>4.9274691392506274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1.393820385850139</v>
      </c>
      <c r="K69" s="96">
        <f>IF(K32=0,0,K32/TrRoad_act!K39*100)</f>
        <v>1.3894570929709407</v>
      </c>
      <c r="L69" s="96">
        <f>IF(L32=0,0,L32/TrRoad_act!L39*100)</f>
        <v>1.3771975863074497</v>
      </c>
      <c r="M69" s="96">
        <f>IF(M32=0,0,M32/TrRoad_act!M39*100)</f>
        <v>1.3834795402098956</v>
      </c>
      <c r="N69" s="96">
        <f>IF(N32=0,0,N32/TrRoad_act!N39*100)</f>
        <v>1.3211245817370587</v>
      </c>
      <c r="O69" s="96">
        <f>IF(O32=0,0,O32/TrRoad_act!O39*100)</f>
        <v>1.3701929896303162</v>
      </c>
      <c r="P69" s="96">
        <f>IF(P32=0,0,P32/TrRoad_act!P39*100)</f>
        <v>1.33827259955049</v>
      </c>
      <c r="Q69" s="96">
        <f>IF(Q32=0,0,Q32/TrRoad_act!Q39*100)</f>
        <v>1.3199427325722302</v>
      </c>
      <c r="R69" s="96">
        <f>IF(R32=0,0,R32/TrRoad_act!R39*100)</f>
        <v>1.2889592740603053</v>
      </c>
      <c r="S69" s="96">
        <f>IF(S32=0,0,S32/TrRoad_act!S39*100)</f>
        <v>1.3162371139291709</v>
      </c>
      <c r="T69" s="96">
        <f>IF(T32=0,0,T32/TrRoad_act!T39*100)</f>
        <v>1.3866473876751253</v>
      </c>
      <c r="U69" s="96">
        <f>IF(U32=0,0,U32/TrRoad_act!U39*100)</f>
        <v>1.4969802424393965</v>
      </c>
      <c r="V69" s="96">
        <f>IF(V32=0,0,V32/TrRoad_act!V39*100)</f>
        <v>1.6176454868929799</v>
      </c>
      <c r="W69" s="96">
        <f>IF(W32=0,0,W32/TrRoad_act!W39*100)</f>
        <v>1.6263903511703866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62.800911893387315</v>
      </c>
      <c r="C70" s="130">
        <f>IF(C33=0,0,C33/TrRoad_act!C40*100)</f>
        <v>59.304400696851864</v>
      </c>
      <c r="D70" s="130">
        <f>IF(D33=0,0,D33/TrRoad_act!D40*100)</f>
        <v>58.517805181228645</v>
      </c>
      <c r="E70" s="130">
        <f>IF(E33=0,0,E33/TrRoad_act!E40*100)</f>
        <v>57.393148915086222</v>
      </c>
      <c r="F70" s="130">
        <f>IF(F33=0,0,F33/TrRoad_act!F40*100)</f>
        <v>56.536604919082087</v>
      </c>
      <c r="G70" s="130">
        <f>IF(G33=0,0,G33/TrRoad_act!G40*100)</f>
        <v>55.772142698641034</v>
      </c>
      <c r="H70" s="130">
        <f>IF(H33=0,0,H33/TrRoad_act!H40*100)</f>
        <v>55.079476058361678</v>
      </c>
      <c r="I70" s="130">
        <f>IF(I33=0,0,I33/TrRoad_act!I40*100)</f>
        <v>54.635152978597077</v>
      </c>
      <c r="J70" s="130">
        <f>IF(J33=0,0,J33/TrRoad_act!J40*100)</f>
        <v>54.058205664944126</v>
      </c>
      <c r="K70" s="130">
        <f>IF(K33=0,0,K33/TrRoad_act!K40*100)</f>
        <v>53.62497220501217</v>
      </c>
      <c r="L70" s="130">
        <f>IF(L33=0,0,L33/TrRoad_act!L40*100)</f>
        <v>53.237133798028914</v>
      </c>
      <c r="M70" s="130">
        <f>IF(M33=0,0,M33/TrRoad_act!M40*100)</f>
        <v>53.180069471956429</v>
      </c>
      <c r="N70" s="130">
        <f>IF(N33=0,0,N33/TrRoad_act!N40*100)</f>
        <v>53.330249340557089</v>
      </c>
      <c r="O70" s="130">
        <f>IF(O33=0,0,O33/TrRoad_act!O40*100)</f>
        <v>53.565607895071935</v>
      </c>
      <c r="P70" s="130">
        <f>IF(P33=0,0,P33/TrRoad_act!P40*100)</f>
        <v>53.857118966078787</v>
      </c>
      <c r="Q70" s="130">
        <f>IF(Q33=0,0,Q33/TrRoad_act!Q40*100)</f>
        <v>54.320747025558312</v>
      </c>
      <c r="R70" s="130">
        <f>IF(R33=0,0,R33/TrRoad_act!R40*100)</f>
        <v>54.709673544280143</v>
      </c>
      <c r="S70" s="130">
        <f>IF(S33=0,0,S33/TrRoad_act!S40*100)</f>
        <v>55.06296336813962</v>
      </c>
      <c r="T70" s="130">
        <f>IF(T33=0,0,T33/TrRoad_act!T40*100)</f>
        <v>55.069262609089328</v>
      </c>
      <c r="U70" s="130">
        <f>IF(U33=0,0,U33/TrRoad_act!U40*100)</f>
        <v>54.2754181426115</v>
      </c>
      <c r="V70" s="130">
        <f>IF(V33=0,0,V33/TrRoad_act!V40*100)</f>
        <v>53.882757765278186</v>
      </c>
      <c r="W70" s="130">
        <f>IF(W33=0,0,W33/TrRoad_act!W40*100)</f>
        <v>53.521852565496609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13.480784525857276</v>
      </c>
      <c r="U71" s="97">
        <f>IF(U34=0,0,U34/TrRoad_act!U41*100)</f>
        <v>13.480784525857272</v>
      </c>
      <c r="V71" s="97">
        <f>IF(V34=0,0,V34/TrRoad_act!V41*100)</f>
        <v>13.480784525857272</v>
      </c>
      <c r="W71" s="97">
        <f>IF(W34=0,0,W34/TrRoad_act!W41*100)</f>
        <v>13.480784525857276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62.800911893387315</v>
      </c>
      <c r="C72" s="97">
        <f>IF(C36=0,0,C36/TrRoad_act!C42*100)</f>
        <v>59.304400696851864</v>
      </c>
      <c r="D72" s="97">
        <f>IF(D36=0,0,D36/TrRoad_act!D42*100)</f>
        <v>58.517805181228645</v>
      </c>
      <c r="E72" s="97">
        <f>IF(E36=0,0,E36/TrRoad_act!E42*100)</f>
        <v>57.437223660327241</v>
      </c>
      <c r="F72" s="97">
        <f>IF(F36=0,0,F36/TrRoad_act!F42*100)</f>
        <v>56.577756670955914</v>
      </c>
      <c r="G72" s="97">
        <f>IF(G36=0,0,G36/TrRoad_act!G42*100)</f>
        <v>55.809852759247967</v>
      </c>
      <c r="H72" s="97">
        <f>IF(H36=0,0,H36/TrRoad_act!H42*100)</f>
        <v>55.115070617653615</v>
      </c>
      <c r="I72" s="97">
        <f>IF(I36=0,0,I36/TrRoad_act!I42*100)</f>
        <v>54.668406785406162</v>
      </c>
      <c r="J72" s="97">
        <f>IF(J36=0,0,J36/TrRoad_act!J42*100)</f>
        <v>54.088719541838117</v>
      </c>
      <c r="K72" s="97">
        <f>IF(K36=0,0,K36/TrRoad_act!K42*100)</f>
        <v>53.64401857154234</v>
      </c>
      <c r="L72" s="97">
        <f>IF(L36=0,0,L36/TrRoad_act!L42*100)</f>
        <v>53.255088834103063</v>
      </c>
      <c r="M72" s="97">
        <f>IF(M36=0,0,M36/TrRoad_act!M42*100)</f>
        <v>53.197530466758138</v>
      </c>
      <c r="N72" s="97">
        <f>IF(N36=0,0,N36/TrRoad_act!N42*100)</f>
        <v>53.348003106943906</v>
      </c>
      <c r="O72" s="97">
        <f>IF(O36=0,0,O36/TrRoad_act!O42*100)</f>
        <v>53.611769217796677</v>
      </c>
      <c r="P72" s="97">
        <f>IF(P36=0,0,P36/TrRoad_act!P42*100)</f>
        <v>53.89462546357516</v>
      </c>
      <c r="Q72" s="97">
        <f>IF(Q36=0,0,Q36/TrRoad_act!Q42*100)</f>
        <v>54.358318752175791</v>
      </c>
      <c r="R72" s="97">
        <f>IF(R36=0,0,R36/TrRoad_act!R42*100)</f>
        <v>54.747459000474585</v>
      </c>
      <c r="S72" s="97">
        <f>IF(S36=0,0,S36/TrRoad_act!S42*100)</f>
        <v>55.18089391578166</v>
      </c>
      <c r="T72" s="97">
        <f>IF(T36=0,0,T36/TrRoad_act!T42*100)</f>
        <v>55.49105625386089</v>
      </c>
      <c r="U72" s="97">
        <f>IF(U36=0,0,U36/TrRoad_act!U42*100)</f>
        <v>55.807587192503135</v>
      </c>
      <c r="V72" s="97">
        <f>IF(V36=0,0,V36/TrRoad_act!V42*100)</f>
        <v>56.111260720493092</v>
      </c>
      <c r="W72" s="97">
        <f>IF(W36=0,0,W36/TrRoad_act!W42*100)</f>
        <v>56.255185669580641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41.084381665990264</v>
      </c>
      <c r="F75" s="97">
        <f>IF(F41=0,0,F41/TrRoad_act!F45*100)</f>
        <v>41.084381665990264</v>
      </c>
      <c r="G75" s="97">
        <f>IF(G41=0,0,G41/TrRoad_act!G45*100)</f>
        <v>41.084381665990264</v>
      </c>
      <c r="H75" s="97">
        <f>IF(H41=0,0,H41/TrRoad_act!H45*100)</f>
        <v>41.084381665990264</v>
      </c>
      <c r="I75" s="97">
        <f>IF(I41=0,0,I41/TrRoad_act!I45*100)</f>
        <v>41.084381665990264</v>
      </c>
      <c r="J75" s="97">
        <f>IF(J41=0,0,J41/TrRoad_act!J45*100)</f>
        <v>41.084381665990264</v>
      </c>
      <c r="K75" s="97">
        <f>IF(K41=0,0,K41/TrRoad_act!K45*100)</f>
        <v>41.084381665990257</v>
      </c>
      <c r="L75" s="97">
        <f>IF(L41=0,0,L41/TrRoad_act!L45*100)</f>
        <v>41.084381665990264</v>
      </c>
      <c r="M75" s="97">
        <f>IF(M41=0,0,M41/TrRoad_act!M45*100)</f>
        <v>41.084381665990257</v>
      </c>
      <c r="N75" s="97">
        <f>IF(N41=0,0,N41/TrRoad_act!N45*100)</f>
        <v>41.084381665990257</v>
      </c>
      <c r="O75" s="97">
        <f>IF(O41=0,0,O41/TrRoad_act!O45*100)</f>
        <v>37.643596720074733</v>
      </c>
      <c r="P75" s="97">
        <f>IF(P41=0,0,P41/TrRoad_act!P45*100)</f>
        <v>36.758883462562729</v>
      </c>
      <c r="Q75" s="97">
        <f>IF(Q41=0,0,Q41/TrRoad_act!Q45*100)</f>
        <v>36.758883462562729</v>
      </c>
      <c r="R75" s="97">
        <f>IF(R41=0,0,R41/TrRoad_act!R45*100)</f>
        <v>36.758883462562721</v>
      </c>
      <c r="S75" s="97">
        <f>IF(S41=0,0,S41/TrRoad_act!S45*100)</f>
        <v>33.443350585712572</v>
      </c>
      <c r="T75" s="97">
        <f>IF(T41=0,0,T41/TrRoad_act!T45*100)</f>
        <v>33.116023679846009</v>
      </c>
      <c r="U75" s="97">
        <f>IF(U41=0,0,U41/TrRoad_act!U45*100)</f>
        <v>32.697680979667929</v>
      </c>
      <c r="V75" s="97">
        <f>IF(V41=0,0,V41/TrRoad_act!V45*100)</f>
        <v>32.516083879598945</v>
      </c>
      <c r="W75" s="97">
        <f>IF(W41=0,0,W41/TrRoad_act!W45*100)</f>
        <v>32.374815714444466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163.45290524141868</v>
      </c>
      <c r="C76" s="32">
        <f>IF(C42=0,0,C42/TrRoad_act!C46*100)</f>
        <v>163.58430236934095</v>
      </c>
      <c r="D76" s="32">
        <f>IF(D42=0,0,D42/TrRoad_act!D46*100)</f>
        <v>160.27377161038956</v>
      </c>
      <c r="E76" s="32">
        <f>IF(E42=0,0,E42/TrRoad_act!E46*100)</f>
        <v>181.24474526105158</v>
      </c>
      <c r="F76" s="32">
        <f>IF(F42=0,0,F42/TrRoad_act!F46*100)</f>
        <v>229.0732511440996</v>
      </c>
      <c r="G76" s="32">
        <f>IF(G42=0,0,G42/TrRoad_act!G46*100)</f>
        <v>251.35235994570078</v>
      </c>
      <c r="H76" s="32">
        <f>IF(H42=0,0,H42/TrRoad_act!H46*100)</f>
        <v>229.07878367419659</v>
      </c>
      <c r="I76" s="32">
        <f>IF(I42=0,0,I42/TrRoad_act!I46*100)</f>
        <v>203.99708904593541</v>
      </c>
      <c r="J76" s="32">
        <f>IF(J42=0,0,J42/TrRoad_act!J46*100)</f>
        <v>194.70275103581048</v>
      </c>
      <c r="K76" s="32">
        <f>IF(K42=0,0,K42/TrRoad_act!K46*100)</f>
        <v>181.12137147870422</v>
      </c>
      <c r="L76" s="32">
        <f>IF(L42=0,0,L42/TrRoad_act!L46*100)</f>
        <v>194.80720187614838</v>
      </c>
      <c r="M76" s="32">
        <f>IF(M42=0,0,M42/TrRoad_act!M46*100)</f>
        <v>196.18467000827971</v>
      </c>
      <c r="N76" s="32">
        <f>IF(N42=0,0,N42/TrRoad_act!N46*100)</f>
        <v>165.07907808132705</v>
      </c>
      <c r="O76" s="32">
        <f>IF(O42=0,0,O42/TrRoad_act!O46*100)</f>
        <v>168.80507197725831</v>
      </c>
      <c r="P76" s="32">
        <f>IF(P42=0,0,P42/TrRoad_act!P46*100)</f>
        <v>145.89938060638917</v>
      </c>
      <c r="Q76" s="32">
        <f>IF(Q42=0,0,Q42/TrRoad_act!Q46*100)</f>
        <v>133.8101225084387</v>
      </c>
      <c r="R76" s="32">
        <f>IF(R42=0,0,R42/TrRoad_act!R46*100)</f>
        <v>123.10733079161676</v>
      </c>
      <c r="S76" s="32">
        <f>IF(S42=0,0,S42/TrRoad_act!S46*100)</f>
        <v>126.50578423259662</v>
      </c>
      <c r="T76" s="32">
        <f>IF(T42=0,0,T42/TrRoad_act!T46*100)</f>
        <v>134.01536374804382</v>
      </c>
      <c r="U76" s="32">
        <f>IF(U42=0,0,U42/TrRoad_act!U46*100)</f>
        <v>139.03127749143559</v>
      </c>
      <c r="V76" s="32">
        <f>IF(V42=0,0,V42/TrRoad_act!V46*100)</f>
        <v>109.5352696057559</v>
      </c>
      <c r="W76" s="32">
        <f>IF(W42=0,0,W42/TrRoad_act!W46*100)</f>
        <v>105.71001597139889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11.983252235297059</v>
      </c>
      <c r="C77" s="141">
        <f>IF(C43=0,0,C43/TrRoad_act!C47*100)</f>
        <v>11.557324104067444</v>
      </c>
      <c r="D77" s="141">
        <f>IF(D43=0,0,D43/TrRoad_act!D47*100)</f>
        <v>11.232193682272946</v>
      </c>
      <c r="E77" s="141">
        <f>IF(E43=0,0,E43/TrRoad_act!E47*100)</f>
        <v>11.005780902067889</v>
      </c>
      <c r="F77" s="141">
        <f>IF(F43=0,0,F43/TrRoad_act!F47*100)</f>
        <v>10.784267615037042</v>
      </c>
      <c r="G77" s="141">
        <f>IF(G43=0,0,G43/TrRoad_act!G47*100)</f>
        <v>10.611833770068326</v>
      </c>
      <c r="H77" s="141">
        <f>IF(H43=0,0,H43/TrRoad_act!H47*100)</f>
        <v>10.454542016454248</v>
      </c>
      <c r="I77" s="141">
        <f>IF(I43=0,0,I43/TrRoad_act!I47*100)</f>
        <v>10.308421987922374</v>
      </c>
      <c r="J77" s="141">
        <f>IF(J43=0,0,J43/TrRoad_act!J47*100)</f>
        <v>10.165624048387615</v>
      </c>
      <c r="K77" s="141">
        <f>IF(K43=0,0,K43/TrRoad_act!K47*100)</f>
        <v>10.142226482784071</v>
      </c>
      <c r="L77" s="141">
        <f>IF(L43=0,0,L43/TrRoad_act!L47*100)</f>
        <v>10.145222974157171</v>
      </c>
      <c r="M77" s="141">
        <f>IF(M43=0,0,M43/TrRoad_act!M47*100)</f>
        <v>10.13529639688573</v>
      </c>
      <c r="N77" s="141">
        <f>IF(N43=0,0,N43/TrRoad_act!N47*100)</f>
        <v>10.0205152335798</v>
      </c>
      <c r="O77" s="141">
        <f>IF(O43=0,0,O43/TrRoad_act!O47*100)</f>
        <v>9.8948401897498393</v>
      </c>
      <c r="P77" s="141">
        <f>IF(P43=0,0,P43/TrRoad_act!P47*100)</f>
        <v>9.787265724988254</v>
      </c>
      <c r="Q77" s="141">
        <f>IF(Q43=0,0,Q43/TrRoad_act!Q47*100)</f>
        <v>9.650841959912837</v>
      </c>
      <c r="R77" s="141">
        <f>IF(R43=0,0,R43/TrRoad_act!R47*100)</f>
        <v>9.502501721605384</v>
      </c>
      <c r="S77" s="141">
        <f>IF(S43=0,0,S43/TrRoad_act!S47*100)</f>
        <v>9.3054431949996896</v>
      </c>
      <c r="T77" s="141">
        <f>IF(T43=0,0,T43/TrRoad_act!T47*100)</f>
        <v>9.1612909412231112</v>
      </c>
      <c r="U77" s="141">
        <f>IF(U43=0,0,U43/TrRoad_act!U47*100)</f>
        <v>9.0606918948328588</v>
      </c>
      <c r="V77" s="141">
        <f>IF(V43=0,0,V43/TrRoad_act!V47*100)</f>
        <v>9.0386413291160927</v>
      </c>
      <c r="W77" s="141">
        <f>IF(W43=0,0,W43/TrRoad_act!W47*100)</f>
        <v>8.9533387470354846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10.859548469333431</v>
      </c>
      <c r="C78" s="96">
        <f>IF(C44=0,0,C44/TrRoad_act!C48*100)</f>
        <v>10.823600985846573</v>
      </c>
      <c r="D78" s="96">
        <f>IF(D44=0,0,D44/TrRoad_act!D48*100)</f>
        <v>10.725091422590042</v>
      </c>
      <c r="E78" s="96">
        <f>IF(E44=0,0,E44/TrRoad_act!E48*100)</f>
        <v>10.549498258060314</v>
      </c>
      <c r="F78" s="96">
        <f>IF(F44=0,0,F44/TrRoad_act!F48*100)</f>
        <v>10.369027647297688</v>
      </c>
      <c r="G78" s="96">
        <f>IF(G44=0,0,G44/TrRoad_act!G48*100)</f>
        <v>10.151270855113241</v>
      </c>
      <c r="H78" s="96">
        <f>IF(H44=0,0,H44/TrRoad_act!H48*100)</f>
        <v>9.9308072918290993</v>
      </c>
      <c r="I78" s="96">
        <f>IF(I44=0,0,I44/TrRoad_act!I48*100)</f>
        <v>9.6791640733437703</v>
      </c>
      <c r="J78" s="96">
        <f>IF(J44=0,0,J44/TrRoad_act!J48*100)</f>
        <v>9.3981686920824821</v>
      </c>
      <c r="K78" s="96">
        <f>IF(K44=0,0,K44/TrRoad_act!K48*100)</f>
        <v>9.0944987140585098</v>
      </c>
      <c r="L78" s="96">
        <f>IF(L44=0,0,L44/TrRoad_act!L48*100)</f>
        <v>8.9203604667008474</v>
      </c>
      <c r="M78" s="96">
        <f>IF(M44=0,0,M44/TrRoad_act!M48*100)</f>
        <v>8.7850615683139708</v>
      </c>
      <c r="N78" s="96">
        <f>IF(N44=0,0,N44/TrRoad_act!N48*100)</f>
        <v>8.655449225970866</v>
      </c>
      <c r="O78" s="96">
        <f>IF(O44=0,0,O44/TrRoad_act!O48*100)</f>
        <v>8.6515769319072557</v>
      </c>
      <c r="P78" s="96">
        <f>IF(P44=0,0,P44/TrRoad_act!P48*100)</f>
        <v>8.6271172054155763</v>
      </c>
      <c r="Q78" s="96">
        <f>IF(Q44=0,0,Q44/TrRoad_act!Q48*100)</f>
        <v>8.6126132582970136</v>
      </c>
      <c r="R78" s="96">
        <f>IF(R44=0,0,R44/TrRoad_act!R48*100)</f>
        <v>8.5265573769210565</v>
      </c>
      <c r="S78" s="96">
        <f>IF(S44=0,0,S44/TrRoad_act!S48*100)</f>
        <v>8.3924881302157868</v>
      </c>
      <c r="T78" s="96">
        <f>IF(T44=0,0,T44/TrRoad_act!T48*100)</f>
        <v>8.3141080996348204</v>
      </c>
      <c r="U78" s="96">
        <f>IF(U44=0,0,U44/TrRoad_act!U48*100)</f>
        <v>8.3075427238027757</v>
      </c>
      <c r="V78" s="96">
        <f>IF(V44=0,0,V44/TrRoad_act!V48*100)</f>
        <v>8.2555880052942161</v>
      </c>
      <c r="W78" s="96">
        <f>IF(W44=0,0,W44/TrRoad_act!W48*100)</f>
        <v>8.137052505541579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12.110652818695012</v>
      </c>
      <c r="C79" s="96">
        <f>IF(C46=0,0,C46/TrRoad_act!C49*100)</f>
        <v>11.625732125792496</v>
      </c>
      <c r="D79" s="96">
        <f>IF(D46=0,0,D46/TrRoad_act!D49*100)</f>
        <v>11.272004727779173</v>
      </c>
      <c r="E79" s="96">
        <f>IF(E46=0,0,E46/TrRoad_act!E49*100)</f>
        <v>11.036610557012374</v>
      </c>
      <c r="F79" s="96">
        <f>IF(F46=0,0,F46/TrRoad_act!F49*100)</f>
        <v>10.807772196720391</v>
      </c>
      <c r="G79" s="96">
        <f>IF(G46=0,0,G46/TrRoad_act!G49*100)</f>
        <v>10.63359437858889</v>
      </c>
      <c r="H79" s="96">
        <f>IF(H46=0,0,H46/TrRoad_act!H49*100)</f>
        <v>10.475882447457781</v>
      </c>
      <c r="I79" s="96">
        <f>IF(I46=0,0,I46/TrRoad_act!I49*100)</f>
        <v>10.330698232462138</v>
      </c>
      <c r="J79" s="96">
        <f>IF(J46=0,0,J46/TrRoad_act!J49*100)</f>
        <v>10.190030509153875</v>
      </c>
      <c r="K79" s="96">
        <f>IF(K46=0,0,K46/TrRoad_act!K49*100)</f>
        <v>10.173391232889973</v>
      </c>
      <c r="L79" s="96">
        <f>IF(L46=0,0,L46/TrRoad_act!L49*100)</f>
        <v>10.178970458035147</v>
      </c>
      <c r="M79" s="96">
        <f>IF(M46=0,0,M46/TrRoad_act!M49*100)</f>
        <v>10.169397250374962</v>
      </c>
      <c r="N79" s="96">
        <f>IF(N46=0,0,N46/TrRoad_act!N49*100)</f>
        <v>10.055947615216198</v>
      </c>
      <c r="O79" s="96">
        <f>IF(O46=0,0,O46/TrRoad_act!O49*100)</f>
        <v>9.9343002513328962</v>
      </c>
      <c r="P79" s="96">
        <f>IF(P46=0,0,P46/TrRoad_act!P49*100)</f>
        <v>9.8259150753289859</v>
      </c>
      <c r="Q79" s="96">
        <f>IF(Q46=0,0,Q46/TrRoad_act!Q49*100)</f>
        <v>9.6889422767533571</v>
      </c>
      <c r="R79" s="96">
        <f>IF(R46=0,0,R46/TrRoad_act!R49*100)</f>
        <v>9.5394323404995092</v>
      </c>
      <c r="S79" s="96">
        <f>IF(S46=0,0,S46/TrRoad_act!S49*100)</f>
        <v>9.3458906709907605</v>
      </c>
      <c r="T79" s="96">
        <f>IF(T46=0,0,T46/TrRoad_act!T49*100)</f>
        <v>9.2076059018979777</v>
      </c>
      <c r="U79" s="96">
        <f>IF(U46=0,0,U46/TrRoad_act!U49*100)</f>
        <v>9.111935008535152</v>
      </c>
      <c r="V79" s="96">
        <f>IF(V46=0,0,V46/TrRoad_act!V49*100)</f>
        <v>9.0952500189222611</v>
      </c>
      <c r="W79" s="96">
        <f>IF(W46=0,0,W46/TrRoad_act!W49*100)</f>
        <v>9.0232438494572822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10.677184894330228</v>
      </c>
      <c r="P80" s="96">
        <f>IF(P48=0,0,P48/TrRoad_act!P50*100)</f>
        <v>10.608628004639458</v>
      </c>
      <c r="Q80" s="96">
        <f>IF(Q48=0,0,Q48/TrRoad_act!Q50*100)</f>
        <v>10.587765098492246</v>
      </c>
      <c r="R80" s="96">
        <f>IF(R48=0,0,R48/TrRoad_act!R50*100)</f>
        <v>10.584543160041569</v>
      </c>
      <c r="S80" s="96">
        <f>IF(S48=0,0,S48/TrRoad_act!S50*100)</f>
        <v>10.357819510088499</v>
      </c>
      <c r="T80" s="96">
        <f>IF(T48=0,0,T48/TrRoad_act!T50*100)</f>
        <v>9.9807196786764898</v>
      </c>
      <c r="U80" s="96">
        <f>IF(U48=0,0,U48/TrRoad_act!U50*100)</f>
        <v>8.4853236035795927</v>
      </c>
      <c r="V80" s="96">
        <f>IF(V48=0,0,V48/TrRoad_act!V50*100)</f>
        <v>8.4764479577985323</v>
      </c>
      <c r="W80" s="96">
        <f>IF(W48=0,0,W48/TrRoad_act!W50*100)</f>
        <v>8.4279569130364287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1.6111481208204665</v>
      </c>
      <c r="I82" s="96">
        <f>IF(I51=0,0,I51/TrRoad_act!I52*100)</f>
        <v>1.6114636544922116</v>
      </c>
      <c r="J82" s="96">
        <f>IF(J51=0,0,J51/TrRoad_act!J52*100)</f>
        <v>1.6114636544922118</v>
      </c>
      <c r="K82" s="96">
        <f>IF(K51=0,0,K51/TrRoad_act!K52*100)</f>
        <v>1.6183910502738212</v>
      </c>
      <c r="L82" s="96">
        <f>IF(L51=0,0,L51/TrRoad_act!L52*100)</f>
        <v>1.6183910502738208</v>
      </c>
      <c r="M82" s="96">
        <f>IF(M51=0,0,M51/TrRoad_act!M52*100)</f>
        <v>1.6183910502738208</v>
      </c>
      <c r="N82" s="96">
        <f>IF(N51=0,0,N51/TrRoad_act!N52*100)</f>
        <v>1.6414580458882149</v>
      </c>
      <c r="O82" s="96">
        <f>IF(O51=0,0,O51/TrRoad_act!O52*100)</f>
        <v>1.5875958328629198</v>
      </c>
      <c r="P82" s="96">
        <f>IF(P51=0,0,P51/TrRoad_act!P52*100)</f>
        <v>1.5889220529752712</v>
      </c>
      <c r="Q82" s="96">
        <f>IF(Q51=0,0,Q51/TrRoad_act!Q52*100)</f>
        <v>1.6170617670036229</v>
      </c>
      <c r="R82" s="96">
        <f>IF(R51=0,0,R51/TrRoad_act!R52*100)</f>
        <v>1.6364201655467072</v>
      </c>
      <c r="S82" s="96">
        <f>IF(S51=0,0,S51/TrRoad_act!S52*100)</f>
        <v>1.6682615551990971</v>
      </c>
      <c r="T82" s="96">
        <f>IF(T51=0,0,T51/TrRoad_act!T52*100)</f>
        <v>1.7288501606816635</v>
      </c>
      <c r="U82" s="96">
        <f>IF(U51=0,0,U51/TrRoad_act!U52*100)</f>
        <v>1.9676931534101814</v>
      </c>
      <c r="V82" s="96">
        <f>IF(V51=0,0,V51/TrRoad_act!V52*100)</f>
        <v>2.1280789409084417</v>
      </c>
      <c r="W82" s="96">
        <f>IF(W51=0,0,W51/TrRoad_act!W52*100)</f>
        <v>2.2750826025955053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478.6713075601732</v>
      </c>
      <c r="C83" s="130">
        <f>IF(C52=0,0,C52/TrRoad_act!C53*100)</f>
        <v>469.35067172673325</v>
      </c>
      <c r="D83" s="130">
        <f>IF(D52=0,0,D52/TrRoad_act!D53*100)</f>
        <v>450.12203245804932</v>
      </c>
      <c r="E83" s="130">
        <f>IF(E52=0,0,E52/TrRoad_act!E53*100)</f>
        <v>526.05787989693658</v>
      </c>
      <c r="F83" s="130">
        <f>IF(F52=0,0,F52/TrRoad_act!F53*100)</f>
        <v>662.21105665518007</v>
      </c>
      <c r="G83" s="130">
        <f>IF(G52=0,0,G52/TrRoad_act!G53*100)</f>
        <v>758.74827574171877</v>
      </c>
      <c r="H83" s="130">
        <f>IF(H52=0,0,H52/TrRoad_act!H53*100)</f>
        <v>700.55346166253321</v>
      </c>
      <c r="I83" s="130">
        <f>IF(I52=0,0,I52/TrRoad_act!I53*100)</f>
        <v>642.47323190136342</v>
      </c>
      <c r="J83" s="130">
        <f>IF(J52=0,0,J52/TrRoad_act!J53*100)</f>
        <v>617.87338169237569</v>
      </c>
      <c r="K83" s="130">
        <f>IF(K52=0,0,K52/TrRoad_act!K53*100)</f>
        <v>677.67183757224234</v>
      </c>
      <c r="L83" s="130">
        <f>IF(L52=0,0,L52/TrRoad_act!L53*100)</f>
        <v>724.01452156055393</v>
      </c>
      <c r="M83" s="130">
        <f>IF(M52=0,0,M52/TrRoad_act!M53*100)</f>
        <v>749.86695704824297</v>
      </c>
      <c r="N83" s="130">
        <f>IF(N52=0,0,N52/TrRoad_act!N53*100)</f>
        <v>534.97804792395959</v>
      </c>
      <c r="O83" s="130">
        <f>IF(O52=0,0,O52/TrRoad_act!O53*100)</f>
        <v>598.49847963724926</v>
      </c>
      <c r="P83" s="130">
        <f>IF(P52=0,0,P52/TrRoad_act!P53*100)</f>
        <v>478.64121012541671</v>
      </c>
      <c r="Q83" s="130">
        <f>IF(Q52=0,0,Q52/TrRoad_act!Q53*100)</f>
        <v>503.21304391661272</v>
      </c>
      <c r="R83" s="130">
        <f>IF(R52=0,0,R52/TrRoad_act!R53*100)</f>
        <v>462.67546226712312</v>
      </c>
      <c r="S83" s="130">
        <f>IF(S52=0,0,S52/TrRoad_act!S53*100)</f>
        <v>483.75027917790601</v>
      </c>
      <c r="T83" s="130">
        <f>IF(T52=0,0,T52/TrRoad_act!T53*100)</f>
        <v>535.42648002267583</v>
      </c>
      <c r="U83" s="130">
        <f>IF(U52=0,0,U52/TrRoad_act!U53*100)</f>
        <v>561.61586657587668</v>
      </c>
      <c r="V83" s="130">
        <f>IF(V52=0,0,V52/TrRoad_act!V53*100)</f>
        <v>475.2777104689435</v>
      </c>
      <c r="W83" s="130">
        <f>IF(W52=0,0,W52/TrRoad_act!W53*100)</f>
        <v>434.04594179091401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44.411026865194096</v>
      </c>
      <c r="C84" s="97">
        <f>IF(C53=0,0,C53/TrRoad_act!C54*100)</f>
        <v>44.181876768244898</v>
      </c>
      <c r="D84" s="97">
        <f>IF(D53=0,0,D53/TrRoad_act!D54*100)</f>
        <v>43.84675563291929</v>
      </c>
      <c r="E84" s="97">
        <f>IF(E53=0,0,E53/TrRoad_act!E54*100)</f>
        <v>45.215614742482167</v>
      </c>
      <c r="F84" s="97">
        <f>IF(F53=0,0,F53/TrRoad_act!F54*100)</f>
        <v>47.801871237140986</v>
      </c>
      <c r="G84" s="97">
        <f>IF(G53=0,0,G53/TrRoad_act!G54*100)</f>
        <v>49.429020740127442</v>
      </c>
      <c r="H84" s="97">
        <f>IF(H53=0,0,H53/TrRoad_act!H54*100)</f>
        <v>48.321465446863456</v>
      </c>
      <c r="I84" s="97">
        <f>IF(I53=0,0,I53/TrRoad_act!I54*100)</f>
        <v>47.11307527160303</v>
      </c>
      <c r="J84" s="97">
        <f>IF(J53=0,0,J53/TrRoad_act!J54*100)</f>
        <v>46.442864083866752</v>
      </c>
      <c r="K84" s="97">
        <f>IF(K53=0,0,K53/TrRoad_act!K54*100)</f>
        <v>47.391478090282774</v>
      </c>
      <c r="L84" s="97">
        <f>IF(L53=0,0,L53/TrRoad_act!L54*100)</f>
        <v>48.146349861198942</v>
      </c>
      <c r="M84" s="97">
        <f>IF(M53=0,0,M53/TrRoad_act!M54*100)</f>
        <v>48.514533726792394</v>
      </c>
      <c r="N84" s="97">
        <f>IF(N53=0,0,N53/TrRoad_act!N54*100)</f>
        <v>44.313121405402093</v>
      </c>
      <c r="O84" s="97">
        <f>IF(O53=0,0,O53/TrRoad_act!O54*100)</f>
        <v>45.111862021002011</v>
      </c>
      <c r="P84" s="97">
        <f>IF(P53=0,0,P53/TrRoad_act!P54*100)</f>
        <v>42.701500673934035</v>
      </c>
      <c r="Q84" s="97">
        <f>IF(Q53=0,0,Q53/TrRoad_act!Q54*100)</f>
        <v>43.084516823545499</v>
      </c>
      <c r="R84" s="97">
        <f>IF(R53=0,0,R53/TrRoad_act!R54*100)</f>
        <v>42.111590180034582</v>
      </c>
      <c r="S84" s="97">
        <f>IF(S53=0,0,S53/TrRoad_act!S54*100)</f>
        <v>42.262641886137018</v>
      </c>
      <c r="T84" s="97">
        <f>IF(T53=0,0,T53/TrRoad_act!T54*100)</f>
        <v>42.941539480507238</v>
      </c>
      <c r="U84" s="97">
        <f>IF(U53=0,0,U53/TrRoad_act!U54*100)</f>
        <v>43.038958189071622</v>
      </c>
      <c r="V84" s="97">
        <f>IF(V53=0,0,V53/TrRoad_act!V54*100)</f>
        <v>41.194658114602667</v>
      </c>
      <c r="W84" s="97">
        <f>IF(W53=0,0,W53/TrRoad_act!W54*100)</f>
        <v>40.060378118331123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862.79063004331977</v>
      </c>
      <c r="C85" s="98">
        <f>IF(C55=0,0,C55/TrRoad_act!C55*100)</f>
        <v>871.03874036688842</v>
      </c>
      <c r="D85" s="98">
        <f>IF(D55=0,0,D55/TrRoad_act!D55*100)</f>
        <v>876.62716073776892</v>
      </c>
      <c r="E85" s="98">
        <f>IF(E55=0,0,E55/TrRoad_act!E55*100)</f>
        <v>1008.020654018254</v>
      </c>
      <c r="F85" s="98">
        <f>IF(F55=0,0,F55/TrRoad_act!F55*100)</f>
        <v>1157.3397110985645</v>
      </c>
      <c r="G85" s="98">
        <f>IF(G55=0,0,G55/TrRoad_act!G55*100)</f>
        <v>1275.004617732367</v>
      </c>
      <c r="H85" s="98">
        <f>IF(H55=0,0,H55/TrRoad_act!H55*100)</f>
        <v>1244.2252017549831</v>
      </c>
      <c r="I85" s="98">
        <f>IF(I55=0,0,I55/TrRoad_act!I55*100)</f>
        <v>1099.4791181042874</v>
      </c>
      <c r="J85" s="98">
        <f>IF(J55=0,0,J55/TrRoad_act!J55*100)</f>
        <v>979.87471989523294</v>
      </c>
      <c r="K85" s="98">
        <f>IF(K55=0,0,K55/TrRoad_act!K55*100)</f>
        <v>961.91898815176978</v>
      </c>
      <c r="L85" s="98">
        <f>IF(L55=0,0,L55/TrRoad_act!L55*100)</f>
        <v>1049.5839697224083</v>
      </c>
      <c r="M85" s="98">
        <f>IF(M55=0,0,M55/TrRoad_act!M55*100)</f>
        <v>1118.1875051413699</v>
      </c>
      <c r="N85" s="98">
        <f>IF(N55=0,0,N55/TrRoad_act!N55*100)</f>
        <v>903.62320868237646</v>
      </c>
      <c r="O85" s="98">
        <f>IF(O55=0,0,O55/TrRoad_act!O55*100)</f>
        <v>927.89006765431918</v>
      </c>
      <c r="P85" s="98">
        <f>IF(P55=0,0,P55/TrRoad_act!P55*100)</f>
        <v>814.29409181365827</v>
      </c>
      <c r="Q85" s="98">
        <f>IF(Q55=0,0,Q55/TrRoad_act!Q55*100)</f>
        <v>860.87521946850461</v>
      </c>
      <c r="R85" s="98">
        <f>IF(R55=0,0,R55/TrRoad_act!R55*100)</f>
        <v>779.25282067798162</v>
      </c>
      <c r="S85" s="98">
        <f>IF(S55=0,0,S55/TrRoad_act!S55*100)</f>
        <v>788.26820006726791</v>
      </c>
      <c r="T85" s="98">
        <f>IF(T55=0,0,T55/TrRoad_act!T55*100)</f>
        <v>895.30513691526573</v>
      </c>
      <c r="U85" s="98">
        <f>IF(U55=0,0,U55/TrRoad_act!U55*100)</f>
        <v>925.76583878881331</v>
      </c>
      <c r="V85" s="98">
        <f>IF(V55=0,0,V55/TrRoad_act!V55*100)</f>
        <v>754.84917172261862</v>
      </c>
      <c r="W85" s="98">
        <f>IF(W55=0,0,W55/TrRoad_act!W55*100)</f>
        <v>718.89316378595174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146.16690861536787</v>
      </c>
      <c r="C88" s="29">
        <f>IF(TrRoad_act!C4=0,0,C18/TrRoad_act!C4*1000)</f>
        <v>144.27135485659537</v>
      </c>
      <c r="D88" s="29">
        <f>IF(TrRoad_act!D4=0,0,D18/TrRoad_act!D4*1000)</f>
        <v>144.08316277607165</v>
      </c>
      <c r="E88" s="29">
        <f>IF(TrRoad_act!E4=0,0,E18/TrRoad_act!E4*1000)</f>
        <v>149.96317202984855</v>
      </c>
      <c r="F88" s="29">
        <f>IF(TrRoad_act!F4=0,0,F18/TrRoad_act!F4*1000)</f>
        <v>150.01689474972295</v>
      </c>
      <c r="G88" s="29">
        <f>IF(TrRoad_act!G4=0,0,G18/TrRoad_act!G4*1000)</f>
        <v>140.30043535535594</v>
      </c>
      <c r="H88" s="29">
        <f>IF(TrRoad_act!H4=0,0,H18/TrRoad_act!H4*1000)</f>
        <v>130.84272713833028</v>
      </c>
      <c r="I88" s="29">
        <f>IF(TrRoad_act!I4=0,0,I18/TrRoad_act!I4*1000)</f>
        <v>130.44556801694927</v>
      </c>
      <c r="J88" s="29">
        <f>IF(TrRoad_act!J4=0,0,J18/TrRoad_act!J4*1000)</f>
        <v>130.0415637251788</v>
      </c>
      <c r="K88" s="29">
        <f>IF(TrRoad_act!K4=0,0,K18/TrRoad_act!K4*1000)</f>
        <v>127.61252892180653</v>
      </c>
      <c r="L88" s="29">
        <f>IF(TrRoad_act!L4=0,0,L18/TrRoad_act!L4*1000)</f>
        <v>127.63813546763001</v>
      </c>
      <c r="M88" s="29">
        <f>IF(TrRoad_act!M4=0,0,M18/TrRoad_act!M4*1000)</f>
        <v>134.09261087770554</v>
      </c>
      <c r="N88" s="29">
        <f>IF(TrRoad_act!N4=0,0,N18/TrRoad_act!N4*1000)</f>
        <v>130.77058309393229</v>
      </c>
      <c r="O88" s="29">
        <f>IF(TrRoad_act!O4=0,0,O18/TrRoad_act!O4*1000)</f>
        <v>121.11728678278737</v>
      </c>
      <c r="P88" s="29">
        <f>IF(TrRoad_act!P4=0,0,P18/TrRoad_act!P4*1000)</f>
        <v>115.53767504595604</v>
      </c>
      <c r="Q88" s="29">
        <f>IF(TrRoad_act!Q4=0,0,Q18/TrRoad_act!Q4*1000)</f>
        <v>108.66388869649153</v>
      </c>
      <c r="R88" s="29">
        <f>IF(TrRoad_act!R4=0,0,R18/TrRoad_act!R4*1000)</f>
        <v>103.08651345990809</v>
      </c>
      <c r="S88" s="29">
        <f>IF(TrRoad_act!S4=0,0,S18/TrRoad_act!S4*1000)</f>
        <v>101.01273392783827</v>
      </c>
      <c r="T88" s="29">
        <f>IF(TrRoad_act!T4=0,0,T18/TrRoad_act!T4*1000)</f>
        <v>103.11511906683513</v>
      </c>
      <c r="U88" s="29">
        <f>IF(TrRoad_act!U4=0,0,U18/TrRoad_act!U4*1000)</f>
        <v>99.09685399824383</v>
      </c>
      <c r="V88" s="29">
        <f>IF(TrRoad_act!V4=0,0,V18/TrRoad_act!V4*1000)</f>
        <v>88.906511946324514</v>
      </c>
      <c r="W88" s="29">
        <f>IF(TrRoad_act!W4=0,0,W18/TrRoad_act!W4*1000)</f>
        <v>92.350169435049736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43.945260837309618</v>
      </c>
      <c r="C89" s="152">
        <f>IF(TrRoad_act!C5=0,0,C19/TrRoad_act!C5*1000)</f>
        <v>42.838679383230641</v>
      </c>
      <c r="D89" s="152">
        <f>IF(TrRoad_act!D5=0,0,D19/TrRoad_act!D5*1000)</f>
        <v>41.75557922565099</v>
      </c>
      <c r="E89" s="152">
        <f>IF(TrRoad_act!E5=0,0,E19/TrRoad_act!E5*1000)</f>
        <v>41.279112172290347</v>
      </c>
      <c r="F89" s="152">
        <f>IF(TrRoad_act!F5=0,0,F19/TrRoad_act!F5*1000)</f>
        <v>40.727628046438973</v>
      </c>
      <c r="G89" s="152">
        <f>IF(TrRoad_act!G5=0,0,G19/TrRoad_act!G5*1000)</f>
        <v>39.683618703171284</v>
      </c>
      <c r="H89" s="152">
        <f>IF(TrRoad_act!H5=0,0,H19/TrRoad_act!H5*1000)</f>
        <v>39.155260718173764</v>
      </c>
      <c r="I89" s="152">
        <f>IF(TrRoad_act!I5=0,0,I19/TrRoad_act!I5*1000)</f>
        <v>37.757474865961967</v>
      </c>
      <c r="J89" s="152">
        <f>IF(TrRoad_act!J5=0,0,J19/TrRoad_act!J5*1000)</f>
        <v>37.632211275104559</v>
      </c>
      <c r="K89" s="152">
        <f>IF(TrRoad_act!K5=0,0,K19/TrRoad_act!K5*1000)</f>
        <v>37.217037997874854</v>
      </c>
      <c r="L89" s="152">
        <f>IF(TrRoad_act!L5=0,0,L19/TrRoad_act!L5*1000)</f>
        <v>36.774939252465195</v>
      </c>
      <c r="M89" s="152">
        <f>IF(TrRoad_act!M5=0,0,M19/TrRoad_act!M5*1000)</f>
        <v>36.404848914513366</v>
      </c>
      <c r="N89" s="152">
        <f>IF(TrRoad_act!N5=0,0,N19/TrRoad_act!N5*1000)</f>
        <v>36.20090932051022</v>
      </c>
      <c r="O89" s="152">
        <f>IF(TrRoad_act!O5=0,0,O19/TrRoad_act!O5*1000)</f>
        <v>35.675163822205533</v>
      </c>
      <c r="P89" s="152">
        <f>IF(TrRoad_act!P5=0,0,P19/TrRoad_act!P5*1000)</f>
        <v>35.096544143892338</v>
      </c>
      <c r="Q89" s="152">
        <f>IF(TrRoad_act!Q5=0,0,Q19/TrRoad_act!Q5*1000)</f>
        <v>34.615181161911558</v>
      </c>
      <c r="R89" s="152">
        <f>IF(TrRoad_act!R5=0,0,R19/TrRoad_act!R5*1000)</f>
        <v>34.127042473316401</v>
      </c>
      <c r="S89" s="152">
        <f>IF(TrRoad_act!S5=0,0,S19/TrRoad_act!S5*1000)</f>
        <v>34.730733332453674</v>
      </c>
      <c r="T89" s="152">
        <f>IF(TrRoad_act!T5=0,0,T19/TrRoad_act!T5*1000)</f>
        <v>34.857223224584466</v>
      </c>
      <c r="U89" s="152">
        <f>IF(TrRoad_act!U5=0,0,U19/TrRoad_act!U5*1000)</f>
        <v>34.314053226997778</v>
      </c>
      <c r="V89" s="152">
        <f>IF(TrRoad_act!V5=0,0,V19/TrRoad_act!V5*1000)</f>
        <v>34.006392626418162</v>
      </c>
      <c r="W89" s="152">
        <f>IF(TrRoad_act!W5=0,0,W19/TrRoad_act!W5*1000)</f>
        <v>30.880239134867661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158.64773465409317</v>
      </c>
      <c r="C90" s="116">
        <f>IF(TrRoad_act!C6=0,0,C21/TrRoad_act!C6*1000)</f>
        <v>157.0027826745804</v>
      </c>
      <c r="D90" s="116">
        <f>IF(TrRoad_act!D6=0,0,D21/TrRoad_act!D6*1000)</f>
        <v>157.85156473247812</v>
      </c>
      <c r="E90" s="116">
        <f>IF(TrRoad_act!E6=0,0,E21/TrRoad_act!E6*1000)</f>
        <v>164.7385846409116</v>
      </c>
      <c r="F90" s="116">
        <f>IF(TrRoad_act!F6=0,0,F21/TrRoad_act!F6*1000)</f>
        <v>165.34958570050475</v>
      </c>
      <c r="G90" s="116">
        <f>IF(TrRoad_act!G6=0,0,G21/TrRoad_act!G6*1000)</f>
        <v>154.49096452470988</v>
      </c>
      <c r="H90" s="116">
        <f>IF(TrRoad_act!H6=0,0,H21/TrRoad_act!H6*1000)</f>
        <v>143.79516200149223</v>
      </c>
      <c r="I90" s="116">
        <f>IF(TrRoad_act!I6=0,0,I21/TrRoad_act!I6*1000)</f>
        <v>143.85612219908023</v>
      </c>
      <c r="J90" s="116">
        <f>IF(TrRoad_act!J6=0,0,J21/TrRoad_act!J6*1000)</f>
        <v>144.0372645803229</v>
      </c>
      <c r="K90" s="116">
        <f>IF(TrRoad_act!K6=0,0,K21/TrRoad_act!K6*1000)</f>
        <v>141.10495456412406</v>
      </c>
      <c r="L90" s="116">
        <f>IF(TrRoad_act!L6=0,0,L21/TrRoad_act!L6*1000)</f>
        <v>142.15078377551166</v>
      </c>
      <c r="M90" s="116">
        <f>IF(TrRoad_act!M6=0,0,M21/TrRoad_act!M6*1000)</f>
        <v>150.26359964380336</v>
      </c>
      <c r="N90" s="116">
        <f>IF(TrRoad_act!N6=0,0,N21/TrRoad_act!N6*1000)</f>
        <v>146.46650901113171</v>
      </c>
      <c r="O90" s="116">
        <f>IF(TrRoad_act!O6=0,0,O21/TrRoad_act!O6*1000)</f>
        <v>135.42647763255215</v>
      </c>
      <c r="P90" s="116">
        <f>IF(TrRoad_act!P6=0,0,P21/TrRoad_act!P6*1000)</f>
        <v>128.66361160127101</v>
      </c>
      <c r="Q90" s="116">
        <f>IF(TrRoad_act!Q6=0,0,Q21/TrRoad_act!Q6*1000)</f>
        <v>121.12272793715795</v>
      </c>
      <c r="R90" s="116">
        <f>IF(TrRoad_act!R6=0,0,R21/TrRoad_act!R6*1000)</f>
        <v>114.51921933045421</v>
      </c>
      <c r="S90" s="116">
        <f>IF(TrRoad_act!S6=0,0,S21/TrRoad_act!S6*1000)</f>
        <v>112.1691491357813</v>
      </c>
      <c r="T90" s="116">
        <f>IF(TrRoad_act!T6=0,0,T21/TrRoad_act!T6*1000)</f>
        <v>114.57035404627906</v>
      </c>
      <c r="U90" s="116">
        <f>IF(TrRoad_act!U6=0,0,U21/TrRoad_act!U6*1000)</f>
        <v>110.21152362818071</v>
      </c>
      <c r="V90" s="116">
        <f>IF(TrRoad_act!V6=0,0,V21/TrRoad_act!V6*1000)</f>
        <v>94.755557808929751</v>
      </c>
      <c r="W90" s="116">
        <f>IF(TrRoad_act!W6=0,0,W21/TrRoad_act!W6*1000)</f>
        <v>99.080988149783124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159.24034239432436</v>
      </c>
      <c r="C91" s="87">
        <f>IF(TrRoad_act!C7=0,0,C22/TrRoad_act!C7*1000)</f>
        <v>160.69248641634724</v>
      </c>
      <c r="D91" s="87">
        <f>IF(TrRoad_act!D7=0,0,D22/TrRoad_act!D7*1000)</f>
        <v>164.1021149313174</v>
      </c>
      <c r="E91" s="87">
        <f>IF(TrRoad_act!E7=0,0,E22/TrRoad_act!E7*1000)</f>
        <v>173.95353987984669</v>
      </c>
      <c r="F91" s="87">
        <f>IF(TrRoad_act!F7=0,0,F22/TrRoad_act!F7*1000)</f>
        <v>179.54812420090789</v>
      </c>
      <c r="G91" s="87">
        <f>IF(TrRoad_act!G7=0,0,G22/TrRoad_act!G7*1000)</f>
        <v>171.60508355307925</v>
      </c>
      <c r="H91" s="87">
        <f>IF(TrRoad_act!H7=0,0,H22/TrRoad_act!H7*1000)</f>
        <v>162.71091843407586</v>
      </c>
      <c r="I91" s="87">
        <f>IF(TrRoad_act!I7=0,0,I22/TrRoad_act!I7*1000)</f>
        <v>163.41006771122974</v>
      </c>
      <c r="J91" s="87">
        <f>IF(TrRoad_act!J7=0,0,J22/TrRoad_act!J7*1000)</f>
        <v>159.60853856125584</v>
      </c>
      <c r="K91" s="87">
        <f>IF(TrRoad_act!K7=0,0,K22/TrRoad_act!K7*1000)</f>
        <v>154.7032514731558</v>
      </c>
      <c r="L91" s="87">
        <f>IF(TrRoad_act!L7=0,0,L22/TrRoad_act!L7*1000)</f>
        <v>154.09368092087615</v>
      </c>
      <c r="M91" s="87">
        <f>IF(TrRoad_act!M7=0,0,M22/TrRoad_act!M7*1000)</f>
        <v>158.80024718691359</v>
      </c>
      <c r="N91" s="87">
        <f>IF(TrRoad_act!N7=0,0,N22/TrRoad_act!N7*1000)</f>
        <v>152.4860845002994</v>
      </c>
      <c r="O91" s="87">
        <f>IF(TrRoad_act!O7=0,0,O22/TrRoad_act!O7*1000)</f>
        <v>140.87337485032211</v>
      </c>
      <c r="P91" s="87">
        <f>IF(TrRoad_act!P7=0,0,P22/TrRoad_act!P7*1000)</f>
        <v>134.58186117286405</v>
      </c>
      <c r="Q91" s="87">
        <f>IF(TrRoad_act!Q7=0,0,Q22/TrRoad_act!Q7*1000)</f>
        <v>124.56969734024636</v>
      </c>
      <c r="R91" s="87">
        <f>IF(TrRoad_act!R7=0,0,R22/TrRoad_act!R7*1000)</f>
        <v>114.92446904500817</v>
      </c>
      <c r="S91" s="87">
        <f>IF(TrRoad_act!S7=0,0,S22/TrRoad_act!S7*1000)</f>
        <v>111.68642390709606</v>
      </c>
      <c r="T91" s="87">
        <f>IF(TrRoad_act!T7=0,0,T22/TrRoad_act!T7*1000)</f>
        <v>112.11446362217329</v>
      </c>
      <c r="U91" s="87">
        <f>IF(TrRoad_act!U7=0,0,U22/TrRoad_act!U7*1000)</f>
        <v>109.15976043082807</v>
      </c>
      <c r="V91" s="87">
        <f>IF(TrRoad_act!V7=0,0,V22/TrRoad_act!V7*1000)</f>
        <v>90.201383832896497</v>
      </c>
      <c r="W91" s="87">
        <f>IF(TrRoad_act!W7=0,0,W22/TrRoad_act!W7*1000)</f>
        <v>100.01722364304584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159.93619584392101</v>
      </c>
      <c r="C92" s="87">
        <f>IF(TrRoad_act!C8=0,0,C24/TrRoad_act!C8*1000)</f>
        <v>152.87990414110035</v>
      </c>
      <c r="D92" s="87">
        <f>IF(TrRoad_act!D8=0,0,D24/TrRoad_act!D8*1000)</f>
        <v>150.35879197962163</v>
      </c>
      <c r="E92" s="87">
        <f>IF(TrRoad_act!E8=0,0,E24/TrRoad_act!E8*1000)</f>
        <v>154.83503446809033</v>
      </c>
      <c r="F92" s="87">
        <f>IF(TrRoad_act!F8=0,0,F24/TrRoad_act!F8*1000)</f>
        <v>151.63371408550688</v>
      </c>
      <c r="G92" s="87">
        <f>IF(TrRoad_act!G8=0,0,G24/TrRoad_act!G8*1000)</f>
        <v>140.31581595895867</v>
      </c>
      <c r="H92" s="87">
        <f>IF(TrRoad_act!H8=0,0,H24/TrRoad_act!H8*1000)</f>
        <v>129.75438139749684</v>
      </c>
      <c r="I92" s="87">
        <f>IF(TrRoad_act!I8=0,0,I24/TrRoad_act!I8*1000)</f>
        <v>130.47967975708792</v>
      </c>
      <c r="J92" s="87">
        <f>IF(TrRoad_act!J8=0,0,J24/TrRoad_act!J8*1000)</f>
        <v>134.11898369343476</v>
      </c>
      <c r="K92" s="87">
        <f>IF(TrRoad_act!K8=0,0,K24/TrRoad_act!K8*1000)</f>
        <v>133.36066994035593</v>
      </c>
      <c r="L92" s="87">
        <f>IF(TrRoad_act!L8=0,0,L24/TrRoad_act!L8*1000)</f>
        <v>135.89536735182202</v>
      </c>
      <c r="M92" s="87">
        <f>IF(TrRoad_act!M8=0,0,M24/TrRoad_act!M8*1000)</f>
        <v>146.24020488510402</v>
      </c>
      <c r="N92" s="87">
        <f>IF(TrRoad_act!N8=0,0,N24/TrRoad_act!N8*1000)</f>
        <v>143.63903444847426</v>
      </c>
      <c r="O92" s="87">
        <f>IF(TrRoad_act!O8=0,0,O24/TrRoad_act!O8*1000)</f>
        <v>133.25637437644724</v>
      </c>
      <c r="P92" s="87">
        <f>IF(TrRoad_act!P8=0,0,P24/TrRoad_act!P8*1000)</f>
        <v>126.39935008360365</v>
      </c>
      <c r="Q92" s="87">
        <f>IF(TrRoad_act!Q8=0,0,Q24/TrRoad_act!Q8*1000)</f>
        <v>120.17043871382818</v>
      </c>
      <c r="R92" s="87">
        <f>IF(TrRoad_act!R8=0,0,R24/TrRoad_act!R8*1000)</f>
        <v>115.0520952477703</v>
      </c>
      <c r="S92" s="87">
        <f>IF(TrRoad_act!S8=0,0,S24/TrRoad_act!S8*1000)</f>
        <v>113.29142375532169</v>
      </c>
      <c r="T92" s="87">
        <f>IF(TrRoad_act!T8=0,0,T24/TrRoad_act!T8*1000)</f>
        <v>117.04921572416815</v>
      </c>
      <c r="U92" s="87">
        <f>IF(TrRoad_act!U8=0,0,U24/TrRoad_act!U8*1000)</f>
        <v>112.33268351440911</v>
      </c>
      <c r="V92" s="87">
        <f>IF(TrRoad_act!V8=0,0,V24/TrRoad_act!V8*1000)</f>
        <v>100.31052402186177</v>
      </c>
      <c r="W92" s="87">
        <f>IF(TrRoad_act!W8=0,0,W24/TrRoad_act!W8*1000)</f>
        <v>103.1138571359394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51.4465610386046</v>
      </c>
      <c r="C93" s="87">
        <f>IF(TrRoad_act!C9=0,0,C26/TrRoad_act!C9*1000)</f>
        <v>65.663902842998098</v>
      </c>
      <c r="D93" s="87">
        <f>IF(TrRoad_act!D9=0,0,D26/TrRoad_act!D9*1000)</f>
        <v>84.901861535124993</v>
      </c>
      <c r="E93" s="87">
        <f>IF(TrRoad_act!E9=0,0,E26/TrRoad_act!E9*1000)</f>
        <v>68.202234644436487</v>
      </c>
      <c r="F93" s="87">
        <f>IF(TrRoad_act!F9=0,0,F26/TrRoad_act!F9*1000)</f>
        <v>72.721871530548782</v>
      </c>
      <c r="G93" s="87">
        <f>IF(TrRoad_act!G9=0,0,G26/TrRoad_act!G9*1000)</f>
        <v>50.995988921067607</v>
      </c>
      <c r="H93" s="87">
        <f>IF(TrRoad_act!H9=0,0,H26/TrRoad_act!H9*1000)</f>
        <v>51.179982267212274</v>
      </c>
      <c r="I93" s="87">
        <f>IF(TrRoad_act!I9=0,0,I26/TrRoad_act!I9*1000)</f>
        <v>107.41899206022478</v>
      </c>
      <c r="J93" s="87">
        <f>IF(TrRoad_act!J9=0,0,J26/TrRoad_act!J9*1000)</f>
        <v>105.79073934044868</v>
      </c>
      <c r="K93" s="87">
        <f>IF(TrRoad_act!K9=0,0,K26/TrRoad_act!K9*1000)</f>
        <v>67.007784811924452</v>
      </c>
      <c r="L93" s="87">
        <f>IF(TrRoad_act!L9=0,0,L26/TrRoad_act!L9*1000)</f>
        <v>70.550027587216633</v>
      </c>
      <c r="M93" s="87">
        <f>IF(TrRoad_act!M9=0,0,M26/TrRoad_act!M9*1000)</f>
        <v>34.111922956689895</v>
      </c>
      <c r="N93" s="87">
        <f>IF(TrRoad_act!N9=0,0,N26/TrRoad_act!N9*1000)</f>
        <v>93.767670310154472</v>
      </c>
      <c r="O93" s="87">
        <f>IF(TrRoad_act!O9=0,0,O26/TrRoad_act!O9*1000)</f>
        <v>58.703878753541552</v>
      </c>
      <c r="P93" s="87">
        <f>IF(TrRoad_act!P9=0,0,P26/TrRoad_act!P9*1000)</f>
        <v>67.820410530922786</v>
      </c>
      <c r="Q93" s="87">
        <f>IF(TrRoad_act!Q9=0,0,Q26/TrRoad_act!Q9*1000)</f>
        <v>32.57316365071916</v>
      </c>
      <c r="R93" s="87">
        <f>IF(TrRoad_act!R9=0,0,R26/TrRoad_act!R9*1000)</f>
        <v>34.873741773523641</v>
      </c>
      <c r="S93" s="87">
        <f>IF(TrRoad_act!S9=0,0,S26/TrRoad_act!S9*1000)</f>
        <v>34.726952441778607</v>
      </c>
      <c r="T93" s="87">
        <f>IF(TrRoad_act!T9=0,0,T26/TrRoad_act!T9*1000)</f>
        <v>55.697147758411987</v>
      </c>
      <c r="U93" s="87">
        <f>IF(TrRoad_act!U9=0,0,U26/TrRoad_act!U9*1000)</f>
        <v>85.894028063501025</v>
      </c>
      <c r="V93" s="87">
        <f>IF(TrRoad_act!V9=0,0,V26/TrRoad_act!V9*1000)</f>
        <v>19.671192666443968</v>
      </c>
      <c r="W93" s="87">
        <f>IF(TrRoad_act!W9=0,0,W26/TrRoad_act!W9*1000)</f>
        <v>52.777184357437932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90.261091191155003</v>
      </c>
      <c r="O95" s="87">
        <f>IF(TrRoad_act!O11=0,0,O29/TrRoad_act!O11*1000)</f>
        <v>87.663012122354033</v>
      </c>
      <c r="P95" s="87">
        <f>IF(TrRoad_act!P11=0,0,P29/TrRoad_act!P11*1000)</f>
        <v>80.219846052537335</v>
      </c>
      <c r="Q95" s="87">
        <f>IF(TrRoad_act!Q11=0,0,Q29/TrRoad_act!Q11*1000)</f>
        <v>75.852406401828716</v>
      </c>
      <c r="R95" s="87">
        <f>IF(TrRoad_act!R11=0,0,R29/TrRoad_act!R11*1000)</f>
        <v>65.661314433850407</v>
      </c>
      <c r="S95" s="87">
        <f>IF(TrRoad_act!S11=0,0,S29/TrRoad_act!S11*1000)</f>
        <v>49.967762690246452</v>
      </c>
      <c r="T95" s="87">
        <f>IF(TrRoad_act!T11=0,0,T29/TrRoad_act!T11*1000)</f>
        <v>51.004577825820647</v>
      </c>
      <c r="U95" s="87">
        <f>IF(TrRoad_act!U11=0,0,U29/TrRoad_act!U11*1000)</f>
        <v>51.15621219037606</v>
      </c>
      <c r="V95" s="87">
        <f>IF(TrRoad_act!V11=0,0,V29/TrRoad_act!V11*1000)</f>
        <v>42.891675155006723</v>
      </c>
      <c r="W95" s="87">
        <f>IF(TrRoad_act!W11=0,0,W29/TrRoad_act!W11*1000)</f>
        <v>42.714133566633052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12.08543239579557</v>
      </c>
      <c r="K96" s="87">
        <f>IF(TrRoad_act!K12=0,0,K32/TrRoad_act!K12*1000)</f>
        <v>12.047599485866908</v>
      </c>
      <c r="L96" s="87">
        <f>IF(TrRoad_act!L12=0,0,L32/TrRoad_act!L12*1000)</f>
        <v>11.941305283391861</v>
      </c>
      <c r="M96" s="87">
        <f>IF(TrRoad_act!M12=0,0,M32/TrRoad_act!M12*1000)</f>
        <v>12.034644303207184</v>
      </c>
      <c r="N96" s="87">
        <f>IF(TrRoad_act!N12=0,0,N32/TrRoad_act!N12*1000)</f>
        <v>11.523400346598221</v>
      </c>
      <c r="O96" s="87">
        <f>IF(TrRoad_act!O12=0,0,O32/TrRoad_act!O12*1000)</f>
        <v>11.977902568246231</v>
      </c>
      <c r="P96" s="87">
        <f>IF(TrRoad_act!P12=0,0,P32/TrRoad_act!P12*1000)</f>
        <v>11.709608946206762</v>
      </c>
      <c r="Q96" s="87">
        <f>IF(TrRoad_act!Q12=0,0,Q32/TrRoad_act!Q12*1000)</f>
        <v>11.416749087140365</v>
      </c>
      <c r="R96" s="87">
        <f>IF(TrRoad_act!R12=0,0,R32/TrRoad_act!R12*1000)</f>
        <v>11.287530930102198</v>
      </c>
      <c r="S96" s="87">
        <f>IF(TrRoad_act!S12=0,0,S32/TrRoad_act!S12*1000)</f>
        <v>11.598045006931201</v>
      </c>
      <c r="T96" s="87">
        <f>IF(TrRoad_act!T12=0,0,T32/TrRoad_act!T12*1000)</f>
        <v>12.389991196017197</v>
      </c>
      <c r="U96" s="87">
        <f>IF(TrRoad_act!U12=0,0,U32/TrRoad_act!U12*1000)</f>
        <v>13.513004080868667</v>
      </c>
      <c r="V96" s="87">
        <f>IF(TrRoad_act!V12=0,0,V32/TrRoad_act!V12*1000)</f>
        <v>15.611326696368366</v>
      </c>
      <c r="W96" s="87">
        <f>IF(TrRoad_act!W12=0,0,W32/TrRoad_act!W12*1000)</f>
        <v>15.195034914658478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39.311598209557545</v>
      </c>
      <c r="C97" s="116">
        <f>IF(TrRoad_act!C13=0,0,C33/TrRoad_act!C13*1000)</f>
        <v>38.112988002640343</v>
      </c>
      <c r="D97" s="116">
        <f>IF(TrRoad_act!D13=0,0,D33/TrRoad_act!D13*1000)</f>
        <v>36.9568252930735</v>
      </c>
      <c r="E97" s="116">
        <f>IF(TrRoad_act!E13=0,0,E33/TrRoad_act!E13*1000)</f>
        <v>36.209979264988213</v>
      </c>
      <c r="F97" s="116">
        <f>IF(TrRoad_act!F13=0,0,F33/TrRoad_act!F13*1000)</f>
        <v>34.816626061509545</v>
      </c>
      <c r="G97" s="116">
        <f>IF(TrRoad_act!G13=0,0,G33/TrRoad_act!G13*1000)</f>
        <v>34.316278943302514</v>
      </c>
      <c r="H97" s="116">
        <f>IF(TrRoad_act!H13=0,0,H33/TrRoad_act!H13*1000)</f>
        <v>33.406506688787019</v>
      </c>
      <c r="I97" s="116">
        <f>IF(TrRoad_act!I13=0,0,I33/TrRoad_act!I13*1000)</f>
        <v>32.771198143819447</v>
      </c>
      <c r="J97" s="116">
        <f>IF(TrRoad_act!J13=0,0,J33/TrRoad_act!J13*1000)</f>
        <v>31.996865428156891</v>
      </c>
      <c r="K97" s="116">
        <f>IF(TrRoad_act!K13=0,0,K33/TrRoad_act!K13*1000)</f>
        <v>32.918988411921021</v>
      </c>
      <c r="L97" s="116">
        <f>IF(TrRoad_act!L13=0,0,L33/TrRoad_act!L13*1000)</f>
        <v>32.407484491681828</v>
      </c>
      <c r="M97" s="116">
        <f>IF(TrRoad_act!M13=0,0,M33/TrRoad_act!M13*1000)</f>
        <v>31.558964176199446</v>
      </c>
      <c r="N97" s="116">
        <f>IF(TrRoad_act!N13=0,0,N33/TrRoad_act!N13*1000)</f>
        <v>30.998717276522481</v>
      </c>
      <c r="O97" s="116">
        <f>IF(TrRoad_act!O13=0,0,O33/TrRoad_act!O13*1000)</f>
        <v>30.553210622661624</v>
      </c>
      <c r="P97" s="116">
        <f>IF(TrRoad_act!P13=0,0,P33/TrRoad_act!P13*1000)</f>
        <v>30.133325139267345</v>
      </c>
      <c r="Q97" s="116">
        <f>IF(TrRoad_act!Q13=0,0,Q33/TrRoad_act!Q13*1000)</f>
        <v>29.610706245519737</v>
      </c>
      <c r="R97" s="116">
        <f>IF(TrRoad_act!R13=0,0,R33/TrRoad_act!R13*1000)</f>
        <v>29.827359817944785</v>
      </c>
      <c r="S97" s="116">
        <f>IF(TrRoad_act!S13=0,0,S33/TrRoad_act!S13*1000)</f>
        <v>30.029430420675542</v>
      </c>
      <c r="T97" s="116">
        <f>IF(TrRoad_act!T13=0,0,T33/TrRoad_act!T13*1000)</f>
        <v>30.039313032841143</v>
      </c>
      <c r="U97" s="116">
        <f>IF(TrRoad_act!U13=0,0,U33/TrRoad_act!U13*1000)</f>
        <v>29.618548987595997</v>
      </c>
      <c r="V97" s="116">
        <f>IF(TrRoad_act!V13=0,0,V33/TrRoad_act!V13*1000)</f>
        <v>42.991949785438436</v>
      </c>
      <c r="W97" s="116">
        <f>IF(TrRoad_act!W13=0,0,W33/TrRoad_act!W13*1000)</f>
        <v>39.729451503560192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19.119179493199525</v>
      </c>
      <c r="U98" s="101">
        <f>IF(TrRoad_act!U14=0,0,U34/TrRoad_act!U14*1000)</f>
        <v>19.127099438186047</v>
      </c>
      <c r="V98" s="101">
        <f>IF(TrRoad_act!V14=0,0,V34/TrRoad_act!V14*1000)</f>
        <v>20.797110329636478</v>
      </c>
      <c r="W98" s="101">
        <f>IF(TrRoad_act!W14=0,0,W34/TrRoad_act!W14*1000)</f>
        <v>20.681957146960126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39.311598209557545</v>
      </c>
      <c r="C99" s="101">
        <f>IF(TrRoad_act!C15=0,0,C36/TrRoad_act!C15*1000)</f>
        <v>38.112988002640343</v>
      </c>
      <c r="D99" s="101">
        <f>IF(TrRoad_act!D15=0,0,D36/TrRoad_act!D15*1000)</f>
        <v>36.9568252930735</v>
      </c>
      <c r="E99" s="101">
        <f>IF(TrRoad_act!E15=0,0,E36/TrRoad_act!E15*1000)</f>
        <v>36.237786514484981</v>
      </c>
      <c r="F99" s="101">
        <f>IF(TrRoad_act!F15=0,0,F36/TrRoad_act!F15*1000)</f>
        <v>34.841968318244227</v>
      </c>
      <c r="G99" s="101">
        <f>IF(TrRoad_act!G15=0,0,G36/TrRoad_act!G15*1000)</f>
        <v>34.339481726917064</v>
      </c>
      <c r="H99" s="101">
        <f>IF(TrRoad_act!H15=0,0,H36/TrRoad_act!H15*1000)</f>
        <v>33.428095308871399</v>
      </c>
      <c r="I99" s="101">
        <f>IF(TrRoad_act!I15=0,0,I36/TrRoad_act!I15*1000)</f>
        <v>32.791144406116985</v>
      </c>
      <c r="J99" s="101">
        <f>IF(TrRoad_act!J15=0,0,J36/TrRoad_act!J15*1000)</f>
        <v>32.014926486615245</v>
      </c>
      <c r="K99" s="101">
        <f>IF(TrRoad_act!K15=0,0,K36/TrRoad_act!K15*1000)</f>
        <v>32.930680485470248</v>
      </c>
      <c r="L99" s="101">
        <f>IF(TrRoad_act!L15=0,0,L36/TrRoad_act!L15*1000)</f>
        <v>32.418414410548763</v>
      </c>
      <c r="M99" s="101">
        <f>IF(TrRoad_act!M15=0,0,M36/TrRoad_act!M15*1000)</f>
        <v>31.569326157951245</v>
      </c>
      <c r="N99" s="101">
        <f>IF(TrRoad_act!N15=0,0,N36/TrRoad_act!N15*1000)</f>
        <v>31.009036822964202</v>
      </c>
      <c r="O99" s="101">
        <f>IF(TrRoad_act!O15=0,0,O36/TrRoad_act!O15*1000)</f>
        <v>30.57954051363556</v>
      </c>
      <c r="P99" s="101">
        <f>IF(TrRoad_act!P15=0,0,P36/TrRoad_act!P15*1000)</f>
        <v>30.154310210611495</v>
      </c>
      <c r="Q99" s="101">
        <f>IF(TrRoad_act!Q15=0,0,Q36/TrRoad_act!Q15*1000)</f>
        <v>29.631186916735171</v>
      </c>
      <c r="R99" s="101">
        <f>IF(TrRoad_act!R15=0,0,R36/TrRoad_act!R15*1000)</f>
        <v>29.847960204033445</v>
      </c>
      <c r="S99" s="101">
        <f>IF(TrRoad_act!S15=0,0,S36/TrRoad_act!S15*1000)</f>
        <v>30.093745651063923</v>
      </c>
      <c r="T99" s="101">
        <f>IF(TrRoad_act!T15=0,0,T36/TrRoad_act!T15*1000)</f>
        <v>30.266518242758778</v>
      </c>
      <c r="U99" s="101">
        <f>IF(TrRoad_act!U15=0,0,U36/TrRoad_act!U15*1000)</f>
        <v>30.452013197553011</v>
      </c>
      <c r="V99" s="101">
        <f>IF(TrRoad_act!V15=0,0,V36/TrRoad_act!V15*1000)</f>
        <v>44.767105580942122</v>
      </c>
      <c r="W99" s="101">
        <f>IF(TrRoad_act!W15=0,0,W36/TrRoad_act!W15*1000)</f>
        <v>41.755693379742517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25.920595687150485</v>
      </c>
      <c r="F102" s="101">
        <f>IF(TrRoad_act!F18=0,0,F41/TrRoad_act!F18*1000)</f>
        <v>25.300768510603117</v>
      </c>
      <c r="G102" s="101">
        <f>IF(TrRoad_act!G18=0,0,G41/TrRoad_act!G18*1000)</f>
        <v>25.278983973796276</v>
      </c>
      <c r="H102" s="101">
        <f>IF(TrRoad_act!H18=0,0,H41/TrRoad_act!H18*1000)</f>
        <v>24.91827753545277</v>
      </c>
      <c r="I102" s="101">
        <f>IF(TrRoad_act!I18=0,0,I41/TrRoad_act!I18*1000)</f>
        <v>24.643189206771432</v>
      </c>
      <c r="J102" s="101">
        <f>IF(TrRoad_act!J18=0,0,J41/TrRoad_act!J18*1000)</f>
        <v>24.317703763856255</v>
      </c>
      <c r="K102" s="101">
        <f>IF(TrRoad_act!K18=0,0,K41/TrRoad_act!K18*1000)</f>
        <v>25.220643076571402</v>
      </c>
      <c r="L102" s="101">
        <f>IF(TrRoad_act!L18=0,0,L41/TrRoad_act!L18*1000)</f>
        <v>25.009638323921436</v>
      </c>
      <c r="M102" s="101">
        <f>IF(TrRoad_act!M18=0,0,M41/TrRoad_act!M18*1000)</f>
        <v>24.38094839048717</v>
      </c>
      <c r="N102" s="101">
        <f>IF(TrRoad_act!N18=0,0,N41/TrRoad_act!N18*1000)</f>
        <v>23.880689617857165</v>
      </c>
      <c r="O102" s="101">
        <f>IF(TrRoad_act!O18=0,0,O41/TrRoad_act!O18*1000)</f>
        <v>21.471477397137697</v>
      </c>
      <c r="P102" s="101">
        <f>IF(TrRoad_act!P18=0,0,P41/TrRoad_act!P18*1000)</f>
        <v>20.566777584807131</v>
      </c>
      <c r="Q102" s="101">
        <f>IF(TrRoad_act!Q18=0,0,Q41/TrRoad_act!Q18*1000)</f>
        <v>20.037583422980383</v>
      </c>
      <c r="R102" s="101">
        <f>IF(TrRoad_act!R18=0,0,R41/TrRoad_act!R18*1000)</f>
        <v>20.040705281422543</v>
      </c>
      <c r="S102" s="101">
        <f>IF(TrRoad_act!S18=0,0,S41/TrRoad_act!S18*1000)</f>
        <v>18.238843462409996</v>
      </c>
      <c r="T102" s="101">
        <f>IF(TrRoad_act!T18=0,0,T41/TrRoad_act!T18*1000)</f>
        <v>18.06249155266266</v>
      </c>
      <c r="U102" s="101">
        <f>IF(TrRoad_act!U18=0,0,U41/TrRoad_act!U18*1000)</f>
        <v>17.841843068535024</v>
      </c>
      <c r="V102" s="101">
        <f>IF(TrRoad_act!V18=0,0,V41/TrRoad_act!V18*1000)</f>
        <v>25.942225168808928</v>
      </c>
      <c r="W102" s="101">
        <f>IF(TrRoad_act!W18=0,0,W41/TrRoad_act!W18*1000)</f>
        <v>24.030369149221407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448.16425797816686</v>
      </c>
      <c r="C103" s="29">
        <f>IF(TrRoad_act!C19=0,0,C42/TrRoad_act!C19*1000)</f>
        <v>440.83043529025264</v>
      </c>
      <c r="D103" s="29">
        <f>IF(TrRoad_act!D19=0,0,D42/TrRoad_act!D19*1000)</f>
        <v>425.40636560862276</v>
      </c>
      <c r="E103" s="29">
        <f>IF(TrRoad_act!E19=0,0,E42/TrRoad_act!E19*1000)</f>
        <v>492.41935327668324</v>
      </c>
      <c r="F103" s="29">
        <f>IF(TrRoad_act!F19=0,0,F42/TrRoad_act!F19*1000)</f>
        <v>597.12782424565285</v>
      </c>
      <c r="G103" s="29">
        <f>IF(TrRoad_act!G19=0,0,G42/TrRoad_act!G19*1000)</f>
        <v>676.57925722977268</v>
      </c>
      <c r="H103" s="29">
        <f>IF(TrRoad_act!H19=0,0,H42/TrRoad_act!H19*1000)</f>
        <v>637.53912711393377</v>
      </c>
      <c r="I103" s="29">
        <f>IF(TrRoad_act!I19=0,0,I42/TrRoad_act!I19*1000)</f>
        <v>574.35958081799481</v>
      </c>
      <c r="J103" s="29">
        <f>IF(TrRoad_act!J19=0,0,J42/TrRoad_act!J19*1000)</f>
        <v>532.90722389474251</v>
      </c>
      <c r="K103" s="29">
        <f>IF(TrRoad_act!K19=0,0,K42/TrRoad_act!K19*1000)</f>
        <v>514.66453840543591</v>
      </c>
      <c r="L103" s="29">
        <f>IF(TrRoad_act!L19=0,0,L42/TrRoad_act!L19*1000)</f>
        <v>541.07883841719536</v>
      </c>
      <c r="M103" s="29">
        <f>IF(TrRoad_act!M19=0,0,M42/TrRoad_act!M19*1000)</f>
        <v>555.06609473171568</v>
      </c>
      <c r="N103" s="29">
        <f>IF(TrRoad_act!N19=0,0,N42/TrRoad_act!N19*1000)</f>
        <v>409.24478510543787</v>
      </c>
      <c r="O103" s="29">
        <f>IF(TrRoad_act!O19=0,0,O42/TrRoad_act!O19*1000)</f>
        <v>458.01980360935704</v>
      </c>
      <c r="P103" s="29">
        <f>IF(TrRoad_act!P19=0,0,P42/TrRoad_act!P19*1000)</f>
        <v>366.85063640645529</v>
      </c>
      <c r="Q103" s="29">
        <f>IF(TrRoad_act!Q19=0,0,Q42/TrRoad_act!Q19*1000)</f>
        <v>386.40792633041809</v>
      </c>
      <c r="R103" s="29">
        <f>IF(TrRoad_act!R19=0,0,R42/TrRoad_act!R19*1000)</f>
        <v>350.4878356852555</v>
      </c>
      <c r="S103" s="29">
        <f>IF(TrRoad_act!S19=0,0,S42/TrRoad_act!S19*1000)</f>
        <v>363.91581251398571</v>
      </c>
      <c r="T103" s="29">
        <f>IF(TrRoad_act!T19=0,0,T42/TrRoad_act!T19*1000)</f>
        <v>462.36165386798791</v>
      </c>
      <c r="U103" s="29">
        <f>IF(TrRoad_act!U19=0,0,U42/TrRoad_act!U19*1000)</f>
        <v>477.94562198032526</v>
      </c>
      <c r="V103" s="29">
        <f>IF(TrRoad_act!V19=0,0,V42/TrRoad_act!V19*1000)</f>
        <v>417.4369734238366</v>
      </c>
      <c r="W103" s="29">
        <f>IF(TrRoad_act!W19=0,0,W42/TrRoad_act!W19*1000)</f>
        <v>386.13137384355554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470.56384558939004</v>
      </c>
      <c r="C104" s="152">
        <f>IF(TrRoad_act!C20=0,0,C43/TrRoad_act!C20*1000)</f>
        <v>449.36213543222607</v>
      </c>
      <c r="D104" s="152">
        <f>IF(TrRoad_act!D20=0,0,D43/TrRoad_act!D20*1000)</f>
        <v>435.16829253012446</v>
      </c>
      <c r="E104" s="152">
        <f>IF(TrRoad_act!E20=0,0,E43/TrRoad_act!E20*1000)</f>
        <v>424.33735071007351</v>
      </c>
      <c r="F104" s="152">
        <f>IF(TrRoad_act!F20=0,0,F43/TrRoad_act!F20*1000)</f>
        <v>413.19915016372261</v>
      </c>
      <c r="G104" s="152">
        <f>IF(TrRoad_act!G20=0,0,G43/TrRoad_act!G20*1000)</f>
        <v>404.7756778844074</v>
      </c>
      <c r="H104" s="152">
        <f>IF(TrRoad_act!H20=0,0,H43/TrRoad_act!H20*1000)</f>
        <v>397.78460600005036</v>
      </c>
      <c r="I104" s="152">
        <f>IF(TrRoad_act!I20=0,0,I43/TrRoad_act!I20*1000)</f>
        <v>392.64240527163327</v>
      </c>
      <c r="J104" s="152">
        <f>IF(TrRoad_act!J20=0,0,J43/TrRoad_act!J20*1000)</f>
        <v>385.69208718086094</v>
      </c>
      <c r="K104" s="152">
        <f>IF(TrRoad_act!K20=0,0,K43/TrRoad_act!K20*1000)</f>
        <v>382.09626381631</v>
      </c>
      <c r="L104" s="152">
        <f>IF(TrRoad_act!L20=0,0,L43/TrRoad_act!L20*1000)</f>
        <v>382.31500318584278</v>
      </c>
      <c r="M104" s="152">
        <f>IF(TrRoad_act!M20=0,0,M43/TrRoad_act!M20*1000)</f>
        <v>382.04300391964688</v>
      </c>
      <c r="N104" s="152">
        <f>IF(TrRoad_act!N20=0,0,N43/TrRoad_act!N20*1000)</f>
        <v>375.44909275174848</v>
      </c>
      <c r="O104" s="152">
        <f>IF(TrRoad_act!O20=0,0,O43/TrRoad_act!O20*1000)</f>
        <v>368.66999485987913</v>
      </c>
      <c r="P104" s="152">
        <f>IF(TrRoad_act!P20=0,0,P43/TrRoad_act!P20*1000)</f>
        <v>366.46208840603788</v>
      </c>
      <c r="Q104" s="152">
        <f>IF(TrRoad_act!Q20=0,0,Q43/TrRoad_act!Q20*1000)</f>
        <v>361.76459784848976</v>
      </c>
      <c r="R104" s="152">
        <f>IF(TrRoad_act!R20=0,0,R43/TrRoad_act!R20*1000)</f>
        <v>356.8121842062813</v>
      </c>
      <c r="S104" s="152">
        <f>IF(TrRoad_act!S20=0,0,S43/TrRoad_act!S20*1000)</f>
        <v>347.7690912304281</v>
      </c>
      <c r="T104" s="152">
        <f>IF(TrRoad_act!T20=0,0,T43/TrRoad_act!T20*1000)</f>
        <v>341.80014621513988</v>
      </c>
      <c r="U104" s="152">
        <f>IF(TrRoad_act!U20=0,0,U43/TrRoad_act!U20*1000)</f>
        <v>336.89573513555041</v>
      </c>
      <c r="V104" s="152">
        <f>IF(TrRoad_act!V20=0,0,V43/TrRoad_act!V20*1000)</f>
        <v>334.05286894187839</v>
      </c>
      <c r="W104" s="152">
        <f>IF(TrRoad_act!W20=0,0,W43/TrRoad_act!W20*1000)</f>
        <v>331.13808572656177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530.39372726458544</v>
      </c>
      <c r="C105" s="87">
        <f>IF(TrRoad_act!C21=0,0,C44/TrRoad_act!C21*1000)</f>
        <v>525.73613071067075</v>
      </c>
      <c r="D105" s="87">
        <f>IF(TrRoad_act!D21=0,0,D44/TrRoad_act!D21*1000)</f>
        <v>520.67328059311694</v>
      </c>
      <c r="E105" s="87">
        <f>IF(TrRoad_act!E21=0,0,E44/TrRoad_act!E21*1000)</f>
        <v>510.55659523915153</v>
      </c>
      <c r="F105" s="87">
        <f>IF(TrRoad_act!F21=0,0,F44/TrRoad_act!F21*1000)</f>
        <v>499.57554699684221</v>
      </c>
      <c r="G105" s="87">
        <f>IF(TrRoad_act!G21=0,0,G44/TrRoad_act!G21*1000)</f>
        <v>487.57131314148774</v>
      </c>
      <c r="H105" s="87">
        <f>IF(TrRoad_act!H21=0,0,H44/TrRoad_act!H21*1000)</f>
        <v>476.10847970684341</v>
      </c>
      <c r="I105" s="87">
        <f>IF(TrRoad_act!I21=0,0,I44/TrRoad_act!I21*1000)</f>
        <v>464.67173103204073</v>
      </c>
      <c r="J105" s="87">
        <f>IF(TrRoad_act!J21=0,0,J44/TrRoad_act!J21*1000)</f>
        <v>449.02557599536567</v>
      </c>
      <c r="K105" s="87">
        <f>IF(TrRoad_act!K21=0,0,K44/TrRoad_act!K21*1000)</f>
        <v>430.96987615745479</v>
      </c>
      <c r="L105" s="87">
        <f>IF(TrRoad_act!L21=0,0,L44/TrRoad_act!L21*1000)</f>
        <v>422.30334693872965</v>
      </c>
      <c r="M105" s="87">
        <f>IF(TrRoad_act!M21=0,0,M44/TrRoad_act!M21*1000)</f>
        <v>415.53418708537924</v>
      </c>
      <c r="N105" s="87">
        <f>IF(TrRoad_act!N21=0,0,N44/TrRoad_act!N21*1000)</f>
        <v>406.36798231079712</v>
      </c>
      <c r="O105" s="87">
        <f>IF(TrRoad_act!O21=0,0,O44/TrRoad_act!O21*1000)</f>
        <v>402.95681603225773</v>
      </c>
      <c r="P105" s="87">
        <f>IF(TrRoad_act!P21=0,0,P44/TrRoad_act!P21*1000)</f>
        <v>403.22138468331468</v>
      </c>
      <c r="Q105" s="87">
        <f>IF(TrRoad_act!Q21=0,0,Q44/TrRoad_act!Q21*1000)</f>
        <v>403.43156694954286</v>
      </c>
      <c r="R105" s="87">
        <f>IF(TrRoad_act!R21=0,0,R44/TrRoad_act!R21*1000)</f>
        <v>400.12474370541139</v>
      </c>
      <c r="S105" s="87">
        <f>IF(TrRoad_act!S21=0,0,S44/TrRoad_act!S21*1000)</f>
        <v>391.99556365353141</v>
      </c>
      <c r="T105" s="87">
        <f>IF(TrRoad_act!T21=0,0,T44/TrRoad_act!T21*1000)</f>
        <v>389.03859243017894</v>
      </c>
      <c r="U105" s="87">
        <f>IF(TrRoad_act!U21=0,0,U44/TrRoad_act!U21*1000)</f>
        <v>387.40697730730227</v>
      </c>
      <c r="V105" s="87">
        <f>IF(TrRoad_act!V21=0,0,V44/TrRoad_act!V21*1000)</f>
        <v>382.65009707867193</v>
      </c>
      <c r="W105" s="87">
        <f>IF(TrRoad_act!W21=0,0,W44/TrRoad_act!W21*1000)</f>
        <v>377.44377447959499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465.22865406329186</v>
      </c>
      <c r="C106" s="87">
        <f>IF(TrRoad_act!C22=0,0,C46/TrRoad_act!C22*1000)</f>
        <v>443.76638449016798</v>
      </c>
      <c r="D106" s="87">
        <f>IF(TrRoad_act!D22=0,0,D46/TrRoad_act!D22*1000)</f>
        <v>429.89482526512745</v>
      </c>
      <c r="E106" s="87">
        <f>IF(TrRoad_act!E22=0,0,E46/TrRoad_act!E22*1000)</f>
        <v>419.75918684163855</v>
      </c>
      <c r="F106" s="87">
        <f>IF(TrRoad_act!F22=0,0,F46/TrRoad_act!F22*1000)</f>
        <v>409.35544812690756</v>
      </c>
      <c r="G106" s="87">
        <f>IF(TrRoad_act!G22=0,0,G46/TrRoad_act!G22*1000)</f>
        <v>401.69892678010541</v>
      </c>
      <c r="H106" s="87">
        <f>IF(TrRoad_act!H22=0,0,H46/TrRoad_act!H22*1000)</f>
        <v>395.32268248252825</v>
      </c>
      <c r="I106" s="87">
        <f>IF(TrRoad_act!I22=0,0,I46/TrRoad_act!I22*1000)</f>
        <v>390.70821957946754</v>
      </c>
      <c r="J106" s="87">
        <f>IF(TrRoad_act!J22=0,0,J46/TrRoad_act!J22*1000)</f>
        <v>384.1582349290087</v>
      </c>
      <c r="K106" s="87">
        <f>IF(TrRoad_act!K22=0,0,K46/TrRoad_act!K22*1000)</f>
        <v>381.08611365647585</v>
      </c>
      <c r="L106" s="87">
        <f>IF(TrRoad_act!L22=0,0,L46/TrRoad_act!L22*1000)</f>
        <v>381.55623259514113</v>
      </c>
      <c r="M106" s="87">
        <f>IF(TrRoad_act!M22=0,0,M46/TrRoad_act!M22*1000)</f>
        <v>381.46923422842104</v>
      </c>
      <c r="N106" s="87">
        <f>IF(TrRoad_act!N22=0,0,N46/TrRoad_act!N22*1000)</f>
        <v>375.14133523901535</v>
      </c>
      <c r="O106" s="87">
        <f>IF(TrRoad_act!O22=0,0,O46/TrRoad_act!O22*1000)</f>
        <v>368.54364554134509</v>
      </c>
      <c r="P106" s="87">
        <f>IF(TrRoad_act!P22=0,0,P46/TrRoad_act!P22*1000)</f>
        <v>366.3944575774633</v>
      </c>
      <c r="Q106" s="87">
        <f>IF(TrRoad_act!Q22=0,0,Q46/TrRoad_act!Q22*1000)</f>
        <v>361.76595338009992</v>
      </c>
      <c r="R106" s="87">
        <f>IF(TrRoad_act!R22=0,0,R46/TrRoad_act!R22*1000)</f>
        <v>356.82938761422605</v>
      </c>
      <c r="S106" s="87">
        <f>IF(TrRoad_act!S22=0,0,S46/TrRoad_act!S22*1000)</f>
        <v>347.95854412054098</v>
      </c>
      <c r="T106" s="87">
        <f>IF(TrRoad_act!T22=0,0,T46/TrRoad_act!T22*1000)</f>
        <v>342.19568723495121</v>
      </c>
      <c r="U106" s="87">
        <f>IF(TrRoad_act!U22=0,0,U46/TrRoad_act!U22*1000)</f>
        <v>337.48638649165486</v>
      </c>
      <c r="V106" s="87">
        <f>IF(TrRoad_act!V22=0,0,V46/TrRoad_act!V22*1000)</f>
        <v>334.82605742731295</v>
      </c>
      <c r="W106" s="87">
        <f>IF(TrRoad_act!W22=0,0,W46/TrRoad_act!W22*1000)</f>
        <v>332.4287932740437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523.44978984353668</v>
      </c>
      <c r="P107" s="87">
        <f>IF(TrRoad_act!P23=0,0,P48/TrRoad_act!P23*1000)</f>
        <v>525.06270683313846</v>
      </c>
      <c r="Q107" s="87">
        <f>IF(TrRoad_act!Q23=0,0,Q48/TrRoad_act!Q23*1000)</f>
        <v>527.04102166845041</v>
      </c>
      <c r="R107" s="87">
        <f>IF(TrRoad_act!R23=0,0,R48/TrRoad_act!R23*1000)</f>
        <v>526.76532036751189</v>
      </c>
      <c r="S107" s="87">
        <f>IF(TrRoad_act!S23=0,0,S48/TrRoad_act!S23*1000)</f>
        <v>512.03576703944952</v>
      </c>
      <c r="T107" s="87">
        <f>IF(TrRoad_act!T23=0,0,T48/TrRoad_act!T23*1000)</f>
        <v>491.51071992036458</v>
      </c>
      <c r="U107" s="87">
        <f>IF(TrRoad_act!U23=0,0,U48/TrRoad_act!U23*1000)</f>
        <v>415.60001875465372</v>
      </c>
      <c r="V107" s="87">
        <f>IF(TrRoad_act!V23=0,0,V48/TrRoad_act!V23*1000)</f>
        <v>411.81123112793659</v>
      </c>
      <c r="W107" s="87">
        <f>IF(TrRoad_act!W23=0,0,W48/TrRoad_act!W23*1000)</f>
        <v>408.93671258762299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59.390663293038365</v>
      </c>
      <c r="I109" s="87">
        <f>IF(TrRoad_act!I25=0,0,I51/TrRoad_act!I25*1000)</f>
        <v>59.411748156563689</v>
      </c>
      <c r="J109" s="87">
        <f>IF(TrRoad_act!J25=0,0,J51/TrRoad_act!J25*1000)</f>
        <v>59.419671937217977</v>
      </c>
      <c r="K109" s="87">
        <f>IF(TrRoad_act!K25=0,0,K51/TrRoad_act!K25*1000)</f>
        <v>59.692745789393996</v>
      </c>
      <c r="L109" s="87">
        <f>IF(TrRoad_act!L25=0,0,L51/TrRoad_act!L25*1000)</f>
        <v>59.695614224886974</v>
      </c>
      <c r="M109" s="87">
        <f>IF(TrRoad_act!M25=0,0,M51/TrRoad_act!M25*1000)</f>
        <v>59.698782997503123</v>
      </c>
      <c r="N109" s="87">
        <f>IF(TrRoad_act!N25=0,0,N51/TrRoad_act!N25*1000)</f>
        <v>60.565394366071807</v>
      </c>
      <c r="O109" s="87">
        <f>IF(TrRoad_act!O25=0,0,O51/TrRoad_act!O25*1000)</f>
        <v>58.594740429200257</v>
      </c>
      <c r="P109" s="87">
        <f>IF(TrRoad_act!P25=0,0,P51/TrRoad_act!P25*1000)</f>
        <v>58.658986918794206</v>
      </c>
      <c r="Q109" s="87">
        <f>IF(TrRoad_act!Q25=0,0,Q51/TrRoad_act!Q25*1000)</f>
        <v>59.702634748746249</v>
      </c>
      <c r="R109" s="87">
        <f>IF(TrRoad_act!R25=0,0,R51/TrRoad_act!R25*1000)</f>
        <v>60.406361431657849</v>
      </c>
      <c r="S109" s="87">
        <f>IF(TrRoad_act!S25=0,0,S51/TrRoad_act!S25*1000)</f>
        <v>61.573924965193306</v>
      </c>
      <c r="T109" s="87">
        <f>IF(TrRoad_act!T25=0,0,T51/TrRoad_act!T25*1000)</f>
        <v>63.809534549601118</v>
      </c>
      <c r="U109" s="87">
        <f>IF(TrRoad_act!U25=0,0,U51/TrRoad_act!U25*1000)</f>
        <v>72.620057249261322</v>
      </c>
      <c r="V109" s="87">
        <f>IF(TrRoad_act!V25=0,0,V51/TrRoad_act!V25*1000)</f>
        <v>78.311227995992056</v>
      </c>
      <c r="W109" s="87">
        <f>IF(TrRoad_act!W25=0,0,W51/TrRoad_act!W25*1000)</f>
        <v>83.959440344689099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447.05557795451506</v>
      </c>
      <c r="C110" s="116">
        <f>IF(TrRoad_act!C26=0,0,C52/TrRoad_act!C26*1000)</f>
        <v>440.4163103326083</v>
      </c>
      <c r="D110" s="116">
        <f>IF(TrRoad_act!D26=0,0,D52/TrRoad_act!D26*1000)</f>
        <v>424.94376378580091</v>
      </c>
      <c r="E110" s="116">
        <f>IF(TrRoad_act!E26=0,0,E52/TrRoad_act!E26*1000)</f>
        <v>495.79013872118685</v>
      </c>
      <c r="F110" s="116">
        <f>IF(TrRoad_act!F26=0,0,F52/TrRoad_act!F26*1000)</f>
        <v>605.84223585323934</v>
      </c>
      <c r="G110" s="116">
        <f>IF(TrRoad_act!G26=0,0,G52/TrRoad_act!G26*1000)</f>
        <v>690.24183104060205</v>
      </c>
      <c r="H110" s="116">
        <f>IF(TrRoad_act!H26=0,0,H52/TrRoad_act!H26*1000)</f>
        <v>650.15032684773985</v>
      </c>
      <c r="I110" s="116">
        <f>IF(TrRoad_act!I26=0,0,I52/TrRoad_act!I26*1000)</f>
        <v>584.17986991713133</v>
      </c>
      <c r="J110" s="116">
        <f>IF(TrRoad_act!J26=0,0,J52/TrRoad_act!J26*1000)</f>
        <v>540.69348923945461</v>
      </c>
      <c r="K110" s="116">
        <f>IF(TrRoad_act!K26=0,0,K52/TrRoad_act!K26*1000)</f>
        <v>522.54450207061439</v>
      </c>
      <c r="L110" s="116">
        <f>IF(TrRoad_act!L26=0,0,L52/TrRoad_act!L26*1000)</f>
        <v>550.25491108656649</v>
      </c>
      <c r="M110" s="116">
        <f>IF(TrRoad_act!M26=0,0,M52/TrRoad_act!M26*1000)</f>
        <v>565.36534601972289</v>
      </c>
      <c r="N110" s="116">
        <f>IF(TrRoad_act!N26=0,0,N52/TrRoad_act!N26*1000)</f>
        <v>410.89745149440887</v>
      </c>
      <c r="O110" s="116">
        <f>IF(TrRoad_act!O26=0,0,O52/TrRoad_act!O26*1000)</f>
        <v>463.03656779287911</v>
      </c>
      <c r="P110" s="116">
        <f>IF(TrRoad_act!P26=0,0,P52/TrRoad_act!P26*1000)</f>
        <v>366.87008059533326</v>
      </c>
      <c r="Q110" s="116">
        <f>IF(TrRoad_act!Q26=0,0,Q52/TrRoad_act!Q26*1000)</f>
        <v>387.91573121305765</v>
      </c>
      <c r="R110" s="116">
        <f>IF(TrRoad_act!R26=0,0,R52/TrRoad_act!R26*1000)</f>
        <v>350.10688532159861</v>
      </c>
      <c r="S110" s="116">
        <f>IF(TrRoad_act!S26=0,0,S52/TrRoad_act!S26*1000)</f>
        <v>364.90922752301174</v>
      </c>
      <c r="T110" s="116">
        <f>IF(TrRoad_act!T26=0,0,T52/TrRoad_act!T26*1000)</f>
        <v>471.51060703037274</v>
      </c>
      <c r="U110" s="116">
        <f>IF(TrRoad_act!U26=0,0,U52/TrRoad_act!U26*1000)</f>
        <v>488.67786428439518</v>
      </c>
      <c r="V110" s="116">
        <f>IF(TrRoad_act!V26=0,0,V52/TrRoad_act!V26*1000)</f>
        <v>424.7754694793494</v>
      </c>
      <c r="W110" s="116">
        <f>IF(TrRoad_act!W26=0,0,W52/TrRoad_act!W26*1000)</f>
        <v>390.67288725766394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66.349003991374303</v>
      </c>
      <c r="C111" s="101">
        <f>IF(TrRoad_act!C27=0,0,C53/TrRoad_act!C27*1000)</f>
        <v>64.41300309128107</v>
      </c>
      <c r="D111" s="101">
        <f>IF(TrRoad_act!D27=0,0,D53/TrRoad_act!D27*1000)</f>
        <v>62.423339923367095</v>
      </c>
      <c r="E111" s="101">
        <f>IF(TrRoad_act!E27=0,0,E53/TrRoad_act!E27*1000)</f>
        <v>64.822385737009839</v>
      </c>
      <c r="F111" s="101">
        <f>IF(TrRoad_act!F27=0,0,F53/TrRoad_act!F27*1000)</f>
        <v>67.044518857192273</v>
      </c>
      <c r="G111" s="101">
        <f>IF(TrRoad_act!G27=0,0,G53/TrRoad_act!G27*1000)</f>
        <v>72.042297435003547</v>
      </c>
      <c r="H111" s="101">
        <f>IF(TrRoad_act!H27=0,0,H53/TrRoad_act!H27*1000)</f>
        <v>71.060978598328603</v>
      </c>
      <c r="I111" s="101">
        <f>IF(TrRoad_act!I27=0,0,I53/TrRoad_act!I27*1000)</f>
        <v>67.918484424391238</v>
      </c>
      <c r="J111" s="101">
        <f>IF(TrRoad_act!J27=0,0,J53/TrRoad_act!J27*1000)</f>
        <v>61.923818778489007</v>
      </c>
      <c r="K111" s="101">
        <f>IF(TrRoad_act!K27=0,0,K53/TrRoad_act!K27*1000)</f>
        <v>42.026405098930006</v>
      </c>
      <c r="L111" s="101">
        <f>IF(TrRoad_act!L27=0,0,L53/TrRoad_act!L27*1000)</f>
        <v>43.616902313281265</v>
      </c>
      <c r="M111" s="101">
        <f>IF(TrRoad_act!M27=0,0,M53/TrRoad_act!M27*1000)</f>
        <v>41.797136749236522</v>
      </c>
      <c r="N111" s="101">
        <f>IF(TrRoad_act!N27=0,0,N53/TrRoad_act!N27*1000)</f>
        <v>38.20096672879491</v>
      </c>
      <c r="O111" s="101">
        <f>IF(TrRoad_act!O27=0,0,O53/TrRoad_act!O27*1000)</f>
        <v>41.221907380838388</v>
      </c>
      <c r="P111" s="101">
        <f>IF(TrRoad_act!P27=0,0,P53/TrRoad_act!P27*1000)</f>
        <v>36.720262104358163</v>
      </c>
      <c r="Q111" s="101">
        <f>IF(TrRoad_act!Q27=0,0,Q53/TrRoad_act!Q27*1000)</f>
        <v>37.005106474210855</v>
      </c>
      <c r="R111" s="101">
        <f>IF(TrRoad_act!R27=0,0,R53/TrRoad_act!R27*1000)</f>
        <v>34.336535573224076</v>
      </c>
      <c r="S111" s="101">
        <f>IF(TrRoad_act!S27=0,0,S53/TrRoad_act!S27*1000)</f>
        <v>34.907196838107275</v>
      </c>
      <c r="T111" s="101">
        <f>IF(TrRoad_act!T27=0,0,T53/TrRoad_act!T27*1000)</f>
        <v>57.078398691246093</v>
      </c>
      <c r="U111" s="101">
        <f>IF(TrRoad_act!U27=0,0,U53/TrRoad_act!U27*1000)</f>
        <v>55.345105084282714</v>
      </c>
      <c r="V111" s="101">
        <f>IF(TrRoad_act!V27=0,0,V53/TrRoad_act!V27*1000)</f>
        <v>58.849511592289524</v>
      </c>
      <c r="W111" s="101">
        <f>IF(TrRoad_act!W27=0,0,W53/TrRoad_act!W27*1000)</f>
        <v>56.768329700694679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605.15192138818031</v>
      </c>
      <c r="C112" s="88">
        <f>IF(TrRoad_act!C28=0,0,C55/TrRoad_act!C28*1000)</f>
        <v>611.4673009081165</v>
      </c>
      <c r="D112" s="88">
        <f>IF(TrRoad_act!D28=0,0,D55/TrRoad_act!D28*1000)</f>
        <v>611.375542355417</v>
      </c>
      <c r="E112" s="88">
        <f>IF(TrRoad_act!E28=0,0,E55/TrRoad_act!E28*1000)</f>
        <v>707.17684157522945</v>
      </c>
      <c r="F112" s="88">
        <f>IF(TrRoad_act!F28=0,0,F55/TrRoad_act!F28*1000)</f>
        <v>827.07661352344326</v>
      </c>
      <c r="G112" s="88">
        <f>IF(TrRoad_act!G28=0,0,G55/TrRoad_act!G28*1000)</f>
        <v>910.75637487807637</v>
      </c>
      <c r="H112" s="88">
        <f>IF(TrRoad_act!H28=0,0,H55/TrRoad_act!H28*1000)</f>
        <v>883.12763984801495</v>
      </c>
      <c r="I112" s="88">
        <f>IF(TrRoad_act!I28=0,0,I55/TrRoad_act!I28*1000)</f>
        <v>778.92929775457264</v>
      </c>
      <c r="J112" s="88">
        <f>IF(TrRoad_act!J28=0,0,J55/TrRoad_act!J28*1000)</f>
        <v>704.16325724979822</v>
      </c>
      <c r="K112" s="88">
        <f>IF(TrRoad_act!K28=0,0,K55/TrRoad_act!K28*1000)</f>
        <v>700.50458000112565</v>
      </c>
      <c r="L112" s="88">
        <f>IF(TrRoad_act!L28=0,0,L55/TrRoad_act!L28*1000)</f>
        <v>740.25401214223552</v>
      </c>
      <c r="M112" s="88">
        <f>IF(TrRoad_act!M28=0,0,M55/TrRoad_act!M28*1000)</f>
        <v>791.17766305084876</v>
      </c>
      <c r="N112" s="88">
        <f>IF(TrRoad_act!N28=0,0,N55/TrRoad_act!N28*1000)</f>
        <v>641.48507015790267</v>
      </c>
      <c r="O112" s="88">
        <f>IF(TrRoad_act!O28=0,0,O55/TrRoad_act!O28*1000)</f>
        <v>657.83702930780828</v>
      </c>
      <c r="P112" s="88">
        <f>IF(TrRoad_act!P28=0,0,P55/TrRoad_act!P28*1000)</f>
        <v>575.95268516659189</v>
      </c>
      <c r="Q112" s="88">
        <f>IF(TrRoad_act!Q28=0,0,Q55/TrRoad_act!Q28*1000)</f>
        <v>614.66692214013904</v>
      </c>
      <c r="R112" s="88">
        <f>IF(TrRoad_act!R28=0,0,R55/TrRoad_act!R28*1000)</f>
        <v>559.3642308128268</v>
      </c>
      <c r="S112" s="88">
        <f>IF(TrRoad_act!S28=0,0,S55/TrRoad_act!S28*1000)</f>
        <v>561.05851817642929</v>
      </c>
      <c r="T112" s="88">
        <f>IF(TrRoad_act!T28=0,0,T55/TrRoad_act!T28*1000)</f>
        <v>632.45756909244653</v>
      </c>
      <c r="U112" s="88">
        <f>IF(TrRoad_act!U28=0,0,U55/TrRoad_act!U28*1000)</f>
        <v>656.47689992075971</v>
      </c>
      <c r="V112" s="88">
        <f>IF(TrRoad_act!V28=0,0,V55/TrRoad_act!V28*1000)</f>
        <v>543.57354094077732</v>
      </c>
      <c r="W112" s="88">
        <f>IF(TrRoad_act!W28=0,0,W55/TrRoad_act!W28*1000)</f>
        <v>512.00391724179383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174.52578354290952</v>
      </c>
      <c r="C116" s="152">
        <f>IF(C19=0,0,1000000*C19/TrRoad_act!C59)</f>
        <v>158.48654532001487</v>
      </c>
      <c r="D116" s="152">
        <f>IF(D19=0,0,1000000*D19/TrRoad_act!D59)</f>
        <v>147.62802877650603</v>
      </c>
      <c r="E116" s="152">
        <f>IF(E19=0,0,1000000*E19/TrRoad_act!E59)</f>
        <v>133.61254931981881</v>
      </c>
      <c r="F116" s="152">
        <f>IF(F19=0,0,1000000*F19/TrRoad_act!F59)</f>
        <v>128.32979727531387</v>
      </c>
      <c r="G116" s="152">
        <f>IF(G19=0,0,1000000*G19/TrRoad_act!G59)</f>
        <v>119.64138091613067</v>
      </c>
      <c r="H116" s="152">
        <f>IF(H19=0,0,1000000*H19/TrRoad_act!H59)</f>
        <v>111.05369148884975</v>
      </c>
      <c r="I116" s="152">
        <f>IF(I19=0,0,1000000*I19/TrRoad_act!I59)</f>
        <v>102.95190446310123</v>
      </c>
      <c r="J116" s="152">
        <f>IF(J19=0,0,1000000*J19/TrRoad_act!J59)</f>
        <v>96.98166431307213</v>
      </c>
      <c r="K116" s="152">
        <f>IF(K19=0,0,1000000*K19/TrRoad_act!K59)</f>
        <v>92.467556238097941</v>
      </c>
      <c r="L116" s="152">
        <f>IF(L19=0,0,1000000*L19/TrRoad_act!L59)</f>
        <v>88.483211287536022</v>
      </c>
      <c r="M116" s="152">
        <f>IF(M19=0,0,1000000*M19/TrRoad_act!M59)</f>
        <v>85.53450395978885</v>
      </c>
      <c r="N116" s="152">
        <f>IF(N19=0,0,1000000*N19/TrRoad_act!N59)</f>
        <v>85.365087898224957</v>
      </c>
      <c r="O116" s="152">
        <f>IF(O19=0,0,1000000*O19/TrRoad_act!O59)</f>
        <v>82.216174039583507</v>
      </c>
      <c r="P116" s="152">
        <f>IF(P19=0,0,1000000*P19/TrRoad_act!P59)</f>
        <v>80.116407737760639</v>
      </c>
      <c r="Q116" s="152">
        <f>IF(Q19=0,0,1000000*Q19/TrRoad_act!Q59)</f>
        <v>79.799130732143198</v>
      </c>
      <c r="R116" s="152">
        <f>IF(R19=0,0,1000000*R19/TrRoad_act!R59)</f>
        <v>79.836064123274497</v>
      </c>
      <c r="S116" s="152">
        <f>IF(S19=0,0,1000000*S19/TrRoad_act!S59)</f>
        <v>74.377740617704475</v>
      </c>
      <c r="T116" s="152">
        <f>IF(T19=0,0,1000000*T19/TrRoad_act!T59)</f>
        <v>70.19949840042122</v>
      </c>
      <c r="U116" s="152">
        <f>IF(U19=0,0,1000000*U19/TrRoad_act!U59)</f>
        <v>72.733974261712916</v>
      </c>
      <c r="V116" s="152">
        <f>IF(V19=0,0,1000000*V19/TrRoad_act!V59)</f>
        <v>62.120958541844132</v>
      </c>
      <c r="W116" s="152">
        <f>IF(W19=0,0,1000000*W19/TrRoad_act!W59)</f>
        <v>56.468854333283126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3224.1378819579463</v>
      </c>
      <c r="C117" s="116">
        <f>IF(C21=0,0,1000000*C21/TrRoad_act!C60)</f>
        <v>3237.5160504588698</v>
      </c>
      <c r="D117" s="116">
        <f>IF(D21=0,0,1000000*D21/TrRoad_act!D60)</f>
        <v>3245.0321669742889</v>
      </c>
      <c r="E117" s="116">
        <f>IF(E21=0,0,1000000*E21/TrRoad_act!E60)</f>
        <v>3371.0702494644438</v>
      </c>
      <c r="F117" s="116">
        <f>IF(F21=0,0,1000000*F21/TrRoad_act!F60)</f>
        <v>3370.6472155229217</v>
      </c>
      <c r="G117" s="116">
        <f>IF(G21=0,0,1000000*G21/TrRoad_act!G60)</f>
        <v>3167.3438006628007</v>
      </c>
      <c r="H117" s="116">
        <f>IF(H21=0,0,1000000*H21/TrRoad_act!H60)</f>
        <v>2963.25075458024</v>
      </c>
      <c r="I117" s="116">
        <f>IF(I21=0,0,1000000*I21/TrRoad_act!I60)</f>
        <v>2948.6037469376688</v>
      </c>
      <c r="J117" s="116">
        <f>IF(J21=0,0,1000000*J21/TrRoad_act!J60)</f>
        <v>2942.224611854157</v>
      </c>
      <c r="K117" s="116">
        <f>IF(K21=0,0,1000000*K21/TrRoad_act!K60)</f>
        <v>2851.877803390722</v>
      </c>
      <c r="L117" s="116">
        <f>IF(L21=0,0,1000000*L21/TrRoad_act!L60)</f>
        <v>2740.154491520836</v>
      </c>
      <c r="M117" s="116">
        <f>IF(M21=0,0,1000000*M21/TrRoad_act!M60)</f>
        <v>2866.0338211929679</v>
      </c>
      <c r="N117" s="116">
        <f>IF(N21=0,0,1000000*N21/TrRoad_act!N60)</f>
        <v>2770.9425108638056</v>
      </c>
      <c r="O117" s="116">
        <f>IF(O21=0,0,1000000*O21/TrRoad_act!O60)</f>
        <v>2554.1777161479322</v>
      </c>
      <c r="P117" s="116">
        <f>IF(P21=0,0,1000000*P21/TrRoad_act!P60)</f>
        <v>2461.4092687599982</v>
      </c>
      <c r="Q117" s="116">
        <f>IF(Q21=0,0,1000000*Q21/TrRoad_act!Q60)</f>
        <v>2326.8850802465467</v>
      </c>
      <c r="R117" s="116">
        <f>IF(R21=0,0,1000000*R21/TrRoad_act!R60)</f>
        <v>2204.4720435643617</v>
      </c>
      <c r="S117" s="116">
        <f>IF(S21=0,0,1000000*S21/TrRoad_act!S60)</f>
        <v>2124.8285162070988</v>
      </c>
      <c r="T117" s="116">
        <f>IF(T21=0,0,1000000*T21/TrRoad_act!T60)</f>
        <v>2156.6135028844405</v>
      </c>
      <c r="U117" s="116">
        <f>IF(U21=0,0,1000000*U21/TrRoad_act!U60)</f>
        <v>2049.8271904860953</v>
      </c>
      <c r="V117" s="116">
        <f>IF(V21=0,0,1000000*V21/TrRoad_act!V60)</f>
        <v>1547.1812996163042</v>
      </c>
      <c r="W117" s="116">
        <f>IF(W21=0,0,1000000*W21/TrRoad_act!W60)</f>
        <v>1701.2591552372198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3051.8932862111674</v>
      </c>
      <c r="C118" s="87">
        <f>IF(C22=0,0,1000000*C22/TrRoad_act!C61)</f>
        <v>3105.1972066974822</v>
      </c>
      <c r="D118" s="87">
        <f>IF(D22=0,0,1000000*D22/TrRoad_act!D61)</f>
        <v>3142.1362352993083</v>
      </c>
      <c r="E118" s="87">
        <f>IF(E22=0,0,1000000*E22/TrRoad_act!E61)</f>
        <v>3315.7479388771008</v>
      </c>
      <c r="F118" s="87">
        <f>IF(F22=0,0,1000000*F22/TrRoad_act!F61)</f>
        <v>3406.2211027045646</v>
      </c>
      <c r="G118" s="87">
        <f>IF(G22=0,0,1000000*G22/TrRoad_act!G61)</f>
        <v>3296.9200399575593</v>
      </c>
      <c r="H118" s="87">
        <f>IF(H22=0,0,1000000*H22/TrRoad_act!H61)</f>
        <v>3149.0197109863184</v>
      </c>
      <c r="I118" s="87">
        <f>IF(I22=0,0,1000000*I22/TrRoad_act!I61)</f>
        <v>3212.5496356047061</v>
      </c>
      <c r="J118" s="87">
        <f>IF(J22=0,0,1000000*J22/TrRoad_act!J61)</f>
        <v>3200.0912064640634</v>
      </c>
      <c r="K118" s="87">
        <f>IF(K22=0,0,1000000*K22/TrRoad_act!K61)</f>
        <v>3085.728431182567</v>
      </c>
      <c r="L118" s="87">
        <f>IF(L22=0,0,1000000*L22/TrRoad_act!L61)</f>
        <v>2955.4457746144585</v>
      </c>
      <c r="M118" s="87">
        <f>IF(M22=0,0,1000000*M22/TrRoad_act!M61)</f>
        <v>3073.2454428250076</v>
      </c>
      <c r="N118" s="87">
        <f>IF(N22=0,0,1000000*N22/TrRoad_act!N61)</f>
        <v>2927.7755768502921</v>
      </c>
      <c r="O118" s="87">
        <f>IF(O22=0,0,1000000*O22/TrRoad_act!O61)</f>
        <v>2625.3979531517139</v>
      </c>
      <c r="P118" s="87">
        <f>IF(P22=0,0,1000000*P22/TrRoad_act!P61)</f>
        <v>2472.3221353874765</v>
      </c>
      <c r="Q118" s="87">
        <f>IF(Q22=0,0,1000000*Q22/TrRoad_act!Q61)</f>
        <v>2266.4974917551631</v>
      </c>
      <c r="R118" s="87">
        <f>IF(R22=0,0,1000000*R22/TrRoad_act!R61)</f>
        <v>2097.3624154947843</v>
      </c>
      <c r="S118" s="87">
        <f>IF(S22=0,0,1000000*S22/TrRoad_act!S61)</f>
        <v>2009.3508094641763</v>
      </c>
      <c r="T118" s="87">
        <f>IF(T22=0,0,1000000*T22/TrRoad_act!T61)</f>
        <v>2008.8737358552421</v>
      </c>
      <c r="U118" s="87">
        <f>IF(U22=0,0,1000000*U22/TrRoad_act!U61)</f>
        <v>1938.0317518258069</v>
      </c>
      <c r="V118" s="87">
        <f>IF(V22=0,0,1000000*V22/TrRoad_act!V61)</f>
        <v>1409.7554185847041</v>
      </c>
      <c r="W118" s="87">
        <f>IF(W22=0,0,1000000*W22/TrRoad_act!W61)</f>
        <v>1650.0027483738722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3715.7307619053054</v>
      </c>
      <c r="C119" s="87">
        <f>IF(C24=0,0,1000000*C24/TrRoad_act!C62)</f>
        <v>3567.5839707727991</v>
      </c>
      <c r="D119" s="87">
        <f>IF(D24=0,0,1000000*D24/TrRoad_act!D62)</f>
        <v>3469.7683518311842</v>
      </c>
      <c r="E119" s="87">
        <f>IF(E24=0,0,1000000*E24/TrRoad_act!E62)</f>
        <v>3502.2917713280194</v>
      </c>
      <c r="F119" s="87">
        <f>IF(F24=0,0,1000000*F24/TrRoad_act!F62)</f>
        <v>3365.116349074312</v>
      </c>
      <c r="G119" s="87">
        <f>IF(G24=0,0,1000000*G24/TrRoad_act!G62)</f>
        <v>3069.1582023377387</v>
      </c>
      <c r="H119" s="87">
        <f>IF(H24=0,0,1000000*H24/TrRoad_act!H62)</f>
        <v>2816.6520483771487</v>
      </c>
      <c r="I119" s="87">
        <f>IF(I24=0,0,1000000*I24/TrRoad_act!I62)</f>
        <v>2757.5675552117555</v>
      </c>
      <c r="J119" s="87">
        <f>IF(J24=0,0,1000000*J24/TrRoad_act!J62)</f>
        <v>2775.2979018214642</v>
      </c>
      <c r="K119" s="87">
        <f>IF(K24=0,0,1000000*K24/TrRoad_act!K62)</f>
        <v>2718.9156319540029</v>
      </c>
      <c r="L119" s="87">
        <f>IF(L24=0,0,1000000*L24/TrRoad_act!L62)</f>
        <v>2629.4030757767155</v>
      </c>
      <c r="M119" s="87">
        <f>IF(M24=0,0,1000000*M24/TrRoad_act!M62)</f>
        <v>2769.4683966047355</v>
      </c>
      <c r="N119" s="87">
        <f>IF(N24=0,0,1000000*N24/TrRoad_act!N62)</f>
        <v>2698.6979716523451</v>
      </c>
      <c r="O119" s="87">
        <f>IF(O24=0,0,1000000*O24/TrRoad_act!O62)</f>
        <v>2531.695312513863</v>
      </c>
      <c r="P119" s="87">
        <f>IF(P24=0,0,1000000*P24/TrRoad_act!P62)</f>
        <v>2471.2419233402816</v>
      </c>
      <c r="Q119" s="87">
        <f>IF(Q24=0,0,1000000*Q24/TrRoad_act!Q62)</f>
        <v>2375.86693719088</v>
      </c>
      <c r="R119" s="87">
        <f>IF(R24=0,0,1000000*R24/TrRoad_act!R62)</f>
        <v>2281.587564444465</v>
      </c>
      <c r="S119" s="87">
        <f>IF(S24=0,0,1000000*S24/TrRoad_act!S62)</f>
        <v>2214.7976248576852</v>
      </c>
      <c r="T119" s="87">
        <f>IF(T24=0,0,1000000*T24/TrRoad_act!T62)</f>
        <v>2278.9832807806329</v>
      </c>
      <c r="U119" s="87">
        <f>IF(U24=0,0,1000000*U24/TrRoad_act!U62)</f>
        <v>2167.1355766099819</v>
      </c>
      <c r="V119" s="87">
        <f>IF(V24=0,0,1000000*V24/TrRoad_act!V62)</f>
        <v>1703.5649850785712</v>
      </c>
      <c r="W119" s="87">
        <f>IF(W24=0,0,1000000*W24/TrRoad_act!W62)</f>
        <v>1848.4535391018583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891.44846422572925</v>
      </c>
      <c r="C120" s="87">
        <f>IF(C26=0,0,1000000*C26/TrRoad_act!C63)</f>
        <v>1239.5805610950915</v>
      </c>
      <c r="D120" s="87">
        <f>IF(D26=0,0,1000000*D26/TrRoad_act!D63)</f>
        <v>1582.5548952502913</v>
      </c>
      <c r="E120" s="87">
        <f>IF(E26=0,0,1000000*E26/TrRoad_act!E63)</f>
        <v>1253.2489399056458</v>
      </c>
      <c r="F120" s="87">
        <f>IF(F26=0,0,1000000*F26/TrRoad_act!F63)</f>
        <v>1318.4178847807393</v>
      </c>
      <c r="G120" s="87">
        <f>IF(G26=0,0,1000000*G26/TrRoad_act!G63)</f>
        <v>921.3502995037411</v>
      </c>
      <c r="H120" s="87">
        <f>IF(H26=0,0,1000000*H26/TrRoad_act!H63)</f>
        <v>939.06857449419749</v>
      </c>
      <c r="I120" s="87">
        <f>IF(I26=0,0,1000000*I26/TrRoad_act!I63)</f>
        <v>1979.6580759607411</v>
      </c>
      <c r="J120" s="87">
        <f>IF(J26=0,0,1000000*J26/TrRoad_act!J63)</f>
        <v>1924.1860458112283</v>
      </c>
      <c r="K120" s="87">
        <f>IF(K26=0,0,1000000*K26/TrRoad_act!K63)</f>
        <v>1193.3294841067093</v>
      </c>
      <c r="L120" s="87">
        <f>IF(L26=0,0,1000000*L26/TrRoad_act!L63)</f>
        <v>1183.6403311945683</v>
      </c>
      <c r="M120" s="87">
        <f>IF(M26=0,0,1000000*M26/TrRoad_act!M63)</f>
        <v>571.77197679063306</v>
      </c>
      <c r="N120" s="87">
        <f>IF(N26=0,0,1000000*N26/TrRoad_act!N63)</f>
        <v>1543.0467985284886</v>
      </c>
      <c r="O120" s="87">
        <f>IF(O26=0,0,1000000*O26/TrRoad_act!O63)</f>
        <v>953.48399756399476</v>
      </c>
      <c r="P120" s="87">
        <f>IF(P26=0,0,1000000*P26/TrRoad_act!P63)</f>
        <v>1129.4764474345045</v>
      </c>
      <c r="Q120" s="87">
        <f>IF(Q26=0,0,1000000*Q26/TrRoad_act!Q63)</f>
        <v>550.06063936296925</v>
      </c>
      <c r="R120" s="87">
        <f>IF(R26=0,0,1000000*R26/TrRoad_act!R63)</f>
        <v>578.74380851034425</v>
      </c>
      <c r="S120" s="87">
        <f>IF(S26=0,0,1000000*S26/TrRoad_act!S63)</f>
        <v>556.39495137637209</v>
      </c>
      <c r="T120" s="87">
        <f>IF(T26=0,0,1000000*T26/TrRoad_act!T63)</f>
        <v>887.72445015599214</v>
      </c>
      <c r="U120" s="87">
        <f>IF(U26=0,0,1000000*U26/TrRoad_act!U63)</f>
        <v>1354.6285814731204</v>
      </c>
      <c r="V120" s="87">
        <f>IF(V26=0,0,1000000*V26/TrRoad_act!V63)</f>
        <v>267.3329364224507</v>
      </c>
      <c r="W120" s="87">
        <f>IF(W26=0,0,1000000*W26/TrRoad_act!W63)</f>
        <v>755.44636626608769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1568.5013125323803</v>
      </c>
      <c r="O122" s="87">
        <f>IF(O29=0,0,1000000*O29/TrRoad_act!O65)</f>
        <v>1503.5619798276839</v>
      </c>
      <c r="P122" s="87">
        <f>IF(P29=0,0,1000000*P29/TrRoad_act!P65)</f>
        <v>1382.8362155889688</v>
      </c>
      <c r="Q122" s="87">
        <f>IF(Q29=0,0,1000000*Q29/TrRoad_act!Q65)</f>
        <v>1299.5888242337412</v>
      </c>
      <c r="R122" s="87">
        <f>IF(R29=0,0,1000000*R29/TrRoad_act!R65)</f>
        <v>1127.8972523478192</v>
      </c>
      <c r="S122" s="87">
        <f>IF(S29=0,0,1000000*S29/TrRoad_act!S65)</f>
        <v>845.40487473355847</v>
      </c>
      <c r="T122" s="87">
        <f>IF(T29=0,0,1000000*T29/TrRoad_act!T65)</f>
        <v>858.44547995081689</v>
      </c>
      <c r="U122" s="87">
        <f>IF(U29=0,0,1000000*U29/TrRoad_act!U65)</f>
        <v>851.94975032466505</v>
      </c>
      <c r="V122" s="87">
        <f>IF(V29=0,0,1000000*V29/TrRoad_act!V65)</f>
        <v>627.97058188855522</v>
      </c>
      <c r="W122" s="87">
        <f>IF(W29=0,0,1000000*W29/TrRoad_act!W65)</f>
        <v>658.6785717081749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196.25864931964122</v>
      </c>
      <c r="K123" s="87">
        <f>IF(K32=0,0,1000000*K32/TrRoad_act!K66)</f>
        <v>195.85079938983236</v>
      </c>
      <c r="L123" s="87">
        <f>IF(L32=0,0,1000000*L32/TrRoad_act!L66)</f>
        <v>194.70274752987979</v>
      </c>
      <c r="M123" s="87">
        <f>IF(M32=0,0,1000000*M32/TrRoad_act!M66)</f>
        <v>195.76404211955864</v>
      </c>
      <c r="N123" s="87">
        <f>IF(N32=0,0,1000000*N32/TrRoad_act!N66)</f>
        <v>187.08745744557743</v>
      </c>
      <c r="O123" s="87">
        <f>IF(O32=0,0,1000000*O32/TrRoad_act!O66)</f>
        <v>194.14155364411482</v>
      </c>
      <c r="P123" s="87">
        <f>IF(P32=0,0,1000000*P32/TrRoad_act!P66)</f>
        <v>189.675170427289</v>
      </c>
      <c r="Q123" s="87">
        <f>IF(Q32=0,0,1000000*Q32/TrRoad_act!Q66)</f>
        <v>187.24236751600654</v>
      </c>
      <c r="R123" s="87">
        <f>IF(R32=0,0,1000000*R32/TrRoad_act!R66)</f>
        <v>182.71047328174609</v>
      </c>
      <c r="S123" s="87">
        <f>IF(S32=0,0,1000000*S32/TrRoad_act!S66)</f>
        <v>186.49348652708929</v>
      </c>
      <c r="T123" s="87">
        <f>IF(T32=0,0,1000000*T32/TrRoad_act!T66)</f>
        <v>196.3841451526186</v>
      </c>
      <c r="U123" s="87">
        <f>IF(U32=0,0,1000000*U32/TrRoad_act!U66)</f>
        <v>212.00621822567743</v>
      </c>
      <c r="V123" s="87">
        <f>IF(V32=0,0,1000000*V32/TrRoad_act!V66)</f>
        <v>218.68518691074527</v>
      </c>
      <c r="W123" s="87">
        <f>IF(W32=0,0,1000000*W32/TrRoad_act!W66)</f>
        <v>229.84427471134606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23190.476584134802</v>
      </c>
      <c r="C124" s="116">
        <f>IF(C33=0,0,1000000*C33/TrRoad_act!C67)</f>
        <v>22419.404707435497</v>
      </c>
      <c r="D124" s="116">
        <f>IF(D33=0,0,1000000*D33/TrRoad_act!D67)</f>
        <v>22626.627730453161</v>
      </c>
      <c r="E124" s="116">
        <f>IF(E33=0,0,1000000*E33/TrRoad_act!E67)</f>
        <v>21838.129304067872</v>
      </c>
      <c r="F124" s="116">
        <f>IF(F33=0,0,1000000*F33/TrRoad_act!F67)</f>
        <v>21125.927555053069</v>
      </c>
      <c r="G124" s="116">
        <f>IF(G33=0,0,1000000*G33/TrRoad_act!G67)</f>
        <v>20487.330712419411</v>
      </c>
      <c r="H124" s="116">
        <f>IF(H33=0,0,1000000*H33/TrRoad_act!H67)</f>
        <v>19864.637769982128</v>
      </c>
      <c r="I124" s="116">
        <f>IF(I33=0,0,1000000*I33/TrRoad_act!I67)</f>
        <v>19369.917803219738</v>
      </c>
      <c r="J124" s="116">
        <f>IF(J33=0,0,1000000*J33/TrRoad_act!J67)</f>
        <v>18846.050187458106</v>
      </c>
      <c r="K124" s="116">
        <f>IF(K33=0,0,1000000*K33/TrRoad_act!K67)</f>
        <v>18373.636800157179</v>
      </c>
      <c r="L124" s="116">
        <f>IF(L33=0,0,1000000*L33/TrRoad_act!L67)</f>
        <v>18620.437299621593</v>
      </c>
      <c r="M124" s="116">
        <f>IF(M33=0,0,1000000*M33/TrRoad_act!M67)</f>
        <v>18302.16162726613</v>
      </c>
      <c r="N124" s="116">
        <f>IF(N33=0,0,1000000*N33/TrRoad_act!N67)</f>
        <v>18027.193679664855</v>
      </c>
      <c r="O124" s="116">
        <f>IF(O33=0,0,1000000*O33/TrRoad_act!O67)</f>
        <v>17829.229566363603</v>
      </c>
      <c r="P124" s="116">
        <f>IF(P33=0,0,1000000*P33/TrRoad_act!P67)</f>
        <v>17584.206718602145</v>
      </c>
      <c r="Q124" s="116">
        <f>IF(Q33=0,0,1000000*Q33/TrRoad_act!Q67)</f>
        <v>17425.659856315437</v>
      </c>
      <c r="R124" s="116">
        <f>IF(R33=0,0,1000000*R33/TrRoad_act!R67)</f>
        <v>17388.656442289866</v>
      </c>
      <c r="S124" s="116">
        <f>IF(S33=0,0,1000000*S33/TrRoad_act!S67)</f>
        <v>17550.58605837687</v>
      </c>
      <c r="T124" s="116">
        <f>IF(T33=0,0,1000000*T33/TrRoad_act!T67)</f>
        <v>17183.319540242457</v>
      </c>
      <c r="U124" s="116">
        <f>IF(U33=0,0,1000000*U33/TrRoad_act!U67)</f>
        <v>16543.232358128753</v>
      </c>
      <c r="V124" s="116">
        <f>IF(V33=0,0,1000000*V33/TrRoad_act!V67)</f>
        <v>15958.758979354005</v>
      </c>
      <c r="W124" s="116">
        <f>IF(W33=0,0,1000000*W33/TrRoad_act!W67)</f>
        <v>15152.826492787981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1328.6191637856289</v>
      </c>
      <c r="U125" s="101">
        <f>IF(U34=0,0,1000000*U34/TrRoad_act!U68)</f>
        <v>1270.3896415910531</v>
      </c>
      <c r="V125" s="101">
        <f>IF(V34=0,0,1000000*V34/TrRoad_act!V68)</f>
        <v>1208.0133505719368</v>
      </c>
      <c r="W125" s="101">
        <f>IF(W34=0,0,1000000*W34/TrRoad_act!W68)</f>
        <v>1129.0981160130932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23190.476584134802</v>
      </c>
      <c r="C126" s="101">
        <f>IF(C36=0,0,1000000*C36/TrRoad_act!C69)</f>
        <v>22419.404707435497</v>
      </c>
      <c r="D126" s="101">
        <f>IF(D36=0,0,1000000*D36/TrRoad_act!D69)</f>
        <v>22626.627730453161</v>
      </c>
      <c r="E126" s="101">
        <f>IF(E36=0,0,1000000*E36/TrRoad_act!E69)</f>
        <v>21849.417248821443</v>
      </c>
      <c r="F126" s="101">
        <f>IF(F36=0,0,1000000*F36/TrRoad_act!F69)</f>
        <v>21135.116322943653</v>
      </c>
      <c r="G126" s="101">
        <f>IF(G36=0,0,1000000*G36/TrRoad_act!G69)</f>
        <v>20494.565550950752</v>
      </c>
      <c r="H126" s="101">
        <f>IF(H36=0,0,1000000*H36/TrRoad_act!H69)</f>
        <v>19870.275353521673</v>
      </c>
      <c r="I126" s="101">
        <f>IF(I36=0,0,1000000*I36/TrRoad_act!I69)</f>
        <v>19374.207585068962</v>
      </c>
      <c r="J126" s="101">
        <f>IF(J36=0,0,1000000*J36/TrRoad_act!J69)</f>
        <v>18849.042118440022</v>
      </c>
      <c r="K126" s="101">
        <f>IF(K36=0,0,1000000*K36/TrRoad_act!K69)</f>
        <v>18374.932822878578</v>
      </c>
      <c r="L126" s="101">
        <f>IF(L36=0,0,1000000*L36/TrRoad_act!L69)</f>
        <v>18622.003240165977</v>
      </c>
      <c r="M126" s="101">
        <f>IF(M36=0,0,1000000*M36/TrRoad_act!M69)</f>
        <v>18303.275176315052</v>
      </c>
      <c r="N126" s="101">
        <f>IF(N36=0,0,1000000*N36/TrRoad_act!N69)</f>
        <v>18027.954416114921</v>
      </c>
      <c r="O126" s="101">
        <f>IF(O36=0,0,1000000*O36/TrRoad_act!O69)</f>
        <v>17833.562411632465</v>
      </c>
      <c r="P126" s="101">
        <f>IF(P36=0,0,1000000*P36/TrRoad_act!P69)</f>
        <v>17587.612983349765</v>
      </c>
      <c r="Q126" s="101">
        <f>IF(Q36=0,0,1000000*Q36/TrRoad_act!Q69)</f>
        <v>17428.642214360661</v>
      </c>
      <c r="R126" s="101">
        <f>IF(R36=0,0,1000000*R36/TrRoad_act!R69)</f>
        <v>17391.518052439707</v>
      </c>
      <c r="S126" s="101">
        <f>IF(S36=0,0,1000000*S36/TrRoad_act!S69)</f>
        <v>17564.447081681839</v>
      </c>
      <c r="T126" s="101">
        <f>IF(T36=0,0,1000000*T36/TrRoad_act!T69)</f>
        <v>17235.163883314312</v>
      </c>
      <c r="U126" s="101">
        <f>IF(U36=0,0,1000000*U36/TrRoad_act!U69)</f>
        <v>16686.722697042624</v>
      </c>
      <c r="V126" s="101">
        <f>IF(V36=0,0,1000000*V36/TrRoad_act!V69)</f>
        <v>16147.189289945682</v>
      </c>
      <c r="W126" s="101">
        <f>IF(W36=0,0,1000000*W36/TrRoad_act!W69)</f>
        <v>15285.639221329711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17232.647844609892</v>
      </c>
      <c r="F129" s="101">
        <f>IF(F41=0,0,1000000*F41/TrRoad_act!F72)</f>
        <v>17248.267505227694</v>
      </c>
      <c r="G129" s="101">
        <f>IF(G41=0,0,1000000*G41/TrRoad_act!G72)</f>
        <v>17263.004340285679</v>
      </c>
      <c r="H129" s="101">
        <f>IF(H41=0,0,1000000*H41/TrRoad_act!H72)</f>
        <v>17278.866119843806</v>
      </c>
      <c r="I129" s="101">
        <f>IF(I41=0,0,1000000*I41/TrRoad_act!I72)</f>
        <v>17293.663388197423</v>
      </c>
      <c r="J129" s="101">
        <f>IF(J41=0,0,1000000*J41/TrRoad_act!J72)</f>
        <v>17308.197662754908</v>
      </c>
      <c r="K129" s="101">
        <f>IF(K41=0,0,1000000*K41/TrRoad_act!K72)</f>
        <v>17323.210384464346</v>
      </c>
      <c r="L129" s="101">
        <f>IF(L41=0,0,1000000*L41/TrRoad_act!L72)</f>
        <v>17341.063874859876</v>
      </c>
      <c r="M129" s="101">
        <f>IF(M41=0,0,1000000*M41/TrRoad_act!M72)</f>
        <v>17355.088161156949</v>
      </c>
      <c r="N129" s="101">
        <f>IF(N41=0,0,1000000*N41/TrRoad_act!N72)</f>
        <v>17370.678123258502</v>
      </c>
      <c r="O129" s="101">
        <f>IF(O41=0,0,1000000*O41/TrRoad_act!O72)</f>
        <v>15928.193704649197</v>
      </c>
      <c r="P129" s="101">
        <f>IF(P41=0,0,1000000*P41/TrRoad_act!P72)</f>
        <v>15568.833409594366</v>
      </c>
      <c r="Q129" s="101">
        <f>IF(Q41=0,0,1000000*Q41/TrRoad_act!Q72)</f>
        <v>15582.562584366455</v>
      </c>
      <c r="R129" s="101">
        <f>IF(R41=0,0,1000000*R41/TrRoad_act!R72)</f>
        <v>15575.349477339229</v>
      </c>
      <c r="S129" s="101">
        <f>IF(S41=0,0,1000000*S41/TrRoad_act!S72)</f>
        <v>14168.496371964839</v>
      </c>
      <c r="T129" s="101">
        <f>IF(T41=0,0,1000000*T41/TrRoad_act!T72)</f>
        <v>14014.914554546966</v>
      </c>
      <c r="U129" s="101">
        <f>IF(U41=0,0,1000000*U41/TrRoad_act!U72)</f>
        <v>13821.659551538378</v>
      </c>
      <c r="V129" s="101">
        <f>IF(V41=0,0,1000000*V41/TrRoad_act!V72)</f>
        <v>13452.114525207991</v>
      </c>
      <c r="W129" s="101">
        <f>IF(W41=0,0,1000000*W41/TrRoad_act!W72)</f>
        <v>13634.769806904747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2466.7753161901169</v>
      </c>
      <c r="C131" s="152">
        <f>IF(C43=0,0,1000000*C43/TrRoad_act!C74)</f>
        <v>2341.6314966605833</v>
      </c>
      <c r="D131" s="152">
        <f>IF(D43=0,0,1000000*D43/TrRoad_act!D74)</f>
        <v>2292.9416769101399</v>
      </c>
      <c r="E131" s="152">
        <f>IF(E43=0,0,1000000*E43/TrRoad_act!E74)</f>
        <v>2235.2843318142077</v>
      </c>
      <c r="F131" s="152">
        <f>IF(F43=0,0,1000000*F43/TrRoad_act!F74)</f>
        <v>2164.8236549853268</v>
      </c>
      <c r="G131" s="152">
        <f>IF(G43=0,0,1000000*G43/TrRoad_act!G74)</f>
        <v>2119.0187280676955</v>
      </c>
      <c r="H131" s="152">
        <f>IF(H43=0,0,1000000*H43/TrRoad_act!H74)</f>
        <v>2089.1358694420824</v>
      </c>
      <c r="I131" s="152">
        <f>IF(I43=0,0,1000000*I43/TrRoad_act!I74)</f>
        <v>2093.0224172020271</v>
      </c>
      <c r="J131" s="152">
        <f>IF(J43=0,0,1000000*J43/TrRoad_act!J74)</f>
        <v>2036.7476401402907</v>
      </c>
      <c r="K131" s="152">
        <f>IF(K43=0,0,1000000*K43/TrRoad_act!K74)</f>
        <v>1972.9000012855529</v>
      </c>
      <c r="L131" s="152">
        <f>IF(L43=0,0,1000000*L43/TrRoad_act!L74)</f>
        <v>1983.0432637150207</v>
      </c>
      <c r="M131" s="152">
        <f>IF(M43=0,0,1000000*M43/TrRoad_act!M74)</f>
        <v>1991.5899607196959</v>
      </c>
      <c r="N131" s="152">
        <f>IF(N43=0,0,1000000*N43/TrRoad_act!N74)</f>
        <v>1918.9870044320296</v>
      </c>
      <c r="O131" s="152">
        <f>IF(O43=0,0,1000000*O43/TrRoad_act!O74)</f>
        <v>1842.2713254575469</v>
      </c>
      <c r="P131" s="152">
        <f>IF(P43=0,0,1000000*P43/TrRoad_act!P74)</f>
        <v>1870.5815745713098</v>
      </c>
      <c r="Q131" s="152">
        <f>IF(Q43=0,0,1000000*Q43/TrRoad_act!Q74)</f>
        <v>1858.8592750397868</v>
      </c>
      <c r="R131" s="152">
        <f>IF(R43=0,0,1000000*R43/TrRoad_act!R74)</f>
        <v>1847.8532575513329</v>
      </c>
      <c r="S131" s="152">
        <f>IF(S43=0,0,1000000*S43/TrRoad_act!S74)</f>
        <v>1767.7396742081626</v>
      </c>
      <c r="T131" s="152">
        <f>IF(T43=0,0,1000000*T43/TrRoad_act!T74)</f>
        <v>1724.7200146116072</v>
      </c>
      <c r="U131" s="152">
        <f>IF(U43=0,0,1000000*U43/TrRoad_act!U74)</f>
        <v>1676.3566189854741</v>
      </c>
      <c r="V131" s="152">
        <f>IF(V43=0,0,1000000*V43/TrRoad_act!V74)</f>
        <v>1621.764280453134</v>
      </c>
      <c r="W131" s="152">
        <f>IF(W43=0,0,1000000*W43/TrRoad_act!W74)</f>
        <v>1611.744497650805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1226.2510412440936</v>
      </c>
      <c r="C132" s="87">
        <f>IF(C44=0,0,1000000*C44/TrRoad_act!C75)</f>
        <v>1189.012974529136</v>
      </c>
      <c r="D132" s="87">
        <f>IF(D44=0,0,1000000*D44/TrRoad_act!D75)</f>
        <v>1175.0517982301935</v>
      </c>
      <c r="E132" s="87">
        <f>IF(E44=0,0,1000000*E44/TrRoad_act!E75)</f>
        <v>1137.959483654821</v>
      </c>
      <c r="F132" s="87">
        <f>IF(F44=0,0,1000000*F44/TrRoad_act!F75)</f>
        <v>1093.675033854214</v>
      </c>
      <c r="G132" s="87">
        <f>IF(G44=0,0,1000000*G44/TrRoad_act!G75)</f>
        <v>1054.2500482360581</v>
      </c>
      <c r="H132" s="87">
        <f>IF(H44=0,0,1000000*H44/TrRoad_act!H75)</f>
        <v>1021.9412512447022</v>
      </c>
      <c r="I132" s="87">
        <f>IF(I44=0,0,1000000*I44/TrRoad_act!I75)</f>
        <v>1002.8002189461436</v>
      </c>
      <c r="J132" s="87">
        <f>IF(J44=0,0,1000000*J44/TrRoad_act!J75)</f>
        <v>950.64203540411017</v>
      </c>
      <c r="K132" s="87">
        <f>IF(K44=0,0,1000000*K44/TrRoad_act!K75)</f>
        <v>882.98652642280706</v>
      </c>
      <c r="L132" s="87">
        <f>IF(L44=0,0,1000000*L44/TrRoad_act!L75)</f>
        <v>861.84182205559421</v>
      </c>
      <c r="M132" s="87">
        <f>IF(M44=0,0,1000000*M44/TrRoad_act!M75)</f>
        <v>845.06307935788038</v>
      </c>
      <c r="N132" s="87">
        <f>IF(N44=0,0,1000000*N44/TrRoad_act!N75)</f>
        <v>802.18313265970562</v>
      </c>
      <c r="O132" s="87">
        <f>IF(O44=0,0,1000000*O44/TrRoad_act!O75)</f>
        <v>770.45273412218955</v>
      </c>
      <c r="P132" s="87">
        <f>IF(P44=0,0,1000000*P44/TrRoad_act!P75)</f>
        <v>781.78900010939947</v>
      </c>
      <c r="Q132" s="87">
        <f>IF(Q44=0,0,1000000*Q44/TrRoad_act!Q75)</f>
        <v>789.12202734662731</v>
      </c>
      <c r="R132" s="87">
        <f>IF(R44=0,0,1000000*R44/TrRoad_act!R75)</f>
        <v>788.34575723265471</v>
      </c>
      <c r="S132" s="87">
        <f>IF(S44=0,0,1000000*S44/TrRoad_act!S75)</f>
        <v>758.01427163058952</v>
      </c>
      <c r="T132" s="87">
        <f>IF(T44=0,0,1000000*T44/TrRoad_act!T75)</f>
        <v>757.76636438693174</v>
      </c>
      <c r="U132" s="87">
        <f>IF(U44=0,0,1000000*U44/TrRoad_act!U75)</f>
        <v>744.35724975154938</v>
      </c>
      <c r="V132" s="87">
        <f>IF(V44=0,0,1000000*V44/TrRoad_act!V75)</f>
        <v>717.54915765254668</v>
      </c>
      <c r="W132" s="87">
        <f>IF(W44=0,0,1000000*W44/TrRoad_act!W75)</f>
        <v>709.94944595025424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2749.5578152789622</v>
      </c>
      <c r="C133" s="87">
        <f>IF(C46=0,0,1000000*C46/TrRoad_act!C76)</f>
        <v>2556.7693559362224</v>
      </c>
      <c r="D133" s="87">
        <f>IF(D46=0,0,1000000*D46/TrRoad_act!D76)</f>
        <v>2468.3527976261985</v>
      </c>
      <c r="E133" s="87">
        <f>IF(E46=0,0,1000000*E46/TrRoad_act!E76)</f>
        <v>2383.7404794862564</v>
      </c>
      <c r="F133" s="87">
        <f>IF(F46=0,0,1000000*F46/TrRoad_act!F76)</f>
        <v>2286.4354230957269</v>
      </c>
      <c r="G133" s="87">
        <f>IF(G46=0,0,1000000*G46/TrRoad_act!G76)</f>
        <v>2220.1575350558305</v>
      </c>
      <c r="H133" s="87">
        <f>IF(H46=0,0,1000000*H46/TrRoad_act!H76)</f>
        <v>2175.6899061976105</v>
      </c>
      <c r="I133" s="87">
        <f>IF(I46=0,0,1000000*I46/TrRoad_act!I76)</f>
        <v>2169.4259521536383</v>
      </c>
      <c r="J133" s="87">
        <f>IF(J46=0,0,1000000*J46/TrRoad_act!J76)</f>
        <v>2105.9574578375191</v>
      </c>
      <c r="K133" s="87">
        <f>IF(K46=0,0,1000000*K46/TrRoad_act!K76)</f>
        <v>2036.3547071337316</v>
      </c>
      <c r="L133" s="87">
        <f>IF(L46=0,0,1000000*L46/TrRoad_act!L76)</f>
        <v>2044.4577444890765</v>
      </c>
      <c r="M133" s="87">
        <f>IF(M46=0,0,1000000*M46/TrRoad_act!M76)</f>
        <v>2049.8285214706443</v>
      </c>
      <c r="N133" s="87">
        <f>IF(N46=0,0,1000000*N46/TrRoad_act!N76)</f>
        <v>1971.8931787009444</v>
      </c>
      <c r="O133" s="87">
        <f>IF(O46=0,0,1000000*O46/TrRoad_act!O76)</f>
        <v>1894.5073934320151</v>
      </c>
      <c r="P133" s="87">
        <f>IF(P46=0,0,1000000*P46/TrRoad_act!P76)</f>
        <v>1922.4420048311144</v>
      </c>
      <c r="Q133" s="87">
        <f>IF(Q46=0,0,1000000*Q46/TrRoad_act!Q76)</f>
        <v>1908.2434501655327</v>
      </c>
      <c r="R133" s="87">
        <f>IF(R46=0,0,1000000*R46/TrRoad_act!R76)</f>
        <v>1895.8926348230987</v>
      </c>
      <c r="S133" s="87">
        <f>IF(S46=0,0,1000000*S46/TrRoad_act!S76)</f>
        <v>1814.4939924074984</v>
      </c>
      <c r="T133" s="87">
        <f>IF(T46=0,0,1000000*T46/TrRoad_act!T76)</f>
        <v>1771.6852223397293</v>
      </c>
      <c r="U133" s="87">
        <f>IF(U46=0,0,1000000*U46/TrRoad_act!U76)</f>
        <v>1723.6125023597076</v>
      </c>
      <c r="V133" s="87">
        <f>IF(V46=0,0,1000000*V46/TrRoad_act!V76)</f>
        <v>1668.9313489193466</v>
      </c>
      <c r="W133" s="87">
        <f>IF(W46=0,0,1000000*W46/TrRoad_act!W76)</f>
        <v>1662.0465508965729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1163.7071179469926</v>
      </c>
      <c r="P134" s="87">
        <f>IF(P48=0,0,1000000*P48/TrRoad_act!P77)</f>
        <v>1212.5916603197597</v>
      </c>
      <c r="Q134" s="87">
        <f>IF(Q48=0,0,1000000*Q48/TrRoad_act!Q77)</f>
        <v>1245.3760298557936</v>
      </c>
      <c r="R134" s="87">
        <f>IF(R48=0,0,1000000*R48/TrRoad_act!R77)</f>
        <v>1243.6351826178366</v>
      </c>
      <c r="S134" s="87">
        <f>IF(S48=0,0,1000000*S48/TrRoad_act!S77)</f>
        <v>1176.8571024021644</v>
      </c>
      <c r="T134" s="87">
        <f>IF(T48=0,0,1000000*T48/TrRoad_act!T77)</f>
        <v>1112.5335961648639</v>
      </c>
      <c r="U134" s="87">
        <f>IF(U48=0,0,1000000*U48/TrRoad_act!U77)</f>
        <v>920.44904049893682</v>
      </c>
      <c r="V134" s="87">
        <f>IF(V48=0,0,1000000*V48/TrRoad_act!V77)</f>
        <v>882.93946534937993</v>
      </c>
      <c r="W134" s="87">
        <f>IF(W48=0,0,1000000*W48/TrRoad_act!W77)</f>
        <v>872.34218690953173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212.31387995195945</v>
      </c>
      <c r="I136" s="87">
        <f>IF(I51=0,0,1000000*I51/TrRoad_act!I79)</f>
        <v>212.52449035071047</v>
      </c>
      <c r="J136" s="87">
        <f>IF(J51=0,0,1000000*J51/TrRoad_act!J79)</f>
        <v>212.66625075575578</v>
      </c>
      <c r="K136" s="87">
        <f>IF(K51=0,0,1000000*K51/TrRoad_act!K79)</f>
        <v>213.89631094243697</v>
      </c>
      <c r="L136" s="87">
        <f>IF(L51=0,0,1000000*L51/TrRoad_act!L79)</f>
        <v>213.94770803691463</v>
      </c>
      <c r="M136" s="87">
        <f>IF(M51=0,0,1000000*M51/TrRoad_act!M79)</f>
        <v>214.00449810645523</v>
      </c>
      <c r="N136" s="87">
        <f>IF(N51=0,0,1000000*N51/TrRoad_act!N79)</f>
        <v>217.33665776189133</v>
      </c>
      <c r="O136" s="87">
        <f>IF(O51=0,0,1000000*O51/TrRoad_act!O79)</f>
        <v>210.50516559912481</v>
      </c>
      <c r="P136" s="87">
        <f>IF(P51=0,0,1000000*P51/TrRoad_act!P79)</f>
        <v>210.95596251139634</v>
      </c>
      <c r="Q136" s="87">
        <f>IF(Q51=0,0,1000000*Q51/TrRoad_act!Q79)</f>
        <v>214.77831783149423</v>
      </c>
      <c r="R136" s="87">
        <f>IF(R51=0,0,1000000*R51/TrRoad_act!R79)</f>
        <v>217.15182258103218</v>
      </c>
      <c r="S136" s="87">
        <f>IF(S51=0,0,1000000*S51/TrRoad_act!S79)</f>
        <v>221.23661708086573</v>
      </c>
      <c r="T136" s="87">
        <f>IF(T51=0,0,1000000*T51/TrRoad_act!T79)</f>
        <v>229.25976888519574</v>
      </c>
      <c r="U136" s="87">
        <f>IF(U51=0,0,1000000*U51/TrRoad_act!U79)</f>
        <v>260.84518350909349</v>
      </c>
      <c r="V136" s="87">
        <f>IF(V51=0,0,1000000*V51/TrRoad_act!V79)</f>
        <v>278.03445586680931</v>
      </c>
      <c r="W136" s="87">
        <f>IF(W51=0,0,1000000*W51/TrRoad_act!W79)</f>
        <v>301.50074003891535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99012.223547426431</v>
      </c>
      <c r="C137" s="116">
        <f>IF(C52=0,0,1000000*C52/TrRoad_act!C80)</f>
        <v>121904.65255884841</v>
      </c>
      <c r="D137" s="116">
        <f>IF(D52=0,0,1000000*D52/TrRoad_act!D80)</f>
        <v>142310.19119949147</v>
      </c>
      <c r="E137" s="116">
        <f>IF(E52=0,0,1000000*E52/TrRoad_act!E80)</f>
        <v>165157.76389202959</v>
      </c>
      <c r="F137" s="116">
        <f>IF(F52=0,0,1000000*F52/TrRoad_act!F80)</f>
        <v>232528.42926159495</v>
      </c>
      <c r="G137" s="116">
        <f>IF(G52=0,0,1000000*G52/TrRoad_act!G80)</f>
        <v>225664.7480390236</v>
      </c>
      <c r="H137" s="116">
        <f>IF(H52=0,0,1000000*H52/TrRoad_act!H80)</f>
        <v>210446.33497680927</v>
      </c>
      <c r="I137" s="116">
        <f>IF(I52=0,0,1000000*I52/TrRoad_act!I80)</f>
        <v>204830.8626841279</v>
      </c>
      <c r="J137" s="116">
        <f>IF(J52=0,0,1000000*J52/TrRoad_act!J80)</f>
        <v>172743.21264428561</v>
      </c>
      <c r="K137" s="116">
        <f>IF(K52=0,0,1000000*K52/TrRoad_act!K80)</f>
        <v>132980.80122744801</v>
      </c>
      <c r="L137" s="116">
        <f>IF(L52=0,0,1000000*L52/TrRoad_act!L80)</f>
        <v>148469.16857220948</v>
      </c>
      <c r="M137" s="116">
        <f>IF(M52=0,0,1000000*M52/TrRoad_act!M80)</f>
        <v>154685.89061060539</v>
      </c>
      <c r="N137" s="116">
        <f>IF(N52=0,0,1000000*N52/TrRoad_act!N80)</f>
        <v>150104.06830485226</v>
      </c>
      <c r="O137" s="116">
        <f>IF(O52=0,0,1000000*O52/TrRoad_act!O80)</f>
        <v>193088.19849555285</v>
      </c>
      <c r="P137" s="116">
        <f>IF(P52=0,0,1000000*P52/TrRoad_act!P80)</f>
        <v>204069.35979893446</v>
      </c>
      <c r="Q137" s="116">
        <f>IF(Q52=0,0,1000000*Q52/TrRoad_act!Q80)</f>
        <v>177046.45557034336</v>
      </c>
      <c r="R137" s="116">
        <f>IF(R52=0,0,1000000*R52/TrRoad_act!R80)</f>
        <v>165304.05744275902</v>
      </c>
      <c r="S137" s="116">
        <f>IF(S52=0,0,1000000*S52/TrRoad_act!S80)</f>
        <v>157686.28903270635</v>
      </c>
      <c r="T137" s="116">
        <f>IF(T52=0,0,1000000*T52/TrRoad_act!T80)</f>
        <v>179316.67774765738</v>
      </c>
      <c r="U137" s="116">
        <f>IF(U52=0,0,1000000*U52/TrRoad_act!U80)</f>
        <v>180895.60459988241</v>
      </c>
      <c r="V137" s="116">
        <f>IF(V52=0,0,1000000*V52/TrRoad_act!V80)</f>
        <v>127985.09448908144</v>
      </c>
      <c r="W137" s="116">
        <f>IF(W52=0,0,1000000*W52/TrRoad_act!W80)</f>
        <v>138739.19026220957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4951.4182083115156</v>
      </c>
      <c r="C138" s="101">
        <f>IF(C53=0,0,1000000*C53/TrRoad_act!C81)</f>
        <v>6613.7745109538009</v>
      </c>
      <c r="D138" s="101">
        <f>IF(D53=0,0,1000000*D53/TrRoad_act!D81)</f>
        <v>8673.2142934516251</v>
      </c>
      <c r="E138" s="101">
        <f>IF(E53=0,0,1000000*E53/TrRoad_act!E81)</f>
        <v>8713.9300360244015</v>
      </c>
      <c r="F138" s="101">
        <f>IF(F53=0,0,1000000*F53/TrRoad_act!F81)</f>
        <v>9711.7258186275885</v>
      </c>
      <c r="G138" s="101">
        <f>IF(G53=0,0,1000000*G53/TrRoad_act!G81)</f>
        <v>7765.4145609626348</v>
      </c>
      <c r="H138" s="101">
        <f>IF(H53=0,0,1000000*H53/TrRoad_act!H81)</f>
        <v>8174.4919343393449</v>
      </c>
      <c r="I138" s="101">
        <f>IF(I53=0,0,1000000*I53/TrRoad_act!I81)</f>
        <v>8280.1622835520338</v>
      </c>
      <c r="J138" s="101">
        <f>IF(J53=0,0,1000000*J53/TrRoad_act!J81)</f>
        <v>6304.8467110734546</v>
      </c>
      <c r="K138" s="101">
        <f>IF(K53=0,0,1000000*K53/TrRoad_act!K81)</f>
        <v>3437.3448614865592</v>
      </c>
      <c r="L138" s="101">
        <f>IF(L53=0,0,1000000*L53/TrRoad_act!L81)</f>
        <v>3834.0125463741883</v>
      </c>
      <c r="M138" s="101">
        <f>IF(M53=0,0,1000000*M53/TrRoad_act!M81)</f>
        <v>4098.3766611862629</v>
      </c>
      <c r="N138" s="101">
        <f>IF(N53=0,0,1000000*N53/TrRoad_act!N81)</f>
        <v>6572.4801029765804</v>
      </c>
      <c r="O138" s="101">
        <f>IF(O53=0,0,1000000*O53/TrRoad_act!O81)</f>
        <v>7125.5666373551567</v>
      </c>
      <c r="P138" s="101">
        <f>IF(P53=0,0,1000000*P53/TrRoad_act!P81)</f>
        <v>11051.348893734261</v>
      </c>
      <c r="Q138" s="101">
        <f>IF(Q53=0,0,1000000*Q53/TrRoad_act!Q81)</f>
        <v>8641.5936322297566</v>
      </c>
      <c r="R138" s="101">
        <f>IF(R53=0,0,1000000*R53/TrRoad_act!R81)</f>
        <v>8500.4834006102301</v>
      </c>
      <c r="S138" s="101">
        <f>IF(S53=0,0,1000000*S53/TrRoad_act!S81)</f>
        <v>7274.7170459744048</v>
      </c>
      <c r="T138" s="101">
        <f>IF(T53=0,0,1000000*T53/TrRoad_act!T81)</f>
        <v>7862.4066325816948</v>
      </c>
      <c r="U138" s="101">
        <f>IF(U53=0,0,1000000*U53/TrRoad_act!U81)</f>
        <v>7356.3471668431284</v>
      </c>
      <c r="V138" s="101">
        <f>IF(V53=0,0,1000000*V53/TrRoad_act!V81)</f>
        <v>5382.5130523823063</v>
      </c>
      <c r="W138" s="101">
        <f>IF(W53=0,0,1000000*W53/TrRoad_act!W81)</f>
        <v>6873.2955242993557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733039.05808175134</v>
      </c>
      <c r="C139" s="88">
        <f>IF(C55=0,0,1000000*C55/TrRoad_act!C82)</f>
        <v>740484.55593120598</v>
      </c>
      <c r="D139" s="88">
        <f>IF(D55=0,0,1000000*D55/TrRoad_act!D82)</f>
        <v>745257.23969168845</v>
      </c>
      <c r="E139" s="88">
        <f>IF(E55=0,0,1000000*E55/TrRoad_act!E82)</f>
        <v>856570.4176215668</v>
      </c>
      <c r="F139" s="88">
        <f>IF(F55=0,0,1000000*F55/TrRoad_act!F82)</f>
        <v>983840.9791271165</v>
      </c>
      <c r="G139" s="88">
        <f>IF(G55=0,0,1000000*G55/TrRoad_act!G82)</f>
        <v>1083596.5739238635</v>
      </c>
      <c r="H139" s="88">
        <f>IF(H55=0,0,1000000*H55/TrRoad_act!H82)</f>
        <v>1057694.8254531957</v>
      </c>
      <c r="I139" s="88">
        <f>IF(I55=0,0,1000000*I55/TrRoad_act!I82)</f>
        <v>934389.40793647186</v>
      </c>
      <c r="J139" s="88">
        <f>IF(J55=0,0,1000000*J55/TrRoad_act!J82)</f>
        <v>833045.63819154864</v>
      </c>
      <c r="K139" s="88">
        <f>IF(K55=0,0,1000000*K55/TrRoad_act!K82)</f>
        <v>817680.30958913651</v>
      </c>
      <c r="L139" s="88">
        <f>IF(L55=0,0,1000000*L55/TrRoad_act!L82)</f>
        <v>892144.41963418154</v>
      </c>
      <c r="M139" s="88">
        <f>IF(M55=0,0,1000000*M55/TrRoad_act!M82)</f>
        <v>950099.93839602324</v>
      </c>
      <c r="N139" s="88">
        <f>IF(N55=0,0,1000000*N55/TrRoad_act!N82)</f>
        <v>768237.26717566967</v>
      </c>
      <c r="O139" s="88">
        <f>IF(O55=0,0,1000000*O55/TrRoad_act!O82)</f>
        <v>788884.37112748343</v>
      </c>
      <c r="P139" s="88">
        <f>IF(P55=0,0,1000000*P55/TrRoad_act!P82)</f>
        <v>692214.77469278756</v>
      </c>
      <c r="Q139" s="88">
        <f>IF(Q55=0,0,1000000*Q55/TrRoad_act!Q82)</f>
        <v>731947.76304227079</v>
      </c>
      <c r="R139" s="88">
        <f>IF(R55=0,0,1000000*R55/TrRoad_act!R82)</f>
        <v>662233.03106162755</v>
      </c>
      <c r="S139" s="88">
        <f>IF(S55=0,0,1000000*S55/TrRoad_act!S82)</f>
        <v>669904.34297217045</v>
      </c>
      <c r="T139" s="88">
        <f>IF(T55=0,0,1000000*T55/TrRoad_act!T82)</f>
        <v>760775.67516824265</v>
      </c>
      <c r="U139" s="88">
        <f>IF(U55=0,0,1000000*U55/TrRoad_act!U82)</f>
        <v>786942.46359883202</v>
      </c>
      <c r="V139" s="88">
        <f>IF(V55=0,0,1000000*V55/TrRoad_act!V82)</f>
        <v>641849.02733742201</v>
      </c>
      <c r="W139" s="88">
        <f>IF(W55=0,0,1000000*W55/TrRoad_act!W82)</f>
        <v>611043.78112166596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0.57885952650232875</v>
      </c>
      <c r="C142" s="46">
        <f t="shared" si="41"/>
        <v>0.56559972309418516</v>
      </c>
      <c r="D142" s="46">
        <f t="shared" si="41"/>
        <v>0.55645857027005052</v>
      </c>
      <c r="E142" s="46">
        <f t="shared" si="41"/>
        <v>0.53403825371227875</v>
      </c>
      <c r="F142" s="46">
        <f t="shared" si="41"/>
        <v>0.46789786431176206</v>
      </c>
      <c r="G142" s="46">
        <f t="shared" si="41"/>
        <v>0.42887015894070712</v>
      </c>
      <c r="H142" s="46">
        <f t="shared" si="41"/>
        <v>0.43100988001126644</v>
      </c>
      <c r="I142" s="46">
        <f t="shared" si="41"/>
        <v>0.44710636007100607</v>
      </c>
      <c r="J142" s="46">
        <f t="shared" si="41"/>
        <v>0.4487641836619794</v>
      </c>
      <c r="K142" s="46">
        <f t="shared" si="41"/>
        <v>0.47748136998734025</v>
      </c>
      <c r="L142" s="46">
        <f t="shared" ref="L142" si="42">IF(L18=0,0,L18/L$17)</f>
        <v>0.44257823619776132</v>
      </c>
      <c r="M142" s="46">
        <f t="shared" ref="M142:V142" si="43">IF(M18=0,0,M18/M$17)</f>
        <v>0.44657175834158563</v>
      </c>
      <c r="N142" s="46">
        <f t="shared" si="43"/>
        <v>0.4650819348850655</v>
      </c>
      <c r="O142" s="46">
        <f t="shared" si="43"/>
        <v>0.44689290123089626</v>
      </c>
      <c r="P142" s="46">
        <f t="shared" si="43"/>
        <v>0.45909188134297307</v>
      </c>
      <c r="Q142" s="46">
        <f t="shared" si="43"/>
        <v>0.47420338124719846</v>
      </c>
      <c r="R142" s="46">
        <f t="shared" si="43"/>
        <v>0.47421760548628106</v>
      </c>
      <c r="S142" s="46">
        <f t="shared" si="43"/>
        <v>0.45992018939690776</v>
      </c>
      <c r="T142" s="46">
        <f t="shared" si="43"/>
        <v>0.44826471317713923</v>
      </c>
      <c r="U142" s="46">
        <f t="shared" si="43"/>
        <v>0.43052292511492879</v>
      </c>
      <c r="V142" s="46">
        <f t="shared" si="43"/>
        <v>0.42790626597739773</v>
      </c>
      <c r="W142" s="46">
        <f t="shared" ref="W142" si="44">IF(W18=0,0,W18/W$17)</f>
        <v>0.44647391545027615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9.9129247920011682E-4</v>
      </c>
      <c r="C143" s="154">
        <f t="shared" si="45"/>
        <v>9.6270309517771096E-4</v>
      </c>
      <c r="D143" s="154">
        <f t="shared" si="45"/>
        <v>9.7078082919316278E-4</v>
      </c>
      <c r="E143" s="154">
        <f t="shared" si="45"/>
        <v>8.9258846925930409E-4</v>
      </c>
      <c r="F143" s="154">
        <f t="shared" si="45"/>
        <v>8.1114721437524305E-4</v>
      </c>
      <c r="G143" s="154">
        <f t="shared" si="45"/>
        <v>7.782838921388288E-4</v>
      </c>
      <c r="H143" s="154">
        <f t="shared" si="45"/>
        <v>8.1980609259940575E-4</v>
      </c>
      <c r="I143" s="154">
        <f t="shared" si="45"/>
        <v>8.3858288301280224E-4</v>
      </c>
      <c r="J143" s="154">
        <f t="shared" si="45"/>
        <v>8.3493952030449332E-4</v>
      </c>
      <c r="K143" s="154">
        <f t="shared" si="45"/>
        <v>9.2927742381999369E-4</v>
      </c>
      <c r="L143" s="154">
        <f t="shared" ref="L143" si="46">IF(L19=0,0,L19/L$17)</f>
        <v>9.0188383322440042E-4</v>
      </c>
      <c r="M143" s="154">
        <f t="shared" ref="M143:V143" si="47">IF(M19=0,0,M19/M$17)</f>
        <v>8.665190509000543E-4</v>
      </c>
      <c r="N143" s="154">
        <f t="shared" si="47"/>
        <v>9.4670015928970846E-4</v>
      </c>
      <c r="O143" s="154">
        <f t="shared" si="47"/>
        <v>9.8432904985744558E-4</v>
      </c>
      <c r="P143" s="154">
        <f t="shared" si="47"/>
        <v>1.0547416213921971E-3</v>
      </c>
      <c r="Q143" s="154">
        <f t="shared" si="47"/>
        <v>1.1605734305717137E-3</v>
      </c>
      <c r="R143" s="154">
        <f t="shared" si="47"/>
        <v>1.2343387213216146E-3</v>
      </c>
      <c r="S143" s="154">
        <f t="shared" si="47"/>
        <v>1.154962351387612E-3</v>
      </c>
      <c r="T143" s="154">
        <f t="shared" si="47"/>
        <v>1.0312715981877756E-3</v>
      </c>
      <c r="U143" s="154">
        <f t="shared" si="47"/>
        <v>1.0476752704604254E-3</v>
      </c>
      <c r="V143" s="154">
        <f t="shared" si="47"/>
        <v>1.2091723351220723E-3</v>
      </c>
      <c r="W143" s="154">
        <f t="shared" ref="W143" si="48">IF(W19=0,0,W19/W$17)</f>
        <v>1.0802760552174918E-3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0.56243825485391508</v>
      </c>
      <c r="C144" s="156">
        <f t="shared" si="49"/>
        <v>0.54945894010870311</v>
      </c>
      <c r="D144" s="156">
        <f t="shared" si="49"/>
        <v>0.54005777013922818</v>
      </c>
      <c r="E144" s="156">
        <f t="shared" si="49"/>
        <v>0.51907408845222591</v>
      </c>
      <c r="F144" s="156">
        <f t="shared" si="49"/>
        <v>0.45499328828474117</v>
      </c>
      <c r="G144" s="156">
        <f t="shared" si="49"/>
        <v>0.41634822082697143</v>
      </c>
      <c r="H144" s="156">
        <f t="shared" si="49"/>
        <v>0.41794102720138343</v>
      </c>
      <c r="I144" s="156">
        <f t="shared" si="49"/>
        <v>0.43340276609254408</v>
      </c>
      <c r="J144" s="156">
        <f t="shared" si="49"/>
        <v>0.43481029707603397</v>
      </c>
      <c r="K144" s="156">
        <f t="shared" si="49"/>
        <v>0.46198007044207046</v>
      </c>
      <c r="L144" s="156">
        <f t="shared" ref="L144" si="50">IF(L21=0,0,L21/L$17)</f>
        <v>0.42757933396204495</v>
      </c>
      <c r="M144" s="156">
        <f t="shared" ref="M144:V144" si="51">IF(M21=0,0,M21/M$17)</f>
        <v>0.43210789207039707</v>
      </c>
      <c r="N144" s="156">
        <f t="shared" si="51"/>
        <v>0.44992324798879824</v>
      </c>
      <c r="O144" s="156">
        <f t="shared" si="51"/>
        <v>0.43132870297454323</v>
      </c>
      <c r="P144" s="156">
        <f t="shared" si="51"/>
        <v>0.44294626568707418</v>
      </c>
      <c r="Q144" s="156">
        <f t="shared" si="51"/>
        <v>0.45638879823609235</v>
      </c>
      <c r="R144" s="156">
        <f t="shared" si="51"/>
        <v>0.45548488873787119</v>
      </c>
      <c r="S144" s="156">
        <f t="shared" si="51"/>
        <v>0.44113613634738474</v>
      </c>
      <c r="T144" s="156">
        <f t="shared" si="51"/>
        <v>0.43037491235734043</v>
      </c>
      <c r="U144" s="156">
        <f t="shared" si="51"/>
        <v>0.41258091238250721</v>
      </c>
      <c r="V144" s="156">
        <f t="shared" si="51"/>
        <v>0.40511014757806552</v>
      </c>
      <c r="W144" s="156">
        <f t="shared" ref="W144" si="52">IF(W21=0,0,W21/W$17)</f>
        <v>0.42520825076627666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0.37399030472954137</v>
      </c>
      <c r="C145" s="103">
        <f t="shared" si="53"/>
        <v>0.35110939579307576</v>
      </c>
      <c r="D145" s="103">
        <f t="shared" si="53"/>
        <v>0.32955542445889363</v>
      </c>
      <c r="E145" s="103">
        <f t="shared" si="53"/>
        <v>0.30393042560046302</v>
      </c>
      <c r="F145" s="103">
        <f t="shared" si="53"/>
        <v>0.25313787037623553</v>
      </c>
      <c r="G145" s="103">
        <f t="shared" si="53"/>
        <v>0.21854511385506584</v>
      </c>
      <c r="H145" s="103">
        <f t="shared" si="53"/>
        <v>0.20520628542007655</v>
      </c>
      <c r="I145" s="103">
        <f t="shared" si="53"/>
        <v>0.20104827897157088</v>
      </c>
      <c r="J145" s="103">
        <f t="shared" si="53"/>
        <v>0.1891457941145166</v>
      </c>
      <c r="K145" s="103">
        <f t="shared" si="53"/>
        <v>0.18899943113033349</v>
      </c>
      <c r="L145" s="103">
        <f t="shared" ref="L145" si="54">IF(L22=0,0,L22/L$17)</f>
        <v>0.16626602092779139</v>
      </c>
      <c r="M145" s="103">
        <f t="shared" ref="M145:V145" si="55">IF(M22=0,0,M22/M$17)</f>
        <v>0.16239601232517778</v>
      </c>
      <c r="N145" s="103">
        <f t="shared" si="55"/>
        <v>0.16279819917438712</v>
      </c>
      <c r="O145" s="103">
        <f t="shared" si="55"/>
        <v>0.15054448879080262</v>
      </c>
      <c r="P145" s="103">
        <f t="shared" si="55"/>
        <v>0.15107947969607677</v>
      </c>
      <c r="Q145" s="103">
        <f t="shared" si="55"/>
        <v>0.15226376459921398</v>
      </c>
      <c r="R145" s="103">
        <f t="shared" si="55"/>
        <v>0.15284533163379671</v>
      </c>
      <c r="S145" s="103">
        <f t="shared" si="55"/>
        <v>0.1555263864760395</v>
      </c>
      <c r="T145" s="103">
        <f t="shared" si="55"/>
        <v>0.16019318742966185</v>
      </c>
      <c r="U145" s="103">
        <f t="shared" si="55"/>
        <v>0.16598421826885046</v>
      </c>
      <c r="V145" s="103">
        <f t="shared" si="55"/>
        <v>0.16355863104171289</v>
      </c>
      <c r="W145" s="103">
        <f t="shared" ref="W145" si="56">IF(W22=0,0,W22/W$17)</f>
        <v>0.18644197748311825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0.18705682525510517</v>
      </c>
      <c r="C146" s="103">
        <f t="shared" si="57"/>
        <v>0.19636073568881193</v>
      </c>
      <c r="D146" s="103">
        <f t="shared" si="57"/>
        <v>0.20795390822528476</v>
      </c>
      <c r="E146" s="103">
        <f t="shared" si="57"/>
        <v>0.21341274736518204</v>
      </c>
      <c r="F146" s="103">
        <f t="shared" si="57"/>
        <v>0.20036857481916773</v>
      </c>
      <c r="G146" s="103">
        <f t="shared" si="57"/>
        <v>0.19686311045614738</v>
      </c>
      <c r="H146" s="103">
        <f t="shared" si="57"/>
        <v>0.21224344881809953</v>
      </c>
      <c r="I146" s="103">
        <f t="shared" si="57"/>
        <v>0.23135141407895946</v>
      </c>
      <c r="J146" s="103">
        <f t="shared" si="57"/>
        <v>0.24467435042614546</v>
      </c>
      <c r="K146" s="103">
        <f t="shared" si="57"/>
        <v>0.2722561985070816</v>
      </c>
      <c r="L146" s="103">
        <f t="shared" ref="L146" si="58">IF(L24=0,0,L24/L$17)</f>
        <v>0.26060824064591165</v>
      </c>
      <c r="M146" s="103">
        <f t="shared" ref="M146:V146" si="59">IF(M24=0,0,M24/M$17)</f>
        <v>0.26938667223636903</v>
      </c>
      <c r="N146" s="103">
        <f t="shared" si="59"/>
        <v>0.28591123629157195</v>
      </c>
      <c r="O146" s="103">
        <f t="shared" si="59"/>
        <v>0.27967595112219673</v>
      </c>
      <c r="P146" s="103">
        <f t="shared" si="59"/>
        <v>0.290615225092759</v>
      </c>
      <c r="Q146" s="103">
        <f t="shared" si="59"/>
        <v>0.30320801779224499</v>
      </c>
      <c r="R146" s="103">
        <f t="shared" si="59"/>
        <v>0.30163975724429953</v>
      </c>
      <c r="S146" s="103">
        <f t="shared" si="59"/>
        <v>0.28474174813913189</v>
      </c>
      <c r="T146" s="103">
        <f t="shared" si="59"/>
        <v>0.26923228432953389</v>
      </c>
      <c r="U146" s="103">
        <f t="shared" si="59"/>
        <v>0.24521254738638082</v>
      </c>
      <c r="V146" s="103">
        <f t="shared" si="59"/>
        <v>0.23924819618950879</v>
      </c>
      <c r="W146" s="103">
        <f t="shared" ref="W146" si="60">IF(W24=0,0,W24/W$17)</f>
        <v>0.23406626275972406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1.3911248692685695E-3</v>
      </c>
      <c r="C147" s="103">
        <f t="shared" si="61"/>
        <v>1.9888086268154332E-3</v>
      </c>
      <c r="D147" s="103">
        <f t="shared" si="61"/>
        <v>2.5484374550496726E-3</v>
      </c>
      <c r="E147" s="103">
        <f t="shared" si="61"/>
        <v>1.7309154865808507E-3</v>
      </c>
      <c r="F147" s="103">
        <f t="shared" si="61"/>
        <v>1.4868430893379531E-3</v>
      </c>
      <c r="G147" s="103">
        <f t="shared" si="61"/>
        <v>9.3999651575820949E-4</v>
      </c>
      <c r="H147" s="103">
        <f t="shared" si="61"/>
        <v>4.9129296320736266E-4</v>
      </c>
      <c r="I147" s="103">
        <f t="shared" si="61"/>
        <v>1.0030730420137305E-3</v>
      </c>
      <c r="J147" s="103">
        <f t="shared" si="61"/>
        <v>9.9006410957989976E-4</v>
      </c>
      <c r="K147" s="103">
        <f t="shared" si="61"/>
        <v>7.2424939602351167E-4</v>
      </c>
      <c r="L147" s="103">
        <f t="shared" ref="L147" si="62">IF(L26=0,0,L26/L$17)</f>
        <v>6.874127322152332E-4</v>
      </c>
      <c r="M147" s="103">
        <f t="shared" ref="M147:V147" si="63">IF(M26=0,0,M26/M$17)</f>
        <v>2.9907437434725055E-4</v>
      </c>
      <c r="N147" s="103">
        <f t="shared" si="63"/>
        <v>8.5463508001908464E-4</v>
      </c>
      <c r="O147" s="103">
        <f t="shared" si="63"/>
        <v>5.6516961505432791E-4</v>
      </c>
      <c r="P147" s="103">
        <f t="shared" si="63"/>
        <v>6.7329283599746551E-4</v>
      </c>
      <c r="Q147" s="103">
        <f t="shared" si="63"/>
        <v>3.354645194385242E-4</v>
      </c>
      <c r="R147" s="103">
        <f t="shared" si="63"/>
        <v>3.6797372471077258E-4</v>
      </c>
      <c r="S147" s="103">
        <f t="shared" si="63"/>
        <v>2.9797627629088035E-4</v>
      </c>
      <c r="T147" s="103">
        <f t="shared" si="63"/>
        <v>1.2472479228487586E-4</v>
      </c>
      <c r="U147" s="103">
        <f t="shared" si="63"/>
        <v>1.1274788351039043E-4</v>
      </c>
      <c r="V147" s="103">
        <f t="shared" si="63"/>
        <v>5.7334868254969045E-5</v>
      </c>
      <c r="W147" s="103">
        <f t="shared" ref="W147" si="64">IF(W26=0,0,W26/W$17)</f>
        <v>1.0990803906713488E-4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0</v>
      </c>
      <c r="U148" s="103">
        <f t="shared" si="67"/>
        <v>0</v>
      </c>
      <c r="V148" s="103">
        <f t="shared" si="67"/>
        <v>0</v>
      </c>
      <c r="W148" s="103">
        <f t="shared" ref="W148" si="68">IF(W27=0,0,W27/W$17)</f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3.5064196961052453E-4</v>
      </c>
      <c r="O149" s="103">
        <f t="shared" si="71"/>
        <v>5.1935624802347297E-4</v>
      </c>
      <c r="P149" s="103">
        <f t="shared" si="71"/>
        <v>5.2663243657932236E-4</v>
      </c>
      <c r="Q149" s="103">
        <f t="shared" si="71"/>
        <v>5.203592018963889E-4</v>
      </c>
      <c r="R149" s="103">
        <f t="shared" si="71"/>
        <v>5.5737305922577674E-4</v>
      </c>
      <c r="S149" s="103">
        <f t="shared" si="71"/>
        <v>4.6575275178939419E-4</v>
      </c>
      <c r="T149" s="103">
        <f t="shared" si="71"/>
        <v>6.7715113059133676E-4</v>
      </c>
      <c r="U149" s="103">
        <f t="shared" si="71"/>
        <v>1.0162313765161462E-3</v>
      </c>
      <c r="V149" s="103">
        <f t="shared" si="71"/>
        <v>1.7132913784946233E-3</v>
      </c>
      <c r="W149" s="103">
        <f t="shared" ref="W149" si="72">IF(W29=0,0,W29/W$17)</f>
        <v>3.4603444335292682E-3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8.8425791987174492E-8</v>
      </c>
      <c r="K150" s="103">
        <f t="shared" si="73"/>
        <v>1.9140863183306119E-7</v>
      </c>
      <c r="L150" s="103">
        <f t="shared" ref="L150" si="74">IF(L32=0,0,L32/L$17)</f>
        <v>1.7659656126631676E-5</v>
      </c>
      <c r="M150" s="103">
        <f t="shared" ref="M150:V150" si="75">IF(M32=0,0,M32/M$17)</f>
        <v>2.613313450304939E-5</v>
      </c>
      <c r="N150" s="103">
        <f t="shared" si="75"/>
        <v>8.5354732095562656E-6</v>
      </c>
      <c r="O150" s="103">
        <f t="shared" si="75"/>
        <v>2.3737198466048368E-5</v>
      </c>
      <c r="P150" s="103">
        <f t="shared" si="75"/>
        <v>5.1635625661651715E-5</v>
      </c>
      <c r="Q150" s="103">
        <f t="shared" si="75"/>
        <v>6.1192123298501366E-5</v>
      </c>
      <c r="R150" s="103">
        <f t="shared" si="75"/>
        <v>7.4453075838365725E-5</v>
      </c>
      <c r="S150" s="103">
        <f t="shared" si="75"/>
        <v>1.0427270413315094E-4</v>
      </c>
      <c r="T150" s="103">
        <f t="shared" si="75"/>
        <v>1.4756467526840677E-4</v>
      </c>
      <c r="U150" s="103">
        <f t="shared" si="75"/>
        <v>2.5516746724940501E-4</v>
      </c>
      <c r="V150" s="103">
        <f t="shared" si="75"/>
        <v>5.3269410009420843E-4</v>
      </c>
      <c r="W150" s="103">
        <f t="shared" ref="W150" si="76">IF(W32=0,0,W32/W$17)</f>
        <v>1.1297580508379886E-3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1.5429979169213449E-2</v>
      </c>
      <c r="C151" s="156">
        <f t="shared" si="77"/>
        <v>1.5178079890304364E-2</v>
      </c>
      <c r="D151" s="156">
        <f t="shared" si="77"/>
        <v>1.5430019301629261E-2</v>
      </c>
      <c r="E151" s="156">
        <f t="shared" si="77"/>
        <v>1.4071576790793508E-2</v>
      </c>
      <c r="F151" s="156">
        <f t="shared" si="77"/>
        <v>1.2093428812645628E-2</v>
      </c>
      <c r="G151" s="156">
        <f t="shared" si="77"/>
        <v>1.1743654221596881E-2</v>
      </c>
      <c r="H151" s="156">
        <f t="shared" si="77"/>
        <v>1.2249046717283585E-2</v>
      </c>
      <c r="I151" s="156">
        <f t="shared" si="77"/>
        <v>1.2865011095449191E-2</v>
      </c>
      <c r="J151" s="156">
        <f t="shared" si="77"/>
        <v>1.3118947065640898E-2</v>
      </c>
      <c r="K151" s="156">
        <f t="shared" si="77"/>
        <v>1.4572022121449809E-2</v>
      </c>
      <c r="L151" s="156">
        <f t="shared" ref="L151" si="78">IF(L33=0,0,L33/L$17)</f>
        <v>1.4097018402491978E-2</v>
      </c>
      <c r="M151" s="156">
        <f t="shared" ref="M151:V151" si="79">IF(M33=0,0,M33/M$17)</f>
        <v>1.35973472202885E-2</v>
      </c>
      <c r="N151" s="156">
        <f t="shared" si="79"/>
        <v>1.4211986736977546E-2</v>
      </c>
      <c r="O151" s="156">
        <f t="shared" si="79"/>
        <v>1.4579869206495644E-2</v>
      </c>
      <c r="P151" s="156">
        <f t="shared" si="79"/>
        <v>1.5090874034506702E-2</v>
      </c>
      <c r="Q151" s="156">
        <f t="shared" si="79"/>
        <v>1.6654009580534441E-2</v>
      </c>
      <c r="R151" s="156">
        <f t="shared" si="79"/>
        <v>1.7498378027088198E-2</v>
      </c>
      <c r="S151" s="156">
        <f t="shared" si="79"/>
        <v>1.7629090698135414E-2</v>
      </c>
      <c r="T151" s="156">
        <f t="shared" si="79"/>
        <v>1.6858529221611036E-2</v>
      </c>
      <c r="U151" s="156">
        <f t="shared" si="79"/>
        <v>1.6894337461961114E-2</v>
      </c>
      <c r="V151" s="156">
        <f t="shared" si="79"/>
        <v>2.1586946064210098E-2</v>
      </c>
      <c r="W151" s="156">
        <f t="shared" ref="W151" si="80">IF(W33=0,0,W33/W$17)</f>
        <v>2.0185388628782001E-2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0</v>
      </c>
      <c r="M152" s="103">
        <f t="shared" ref="M152:V152" si="83">IF(M34=0,0,M34/M$17)</f>
        <v>0</v>
      </c>
      <c r="N152" s="103">
        <f t="shared" si="83"/>
        <v>0</v>
      </c>
      <c r="O152" s="103">
        <f t="shared" si="83"/>
        <v>0</v>
      </c>
      <c r="P152" s="103">
        <f t="shared" si="83"/>
        <v>0</v>
      </c>
      <c r="Q152" s="103">
        <f t="shared" si="83"/>
        <v>0</v>
      </c>
      <c r="R152" s="103">
        <f t="shared" si="83"/>
        <v>0</v>
      </c>
      <c r="S152" s="103">
        <f t="shared" si="83"/>
        <v>0</v>
      </c>
      <c r="T152" s="103">
        <f t="shared" si="83"/>
        <v>6.3709984544951305E-7</v>
      </c>
      <c r="U152" s="103">
        <f t="shared" si="83"/>
        <v>5.9402552275787562E-7</v>
      </c>
      <c r="V152" s="103">
        <f t="shared" si="83"/>
        <v>7.2980986763321302E-7</v>
      </c>
      <c r="W152" s="103">
        <f t="shared" ref="W152" si="84">IF(W34=0,0,W34/W$17)</f>
        <v>6.4167857711997146E-7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1.5429979169213449E-2</v>
      </c>
      <c r="C153" s="103">
        <f t="shared" si="85"/>
        <v>1.5178079890304364E-2</v>
      </c>
      <c r="D153" s="103">
        <f t="shared" si="85"/>
        <v>1.5430019301629261E-2</v>
      </c>
      <c r="E153" s="103">
        <f t="shared" si="85"/>
        <v>1.4044427653294674E-2</v>
      </c>
      <c r="F153" s="103">
        <f t="shared" si="85"/>
        <v>1.2070086774307792E-2</v>
      </c>
      <c r="G153" s="103">
        <f t="shared" si="85"/>
        <v>1.1721500294943019E-2</v>
      </c>
      <c r="H153" s="103">
        <f t="shared" si="85"/>
        <v>1.2225867761390346E-2</v>
      </c>
      <c r="I153" s="103">
        <f t="shared" si="85"/>
        <v>1.2841328589769392E-2</v>
      </c>
      <c r="J153" s="103">
        <f t="shared" si="85"/>
        <v>1.3095552054646397E-2</v>
      </c>
      <c r="K153" s="103">
        <f t="shared" si="85"/>
        <v>1.4555091825484834E-2</v>
      </c>
      <c r="L153" s="103">
        <f t="shared" ref="L153" si="86">IF(L36=0,0,L36/L$17)</f>
        <v>1.4080968964661848E-2</v>
      </c>
      <c r="M153" s="103">
        <f t="shared" ref="M153:V153" si="87">IF(M36=0,0,M36/M$17)</f>
        <v>1.3582204846122424E-2</v>
      </c>
      <c r="N153" s="103">
        <f t="shared" si="87"/>
        <v>1.4196136721185224E-2</v>
      </c>
      <c r="O153" s="103">
        <f t="shared" si="87"/>
        <v>1.4550249433108725E-2</v>
      </c>
      <c r="P153" s="103">
        <f t="shared" si="87"/>
        <v>1.5068329712287035E-2</v>
      </c>
      <c r="Q153" s="103">
        <f t="shared" si="87"/>
        <v>1.6629950567442105E-2</v>
      </c>
      <c r="R153" s="103">
        <f t="shared" si="87"/>
        <v>1.7473682182788025E-2</v>
      </c>
      <c r="S153" s="103">
        <f t="shared" si="87"/>
        <v>1.7571001421575305E-2</v>
      </c>
      <c r="T153" s="103">
        <f t="shared" si="87"/>
        <v>1.6669719917177653E-2</v>
      </c>
      <c r="U153" s="103">
        <f t="shared" si="87"/>
        <v>1.6221600418064152E-2</v>
      </c>
      <c r="V153" s="103">
        <f t="shared" si="87"/>
        <v>2.0359044076672828E-2</v>
      </c>
      <c r="W153" s="103">
        <f t="shared" ref="W153" si="88">IF(W36=0,0,W36/W$17)</f>
        <v>1.8789965467803333E-2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0</v>
      </c>
      <c r="V155" s="103">
        <f t="shared" si="95"/>
        <v>0</v>
      </c>
      <c r="W155" s="103">
        <f t="shared" ref="W155" si="96">IF(W39=0,0,W39/W$17)</f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2.7149137498834825E-5</v>
      </c>
      <c r="F156" s="103">
        <f t="shared" si="97"/>
        <v>2.3342038337835661E-5</v>
      </c>
      <c r="G156" s="103">
        <f t="shared" si="97"/>
        <v>2.2153926653862339E-5</v>
      </c>
      <c r="H156" s="103">
        <f t="shared" si="97"/>
        <v>2.3178955893237683E-5</v>
      </c>
      <c r="I156" s="103">
        <f t="shared" si="97"/>
        <v>2.36825056797998E-5</v>
      </c>
      <c r="J156" s="103">
        <f t="shared" si="97"/>
        <v>2.3395010994501373E-5</v>
      </c>
      <c r="K156" s="103">
        <f t="shared" si="97"/>
        <v>1.6930295964973933E-5</v>
      </c>
      <c r="L156" s="103">
        <f t="shared" ref="L156" si="98">IF(L41=0,0,L41/L$17)</f>
        <v>1.6049437830131195E-5</v>
      </c>
      <c r="M156" s="103">
        <f t="shared" ref="M156:V156" si="99">IF(M41=0,0,M41/M$17)</f>
        <v>1.5142374166076283E-5</v>
      </c>
      <c r="N156" s="103">
        <f t="shared" si="99"/>
        <v>1.5850015792323011E-5</v>
      </c>
      <c r="O156" s="103">
        <f t="shared" si="99"/>
        <v>2.9619773386917356E-5</v>
      </c>
      <c r="P156" s="103">
        <f t="shared" si="99"/>
        <v>2.2544322219667475E-5</v>
      </c>
      <c r="Q156" s="103">
        <f t="shared" si="99"/>
        <v>2.4059013092337505E-5</v>
      </c>
      <c r="R156" s="103">
        <f t="shared" si="99"/>
        <v>2.4695844300171277E-5</v>
      </c>
      <c r="S156" s="103">
        <f t="shared" si="99"/>
        <v>5.8089276560107618E-5</v>
      </c>
      <c r="T156" s="103">
        <f t="shared" si="99"/>
        <v>1.8817220458793471E-4</v>
      </c>
      <c r="U156" s="103">
        <f t="shared" si="99"/>
        <v>6.7214301837420336E-4</v>
      </c>
      <c r="V156" s="103">
        <f t="shared" si="99"/>
        <v>1.2271721776696374E-3</v>
      </c>
      <c r="W156" s="103">
        <f t="shared" ref="W156" si="100">IF(W41=0,0,W41/W$17)</f>
        <v>1.3947814824015483E-3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0.42114047349767131</v>
      </c>
      <c r="C157" s="46">
        <f t="shared" si="101"/>
        <v>0.4344002769058149</v>
      </c>
      <c r="D157" s="46">
        <f t="shared" si="101"/>
        <v>0.44354142972994942</v>
      </c>
      <c r="E157" s="46">
        <f t="shared" si="101"/>
        <v>0.46596174628772125</v>
      </c>
      <c r="F157" s="46">
        <f t="shared" si="101"/>
        <v>0.53210213568823783</v>
      </c>
      <c r="G157" s="46">
        <f t="shared" si="101"/>
        <v>0.57112984105929299</v>
      </c>
      <c r="H157" s="46">
        <f t="shared" si="101"/>
        <v>0.5689901199887335</v>
      </c>
      <c r="I157" s="46">
        <f t="shared" si="101"/>
        <v>0.55289363992899376</v>
      </c>
      <c r="J157" s="46">
        <f t="shared" si="101"/>
        <v>0.55123581633802055</v>
      </c>
      <c r="K157" s="46">
        <f t="shared" si="101"/>
        <v>0.52251863001265975</v>
      </c>
      <c r="L157" s="46">
        <f t="shared" ref="L157" si="102">IF(L42=0,0,L42/L$17)</f>
        <v>0.55742176380223873</v>
      </c>
      <c r="M157" s="46">
        <f t="shared" ref="M157:V157" si="103">IF(M42=0,0,M42/M$17)</f>
        <v>0.55342824165841431</v>
      </c>
      <c r="N157" s="46">
        <f t="shared" si="103"/>
        <v>0.53491806511493445</v>
      </c>
      <c r="O157" s="46">
        <f t="shared" si="103"/>
        <v>0.55310709876910358</v>
      </c>
      <c r="P157" s="46">
        <f t="shared" si="103"/>
        <v>0.54090811865702693</v>
      </c>
      <c r="Q157" s="46">
        <f t="shared" si="103"/>
        <v>0.52579661875280148</v>
      </c>
      <c r="R157" s="46">
        <f t="shared" si="103"/>
        <v>0.525782394513719</v>
      </c>
      <c r="S157" s="46">
        <f t="shared" si="103"/>
        <v>0.54007981060309218</v>
      </c>
      <c r="T157" s="46">
        <f t="shared" si="103"/>
        <v>0.55173528682286066</v>
      </c>
      <c r="U157" s="46">
        <f t="shared" si="103"/>
        <v>0.56947707488507116</v>
      </c>
      <c r="V157" s="46">
        <f t="shared" si="103"/>
        <v>0.57209373402260233</v>
      </c>
      <c r="W157" s="46">
        <f t="shared" ref="W157" si="104">IF(W42=0,0,W42/W$17)</f>
        <v>0.55352608454972374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2.0854218318977373E-2</v>
      </c>
      <c r="C158" s="154">
        <f t="shared" si="105"/>
        <v>2.0498684854123119E-2</v>
      </c>
      <c r="D158" s="154">
        <f t="shared" si="105"/>
        <v>2.0528229360417836E-2</v>
      </c>
      <c r="E158" s="154">
        <f t="shared" si="105"/>
        <v>1.8942545632266366E-2</v>
      </c>
      <c r="F158" s="154">
        <f t="shared" si="105"/>
        <v>1.6656040047600938E-2</v>
      </c>
      <c r="G158" s="154">
        <f t="shared" si="105"/>
        <v>1.6353415854816346E-2</v>
      </c>
      <c r="H158" s="154">
        <f t="shared" si="105"/>
        <v>1.774074666340731E-2</v>
      </c>
      <c r="I158" s="154">
        <f t="shared" si="105"/>
        <v>1.9378736812892351E-2</v>
      </c>
      <c r="J158" s="154">
        <f t="shared" si="105"/>
        <v>2.004103390281068E-2</v>
      </c>
      <c r="K158" s="154">
        <f t="shared" si="105"/>
        <v>2.1764978591263862E-2</v>
      </c>
      <c r="L158" s="154">
        <f t="shared" ref="L158" si="106">IF(L43=0,0,L43/L$17)</f>
        <v>2.1520266595523935E-2</v>
      </c>
      <c r="M158" s="154">
        <f t="shared" ref="M158:V158" si="107">IF(M43=0,0,M43/M$17)</f>
        <v>2.1400263762163273E-2</v>
      </c>
      <c r="N158" s="154">
        <f t="shared" si="107"/>
        <v>2.2879379014693745E-2</v>
      </c>
      <c r="O158" s="154">
        <f t="shared" si="107"/>
        <v>2.3668365812936732E-2</v>
      </c>
      <c r="P158" s="154">
        <f t="shared" si="107"/>
        <v>2.5751424469905995E-2</v>
      </c>
      <c r="Q158" s="154">
        <f t="shared" si="107"/>
        <v>2.8382618321974022E-2</v>
      </c>
      <c r="R158" s="154">
        <f t="shared" si="107"/>
        <v>3.041046198121455E-2</v>
      </c>
      <c r="S158" s="154">
        <f t="shared" si="107"/>
        <v>2.9913308015796523E-2</v>
      </c>
      <c r="T158" s="154">
        <f t="shared" si="107"/>
        <v>2.8768525175917978E-2</v>
      </c>
      <c r="U158" s="154">
        <f t="shared" si="107"/>
        <v>2.8383313857602864E-2</v>
      </c>
      <c r="V158" s="154">
        <f t="shared" si="107"/>
        <v>3.7032502305886499E-2</v>
      </c>
      <c r="W158" s="154">
        <f t="shared" ref="W158" si="108">IF(W43=0,0,W43/W$17)</f>
        <v>3.6211109046014385E-2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1.9244598985793534E-3</v>
      </c>
      <c r="C159" s="103">
        <f t="shared" si="109"/>
        <v>1.6372015022586531E-3</v>
      </c>
      <c r="D159" s="103">
        <f t="shared" si="109"/>
        <v>1.4268325386853436E-3</v>
      </c>
      <c r="E159" s="103">
        <f t="shared" si="109"/>
        <v>1.1491821007754571E-3</v>
      </c>
      <c r="F159" s="103">
        <f t="shared" si="109"/>
        <v>8.5794594215833891E-4</v>
      </c>
      <c r="G159" s="103">
        <f t="shared" si="109"/>
        <v>7.0578276779058465E-4</v>
      </c>
      <c r="H159" s="103">
        <f t="shared" si="109"/>
        <v>6.5026174454677467E-4</v>
      </c>
      <c r="I159" s="103">
        <f t="shared" si="109"/>
        <v>6.065263768551516E-4</v>
      </c>
      <c r="J159" s="103">
        <f t="shared" si="109"/>
        <v>5.5895607197265255E-4</v>
      </c>
      <c r="K159" s="103">
        <f t="shared" si="109"/>
        <v>5.3115136808009169E-4</v>
      </c>
      <c r="L159" s="103">
        <f t="shared" ref="L159" si="110">IF(L44=0,0,L44/L$17)</f>
        <v>4.8138097952534712E-4</v>
      </c>
      <c r="M159" s="103">
        <f t="shared" ref="M159:V159" si="111">IF(M44=0,0,M44/M$17)</f>
        <v>4.3501906307949007E-4</v>
      </c>
      <c r="N159" s="103">
        <f t="shared" si="111"/>
        <v>4.183142767591362E-4</v>
      </c>
      <c r="O159" s="103">
        <f t="shared" si="111"/>
        <v>4.0868326727506142E-4</v>
      </c>
      <c r="P159" s="103">
        <f t="shared" si="111"/>
        <v>4.2339163094636873E-4</v>
      </c>
      <c r="Q159" s="103">
        <f t="shared" si="111"/>
        <v>4.4714580352531722E-4</v>
      </c>
      <c r="R159" s="103">
        <f t="shared" si="111"/>
        <v>4.6332565192735829E-4</v>
      </c>
      <c r="S159" s="103">
        <f t="shared" si="111"/>
        <v>4.5023892203002231E-4</v>
      </c>
      <c r="T159" s="103">
        <f t="shared" si="111"/>
        <v>4.4403123090923775E-4</v>
      </c>
      <c r="U159" s="103">
        <f t="shared" si="111"/>
        <v>4.4864465815442245E-4</v>
      </c>
      <c r="V159" s="103">
        <f t="shared" si="111"/>
        <v>5.7872323854499578E-4</v>
      </c>
      <c r="W159" s="103">
        <f t="shared" ref="W159" si="112">IF(W44=0,0,W44/W$17)</f>
        <v>5.6122939830161858E-4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1.892975842039802E-2</v>
      </c>
      <c r="C160" s="103">
        <f t="shared" si="113"/>
        <v>1.8861483351864466E-2</v>
      </c>
      <c r="D160" s="103">
        <f t="shared" si="113"/>
        <v>1.9101396821732491E-2</v>
      </c>
      <c r="E160" s="103">
        <f t="shared" si="113"/>
        <v>1.779336353149091E-2</v>
      </c>
      <c r="F160" s="103">
        <f t="shared" si="113"/>
        <v>1.5798094105442598E-2</v>
      </c>
      <c r="G160" s="103">
        <f t="shared" si="113"/>
        <v>1.5647633087025759E-2</v>
      </c>
      <c r="H160" s="103">
        <f t="shared" si="113"/>
        <v>1.7090389981804198E-2</v>
      </c>
      <c r="I160" s="103">
        <f t="shared" si="113"/>
        <v>1.8772016410732981E-2</v>
      </c>
      <c r="J160" s="103">
        <f t="shared" si="113"/>
        <v>1.9481886194120696E-2</v>
      </c>
      <c r="K160" s="103">
        <f t="shared" si="113"/>
        <v>2.1233095566222156E-2</v>
      </c>
      <c r="L160" s="103">
        <f t="shared" ref="L160" si="114">IF(L46=0,0,L46/L$17)</f>
        <v>2.1038192573655669E-2</v>
      </c>
      <c r="M160" s="103">
        <f t="shared" ref="M160:V160" si="115">IF(M46=0,0,M46/M$17)</f>
        <v>2.0964591180269176E-2</v>
      </c>
      <c r="N160" s="103">
        <f t="shared" si="115"/>
        <v>2.2458486700241819E-2</v>
      </c>
      <c r="O160" s="103">
        <f t="shared" si="115"/>
        <v>2.3220913024095891E-2</v>
      </c>
      <c r="P160" s="103">
        <f t="shared" si="115"/>
        <v>2.5277618211591944E-2</v>
      </c>
      <c r="Q160" s="103">
        <f t="shared" si="115"/>
        <v>2.7876635267097084E-2</v>
      </c>
      <c r="R160" s="103">
        <f t="shared" si="115"/>
        <v>2.9876377807964472E-2</v>
      </c>
      <c r="S160" s="103">
        <f t="shared" si="115"/>
        <v>2.938680160049096E-2</v>
      </c>
      <c r="T160" s="103">
        <f t="shared" si="115"/>
        <v>2.8248686638633953E-2</v>
      </c>
      <c r="U160" s="103">
        <f t="shared" si="115"/>
        <v>2.7864895871178401E-2</v>
      </c>
      <c r="V160" s="103">
        <f t="shared" si="115"/>
        <v>3.6344068965515341E-2</v>
      </c>
      <c r="W160" s="103">
        <f t="shared" ref="W160" si="116">IF(W46=0,0,W46/W$17)</f>
        <v>3.5525804502529915E-2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3.1919120333525829E-5</v>
      </c>
      <c r="P161" s="103">
        <f t="shared" si="119"/>
        <v>4.1555908607644694E-5</v>
      </c>
      <c r="Q161" s="103">
        <f t="shared" si="119"/>
        <v>4.6788706228136498E-5</v>
      </c>
      <c r="R161" s="103">
        <f t="shared" si="119"/>
        <v>5.6527043919652728E-5</v>
      </c>
      <c r="S161" s="103">
        <f t="shared" si="119"/>
        <v>5.7899815956562993E-5</v>
      </c>
      <c r="T161" s="103">
        <f t="shared" si="119"/>
        <v>5.2281278297339176E-5</v>
      </c>
      <c r="U161" s="103">
        <f t="shared" si="119"/>
        <v>3.8305216136281575E-5</v>
      </c>
      <c r="V161" s="103">
        <f t="shared" si="119"/>
        <v>5.8142730632269956E-5</v>
      </c>
      <c r="W161" s="103">
        <f t="shared" ref="W161" si="120">IF(W48=0,0,W48/W$17)</f>
        <v>5.0567665557628851E-5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9.4937056339919791E-8</v>
      </c>
      <c r="I163" s="103">
        <f t="shared" si="125"/>
        <v>1.9402530421488589E-7</v>
      </c>
      <c r="J163" s="103">
        <f t="shared" si="125"/>
        <v>1.9163671733410592E-7</v>
      </c>
      <c r="K163" s="103">
        <f t="shared" si="125"/>
        <v>7.3165696161129559E-7</v>
      </c>
      <c r="L163" s="103">
        <f t="shared" ref="L163" si="126">IF(L51=0,0,L51/L$17)</f>
        <v>6.9304234292421315E-7</v>
      </c>
      <c r="M163" s="103">
        <f t="shared" ref="M163:V163" si="127">IF(M51=0,0,M51/M$17)</f>
        <v>6.5351881460413686E-7</v>
      </c>
      <c r="N163" s="103">
        <f t="shared" si="127"/>
        <v>2.5780376927907921E-6</v>
      </c>
      <c r="O163" s="103">
        <f t="shared" si="127"/>
        <v>6.8504012322520252E-6</v>
      </c>
      <c r="P163" s="103">
        <f t="shared" si="127"/>
        <v>8.8587187600388549E-6</v>
      </c>
      <c r="Q163" s="103">
        <f t="shared" si="127"/>
        <v>1.204854512348357E-5</v>
      </c>
      <c r="R163" s="103">
        <f t="shared" si="127"/>
        <v>1.423147740306946E-5</v>
      </c>
      <c r="S163" s="103">
        <f t="shared" si="127"/>
        <v>1.8367677318978589E-5</v>
      </c>
      <c r="T163" s="103">
        <f t="shared" si="127"/>
        <v>2.3526028077446016E-5</v>
      </c>
      <c r="U163" s="103">
        <f t="shared" si="127"/>
        <v>3.1468112133763373E-5</v>
      </c>
      <c r="V163" s="103">
        <f t="shared" si="127"/>
        <v>5.1567371193895055E-5</v>
      </c>
      <c r="W163" s="103">
        <f t="shared" ref="W163" si="128">IF(W51=0,0,W51/W$17)</f>
        <v>7.3507479625223543E-5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0.40028625517869393</v>
      </c>
      <c r="C164" s="156">
        <f t="shared" si="129"/>
        <v>0.4139015920516918</v>
      </c>
      <c r="D164" s="156">
        <f t="shared" si="129"/>
        <v>0.42301320036953161</v>
      </c>
      <c r="E164" s="156">
        <f t="shared" si="129"/>
        <v>0.44701920065545486</v>
      </c>
      <c r="F164" s="156">
        <f t="shared" si="129"/>
        <v>0.51544609564063681</v>
      </c>
      <c r="G164" s="156">
        <f t="shared" si="129"/>
        <v>0.55477642520447656</v>
      </c>
      <c r="H164" s="156">
        <f t="shared" si="129"/>
        <v>0.5512493733253262</v>
      </c>
      <c r="I164" s="156">
        <f t="shared" si="129"/>
        <v>0.5335149031161015</v>
      </c>
      <c r="J164" s="156">
        <f t="shared" si="129"/>
        <v>0.5311947824352099</v>
      </c>
      <c r="K164" s="156">
        <f t="shared" si="129"/>
        <v>0.50075365142139594</v>
      </c>
      <c r="L164" s="156">
        <f t="shared" ref="L164" si="130">IF(L52=0,0,L52/L$17)</f>
        <v>0.53590149720671476</v>
      </c>
      <c r="M164" s="156">
        <f t="shared" ref="M164:V164" si="131">IF(M52=0,0,M52/M$17)</f>
        <v>0.532027977896251</v>
      </c>
      <c r="N164" s="156">
        <f t="shared" si="131"/>
        <v>0.51203868610024061</v>
      </c>
      <c r="O164" s="156">
        <f t="shared" si="131"/>
        <v>0.52943873295616695</v>
      </c>
      <c r="P164" s="156">
        <f t="shared" si="131"/>
        <v>0.51515669418712096</v>
      </c>
      <c r="Q164" s="156">
        <f t="shared" si="131"/>
        <v>0.49741400043082745</v>
      </c>
      <c r="R164" s="156">
        <f t="shared" si="131"/>
        <v>0.49537193253250444</v>
      </c>
      <c r="S164" s="156">
        <f t="shared" si="131"/>
        <v>0.51016650258729568</v>
      </c>
      <c r="T164" s="156">
        <f t="shared" si="131"/>
        <v>0.52296676164694267</v>
      </c>
      <c r="U164" s="156">
        <f t="shared" si="131"/>
        <v>0.54109376102746831</v>
      </c>
      <c r="V164" s="156">
        <f t="shared" si="131"/>
        <v>0.53506123171671582</v>
      </c>
      <c r="W164" s="156">
        <f t="shared" ref="W164" si="132">IF(W52=0,0,W52/W$17)</f>
        <v>0.51731497550370942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1.7431527860058388E-2</v>
      </c>
      <c r="C165" s="104">
        <f t="shared" si="133"/>
        <v>1.8927898980356586E-2</v>
      </c>
      <c r="D165" s="104">
        <f t="shared" si="133"/>
        <v>2.1103518644263006E-2</v>
      </c>
      <c r="E165" s="104">
        <f t="shared" si="133"/>
        <v>1.9233407266134542E-2</v>
      </c>
      <c r="F165" s="104">
        <f t="shared" si="133"/>
        <v>1.6603806638136751E-2</v>
      </c>
      <c r="G165" s="104">
        <f t="shared" si="133"/>
        <v>1.5223958172706831E-2</v>
      </c>
      <c r="H165" s="104">
        <f t="shared" si="133"/>
        <v>1.7285719383374778E-2</v>
      </c>
      <c r="I165" s="104">
        <f t="shared" si="133"/>
        <v>1.6989787177279118E-2</v>
      </c>
      <c r="J165" s="104">
        <f t="shared" si="133"/>
        <v>1.5484631221216913E-2</v>
      </c>
      <c r="K165" s="104">
        <f t="shared" si="133"/>
        <v>1.0884394816697573E-2</v>
      </c>
      <c r="L165" s="104">
        <f t="shared" ref="L165" si="134">IF(L53=0,0,L53/L$17)</f>
        <v>1.1585660611687153E-2</v>
      </c>
      <c r="M165" s="104">
        <f t="shared" ref="M165:V165" si="135">IF(M53=0,0,M53/M$17)</f>
        <v>1.1852147353065166E-2</v>
      </c>
      <c r="N165" s="104">
        <f t="shared" si="135"/>
        <v>1.8195239765225028E-2</v>
      </c>
      <c r="O165" s="104">
        <f t="shared" si="135"/>
        <v>1.4890329688028303E-2</v>
      </c>
      <c r="P165" s="104">
        <f t="shared" si="135"/>
        <v>1.9992850977247165E-2</v>
      </c>
      <c r="Q165" s="104">
        <f t="shared" si="135"/>
        <v>1.8625939452661666E-2</v>
      </c>
      <c r="R165" s="104">
        <f t="shared" si="135"/>
        <v>1.9363582819841886E-2</v>
      </c>
      <c r="S165" s="104">
        <f t="shared" si="135"/>
        <v>1.8193579188963416E-2</v>
      </c>
      <c r="T165" s="104">
        <f t="shared" si="135"/>
        <v>1.7708551904416291E-2</v>
      </c>
      <c r="U165" s="104">
        <f t="shared" si="135"/>
        <v>1.7106014548747734E-2</v>
      </c>
      <c r="V165" s="104">
        <f t="shared" si="135"/>
        <v>1.8167775728019177E-2</v>
      </c>
      <c r="W165" s="104">
        <f t="shared" ref="W165" si="136">IF(W53=0,0,W53/W$17)</f>
        <v>2.0034733684750377E-2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0.38285472731863557</v>
      </c>
      <c r="C166" s="105">
        <f t="shared" si="137"/>
        <v>0.39497369307133517</v>
      </c>
      <c r="D166" s="105">
        <f t="shared" si="137"/>
        <v>0.40190968172526859</v>
      </c>
      <c r="E166" s="105">
        <f t="shared" si="137"/>
        <v>0.42778579338932032</v>
      </c>
      <c r="F166" s="105">
        <f t="shared" si="137"/>
        <v>0.49884228900250011</v>
      </c>
      <c r="G166" s="105">
        <f t="shared" si="137"/>
        <v>0.53955246703176973</v>
      </c>
      <c r="H166" s="105">
        <f t="shared" si="137"/>
        <v>0.53396365394195144</v>
      </c>
      <c r="I166" s="105">
        <f t="shared" si="137"/>
        <v>0.51652511593882233</v>
      </c>
      <c r="J166" s="105">
        <f t="shared" si="137"/>
        <v>0.515710151213993</v>
      </c>
      <c r="K166" s="105">
        <f t="shared" si="137"/>
        <v>0.48986925660469832</v>
      </c>
      <c r="L166" s="105">
        <f t="shared" ref="L166" si="138">IF(L55=0,0,L55/L$17)</f>
        <v>0.52431583659502767</v>
      </c>
      <c r="M166" s="105">
        <f t="shared" ref="M166:V166" si="139">IF(M55=0,0,M55/M$17)</f>
        <v>0.52017583054318584</v>
      </c>
      <c r="N166" s="105">
        <f t="shared" si="139"/>
        <v>0.49384344633501565</v>
      </c>
      <c r="O166" s="105">
        <f t="shared" si="139"/>
        <v>0.51454840326813855</v>
      </c>
      <c r="P166" s="105">
        <f t="shared" si="139"/>
        <v>0.49516384320987378</v>
      </c>
      <c r="Q166" s="105">
        <f t="shared" si="139"/>
        <v>0.47878806097816579</v>
      </c>
      <c r="R166" s="105">
        <f t="shared" si="139"/>
        <v>0.47600834971266259</v>
      </c>
      <c r="S166" s="105">
        <f t="shared" si="139"/>
        <v>0.49197292339833226</v>
      </c>
      <c r="T166" s="105">
        <f t="shared" si="139"/>
        <v>0.50525820974252644</v>
      </c>
      <c r="U166" s="105">
        <f t="shared" si="139"/>
        <v>0.52398774647872048</v>
      </c>
      <c r="V166" s="105">
        <f t="shared" si="139"/>
        <v>0.51689345598869674</v>
      </c>
      <c r="W166" s="105">
        <f t="shared" ref="W166" si="140">IF(W55=0,0,W55/W$17)</f>
        <v>0.49728024181895908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4779.9203756508005</v>
      </c>
      <c r="C4" s="146">
        <f t="shared" si="0"/>
        <v>5022.3017724624005</v>
      </c>
      <c r="D4" s="146">
        <f t="shared" si="0"/>
        <v>5233.0230909611982</v>
      </c>
      <c r="E4" s="146">
        <f t="shared" si="0"/>
        <v>5788.9202628563999</v>
      </c>
      <c r="F4" s="146">
        <f t="shared" si="0"/>
        <v>6760.6482897612004</v>
      </c>
      <c r="G4" s="146">
        <f t="shared" si="0"/>
        <v>7146.2721448475986</v>
      </c>
      <c r="H4" s="146">
        <f t="shared" si="0"/>
        <v>6842.9998503143997</v>
      </c>
      <c r="I4" s="146">
        <f t="shared" si="0"/>
        <v>6564.3739575911986</v>
      </c>
      <c r="J4" s="146">
        <f t="shared" si="0"/>
        <v>6659.0611006175986</v>
      </c>
      <c r="K4" s="146">
        <f t="shared" si="0"/>
        <v>6138.2193451308003</v>
      </c>
      <c r="L4" s="146">
        <f t="shared" ref="L4" si="1">L5+L9+L10+L15</f>
        <v>6499.2324620879999</v>
      </c>
      <c r="M4" s="146">
        <f t="shared" ref="M4:V4" si="2">M5+M9+M10+M15</f>
        <v>6891.4689161832002</v>
      </c>
      <c r="N4" s="146">
        <f t="shared" si="2"/>
        <v>6576.5767266000003</v>
      </c>
      <c r="O4" s="146">
        <f t="shared" si="2"/>
        <v>6435.5012200800011</v>
      </c>
      <c r="P4" s="146">
        <f t="shared" si="2"/>
        <v>6143.9633388000011</v>
      </c>
      <c r="Q4" s="146">
        <f t="shared" si="2"/>
        <v>5709.9311794800014</v>
      </c>
      <c r="R4" s="146">
        <f t="shared" si="2"/>
        <v>5534.3133885599991</v>
      </c>
      <c r="S4" s="146">
        <f t="shared" si="2"/>
        <v>5640.0161327999986</v>
      </c>
      <c r="T4" s="146">
        <f t="shared" si="2"/>
        <v>6019.9136474400002</v>
      </c>
      <c r="U4" s="146">
        <f t="shared" si="2"/>
        <v>6156.4560314399996</v>
      </c>
      <c r="V4" s="146">
        <f t="shared" si="2"/>
        <v>4629.0279427199985</v>
      </c>
      <c r="W4" s="146">
        <f t="shared" ref="W4" si="3">W5+W9+W10+W15</f>
        <v>4945.2080608800015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4779.9203756508005</v>
      </c>
      <c r="C5" s="101">
        <f t="shared" si="4"/>
        <v>5022.3017724624005</v>
      </c>
      <c r="D5" s="101">
        <f t="shared" si="4"/>
        <v>5233.0230909611982</v>
      </c>
      <c r="E5" s="101">
        <f t="shared" si="4"/>
        <v>5788.9202628563999</v>
      </c>
      <c r="F5" s="101">
        <f t="shared" si="4"/>
        <v>6760.6482897612004</v>
      </c>
      <c r="G5" s="101">
        <f t="shared" si="4"/>
        <v>7146.2721448475986</v>
      </c>
      <c r="H5" s="101">
        <f t="shared" si="4"/>
        <v>6842.9998503143997</v>
      </c>
      <c r="I5" s="101">
        <f t="shared" si="4"/>
        <v>6564.3739575911986</v>
      </c>
      <c r="J5" s="101">
        <f t="shared" si="4"/>
        <v>6659.0611006175986</v>
      </c>
      <c r="K5" s="101">
        <f t="shared" si="4"/>
        <v>6138.2193451308003</v>
      </c>
      <c r="L5" s="101">
        <f t="shared" ref="L5" si="5">SUM(L6:L8)</f>
        <v>6499.2324620879999</v>
      </c>
      <c r="M5" s="101">
        <f t="shared" ref="M5:V5" si="6">SUM(M6:M8)</f>
        <v>6891.4689161832002</v>
      </c>
      <c r="N5" s="101">
        <f t="shared" si="6"/>
        <v>6576.5767266000003</v>
      </c>
      <c r="O5" s="101">
        <f t="shared" si="6"/>
        <v>6435.5012200800011</v>
      </c>
      <c r="P5" s="101">
        <f t="shared" si="6"/>
        <v>6143.9633388000011</v>
      </c>
      <c r="Q5" s="101">
        <f t="shared" si="6"/>
        <v>5709.9311794800014</v>
      </c>
      <c r="R5" s="101">
        <f t="shared" si="6"/>
        <v>5534.3133885599991</v>
      </c>
      <c r="S5" s="101">
        <f t="shared" si="6"/>
        <v>5640.0161327999986</v>
      </c>
      <c r="T5" s="101">
        <f t="shared" si="6"/>
        <v>6019.9136474400002</v>
      </c>
      <c r="U5" s="101">
        <f t="shared" si="6"/>
        <v>6156.4560314399996</v>
      </c>
      <c r="V5" s="101">
        <f t="shared" si="6"/>
        <v>4629.0279427199985</v>
      </c>
      <c r="W5" s="101">
        <f t="shared" ref="W5" si="7">SUM(W6:W8)</f>
        <v>4945.2080608800015</v>
      </c>
      <c r="DA5" s="175"/>
    </row>
    <row r="6" spans="1:105" ht="11.45" customHeight="1" x14ac:dyDescent="0.25">
      <c r="A6" s="128" t="s">
        <v>52</v>
      </c>
      <c r="B6" s="101">
        <v>5.8053009600000003</v>
      </c>
      <c r="C6" s="101">
        <v>8.707724279999999</v>
      </c>
      <c r="D6" s="101">
        <v>11.610374759999999</v>
      </c>
      <c r="E6" s="101">
        <v>8.707724279999999</v>
      </c>
      <c r="F6" s="101">
        <v>8.707724279999999</v>
      </c>
      <c r="G6" s="101">
        <v>5.8053009600000003</v>
      </c>
      <c r="H6" s="101">
        <v>2.9026504799999988</v>
      </c>
      <c r="I6" s="101">
        <v>5.8053009600000003</v>
      </c>
      <c r="J6" s="101">
        <v>5.8053009600000003</v>
      </c>
      <c r="K6" s="101">
        <v>3.9155569200000002</v>
      </c>
      <c r="L6" s="101">
        <v>3.9244161600000003</v>
      </c>
      <c r="M6" s="101">
        <v>1.8111466800000002</v>
      </c>
      <c r="N6" s="101">
        <v>4.9489077599999991</v>
      </c>
      <c r="O6" s="101">
        <v>3.3930889199999994</v>
      </c>
      <c r="P6" s="101">
        <v>3.9126038399999992</v>
      </c>
      <c r="Q6" s="101">
        <v>1.9622080800000001</v>
      </c>
      <c r="R6" s="101">
        <v>2.12190156</v>
      </c>
      <c r="S6" s="101">
        <v>1.8345441600000003</v>
      </c>
      <c r="T6" s="101">
        <v>0.97519788000000007</v>
      </c>
      <c r="U6" s="101">
        <v>0.85344012000000002</v>
      </c>
      <c r="V6" s="101">
        <v>0.50497667999999996</v>
      </c>
      <c r="W6" s="101">
        <v>0.74599343999999979</v>
      </c>
      <c r="DA6" s="175" t="s">
        <v>740</v>
      </c>
    </row>
    <row r="7" spans="1:105" ht="11.45" customHeight="1" x14ac:dyDescent="0.25">
      <c r="A7" s="128" t="s">
        <v>53</v>
      </c>
      <c r="B7" s="101">
        <v>1727.4107466</v>
      </c>
      <c r="C7" s="101">
        <v>1700.83439064</v>
      </c>
      <c r="D7" s="101">
        <v>1660.9355532</v>
      </c>
      <c r="E7" s="101">
        <v>1690.4979352800001</v>
      </c>
      <c r="F7" s="101">
        <v>1638.9084650399998</v>
      </c>
      <c r="G7" s="101">
        <v>1492.3911063599996</v>
      </c>
      <c r="H7" s="101">
        <v>1341.0620269200001</v>
      </c>
      <c r="I7" s="101">
        <v>1283.3393403599998</v>
      </c>
      <c r="J7" s="101">
        <v>1224.3428089199999</v>
      </c>
      <c r="K7" s="101">
        <v>1128.7378317599998</v>
      </c>
      <c r="L7" s="101">
        <v>1049.07138336</v>
      </c>
      <c r="M7" s="101">
        <v>1070.2305306000001</v>
      </c>
      <c r="N7" s="101">
        <v>1042.3476478799998</v>
      </c>
      <c r="O7" s="101">
        <v>949.32902988000012</v>
      </c>
      <c r="P7" s="101">
        <v>910.88890200000026</v>
      </c>
      <c r="Q7" s="101">
        <v>849.32397395999999</v>
      </c>
      <c r="R7" s="101">
        <v>825.38761535999981</v>
      </c>
      <c r="S7" s="101">
        <v>872.23995936000006</v>
      </c>
      <c r="T7" s="101">
        <v>952.48794564000002</v>
      </c>
      <c r="U7" s="101">
        <v>994.70170800000017</v>
      </c>
      <c r="V7" s="101">
        <v>759.52689119999991</v>
      </c>
      <c r="W7" s="101">
        <v>920.07375768000009</v>
      </c>
      <c r="DA7" s="175" t="s">
        <v>741</v>
      </c>
    </row>
    <row r="8" spans="1:105" ht="11.45" customHeight="1" x14ac:dyDescent="0.25">
      <c r="A8" s="128" t="s">
        <v>54</v>
      </c>
      <c r="B8" s="101">
        <v>3046.7043280908001</v>
      </c>
      <c r="C8" s="101">
        <v>3312.7596575424</v>
      </c>
      <c r="D8" s="101">
        <v>3560.4771630011983</v>
      </c>
      <c r="E8" s="101">
        <v>4089.7146032963997</v>
      </c>
      <c r="F8" s="101">
        <v>5113.0321004412008</v>
      </c>
      <c r="G8" s="101">
        <v>5648.0757375275989</v>
      </c>
      <c r="H8" s="101">
        <v>5499.0351729143995</v>
      </c>
      <c r="I8" s="101">
        <v>5275.2293162711985</v>
      </c>
      <c r="J8" s="101">
        <v>5428.9129907375991</v>
      </c>
      <c r="K8" s="101">
        <v>5005.5659564508005</v>
      </c>
      <c r="L8" s="101">
        <v>5446.2366625679997</v>
      </c>
      <c r="M8" s="101">
        <v>5819.4272389032003</v>
      </c>
      <c r="N8" s="101">
        <v>5529.2801709599999</v>
      </c>
      <c r="O8" s="101">
        <v>5482.7791012800008</v>
      </c>
      <c r="P8" s="101">
        <v>5229.1618329600005</v>
      </c>
      <c r="Q8" s="101">
        <v>4858.6449974400011</v>
      </c>
      <c r="R8" s="101">
        <v>4706.8038716399997</v>
      </c>
      <c r="S8" s="101">
        <v>4765.9416292799988</v>
      </c>
      <c r="T8" s="101">
        <v>5066.4505039200003</v>
      </c>
      <c r="U8" s="101">
        <v>5160.9008833199996</v>
      </c>
      <c r="V8" s="101">
        <v>3868.996074839999</v>
      </c>
      <c r="W8" s="101">
        <v>4024.3883097600014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4779.9203756507995</v>
      </c>
      <c r="C17" s="79">
        <f t="shared" si="12"/>
        <v>5022.3017724624005</v>
      </c>
      <c r="D17" s="79">
        <f t="shared" si="12"/>
        <v>5233.0230909611982</v>
      </c>
      <c r="E17" s="79">
        <f t="shared" si="12"/>
        <v>5788.9202628563999</v>
      </c>
      <c r="F17" s="79">
        <f t="shared" si="12"/>
        <v>6760.6482897612004</v>
      </c>
      <c r="G17" s="79">
        <f t="shared" si="12"/>
        <v>7146.2721448475977</v>
      </c>
      <c r="H17" s="79">
        <f t="shared" si="12"/>
        <v>6842.9998503143997</v>
      </c>
      <c r="I17" s="79">
        <f t="shared" si="12"/>
        <v>6564.3739575911968</v>
      </c>
      <c r="J17" s="79">
        <f t="shared" si="12"/>
        <v>6659.0611006175986</v>
      </c>
      <c r="K17" s="79">
        <f t="shared" si="12"/>
        <v>6138.2193451308012</v>
      </c>
      <c r="L17" s="79">
        <f t="shared" ref="L17" si="13">SUM(L18,L33)</f>
        <v>6499.232462087999</v>
      </c>
      <c r="M17" s="79">
        <f t="shared" ref="M17:V17" si="14">SUM(M18,M33)</f>
        <v>6891.4689161832011</v>
      </c>
      <c r="N17" s="79">
        <f t="shared" si="14"/>
        <v>6576.5767265999993</v>
      </c>
      <c r="O17" s="79">
        <f t="shared" si="14"/>
        <v>6435.5012200800011</v>
      </c>
      <c r="P17" s="79">
        <f t="shared" si="14"/>
        <v>6143.9633388000002</v>
      </c>
      <c r="Q17" s="79">
        <f t="shared" si="14"/>
        <v>5709.9311794800014</v>
      </c>
      <c r="R17" s="79">
        <f t="shared" si="14"/>
        <v>5534.31338856</v>
      </c>
      <c r="S17" s="79">
        <f t="shared" si="14"/>
        <v>5640.0161327999986</v>
      </c>
      <c r="T17" s="79">
        <f t="shared" si="14"/>
        <v>6019.9136474400002</v>
      </c>
      <c r="U17" s="79">
        <f t="shared" si="14"/>
        <v>6156.4560314400005</v>
      </c>
      <c r="V17" s="79">
        <f t="shared" si="14"/>
        <v>4629.0279427199985</v>
      </c>
      <c r="W17" s="79">
        <f t="shared" ref="W17" si="15">SUM(W18,W33)</f>
        <v>4945.2080608800006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2716.6987530074625</v>
      </c>
      <c r="C18" s="32">
        <f t="shared" si="16"/>
        <v>2789.3230976981458</v>
      </c>
      <c r="D18" s="32">
        <f t="shared" si="16"/>
        <v>2860.5309055229854</v>
      </c>
      <c r="E18" s="32">
        <f t="shared" si="16"/>
        <v>3036.6027654395734</v>
      </c>
      <c r="F18" s="32">
        <f t="shared" si="16"/>
        <v>3102.6744144126069</v>
      </c>
      <c r="G18" s="32">
        <f t="shared" si="16"/>
        <v>3005.7181147913825</v>
      </c>
      <c r="H18" s="32">
        <f t="shared" si="16"/>
        <v>2896.6960395169294</v>
      </c>
      <c r="I18" s="32">
        <f t="shared" si="16"/>
        <v>2902.6335092180366</v>
      </c>
      <c r="J18" s="32">
        <f t="shared" si="16"/>
        <v>2957.5432855350864</v>
      </c>
      <c r="K18" s="32">
        <f t="shared" si="16"/>
        <v>2904.5504823532751</v>
      </c>
      <c r="L18" s="32">
        <f t="shared" ref="L18" si="17">SUM(L19,L20,L27)</f>
        <v>2848.8898142013472</v>
      </c>
      <c r="M18" s="32">
        <f t="shared" ref="M18:V18" si="18">SUM(M19,M20,M27)</f>
        <v>3039.0453572065576</v>
      </c>
      <c r="N18" s="32">
        <f t="shared" si="18"/>
        <v>3032.8660024763808</v>
      </c>
      <c r="O18" s="32">
        <f t="shared" si="18"/>
        <v>2854.8294641481948</v>
      </c>
      <c r="P18" s="32">
        <f t="shared" si="18"/>
        <v>2801.2336135570272</v>
      </c>
      <c r="Q18" s="32">
        <f t="shared" si="18"/>
        <v>2687.3339766320951</v>
      </c>
      <c r="R18" s="32">
        <f t="shared" si="18"/>
        <v>2603.623652873549</v>
      </c>
      <c r="S18" s="32">
        <f t="shared" si="18"/>
        <v>2582.7246422358098</v>
      </c>
      <c r="T18" s="32">
        <f t="shared" si="18"/>
        <v>2680.9203199094682</v>
      </c>
      <c r="U18" s="32">
        <f t="shared" si="18"/>
        <v>2617.5030040502661</v>
      </c>
      <c r="V18" s="32">
        <f t="shared" si="18"/>
        <v>1965.8068624340663</v>
      </c>
      <c r="W18" s="32">
        <f t="shared" ref="W18" si="19">SUM(W19,W20,W27)</f>
        <v>2180.8677037575326</v>
      </c>
      <c r="DA18" s="173" t="s">
        <v>402</v>
      </c>
    </row>
    <row r="19" spans="1:105" ht="11.45" customHeight="1" x14ac:dyDescent="0.25">
      <c r="A19" s="136" t="s">
        <v>180</v>
      </c>
      <c r="B19" s="141">
        <v>4.54322569060347</v>
      </c>
      <c r="C19" s="141">
        <v>4.629221031072853</v>
      </c>
      <c r="D19" s="141">
        <v>4.8573268198657811</v>
      </c>
      <c r="E19" s="141">
        <v>4.9315558185449309</v>
      </c>
      <c r="F19" s="141">
        <v>5.2172672897231713</v>
      </c>
      <c r="G19" s="141">
        <v>5.2788632677385969</v>
      </c>
      <c r="H19" s="141">
        <v>5.3194804480338069</v>
      </c>
      <c r="I19" s="141">
        <v>5.3146742879960831</v>
      </c>
      <c r="J19" s="141">
        <v>5.3650354901962034</v>
      </c>
      <c r="K19" s="141">
        <v>5.5072527350087173</v>
      </c>
      <c r="L19" s="141">
        <v>5.6435702447012837</v>
      </c>
      <c r="M19" s="141">
        <v>5.6651742260765117</v>
      </c>
      <c r="N19" s="141">
        <v>5.9993544815999691</v>
      </c>
      <c r="O19" s="141">
        <v>6.1312503066844961</v>
      </c>
      <c r="P19" s="141">
        <v>6.2783444781631621</v>
      </c>
      <c r="Q19" s="141">
        <v>6.38692167093118</v>
      </c>
      <c r="R19" s="141">
        <v>6.572023658139643</v>
      </c>
      <c r="S19" s="141">
        <v>6.3960755239074185</v>
      </c>
      <c r="T19" s="141">
        <v>6.055685328744941</v>
      </c>
      <c r="U19" s="141">
        <v>6.1928906806041146</v>
      </c>
      <c r="V19" s="141">
        <v>5.5161865264315155</v>
      </c>
      <c r="W19" s="141">
        <v>5.2209679890065592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2636.5396816839652</v>
      </c>
      <c r="C20" s="130">
        <f t="shared" si="20"/>
        <v>2706.6538593347195</v>
      </c>
      <c r="D20" s="130">
        <f t="shared" si="20"/>
        <v>2773.1215830072861</v>
      </c>
      <c r="E20" s="130">
        <f t="shared" si="20"/>
        <v>2948.7010931826803</v>
      </c>
      <c r="F20" s="130">
        <f t="shared" si="20"/>
        <v>3014.471851682787</v>
      </c>
      <c r="G20" s="130">
        <f t="shared" si="20"/>
        <v>2915.4544188071413</v>
      </c>
      <c r="H20" s="130">
        <f t="shared" si="20"/>
        <v>2806.5762224621294</v>
      </c>
      <c r="I20" s="130">
        <f t="shared" si="20"/>
        <v>2812.2683857448228</v>
      </c>
      <c r="J20" s="130">
        <f t="shared" si="20"/>
        <v>2864.2384712012167</v>
      </c>
      <c r="K20" s="130">
        <f t="shared" si="20"/>
        <v>2808.9632977034216</v>
      </c>
      <c r="L20" s="130">
        <f t="shared" ref="L20" si="21">SUM(L21:L26)</f>
        <v>2751.031688310507</v>
      </c>
      <c r="M20" s="130">
        <f t="shared" ref="M20:V20" si="22">SUM(M21:M26)</f>
        <v>2938.8295871257851</v>
      </c>
      <c r="N20" s="130">
        <f t="shared" si="22"/>
        <v>2932.8168160468836</v>
      </c>
      <c r="O20" s="130">
        <f t="shared" si="22"/>
        <v>2754.4992095287025</v>
      </c>
      <c r="P20" s="130">
        <f t="shared" si="22"/>
        <v>2701.8302593466524</v>
      </c>
      <c r="Q20" s="130">
        <f t="shared" si="22"/>
        <v>2585.3414563052352</v>
      </c>
      <c r="R20" s="130">
        <f t="shared" si="22"/>
        <v>2499.6464649331633</v>
      </c>
      <c r="S20" s="130">
        <f t="shared" si="22"/>
        <v>2476.8562495061519</v>
      </c>
      <c r="T20" s="130">
        <f t="shared" si="22"/>
        <v>2573.9714536443498</v>
      </c>
      <c r="U20" s="130">
        <f t="shared" si="22"/>
        <v>2510.4891678645345</v>
      </c>
      <c r="V20" s="130">
        <f t="shared" si="22"/>
        <v>1865.5004958841953</v>
      </c>
      <c r="W20" s="130">
        <f t="shared" ref="W20" si="23">SUM(W21:W26)</f>
        <v>2081.7893486273801</v>
      </c>
      <c r="DA20" s="176" t="s">
        <v>404</v>
      </c>
    </row>
    <row r="21" spans="1:105" ht="11.45" customHeight="1" x14ac:dyDescent="0.25">
      <c r="A21" s="111" t="s">
        <v>110</v>
      </c>
      <c r="B21" s="96">
        <v>1714.0474644324049</v>
      </c>
      <c r="C21" s="96">
        <v>1688.3325787090707</v>
      </c>
      <c r="D21" s="96">
        <v>1648.9390331150862</v>
      </c>
      <c r="E21" s="96">
        <v>1679.2171425277204</v>
      </c>
      <c r="F21" s="96">
        <v>1628.1729228662027</v>
      </c>
      <c r="G21" s="96">
        <v>1482.3251329316568</v>
      </c>
      <c r="H21" s="96">
        <v>1331.5231893978403</v>
      </c>
      <c r="I21" s="96">
        <v>1274.180692857952</v>
      </c>
      <c r="J21" s="96">
        <v>1215.3861130871476</v>
      </c>
      <c r="K21" s="96">
        <v>1120.0827732679782</v>
      </c>
      <c r="L21" s="96">
        <v>1040.4155544714092</v>
      </c>
      <c r="M21" s="96">
        <v>1061.7212656624151</v>
      </c>
      <c r="N21" s="96">
        <v>1031.6720624046918</v>
      </c>
      <c r="O21" s="96">
        <v>937.720920866803</v>
      </c>
      <c r="P21" s="96">
        <v>899.29988337961333</v>
      </c>
      <c r="Q21" s="96">
        <v>837.94502975759053</v>
      </c>
      <c r="R21" s="96">
        <v>813.79860988074927</v>
      </c>
      <c r="S21" s="96">
        <v>861.29085737385674</v>
      </c>
      <c r="T21" s="96">
        <v>940.66348436957333</v>
      </c>
      <c r="U21" s="96">
        <v>981.14573038722085</v>
      </c>
      <c r="V21" s="96">
        <v>746.14667457041696</v>
      </c>
      <c r="W21" s="96">
        <v>901.07300957482209</v>
      </c>
      <c r="DA21" s="171" t="s">
        <v>750</v>
      </c>
    </row>
    <row r="22" spans="1:105" ht="11.45" customHeight="1" x14ac:dyDescent="0.25">
      <c r="A22" s="111" t="s">
        <v>111</v>
      </c>
      <c r="B22" s="96">
        <v>916.68691629156035</v>
      </c>
      <c r="C22" s="96">
        <v>1009.6135563456486</v>
      </c>
      <c r="D22" s="96">
        <v>1112.5721751321998</v>
      </c>
      <c r="E22" s="96">
        <v>1260.7762263749598</v>
      </c>
      <c r="F22" s="96">
        <v>1377.5912045365842</v>
      </c>
      <c r="G22" s="96">
        <v>1427.323984915485</v>
      </c>
      <c r="H22" s="96">
        <v>1472.1503825842892</v>
      </c>
      <c r="I22" s="96">
        <v>1532.282391926871</v>
      </c>
      <c r="J22" s="96">
        <v>1643.0470571540693</v>
      </c>
      <c r="K22" s="96">
        <v>1684.9649675154433</v>
      </c>
      <c r="L22" s="96">
        <v>1706.691717679098</v>
      </c>
      <c r="M22" s="96">
        <v>1875.2971747833697</v>
      </c>
      <c r="N22" s="96">
        <v>1894.1705235276827</v>
      </c>
      <c r="O22" s="96">
        <v>1810.6353603808707</v>
      </c>
      <c r="P22" s="96">
        <v>1796.0547838971147</v>
      </c>
      <c r="Q22" s="96">
        <v>1743.1431284623336</v>
      </c>
      <c r="R22" s="96">
        <v>1681.4584242226304</v>
      </c>
      <c r="S22" s="96">
        <v>1611.9696773706351</v>
      </c>
      <c r="T22" s="96">
        <v>1629.4631517795137</v>
      </c>
      <c r="U22" s="96">
        <v>1523.998817475313</v>
      </c>
      <c r="V22" s="96">
        <v>1113.8825064099985</v>
      </c>
      <c r="W22" s="96">
        <v>1169.1411559593876</v>
      </c>
      <c r="DA22" s="171" t="s">
        <v>751</v>
      </c>
    </row>
    <row r="23" spans="1:105" ht="11.45" customHeight="1" x14ac:dyDescent="0.25">
      <c r="A23" s="111" t="s">
        <v>112</v>
      </c>
      <c r="B23" s="96">
        <v>5.8053009600000003</v>
      </c>
      <c r="C23" s="96">
        <v>8.707724279999999</v>
      </c>
      <c r="D23" s="96">
        <v>11.610374759999999</v>
      </c>
      <c r="E23" s="96">
        <v>8.707724279999999</v>
      </c>
      <c r="F23" s="96">
        <v>8.707724279999999</v>
      </c>
      <c r="G23" s="96">
        <v>5.8053009600000003</v>
      </c>
      <c r="H23" s="96">
        <v>2.9026504799999988</v>
      </c>
      <c r="I23" s="96">
        <v>5.8053009600000003</v>
      </c>
      <c r="J23" s="96">
        <v>5.8053009600000003</v>
      </c>
      <c r="K23" s="96">
        <v>3.9155569200000002</v>
      </c>
      <c r="L23" s="96">
        <v>3.9244161600000003</v>
      </c>
      <c r="M23" s="96">
        <v>1.8111466800000002</v>
      </c>
      <c r="N23" s="96">
        <v>4.9489077599999991</v>
      </c>
      <c r="O23" s="96">
        <v>3.2117014525752765</v>
      </c>
      <c r="P23" s="96">
        <v>3.6851545945197168</v>
      </c>
      <c r="Q23" s="96">
        <v>1.7220291325143957</v>
      </c>
      <c r="R23" s="96">
        <v>1.839346541166277</v>
      </c>
      <c r="S23" s="96">
        <v>1.5360701361975471</v>
      </c>
      <c r="T23" s="96">
        <v>0.68715921787075929</v>
      </c>
      <c r="U23" s="96">
        <v>0.63701815757458791</v>
      </c>
      <c r="V23" s="96">
        <v>0.2507219729075188</v>
      </c>
      <c r="W23" s="96">
        <v>0.51092267417714743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2.0253223545089964</v>
      </c>
      <c r="O25" s="96">
        <v>2.9312268284533807</v>
      </c>
      <c r="P25" s="96">
        <v>2.7904374754049699</v>
      </c>
      <c r="Q25" s="96">
        <v>2.5312689527969989</v>
      </c>
      <c r="R25" s="96">
        <v>2.5500842886173909</v>
      </c>
      <c r="S25" s="96">
        <v>2.0596446254626217</v>
      </c>
      <c r="T25" s="96">
        <v>3.1576582773918047</v>
      </c>
      <c r="U25" s="96">
        <v>4.7076018444261694</v>
      </c>
      <c r="V25" s="96">
        <v>5.2205929308722876</v>
      </c>
      <c r="W25" s="96">
        <v>11.064260418993589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75.61584563289415</v>
      </c>
      <c r="C27" s="130">
        <f t="shared" si="24"/>
        <v>78.040017332353457</v>
      </c>
      <c r="D27" s="130">
        <f t="shared" si="24"/>
        <v>82.551995695833654</v>
      </c>
      <c r="E27" s="130">
        <f t="shared" si="24"/>
        <v>82.970116438348427</v>
      </c>
      <c r="F27" s="130">
        <f t="shared" si="24"/>
        <v>82.985295440096763</v>
      </c>
      <c r="G27" s="130">
        <f t="shared" si="24"/>
        <v>84.984832716502822</v>
      </c>
      <c r="H27" s="130">
        <f t="shared" si="24"/>
        <v>84.800336606765882</v>
      </c>
      <c r="I27" s="130">
        <f t="shared" si="24"/>
        <v>85.050449185217516</v>
      </c>
      <c r="J27" s="130">
        <f t="shared" si="24"/>
        <v>87.939778843673437</v>
      </c>
      <c r="K27" s="130">
        <f t="shared" si="24"/>
        <v>90.079931914844678</v>
      </c>
      <c r="L27" s="130">
        <f t="shared" ref="L27" si="25">SUM(L28:L32)</f>
        <v>92.21455564613899</v>
      </c>
      <c r="M27" s="130">
        <f t="shared" ref="M27:V27" si="26">SUM(M28:M32)</f>
        <v>94.55059585469597</v>
      </c>
      <c r="N27" s="130">
        <f t="shared" si="26"/>
        <v>94.049831947897573</v>
      </c>
      <c r="O27" s="130">
        <f t="shared" si="26"/>
        <v>94.199004312807588</v>
      </c>
      <c r="P27" s="130">
        <f t="shared" si="26"/>
        <v>93.125009732211979</v>
      </c>
      <c r="Q27" s="130">
        <f t="shared" si="26"/>
        <v>95.605598655928461</v>
      </c>
      <c r="R27" s="130">
        <f t="shared" si="26"/>
        <v>97.405164282246048</v>
      </c>
      <c r="S27" s="130">
        <f t="shared" si="26"/>
        <v>99.472317205750755</v>
      </c>
      <c r="T27" s="130">
        <f t="shared" si="26"/>
        <v>100.89318093637368</v>
      </c>
      <c r="U27" s="130">
        <f t="shared" si="26"/>
        <v>100.8209455051274</v>
      </c>
      <c r="V27" s="130">
        <f t="shared" si="26"/>
        <v>94.790180023439447</v>
      </c>
      <c r="W27" s="130">
        <f t="shared" ref="W27" si="27">SUM(W28:W32)</f>
        <v>93.857387141145637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3.7410864352455482E-3</v>
      </c>
      <c r="U28" s="97">
        <v>3.5113314474928183E-3</v>
      </c>
      <c r="V28" s="97">
        <v>3.3293578109266572E-3</v>
      </c>
      <c r="W28" s="97">
        <v>3.1012288888511521E-3</v>
      </c>
      <c r="DA28" s="175" t="s">
        <v>756</v>
      </c>
    </row>
    <row r="29" spans="1:105" ht="11.45" customHeight="1" x14ac:dyDescent="0.25">
      <c r="A29" s="111" t="s">
        <v>111</v>
      </c>
      <c r="B29" s="97">
        <v>75.61584563289415</v>
      </c>
      <c r="C29" s="97">
        <v>78.040017332353457</v>
      </c>
      <c r="D29" s="97">
        <v>82.551995695833654</v>
      </c>
      <c r="E29" s="97">
        <v>82.970116438348427</v>
      </c>
      <c r="F29" s="97">
        <v>82.985295440096763</v>
      </c>
      <c r="G29" s="97">
        <v>84.984832716502822</v>
      </c>
      <c r="H29" s="97">
        <v>84.800336606765882</v>
      </c>
      <c r="I29" s="97">
        <v>85.050449185217516</v>
      </c>
      <c r="J29" s="97">
        <v>87.939778843673437</v>
      </c>
      <c r="K29" s="97">
        <v>90.079931914844678</v>
      </c>
      <c r="L29" s="97">
        <v>92.21455564613899</v>
      </c>
      <c r="M29" s="97">
        <v>94.55059585469597</v>
      </c>
      <c r="N29" s="97">
        <v>94.049831947897573</v>
      </c>
      <c r="O29" s="97">
        <v>94.199004312807588</v>
      </c>
      <c r="P29" s="97">
        <v>93.125009732211979</v>
      </c>
      <c r="Q29" s="97">
        <v>95.605598655928461</v>
      </c>
      <c r="R29" s="97">
        <v>97.405164282246048</v>
      </c>
      <c r="S29" s="97">
        <v>99.472317205750755</v>
      </c>
      <c r="T29" s="97">
        <v>100.88943984993844</v>
      </c>
      <c r="U29" s="97">
        <v>100.8174341736799</v>
      </c>
      <c r="V29" s="97">
        <v>94.786850665628521</v>
      </c>
      <c r="W29" s="97">
        <v>93.854285912256785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2063.221622643337</v>
      </c>
      <c r="C33" s="32">
        <f t="shared" si="28"/>
        <v>2232.9786747642547</v>
      </c>
      <c r="D33" s="32">
        <f t="shared" si="28"/>
        <v>2372.4921854382133</v>
      </c>
      <c r="E33" s="32">
        <f t="shared" si="28"/>
        <v>2752.317497416826</v>
      </c>
      <c r="F33" s="32">
        <f t="shared" si="28"/>
        <v>3657.9738753485931</v>
      </c>
      <c r="G33" s="32">
        <f t="shared" si="28"/>
        <v>4140.5540300562152</v>
      </c>
      <c r="H33" s="32">
        <f t="shared" si="28"/>
        <v>3946.3038107974703</v>
      </c>
      <c r="I33" s="32">
        <f t="shared" si="28"/>
        <v>3661.7404483731607</v>
      </c>
      <c r="J33" s="32">
        <f t="shared" si="28"/>
        <v>3701.5178150825122</v>
      </c>
      <c r="K33" s="32">
        <f t="shared" si="28"/>
        <v>3233.6688627775256</v>
      </c>
      <c r="L33" s="32">
        <f t="shared" ref="L33" si="29">L34+L40</f>
        <v>3650.3426478866522</v>
      </c>
      <c r="M33" s="32">
        <f t="shared" ref="M33:V33" si="30">M34+M40</f>
        <v>3852.4235589766431</v>
      </c>
      <c r="N33" s="32">
        <f t="shared" si="30"/>
        <v>3543.7107241236185</v>
      </c>
      <c r="O33" s="32">
        <f t="shared" si="30"/>
        <v>3580.6717559318067</v>
      </c>
      <c r="P33" s="32">
        <f t="shared" si="30"/>
        <v>3342.729725242973</v>
      </c>
      <c r="Q33" s="32">
        <f t="shared" si="30"/>
        <v>3022.5972028479059</v>
      </c>
      <c r="R33" s="32">
        <f t="shared" si="30"/>
        <v>2930.6897356864506</v>
      </c>
      <c r="S33" s="32">
        <f t="shared" si="30"/>
        <v>3057.2914905641887</v>
      </c>
      <c r="T33" s="32">
        <f t="shared" si="30"/>
        <v>3338.9933275305325</v>
      </c>
      <c r="U33" s="32">
        <f t="shared" si="30"/>
        <v>3538.953027389734</v>
      </c>
      <c r="V33" s="32">
        <f t="shared" si="30"/>
        <v>2663.2210802859327</v>
      </c>
      <c r="W33" s="32">
        <f t="shared" ref="W33" si="31">W34+W40</f>
        <v>2764.3403571224685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101.58684993065755</v>
      </c>
      <c r="C34" s="141">
        <f t="shared" si="32"/>
        <v>104.85129297097096</v>
      </c>
      <c r="D34" s="141">
        <f t="shared" si="32"/>
        <v>109.33339000500733</v>
      </c>
      <c r="E34" s="141">
        <f t="shared" si="32"/>
        <v>111.46690213750931</v>
      </c>
      <c r="F34" s="141">
        <f t="shared" si="32"/>
        <v>114.13468595422466</v>
      </c>
      <c r="G34" s="141">
        <f t="shared" si="32"/>
        <v>118.23773054610382</v>
      </c>
      <c r="H34" s="141">
        <f t="shared" si="32"/>
        <v>122.76070329862354</v>
      </c>
      <c r="I34" s="141">
        <f t="shared" si="32"/>
        <v>128.17444390359483</v>
      </c>
      <c r="J34" s="141">
        <f t="shared" si="32"/>
        <v>134.4172075375696</v>
      </c>
      <c r="K34" s="141">
        <f t="shared" si="32"/>
        <v>134.5572002067089</v>
      </c>
      <c r="L34" s="141">
        <f t="shared" ref="L34" si="33">SUM(L35:L39)</f>
        <v>140.78882676546752</v>
      </c>
      <c r="M34" s="141">
        <f t="shared" ref="M34:V34" si="34">SUM(M35:M39)</f>
        <v>148.78612371732447</v>
      </c>
      <c r="N34" s="141">
        <f t="shared" si="34"/>
        <v>151.43905723526925</v>
      </c>
      <c r="O34" s="141">
        <f t="shared" si="34"/>
        <v>153.06031061723337</v>
      </c>
      <c r="P34" s="141">
        <f t="shared" si="34"/>
        <v>158.96794966470134</v>
      </c>
      <c r="Q34" s="141">
        <f t="shared" si="34"/>
        <v>162.96373020649222</v>
      </c>
      <c r="R34" s="141">
        <f t="shared" si="34"/>
        <v>169.29211128239643</v>
      </c>
      <c r="S34" s="141">
        <f t="shared" si="34"/>
        <v>169.15535332618717</v>
      </c>
      <c r="T34" s="141">
        <f t="shared" si="34"/>
        <v>173.86374497966881</v>
      </c>
      <c r="U34" s="141">
        <f t="shared" si="34"/>
        <v>176.0490457685589</v>
      </c>
      <c r="V34" s="141">
        <f t="shared" si="34"/>
        <v>172.10367434592007</v>
      </c>
      <c r="W34" s="141">
        <f t="shared" ref="W34" si="35">SUM(W35:W39)</f>
        <v>180.39587351968308</v>
      </c>
      <c r="DA34" s="174" t="s">
        <v>411</v>
      </c>
    </row>
    <row r="35" spans="1:105" ht="11.45" customHeight="1" x14ac:dyDescent="0.25">
      <c r="A35" s="111" t="s">
        <v>110</v>
      </c>
      <c r="B35" s="96">
        <v>8.8200564769914127</v>
      </c>
      <c r="C35" s="96">
        <v>7.8725908998565961</v>
      </c>
      <c r="D35" s="96">
        <v>7.1391932650479557</v>
      </c>
      <c r="E35" s="96">
        <v>6.3492369337346988</v>
      </c>
      <c r="F35" s="96">
        <v>5.5182748840739233</v>
      </c>
      <c r="G35" s="96">
        <v>4.7871101606044908</v>
      </c>
      <c r="H35" s="96">
        <v>4.2193570741260293</v>
      </c>
      <c r="I35" s="96">
        <v>3.8439732140517409</v>
      </c>
      <c r="J35" s="96">
        <v>3.5916603426560854</v>
      </c>
      <c r="K35" s="96">
        <v>3.1478057570129154</v>
      </c>
      <c r="L35" s="96">
        <v>3.012258643889512</v>
      </c>
      <c r="M35" s="96">
        <v>2.844090711508354</v>
      </c>
      <c r="N35" s="96">
        <v>2.6509086391990171</v>
      </c>
      <c r="O35" s="96">
        <v>2.545631878059408</v>
      </c>
      <c r="P35" s="96">
        <v>2.5202366668188967</v>
      </c>
      <c r="Q35" s="96">
        <v>2.460753578681306</v>
      </c>
      <c r="R35" s="96">
        <v>2.4668975324935802</v>
      </c>
      <c r="S35" s="96">
        <v>2.4933818367731551</v>
      </c>
      <c r="T35" s="96">
        <v>2.6073765778547373</v>
      </c>
      <c r="U35" s="96">
        <v>2.6519737563017074</v>
      </c>
      <c r="V35" s="96">
        <v>2.6401078144683434</v>
      </c>
      <c r="W35" s="96">
        <v>2.7124184682888615</v>
      </c>
      <c r="DA35" s="171" t="s">
        <v>761</v>
      </c>
    </row>
    <row r="36" spans="1:105" ht="11.45" customHeight="1" x14ac:dyDescent="0.25">
      <c r="A36" s="111" t="s">
        <v>111</v>
      </c>
      <c r="B36" s="96">
        <v>92.766793453666139</v>
      </c>
      <c r="C36" s="96">
        <v>96.97870207111437</v>
      </c>
      <c r="D36" s="96">
        <v>102.19419673995938</v>
      </c>
      <c r="E36" s="96">
        <v>105.11766520377461</v>
      </c>
      <c r="F36" s="96">
        <v>108.61641107015075</v>
      </c>
      <c r="G36" s="96">
        <v>113.45062038549933</v>
      </c>
      <c r="H36" s="96">
        <v>118.54134622449752</v>
      </c>
      <c r="I36" s="96">
        <v>124.33047068954309</v>
      </c>
      <c r="J36" s="96">
        <v>130.8255471949135</v>
      </c>
      <c r="K36" s="96">
        <v>131.40939444969598</v>
      </c>
      <c r="L36" s="96">
        <v>137.77656812157801</v>
      </c>
      <c r="M36" s="96">
        <v>145.94203300581611</v>
      </c>
      <c r="N36" s="96">
        <v>148.78814859607022</v>
      </c>
      <c r="O36" s="96">
        <v>150.33329127174926</v>
      </c>
      <c r="P36" s="96">
        <v>156.22026375240216</v>
      </c>
      <c r="Q36" s="96">
        <v>160.26279768032529</v>
      </c>
      <c r="R36" s="96">
        <v>166.54265873106911</v>
      </c>
      <c r="S36" s="96">
        <v>166.36349746561157</v>
      </c>
      <c r="T36" s="96">
        <v>170.9683297396848</v>
      </c>
      <c r="U36" s="96">
        <v>173.18065004983177</v>
      </c>
      <c r="V36" s="96">
        <v>169.20931182435925</v>
      </c>
      <c r="W36" s="96">
        <v>177.44838428557136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0.18138746742472264</v>
      </c>
      <c r="P37" s="96">
        <v>0.22744924548028275</v>
      </c>
      <c r="Q37" s="96">
        <v>0.24017894748560434</v>
      </c>
      <c r="R37" s="96">
        <v>0.2825550188337228</v>
      </c>
      <c r="S37" s="96">
        <v>0.2984740238024533</v>
      </c>
      <c r="T37" s="96">
        <v>0.28803866212924073</v>
      </c>
      <c r="U37" s="96">
        <v>0.21642196242541217</v>
      </c>
      <c r="V37" s="96">
        <v>0.25425470709248116</v>
      </c>
      <c r="W37" s="96">
        <v>0.23507076582285233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1961.6347727126793</v>
      </c>
      <c r="C40" s="130">
        <f t="shared" si="36"/>
        <v>2128.1273817932838</v>
      </c>
      <c r="D40" s="130">
        <f t="shared" si="36"/>
        <v>2263.1587954332058</v>
      </c>
      <c r="E40" s="130">
        <f t="shared" si="36"/>
        <v>2640.8505952793166</v>
      </c>
      <c r="F40" s="130">
        <f t="shared" si="36"/>
        <v>3543.8391893943685</v>
      </c>
      <c r="G40" s="130">
        <f t="shared" si="36"/>
        <v>4022.3162995101115</v>
      </c>
      <c r="H40" s="130">
        <f t="shared" si="36"/>
        <v>3823.5431074988469</v>
      </c>
      <c r="I40" s="130">
        <f t="shared" si="36"/>
        <v>3533.566004469566</v>
      </c>
      <c r="J40" s="130">
        <f t="shared" si="36"/>
        <v>3567.1006075449427</v>
      </c>
      <c r="K40" s="130">
        <f t="shared" si="36"/>
        <v>3099.1116625708169</v>
      </c>
      <c r="L40" s="130">
        <f t="shared" ref="L40" si="37">SUM(L41:L42)</f>
        <v>3509.5538211211847</v>
      </c>
      <c r="M40" s="130">
        <f t="shared" ref="M40:V40" si="38">SUM(M41:M42)</f>
        <v>3703.6374352593189</v>
      </c>
      <c r="N40" s="130">
        <f t="shared" si="38"/>
        <v>3392.2716668883495</v>
      </c>
      <c r="O40" s="130">
        <f t="shared" si="38"/>
        <v>3427.6114453145733</v>
      </c>
      <c r="P40" s="130">
        <f t="shared" si="38"/>
        <v>3183.7617755782717</v>
      </c>
      <c r="Q40" s="130">
        <f t="shared" si="38"/>
        <v>2859.6334726414138</v>
      </c>
      <c r="R40" s="130">
        <f t="shared" si="38"/>
        <v>2761.3976244040541</v>
      </c>
      <c r="S40" s="130">
        <f t="shared" si="38"/>
        <v>2888.1361372380015</v>
      </c>
      <c r="T40" s="130">
        <f t="shared" si="38"/>
        <v>3165.1295825508637</v>
      </c>
      <c r="U40" s="130">
        <f t="shared" si="38"/>
        <v>3362.9039816211753</v>
      </c>
      <c r="V40" s="130">
        <f t="shared" si="38"/>
        <v>2491.1174059400128</v>
      </c>
      <c r="W40" s="130">
        <f t="shared" ref="W40" si="39">SUM(W41:W42)</f>
        <v>2583.9444836027856</v>
      </c>
      <c r="DA40" s="176" t="s">
        <v>412</v>
      </c>
    </row>
    <row r="41" spans="1:105" ht="11.45" customHeight="1" x14ac:dyDescent="0.25">
      <c r="A41" s="128" t="s">
        <v>27</v>
      </c>
      <c r="B41" s="97">
        <v>85.424594897807609</v>
      </c>
      <c r="C41" s="97">
        <v>97.320186424611208</v>
      </c>
      <c r="D41" s="97">
        <v>112.90572916549702</v>
      </c>
      <c r="E41" s="97">
        <v>113.62499631681342</v>
      </c>
      <c r="F41" s="97">
        <v>114.1559149540611</v>
      </c>
      <c r="G41" s="97">
        <v>110.37883428188026</v>
      </c>
      <c r="H41" s="97">
        <v>119.89617839883961</v>
      </c>
      <c r="I41" s="97">
        <v>112.52644310807929</v>
      </c>
      <c r="J41" s="97">
        <v>103.98301953116288</v>
      </c>
      <c r="K41" s="97">
        <v>67.362374334573886</v>
      </c>
      <c r="L41" s="97">
        <v>75.873084292346689</v>
      </c>
      <c r="M41" s="97">
        <v>82.507045585451948</v>
      </c>
      <c r="N41" s="97">
        <v>120.544009668304</v>
      </c>
      <c r="O41" s="97">
        <v>96.400699998310714</v>
      </c>
      <c r="P41" s="97">
        <v>123.55944403795642</v>
      </c>
      <c r="Q41" s="97">
        <v>107.08054029860509</v>
      </c>
      <c r="R41" s="97">
        <v>107.94021236791403</v>
      </c>
      <c r="S41" s="97">
        <v>102.99683192617162</v>
      </c>
      <c r="T41" s="97">
        <v>107.17671868914104</v>
      </c>
      <c r="U41" s="97">
        <v>106.31407822263408</v>
      </c>
      <c r="V41" s="97">
        <v>84.584828166441724</v>
      </c>
      <c r="W41" s="97">
        <v>100.07179771812045</v>
      </c>
      <c r="DA41" s="175" t="s">
        <v>766</v>
      </c>
    </row>
    <row r="42" spans="1:105" ht="11.45" customHeight="1" x14ac:dyDescent="0.25">
      <c r="A42" s="138" t="s">
        <v>116</v>
      </c>
      <c r="B42" s="98">
        <v>1876.2101778148717</v>
      </c>
      <c r="C42" s="98">
        <v>2030.8071953686724</v>
      </c>
      <c r="D42" s="98">
        <v>2150.2530662677086</v>
      </c>
      <c r="E42" s="98">
        <v>2527.2255989625032</v>
      </c>
      <c r="F42" s="98">
        <v>3429.6832744403073</v>
      </c>
      <c r="G42" s="98">
        <v>3911.9374652282313</v>
      </c>
      <c r="H42" s="98">
        <v>3703.6469291000071</v>
      </c>
      <c r="I42" s="98">
        <v>3421.0395613614869</v>
      </c>
      <c r="J42" s="98">
        <v>3463.1175880137798</v>
      </c>
      <c r="K42" s="98">
        <v>3031.749288236243</v>
      </c>
      <c r="L42" s="98">
        <v>3433.6807368288378</v>
      </c>
      <c r="M42" s="98">
        <v>3621.1303896738668</v>
      </c>
      <c r="N42" s="98">
        <v>3271.7276572200453</v>
      </c>
      <c r="O42" s="98">
        <v>3331.2107453162625</v>
      </c>
      <c r="P42" s="98">
        <v>3060.2023315403153</v>
      </c>
      <c r="Q42" s="98">
        <v>2752.5529323428086</v>
      </c>
      <c r="R42" s="98">
        <v>2653.4574120361399</v>
      </c>
      <c r="S42" s="98">
        <v>2785.13930531183</v>
      </c>
      <c r="T42" s="98">
        <v>3057.9528638617226</v>
      </c>
      <c r="U42" s="98">
        <v>3256.5899033985411</v>
      </c>
      <c r="V42" s="98">
        <v>2406.5325777735711</v>
      </c>
      <c r="W42" s="98">
        <v>2483.8726858846653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3.0260326667886557</v>
      </c>
      <c r="C47" s="145">
        <f>IF(C4=0,0,C4/TrRoad_ene!C4)</f>
        <v>3.0304191734185379</v>
      </c>
      <c r="D47" s="145">
        <f>IF(D4=0,0,D4/TrRoad_ene!D4)</f>
        <v>3.0345337152458418</v>
      </c>
      <c r="E47" s="145">
        <f>IF(E4=0,0,E4/TrRoad_ene!E4)</f>
        <v>3.0400472715754274</v>
      </c>
      <c r="F47" s="145">
        <f>IF(F4=0,0,F4/TrRoad_ene!F4)</f>
        <v>3.0497229459982962</v>
      </c>
      <c r="G47" s="145">
        <f>IF(G4=0,0,G4/TrRoad_ene!G4)</f>
        <v>3.0569802301838349</v>
      </c>
      <c r="H47" s="145">
        <f>IF(H4=0,0,H4/TrRoad_ene!H4)</f>
        <v>3.0598765491467597</v>
      </c>
      <c r="I47" s="145">
        <f>IF(I4=0,0,I4/TrRoad_ene!I4)</f>
        <v>2.9964891387343324</v>
      </c>
      <c r="J47" s="145">
        <f>IF(J4=0,0,J4/TrRoad_ene!J4)</f>
        <v>3.0002894331249621</v>
      </c>
      <c r="K47" s="145">
        <f>IF(K4=0,0,K4/TrRoad_ene!K4)</f>
        <v>2.999498011759739</v>
      </c>
      <c r="L47" s="145">
        <f>IF(L4=0,0,L4/TrRoad_ene!L4)</f>
        <v>3.0075728945060098</v>
      </c>
      <c r="M47" s="145">
        <f>IF(M4=0,0,M4/TrRoad_ene!M4)</f>
        <v>3.0064151767401239</v>
      </c>
      <c r="N47" s="145">
        <f>IF(N4=0,0,N4/TrRoad_ene!N4)</f>
        <v>3.0004253212332332</v>
      </c>
      <c r="O47" s="145">
        <f>IF(O4=0,0,O4/TrRoad_ene!O4)</f>
        <v>2.9918346565932539</v>
      </c>
      <c r="P47" s="145">
        <f>IF(P4=0,0,P4/TrRoad_ene!P4)</f>
        <v>2.9655719982713</v>
      </c>
      <c r="Q47" s="145">
        <f>IF(Q4=0,0,Q4/TrRoad_ene!Q4)</f>
        <v>2.9386546288452</v>
      </c>
      <c r="R47" s="145">
        <f>IF(R4=0,0,R4/TrRoad_ene!R4)</f>
        <v>2.9250181930338179</v>
      </c>
      <c r="S47" s="145">
        <f>IF(S4=0,0,S4/TrRoad_ene!S4)</f>
        <v>2.8904307163281393</v>
      </c>
      <c r="T47" s="145">
        <f>IF(T4=0,0,T4/TrRoad_ene!T4)</f>
        <v>2.886670732247739</v>
      </c>
      <c r="U47" s="145">
        <f>IF(U4=0,0,U4/TrRoad_ene!U4)</f>
        <v>2.8787168067836499</v>
      </c>
      <c r="V47" s="145">
        <f>IF(V4=0,0,V4/TrRoad_ene!V4)</f>
        <v>2.7965835547657294</v>
      </c>
      <c r="W47" s="145">
        <f>IF(W4=0,0,W4/TrRoad_ene!W4)</f>
        <v>2.8104148143232712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2.8930107960192801</v>
      </c>
      <c r="J48" s="97">
        <f>IF(J7=0,0,(J7+J12)/(TrRoad_ene!J7+TrRoad_ene!J12))</f>
        <v>2.8951277611653623</v>
      </c>
      <c r="K48" s="97">
        <f>IF(K7=0,0,(K7+K12)/(TrRoad_ene!K7+TrRoad_ene!K12))</f>
        <v>2.8959815834310376</v>
      </c>
      <c r="L48" s="97">
        <f>IF(L7=0,0,(L7+L12)/(TrRoad_ene!L7+TrRoad_ene!L12))</f>
        <v>2.8957257241691883</v>
      </c>
      <c r="M48" s="97">
        <f>IF(M7=0,0,(M7+M12)/(TrRoad_ene!M7+TrRoad_ene!M12))</f>
        <v>2.852149649605408</v>
      </c>
      <c r="N48" s="97">
        <f>IF(N7=0,0,(N7+N12)/(TrRoad_ene!N7+TrRoad_ene!N12))</f>
        <v>2.8911791559558275</v>
      </c>
      <c r="O48" s="97">
        <f>IF(O7=0,0,(O7+O12)/(TrRoad_ene!O7+TrRoad_ene!O12))</f>
        <v>2.8957692746016401</v>
      </c>
      <c r="P48" s="97">
        <f>IF(P7=0,0,(P7+P12)/(TrRoad_ene!P7+TrRoad_ene!P12))</f>
        <v>2.8731540575426129</v>
      </c>
      <c r="Q48" s="97">
        <f>IF(Q7=0,0,(Q7+Q12)/(TrRoad_ene!Q7+TrRoad_ene!Q12))</f>
        <v>2.8322829637452194</v>
      </c>
      <c r="R48" s="97">
        <f>IF(R7=0,0,(R7+R12)/(TrRoad_ene!R7+TrRoad_ene!R12))</f>
        <v>2.8140356086970981</v>
      </c>
      <c r="S48" s="97">
        <f>IF(S7=0,0,(S7+S12)/(TrRoad_ene!S7+TrRoad_ene!S12))</f>
        <v>2.838101825841731</v>
      </c>
      <c r="T48" s="97">
        <f>IF(T7=0,0,(T7+T12)/(TrRoad_ene!T7+TrRoad_ene!T12))</f>
        <v>2.8157703405286489</v>
      </c>
      <c r="U48" s="97">
        <f>IF(U7=0,0,(U7+U12)/(TrRoad_ene!U7+TrRoad_ene!U12))</f>
        <v>2.7639799102070599</v>
      </c>
      <c r="V48" s="97">
        <f>IF(V7=0,0,(V7+V12)/(TrRoad_ene!V7+TrRoad_ene!V12))</f>
        <v>2.7560604436617897</v>
      </c>
      <c r="W48" s="97">
        <f>IF(W7=0,0,(W7+W12)/(TrRoad_ene!W7+TrRoad_ene!W12))</f>
        <v>2.746642514825691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3.1014358050921609</v>
      </c>
      <c r="G49" s="97">
        <f>IF(G8=0,0,(G8+G13+G14)/(TrRoad_ene!G8+TrRoad_ene!G13+TrRoad_ene!G14))</f>
        <v>3.1014965339614018</v>
      </c>
      <c r="H49" s="97">
        <f>IF(H8=0,0,(H8+H13+H14)/(TrRoad_ene!H8+TrRoad_ene!H13+TrRoad_ene!H14))</f>
        <v>3.1015247905375265</v>
      </c>
      <c r="I49" s="97">
        <f>IF(I8=0,0,(I8+I13+I14)/(TrRoad_ene!I8+TrRoad_ene!I13+TrRoad_ene!I14))</f>
        <v>3.0233334325704853</v>
      </c>
      <c r="J49" s="97">
        <f>IF(J8=0,0,(J8+J13+J14)/(TrRoad_ene!J8+TrRoad_ene!J13+TrRoad_ene!J14))</f>
        <v>3.025601386410699</v>
      </c>
      <c r="K49" s="97">
        <f>IF(K8=0,0,(K8+K13+K14)/(TrRoad_ene!K8+TrRoad_ene!K13+TrRoad_ene!K14))</f>
        <v>3.0242610377929262</v>
      </c>
      <c r="L49" s="97">
        <f>IF(L8=0,0,(L8+L13+L14)/(TrRoad_ene!L8+TrRoad_ene!L13+TrRoad_ene!L14))</f>
        <v>3.0305470280909188</v>
      </c>
      <c r="M49" s="97">
        <f>IF(M8=0,0,(M8+M13+M14)/(TrRoad_ene!M8+TrRoad_ene!M13+TrRoad_ene!M14))</f>
        <v>3.0369045862365032</v>
      </c>
      <c r="N49" s="97">
        <f>IF(N8=0,0,(N8+N13+N14)/(TrRoad_ene!N8+TrRoad_ene!N13+TrRoad_ene!N14))</f>
        <v>3.0225311210870776</v>
      </c>
      <c r="O49" s="97">
        <f>IF(O8=0,0,(O8+O13+O14)/(TrRoad_ene!O8+TrRoad_ene!O13+TrRoad_ene!O14))</f>
        <v>3.0097545904273861</v>
      </c>
      <c r="P49" s="97">
        <f>IF(P8=0,0,(P8+P13+P14)/(TrRoad_ene!P8+TrRoad_ene!P13+TrRoad_ene!P14))</f>
        <v>2.9830537131445434</v>
      </c>
      <c r="Q49" s="97">
        <f>IF(Q8=0,0,(Q8+Q13+Q14)/(TrRoad_ene!Q8+TrRoad_ene!Q13+TrRoad_ene!Q14))</f>
        <v>2.9587620585581238</v>
      </c>
      <c r="R49" s="97">
        <f>IF(R8=0,0,(R8+R13+R14)/(TrRoad_ene!R8+TrRoad_ene!R13+TrRoad_ene!R14))</f>
        <v>2.946201012307395</v>
      </c>
      <c r="S49" s="97">
        <f>IF(S8=0,0,(S8+S13+S14)/(TrRoad_ene!S8+TrRoad_ene!S13+TrRoad_ene!S14))</f>
        <v>2.9012686058039709</v>
      </c>
      <c r="T49" s="97">
        <f>IF(T8=0,0,(T8+T13+T14)/(TrRoad_ene!T8+TrRoad_ene!T13+TrRoad_ene!T14))</f>
        <v>2.902180336491492</v>
      </c>
      <c r="U49" s="97">
        <f>IF(U8=0,0,(U8+U13+U14)/(TrRoad_ene!U8+TrRoad_ene!U13+TrRoad_ene!U14))</f>
        <v>2.9060969736956661</v>
      </c>
      <c r="V49" s="97">
        <f>IF(V8=0,0,(V8+V13+V14)/(TrRoad_ene!V8+TrRoad_ene!V13+TrRoad_ene!V14))</f>
        <v>2.8127342944057392</v>
      </c>
      <c r="W49" s="97">
        <f>IF(W8=0,0,(W8+W13+W14)/(TrRoad_ene!W8+TrRoad_ene!W13+TrRoad_ene!W14))</f>
        <v>2.8386639690845477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1038.7567265966786</v>
      </c>
      <c r="C54" s="62">
        <f>IF(TrRoad_act!C30=0,0,C17/TrRoad_act!C30*1000
)</f>
        <v>1039.8718656729602</v>
      </c>
      <c r="D54" s="62">
        <f>IF(TrRoad_act!D30=0,0,D17/TrRoad_act!D30*1000
)</f>
        <v>1048.5576049476394</v>
      </c>
      <c r="E54" s="62">
        <f>IF(TrRoad_act!E30=0,0,E17/TrRoad_act!E30*1000
)</f>
        <v>1129.4638225691886</v>
      </c>
      <c r="F54" s="62">
        <f>IF(TrRoad_act!F30=0,0,F17/TrRoad_act!F30*1000
)</f>
        <v>1281.340287221245</v>
      </c>
      <c r="G54" s="62">
        <f>IF(TrRoad_act!G30=0,0,G17/TrRoad_act!G30*1000
)</f>
        <v>1299.9420598521474</v>
      </c>
      <c r="H54" s="62">
        <f>IF(TrRoad_act!H30=0,0,H17/TrRoad_act!H30*1000
)</f>
        <v>1205.2092584074157</v>
      </c>
      <c r="I54" s="62">
        <f>IF(TrRoad_act!I30=0,0,I17/TrRoad_act!I30*1000
)</f>
        <v>1132.3923637247237</v>
      </c>
      <c r="J54" s="62">
        <f>IF(TrRoad_act!J30=0,0,J17/TrRoad_act!J30*1000
)</f>
        <v>1118.5615356121582</v>
      </c>
      <c r="K54" s="62">
        <f>IF(TrRoad_act!K30=0,0,K17/TrRoad_act!K30*1000
)</f>
        <v>1037.1124744019962</v>
      </c>
      <c r="L54" s="62">
        <f>IF(TrRoad_act!L30=0,0,L17/TrRoad_act!L30*1000
)</f>
        <v>1121.7581560808508</v>
      </c>
      <c r="M54" s="62">
        <f>IF(TrRoad_act!M30=0,0,M17/TrRoad_act!M30*1000
)</f>
        <v>1165.4488255363092</v>
      </c>
      <c r="N54" s="62">
        <f>IF(TrRoad_act!N30=0,0,N17/TrRoad_act!N30*1000
)</f>
        <v>1077.3781098335303</v>
      </c>
      <c r="O54" s="62">
        <f>IF(TrRoad_act!O30=0,0,O17/TrRoad_act!O30*1000
)</f>
        <v>1037.1263242449545</v>
      </c>
      <c r="P54" s="62">
        <f>IF(TrRoad_act!P30=0,0,P17/TrRoad_act!P30*1000
)</f>
        <v>945.67108125147297</v>
      </c>
      <c r="Q54" s="62">
        <f>IF(TrRoad_act!Q30=0,0,Q17/TrRoad_act!Q30*1000
)</f>
        <v>867.90865081689594</v>
      </c>
      <c r="R54" s="62">
        <f>IF(TrRoad_act!R30=0,0,R17/TrRoad_act!R30*1000
)</f>
        <v>806.86527098261854</v>
      </c>
      <c r="S54" s="62">
        <f>IF(TrRoad_act!S30=0,0,S17/TrRoad_act!S30*1000
)</f>
        <v>801.41624106347138</v>
      </c>
      <c r="T54" s="62">
        <f>IF(TrRoad_act!T30=0,0,T17/TrRoad_act!T30*1000
)</f>
        <v>827.40263511527394</v>
      </c>
      <c r="U54" s="62">
        <f>IF(TrRoad_act!U30=0,0,U17/TrRoad_act!U30*1000
)</f>
        <v>820.48291755376886</v>
      </c>
      <c r="V54" s="62">
        <f>IF(TrRoad_act!V30=0,0,V17/TrRoad_act!V30*1000
)</f>
        <v>649.36509817903584</v>
      </c>
      <c r="W54" s="62">
        <f>IF(TrRoad_act!W30=0,0,W17/TrRoad_act!W30*1000
)</f>
        <v>669.09894245195153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647.66722123998488</v>
      </c>
      <c r="C55" s="29">
        <f>IF(TrRoad_act!C31=0,0,C18/TrRoad_act!C31*1000
)</f>
        <v>635.43406199886113</v>
      </c>
      <c r="D55" s="29">
        <f>IF(TrRoad_act!D31=0,0,D18/TrRoad_act!D31*1000
)</f>
        <v>633.7789404573532</v>
      </c>
      <c r="E55" s="29">
        <f>IF(TrRoad_act!E31=0,0,E18/TrRoad_act!E31*1000
)</f>
        <v>655.03110823877296</v>
      </c>
      <c r="F55" s="29">
        <f>IF(TrRoad_act!F31=0,0,F18/TrRoad_act!F31*1000
)</f>
        <v>651.64421031529162</v>
      </c>
      <c r="G55" s="29">
        <f>IF(TrRoad_act!G31=0,0,G18/TrRoad_act!G31*1000
)</f>
        <v>605.23489085552342</v>
      </c>
      <c r="H55" s="29">
        <f>IF(TrRoad_act!H31=0,0,H18/TrRoad_act!H31*1000
)</f>
        <v>565.49811597855671</v>
      </c>
      <c r="I55" s="29">
        <f>IF(TrRoad_act!I31=0,0,I18/TrRoad_act!I31*1000
)</f>
        <v>557.85920604511227</v>
      </c>
      <c r="J55" s="29">
        <f>IF(TrRoad_act!J31=0,0,J18/TrRoad_act!J31*1000
)</f>
        <v>555.42110022189718</v>
      </c>
      <c r="K55" s="29">
        <f>IF(TrRoad_act!K31=0,0,K18/TrRoad_act!K31*1000
)</f>
        <v>545.12846582534814</v>
      </c>
      <c r="L55" s="29">
        <f>IF(TrRoad_act!L31=0,0,L18/TrRoad_act!L31*1000
)</f>
        <v>550.46174023756032</v>
      </c>
      <c r="M55" s="29">
        <f>IF(TrRoad_act!M31=0,0,M18/TrRoad_act!M31*1000
)</f>
        <v>577.05097980173991</v>
      </c>
      <c r="N55" s="29">
        <f>IF(TrRoad_act!N31=0,0,N18/TrRoad_act!N31*1000
)</f>
        <v>562.26760529635487</v>
      </c>
      <c r="O55" s="29">
        <f>IF(TrRoad_act!O31=0,0,O18/TrRoad_act!O31*1000
)</f>
        <v>519.02938695708406</v>
      </c>
      <c r="P55" s="29">
        <f>IF(TrRoad_act!P31=0,0,P18/TrRoad_act!P31*1000
)</f>
        <v>488.9697773292927</v>
      </c>
      <c r="Q55" s="29">
        <f>IF(TrRoad_act!Q31=0,0,Q18/TrRoad_act!Q31*1000
)</f>
        <v>462.10246685536833</v>
      </c>
      <c r="R55" s="29">
        <f>IF(TrRoad_act!R31=0,0,R18/TrRoad_act!R31*1000
)</f>
        <v>430.28381579285809</v>
      </c>
      <c r="S55" s="29">
        <f>IF(TrRoad_act!S31=0,0,S18/TrRoad_act!S31*1000
)</f>
        <v>416.26484921945467</v>
      </c>
      <c r="T55" s="29">
        <f>IF(TrRoad_act!T31=0,0,T18/TrRoad_act!T31*1000
)</f>
        <v>417.77630807436429</v>
      </c>
      <c r="U55" s="29">
        <f>IF(TrRoad_act!U31=0,0,U18/TrRoad_act!U31*1000
)</f>
        <v>394.94745760159998</v>
      </c>
      <c r="V55" s="29">
        <f>IF(TrRoad_act!V31=0,0,V18/TrRoad_act!V31*1000
)</f>
        <v>313.82492109172267</v>
      </c>
      <c r="W55" s="29">
        <f>IF(TrRoad_act!W31=0,0,W18/TrRoad_act!W31*1000
)</f>
        <v>337.10129566181303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147.26164679195867</v>
      </c>
      <c r="C56" s="152">
        <f>IF(TrRoad_act!C32=0,0,C19/TrRoad_act!C32*1000
)</f>
        <v>143.55071181304007</v>
      </c>
      <c r="D56" s="152">
        <f>IF(TrRoad_act!D32=0,0,D19/TrRoad_act!D32*1000
)</f>
        <v>139.89697307467353</v>
      </c>
      <c r="E56" s="152">
        <f>IF(TrRoad_act!E32=0,0,E19/TrRoad_act!E32*1000
)</f>
        <v>138.35871040240889</v>
      </c>
      <c r="F56" s="152">
        <f>IF(TrRoad_act!F32=0,0,F19/TrRoad_act!F32*1000
)</f>
        <v>136.52853537071985</v>
      </c>
      <c r="G56" s="152">
        <f>IF(TrRoad_act!G32=0,0,G19/TrRoad_act!G32*1000
)</f>
        <v>132.90831076741412</v>
      </c>
      <c r="H56" s="152">
        <f>IF(TrRoad_act!H32=0,0,H19/TrRoad_act!H32*1000
)</f>
        <v>131.17531554641843</v>
      </c>
      <c r="I56" s="152">
        <f>IF(TrRoad_act!I32=0,0,I19/TrRoad_act!I32*1000
)</f>
        <v>126.32696345615918</v>
      </c>
      <c r="J56" s="152">
        <f>IF(TrRoad_act!J32=0,0,J19/TrRoad_act!J32*1000
)</f>
        <v>126.06630719099627</v>
      </c>
      <c r="K56" s="152">
        <f>IF(TrRoad_act!K32=0,0,K19/TrRoad_act!K32*1000
)</f>
        <v>124.77211155220101</v>
      </c>
      <c r="L56" s="152">
        <f>IF(TrRoad_act!L32=0,0,L19/TrRoad_act!L32*1000
)</f>
        <v>123.06726684288516</v>
      </c>
      <c r="M56" s="152">
        <f>IF(TrRoad_act!M32=0,0,M19/TrRoad_act!M32*1000
)</f>
        <v>119.89031453113851</v>
      </c>
      <c r="N56" s="152">
        <f>IF(TrRoad_act!N32=0,0,N19/TrRoad_act!N32*1000
)</f>
        <v>120.10424523587253</v>
      </c>
      <c r="O56" s="152">
        <f>IF(TrRoad_act!O32=0,0,O19/TrRoad_act!O32*1000
)</f>
        <v>118.48689846453885</v>
      </c>
      <c r="P56" s="152">
        <f>IF(TrRoad_act!P32=0,0,P19/TrRoad_act!P32*1000
)</f>
        <v>115.90592024231553</v>
      </c>
      <c r="Q56" s="152">
        <f>IF(TrRoad_act!Q32=0,0,Q19/TrRoad_act!Q32*1000
)</f>
        <v>112.88482245417181</v>
      </c>
      <c r="R56" s="152">
        <f>IF(TrRoad_act!R32=0,0,R19/TrRoad_act!R32*1000
)</f>
        <v>110.71611926809133</v>
      </c>
      <c r="S56" s="152">
        <f>IF(TrRoad_act!S32=0,0,S19/TrRoad_act!S32*1000
)</f>
        <v>113.49515555048374</v>
      </c>
      <c r="T56" s="152">
        <f>IF(TrRoad_act!T32=0,0,T19/TrRoad_act!T32*1000
)</f>
        <v>112.88311752215363</v>
      </c>
      <c r="U56" s="152">
        <f>IF(TrRoad_act!U32=0,0,U19/TrRoad_act!U32*1000
)</f>
        <v>109.17128529068809</v>
      </c>
      <c r="V56" s="152">
        <f>IF(TrRoad_act!V32=0,0,V19/TrRoad_act!V32*1000
)</f>
        <v>107.76142042603534</v>
      </c>
      <c r="W56" s="152">
        <f>IF(TrRoad_act!W32=0,0,W19/TrRoad_act!W32*1000
)</f>
        <v>97.529856243385694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639.17216217505052</v>
      </c>
      <c r="C57" s="116">
        <f>IF(TrRoad_act!C33=0,0,C20/TrRoad_act!C33*1000
)</f>
        <v>627.27058009897746</v>
      </c>
      <c r="D57" s="116">
        <f>IF(TrRoad_act!D33=0,0,D20/TrRoad_act!D33*1000
)</f>
        <v>625.52650792478164</v>
      </c>
      <c r="E57" s="116">
        <f>IF(TrRoad_act!E33=0,0,E20/TrRoad_act!E33*1000
)</f>
        <v>647.57033531236061</v>
      </c>
      <c r="F57" s="116">
        <f>IF(TrRoad_act!F33=0,0,F20/TrRoad_act!F33*1000
)</f>
        <v>644.71454703913855</v>
      </c>
      <c r="G57" s="116">
        <f>IF(TrRoad_act!G33=0,0,G20/TrRoad_act!G33*1000
)</f>
        <v>597.76489187121308</v>
      </c>
      <c r="H57" s="116">
        <f>IF(TrRoad_act!H33=0,0,H20/TrRoad_act!H33*1000
)</f>
        <v>557.73536441120996</v>
      </c>
      <c r="I57" s="116">
        <f>IF(TrRoad_act!I33=0,0,I20/TrRoad_act!I33*1000
)</f>
        <v>550.39886173081061</v>
      </c>
      <c r="J57" s="116">
        <f>IF(TrRoad_act!J33=0,0,J20/TrRoad_act!J33*1000
)</f>
        <v>547.81823003228931</v>
      </c>
      <c r="K57" s="116">
        <f>IF(TrRoad_act!K33=0,0,K20/TrRoad_act!K33*1000
)</f>
        <v>537.24622354094765</v>
      </c>
      <c r="L57" s="116">
        <f>IF(TrRoad_act!L33=0,0,L20/TrRoad_act!L33*1000
)</f>
        <v>542.35566195812214</v>
      </c>
      <c r="M57" s="116">
        <f>IF(TrRoad_act!M33=0,0,M20/TrRoad_act!M33*1000
)</f>
        <v>569.46904223936917</v>
      </c>
      <c r="N57" s="116">
        <f>IF(TrRoad_act!N33=0,0,N20/TrRoad_act!N33*1000
)</f>
        <v>554.86633782153183</v>
      </c>
      <c r="O57" s="116">
        <f>IF(TrRoad_act!O33=0,0,O20/TrRoad_act!O33*1000
)</f>
        <v>511.03605607209892</v>
      </c>
      <c r="P57" s="116">
        <f>IF(TrRoad_act!P33=0,0,P20/TrRoad_act!P33*1000
)</f>
        <v>481.04122446259879</v>
      </c>
      <c r="Q57" s="116">
        <f>IF(TrRoad_act!Q33=0,0,Q20/TrRoad_act!Q33*1000
)</f>
        <v>453.62436636455055</v>
      </c>
      <c r="R57" s="116">
        <f>IF(TrRoad_act!R33=0,0,R20/TrRoad_act!R33*1000
)</f>
        <v>421.44950771379968</v>
      </c>
      <c r="S57" s="116">
        <f>IF(TrRoad_act!S33=0,0,S20/TrRoad_act!S33*1000
)</f>
        <v>406.99647064186712</v>
      </c>
      <c r="T57" s="116">
        <f>IF(TrRoad_act!T33=0,0,T20/TrRoad_act!T33*1000
)</f>
        <v>408.59077019065927</v>
      </c>
      <c r="U57" s="116">
        <f>IF(TrRoad_act!U33=0,0,U20/TrRoad_act!U33*1000
)</f>
        <v>385.98109918970857</v>
      </c>
      <c r="V57" s="116">
        <f>IF(TrRoad_act!V33=0,0,V20/TrRoad_act!V33*1000
)</f>
        <v>303.50508048757268</v>
      </c>
      <c r="W57" s="116">
        <f>IF(TrRoad_act!W33=0,0,W20/TrRoad_act!W33*1000
)</f>
        <v>327.86258845373374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619.1478500043512</v>
      </c>
      <c r="C58" s="87">
        <f>IF(TrRoad_act!C34=0,0,C21/TrRoad_act!C34*1000
)</f>
        <v>617.69118058088054</v>
      </c>
      <c r="D58" s="87">
        <f>IF(TrRoad_act!D34=0,0,D21/TrRoad_act!D34*1000
)</f>
        <v>623.61133350794307</v>
      </c>
      <c r="E58" s="87">
        <f>IF(TrRoad_act!E34=0,0,E21/TrRoad_act!E34*1000
)</f>
        <v>653.61559012861528</v>
      </c>
      <c r="F58" s="87">
        <f>IF(TrRoad_act!F34=0,0,F21/TrRoad_act!F34*1000
)</f>
        <v>666.79274479696846</v>
      </c>
      <c r="G58" s="87">
        <f>IF(TrRoad_act!G34=0,0,G21/TrRoad_act!G34*1000
)</f>
        <v>629.94540151985348</v>
      </c>
      <c r="H58" s="87">
        <f>IF(TrRoad_act!H34=0,0,H21/TrRoad_act!H34*1000
)</f>
        <v>596.25360247655397</v>
      </c>
      <c r="I58" s="87">
        <f>IF(TrRoad_act!I34=0,0,I21/TrRoad_act!I34*1000
)</f>
        <v>596.44859267142408</v>
      </c>
      <c r="J58" s="87">
        <f>IF(TrRoad_act!J34=0,0,J21/TrRoad_act!J34*1000
)</f>
        <v>577.99834265368395</v>
      </c>
      <c r="K58" s="87">
        <f>IF(TrRoad_act!K34=0,0,K21/TrRoad_act!K34*1000
)</f>
        <v>559.96271320693222</v>
      </c>
      <c r="L58" s="87">
        <f>IF(TrRoad_act!L34=0,0,L21/TrRoad_act!L34*1000
)</f>
        <v>557.41199191696921</v>
      </c>
      <c r="M58" s="87">
        <f>IF(TrRoad_act!M34=0,0,M21/TrRoad_act!M34*1000
)</f>
        <v>563.90823866216545</v>
      </c>
      <c r="N58" s="87">
        <f>IF(TrRoad_act!N34=0,0,N21/TrRoad_act!N34*1000
)</f>
        <v>547.22540820346842</v>
      </c>
      <c r="O58" s="87">
        <f>IF(TrRoad_act!O34=0,0,O21/TrRoad_act!O34*1000
)</f>
        <v>505.0243280677974</v>
      </c>
      <c r="P58" s="87">
        <f>IF(TrRoad_act!P34=0,0,P21/TrRoad_act!P34*1000
)</f>
        <v>478.11515817014299</v>
      </c>
      <c r="Q58" s="87">
        <f>IF(TrRoad_act!Q34=0,0,Q21/TrRoad_act!Q34*1000
)</f>
        <v>441.28560874267322</v>
      </c>
      <c r="R58" s="87">
        <f>IF(TrRoad_act!R34=0,0,R21/TrRoad_act!R34*1000
)</f>
        <v>399.7009673648825</v>
      </c>
      <c r="S58" s="87">
        <f>IF(TrRoad_act!S34=0,0,S21/TrRoad_act!S34*1000
)</f>
        <v>389.68177260655574</v>
      </c>
      <c r="T58" s="87">
        <f>IF(TrRoad_act!T34=0,0,T21/TrRoad_act!T34*1000
)</f>
        <v>383.17150375076864</v>
      </c>
      <c r="U58" s="87">
        <f>IF(TrRoad_act!U34=0,0,U21/TrRoad_act!U34*1000
)</f>
        <v>362.99127334884611</v>
      </c>
      <c r="V58" s="87">
        <f>IF(TrRoad_act!V34=0,0,V21/TrRoad_act!V34*1000
)</f>
        <v>280.13128356253605</v>
      </c>
      <c r="W58" s="87">
        <f>IF(TrRoad_act!W34=0,0,W21/TrRoad_act!W34*1000
)</f>
        <v>320.44965794111232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692.31141974024035</v>
      </c>
      <c r="C59" s="87">
        <f>IF(TrRoad_act!C35=0,0,C22/TrRoad_act!C35*1000
)</f>
        <v>654.24392485358351</v>
      </c>
      <c r="D59" s="87">
        <f>IF(TrRoad_act!D35=0,0,D22/TrRoad_act!D35*1000
)</f>
        <v>636.12449056958053</v>
      </c>
      <c r="E59" s="87">
        <f>IF(TrRoad_act!E35=0,0,E22/TrRoad_act!E35*1000
)</f>
        <v>647.69692287444593</v>
      </c>
      <c r="F59" s="87">
        <f>IF(TrRoad_act!F35=0,0,F22/TrRoad_act!F35*1000
)</f>
        <v>626.73161950086535</v>
      </c>
      <c r="G59" s="87">
        <f>IF(TrRoad_act!G35=0,0,G22/TrRoad_act!G35*1000
)</f>
        <v>573.27596068978653</v>
      </c>
      <c r="H59" s="87">
        <f>IF(TrRoad_act!H35=0,0,H22/TrRoad_act!H35*1000
)</f>
        <v>529.20586836435098</v>
      </c>
      <c r="I59" s="87">
        <f>IF(TrRoad_act!I35=0,0,I22/TrRoad_act!I35*1000
)</f>
        <v>518.20497286619502</v>
      </c>
      <c r="J59" s="87">
        <f>IF(TrRoad_act!J35=0,0,J22/TrRoad_act!J35*1000
)</f>
        <v>528.48564627996041</v>
      </c>
      <c r="K59" s="87">
        <f>IF(TrRoad_act!K35=0,0,K22/TrRoad_act!K35*1000
)</f>
        <v>524.85508414960964</v>
      </c>
      <c r="L59" s="87">
        <f>IF(TrRoad_act!L35=0,0,L22/TrRoad_act!L35*1000
)</f>
        <v>535.65877946443379</v>
      </c>
      <c r="M59" s="87">
        <f>IF(TrRoad_act!M35=0,0,M22/TrRoad_act!M35*1000
)</f>
        <v>575.72009008881525</v>
      </c>
      <c r="N59" s="87">
        <f>IF(TrRoad_act!N35=0,0,N22/TrRoad_act!N35*1000
)</f>
        <v>561.09033625880511</v>
      </c>
      <c r="O59" s="87">
        <f>IF(TrRoad_act!O35=0,0,O22/TrRoad_act!O35*1000
)</f>
        <v>516.97197041965956</v>
      </c>
      <c r="P59" s="87">
        <f>IF(TrRoad_act!P35=0,0,P22/TrRoad_act!P35*1000
)</f>
        <v>485.42426020862467</v>
      </c>
      <c r="Q59" s="87">
        <f>IF(TrRoad_act!Q35=0,0,Q22/TrRoad_act!Q35*1000
)</f>
        <v>463.02761842467874</v>
      </c>
      <c r="R59" s="87">
        <f>IF(TrRoad_act!R35=0,0,R22/TrRoad_act!R35*1000
)</f>
        <v>436.19281232914204</v>
      </c>
      <c r="S59" s="87">
        <f>IF(TrRoad_act!S35=0,0,S22/TrRoad_act!S35*1000
)</f>
        <v>420.72197887699053</v>
      </c>
      <c r="T59" s="87">
        <f>IF(TrRoad_act!T35=0,0,T22/TrRoad_act!T35*1000
)</f>
        <v>429.29489773975212</v>
      </c>
      <c r="U59" s="87">
        <f>IF(TrRoad_act!U35=0,0,U22/TrRoad_act!U35*1000
)</f>
        <v>408.92480768363646</v>
      </c>
      <c r="V59" s="87">
        <f>IF(TrRoad_act!V35=0,0,V22/TrRoad_act!V35*1000
)</f>
        <v>331.02696644131572</v>
      </c>
      <c r="W59" s="87">
        <f>IF(TrRoad_act!W35=0,0,W22/TrRoad_act!W35*1000
)</f>
        <v>355.50228043675492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178.98277009013989</v>
      </c>
      <c r="C60" s="87">
        <f>IF(TrRoad_act!C36=0,0,C23/TrRoad_act!C36*1000
)</f>
        <v>226.18312192255163</v>
      </c>
      <c r="D60" s="87">
        <f>IF(TrRoad_act!D36=0,0,D23/TrRoad_act!D36*1000
)</f>
        <v>289.55384798090574</v>
      </c>
      <c r="E60" s="87">
        <f>IF(TrRoad_act!E36=0,0,E23/TrRoad_act!E36*1000
)</f>
        <v>230.29757184461448</v>
      </c>
      <c r="F60" s="87">
        <f>IF(TrRoad_act!F36=0,0,F23/TrRoad_act!F36*1000
)</f>
        <v>243.12769223450417</v>
      </c>
      <c r="G60" s="87">
        <f>IF(TrRoad_act!G36=0,0,G23/TrRoad_act!G36*1000
)</f>
        <v>168.80450197673258</v>
      </c>
      <c r="H60" s="87">
        <f>IF(TrRoad_act!H36=0,0,H23/TrRoad_act!H36*1000
)</f>
        <v>169.41354801780571</v>
      </c>
      <c r="I60" s="87">
        <f>IF(TrRoad_act!I36=0,0,I23/TrRoad_act!I36*1000
)</f>
        <v>355.57324882227653</v>
      </c>
      <c r="J60" s="87">
        <f>IF(TrRoad_act!J36=0,0,J23/TrRoad_act!J36*1000
)</f>
        <v>347.40260502246349</v>
      </c>
      <c r="K60" s="87">
        <f>IF(TrRoad_act!K36=0,0,K23/TrRoad_act!K36*1000
)</f>
        <v>220.04458183748315</v>
      </c>
      <c r="L60" s="87">
        <f>IF(TrRoad_act!L36=0,0,L23/TrRoad_act!L36*1000
)</f>
        <v>231.67674295483488</v>
      </c>
      <c r="M60" s="87">
        <f>IF(TrRoad_act!M36=0,0,M23/TrRoad_act!M36*1000
)</f>
        <v>111.65713595210657</v>
      </c>
      <c r="N60" s="87">
        <f>IF(TrRoad_act!N36=0,0,N23/TrRoad_act!N36*1000
)</f>
        <v>306.09557297914029</v>
      </c>
      <c r="O60" s="87">
        <f>IF(TrRoad_act!O36=0,0,O23/TrRoad_act!O36*1000
)</f>
        <v>191.20910210342635</v>
      </c>
      <c r="P60" s="87">
        <f>IF(TrRoad_act!P36=0,0,P23/TrRoad_act!P36*1000
)</f>
        <v>220.70054639427522</v>
      </c>
      <c r="Q60" s="87">
        <f>IF(TrRoad_act!Q36=0,0,Q23/TrRoad_act!Q36*1000
)</f>
        <v>107.22927597131613</v>
      </c>
      <c r="R60" s="87">
        <f>IF(TrRoad_act!R36=0,0,R23/TrRoad_act!R36*1000
)</f>
        <v>113.39126210295706</v>
      </c>
      <c r="S60" s="87">
        <f>IF(TrRoad_act!S36=0,0,S23/TrRoad_act!S36*1000
)</f>
        <v>112.21652467830668</v>
      </c>
      <c r="T60" s="87">
        <f>IF(TrRoad_act!T36=0,0,T23/TrRoad_act!T36*1000
)</f>
        <v>177.48791808241373</v>
      </c>
      <c r="U60" s="87">
        <f>IF(TrRoad_act!U36=0,0,U23/TrRoad_act!U36*1000
)</f>
        <v>270.93675805419809</v>
      </c>
      <c r="V60" s="87">
        <f>IF(TrRoad_act!V36=0,0,V23/TrRoad_act!V36*1000
)</f>
        <v>58.038346339413891</v>
      </c>
      <c r="W60" s="87">
        <f>IF(TrRoad_act!W36=0,0,W23/TrRoad_act!W36*1000
)</f>
        <v>160.84594011142701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293.90441978203563</v>
      </c>
      <c r="O62" s="87">
        <f>IF(TrRoad_act!O38=0,0,O25/TrRoad_act!O38*1000
)</f>
        <v>283.58669866606931</v>
      </c>
      <c r="P62" s="87">
        <f>IF(TrRoad_act!P38=0,0,P25/TrRoad_act!P38*1000
)</f>
        <v>252.71893994993417</v>
      </c>
      <c r="Q62" s="87">
        <f>IF(TrRoad_act!Q38=0,0,Q25/TrRoad_act!Q38*1000
)</f>
        <v>236.62680958021963</v>
      </c>
      <c r="R62" s="87">
        <f>IF(TrRoad_act!R38=0,0,R25/TrRoad_act!R38*1000
)</f>
        <v>195.41253801646545</v>
      </c>
      <c r="S62" s="87">
        <f>IF(TrRoad_act!S38=0,0,S25/TrRoad_act!S38*1000
)</f>
        <v>138.51204868760698</v>
      </c>
      <c r="T62" s="87">
        <f>IF(TrRoad_act!T38=0,0,T25/TrRoad_act!T38*1000
)</f>
        <v>137.56879407270557</v>
      </c>
      <c r="U62" s="87">
        <f>IF(TrRoad_act!U38=0,0,U25/TrRoad_act!U38*1000
)</f>
        <v>132.3021955043757</v>
      </c>
      <c r="V62" s="87">
        <f>IF(TrRoad_act!V38=0,0,V25/TrRoad_act!V38*1000
)</f>
        <v>88.180461975938698</v>
      </c>
      <c r="W62" s="87">
        <f>IF(TrRoad_act!W38=0,0,W25/TrRoad_act!W38*1000
)</f>
        <v>89.539121749009027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1948.3472971518838</v>
      </c>
      <c r="C64" s="116">
        <f>IF(TrRoad_act!C40=0,0,C27/TrRoad_act!C40*1000
)</f>
        <v>1839.8708764464634</v>
      </c>
      <c r="D64" s="116">
        <f>IF(TrRoad_act!D40=0,0,D27/TrRoad_act!D40*1000
)</f>
        <v>1815.4673892898115</v>
      </c>
      <c r="E64" s="116">
        <f>IF(TrRoad_act!E40=0,0,E27/TrRoad_act!E40*1000
)</f>
        <v>1777.1404700345172</v>
      </c>
      <c r="F64" s="116">
        <f>IF(TrRoad_act!F40=0,0,F27/TrRoad_act!F40*1000
)</f>
        <v>1750.0621066921326</v>
      </c>
      <c r="G64" s="116">
        <f>IF(TrRoad_act!G40=0,0,G27/TrRoad_act!G40*1000
)</f>
        <v>1726.5079298501539</v>
      </c>
      <c r="H64" s="116">
        <f>IF(TrRoad_act!H40=0,0,H27/TrRoad_act!H40*1000
)</f>
        <v>1705.0709697123843</v>
      </c>
      <c r="I64" s="116">
        <f>IF(TrRoad_act!I40=0,0,I27/TrRoad_act!I40*1000
)</f>
        <v>1648.76213108815</v>
      </c>
      <c r="J64" s="116">
        <f>IF(TrRoad_act!J40=0,0,J27/TrRoad_act!J40*1000
)</f>
        <v>1632.6690807854418</v>
      </c>
      <c r="K64" s="116">
        <f>IF(TrRoad_act!K40=0,0,K27/TrRoad_act!K40*1000
)</f>
        <v>1619.8749232074308</v>
      </c>
      <c r="L64" s="116">
        <f>IF(TrRoad_act!L40=0,0,L27/TrRoad_act!L40*1000
)</f>
        <v>1611.5395491693978</v>
      </c>
      <c r="M64" s="116">
        <f>IF(TrRoad_act!M40=0,0,M27/TrRoad_act!M40*1000
)</f>
        <v>1613.2294298664938</v>
      </c>
      <c r="N64" s="116">
        <f>IF(TrRoad_act!N40=0,0,N27/TrRoad_act!N40*1000
)</f>
        <v>1610.1256746505146</v>
      </c>
      <c r="O64" s="116">
        <f>IF(TrRoad_act!O40=0,0,O27/TrRoad_act!O40*1000
)</f>
        <v>1608.9180866931056</v>
      </c>
      <c r="P64" s="116">
        <f>IF(TrRoad_act!P40=0,0,P27/TrRoad_act!P40*1000
)</f>
        <v>1604.186700135891</v>
      </c>
      <c r="Q64" s="116">
        <f>IF(TrRoad_act!Q40=0,0,Q27/TrRoad_act!Q40*1000
)</f>
        <v>1604.8997996363523</v>
      </c>
      <c r="R64" s="116">
        <f>IF(TrRoad_act!R40=0,0,R27/TrRoad_act!R40*1000
)</f>
        <v>1609.5821067540585</v>
      </c>
      <c r="S64" s="116">
        <f>IF(TrRoad_act!S40=0,0,S27/TrRoad_act!S40*1000
)</f>
        <v>1592.2604975737183</v>
      </c>
      <c r="T64" s="116">
        <f>IF(TrRoad_act!T40=0,0,T27/TrRoad_act!T40*1000
)</f>
        <v>1580.3685560972092</v>
      </c>
      <c r="U64" s="116">
        <f>IF(TrRoad_act!U40=0,0,U27/TrRoad_act!U40*1000
)</f>
        <v>1514.5406710112115</v>
      </c>
      <c r="V64" s="116">
        <f>IF(TrRoad_act!V40=0,0,V27/TrRoad_act!V40*1000
)</f>
        <v>1429.4203278202031</v>
      </c>
      <c r="W64" s="116">
        <f>IF(TrRoad_act!W40=0,0,W27/TrRoad_act!W40*1000
)</f>
        <v>1414.3221386906193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379.58793234966475</v>
      </c>
      <c r="U65" s="101">
        <f>IF(TrRoad_act!U41=0,0,U28/TrRoad_act!U41*1000
)</f>
        <v>372.60617603299715</v>
      </c>
      <c r="V65" s="101">
        <f>IF(TrRoad_act!V41=0,0,V28/TrRoad_act!V41*1000
)</f>
        <v>371.53856981243183</v>
      </c>
      <c r="W65" s="101">
        <f>IF(TrRoad_act!W41=0,0,W28/TrRoad_act!W41*1000
)</f>
        <v>370.26895911923884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1948.3472971518838</v>
      </c>
      <c r="C66" s="101">
        <f>IF(TrRoad_act!C42=0,0,C29/TrRoad_act!C42*1000
)</f>
        <v>1839.8708764464634</v>
      </c>
      <c r="D66" s="101">
        <f>IF(TrRoad_act!D42=0,0,D29/TrRoad_act!D42*1000
)</f>
        <v>1815.4673892898115</v>
      </c>
      <c r="E66" s="101">
        <f>IF(TrRoad_act!E42=0,0,E29/TrRoad_act!E42*1000
)</f>
        <v>1781.9432250360403</v>
      </c>
      <c r="F66" s="101">
        <f>IF(TrRoad_act!F42=0,0,F29/TrRoad_act!F42*1000
)</f>
        <v>1754.7228031109453</v>
      </c>
      <c r="G66" s="101">
        <f>IF(TrRoad_act!G42=0,0,G29/TrRoad_act!G42*1000
)</f>
        <v>1730.9406489370372</v>
      </c>
      <c r="H66" s="101">
        <f>IF(TrRoad_act!H42=0,0,H29/TrRoad_act!H42*1000
)</f>
        <v>1709.4075785287912</v>
      </c>
      <c r="I66" s="101">
        <f>IF(TrRoad_act!I42=0,0,I29/TrRoad_act!I42*1000
)</f>
        <v>1652.8082193968164</v>
      </c>
      <c r="J66" s="101">
        <f>IF(TrRoad_act!J42=0,0,J29/TrRoad_act!J42*1000
)</f>
        <v>1636.5090483496488</v>
      </c>
      <c r="K66" s="101">
        <f>IF(TrRoad_act!K42=0,0,K29/TrRoad_act!K42*1000
)</f>
        <v>1622.3351527655566</v>
      </c>
      <c r="L66" s="101">
        <f>IF(TrRoad_act!L42=0,0,L29/TrRoad_act!L42*1000
)</f>
        <v>1613.9205119690887</v>
      </c>
      <c r="M66" s="101">
        <f>IF(TrRoad_act!M42=0,0,M29/TrRoad_act!M42*1000
)</f>
        <v>1615.5582425095388</v>
      </c>
      <c r="N66" s="101">
        <f>IF(TrRoad_act!N42=0,0,N29/TrRoad_act!N42*1000
)</f>
        <v>1612.4599963858807</v>
      </c>
      <c r="O66" s="101">
        <f>IF(TrRoad_act!O42=0,0,O29/TrRoad_act!O42*1000
)</f>
        <v>1613.5826850419719</v>
      </c>
      <c r="P66" s="101">
        <f>IF(TrRoad_act!P42=0,0,P29/TrRoad_act!P42*1000
)</f>
        <v>1607.7056260765232</v>
      </c>
      <c r="Q66" s="101">
        <f>IF(TrRoad_act!Q42=0,0,Q29/TrRoad_act!Q42*1000
)</f>
        <v>1608.3333109094633</v>
      </c>
      <c r="R66" s="101">
        <f>IF(TrRoad_act!R42=0,0,R29/TrRoad_act!R42*1000
)</f>
        <v>1612.9701912845583</v>
      </c>
      <c r="S66" s="101">
        <f>IF(TrRoad_act!S42=0,0,S29/TrRoad_act!S42*1000
)</f>
        <v>1600.9459515805668</v>
      </c>
      <c r="T66" s="101">
        <f>IF(TrRoad_act!T42=0,0,T29/TrRoad_act!T42*1000
)</f>
        <v>1610.4505231109831</v>
      </c>
      <c r="U66" s="101">
        <f>IF(TrRoad_act!U42=0,0,U29/TrRoad_act!U42*1000
)</f>
        <v>1621.822602493904</v>
      </c>
      <c r="V66" s="101">
        <f>IF(TrRoad_act!V42=0,0,V29/TrRoad_act!V42*1000
)</f>
        <v>1578.2606733087266</v>
      </c>
      <c r="W66" s="101">
        <f>IF(TrRoad_act!W42=0,0,W29/TrRoad_act!W42*1000
)</f>
        <v>1596.8956863439994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5069.4926015989286</v>
      </c>
      <c r="C70" s="29">
        <f>IF(TrRoad_act!C46=0,0,C33/TrRoad_act!C46*1000
)</f>
        <v>5073.8311339690481</v>
      </c>
      <c r="D70" s="29">
        <f>IF(TrRoad_act!D46=0,0,D33/TrRoad_act!D46*1000
)</f>
        <v>4971.3274669203911</v>
      </c>
      <c r="E70" s="29">
        <f>IF(TrRoad_act!E46=0,0,E33/TrRoad_act!E46*1000
)</f>
        <v>5622.072738443705</v>
      </c>
      <c r="F70" s="29">
        <f>IF(TrRoad_act!F46=0,0,F33/TrRoad_act!F46*1000
)</f>
        <v>7103.821190126323</v>
      </c>
      <c r="G70" s="29">
        <f>IF(TrRoad_act!G46=0,0,G33/TrRoad_act!G46*1000
)</f>
        <v>7795.0633693223635</v>
      </c>
      <c r="H70" s="29">
        <f>IF(TrRoad_act!H46=0,0,H33/TrRoad_act!H46*1000
)</f>
        <v>7104.4102920878731</v>
      </c>
      <c r="I70" s="29">
        <f>IF(TrRoad_act!I46=0,0,I33/TrRoad_act!I46*1000
)</f>
        <v>6167.2183870019699</v>
      </c>
      <c r="J70" s="29">
        <f>IF(TrRoad_act!J46=0,0,J33/TrRoad_act!J46*1000
)</f>
        <v>5890.66949314267</v>
      </c>
      <c r="K70" s="29">
        <f>IF(TrRoad_act!K46=0,0,K33/TrRoad_act!K46*1000
)</f>
        <v>5477.3392186448345</v>
      </c>
      <c r="L70" s="29">
        <f>IF(TrRoad_act!L46=0,0,L33/TrRoad_act!L46*1000
)</f>
        <v>5903.489713556196</v>
      </c>
      <c r="M70" s="29">
        <f>IF(TrRoad_act!M46=0,0,M33/TrRoad_act!M46*1000
)</f>
        <v>5957.6492952451144</v>
      </c>
      <c r="N70" s="29">
        <f>IF(TrRoad_act!N46=0,0,N33/TrRoad_act!N46*1000
)</f>
        <v>4989.3728941431036</v>
      </c>
      <c r="O70" s="29">
        <f>IF(TrRoad_act!O46=0,0,O33/TrRoad_act!O46*1000
)</f>
        <v>5080.3774688523044</v>
      </c>
      <c r="P70" s="29">
        <f>IF(TrRoad_act!P46=0,0,P33/TrRoad_act!P46*1000
)</f>
        <v>4352.0218615766235</v>
      </c>
      <c r="Q70" s="29">
        <f>IF(TrRoad_act!Q46=0,0,Q33/TrRoad_act!Q46*1000
)</f>
        <v>3958.8507535754015</v>
      </c>
      <c r="R70" s="29">
        <f>IF(TrRoad_act!R46=0,0,R33/TrRoad_act!R46*1000
)</f>
        <v>3626.7075965385548</v>
      </c>
      <c r="S70" s="29">
        <f>IF(TrRoad_act!S46=0,0,S33/TrRoad_act!S46*1000
)</f>
        <v>3670.0459825895136</v>
      </c>
      <c r="T70" s="29">
        <f>IF(TrRoad_act!T46=0,0,T33/TrRoad_act!T46*1000
)</f>
        <v>3889.0754380744947</v>
      </c>
      <c r="U70" s="29">
        <f>IF(TrRoad_act!U46=0,0,U33/TrRoad_act!U46*1000
)</f>
        <v>4039.9801118124692</v>
      </c>
      <c r="V70" s="29">
        <f>IF(TrRoad_act!V46=0,0,V33/TrRoad_act!V46*1000
)</f>
        <v>3080.5765651862544</v>
      </c>
      <c r="W70" s="29">
        <f>IF(TrRoad_act!W46=0,0,W33/TrRoad_act!W46*1000
)</f>
        <v>3000.2360051010128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369.54831689191082</v>
      </c>
      <c r="C71" s="152">
        <f>IF(TrRoad_act!C47=0,0,C34/TrRoad_act!C47*1000
)</f>
        <v>356.70154039409272</v>
      </c>
      <c r="D71" s="152">
        <f>IF(TrRoad_act!D47=0,0,D34/TrRoad_act!D47*1000
)</f>
        <v>346.90073683872538</v>
      </c>
      <c r="E71" s="152">
        <f>IF(TrRoad_act!E47=0,0,E34/TrRoad_act!E47*1000
)</f>
        <v>340.10359404464037</v>
      </c>
      <c r="F71" s="152">
        <f>IF(TrRoad_act!F47=0,0,F34/TrRoad_act!F47*1000
)</f>
        <v>333.35624271469953</v>
      </c>
      <c r="G71" s="152">
        <f>IF(TrRoad_act!G47=0,0,G34/TrRoad_act!G47*1000
)</f>
        <v>328.20948074122731</v>
      </c>
      <c r="H71" s="152">
        <f>IF(TrRoad_act!H47=0,0,H34/TrRoad_act!H47*1000
)</f>
        <v>323.4818071730873</v>
      </c>
      <c r="I71" s="152">
        <f>IF(TrRoad_act!I47=0,0,I34/TrRoad_act!I47*1000
)</f>
        <v>311.2343767059059</v>
      </c>
      <c r="J71" s="152">
        <f>IF(TrRoad_act!J47=0,0,J34/TrRoad_act!J47*1000
)</f>
        <v>307.19839553108056</v>
      </c>
      <c r="K71" s="152">
        <f>IF(TrRoad_act!K47=0,0,K34/TrRoad_act!K47*1000
)</f>
        <v>306.39958793182637</v>
      </c>
      <c r="L71" s="152">
        <f>IF(TrRoad_act!L47=0,0,L34/TrRoad_act!L47*1000
)</f>
        <v>307.13989427095549</v>
      </c>
      <c r="M71" s="152">
        <f>IF(TrRoad_act!M47=0,0,M34/TrRoad_act!M47*1000
)</f>
        <v>307.40923521800664</v>
      </c>
      <c r="N71" s="152">
        <f>IF(TrRoad_act!N47=0,0,N34/TrRoad_act!N47*1000
)</f>
        <v>302.59841425389948</v>
      </c>
      <c r="O71" s="152">
        <f>IF(TrRoad_act!O47=0,0,O34/TrRoad_act!O47*1000
)</f>
        <v>297.48037024024387</v>
      </c>
      <c r="P71" s="152">
        <f>IF(TrRoad_act!P47=0,0,P34/TrRoad_act!P47*1000
)</f>
        <v>291.62822305712967</v>
      </c>
      <c r="Q71" s="152">
        <f>IF(TrRoad_act!Q47=0,0,Q34/TrRoad_act!Q47*1000
)</f>
        <v>285.18151885107318</v>
      </c>
      <c r="R71" s="152">
        <f>IF(TrRoad_act!R47=0,0,R34/TrRoad_act!R47*1000
)</f>
        <v>279.58668448126343</v>
      </c>
      <c r="S71" s="152">
        <f>IF(TrRoad_act!S47=0,0,S34/TrRoad_act!S47*1000
)</f>
        <v>269.67493553331531</v>
      </c>
      <c r="T71" s="152">
        <f>IF(TrRoad_act!T47=0,0,T34/TrRoad_act!T47*1000
)</f>
        <v>265.49423468301978</v>
      </c>
      <c r="U71" s="152">
        <f>IF(TrRoad_act!U47=0,0,U34/TrRoad_act!U47*1000
)</f>
        <v>262.78471440268595</v>
      </c>
      <c r="V71" s="152">
        <f>IF(TrRoad_act!V47=0,0,V34/TrRoad_act!V47*1000
)</f>
        <v>253.77464800981065</v>
      </c>
      <c r="W71" s="152">
        <f>IF(TrRoad_act!W47=0,0,W34/TrRoad_act!W47*1000
)</f>
        <v>253.48697370300434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315.08462969263815</v>
      </c>
      <c r="C72" s="87">
        <f>IF(TrRoad_act!C48=0,0,C35/TrRoad_act!C48*1000
)</f>
        <v>314.04163057026909</v>
      </c>
      <c r="D72" s="87">
        <f>IF(TrRoad_act!D48=0,0,D35/TrRoad_act!D48*1000
)</f>
        <v>311.18342248293288</v>
      </c>
      <c r="E72" s="87">
        <f>IF(TrRoad_act!E48=0,0,E35/TrRoad_act!E48*1000
)</f>
        <v>306.08867039644923</v>
      </c>
      <c r="F72" s="87">
        <f>IF(TrRoad_act!F48=0,0,F35/TrRoad_act!F48*1000
)</f>
        <v>300.85240152918237</v>
      </c>
      <c r="G72" s="87">
        <f>IF(TrRoad_act!G48=0,0,G35/TrRoad_act!G48*1000
)</f>
        <v>294.5342918561837</v>
      </c>
      <c r="H72" s="87">
        <f>IF(TrRoad_act!H48=0,0,H35/TrRoad_act!H48*1000
)</f>
        <v>288.1376465081504</v>
      </c>
      <c r="I72" s="87">
        <f>IF(TrRoad_act!I48=0,0,I35/TrRoad_act!I48*1000
)</f>
        <v>280.01926160625482</v>
      </c>
      <c r="J72" s="87">
        <f>IF(TrRoad_act!J48=0,0,J35/TrRoad_act!J48*1000
)</f>
        <v>272.08899084563154</v>
      </c>
      <c r="K72" s="87">
        <f>IF(TrRoad_act!K48=0,0,K35/TrRoad_act!K48*1000
)</f>
        <v>263.37500786450698</v>
      </c>
      <c r="L72" s="87">
        <f>IF(TrRoad_act!L48=0,0,L35/TrRoad_act!L48*1000
)</f>
        <v>258.30917272287508</v>
      </c>
      <c r="M72" s="87">
        <f>IF(TrRoad_act!M48=0,0,M35/TrRoad_act!M48*1000
)</f>
        <v>250.56310273828629</v>
      </c>
      <c r="N72" s="87">
        <f>IF(TrRoad_act!N48=0,0,N35/TrRoad_act!N48*1000
)</f>
        <v>250.24454387560962</v>
      </c>
      <c r="O72" s="87">
        <f>IF(TrRoad_act!O48=0,0,O35/TrRoad_act!O48*1000
)</f>
        <v>250.52970656269358</v>
      </c>
      <c r="P72" s="87">
        <f>IF(TrRoad_act!P48=0,0,P35/TrRoad_act!P48*1000
)</f>
        <v>247.87036803635453</v>
      </c>
      <c r="Q72" s="87">
        <f>IF(TrRoad_act!Q48=0,0,Q35/TrRoad_act!Q48*1000
)</f>
        <v>243.93357804800843</v>
      </c>
      <c r="R72" s="87">
        <f>IF(TrRoad_act!R48=0,0,R35/TrRoad_act!R48*1000
)</f>
        <v>239.94036078254774</v>
      </c>
      <c r="S72" s="87">
        <f>IF(TrRoad_act!S48=0,0,S35/TrRoad_act!S48*1000
)</f>
        <v>238.18735885720477</v>
      </c>
      <c r="T72" s="87">
        <f>IF(TrRoad_act!T48=0,0,T35/TrRoad_act!T48*1000
)</f>
        <v>234.10618994900736</v>
      </c>
      <c r="U72" s="87">
        <f>IF(TrRoad_act!U48=0,0,U35/TrRoad_act!U48*1000
)</f>
        <v>229.61881191777712</v>
      </c>
      <c r="V72" s="87">
        <f>IF(TrRoad_act!V48=0,0,V35/TrRoad_act!V48*1000
)</f>
        <v>227.52899540560125</v>
      </c>
      <c r="W72" s="87">
        <f>IF(TrRoad_act!W48=0,0,W35/TrRoad_act!W48*1000
)</f>
        <v>223.49574357089409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375.72316984992403</v>
      </c>
      <c r="C73" s="87">
        <f>IF(TrRoad_act!C49=0,0,C36/TrRoad_act!C49*1000
)</f>
        <v>360.67889910822606</v>
      </c>
      <c r="D73" s="87">
        <f>IF(TrRoad_act!D49=0,0,D36/TrRoad_act!D49*1000
)</f>
        <v>349.70479381150989</v>
      </c>
      <c r="E73" s="87">
        <f>IF(TrRoad_act!E49=0,0,E36/TrRoad_act!E49*1000
)</f>
        <v>342.40188080353664</v>
      </c>
      <c r="F73" s="87">
        <f>IF(TrRoad_act!F49=0,0,F36/TrRoad_act!F49*1000
)</f>
        <v>335.19611664188176</v>
      </c>
      <c r="G73" s="87">
        <f>IF(TrRoad_act!G49=0,0,G36/TrRoad_act!G49*1000
)</f>
        <v>329.8005610874489</v>
      </c>
      <c r="H73" s="87">
        <f>IF(TrRoad_act!H49=0,0,H36/TrRoad_act!H49*1000
)</f>
        <v>324.91209113547245</v>
      </c>
      <c r="I73" s="87">
        <f>IF(TrRoad_act!I49=0,0,I36/TrRoad_act!I49*1000
)</f>
        <v>312.33145347999601</v>
      </c>
      <c r="J73" s="87">
        <f>IF(TrRoad_act!J49=0,0,J36/TrRoad_act!J49*1000
)</f>
        <v>308.30970436063274</v>
      </c>
      <c r="K73" s="87">
        <f>IF(TrRoad_act!K49=0,0,K36/TrRoad_act!K49*1000
)</f>
        <v>307.66990727853283</v>
      </c>
      <c r="L73" s="87">
        <f>IF(TrRoad_act!L49=0,0,L36/TrRoad_act!L49*1000
)</f>
        <v>308.47848670623671</v>
      </c>
      <c r="M73" s="87">
        <f>IF(TrRoad_act!M49=0,0,M36/TrRoad_act!M49*1000
)</f>
        <v>308.83489148924605</v>
      </c>
      <c r="N73" s="87">
        <f>IF(TrRoad_act!N49=0,0,N36/TrRoad_act!N49*1000
)</f>
        <v>303.94414619012349</v>
      </c>
      <c r="O73" s="87">
        <f>IF(TrRoad_act!O49=0,0,O36/TrRoad_act!O49*1000
)</f>
        <v>298.99805784133116</v>
      </c>
      <c r="P73" s="87">
        <f>IF(TrRoad_act!P49=0,0,P36/TrRoad_act!P49*1000
)</f>
        <v>293.11232450503076</v>
      </c>
      <c r="Q73" s="87">
        <f>IF(TrRoad_act!Q49=0,0,Q36/TrRoad_act!Q49*1000
)</f>
        <v>286.67274796017597</v>
      </c>
      <c r="R73" s="87">
        <f>IF(TrRoad_act!R49=0,0,R36/TrRoad_act!R49*1000
)</f>
        <v>281.0508521841756</v>
      </c>
      <c r="S73" s="87">
        <f>IF(TrRoad_act!S49=0,0,S36/TrRoad_act!S49*1000
)</f>
        <v>271.1493919702171</v>
      </c>
      <c r="T73" s="87">
        <f>IF(TrRoad_act!T49=0,0,T36/TrRoad_act!T49*1000
)</f>
        <v>267.22132794651321</v>
      </c>
      <c r="U73" s="87">
        <f>IF(TrRoad_act!U49=0,0,U36/TrRoad_act!U49*1000
)</f>
        <v>264.80166752815597</v>
      </c>
      <c r="V73" s="87">
        <f>IF(TrRoad_act!V49=0,0,V36/TrRoad_act!V49*1000
)</f>
        <v>255.82521644417099</v>
      </c>
      <c r="W73" s="87">
        <f>IF(TrRoad_act!W49=0,0,W36/TrRoad_act!W49*1000
)</f>
        <v>256.13957199718141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282.0774299853212</v>
      </c>
      <c r="P74" s="87">
        <f>IF(TrRoad_act!P50=0,0,P37/TrRoad_act!P50*1000
)</f>
        <v>280.26624553519252</v>
      </c>
      <c r="Q74" s="87">
        <f>IF(TrRoad_act!Q50=0,0,Q37/TrRoad_act!Q50*1000
)</f>
        <v>279.715074509658</v>
      </c>
      <c r="R74" s="87">
        <f>IF(TrRoad_act!R50=0,0,R37/TrRoad_act!R50*1000
)</f>
        <v>279.62995505853547</v>
      </c>
      <c r="S74" s="87">
        <f>IF(TrRoad_act!S50=0,0,S37/TrRoad_act!S50*1000
)</f>
        <v>273.64020915373118</v>
      </c>
      <c r="T74" s="87">
        <f>IF(TrRoad_act!T50=0,0,T37/TrRoad_act!T50*1000
)</f>
        <v>263.67771882080808</v>
      </c>
      <c r="U74" s="87">
        <f>IF(TrRoad_act!U50=0,0,U37/TrRoad_act!U50*1000
)</f>
        <v>224.17128656847703</v>
      </c>
      <c r="V74" s="87">
        <f>IF(TrRoad_act!V50=0,0,V37/TrRoad_act!V50*1000
)</f>
        <v>223.93680347427576</v>
      </c>
      <c r="W74" s="87">
        <f>IF(TrRoad_act!W50=0,0,W37/TrRoad_act!W50*1000
)</f>
        <v>222.65573272209085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14850.388635952635</v>
      </c>
      <c r="C77" s="116">
        <f>IF(TrRoad_act!C53=0,0,C40/TrRoad_act!C53*1000
)</f>
        <v>14561.223477576459</v>
      </c>
      <c r="D77" s="116">
        <f>IF(TrRoad_act!D53=0,0,D40/TrRoad_act!D53*1000
)</f>
        <v>13964.670557920625</v>
      </c>
      <c r="E77" s="116">
        <f>IF(TrRoad_act!E53=0,0,E40/TrRoad_act!E53*1000
)</f>
        <v>16320.518564803982</v>
      </c>
      <c r="F77" s="116">
        <f>IF(TrRoad_act!F53=0,0,F40/TrRoad_act!F53*1000
)</f>
        <v>20538.050816382889</v>
      </c>
      <c r="G77" s="116">
        <f>IF(TrRoad_act!G53=0,0,G40/TrRoad_act!G53*1000
)</f>
        <v>23532.551473621304</v>
      </c>
      <c r="H77" s="116">
        <f>IF(TrRoad_act!H53=0,0,H40/TrRoad_act!H53*1000
)</f>
        <v>21727.839284432273</v>
      </c>
      <c r="I77" s="116">
        <f>IF(TrRoad_act!I53=0,0,I40/TrRoad_act!I53*1000
)</f>
        <v>19424.108015390022</v>
      </c>
      <c r="J77" s="116">
        <f>IF(TrRoad_act!J53=0,0,J40/TrRoad_act!J53*1000
)</f>
        <v>18694.385602747188</v>
      </c>
      <c r="K77" s="116">
        <f>IF(TrRoad_act!K53=0,0,K40/TrRoad_act!K53*1000
)</f>
        <v>20494.56534779269</v>
      </c>
      <c r="L77" s="116">
        <f>IF(TrRoad_act!L53=0,0,L40/TrRoad_act!L53*1000
)</f>
        <v>21941.600566100049</v>
      </c>
      <c r="M77" s="116">
        <f>IF(TrRoad_act!M53=0,0,M40/TrRoad_act!M53*1000
)</f>
        <v>22772.744009270198</v>
      </c>
      <c r="N77" s="116">
        <f>IF(TrRoad_act!N53=0,0,N40/TrRoad_act!N53*1000
)</f>
        <v>16169.877989485823</v>
      </c>
      <c r="O77" s="116">
        <f>IF(TrRoad_act!O53=0,0,O40/TrRoad_act!O53*1000
)</f>
        <v>18013.335464520223</v>
      </c>
      <c r="P77" s="116">
        <f>IF(TrRoad_act!P53=0,0,P40/TrRoad_act!P53*1000
)</f>
        <v>14278.124391286219</v>
      </c>
      <c r="Q77" s="116">
        <f>IF(TrRoad_act!Q53=0,0,Q40/TrRoad_act!Q53*1000
)</f>
        <v>14888.876617120166</v>
      </c>
      <c r="R77" s="116">
        <f>IF(TrRoad_act!R53=0,0,R40/TrRoad_act!R53*1000
)</f>
        <v>13631.349153011901</v>
      </c>
      <c r="S77" s="116">
        <f>IF(TrRoad_act!S53=0,0,S40/TrRoad_act!S53*1000
)</f>
        <v>14034.894980277653</v>
      </c>
      <c r="T77" s="116">
        <f>IF(TrRoad_act!T53=0,0,T40/TrRoad_act!T53*1000
)</f>
        <v>15539.042019586646</v>
      </c>
      <c r="U77" s="116">
        <f>IF(TrRoad_act!U53=0,0,U40/TrRoad_act!U53*1000
)</f>
        <v>16321.101702356242</v>
      </c>
      <c r="V77" s="116">
        <f>IF(TrRoad_act!V53=0,0,V40/TrRoad_act!V53*1000
)</f>
        <v>13368.299156026393</v>
      </c>
      <c r="W77" s="116">
        <f>IF(TrRoad_act!W53=0,0,W40/TrRoad_act!W53*1000
)</f>
        <v>12321.105758892367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1377.8160467388323</v>
      </c>
      <c r="C78" s="101">
        <f>IF(TrRoad_act!C54=0,0,C41/TrRoad_act!C54*1000
)</f>
        <v>1370.706851050862</v>
      </c>
      <c r="D78" s="101">
        <f>IF(TrRoad_act!D54=0,0,D41/TrRoad_act!D54*1000
)</f>
        <v>1360.3099899457472</v>
      </c>
      <c r="E78" s="101">
        <f>IF(TrRoad_act!E54=0,0,E41/TrRoad_act!E54*1000
)</f>
        <v>1402.7777323063385</v>
      </c>
      <c r="F78" s="101">
        <f>IF(TrRoad_act!F54=0,0,F41/TrRoad_act!F54*1000
)</f>
        <v>1482.5443500527415</v>
      </c>
      <c r="G78" s="101">
        <f>IF(TrRoad_act!G54=0,0,G41/TrRoad_act!G54*1000
)</f>
        <v>1533.0393650261146</v>
      </c>
      <c r="H78" s="101">
        <f>IF(TrRoad_act!H54=0,0,H41/TrRoad_act!H54*1000
)</f>
        <v>1498.702229985495</v>
      </c>
      <c r="I78" s="101">
        <f>IF(TrRoad_act!I54=0,0,I41/TrRoad_act!I54*1000
)</f>
        <v>1424.3853557984721</v>
      </c>
      <c r="J78" s="101">
        <f>IF(TrRoad_act!J54=0,0,J41/TrRoad_act!J54*1000
)</f>
        <v>1405.1759396103091</v>
      </c>
      <c r="K78" s="101">
        <f>IF(TrRoad_act!K54=0,0,K41/TrRoad_act!K54*1000
)</f>
        <v>1433.2420071185934</v>
      </c>
      <c r="L78" s="101">
        <f>IF(TrRoad_act!L54=0,0,L41/TrRoad_act!L54*1000
)</f>
        <v>1459.097774852821</v>
      </c>
      <c r="M78" s="101">
        <f>IF(TrRoad_act!M54=0,0,M41/TrRoad_act!M54*1000
)</f>
        <v>1473.3400997402132</v>
      </c>
      <c r="N78" s="101">
        <f>IF(TrRoad_act!N54=0,0,N41/TrRoad_act!N54*1000
)</f>
        <v>1339.3778852033777</v>
      </c>
      <c r="O78" s="101">
        <f>IF(TrRoad_act!O54=0,0,O41/TrRoad_act!O54*1000
)</f>
        <v>1357.7563380043762</v>
      </c>
      <c r="P78" s="101">
        <f>IF(TrRoad_act!P54=0,0,P41/TrRoad_act!P54*1000
)</f>
        <v>1273.8087014222313</v>
      </c>
      <c r="Q78" s="101">
        <f>IF(TrRoad_act!Q54=0,0,Q41/TrRoad_act!Q54*1000
)</f>
        <v>1274.7683368881558</v>
      </c>
      <c r="R78" s="101">
        <f>IF(TrRoad_act!R54=0,0,R41/TrRoad_act!R54*1000
)</f>
        <v>1240.6920961829201</v>
      </c>
      <c r="S78" s="101">
        <f>IF(TrRoad_act!S54=0,0,S41/TrRoad_act!S54*1000
)</f>
        <v>1226.1527610258527</v>
      </c>
      <c r="T78" s="101">
        <f>IF(TrRoad_act!T54=0,0,T41/TrRoad_act!T54*1000
)</f>
        <v>1246.240914990012</v>
      </c>
      <c r="U78" s="101">
        <f>IF(TrRoad_act!U54=0,0,U41/TrRoad_act!U54*1000
)</f>
        <v>1250.7538614427538</v>
      </c>
      <c r="V78" s="101">
        <f>IF(TrRoad_act!V54=0,0,V41/TrRoad_act!V54*1000
)</f>
        <v>1158.6962762526264</v>
      </c>
      <c r="W78" s="101">
        <f>IF(TrRoad_act!W54=0,0,W41/TrRoad_act!W54*1000
)</f>
        <v>1137.1795195240961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26767.378711102403</v>
      </c>
      <c r="C79" s="88">
        <f>IF(TrRoad_act!C55=0,0,C42/TrRoad_act!C55*1000
)</f>
        <v>27023.269636425532</v>
      </c>
      <c r="D79" s="88">
        <f>IF(TrRoad_act!D55=0,0,D42/TrRoad_act!D55*1000
)</f>
        <v>27196.645840634763</v>
      </c>
      <c r="E79" s="88">
        <f>IF(TrRoad_act!E55=0,0,E42/TrRoad_act!E55*1000
)</f>
        <v>31273.022278145272</v>
      </c>
      <c r="F79" s="88">
        <f>IF(TrRoad_act!F55=0,0,F42/TrRoad_act!F55*1000
)</f>
        <v>35894.148186561048</v>
      </c>
      <c r="G79" s="88">
        <f>IF(TrRoad_act!G55=0,0,G42/TrRoad_act!G55*1000
)</f>
        <v>39544.224026817174</v>
      </c>
      <c r="H79" s="88">
        <f>IF(TrRoad_act!H55=0,0,H42/TrRoad_act!H55*1000
)</f>
        <v>38589.953082546359</v>
      </c>
      <c r="I79" s="88">
        <f>IF(TrRoad_act!I55=0,0,I42/TrRoad_act!I55*1000
)</f>
        <v>33240.919761778052</v>
      </c>
      <c r="J79" s="88">
        <f>IF(TrRoad_act!J55=0,0,J42/TrRoad_act!J55*1000
)</f>
        <v>29647.103110238117</v>
      </c>
      <c r="K79" s="88">
        <f>IF(TrRoad_act!K55=0,0,K42/TrRoad_act!K55*1000
)</f>
        <v>29090.941173805932</v>
      </c>
      <c r="L79" s="88">
        <f>IF(TrRoad_act!L55=0,0,L42/TrRoad_act!L55*1000
)</f>
        <v>31808.135801741126</v>
      </c>
      <c r="M79" s="88">
        <f>IF(TrRoad_act!M55=0,0,M42/TrRoad_act!M55*1000
)</f>
        <v>33958.287626361795</v>
      </c>
      <c r="N79" s="88">
        <f>IF(TrRoad_act!N55=0,0,N42/TrRoad_act!N55*1000
)</f>
        <v>27312.292699790454</v>
      </c>
      <c r="O79" s="88">
        <f>IF(TrRoad_act!O55=0,0,O42/TrRoad_act!O55*1000
)</f>
        <v>27927.213905345649</v>
      </c>
      <c r="P79" s="88">
        <f>IF(TrRoad_act!P55=0,0,P42/TrRoad_act!P55*1000
)</f>
        <v>24290.830141763974</v>
      </c>
      <c r="Q79" s="88">
        <f>IF(TrRoad_act!Q55=0,0,Q42/TrRoad_act!Q55*1000
)</f>
        <v>25471.249365163094</v>
      </c>
      <c r="R79" s="88">
        <f>IF(TrRoad_act!R55=0,0,R42/TrRoad_act!R55*1000
)</f>
        <v>22958.354491248625</v>
      </c>
      <c r="S79" s="88">
        <f>IF(TrRoad_act!S55=0,0,S42/TrRoad_act!S55*1000
)</f>
        <v>22869.777818087689</v>
      </c>
      <c r="T79" s="88">
        <f>IF(TrRoad_act!T55=0,0,T42/TrRoad_act!T55*1000
)</f>
        <v>25983.369635153071</v>
      </c>
      <c r="U79" s="88">
        <f>IF(TrRoad_act!U55=0,0,U42/TrRoad_act!U55*1000
)</f>
        <v>26903.653024550003</v>
      </c>
      <c r="V79" s="88">
        <f>IF(TrRoad_act!V55=0,0,V42/TrRoad_act!V55*1000
)</f>
        <v>21231.901524079767</v>
      </c>
      <c r="W79" s="88">
        <f>IF(TrRoad_act!W55=0,0,W42/TrRoad_act!W55*1000
)</f>
        <v>20406.961216603777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434.28048095111268</v>
      </c>
      <c r="C82" s="29">
        <f>IF(TrRoad_act!C4=0,0,C18/TrRoad_act!C4*1000)</f>
        <v>429.30865685886414</v>
      </c>
      <c r="D82" s="29">
        <f>IF(TrRoad_act!D4=0,0,D18/TrRoad_act!D4*1000)</f>
        <v>429.50315449835875</v>
      </c>
      <c r="E82" s="29">
        <f>IF(TrRoad_act!E4=0,0,E18/TrRoad_act!E4*1000)</f>
        <v>447.7988803393269</v>
      </c>
      <c r="F82" s="29">
        <f>IF(TrRoad_act!F4=0,0,F18/TrRoad_act!F4*1000)</f>
        <v>448.74265933962823</v>
      </c>
      <c r="G82" s="29">
        <f>IF(TrRoad_act!G4=0,0,G18/TrRoad_act!G4*1000)</f>
        <v>420.62445385424223</v>
      </c>
      <c r="H82" s="29">
        <f>IF(TrRoad_act!H4=0,0,H18/TrRoad_act!H4*1000)</f>
        <v>393.20828700889808</v>
      </c>
      <c r="I82" s="29">
        <f>IF(TrRoad_act!I4=0,0,I18/TrRoad_act!I4*1000)</f>
        <v>386.57171951986936</v>
      </c>
      <c r="J82" s="29">
        <f>IF(TrRoad_act!J4=0,0,J18/TrRoad_act!J4*1000)</f>
        <v>386.14041338313166</v>
      </c>
      <c r="K82" s="29">
        <f>IF(TrRoad_act!K4=0,0,K18/TrRoad_act!K4*1000)</f>
        <v>379.33418979286404</v>
      </c>
      <c r="L82" s="29">
        <f>IF(TrRoad_act!L4=0,0,L18/TrRoad_act!L4*1000)</f>
        <v>380.20702889430686</v>
      </c>
      <c r="M82" s="29">
        <f>IF(TrRoad_act!M4=0,0,M18/TrRoad_act!M4*1000)</f>
        <v>398.09610452202708</v>
      </c>
      <c r="N82" s="29">
        <f>IF(TrRoad_act!N4=0,0,N18/TrRoad_act!N4*1000)</f>
        <v>389.06014392056323</v>
      </c>
      <c r="O82" s="29">
        <f>IF(TrRoad_act!O4=0,0,O18/TrRoad_act!O4*1000)</f>
        <v>359.69803005162714</v>
      </c>
      <c r="P82" s="29">
        <f>IF(TrRoad_act!P4=0,0,P18/TrRoad_act!P4*1000)</f>
        <v>340.277471557821</v>
      </c>
      <c r="Q82" s="29">
        <f>IF(TrRoad_act!Q4=0,0,Q18/TrRoad_act!Q4*1000)</f>
        <v>316.92749173098247</v>
      </c>
      <c r="R82" s="29">
        <f>IF(TrRoad_act!R4=0,0,R18/TrRoad_act!R4*1000)</f>
        <v>299.13498607190917</v>
      </c>
      <c r="S82" s="29">
        <f>IF(TrRoad_act!S4=0,0,S18/TrRoad_act!S4*1000)</f>
        <v>290.70598619647456</v>
      </c>
      <c r="T82" s="29">
        <f>IF(TrRoad_act!T4=0,0,T18/TrRoad_act!T4*1000)</f>
        <v>295.7186318830033</v>
      </c>
      <c r="U82" s="29">
        <f>IF(TrRoad_act!U4=0,0,U18/TrRoad_act!U4*1000)</f>
        <v>281.720814212748</v>
      </c>
      <c r="V82" s="29">
        <f>IF(TrRoad_act!V4=0,0,V18/TrRoad_act!V4*1000)</f>
        <v>246.75375472953263</v>
      </c>
      <c r="W82" s="29">
        <f>IF(TrRoad_act!W4=0,0,W18/TrRoad_act!W4*1000)</f>
        <v>256.36384953067801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127.50508252503801</v>
      </c>
      <c r="C83" s="152">
        <f>IF(TrRoad_act!C5=0,0,C19/TrRoad_act!C5*1000)</f>
        <v>124.29438910930507</v>
      </c>
      <c r="D83" s="152">
        <f>IF(TrRoad_act!D5=0,0,D19/TrRoad_act!D5*1000)</f>
        <v>121.15182555765523</v>
      </c>
      <c r="E83" s="152">
        <f>IF(TrRoad_act!E5=0,0,E19/TrRoad_act!E5*1000)</f>
        <v>119.76937908216105</v>
      </c>
      <c r="F83" s="152">
        <f>IF(TrRoad_act!F5=0,0,F19/TrRoad_act!F5*1000)</f>
        <v>118.16927414164768</v>
      </c>
      <c r="G83" s="152">
        <f>IF(TrRoad_act!G5=0,0,G19/TrRoad_act!G5*1000)</f>
        <v>115.14013072700121</v>
      </c>
      <c r="H83" s="152">
        <f>IF(TrRoad_act!H5=0,0,H19/TrRoad_act!H5*1000)</f>
        <v>113.607125183371</v>
      </c>
      <c r="I83" s="152">
        <f>IF(TrRoad_act!I5=0,0,I19/TrRoad_act!I5*1000)</f>
        <v>109.2327824176546</v>
      </c>
      <c r="J83" s="152">
        <f>IF(TrRoad_act!J5=0,0,J19/TrRoad_act!J5*1000)</f>
        <v>108.95005957659536</v>
      </c>
      <c r="K83" s="152">
        <f>IF(TrRoad_act!K5=0,0,K19/TrRoad_act!K5*1000)</f>
        <v>107.77985663169872</v>
      </c>
      <c r="L83" s="152">
        <f>IF(TrRoad_act!L5=0,0,L19/TrRoad_act!L5*1000)</f>
        <v>106.49013759812266</v>
      </c>
      <c r="M83" s="152">
        <f>IF(TrRoad_act!M5=0,0,M19/TrRoad_act!M5*1000)</f>
        <v>103.83207707546714</v>
      </c>
      <c r="N83" s="152">
        <f>IF(TrRoad_act!N5=0,0,N19/TrRoad_act!N5*1000)</f>
        <v>104.66331445410619</v>
      </c>
      <c r="O83" s="152">
        <f>IF(TrRoad_act!O5=0,0,O19/TrRoad_act!O5*1000)</f>
        <v>103.30704326272281</v>
      </c>
      <c r="P83" s="152">
        <f>IF(TrRoad_act!P5=0,0,P19/TrRoad_act!P5*1000)</f>
        <v>100.83777821274768</v>
      </c>
      <c r="Q83" s="152">
        <f>IF(TrRoad_act!Q5=0,0,Q19/TrRoad_act!Q5*1000)</f>
        <v>98.039987891836546</v>
      </c>
      <c r="R83" s="152">
        <f>IF(TrRoad_act!R5=0,0,R19/TrRoad_act!R5*1000)</f>
        <v>96.034712739430631</v>
      </c>
      <c r="S83" s="152">
        <f>IF(TrRoad_act!S5=0,0,S19/TrRoad_act!S5*1000)</f>
        <v>98.569357683659035</v>
      </c>
      <c r="T83" s="152">
        <f>IF(TrRoad_act!T5=0,0,T19/TrRoad_act!T5*1000)</f>
        <v>98.149935308971337</v>
      </c>
      <c r="U83" s="152">
        <f>IF(TrRoad_act!U5=0,0,U19/TrRoad_act!U5*1000)</f>
        <v>94.843353757197605</v>
      </c>
      <c r="V83" s="152">
        <f>IF(TrRoad_act!V5=0,0,V19/TrRoad_act!V5*1000)</f>
        <v>93.723673549303044</v>
      </c>
      <c r="W83" s="152">
        <f>IF(TrRoad_act!W5=0,0,W19/TrRoad_act!W5*1000)</f>
        <v>84.816977675811614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470.81065744356516</v>
      </c>
      <c r="C84" s="116">
        <f>IF(TrRoad_act!C6=0,0,C20/TrRoad_act!C6*1000)</f>
        <v>466.66445850598615</v>
      </c>
      <c r="D84" s="116">
        <f>IF(TrRoad_act!D6=0,0,D20/TrRoad_act!D6*1000)</f>
        <v>470.0206072893705</v>
      </c>
      <c r="E84" s="116">
        <f>IF(TrRoad_act!E6=0,0,E20/TrRoad_act!E6*1000)</f>
        <v>491.45018219711341</v>
      </c>
      <c r="F84" s="116">
        <f>IF(TrRoad_act!F6=0,0,F20/TrRoad_act!F6*1000)</f>
        <v>494.17571339062084</v>
      </c>
      <c r="G84" s="116">
        <f>IF(TrRoad_act!G6=0,0,G20/TrRoad_act!G6*1000)</f>
        <v>462.77054266780027</v>
      </c>
      <c r="H84" s="116">
        <f>IF(TrRoad_act!H6=0,0,H20/TrRoad_act!H6*1000)</f>
        <v>431.78095730186612</v>
      </c>
      <c r="I84" s="116">
        <f>IF(TrRoad_act!I6=0,0,I20/TrRoad_act!I6*1000)</f>
        <v>426.10127056739742</v>
      </c>
      <c r="J84" s="116">
        <f>IF(TrRoad_act!J6=0,0,J20/TrRoad_act!J6*1000)</f>
        <v>427.49827928376374</v>
      </c>
      <c r="K84" s="116">
        <f>IF(TrRoad_act!K6=0,0,K20/TrRoad_act!K6*1000)</f>
        <v>419.24825338857045</v>
      </c>
      <c r="L84" s="116">
        <f>IF(TrRoad_act!L6=0,0,L20/TrRoad_act!L6*1000)</f>
        <v>423.23564435546257</v>
      </c>
      <c r="M84" s="116">
        <f>IF(TrRoad_act!M6=0,0,M20/TrRoad_act!M6*1000)</f>
        <v>445.83396062360299</v>
      </c>
      <c r="N84" s="116">
        <f>IF(TrRoad_act!N6=0,0,N20/TrRoad_act!N6*1000)</f>
        <v>435.5798335873227</v>
      </c>
      <c r="O84" s="116">
        <f>IF(TrRoad_act!O6=0,0,O20/TrRoad_act!O6*1000)</f>
        <v>402.06205412928966</v>
      </c>
      <c r="P84" s="116">
        <f>IF(TrRoad_act!P6=0,0,P20/TrRoad_act!P6*1000)</f>
        <v>378.81102584168161</v>
      </c>
      <c r="Q84" s="116">
        <f>IF(TrRoad_act!Q6=0,0,Q20/TrRoad_act!Q6*1000)</f>
        <v>353.12319985687998</v>
      </c>
      <c r="R84" s="116">
        <f>IF(TrRoad_act!R6=0,0,R20/TrRoad_act!R6*1000)</f>
        <v>332.16037190450163</v>
      </c>
      <c r="S84" s="116">
        <f>IF(TrRoad_act!S6=0,0,S20/TrRoad_act!S6*1000)</f>
        <v>322.76304936182544</v>
      </c>
      <c r="T84" s="116">
        <f>IF(TrRoad_act!T6=0,0,T20/TrRoad_act!T6*1000)</f>
        <v>328.57613848979452</v>
      </c>
      <c r="U84" s="116">
        <f>IF(TrRoad_act!U6=0,0,U20/TrRoad_act!U6*1000)</f>
        <v>313.57713472493435</v>
      </c>
      <c r="V84" s="116">
        <f>IF(TrRoad_act!V6=0,0,V20/TrRoad_act!V6*1000)</f>
        <v>263.61185460602007</v>
      </c>
      <c r="W84" s="116">
        <f>IF(TrRoad_act!W6=0,0,W20/TrRoad_act!W6*1000)</f>
        <v>275.68382508305842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462.02827361683421</v>
      </c>
      <c r="C85" s="87">
        <f>IF(TrRoad_act!C7=0,0,C21/TrRoad_act!C7*1000)</f>
        <v>466.24160037467817</v>
      </c>
      <c r="D85" s="87">
        <f>IF(TrRoad_act!D7=0,0,D21/TrRoad_act!D7*1000)</f>
        <v>476.13447521254682</v>
      </c>
      <c r="E85" s="87">
        <f>IF(TrRoad_act!E7=0,0,E21/TrRoad_act!E7*1000)</f>
        <v>504.71791577287695</v>
      </c>
      <c r="F85" s="87">
        <f>IF(TrRoad_act!F7=0,0,F21/TrRoad_act!F7*1000)</f>
        <v>520.9503358782224</v>
      </c>
      <c r="G85" s="87">
        <f>IF(TrRoad_act!G7=0,0,G21/TrRoad_act!G7*1000)</f>
        <v>497.90398152728233</v>
      </c>
      <c r="H85" s="87">
        <f>IF(TrRoad_act!H7=0,0,H21/TrRoad_act!H7*1000)</f>
        <v>472.09798479675368</v>
      </c>
      <c r="I85" s="87">
        <f>IF(TrRoad_act!I7=0,0,I21/TrRoad_act!I7*1000)</f>
        <v>472.74709006682912</v>
      </c>
      <c r="J85" s="87">
        <f>IF(TrRoad_act!J7=0,0,J21/TrRoad_act!J7*1000)</f>
        <v>462.08711090772397</v>
      </c>
      <c r="K85" s="87">
        <f>IF(TrRoad_act!K7=0,0,K21/TrRoad_act!K7*1000)</f>
        <v>448.0177671631597</v>
      </c>
      <c r="L85" s="87">
        <f>IF(TrRoad_act!L7=0,0,L21/TrRoad_act!L7*1000)</f>
        <v>446.21303577449993</v>
      </c>
      <c r="M85" s="87">
        <f>IF(TrRoad_act!M7=0,0,M21/TrRoad_act!M7*1000)</f>
        <v>452.92206937140782</v>
      </c>
      <c r="N85" s="87">
        <f>IF(TrRoad_act!N7=0,0,N21/TrRoad_act!N7*1000)</f>
        <v>440.86458908058455</v>
      </c>
      <c r="O85" s="87">
        <f>IF(TrRoad_act!O7=0,0,O21/TrRoad_act!O7*1000)</f>
        <v>407.93679050100229</v>
      </c>
      <c r="P85" s="87">
        <f>IF(TrRoad_act!P7=0,0,P21/TrRoad_act!P7*1000)</f>
        <v>386.67442050045094</v>
      </c>
      <c r="Q85" s="87">
        <f>IF(TrRoad_act!Q7=0,0,Q21/TrRoad_act!Q7*1000)</f>
        <v>352.816631575678</v>
      </c>
      <c r="R85" s="87">
        <f>IF(TrRoad_act!R7=0,0,R21/TrRoad_act!R7*1000)</f>
        <v>323.40154820326029</v>
      </c>
      <c r="S85" s="87">
        <f>IF(TrRoad_act!S7=0,0,S21/TrRoad_act!S7*1000)</f>
        <v>316.97744361246288</v>
      </c>
      <c r="T85" s="87">
        <f>IF(TrRoad_act!T7=0,0,T21/TrRoad_act!T7*1000)</f>
        <v>315.68858141159365</v>
      </c>
      <c r="U85" s="87">
        <f>IF(TrRoad_act!U7=0,0,U21/TrRoad_act!U7*1000)</f>
        <v>301.71538483382437</v>
      </c>
      <c r="V85" s="87">
        <f>IF(TrRoad_act!V7=0,0,V21/TrRoad_act!V7*1000)</f>
        <v>248.60046594540009</v>
      </c>
      <c r="W85" s="87">
        <f>IF(TrRoad_act!W7=0,0,W21/TrRoad_act!W7*1000)</f>
        <v>274.71155867281891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496.18906078666248</v>
      </c>
      <c r="C86" s="87">
        <f>IF(TrRoad_act!C8=0,0,C22/TrRoad_act!C8*1000)</f>
        <v>474.29748874954771</v>
      </c>
      <c r="D86" s="87">
        <f>IF(TrRoad_act!D8=0,0,D22/TrRoad_act!D8*1000)</f>
        <v>466.47594298286737</v>
      </c>
      <c r="E86" s="87">
        <f>IF(TrRoad_act!E8=0,0,E22/TrRoad_act!E8*1000)</f>
        <v>480.36312183245144</v>
      </c>
      <c r="F86" s="87">
        <f>IF(TrRoad_act!F8=0,0,F22/TrRoad_act!F8*1000)</f>
        <v>470.2822301238985</v>
      </c>
      <c r="G86" s="87">
        <f>IF(TrRoad_act!G8=0,0,G22/TrRoad_act!G8*1000)</f>
        <v>435.18901685667623</v>
      </c>
      <c r="H86" s="87">
        <f>IF(TrRoad_act!H8=0,0,H22/TrRoad_act!H8*1000)</f>
        <v>402.43643058519768</v>
      </c>
      <c r="I86" s="87">
        <f>IF(TrRoad_act!I8=0,0,I22/TrRoad_act!I8*1000)</f>
        <v>394.48357808069426</v>
      </c>
      <c r="J86" s="87">
        <f>IF(TrRoad_act!J8=0,0,J22/TrRoad_act!J8*1000)</f>
        <v>405.79058300685011</v>
      </c>
      <c r="K86" s="87">
        <f>IF(TrRoad_act!K8=0,0,K22/TrRoad_act!K8*1000)</f>
        <v>403.31747807458078</v>
      </c>
      <c r="L86" s="87">
        <f>IF(TrRoad_act!L8=0,0,L22/TrRoad_act!L8*1000)</f>
        <v>411.83730165938778</v>
      </c>
      <c r="M86" s="87">
        <f>IF(TrRoad_act!M8=0,0,M22/TrRoad_act!M8*1000)</f>
        <v>444.11754890773824</v>
      </c>
      <c r="N86" s="87">
        <f>IF(TrRoad_act!N8=0,0,N22/TrRoad_act!N8*1000)</f>
        <v>434.1534518234123</v>
      </c>
      <c r="O86" s="87">
        <f>IF(TrRoad_act!O8=0,0,O22/TrRoad_act!O8*1000)</f>
        <v>401.06898448322244</v>
      </c>
      <c r="P86" s="87">
        <f>IF(TrRoad_act!P8=0,0,P22/TrRoad_act!P8*1000)</f>
        <v>377.05605060595093</v>
      </c>
      <c r="Q86" s="87">
        <f>IF(TrRoad_act!Q8=0,0,Q22/TrRoad_act!Q8*1000)</f>
        <v>355.55573462675915</v>
      </c>
      <c r="R86" s="87">
        <f>IF(TrRoad_act!R8=0,0,R22/TrRoad_act!R8*1000)</f>
        <v>338.96659948706764</v>
      </c>
      <c r="S86" s="87">
        <f>IF(TrRoad_act!S8=0,0,S22/TrRoad_act!S8*1000)</f>
        <v>328.6888510481491</v>
      </c>
      <c r="T86" s="87">
        <f>IF(TrRoad_act!T8=0,0,T22/TrRoad_act!T8*1000)</f>
        <v>339.69793227643157</v>
      </c>
      <c r="U86" s="87">
        <f>IF(TrRoad_act!U8=0,0,U22/TrRoad_act!U8*1000)</f>
        <v>326.44967160833744</v>
      </c>
      <c r="V86" s="87">
        <f>IF(TrRoad_act!V8=0,0,V22/TrRoad_act!V8*1000)</f>
        <v>282.14685100610137</v>
      </c>
      <c r="W86" s="87">
        <f>IF(TrRoad_act!W8=0,0,W22/TrRoad_act!W8*1000)</f>
        <v>292.70559096512278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135.91516736830718</v>
      </c>
      <c r="C87" s="87">
        <f>IF(TrRoad_act!C9=0,0,C23/TrRoad_act!C9*1000)</f>
        <v>173.47554753495368</v>
      </c>
      <c r="D87" s="87">
        <f>IF(TrRoad_act!D9=0,0,D23/TrRoad_act!D9*1000)</f>
        <v>224.29974885528992</v>
      </c>
      <c r="E87" s="87">
        <f>IF(TrRoad_act!E9=0,0,E23/TrRoad_act!E9*1000)</f>
        <v>180.18149220188516</v>
      </c>
      <c r="F87" s="87">
        <f>IF(TrRoad_act!F9=0,0,F23/TrRoad_act!F9*1000)</f>
        <v>192.12178891790816</v>
      </c>
      <c r="G87" s="87">
        <f>IF(TrRoad_act!G9=0,0,G23/TrRoad_act!G9*1000)</f>
        <v>134.72481404769204</v>
      </c>
      <c r="H87" s="87">
        <f>IF(TrRoad_act!H9=0,0,H23/TrRoad_act!H9*1000)</f>
        <v>135.2109006962659</v>
      </c>
      <c r="I87" s="87">
        <f>IF(TrRoad_act!I9=0,0,I23/TrRoad_act!I9*1000)</f>
        <v>283.78709848933977</v>
      </c>
      <c r="J87" s="87">
        <f>IF(TrRoad_act!J9=0,0,J23/TrRoad_act!J9*1000)</f>
        <v>279.48546517394266</v>
      </c>
      <c r="K87" s="87">
        <f>IF(TrRoad_act!K9=0,0,K23/TrRoad_act!K9*1000)</f>
        <v>177.02591006730668</v>
      </c>
      <c r="L87" s="87">
        <f>IF(TrRoad_act!L9=0,0,L23/TrRoad_act!L9*1000)</f>
        <v>186.38405782186211</v>
      </c>
      <c r="M87" s="87">
        <f>IF(TrRoad_act!M9=0,0,M23/TrRoad_act!M9*1000)</f>
        <v>90.119293191128733</v>
      </c>
      <c r="N87" s="87">
        <f>IF(TrRoad_act!N9=0,0,N23/TrRoad_act!N9*1000)</f>
        <v>247.72207017642407</v>
      </c>
      <c r="O87" s="87">
        <f>IF(TrRoad_act!O9=0,0,O23/TrRoad_act!O9*1000)</f>
        <v>155.08806312572182</v>
      </c>
      <c r="P87" s="87">
        <f>IF(TrRoad_act!P9=0,0,P23/TrRoad_act!P9*1000)</f>
        <v>179.17276222565744</v>
      </c>
      <c r="Q87" s="87">
        <f>IF(TrRoad_act!Q9=0,0,Q23/TrRoad_act!Q9*1000)</f>
        <v>86.054089912456362</v>
      </c>
      <c r="R87" s="87">
        <f>IF(TrRoad_act!R9=0,0,R23/TrRoad_act!R9*1000)</f>
        <v>92.131920078212332</v>
      </c>
      <c r="S87" s="87">
        <f>IF(TrRoad_act!S9=0,0,S23/TrRoad_act!S9*1000)</f>
        <v>91.744121628923622</v>
      </c>
      <c r="T87" s="87">
        <f>IF(TrRoad_act!T9=0,0,T23/TrRoad_act!T9*1000)</f>
        <v>147.14466830623414</v>
      </c>
      <c r="U87" s="87">
        <f>IF(TrRoad_act!U9=0,0,U23/TrRoad_act!U9*1000)</f>
        <v>226.92092463534391</v>
      </c>
      <c r="V87" s="87">
        <f>IF(TrRoad_act!V9=0,0,V23/TrRoad_act!V9*1000)</f>
        <v>51.968749506652458</v>
      </c>
      <c r="W87" s="87">
        <f>IF(TrRoad_act!W9=0,0,W23/TrRoad_act!W9*1000)</f>
        <v>139.43050226013204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237.855812790106</v>
      </c>
      <c r="O89" s="87">
        <f>IF(TrRoad_act!O11=0,0,O25/TrRoad_act!O11*1000)</f>
        <v>230.01473957316543</v>
      </c>
      <c r="P89" s="87">
        <f>IF(TrRoad_act!P11=0,0,P25/TrRoad_act!P11*1000)</f>
        <v>205.16646323420377</v>
      </c>
      <c r="Q89" s="87">
        <f>IF(TrRoad_act!Q11=0,0,Q25/TrRoad_act!Q11*1000)</f>
        <v>189.89874325702752</v>
      </c>
      <c r="R89" s="87">
        <f>IF(TrRoad_act!R11=0,0,R25/TrRoad_act!R11*1000)</f>
        <v>158.77530597081267</v>
      </c>
      <c r="S89" s="87">
        <f>IF(TrRoad_act!S11=0,0,S25/TrRoad_act!S11*1000)</f>
        <v>113.2423792155079</v>
      </c>
      <c r="T89" s="87">
        <f>IF(TrRoad_act!T11=0,0,T25/TrRoad_act!T11*1000)</f>
        <v>114.0500986873799</v>
      </c>
      <c r="U89" s="87">
        <f>IF(TrRoad_act!U11=0,0,U25/TrRoad_act!U11*1000)</f>
        <v>110.80865051590143</v>
      </c>
      <c r="V89" s="87">
        <f>IF(TrRoad_act!V11=0,0,V25/TrRoad_act!V11*1000)</f>
        <v>78.958630437345576</v>
      </c>
      <c r="W89" s="87">
        <f>IF(TrRoad_act!W11=0,0,W25/TrRoad_act!W11*1000)</f>
        <v>77.617655184499753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121.96104134337767</v>
      </c>
      <c r="C91" s="116">
        <f>IF(TrRoad_act!C13=0,0,C27/TrRoad_act!C13*1000)</f>
        <v>118.24245050356583</v>
      </c>
      <c r="D91" s="116">
        <f>IF(TrRoad_act!D13=0,0,D27/TrRoad_act!D13*1000)</f>
        <v>114.65554957754674</v>
      </c>
      <c r="E91" s="116">
        <f>IF(TrRoad_act!E13=0,0,E27/TrRoad_act!E13*1000)</f>
        <v>112.12177897074112</v>
      </c>
      <c r="F91" s="116">
        <f>IF(TrRoad_act!F13=0,0,F27/TrRoad_act!F13*1000)</f>
        <v>107.77311096116462</v>
      </c>
      <c r="G91" s="116">
        <f>IF(TrRoad_act!G13=0,0,G27/TrRoad_act!G13*1000)</f>
        <v>106.23104089562852</v>
      </c>
      <c r="H91" s="116">
        <f>IF(TrRoad_act!H13=0,0,H27/TrRoad_act!H13*1000)</f>
        <v>103.4150446423974</v>
      </c>
      <c r="I91" s="116">
        <f>IF(TrRoad_act!I13=0,0,I27/TrRoad_act!I13*1000)</f>
        <v>98.89587114560176</v>
      </c>
      <c r="J91" s="116">
        <f>IF(TrRoad_act!J13=0,0,J27/TrRoad_act!J13*1000)</f>
        <v>96.637119608432343</v>
      </c>
      <c r="K91" s="116">
        <f>IF(TrRoad_act!K13=0,0,K27/TrRoad_act!K13*1000)</f>
        <v>99.439946788154757</v>
      </c>
      <c r="L91" s="116">
        <f>IF(TrRoad_act!L13=0,0,L27/TrRoad_act!L13*1000)</f>
        <v>98.100591112913804</v>
      </c>
      <c r="M91" s="116">
        <f>IF(TrRoad_act!M13=0,0,M27/TrRoad_act!M13*1000)</f>
        <v>95.734831282976799</v>
      </c>
      <c r="N91" s="116">
        <f>IF(TrRoad_act!N13=0,0,N27/TrRoad_act!N13*1000)</f>
        <v>93.590094149820317</v>
      </c>
      <c r="O91" s="116">
        <f>IF(TrRoad_act!O13=0,0,O27/TrRoad_act!O13*1000)</f>
        <v>91.770849074722705</v>
      </c>
      <c r="P91" s="116">
        <f>IF(TrRoad_act!P13=0,0,P27/TrRoad_act!P13*1000)</f>
        <v>89.755041389661358</v>
      </c>
      <c r="Q91" s="116">
        <f>IF(TrRoad_act!Q13=0,0,Q27/TrRoad_act!Q13*1000)</f>
        <v>87.484467947699528</v>
      </c>
      <c r="R91" s="116">
        <f>IF(TrRoad_act!R13=0,0,R27/TrRoad_act!R13*1000)</f>
        <v>87.753374393326609</v>
      </c>
      <c r="S91" s="116">
        <f>IF(TrRoad_act!S13=0,0,S27/TrRoad_act!S13*1000)</f>
        <v>86.836364951521276</v>
      </c>
      <c r="T91" s="116">
        <f>IF(TrRoad_act!T13=0,0,T27/TrRoad_act!T13*1000)</f>
        <v>86.206321847548509</v>
      </c>
      <c r="U91" s="116">
        <f>IF(TrRoad_act!U13=0,0,U27/TrRoad_act!U13*1000)</f>
        <v>82.649749358326517</v>
      </c>
      <c r="V91" s="116">
        <f>IF(TrRoad_act!V13=0,0,V27/TrRoad_act!V13*1000)</f>
        <v>114.05052284746185</v>
      </c>
      <c r="W91" s="116">
        <f>IF(TrRoad_act!W13=0,0,W27/TrRoad_act!W13*1000)</f>
        <v>104.9856089169531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53.835218552194782</v>
      </c>
      <c r="U92" s="101">
        <f>IF(TrRoad_act!U14=0,0,U28/TrRoad_act!U14*1000)</f>
        <v>52.866918587678988</v>
      </c>
      <c r="V92" s="101">
        <f>IF(TrRoad_act!V14=0,0,V28/TrRoad_act!V14*1000)</f>
        <v>57.3180931219811</v>
      </c>
      <c r="W92" s="101">
        <f>IF(TrRoad_act!W14=0,0,W28/TrRoad_act!W14*1000)</f>
        <v>56.80594278964373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121.96104134337767</v>
      </c>
      <c r="C93" s="101">
        <f>IF(TrRoad_act!C15=0,0,C29/TrRoad_act!C15*1000)</f>
        <v>118.24245050356583</v>
      </c>
      <c r="D93" s="101">
        <f>IF(TrRoad_act!D15=0,0,D29/TrRoad_act!D15*1000)</f>
        <v>114.65554957754674</v>
      </c>
      <c r="E93" s="101">
        <f>IF(TrRoad_act!E15=0,0,E29/TrRoad_act!E15*1000)</f>
        <v>112.42479015292469</v>
      </c>
      <c r="F93" s="101">
        <f>IF(TrRoad_act!F15=0,0,F29/TrRoad_act!F15*1000)</f>
        <v>108.06012806208933</v>
      </c>
      <c r="G93" s="101">
        <f>IF(TrRoad_act!G15=0,0,G29/TrRoad_act!G15*1000)</f>
        <v>106.50378355406416</v>
      </c>
      <c r="H93" s="101">
        <f>IF(TrRoad_act!H15=0,0,H29/TrRoad_act!H15*1000)</f>
        <v>103.67806630091583</v>
      </c>
      <c r="I93" s="101">
        <f>IF(TrRoad_act!I15=0,0,I29/TrRoad_act!I15*1000)</f>
        <v>99.138563175260117</v>
      </c>
      <c r="J93" s="101">
        <f>IF(TrRoad_act!J15=0,0,J29/TrRoad_act!J15*1000)</f>
        <v>96.864405963739699</v>
      </c>
      <c r="K93" s="101">
        <f>IF(TrRoad_act!K15=0,0,K29/TrRoad_act!K15*1000)</f>
        <v>99.590973940215505</v>
      </c>
      <c r="L93" s="101">
        <f>IF(TrRoad_act!L15=0,0,L29/TrRoad_act!L15*1000)</f>
        <v>98.245529447308357</v>
      </c>
      <c r="M93" s="101">
        <f>IF(TrRoad_act!M15=0,0,M29/TrRoad_act!M15*1000)</f>
        <v>95.873031393478129</v>
      </c>
      <c r="N93" s="101">
        <f>IF(TrRoad_act!N15=0,0,N29/TrRoad_act!N15*1000)</f>
        <v>93.725778832344446</v>
      </c>
      <c r="O93" s="101">
        <f>IF(TrRoad_act!O15=0,0,O29/TrRoad_act!O15*1000)</f>
        <v>92.03691243407485</v>
      </c>
      <c r="P93" s="101">
        <f>IF(TrRoad_act!P15=0,0,P29/TrRoad_act!P15*1000)</f>
        <v>89.951927041077028</v>
      </c>
      <c r="Q93" s="101">
        <f>IF(TrRoad_act!Q15=0,0,Q29/TrRoad_act!Q15*1000)</f>
        <v>87.671631599279905</v>
      </c>
      <c r="R93" s="101">
        <f>IF(TrRoad_act!R15=0,0,R29/TrRoad_act!R15*1000)</f>
        <v>87.938090568434191</v>
      </c>
      <c r="S93" s="101">
        <f>IF(TrRoad_act!S15=0,0,S29/TrRoad_act!S15*1000)</f>
        <v>87.31003948848155</v>
      </c>
      <c r="T93" s="101">
        <f>IF(TrRoad_act!T15=0,0,T29/TrRoad_act!T15*1000)</f>
        <v>87.838894098195553</v>
      </c>
      <c r="U93" s="101">
        <f>IF(TrRoad_act!U15=0,0,U29/TrRoad_act!U15*1000)</f>
        <v>88.496503396349311</v>
      </c>
      <c r="V93" s="101">
        <f>IF(TrRoad_act!V15=0,0,V29/TrRoad_act!V15*1000)</f>
        <v>125.91797312879849</v>
      </c>
      <c r="W93" s="101">
        <f>IF(TrRoad_act!W15=0,0,W29/TrRoad_act!W15*1000)</f>
        <v>118.53038230121726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1389.9816505345775</v>
      </c>
      <c r="C97" s="29">
        <f>IF(TrRoad_act!C19=0,0,C33/TrRoad_act!C19*1000)</f>
        <v>1367.3067372484115</v>
      </c>
      <c r="D97" s="29">
        <f>IF(TrRoad_act!D19=0,0,D33/TrRoad_act!D19*1000)</f>
        <v>1319.5136850550239</v>
      </c>
      <c r="E97" s="29">
        <f>IF(TrRoad_act!E19=0,0,E33/TrRoad_act!E19*1000)</f>
        <v>1527.446998781397</v>
      </c>
      <c r="F97" s="29">
        <f>IF(TrRoad_act!F19=0,0,F33/TrRoad_act!F19*1000)</f>
        <v>1851.761072017053</v>
      </c>
      <c r="G97" s="29">
        <f>IF(TrRoad_act!G19=0,0,G33/TrRoad_act!G19*1000)</f>
        <v>2098.2409656366312</v>
      </c>
      <c r="H97" s="29">
        <f>IF(TrRoad_act!H19=0,0,H33/TrRoad_act!H19*1000)</f>
        <v>1977.1973046263099</v>
      </c>
      <c r="I97" s="29">
        <f>IF(TrRoad_act!I19=0,0,I33/TrRoad_act!I19*1000)</f>
        <v>1736.3978006440377</v>
      </c>
      <c r="J97" s="29">
        <f>IF(TrRoad_act!J19=0,0,J33/TrRoad_act!J19*1000)</f>
        <v>1612.2937707720116</v>
      </c>
      <c r="K97" s="29">
        <f>IF(TrRoad_act!K19=0,0,K33/TrRoad_act!K19*1000)</f>
        <v>1556.4106199280211</v>
      </c>
      <c r="L97" s="29">
        <f>IF(TrRoad_act!L19=0,0,L33/TrRoad_act!L19*1000)</f>
        <v>1639.6998293983213</v>
      </c>
      <c r="M97" s="29">
        <f>IF(TrRoad_act!M19=0,0,M33/TrRoad_act!M19*1000)</f>
        <v>1685.6001684297253</v>
      </c>
      <c r="N97" s="29">
        <f>IF(TrRoad_act!N19=0,0,N33/TrRoad_act!N19*1000)</f>
        <v>1236.9071002859316</v>
      </c>
      <c r="O97" s="29">
        <f>IF(TrRoad_act!O19=0,0,O33/TrRoad_act!O19*1000)</f>
        <v>1378.461833693374</v>
      </c>
      <c r="P97" s="29">
        <f>IF(TrRoad_act!P19=0,0,P33/TrRoad_act!P19*1000)</f>
        <v>1094.2760571968288</v>
      </c>
      <c r="Q97" s="29">
        <f>IF(TrRoad_act!Q19=0,0,Q33/TrRoad_act!Q19*1000)</f>
        <v>1143.2104549819928</v>
      </c>
      <c r="R97" s="29">
        <f>IF(TrRoad_act!R19=0,0,R33/TrRoad_act!R19*1000)</f>
        <v>1032.5273791580184</v>
      </c>
      <c r="S97" s="29">
        <f>IF(TrRoad_act!S19=0,0,S33/TrRoad_act!S19*1000)</f>
        <v>1055.7523308674233</v>
      </c>
      <c r="T97" s="29">
        <f>IF(TrRoad_act!T19=0,0,T33/TrRoad_act!T19*1000)</f>
        <v>1341.7561250261799</v>
      </c>
      <c r="U97" s="29">
        <f>IF(TrRoad_act!U19=0,0,U33/TrRoad_act!U19*1000)</f>
        <v>1388.8175683685986</v>
      </c>
      <c r="V97" s="29">
        <f>IF(TrRoad_act!V19=0,0,V33/TrRoad_act!V19*1000)</f>
        <v>1174.002275614223</v>
      </c>
      <c r="W97" s="29">
        <f>IF(TrRoad_act!W19=0,0,W33/TrRoad_act!W19*1000)</f>
        <v>1095.9086893128431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1451.1592822483328</v>
      </c>
      <c r="C98" s="152">
        <f>IF(TrRoad_act!C20=0,0,C34/TrRoad_act!C20*1000)</f>
        <v>1386.8968669576614</v>
      </c>
      <c r="D98" s="152">
        <f>IF(TrRoad_act!D20=0,0,D34/TrRoad_act!D20*1000)</f>
        <v>1343.9957108806002</v>
      </c>
      <c r="E98" s="152">
        <f>IF(TrRoad_act!E20=0,0,E34/TrRoad_act!E20*1000)</f>
        <v>1311.2986652020379</v>
      </c>
      <c r="F98" s="152">
        <f>IF(TrRoad_act!F20=0,0,F34/TrRoad_act!F20*1000)</f>
        <v>1277.2542476544652</v>
      </c>
      <c r="G98" s="152">
        <f>IF(TrRoad_act!G20=0,0,G34/TrRoad_act!G20*1000)</f>
        <v>1251.9157191270651</v>
      </c>
      <c r="H98" s="152">
        <f>IF(TrRoad_act!H20=0,0,H34/TrRoad_act!H20*1000)</f>
        <v>1230.8151137755187</v>
      </c>
      <c r="I98" s="152">
        <f>IF(TrRoad_act!I20=0,0,I34/TrRoad_act!I20*1000)</f>
        <v>1185.4754725427595</v>
      </c>
      <c r="J98" s="152">
        <f>IF(TrRoad_act!J20=0,0,J34/TrRoad_act!J20*1000)</f>
        <v>1165.5358272843771</v>
      </c>
      <c r="K98" s="152">
        <f>IF(TrRoad_act!K20=0,0,K34/TrRoad_act!K20*1000)</f>
        <v>1154.3238359184284</v>
      </c>
      <c r="L98" s="152">
        <f>IF(TrRoad_act!L20=0,0,L34/TrRoad_act!L20*1000)</f>
        <v>1157.4333058604359</v>
      </c>
      <c r="M98" s="152">
        <f>IF(TrRoad_act!M20=0,0,M34/TrRoad_act!M20*1000)</f>
        <v>1158.7578996842699</v>
      </c>
      <c r="N98" s="152">
        <f>IF(TrRoad_act!N20=0,0,N34/TrRoad_act!N20*1000)</f>
        <v>1133.7770309357372</v>
      </c>
      <c r="O98" s="152">
        <f>IF(TrRoad_act!O20=0,0,O34/TrRoad_act!O20*1000)</f>
        <v>1108.3765322556299</v>
      </c>
      <c r="P98" s="152">
        <f>IF(TrRoad_act!P20=0,0,P34/TrRoad_act!P20*1000)</f>
        <v>1091.936100057055</v>
      </c>
      <c r="Q98" s="152">
        <f>IF(TrRoad_act!Q20=0,0,Q34/TrRoad_act!Q20*1000)</f>
        <v>1069.0111589177011</v>
      </c>
      <c r="R98" s="152">
        <f>IF(TrRoad_act!R20=0,0,R34/TrRoad_act!R20*1000)</f>
        <v>1049.828124081605</v>
      </c>
      <c r="S98" s="152">
        <f>IF(TrRoad_act!S20=0,0,S34/TrRoad_act!S20*1000)</f>
        <v>1007.8467547729571</v>
      </c>
      <c r="T98" s="152">
        <f>IF(TrRoad_act!T20=0,0,T34/TrRoad_act!T20*1000)</f>
        <v>990.53691031252686</v>
      </c>
      <c r="U98" s="152">
        <f>IF(TrRoad_act!U20=0,0,U34/TrRoad_act!U20*1000)</f>
        <v>977.08928378379301</v>
      </c>
      <c r="V98" s="152">
        <f>IF(TrRoad_act!V20=0,0,V34/TrRoad_act!V20*1000)</f>
        <v>937.90810084819282</v>
      </c>
      <c r="W98" s="152">
        <f>IF(TrRoad_act!W20=0,0,W34/TrRoad_act!W20*1000)</f>
        <v>937.51832249645463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1538.9121529167769</v>
      </c>
      <c r="C99" s="87">
        <f>IF(TrRoad_act!C21=0,0,C35/TrRoad_act!C21*1000)</f>
        <v>1525.3983582171893</v>
      </c>
      <c r="D99" s="87">
        <f>IF(TrRoad_act!D21=0,0,D35/TrRoad_act!D21*1000)</f>
        <v>1510.7087395927722</v>
      </c>
      <c r="E99" s="87">
        <f>IF(TrRoad_act!E21=0,0,E35/TrRoad_act!E21*1000)</f>
        <v>1481.355658592465</v>
      </c>
      <c r="F99" s="87">
        <f>IF(TrRoad_act!F21=0,0,F35/TrRoad_act!F21*1000)</f>
        <v>1449.4946698153008</v>
      </c>
      <c r="G99" s="87">
        <f>IF(TrRoad_act!G21=0,0,G35/TrRoad_act!G21*1000)</f>
        <v>1414.6649566855212</v>
      </c>
      <c r="H99" s="87">
        <f>IF(TrRoad_act!H21=0,0,H35/TrRoad_act!H21*1000)</f>
        <v>1381.406091105772</v>
      </c>
      <c r="I99" s="87">
        <f>IF(TrRoad_act!I21=0,0,I35/TrRoad_act!I21*1000)</f>
        <v>1344.3003344806609</v>
      </c>
      <c r="J99" s="87">
        <f>IF(TrRoad_act!J21=0,0,J35/TrRoad_act!J21*1000)</f>
        <v>1299.9864105374502</v>
      </c>
      <c r="K99" s="87">
        <f>IF(TrRoad_act!K21=0,0,K35/TrRoad_act!K21*1000)</f>
        <v>1248.0808243655442</v>
      </c>
      <c r="L99" s="87">
        <f>IF(TrRoad_act!L21=0,0,L35/TrRoad_act!L21*1000)</f>
        <v>1222.8746651332249</v>
      </c>
      <c r="M99" s="87">
        <f>IF(TrRoad_act!M21=0,0,M35/TrRoad_act!M21*1000)</f>
        <v>1185.1656860946327</v>
      </c>
      <c r="N99" s="87">
        <f>IF(TrRoad_act!N21=0,0,N35/TrRoad_act!N21*1000)</f>
        <v>1174.8826401048032</v>
      </c>
      <c r="O99" s="87">
        <f>IF(TrRoad_act!O21=0,0,O35/TrRoad_act!O21*1000)</f>
        <v>1166.8699668575177</v>
      </c>
      <c r="P99" s="87">
        <f>IF(TrRoad_act!P21=0,0,P35/TrRoad_act!P21*1000)</f>
        <v>1158.5171574908163</v>
      </c>
      <c r="Q99" s="87">
        <f>IF(TrRoad_act!Q21=0,0,Q35/TrRoad_act!Q21*1000)</f>
        <v>1142.6323541082293</v>
      </c>
      <c r="R99" s="87">
        <f>IF(TrRoad_act!R21=0,0,R35/TrRoad_act!R21*1000)</f>
        <v>1125.9652767078276</v>
      </c>
      <c r="S99" s="87">
        <f>IF(TrRoad_act!S21=0,0,S35/TrRoad_act!S21*1000)</f>
        <v>1112.5233249269456</v>
      </c>
      <c r="T99" s="87">
        <f>IF(TrRoad_act!T21=0,0,T35/TrRoad_act!T21*1000)</f>
        <v>1095.4433298859112</v>
      </c>
      <c r="U99" s="87">
        <f>IF(TrRoad_act!U21=0,0,U35/TrRoad_act!U21*1000)</f>
        <v>1070.7851023514258</v>
      </c>
      <c r="V99" s="87">
        <f>IF(TrRoad_act!V21=0,0,V35/TrRoad_act!V21*1000)</f>
        <v>1054.6067963218716</v>
      </c>
      <c r="W99" s="87">
        <f>IF(TrRoad_act!W21=0,0,W35/TrRoad_act!W21*1000)</f>
        <v>1036.7031179419357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1443.3341226646533</v>
      </c>
      <c r="C100" s="87">
        <f>IF(TrRoad_act!C22=0,0,C36/TrRoad_act!C22*1000)</f>
        <v>1376.7491740503258</v>
      </c>
      <c r="D100" s="87">
        <f>IF(TrRoad_act!D22=0,0,D36/TrRoad_act!D22*1000)</f>
        <v>1333.7137879252464</v>
      </c>
      <c r="E100" s="87">
        <f>IF(TrRoad_act!E22=0,0,E36/TrRoad_act!E22*1000)</f>
        <v>1302.2687927302122</v>
      </c>
      <c r="F100" s="87">
        <f>IF(TrRoad_act!F22=0,0,F36/TrRoad_act!F22*1000)</f>
        <v>1269.5896438303378</v>
      </c>
      <c r="G100" s="87">
        <f>IF(TrRoad_act!G22=0,0,G36/TrRoad_act!G22*1000)</f>
        <v>1245.8678291045117</v>
      </c>
      <c r="H100" s="87">
        <f>IF(TrRoad_act!H22=0,0,H36/TrRoad_act!H22*1000)</f>
        <v>1226.1030999813568</v>
      </c>
      <c r="I100" s="87">
        <f>IF(TrRoad_act!I22=0,0,I36/TrRoad_act!I22*1000)</f>
        <v>1181.2412226346946</v>
      </c>
      <c r="J100" s="87">
        <f>IF(TrRoad_act!J22=0,0,J36/TrRoad_act!J22*1000)</f>
        <v>1162.3096882022953</v>
      </c>
      <c r="K100" s="87">
        <f>IF(TrRoad_act!K22=0,0,K36/TrRoad_act!K22*1000)</f>
        <v>1152.5038855752066</v>
      </c>
      <c r="L100" s="87">
        <f>IF(TrRoad_act!L22=0,0,L36/TrRoad_act!L22*1000)</f>
        <v>1156.3241067407723</v>
      </c>
      <c r="M100" s="87">
        <f>IF(TrRoad_act!M22=0,0,M36/TrRoad_act!M22*1000)</f>
        <v>1158.4856669364187</v>
      </c>
      <c r="N100" s="87">
        <f>IF(TrRoad_act!N22=0,0,N36/TrRoad_act!N22*1000)</f>
        <v>1133.8763605660845</v>
      </c>
      <c r="O100" s="87">
        <f>IF(TrRoad_act!O22=0,0,O36/TrRoad_act!O22*1000)</f>
        <v>1109.2259289409067</v>
      </c>
      <c r="P100" s="87">
        <f>IF(TrRoad_act!P22=0,0,P36/TrRoad_act!P22*1000)</f>
        <v>1092.9743471520328</v>
      </c>
      <c r="Q100" s="87">
        <f>IF(TrRoad_act!Q22=0,0,Q36/TrRoad_act!Q22*1000)</f>
        <v>1070.3793769391466</v>
      </c>
      <c r="R100" s="87">
        <f>IF(TrRoad_act!R22=0,0,R36/TrRoad_act!R22*1000)</f>
        <v>1051.2911030100606</v>
      </c>
      <c r="S100" s="87">
        <f>IF(TrRoad_act!S22=0,0,S36/TrRoad_act!S22*1000)</f>
        <v>1009.5212001781817</v>
      </c>
      <c r="T100" s="87">
        <f>IF(TrRoad_act!T22=0,0,T36/TrRoad_act!T22*1000)</f>
        <v>993.11359472546815</v>
      </c>
      <c r="U100" s="87">
        <f>IF(TrRoad_act!U22=0,0,U36/TrRoad_act!U22*1000)</f>
        <v>980.76816644688404</v>
      </c>
      <c r="V100" s="87">
        <f>IF(TrRoad_act!V22=0,0,V36/TrRoad_act!V22*1000)</f>
        <v>941.77673438646877</v>
      </c>
      <c r="W100" s="87">
        <f>IF(TrRoad_act!W22=0,0,W36/TrRoad_act!W22*1000)</f>
        <v>943.65363775328342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1382.8867150537762</v>
      </c>
      <c r="P101" s="87">
        <f>IF(TrRoad_act!P23=0,0,P37/TrRoad_act!P23*1000)</f>
        <v>1387.1478333514294</v>
      </c>
      <c r="Q101" s="87">
        <f>IF(TrRoad_act!Q23=0,0,Q37/TrRoad_act!Q23*1000)</f>
        <v>1392.3742855480468</v>
      </c>
      <c r="R101" s="87">
        <f>IF(TrRoad_act!R23=0,0,R37/TrRoad_act!R23*1000)</f>
        <v>1391.6459183315753</v>
      </c>
      <c r="S101" s="87">
        <f>IF(TrRoad_act!S23=0,0,S37/TrRoad_act!S23*1000)</f>
        <v>1352.7323414971245</v>
      </c>
      <c r="T101" s="87">
        <f>IF(TrRoad_act!T23=0,0,T37/TrRoad_act!T23*1000)</f>
        <v>1298.5078188445898</v>
      </c>
      <c r="U101" s="87">
        <f>IF(TrRoad_act!U23=0,0,U37/TrRoad_act!U23*1000)</f>
        <v>1097.9615540273724</v>
      </c>
      <c r="V101" s="87">
        <f>IF(TrRoad_act!V23=0,0,V37/TrRoad_act!V23*1000)</f>
        <v>1087.952066628947</v>
      </c>
      <c r="W101" s="87">
        <f>IF(TrRoad_act!W23=0,0,W37/TrRoad_act!W23*1000)</f>
        <v>1080.3579600332339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1386.9536296909532</v>
      </c>
      <c r="C104" s="116">
        <f>IF(TrRoad_act!C26=0,0,C40/TrRoad_act!C26*1000)</f>
        <v>1366.3558410025184</v>
      </c>
      <c r="D104" s="116">
        <f>IF(TrRoad_act!D26=0,0,D40/TrRoad_act!D26*1000)</f>
        <v>1318.3535217118281</v>
      </c>
      <c r="E104" s="116">
        <f>IF(TrRoad_act!E26=0,0,E40/TrRoad_act!E26*1000)</f>
        <v>1538.1486472232179</v>
      </c>
      <c r="F104" s="116">
        <f>IF(TrRoad_act!F26=0,0,F40/TrRoad_act!F26*1000)</f>
        <v>1878.9808025123259</v>
      </c>
      <c r="G104" s="116">
        <f>IF(TrRoad_act!G26=0,0,G40/TrRoad_act!G26*1000)</f>
        <v>2140.7826465675994</v>
      </c>
      <c r="H104" s="116">
        <f>IF(TrRoad_act!H26=0,0,H40/TrRoad_act!H26*1000)</f>
        <v>2016.4573562943406</v>
      </c>
      <c r="I104" s="116">
        <f>IF(TrRoad_act!I26=0,0,I40/TrRoad_act!I26*1000)</f>
        <v>1766.1705313551399</v>
      </c>
      <c r="J104" s="116">
        <f>IF(TrRoad_act!J26=0,0,J40/TrRoad_act!J26*1000)</f>
        <v>1635.922970666132</v>
      </c>
      <c r="K104" s="116">
        <f>IF(TrRoad_act!K26=0,0,K40/TrRoad_act!K26*1000)</f>
        <v>1580.3109781250644</v>
      </c>
      <c r="L104" s="116">
        <f>IF(TrRoad_act!L26=0,0,L40/TrRoad_act!L26*1000)</f>
        <v>1667.573385485827</v>
      </c>
      <c r="M104" s="116">
        <f>IF(TrRoad_act!M26=0,0,M40/TrRoad_act!M26*1000)</f>
        <v>1716.9606122264838</v>
      </c>
      <c r="N104" s="116">
        <f>IF(TrRoad_act!N26=0,0,N40/TrRoad_act!N26*1000)</f>
        <v>1241.9503347172188</v>
      </c>
      <c r="O104" s="116">
        <f>IF(TrRoad_act!O26=0,0,O40/TrRoad_act!O26*1000)</f>
        <v>1393.6264354503594</v>
      </c>
      <c r="P104" s="116">
        <f>IF(TrRoad_act!P26=0,0,P40/TrRoad_act!P26*1000)</f>
        <v>1094.3931561615468</v>
      </c>
      <c r="Q104" s="116">
        <f>IF(TrRoad_act!Q26=0,0,Q40/TrRoad_act!Q26*1000)</f>
        <v>1147.7503474310263</v>
      </c>
      <c r="R104" s="116">
        <f>IF(TrRoad_act!R26=0,0,R40/TrRoad_act!R26*1000)</f>
        <v>1031.4852599502831</v>
      </c>
      <c r="S104" s="116">
        <f>IF(TrRoad_act!S26=0,0,S40/TrRoad_act!S26*1000)</f>
        <v>1058.6996857806926</v>
      </c>
      <c r="T104" s="116">
        <f>IF(TrRoad_act!T26=0,0,T40/TrRoad_act!T26*1000)</f>
        <v>1368.408812170715</v>
      </c>
      <c r="U104" s="116">
        <f>IF(TrRoad_act!U26=0,0,U40/TrRoad_act!U26*1000)</f>
        <v>1420.1452625089423</v>
      </c>
      <c r="V104" s="116">
        <f>IF(TrRoad_act!V26=0,0,V40/TrRoad_act!V26*1000)</f>
        <v>1194.7805304268645</v>
      </c>
      <c r="W104" s="116">
        <f>IF(TrRoad_act!W26=0,0,W40/TrRoad_act!W26*1000)</f>
        <v>1108.9890487565604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205.84239734411472</v>
      </c>
      <c r="C105" s="101">
        <f>IF(TrRoad_act!C27=0,0,C41/TrRoad_act!C27*1000)</f>
        <v>199.83611175484847</v>
      </c>
      <c r="D105" s="101">
        <f>IF(TrRoad_act!D27=0,0,D41/TrRoad_act!D27*1000)</f>
        <v>193.66334333704464</v>
      </c>
      <c r="E105" s="101">
        <f>IF(TrRoad_act!E27=0,0,E41/TrRoad_act!E27*1000)</f>
        <v>201.10618817135119</v>
      </c>
      <c r="F105" s="101">
        <f>IF(TrRoad_act!F27=0,0,F41/TrRoad_act!F27*1000)</f>
        <v>207.93427131887267</v>
      </c>
      <c r="G105" s="101">
        <f>IF(TrRoad_act!G27=0,0,G41/TrRoad_act!G27*1000)</f>
        <v>223.43893579327985</v>
      </c>
      <c r="H105" s="101">
        <f>IF(TrRoad_act!H27=0,0,H41/TrRoad_act!H27*1000)</f>
        <v>220.39738676257281</v>
      </c>
      <c r="I105" s="101">
        <f>IF(TrRoad_act!I27=0,0,I41/TrRoad_act!I27*1000)</f>
        <v>205.34022464977971</v>
      </c>
      <c r="J105" s="101">
        <f>IF(TrRoad_act!J27=0,0,J41/TrRoad_act!J27*1000)</f>
        <v>187.35679194804123</v>
      </c>
      <c r="K105" s="101">
        <f>IF(TrRoad_act!K27=0,0,K41/TrRoad_act!K27*1000)</f>
        <v>127.09881949919603</v>
      </c>
      <c r="L105" s="101">
        <f>IF(TrRoad_act!L27=0,0,L41/TrRoad_act!L27*1000)</f>
        <v>132.1830736800465</v>
      </c>
      <c r="M105" s="101">
        <f>IF(TrRoad_act!M27=0,0,M41/TrRoad_act!M27*1000)</f>
        <v>126.9339162853107</v>
      </c>
      <c r="N105" s="101">
        <f>IF(TrRoad_act!N27=0,0,N41/TrRoad_act!N27*1000)</f>
        <v>115.46361079339464</v>
      </c>
      <c r="O105" s="101">
        <f>IF(TrRoad_act!O27=0,0,O41/TrRoad_act!O27*1000)</f>
        <v>124.06782496565086</v>
      </c>
      <c r="P105" s="101">
        <f>IF(TrRoad_act!P27=0,0,P41/TrRoad_act!P27*1000)</f>
        <v>109.53851421804647</v>
      </c>
      <c r="Q105" s="101">
        <f>IF(TrRoad_act!Q27=0,0,Q41/TrRoad_act!Q27*1000)</f>
        <v>109.48930500879865</v>
      </c>
      <c r="R105" s="101">
        <f>IF(TrRoad_act!R27=0,0,R41/TrRoad_act!R27*1000)</f>
        <v>101.16233586496161</v>
      </c>
      <c r="S105" s="101">
        <f>IF(TrRoad_act!S27=0,0,S41/TrRoad_act!S27*1000)</f>
        <v>101.2751543030203</v>
      </c>
      <c r="T105" s="101">
        <f>IF(TrRoad_act!T27=0,0,T41/TrRoad_act!T27*1000)</f>
        <v>165.65180632015617</v>
      </c>
      <c r="U105" s="101">
        <f>IF(TrRoad_act!U27=0,0,U41/TrRoad_act!U27*1000)</f>
        <v>160.83824239430268</v>
      </c>
      <c r="V105" s="101">
        <f>IF(TrRoad_act!V27=0,0,V41/TrRoad_act!V27*1000)</f>
        <v>165.52803946466091</v>
      </c>
      <c r="W105" s="101">
        <f>IF(TrRoad_act!W27=0,0,W41/TrRoad_act!W27*1000)</f>
        <v>161.14621210647414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1877.434697770813</v>
      </c>
      <c r="C106" s="88">
        <f>IF(TrRoad_act!C28=0,0,C42/TrRoad_act!C28*1000)</f>
        <v>1897.0276499225977</v>
      </c>
      <c r="D106" s="88">
        <f>IF(TrRoad_act!D28=0,0,D42/TrRoad_act!D28*1000)</f>
        <v>1896.7429764636422</v>
      </c>
      <c r="E106" s="88">
        <f>IF(TrRoad_act!E28=0,0,E42/TrRoad_act!E28*1000)</f>
        <v>2193.9587282276134</v>
      </c>
      <c r="F106" s="88">
        <f>IF(TrRoad_act!F28=0,0,F42/TrRoad_act!F28*1000)</f>
        <v>2565.1250227359783</v>
      </c>
      <c r="G106" s="88">
        <f>IF(TrRoad_act!G28=0,0,G42/TrRoad_act!G28*1000)</f>
        <v>2824.7077399676045</v>
      </c>
      <c r="H106" s="88">
        <f>IF(TrRoad_act!H28=0,0,H42/TrRoad_act!H28*1000)</f>
        <v>2739.0422681975142</v>
      </c>
      <c r="I106" s="88">
        <f>IF(TrRoad_act!I28=0,0,I42/TrRoad_act!I28*1000)</f>
        <v>2354.9629875100495</v>
      </c>
      <c r="J106" s="88">
        <f>IF(TrRoad_act!J28=0,0,J42/TrRoad_act!J28*1000)</f>
        <v>2130.5173273944629</v>
      </c>
      <c r="K106" s="88">
        <f>IF(TrRoad_act!K28=0,0,K42/TrRoad_act!K28*1000)</f>
        <v>2118.5087080929025</v>
      </c>
      <c r="L106" s="88">
        <f>IF(TrRoad_act!L28=0,0,L42/TrRoad_act!L28*1000)</f>
        <v>2243.3745965300304</v>
      </c>
      <c r="M106" s="88">
        <f>IF(TrRoad_act!M28=0,0,M42/TrRoad_act!M28*1000)</f>
        <v>2402.7310734470016</v>
      </c>
      <c r="N106" s="88">
        <f>IF(TrRoad_act!N28=0,0,N42/TrRoad_act!N28*1000)</f>
        <v>1938.9085882649881</v>
      </c>
      <c r="O106" s="88">
        <f>IF(TrRoad_act!O28=0,0,O42/TrRoad_act!O28*1000)</f>
        <v>1979.9280187122909</v>
      </c>
      <c r="P106" s="88">
        <f>IF(TrRoad_act!P28=0,0,P42/TrRoad_act!P28*1000)</f>
        <v>1718.0977960817722</v>
      </c>
      <c r="Q106" s="88">
        <f>IF(TrRoad_act!Q28=0,0,Q42/TrRoad_act!Q28*1000)</f>
        <v>1818.6531678789438</v>
      </c>
      <c r="R106" s="88">
        <f>IF(TrRoad_act!R28=0,0,R42/TrRoad_act!R28*1000)</f>
        <v>1647.9994630692977</v>
      </c>
      <c r="S106" s="88">
        <f>IF(TrRoad_act!S28=0,0,S42/TrRoad_act!S28*1000)</f>
        <v>1627.7814648041713</v>
      </c>
      <c r="T106" s="88">
        <f>IF(TrRoad_act!T28=0,0,T42/TrRoad_act!T28*1000)</f>
        <v>1835.5059206853077</v>
      </c>
      <c r="U106" s="88">
        <f>IF(TrRoad_act!U28=0,0,U42/TrRoad_act!U28*1000)</f>
        <v>1907.7855321608326</v>
      </c>
      <c r="V106" s="88">
        <f>IF(TrRoad_act!V28=0,0,V42/TrRoad_act!V28*1000)</f>
        <v>1528.9279401356869</v>
      </c>
      <c r="W106" s="88">
        <f>IF(TrRoad_act!W28=0,0,W42/TrRoad_act!W28*1000)</f>
        <v>1453.4070719044269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506.37825352245545</v>
      </c>
      <c r="C110" s="152">
        <f>IF(C19=0,0,1000000*C19/TrRoad_act!C59)</f>
        <v>459.84116728646597</v>
      </c>
      <c r="D110" s="152">
        <f>IF(D19=0,0,1000000*D19/TrRoad_act!D59)</f>
        <v>428.3356984008625</v>
      </c>
      <c r="E110" s="152">
        <f>IF(E19=0,0,1000000*E19/TrRoad_act!E59)</f>
        <v>387.67045189410663</v>
      </c>
      <c r="F110" s="152">
        <f>IF(F19=0,0,1000000*F19/TrRoad_act!F59)</f>
        <v>372.34279829597278</v>
      </c>
      <c r="G110" s="152">
        <f>IF(G19=0,0,1000000*G19/TrRoad_act!G59)</f>
        <v>347.13377179842155</v>
      </c>
      <c r="H110" s="152">
        <f>IF(H19=0,0,1000000*H19/TrRoad_act!H59)</f>
        <v>322.21699969918268</v>
      </c>
      <c r="I110" s="152">
        <f>IF(I19=0,0,1000000*I19/TrRoad_act!I59)</f>
        <v>297.84097108249739</v>
      </c>
      <c r="J110" s="152">
        <f>IF(J19=0,0,1000000*J19/TrRoad_act!J59)</f>
        <v>280.77430867679527</v>
      </c>
      <c r="K110" s="152">
        <f>IF(K19=0,0,1000000*K19/TrRoad_act!K59)</f>
        <v>267.78433993040539</v>
      </c>
      <c r="L110" s="152">
        <f>IF(L19=0,0,1000000*L19/TrRoad_act!L59)</f>
        <v>256.22311108241553</v>
      </c>
      <c r="M110" s="152">
        <f>IF(M19=0,0,1000000*M19/TrRoad_act!M59)</f>
        <v>243.95720549808422</v>
      </c>
      <c r="N110" s="152">
        <f>IF(N19=0,0,1000000*N19/TrRoad_act!N59)</f>
        <v>246.80576277768509</v>
      </c>
      <c r="O110" s="152">
        <f>IF(O19=0,0,1000000*O19/TrRoad_act!O59)</f>
        <v>238.07907065912693</v>
      </c>
      <c r="P110" s="152">
        <f>IF(P19=0,0,1000000*P19/TrRoad_act!P59)</f>
        <v>230.18678196748533</v>
      </c>
      <c r="Q110" s="152">
        <f>IF(Q19=0,0,1000000*Q19/TrRoad_act!Q59)</f>
        <v>226.01371849432675</v>
      </c>
      <c r="R110" s="152">
        <f>IF(R19=0,0,1000000*R19/TrRoad_act!R59)</f>
        <v>224.66152730111932</v>
      </c>
      <c r="S110" s="152">
        <f>IF(S19=0,0,1000000*S19/TrRoad_act!S59)</f>
        <v>211.09160144908972</v>
      </c>
      <c r="T110" s="152">
        <f>IF(T19=0,0,1000000*T19/TrRoad_act!T59)</f>
        <v>197.66566551589443</v>
      </c>
      <c r="U110" s="152">
        <f>IF(U19=0,0,1000000*U19/TrRoad_act!U59)</f>
        <v>201.03524364889188</v>
      </c>
      <c r="V110" s="152">
        <f>IF(V19=0,0,1000000*V19/TrRoad_act!V59)</f>
        <v>171.20911655953057</v>
      </c>
      <c r="W110" s="152">
        <f>IF(W19=0,0,1000000*W19/TrRoad_act!W59)</f>
        <v>155.09975607529438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9568.1068450362545</v>
      </c>
      <c r="C111" s="116">
        <f>IF(C20=0,0,1000000*C20/TrRoad_act!C60)</f>
        <v>9622.9738661596311</v>
      </c>
      <c r="D111" s="116">
        <f>IF(D20=0,0,1000000*D20/TrRoad_act!D60)</f>
        <v>9662.4445400950735</v>
      </c>
      <c r="E111" s="116">
        <f>IF(E20=0,0,1000000*E20/TrRoad_act!E60)</f>
        <v>10056.61844133106</v>
      </c>
      <c r="F111" s="116">
        <f>IF(F20=0,0,1000000*F20/TrRoad_act!F60)</f>
        <v>10073.759696841287</v>
      </c>
      <c r="G111" s="116">
        <f>IF(G20=0,0,1000000*G20/TrRoad_act!G60)</f>
        <v>9487.6319398846081</v>
      </c>
      <c r="H111" s="116">
        <f>IF(H20=0,0,1000000*H20/TrRoad_act!H60)</f>
        <v>8897.9019163722332</v>
      </c>
      <c r="I111" s="116">
        <f>IF(I20=0,0,1000000*I20/TrRoad_act!I60)</f>
        <v>8733.752750760319</v>
      </c>
      <c r="J111" s="116">
        <f>IF(J20=0,0,1000000*J20/TrRoad_act!J60)</f>
        <v>8732.4343634183442</v>
      </c>
      <c r="K111" s="116">
        <f>IF(K20=0,0,1000000*K20/TrRoad_act!K60)</f>
        <v>8473.4429888912327</v>
      </c>
      <c r="L111" s="116">
        <f>IF(L20=0,0,1000000*L20/TrRoad_act!L60)</f>
        <v>8158.4569641474109</v>
      </c>
      <c r="M111" s="116">
        <f>IF(M20=0,0,1000000*M20/TrRoad_act!M60)</f>
        <v>8503.5578331185898</v>
      </c>
      <c r="N111" s="116">
        <f>IF(N20=0,0,1000000*N20/TrRoad_act!N60)</f>
        <v>8240.5642485161097</v>
      </c>
      <c r="O111" s="116">
        <f>IF(O20=0,0,1000000*O20/TrRoad_act!O60)</f>
        <v>7582.9923152254605</v>
      </c>
      <c r="P111" s="116">
        <f>IF(P20=0,0,1000000*P20/TrRoad_act!P60)</f>
        <v>7246.8739102764885</v>
      </c>
      <c r="Q111" s="116">
        <f>IF(Q20=0,0,1000000*Q20/TrRoad_act!Q60)</f>
        <v>6783.8391623924117</v>
      </c>
      <c r="R111" s="116">
        <f>IF(R20=0,0,1000000*R20/TrRoad_act!R60)</f>
        <v>6394.0206554367433</v>
      </c>
      <c r="S111" s="116">
        <f>IF(S20=0,0,1000000*S20/TrRoad_act!S60)</f>
        <v>6114.1243964664682</v>
      </c>
      <c r="T111" s="116">
        <f>IF(T20=0,0,1000000*T20/TrRoad_act!T60)</f>
        <v>6184.9484789624121</v>
      </c>
      <c r="U111" s="116">
        <f>IF(U20=0,0,1000000*U20/TrRoad_act!U60)</f>
        <v>5832.2298423386965</v>
      </c>
      <c r="V111" s="116">
        <f>IF(V20=0,0,1000000*V20/TrRoad_act!V60)</f>
        <v>4304.2892811208803</v>
      </c>
      <c r="W111" s="116">
        <f>IF(W20=0,0,1000000*W20/TrRoad_act!W60)</f>
        <v>4733.5986462342944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8854.9230998212788</v>
      </c>
      <c r="C112" s="87">
        <f>IF(C21=0,0,1000000*C21/TrRoad_act!C61)</f>
        <v>9009.5818878457085</v>
      </c>
      <c r="D112" s="87">
        <f>IF(D21=0,0,1000000*D21/TrRoad_act!D61)</f>
        <v>9116.7587210361435</v>
      </c>
      <c r="E112" s="87">
        <f>IF(E21=0,0,1000000*E21/TrRoad_act!E61)</f>
        <v>9620.4848150500184</v>
      </c>
      <c r="F112" s="87">
        <f>IF(F21=0,0,1000000*F21/TrRoad_act!F61)</f>
        <v>9882.9883933728051</v>
      </c>
      <c r="G112" s="87">
        <f>IF(G21=0,0,1000000*G21/TrRoad_act!G61)</f>
        <v>9565.8565625429583</v>
      </c>
      <c r="H112" s="87">
        <f>IF(H21=0,0,1000000*H21/TrRoad_act!H61)</f>
        <v>9136.7307980885616</v>
      </c>
      <c r="I112" s="87">
        <f>IF(I21=0,0,1000000*I21/TrRoad_act!I61)</f>
        <v>9293.940778552218</v>
      </c>
      <c r="J112" s="87">
        <f>IF(J21=0,0,1000000*J21/TrRoad_act!J61)</f>
        <v>9264.6728900952658</v>
      </c>
      <c r="K112" s="87">
        <f>IF(K21=0,0,1000000*K21/TrRoad_act!K61)</f>
        <v>8936.2127081742601</v>
      </c>
      <c r="L112" s="87">
        <f>IF(L21=0,0,1000000*L21/TrRoad_act!L61)</f>
        <v>8558.1603559382183</v>
      </c>
      <c r="M112" s="87">
        <f>IF(M21=0,0,1000000*M21/TrRoad_act!M61)</f>
        <v>8765.3559129047626</v>
      </c>
      <c r="N112" s="87">
        <f>IF(N21=0,0,1000000*N21/TrRoad_act!N61)</f>
        <v>8464.723721106111</v>
      </c>
      <c r="O112" s="87">
        <f>IF(O21=0,0,1000000*O21/TrRoad_act!O61)</f>
        <v>7602.5467263387709</v>
      </c>
      <c r="P112" s="87">
        <f>IF(P21=0,0,1000000*P21/TrRoad_act!P61)</f>
        <v>7103.3623748409445</v>
      </c>
      <c r="Q112" s="87">
        <f>IF(Q21=0,0,1000000*Q21/TrRoad_act!Q61)</f>
        <v>6419.3622332694204</v>
      </c>
      <c r="R112" s="87">
        <f>IF(R21=0,0,1000000*R21/TrRoad_act!R61)</f>
        <v>5902.052521545279</v>
      </c>
      <c r="S112" s="87">
        <f>IF(S21=0,0,1000000*S21/TrRoad_act!S61)</f>
        <v>5702.7422010968394</v>
      </c>
      <c r="T112" s="87">
        <f>IF(T21=0,0,1000000*T21/TrRoad_act!T61)</f>
        <v>5656.5270832881733</v>
      </c>
      <c r="U112" s="87">
        <f>IF(U21=0,0,1000000*U21/TrRoad_act!U61)</f>
        <v>5356.6808273899251</v>
      </c>
      <c r="V112" s="87">
        <f>IF(V21=0,0,1000000*V21/TrRoad_act!V61)</f>
        <v>3885.3711443991715</v>
      </c>
      <c r="W112" s="87">
        <f>IF(W21=0,0,1000000*W21/TrRoad_act!W61)</f>
        <v>4531.9676982629135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11527.752971473345</v>
      </c>
      <c r="C113" s="87">
        <f>IF(C22=0,0,1000000*C22/TrRoad_act!C62)</f>
        <v>11068.139581504183</v>
      </c>
      <c r="D113" s="87">
        <f>IF(D22=0,0,1000000*D22/TrRoad_act!D62)</f>
        <v>10764.674566366079</v>
      </c>
      <c r="E113" s="87">
        <f>IF(E22=0,0,1000000*E22/TrRoad_act!E62)</f>
        <v>10865.57583445335</v>
      </c>
      <c r="F113" s="87">
        <f>IF(F22=0,0,1000000*F22/TrRoad_act!F62)</f>
        <v>10436.692333320081</v>
      </c>
      <c r="G113" s="87">
        <f>IF(G22=0,0,1000000*G22/TrRoad_act!G62)</f>
        <v>9518.9835267297003</v>
      </c>
      <c r="H113" s="87">
        <f>IF(H22=0,0,1000000*H22/TrRoad_act!H62)</f>
        <v>8735.9161543600312</v>
      </c>
      <c r="I113" s="87">
        <f>IF(I22=0,0,1000000*I22/TrRoad_act!I62)</f>
        <v>8337.0461822433572</v>
      </c>
      <c r="J113" s="87">
        <f>IF(J22=0,0,1000000*J22/TrRoad_act!J62)</f>
        <v>8396.9451794537254</v>
      </c>
      <c r="K113" s="87">
        <f>IF(K22=0,0,1000000*K22/TrRoad_act!K62)</f>
        <v>8222.7106107646214</v>
      </c>
      <c r="L113" s="87">
        <f>IF(L22=0,0,1000000*L22/TrRoad_act!L62)</f>
        <v>7968.5296769482447</v>
      </c>
      <c r="M113" s="87">
        <f>IF(M22=0,0,1000000*M22/TrRoad_act!M62)</f>
        <v>8410.6112750859738</v>
      </c>
      <c r="N113" s="87">
        <f>IF(N22=0,0,1000000*N22/TrRoad_act!N62)</f>
        <v>8156.898605733787</v>
      </c>
      <c r="O113" s="87">
        <f>IF(O22=0,0,1000000*O22/TrRoad_act!O62)</f>
        <v>7619.7815884020929</v>
      </c>
      <c r="P113" s="87">
        <f>IF(P22=0,0,1000000*P22/TrRoad_act!P62)</f>
        <v>7371.8473954986921</v>
      </c>
      <c r="Q113" s="87">
        <f>IF(Q22=0,0,1000000*Q22/TrRoad_act!Q62)</f>
        <v>7029.6249499430724</v>
      </c>
      <c r="R113" s="87">
        <f>IF(R22=0,0,1000000*R22/TrRoad_act!R62)</f>
        <v>6722.0155920342459</v>
      </c>
      <c r="S113" s="87">
        <f>IF(S22=0,0,1000000*S22/TrRoad_act!S62)</f>
        <v>6425.7228172088044</v>
      </c>
      <c r="T113" s="87">
        <f>IF(T22=0,0,1000000*T22/TrRoad_act!T62)</f>
        <v>6614.0204646744214</v>
      </c>
      <c r="U113" s="87">
        <f>IF(U22=0,0,1000000*U22/TrRoad_act!U62)</f>
        <v>6297.9061407744821</v>
      </c>
      <c r="V113" s="87">
        <f>IF(V22=0,0,1000000*V22/TrRoad_act!V62)</f>
        <v>4791.6756562792998</v>
      </c>
      <c r="W113" s="87">
        <f>IF(W22=0,0,1000000*W22/TrRoad_act!W62)</f>
        <v>5247.13845997526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2355.0916673427992</v>
      </c>
      <c r="C114" s="87">
        <f>IF(C23=0,0,1000000*C23/TrRoad_act!C63)</f>
        <v>3274.8116886047383</v>
      </c>
      <c r="D114" s="87">
        <f>IF(D23=0,0,1000000*D23/TrRoad_act!D63)</f>
        <v>4180.9055671588039</v>
      </c>
      <c r="E114" s="87">
        <f>IF(E23=0,0,1000000*E23/TrRoad_act!E63)</f>
        <v>3310.9217794676802</v>
      </c>
      <c r="F114" s="87">
        <f>IF(F23=0,0,1000000*F23/TrRoad_act!F63)</f>
        <v>3483.0897119999995</v>
      </c>
      <c r="G114" s="87">
        <f>IF(G23=0,0,1000000*G23/TrRoad_act!G63)</f>
        <v>2434.0884528301885</v>
      </c>
      <c r="H114" s="87">
        <f>IF(H23=0,0,1000000*H23/TrRoad_act!H63)</f>
        <v>2480.897846153845</v>
      </c>
      <c r="I114" s="87">
        <f>IF(I23=0,0,1000000*I23/TrRoad_act!I63)</f>
        <v>5230.0008648648645</v>
      </c>
      <c r="J114" s="87">
        <f>IF(J23=0,0,1000000*J23/TrRoad_act!J63)</f>
        <v>5083.4509281961473</v>
      </c>
      <c r="K114" s="87">
        <f>IF(K23=0,0,1000000*K23/TrRoad_act!K63)</f>
        <v>3152.6223188405802</v>
      </c>
      <c r="L114" s="87">
        <f>IF(L23=0,0,1000000*L23/TrRoad_act!L63)</f>
        <v>3127.0248286852593</v>
      </c>
      <c r="M114" s="87">
        <f>IF(M23=0,0,1000000*M23/TrRoad_act!M63)</f>
        <v>1510.5476897414514</v>
      </c>
      <c r="N114" s="87">
        <f>IF(N23=0,0,1000000*N23/TrRoad_act!N63)</f>
        <v>4076.5302800658969</v>
      </c>
      <c r="O114" s="87">
        <f>IF(O23=0,0,1000000*O23/TrRoad_act!O63)</f>
        <v>2518.9815314315897</v>
      </c>
      <c r="P114" s="87">
        <f>IF(P23=0,0,1000000*P23/TrRoad_act!P63)</f>
        <v>2983.9308457649527</v>
      </c>
      <c r="Q114" s="87">
        <f>IF(Q23=0,0,1000000*Q23/TrRoad_act!Q63)</f>
        <v>1453.1891413623594</v>
      </c>
      <c r="R114" s="87">
        <f>IF(R23=0,0,1000000*R23/TrRoad_act!R63)</f>
        <v>1528.9663683842703</v>
      </c>
      <c r="S114" s="87">
        <f>IF(S23=0,0,1000000*S23/TrRoad_act!S63)</f>
        <v>1469.9235753086573</v>
      </c>
      <c r="T114" s="87">
        <f>IF(T23=0,0,1000000*T23/TrRoad_act!T63)</f>
        <v>2345.2533033131717</v>
      </c>
      <c r="U114" s="87">
        <f>IF(U23=0,0,1000000*U23/TrRoad_act!U63)</f>
        <v>3578.7536942392576</v>
      </c>
      <c r="V114" s="87">
        <f>IF(V23=0,0,1000000*V23/TrRoad_act!V63)</f>
        <v>706.25907861272901</v>
      </c>
      <c r="W114" s="87">
        <f>IF(W23=0,0,1000000*W23/TrRoad_act!W63)</f>
        <v>1995.7916960044822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4133.3109275693805</v>
      </c>
      <c r="O116" s="87">
        <f>IF(O25=0,0,1000000*O25/TrRoad_act!O65)</f>
        <v>3945.1235914581166</v>
      </c>
      <c r="P116" s="87">
        <f>IF(P25=0,0,1000000*P25/TrRoad_act!P65)</f>
        <v>3536.6761411976804</v>
      </c>
      <c r="Q116" s="87">
        <f>IF(Q25=0,0,1000000*Q25/TrRoad_act!Q65)</f>
        <v>3253.5590652917722</v>
      </c>
      <c r="R116" s="87">
        <f>IF(R25=0,0,1000000*R25/TrRoad_act!R65)</f>
        <v>2727.3628755266209</v>
      </c>
      <c r="S116" s="87">
        <f>IF(S25=0,0,1000000*S25/TrRoad_act!S65)</f>
        <v>1915.9484888024388</v>
      </c>
      <c r="T116" s="87">
        <f>IF(T25=0,0,1000000*T25/TrRoad_act!T65)</f>
        <v>1919.5491047974497</v>
      </c>
      <c r="U116" s="87">
        <f>IF(U25=0,0,1000000*U25/TrRoad_act!U65)</f>
        <v>1845.3946861725476</v>
      </c>
      <c r="V116" s="87">
        <f>IF(V25=0,0,1000000*V25/TrRoad_act!V65)</f>
        <v>1156.0214638778316</v>
      </c>
      <c r="W116" s="87">
        <f>IF(W25=0,0,1000000*W25/TrRoad_act!W65)</f>
        <v>1196.9126372775409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71946.57053557958</v>
      </c>
      <c r="C118" s="116">
        <f>IF(C27=0,0,1000000*C27/TrRoad_act!C67)</f>
        <v>69554.382649156381</v>
      </c>
      <c r="D118" s="116">
        <f>IF(D27=0,0,1000000*D27/TrRoad_act!D67)</f>
        <v>70197.275251559229</v>
      </c>
      <c r="E118" s="116">
        <f>IF(E27=0,0,1000000*E27/TrRoad_act!E67)</f>
        <v>67620.306795719996</v>
      </c>
      <c r="F118" s="116">
        <f>IF(F27=0,0,1000000*F27/TrRoad_act!F67)</f>
        <v>65394.243845623932</v>
      </c>
      <c r="G118" s="116">
        <f>IF(G27=0,0,1000000*G27/TrRoad_act!G67)</f>
        <v>63421.516952614038</v>
      </c>
      <c r="H118" s="116">
        <f>IF(H27=0,0,1000000*H27/TrRoad_act!H67)</f>
        <v>61494.080207952051</v>
      </c>
      <c r="I118" s="116">
        <f>IF(I27=0,0,1000000*I27/TrRoad_act!I67)</f>
        <v>58453.916965785233</v>
      </c>
      <c r="J118" s="116">
        <f>IF(J27=0,0,1000000*J27/TrRoad_act!J67)</f>
        <v>56918.950707879245</v>
      </c>
      <c r="K118" s="116">
        <f>IF(K27=0,0,1000000*K27/TrRoad_act!K67)</f>
        <v>55502.11455011995</v>
      </c>
      <c r="L118" s="116">
        <f>IF(L27=0,0,1000000*L27/TrRoad_act!L67)</f>
        <v>56365.865309375913</v>
      </c>
      <c r="M118" s="116">
        <f>IF(M27=0,0,1000000*M27/TrRoad_act!M67)</f>
        <v>55520.02105384379</v>
      </c>
      <c r="N118" s="116">
        <f>IF(N27=0,0,1000000*N27/TrRoad_act!N67)</f>
        <v>54426.986080959243</v>
      </c>
      <c r="O118" s="116">
        <f>IF(O27=0,0,1000000*O27/TrRoad_act!O67)</f>
        <v>53552.589148838881</v>
      </c>
      <c r="P118" s="116">
        <f>IF(P27=0,0,1000000*P27/TrRoad_act!P67)</f>
        <v>52376.270940501672</v>
      </c>
      <c r="Q118" s="116">
        <f>IF(Q27=0,0,1000000*Q27/TrRoad_act!Q67)</f>
        <v>51483.898037656683</v>
      </c>
      <c r="R118" s="116">
        <f>IF(R27=0,0,1000000*R27/TrRoad_act!R67)</f>
        <v>51158.174517986372</v>
      </c>
      <c r="S118" s="116">
        <f>IF(S27=0,0,1000000*S27/TrRoad_act!S67)</f>
        <v>50751.182247832017</v>
      </c>
      <c r="T118" s="116">
        <f>IF(T27=0,0,1000000*T27/TrRoad_act!T67)</f>
        <v>49312.405149742757</v>
      </c>
      <c r="U118" s="116">
        <f>IF(U27=0,0,1000000*U27/TrRoad_act!U67)</f>
        <v>46163.436586596792</v>
      </c>
      <c r="V118" s="116">
        <f>IF(V27=0,0,1000000*V27/TrRoad_act!V67)</f>
        <v>42335.944628601806</v>
      </c>
      <c r="W118" s="116">
        <f>IF(W27=0,0,1000000*W27/TrRoad_act!W67)</f>
        <v>40041.547415164518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3741.0864352455483</v>
      </c>
      <c r="U119" s="101">
        <f>IF(U28=0,0,1000000*U28/TrRoad_act!U68)</f>
        <v>3511.3314474928184</v>
      </c>
      <c r="V119" s="101">
        <f>IF(V28=0,0,1000000*V28/TrRoad_act!V68)</f>
        <v>3329.3578109266573</v>
      </c>
      <c r="W119" s="101">
        <f>IF(W28=0,0,1000000*W28/TrRoad_act!W68)</f>
        <v>3101.2288888511521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71946.57053557958</v>
      </c>
      <c r="C120" s="101">
        <f>IF(C29=0,0,1000000*C29/TrRoad_act!C69)</f>
        <v>69554.382649156381</v>
      </c>
      <c r="D120" s="101">
        <f>IF(D29=0,0,1000000*D29/TrRoad_act!D69)</f>
        <v>70197.275251559229</v>
      </c>
      <c r="E120" s="101">
        <f>IF(E29=0,0,1000000*E29/TrRoad_act!E69)</f>
        <v>67786.04284178793</v>
      </c>
      <c r="F120" s="101">
        <f>IF(F29=0,0,1000000*F29/TrRoad_act!F69)</f>
        <v>65549.206508765215</v>
      </c>
      <c r="G120" s="101">
        <f>IF(G29=0,0,1000000*G29/TrRoad_act!G69)</f>
        <v>63563.824021318484</v>
      </c>
      <c r="H120" s="101">
        <f>IF(H29=0,0,1000000*H29/TrRoad_act!H69)</f>
        <v>61628.151603754275</v>
      </c>
      <c r="I120" s="101">
        <f>IF(I29=0,0,1000000*I29/TrRoad_act!I69)</f>
        <v>58574.689521499669</v>
      </c>
      <c r="J120" s="101">
        <f>IF(J29=0,0,1000000*J29/TrRoad_act!J69)</f>
        <v>57029.687966065787</v>
      </c>
      <c r="K120" s="101">
        <f>IF(K29=0,0,1000000*K29/TrRoad_act!K69)</f>
        <v>55570.593408294066</v>
      </c>
      <c r="L120" s="101">
        <f>IF(L29=0,0,1000000*L29/TrRoad_act!L69)</f>
        <v>56434.856576584454</v>
      </c>
      <c r="M120" s="101">
        <f>IF(M29=0,0,1000000*M29/TrRoad_act!M69)</f>
        <v>55585.300326099925</v>
      </c>
      <c r="N120" s="101">
        <f>IF(N29=0,0,1000000*N29/TrRoad_act!N69)</f>
        <v>54490.053272246565</v>
      </c>
      <c r="O120" s="101">
        <f>IF(O29=0,0,1000000*O29/TrRoad_act!O69)</f>
        <v>53674.646332084099</v>
      </c>
      <c r="P120" s="101">
        <f>IF(P29=0,0,1000000*P29/TrRoad_act!P69)</f>
        <v>52464.794215330694</v>
      </c>
      <c r="Q120" s="101">
        <f>IF(Q29=0,0,1000000*Q29/TrRoad_act!Q69)</f>
        <v>51567.205316034771</v>
      </c>
      <c r="R120" s="101">
        <f>IF(R29=0,0,1000000*R29/TrRoad_act!R69)</f>
        <v>51238.908091660203</v>
      </c>
      <c r="S120" s="101">
        <f>IF(S29=0,0,1000000*S29/TrRoad_act!S69)</f>
        <v>50959.178896388701</v>
      </c>
      <c r="T120" s="101">
        <f>IF(T29=0,0,1000000*T29/TrRoad_act!T69)</f>
        <v>50019.553718363131</v>
      </c>
      <c r="U120" s="101">
        <f>IF(U29=0,0,1000000*U29/TrRoad_act!U69)</f>
        <v>48493.234330774365</v>
      </c>
      <c r="V120" s="101">
        <f>IF(V29=0,0,1000000*V29/TrRoad_act!V69)</f>
        <v>45417.753074091292</v>
      </c>
      <c r="W120" s="101">
        <f>IF(W29=0,0,1000000*W29/TrRoad_act!W69)</f>
        <v>43390.79330201423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7607.2225498470534</v>
      </c>
      <c r="C125" s="152">
        <f>IF(C34=0,0,1000000*C34/TrRoad_act!C74)</f>
        <v>7227.1362676434355</v>
      </c>
      <c r="D125" s="152">
        <f>IF(D34=0,0,1000000*D34/TrRoad_act!D74)</f>
        <v>7081.6367643634512</v>
      </c>
      <c r="E125" s="152">
        <f>IF(E34=0,0,1000000*E34/TrRoad_act!E74)</f>
        <v>6907.5356099342689</v>
      </c>
      <c r="F125" s="152">
        <f>IF(F34=0,0,1000000*F34/TrRoad_act!F74)</f>
        <v>6691.7616061341851</v>
      </c>
      <c r="G125" s="152">
        <f>IF(G34=0,0,1000000*G34/TrRoad_act!G74)</f>
        <v>6553.834629239167</v>
      </c>
      <c r="H125" s="152">
        <f>IF(H34=0,0,1000000*H34/TrRoad_act!H74)</f>
        <v>6464.1516138499046</v>
      </c>
      <c r="I125" s="152">
        <f>IF(I34=0,0,1000000*I34/TrRoad_act!I74)</f>
        <v>6319.3040429716921</v>
      </c>
      <c r="J125" s="152">
        <f>IF(J34=0,0,1000000*J34/TrRoad_act!J74)</f>
        <v>6154.9158632524195</v>
      </c>
      <c r="K125" s="152">
        <f>IF(K34=0,0,1000000*K34/TrRoad_act!K74)</f>
        <v>5960.1878192199201</v>
      </c>
      <c r="L125" s="152">
        <f>IF(L34=0,0,1000000*L34/TrRoad_act!L74)</f>
        <v>6003.5319076144951</v>
      </c>
      <c r="M125" s="152">
        <f>IF(M34=0,0,1000000*M34/TrRoad_act!M74)</f>
        <v>6040.6042676839943</v>
      </c>
      <c r="N125" s="152">
        <f>IF(N34=0,0,1000000*N34/TrRoad_act!N74)</f>
        <v>5794.9357990000863</v>
      </c>
      <c r="O125" s="152">
        <f>IF(O34=0,0,1000000*O34/TrRoad_act!O74)</f>
        <v>5538.63979074483</v>
      </c>
      <c r="P125" s="152">
        <f>IF(P34=0,0,1000000*P34/TrRoad_act!P74)</f>
        <v>5573.7158467340323</v>
      </c>
      <c r="Q125" s="152">
        <f>IF(Q34=0,0,1000000*Q34/TrRoad_act!Q74)</f>
        <v>5492.9125726874818</v>
      </c>
      <c r="R125" s="152">
        <f>IF(R34=0,0,1000000*R34/TrRoad_act!R74)</f>
        <v>5436.8331711219871</v>
      </c>
      <c r="S125" s="152">
        <f>IF(S34=0,0,1000000*S34/TrRoad_act!S74)</f>
        <v>5122.9702088551185</v>
      </c>
      <c r="T125" s="152">
        <f>IF(T34=0,0,1000000*T34/TrRoad_act!T74)</f>
        <v>4998.239039231531</v>
      </c>
      <c r="U125" s="152">
        <f>IF(U34=0,0,1000000*U34/TrRoad_act!U74)</f>
        <v>4861.8902449201569</v>
      </c>
      <c r="V125" s="152">
        <f>IF(V34=0,0,1000000*V34/TrRoad_act!V74)</f>
        <v>4553.3686362917706</v>
      </c>
      <c r="W125" s="152">
        <f>IF(W34=0,0,1000000*W34/TrRoad_act!W74)</f>
        <v>4563.1718695692989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3557.9090266201747</v>
      </c>
      <c r="C126" s="87">
        <f>IF(C35=0,0,1000000*C35/TrRoad_act!C75)</f>
        <v>3449.864548578701</v>
      </c>
      <c r="D126" s="87">
        <f>IF(D35=0,0,1000000*D35/TrRoad_act!D75)</f>
        <v>3409.3568600993099</v>
      </c>
      <c r="E126" s="87">
        <f>IF(E35=0,0,1000000*E35/TrRoad_act!E75)</f>
        <v>3301.7352749530419</v>
      </c>
      <c r="F126" s="87">
        <f>IF(F35=0,0,1000000*F35/TrRoad_act!F75)</f>
        <v>3173.2460517963905</v>
      </c>
      <c r="G126" s="87">
        <f>IF(G35=0,0,1000000*G35/TrRoad_act!G75)</f>
        <v>3058.8563326546268</v>
      </c>
      <c r="H126" s="87">
        <f>IF(H35=0,0,1000000*H35/TrRoad_act!H75)</f>
        <v>2965.1138960829439</v>
      </c>
      <c r="I126" s="87">
        <f>IF(I35=0,0,1000000*I35/TrRoad_act!I75)</f>
        <v>2901.1118596616911</v>
      </c>
      <c r="J126" s="87">
        <f>IF(J35=0,0,1000000*J35/TrRoad_act!J75)</f>
        <v>2752.2301476291841</v>
      </c>
      <c r="K126" s="87">
        <f>IF(K35=0,0,1000000*K35/TrRoad_act!K75)</f>
        <v>2557.1127189381928</v>
      </c>
      <c r="L126" s="87">
        <f>IF(L35=0,0,1000000*L35/TrRoad_act!L75)</f>
        <v>2495.6575342912279</v>
      </c>
      <c r="M126" s="87">
        <f>IF(M35=0,0,1000000*M35/TrRoad_act!M75)</f>
        <v>2410.2463656850459</v>
      </c>
      <c r="N126" s="87">
        <f>IF(N35=0,0,1000000*N35/TrRoad_act!N75)</f>
        <v>2319.2551524050891</v>
      </c>
      <c r="O126" s="87">
        <f>IF(O35=0,0,1000000*O35/TrRoad_act!O75)</f>
        <v>2231.0533550038635</v>
      </c>
      <c r="P126" s="87">
        <f>IF(P35=0,0,1000000*P35/TrRoad_act!P75)</f>
        <v>2246.2002378065035</v>
      </c>
      <c r="Q126" s="87">
        <f>IF(Q35=0,0,1000000*Q35/TrRoad_act!Q75)</f>
        <v>2235.0168743699419</v>
      </c>
      <c r="R126" s="87">
        <f>IF(R35=0,0,1000000*R35/TrRoad_act!R75)</f>
        <v>2218.4330328179676</v>
      </c>
      <c r="S126" s="87">
        <f>IF(S35=0,0,1000000*S35/TrRoad_act!S75)</f>
        <v>2151.3216883288655</v>
      </c>
      <c r="T126" s="87">
        <f>IF(T35=0,0,1000000*T35/TrRoad_act!T75)</f>
        <v>2133.696053890947</v>
      </c>
      <c r="U126" s="87">
        <f>IF(U35=0,0,1000000*U35/TrRoad_act!U75)</f>
        <v>2057.3884843302617</v>
      </c>
      <c r="V126" s="87">
        <f>IF(V35=0,0,1000000*V35/TrRoad_act!V75)</f>
        <v>1977.6088497890212</v>
      </c>
      <c r="W126" s="87">
        <f>IF(W35=0,0,1000000*W35/TrRoad_act!W75)</f>
        <v>1949.9773316239121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8530.2798578083803</v>
      </c>
      <c r="C127" s="87">
        <f>IF(C36=0,0,1000000*C36/TrRoad_act!C76)</f>
        <v>7932.1693171204297</v>
      </c>
      <c r="D127" s="87">
        <f>IF(D36=0,0,1000000*D36/TrRoad_act!D76)</f>
        <v>7657.8641243881139</v>
      </c>
      <c r="E127" s="87">
        <f>IF(E36=0,0,1000000*E36/TrRoad_act!E76)</f>
        <v>7395.3612778791758</v>
      </c>
      <c r="F127" s="87">
        <f>IF(F36=0,0,1000000*F36/TrRoad_act!F76)</f>
        <v>7091.2326872201311</v>
      </c>
      <c r="G127" s="87">
        <f>IF(G36=0,0,1000000*G36/TrRoad_act!G76)</f>
        <v>6885.8108998239459</v>
      </c>
      <c r="H127" s="87">
        <f>IF(H36=0,0,1000000*H36/TrRoad_act!H76)</f>
        <v>6747.9561805941548</v>
      </c>
      <c r="I127" s="87">
        <f>IF(I36=0,0,1000000*I36/TrRoad_act!I76)</f>
        <v>6558.8980106321533</v>
      </c>
      <c r="J127" s="87">
        <f>IF(J36=0,0,1000000*J36/TrRoad_act!J76)</f>
        <v>6371.7878041551476</v>
      </c>
      <c r="K127" s="87">
        <f>IF(K36=0,0,1000000*K36/TrRoad_act!K76)</f>
        <v>6158.4681999107679</v>
      </c>
      <c r="L127" s="87">
        <f>IF(L36=0,0,1000000*L36/TrRoad_act!L76)</f>
        <v>6195.8253416188336</v>
      </c>
      <c r="M127" s="87">
        <f>IF(M36=0,0,1000000*M36/TrRoad_act!M76)</f>
        <v>6225.1336378525893</v>
      </c>
      <c r="N127" s="87">
        <f>IF(N36=0,0,1000000*N36/TrRoad_act!N76)</f>
        <v>5960.1085000829271</v>
      </c>
      <c r="O127" s="87">
        <f>IF(O36=0,0,1000000*O36/TrRoad_act!O76)</f>
        <v>5702.0023239806278</v>
      </c>
      <c r="P127" s="87">
        <f>IF(P36=0,0,1000000*P36/TrRoad_act!P76)</f>
        <v>5734.7477608164954</v>
      </c>
      <c r="Q127" s="87">
        <f>IF(Q36=0,0,1000000*Q36/TrRoad_act!Q76)</f>
        <v>5646.0383188418282</v>
      </c>
      <c r="R127" s="87">
        <f>IF(R36=0,0,1000000*R36/TrRoad_act!R76)</f>
        <v>5585.680799941948</v>
      </c>
      <c r="S127" s="87">
        <f>IF(S36=0,0,1000000*S36/TrRoad_act!S76)</f>
        <v>5264.3344555917847</v>
      </c>
      <c r="T127" s="87">
        <f>IF(T36=0,0,1000000*T36/TrRoad_act!T76)</f>
        <v>5141.7500147269193</v>
      </c>
      <c r="U127" s="87">
        <f>IF(U36=0,0,1000000*U36/TrRoad_act!U76)</f>
        <v>5008.9850769315608</v>
      </c>
      <c r="V127" s="87">
        <f>IF(V36=0,0,1000000*V36/TrRoad_act!V76)</f>
        <v>4694.2604401142771</v>
      </c>
      <c r="W127" s="87">
        <f>IF(W36=0,0,1000000*W36/TrRoad_act!W76)</f>
        <v>4717.9916589713475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3074.3638546563161</v>
      </c>
      <c r="P128" s="87">
        <f>IF(P37=0,0,1000000*P37/TrRoad_act!P77)</f>
        <v>3203.5104997222925</v>
      </c>
      <c r="Q128" s="87">
        <f>IF(Q37=0,0,1000000*Q37/TrRoad_act!Q77)</f>
        <v>3290.1225682959503</v>
      </c>
      <c r="R128" s="87">
        <f>IF(R37=0,0,1000000*R37/TrRoad_act!R77)</f>
        <v>3285.5234748107305</v>
      </c>
      <c r="S128" s="87">
        <f>IF(S37=0,0,1000000*S37/TrRoad_act!S77)</f>
        <v>3109.1044146088884</v>
      </c>
      <c r="T128" s="87">
        <f>IF(T37=0,0,1000000*T37/TrRoad_act!T77)</f>
        <v>2939.1700217269463</v>
      </c>
      <c r="U128" s="87">
        <f>IF(U37=0,0,1000000*U37/TrRoad_act!U77)</f>
        <v>2431.7074429821591</v>
      </c>
      <c r="V128" s="87">
        <f>IF(V37=0,0,1000000*V37/TrRoad_act!V77)</f>
        <v>2332.6119916741391</v>
      </c>
      <c r="W128" s="87">
        <f>IF(W37=0,0,1000000*W37/TrRoad_act!W77)</f>
        <v>2304.6153512044343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307177.38376333844</v>
      </c>
      <c r="C131" s="116">
        <f>IF(C40=0,0,1000000*C40/TrRoad_act!C80)</f>
        <v>378199.28590603941</v>
      </c>
      <c r="D131" s="116">
        <f>IF(D40=0,0,1000000*D40/TrRoad_act!D80)</f>
        <v>441505.81260889693</v>
      </c>
      <c r="E131" s="116">
        <f>IF(E40=0,0,1000000*E40/TrRoad_act!E80)</f>
        <v>512388.5516645938</v>
      </c>
      <c r="F131" s="116">
        <f>IF(F40=0,0,1000000*F40/TrRoad_act!F80)</f>
        <v>721171.99621375022</v>
      </c>
      <c r="G131" s="116">
        <f>IF(G40=0,0,1000000*G40/TrRoad_act!G80)</f>
        <v>699898.43388030468</v>
      </c>
      <c r="H131" s="116">
        <f>IF(H40=0,0,1000000*H40/TrRoad_act!H80)</f>
        <v>652704.5250083385</v>
      </c>
      <c r="I131" s="116">
        <f>IF(I40=0,0,1000000*I40/TrRoad_act!I80)</f>
        <v>619271.99517517805</v>
      </c>
      <c r="J131" s="116">
        <f>IF(J40=0,0,1000000*J40/TrRoad_act!J80)</f>
        <v>522652.10366958869</v>
      </c>
      <c r="K131" s="116">
        <f>IF(K40=0,0,1000000*K40/TrRoad_act!K80)</f>
        <v>402168.65592665673</v>
      </c>
      <c r="L131" s="116">
        <f>IF(L40=0,0,1000000*L40/TrRoad_act!L80)</f>
        <v>449942.79757963907</v>
      </c>
      <c r="M131" s="116">
        <f>IF(M40=0,0,1000000*M40/TrRoad_act!M80)</f>
        <v>469766.29062142555</v>
      </c>
      <c r="N131" s="116">
        <f>IF(N40=0,0,1000000*N40/TrRoad_act!N80)</f>
        <v>453694.21785319643</v>
      </c>
      <c r="O131" s="116">
        <f>IF(O40=0,0,1000000*O40/TrRoad_act!O80)</f>
        <v>581148.09177934437</v>
      </c>
      <c r="P131" s="116">
        <f>IF(P40=0,0,1000000*P40/TrRoad_act!P80)</f>
        <v>608749.86148724123</v>
      </c>
      <c r="Q131" s="116">
        <f>IF(Q40=0,0,1000000*Q40/TrRoad_act!Q80)</f>
        <v>523838.33534372848</v>
      </c>
      <c r="R131" s="116">
        <f>IF(R40=0,0,1000000*R40/TrRoad_act!R80)</f>
        <v>487018.98137637641</v>
      </c>
      <c r="S131" s="116">
        <f>IF(S40=0,0,1000000*S40/TrRoad_act!S80)</f>
        <v>457490.27993632207</v>
      </c>
      <c r="T131" s="116">
        <f>IF(T40=0,0,1000000*T40/TrRoad_act!T80)</f>
        <v>520409.33616423275</v>
      </c>
      <c r="U131" s="116">
        <f>IF(U40=0,0,1000000*U40/TrRoad_act!U80)</f>
        <v>525700.16908256605</v>
      </c>
      <c r="V131" s="116">
        <f>IF(V40=0,0,1000000*V40/TrRoad_act!V80)</f>
        <v>359988.06444219837</v>
      </c>
      <c r="W131" s="116">
        <f>IF(W40=0,0,1000000*W40/TrRoad_act!W80)</f>
        <v>393833.94049730006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15361.372936127966</v>
      </c>
      <c r="C132" s="101">
        <f>IF(C41=0,0,1000000*C41/TrRoad_act!C81)</f>
        <v>20518.698381743878</v>
      </c>
      <c r="D132" s="101">
        <f>IF(D41=0,0,1000000*D41/TrRoad_act!D81)</f>
        <v>26907.943080433037</v>
      </c>
      <c r="E132" s="101">
        <f>IF(E41=0,0,1000000*E41/TrRoad_act!E81)</f>
        <v>27034.260365646784</v>
      </c>
      <c r="F132" s="101">
        <f>IF(F41=0,0,1000000*F41/TrRoad_act!F81)</f>
        <v>30120.294183129579</v>
      </c>
      <c r="G132" s="101">
        <f>IF(G41=0,0,1000000*G41/TrRoad_act!G81)</f>
        <v>24084.406345599011</v>
      </c>
      <c r="H132" s="101">
        <f>IF(H41=0,0,1000000*H41/TrRoad_act!H81)</f>
        <v>25353.389384402541</v>
      </c>
      <c r="I132" s="101">
        <f>IF(I41=0,0,1000000*I41/TrRoad_act!I81)</f>
        <v>25033.691458972033</v>
      </c>
      <c r="J132" s="101">
        <f>IF(J41=0,0,1000000*J41/TrRoad_act!J81)</f>
        <v>19075.952950130781</v>
      </c>
      <c r="K132" s="101">
        <f>IF(K41=0,0,1000000*K41/TrRoad_act!K81)</f>
        <v>10395.428138051524</v>
      </c>
      <c r="L132" s="101">
        <f>IF(L41=0,0,1000000*L41/TrRoad_act!L81)</f>
        <v>11619.155328077593</v>
      </c>
      <c r="M132" s="101">
        <f>IF(M41=0,0,1000000*M41/TrRoad_act!M81)</f>
        <v>12446.378878481211</v>
      </c>
      <c r="N132" s="101">
        <f>IF(N41=0,0,1000000*N41/TrRoad_act!N81)</f>
        <v>19865.525653972312</v>
      </c>
      <c r="O132" s="101">
        <f>IF(O41=0,0,1000000*O41/TrRoad_act!O81)</f>
        <v>21446.206896175911</v>
      </c>
      <c r="P132" s="101">
        <f>IF(P41=0,0,1000000*P41/TrRoad_act!P81)</f>
        <v>32966.76735270983</v>
      </c>
      <c r="Q132" s="101">
        <f>IF(Q41=0,0,1000000*Q41/TrRoad_act!Q81)</f>
        <v>25568.419364518883</v>
      </c>
      <c r="R132" s="101">
        <f>IF(R41=0,0,1000000*R41/TrRoad_act!R81)</f>
        <v>25044.132799980056</v>
      </c>
      <c r="S132" s="101">
        <f>IF(S41=0,0,1000000*S41/TrRoad_act!S81)</f>
        <v>21105.908181592546</v>
      </c>
      <c r="T132" s="101">
        <f>IF(T41=0,0,1000000*T41/TrRoad_act!T81)</f>
        <v>22818.121926578886</v>
      </c>
      <c r="U132" s="101">
        <f>IF(U41=0,0,1000000*U41/TrRoad_act!U81)</f>
        <v>21378.258239017508</v>
      </c>
      <c r="V132" s="101">
        <f>IF(V41=0,0,1000000*V41/TrRoad_act!V81)</f>
        <v>15139.579052522235</v>
      </c>
      <c r="W132" s="101">
        <f>IF(W41=0,0,1000000*W41/TrRoad_act!W81)</f>
        <v>19510.976353698665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2274194.1549271173</v>
      </c>
      <c r="C133" s="88">
        <f>IF(C42=0,0,1000000*C42/TrRoad_act!C82)</f>
        <v>2297293.2074306249</v>
      </c>
      <c r="D133" s="88">
        <f>IF(D42=0,0,1000000*D42/TrRoad_act!D82)</f>
        <v>2312100.071255601</v>
      </c>
      <c r="E133" s="88">
        <f>IF(E42=0,0,1000000*E42/TrRoad_act!E82)</f>
        <v>2657440.1671530004</v>
      </c>
      <c r="F133" s="88">
        <f>IF(F42=0,0,1000000*F42/TrRoad_act!F82)</f>
        <v>3051319.6391817681</v>
      </c>
      <c r="G133" s="88">
        <f>IF(G42=0,0,1000000*G42/TrRoad_act!G82)</f>
        <v>3360771.0182373123</v>
      </c>
      <c r="H133" s="88">
        <f>IF(H42=0,0,1000000*H42/TrRoad_act!H82)</f>
        <v>3280466.7219663481</v>
      </c>
      <c r="I133" s="88">
        <f>IF(I42=0,0,1000000*I42/TrRoad_act!I82)</f>
        <v>2824970.7360540768</v>
      </c>
      <c r="J133" s="88">
        <f>IF(J42=0,0,1000000*J42/TrRoad_act!J82)</f>
        <v>2520464.037855735</v>
      </c>
      <c r="K133" s="88">
        <f>IF(K42=0,0,1000000*K42/TrRoad_act!K82)</f>
        <v>2472878.7016608836</v>
      </c>
      <c r="L133" s="88">
        <f>IF(L42=0,0,1000000*L42/TrRoad_act!L82)</f>
        <v>2703685.6195502658</v>
      </c>
      <c r="M133" s="88">
        <f>IF(M42=0,0,1000000*M42/TrRoad_act!M82)</f>
        <v>2885362.860297902</v>
      </c>
      <c r="N133" s="88">
        <f>IF(N42=0,0,1000000*N42/TrRoad_act!N82)</f>
        <v>2322021.0484173498</v>
      </c>
      <c r="O133" s="88">
        <f>IF(O42=0,0,1000000*O42/TrRoad_act!O82)</f>
        <v>2374348.3573173648</v>
      </c>
      <c r="P133" s="88">
        <f>IF(P42=0,0,1000000*P42/TrRoad_act!P82)</f>
        <v>2064913.8539408334</v>
      </c>
      <c r="Q133" s="88">
        <f>IF(Q42=0,0,1000000*Q42/TrRoad_act!Q82)</f>
        <v>2165659.2701359629</v>
      </c>
      <c r="R133" s="88">
        <f>IF(R42=0,0,1000000*R42/TrRoad_act!R82)</f>
        <v>1951071.6264971618</v>
      </c>
      <c r="S133" s="88">
        <f>IF(S42=0,0,1000000*S42/TrRoad_act!S82)</f>
        <v>1943572.4391568946</v>
      </c>
      <c r="T133" s="88">
        <f>IF(T42=0,0,1000000*T42/TrRoad_act!T82)</f>
        <v>2207908.2049543122</v>
      </c>
      <c r="U133" s="88">
        <f>IF(U42=0,0,1000000*U42/TrRoad_act!U82)</f>
        <v>2286931.1119371778</v>
      </c>
      <c r="V133" s="88">
        <f>IF(V42=0,0,1000000*V42/TrRoad_act!V82)</f>
        <v>1805350.771022934</v>
      </c>
      <c r="W133" s="88">
        <f>IF(W42=0,0,1000000*W42/TrRoad_act!W82)</f>
        <v>1734547.9650032581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0.56835648703407038</v>
      </c>
      <c r="C136" s="46">
        <f t="shared" si="40"/>
        <v>0.55538739487781907</v>
      </c>
      <c r="D136" s="46">
        <f t="shared" si="40"/>
        <v>0.54663066755120415</v>
      </c>
      <c r="E136" s="46">
        <f t="shared" si="40"/>
        <v>0.52455425667605182</v>
      </c>
      <c r="F136" s="46">
        <f t="shared" si="40"/>
        <v>0.45893149316930365</v>
      </c>
      <c r="G136" s="46">
        <f t="shared" si="40"/>
        <v>0.42059944735780602</v>
      </c>
      <c r="H136" s="46">
        <f t="shared" si="40"/>
        <v>0.42330792092357589</v>
      </c>
      <c r="I136" s="46">
        <f t="shared" si="40"/>
        <v>0.44217979170144056</v>
      </c>
      <c r="J136" s="46">
        <f t="shared" si="40"/>
        <v>0.44413818117103432</v>
      </c>
      <c r="K136" s="46">
        <f t="shared" si="40"/>
        <v>0.47319105412180107</v>
      </c>
      <c r="L136" s="46">
        <f t="shared" si="41"/>
        <v>0.43834250133685609</v>
      </c>
      <c r="M136" s="46">
        <f t="shared" si="40"/>
        <v>0.44098658706418642</v>
      </c>
      <c r="N136" s="46">
        <f t="shared" si="40"/>
        <v>0.46116180629497971</v>
      </c>
      <c r="O136" s="46">
        <f t="shared" si="40"/>
        <v>0.44360639001055241</v>
      </c>
      <c r="P136" s="46">
        <f t="shared" si="40"/>
        <v>0.45593267066989795</v>
      </c>
      <c r="Q136" s="46">
        <f t="shared" si="40"/>
        <v>0.47064209570330201</v>
      </c>
      <c r="R136" s="46">
        <f t="shared" si="40"/>
        <v>0.47045106955011062</v>
      </c>
      <c r="S136" s="46">
        <f t="shared" si="40"/>
        <v>0.45792859123500601</v>
      </c>
      <c r="T136" s="46">
        <f t="shared" si="40"/>
        <v>0.44534198942364289</v>
      </c>
      <c r="U136" s="46">
        <f t="shared" si="40"/>
        <v>0.42516392396585179</v>
      </c>
      <c r="V136" s="46">
        <f t="shared" si="40"/>
        <v>0.42466947418748263</v>
      </c>
      <c r="W136" s="46">
        <f t="shared" si="42"/>
        <v>0.44100625836346447</v>
      </c>
      <c r="DA136" s="211"/>
    </row>
    <row r="137" spans="1:105" ht="11.45" customHeight="1" x14ac:dyDescent="0.25">
      <c r="A137" s="153" t="s">
        <v>180</v>
      </c>
      <c r="B137" s="154">
        <f t="shared" si="40"/>
        <v>9.5048145859226722E-4</v>
      </c>
      <c r="C137" s="154">
        <f t="shared" si="40"/>
        <v>9.2173295050790576E-4</v>
      </c>
      <c r="D137" s="154">
        <f t="shared" si="40"/>
        <v>9.2820664756011815E-4</v>
      </c>
      <c r="E137" s="154">
        <f t="shared" si="40"/>
        <v>8.5189562036074344E-4</v>
      </c>
      <c r="F137" s="154">
        <f t="shared" si="40"/>
        <v>7.7171109427842395E-4</v>
      </c>
      <c r="G137" s="154">
        <f t="shared" si="40"/>
        <v>7.3868769069263798E-4</v>
      </c>
      <c r="H137" s="154">
        <f t="shared" si="40"/>
        <v>7.7736088914124484E-4</v>
      </c>
      <c r="I137" s="154">
        <f t="shared" si="40"/>
        <v>8.096239370778181E-4</v>
      </c>
      <c r="J137" s="154">
        <f t="shared" si="40"/>
        <v>8.0567446508316614E-4</v>
      </c>
      <c r="K137" s="154">
        <f t="shared" si="40"/>
        <v>8.9720689753086062E-4</v>
      </c>
      <c r="L137" s="154">
        <f t="shared" si="41"/>
        <v>8.6834411257359178E-4</v>
      </c>
      <c r="M137" s="154">
        <f t="shared" si="40"/>
        <v>8.2205612402502641E-4</v>
      </c>
      <c r="N137" s="154">
        <f t="shared" si="40"/>
        <v>9.1223059214600745E-4</v>
      </c>
      <c r="O137" s="154">
        <f t="shared" si="40"/>
        <v>9.5272304316465928E-4</v>
      </c>
      <c r="P137" s="154">
        <f t="shared" si="40"/>
        <v>1.0218720607453053E-3</v>
      </c>
      <c r="Q137" s="154">
        <f t="shared" si="40"/>
        <v>1.1185636867015324E-3</v>
      </c>
      <c r="R137" s="154">
        <f t="shared" si="40"/>
        <v>1.1875047899753378E-3</v>
      </c>
      <c r="S137" s="154">
        <f t="shared" si="40"/>
        <v>1.1340527000819184E-3</v>
      </c>
      <c r="T137" s="154">
        <f t="shared" si="40"/>
        <v>1.0059422249885847E-3</v>
      </c>
      <c r="U137" s="154">
        <f t="shared" si="40"/>
        <v>1.0059181205839933E-3</v>
      </c>
      <c r="V137" s="154">
        <f t="shared" si="40"/>
        <v>1.1916511619046797E-3</v>
      </c>
      <c r="W137" s="154">
        <f t="shared" si="42"/>
        <v>1.0557630588504474E-3</v>
      </c>
      <c r="DA137" s="212"/>
    </row>
    <row r="138" spans="1:105" ht="11.45" customHeight="1" x14ac:dyDescent="0.25">
      <c r="A138" s="155" t="s">
        <v>20</v>
      </c>
      <c r="B138" s="156">
        <f t="shared" si="40"/>
        <v>0.55158652749000925</v>
      </c>
      <c r="C138" s="156">
        <f t="shared" si="40"/>
        <v>0.53892696655057137</v>
      </c>
      <c r="D138" s="156">
        <f t="shared" si="40"/>
        <v>0.52992725902493976</v>
      </c>
      <c r="E138" s="156">
        <f t="shared" si="40"/>
        <v>0.50936978906109798</v>
      </c>
      <c r="F138" s="156">
        <f t="shared" si="40"/>
        <v>0.44588502795628554</v>
      </c>
      <c r="G138" s="156">
        <f t="shared" si="40"/>
        <v>0.40796856874659604</v>
      </c>
      <c r="H138" s="156">
        <f t="shared" si="40"/>
        <v>0.41013828494138899</v>
      </c>
      <c r="I138" s="156">
        <f t="shared" si="40"/>
        <v>0.42841379907868432</v>
      </c>
      <c r="J138" s="156">
        <f t="shared" si="40"/>
        <v>0.4301264739762744</v>
      </c>
      <c r="K138" s="156">
        <f t="shared" si="40"/>
        <v>0.4576185925860824</v>
      </c>
      <c r="L138" s="156">
        <f t="shared" si="41"/>
        <v>0.42328562708875428</v>
      </c>
      <c r="M138" s="156">
        <f t="shared" si="40"/>
        <v>0.42644458284133685</v>
      </c>
      <c r="N138" s="156">
        <f t="shared" si="40"/>
        <v>0.44594884815752922</v>
      </c>
      <c r="O138" s="156">
        <f t="shared" si="40"/>
        <v>0.42801626716099989</v>
      </c>
      <c r="P138" s="156">
        <f t="shared" si="40"/>
        <v>0.43975364278042006</v>
      </c>
      <c r="Q138" s="156">
        <f t="shared" si="40"/>
        <v>0.45277979279264796</v>
      </c>
      <c r="R138" s="156">
        <f t="shared" si="40"/>
        <v>0.45166333914161638</v>
      </c>
      <c r="S138" s="156">
        <f t="shared" si="40"/>
        <v>0.43915765330914242</v>
      </c>
      <c r="T138" s="156">
        <f t="shared" si="40"/>
        <v>0.4275761421825286</v>
      </c>
      <c r="U138" s="156">
        <f t="shared" si="40"/>
        <v>0.40778154754031903</v>
      </c>
      <c r="V138" s="156">
        <f t="shared" si="40"/>
        <v>0.40300048281584461</v>
      </c>
      <c r="W138" s="156">
        <f t="shared" si="42"/>
        <v>0.42097103357405052</v>
      </c>
      <c r="DA138" s="213"/>
    </row>
    <row r="139" spans="1:105" ht="11.45" customHeight="1" x14ac:dyDescent="0.25">
      <c r="A139" s="157" t="s">
        <v>110</v>
      </c>
      <c r="B139" s="103">
        <f t="shared" si="40"/>
        <v>0.35859330903582942</v>
      </c>
      <c r="C139" s="103">
        <f t="shared" si="40"/>
        <v>0.33616709134570633</v>
      </c>
      <c r="D139" s="103">
        <f t="shared" si="40"/>
        <v>0.3151025715829987</v>
      </c>
      <c r="E139" s="103">
        <f t="shared" si="40"/>
        <v>0.29007432582931314</v>
      </c>
      <c r="F139" s="103">
        <f t="shared" si="40"/>
        <v>0.24083088678522471</v>
      </c>
      <c r="G139" s="103">
        <f t="shared" si="40"/>
        <v>0.20742634801564347</v>
      </c>
      <c r="H139" s="103">
        <f t="shared" si="40"/>
        <v>0.19458179431885619</v>
      </c>
      <c r="I139" s="103">
        <f t="shared" si="40"/>
        <v>0.19410543961842078</v>
      </c>
      <c r="J139" s="103">
        <f t="shared" si="40"/>
        <v>0.18251613774416725</v>
      </c>
      <c r="K139" s="103">
        <f t="shared" si="40"/>
        <v>0.18247682435077758</v>
      </c>
      <c r="L139" s="103">
        <f t="shared" si="41"/>
        <v>0.16008283447937427</v>
      </c>
      <c r="M139" s="103">
        <f t="shared" si="40"/>
        <v>0.15406312914931394</v>
      </c>
      <c r="N139" s="103">
        <f t="shared" si="40"/>
        <v>0.15687067988303577</v>
      </c>
      <c r="O139" s="103">
        <f t="shared" si="40"/>
        <v>0.14571062747077623</v>
      </c>
      <c r="P139" s="103">
        <f t="shared" si="40"/>
        <v>0.14637129712353703</v>
      </c>
      <c r="Q139" s="103">
        <f t="shared" si="40"/>
        <v>0.14675221179003797</v>
      </c>
      <c r="R139" s="103">
        <f t="shared" si="40"/>
        <v>0.14704599337705657</v>
      </c>
      <c r="S139" s="103">
        <f t="shared" si="40"/>
        <v>0.15271070810683426</v>
      </c>
      <c r="T139" s="103">
        <f t="shared" si="40"/>
        <v>0.1562586341698764</v>
      </c>
      <c r="U139" s="103">
        <f t="shared" si="40"/>
        <v>0.15936859215377683</v>
      </c>
      <c r="V139" s="103">
        <f t="shared" si="40"/>
        <v>0.16118863048642221</v>
      </c>
      <c r="W139" s="103">
        <f t="shared" si="42"/>
        <v>0.18221134449386059</v>
      </c>
      <c r="DA139" s="191"/>
    </row>
    <row r="140" spans="1:105" ht="11.45" customHeight="1" x14ac:dyDescent="0.25">
      <c r="A140" s="157" t="s">
        <v>111</v>
      </c>
      <c r="B140" s="103">
        <f t="shared" si="40"/>
        <v>0.19177870011417311</v>
      </c>
      <c r="C140" s="103">
        <f t="shared" si="40"/>
        <v>0.20102606376252097</v>
      </c>
      <c r="D140" s="103">
        <f t="shared" si="40"/>
        <v>0.21260601296675022</v>
      </c>
      <c r="E140" s="103">
        <f t="shared" si="40"/>
        <v>0.21779125797681326</v>
      </c>
      <c r="F140" s="103">
        <f t="shared" si="40"/>
        <v>0.2037661397979991</v>
      </c>
      <c r="G140" s="103">
        <f t="shared" si="40"/>
        <v>0.19972986698310582</v>
      </c>
      <c r="H140" s="103">
        <f t="shared" si="40"/>
        <v>0.21513231255100082</v>
      </c>
      <c r="I140" s="103">
        <f t="shared" si="40"/>
        <v>0.23342399470628933</v>
      </c>
      <c r="J140" s="103">
        <f t="shared" si="40"/>
        <v>0.24673854651997171</v>
      </c>
      <c r="K140" s="103">
        <f t="shared" si="40"/>
        <v>0.27450387038580776</v>
      </c>
      <c r="L140" s="103">
        <f t="shared" si="41"/>
        <v>0.26259896497544138</v>
      </c>
      <c r="M140" s="103">
        <f t="shared" si="40"/>
        <v>0.2721186437306013</v>
      </c>
      <c r="N140" s="103">
        <f t="shared" si="40"/>
        <v>0.28801770317168385</v>
      </c>
      <c r="O140" s="103">
        <f t="shared" si="40"/>
        <v>0.28135110202937114</v>
      </c>
      <c r="P140" s="103">
        <f t="shared" si="40"/>
        <v>0.29232836930435013</v>
      </c>
      <c r="Q140" s="103">
        <f t="shared" si="40"/>
        <v>0.30528268619536675</v>
      </c>
      <c r="R140" s="103">
        <f t="shared" si="40"/>
        <v>0.3038242156106265</v>
      </c>
      <c r="S140" s="103">
        <f t="shared" si="40"/>
        <v>0.28580940894762463</v>
      </c>
      <c r="T140" s="103">
        <f t="shared" si="40"/>
        <v>0.27067882484866729</v>
      </c>
      <c r="U140" s="103">
        <f t="shared" si="40"/>
        <v>0.24754482281567572</v>
      </c>
      <c r="V140" s="103">
        <f t="shared" si="40"/>
        <v>0.24062989469782409</v>
      </c>
      <c r="W140" s="103">
        <f t="shared" si="42"/>
        <v>0.23641900230813315</v>
      </c>
      <c r="DA140" s="191"/>
    </row>
    <row r="141" spans="1:105" ht="11.45" customHeight="1" x14ac:dyDescent="0.25">
      <c r="A141" s="157" t="s">
        <v>112</v>
      </c>
      <c r="B141" s="103">
        <f t="shared" si="40"/>
        <v>1.2145183400067816E-3</v>
      </c>
      <c r="C141" s="103">
        <f t="shared" si="40"/>
        <v>1.7338114423440271E-3</v>
      </c>
      <c r="D141" s="103">
        <f t="shared" si="40"/>
        <v>2.2186744751908618E-3</v>
      </c>
      <c r="E141" s="103">
        <f t="shared" si="40"/>
        <v>1.5042052549715699E-3</v>
      </c>
      <c r="F141" s="103">
        <f t="shared" si="40"/>
        <v>1.2880013730617501E-3</v>
      </c>
      <c r="G141" s="103">
        <f t="shared" si="40"/>
        <v>8.1235374784678106E-4</v>
      </c>
      <c r="H141" s="103">
        <f t="shared" si="40"/>
        <v>4.2417807153198128E-4</v>
      </c>
      <c r="I141" s="103">
        <f t="shared" si="40"/>
        <v>8.8436475397423288E-4</v>
      </c>
      <c r="J141" s="103">
        <f t="shared" si="40"/>
        <v>8.7178971213548175E-4</v>
      </c>
      <c r="K141" s="103">
        <f t="shared" si="40"/>
        <v>6.3789784949702904E-4</v>
      </c>
      <c r="L141" s="103">
        <f t="shared" si="41"/>
        <v>6.0382763393867112E-4</v>
      </c>
      <c r="M141" s="103">
        <f t="shared" si="40"/>
        <v>2.6280996142156191E-4</v>
      </c>
      <c r="N141" s="103">
        <f t="shared" si="40"/>
        <v>7.525051353819629E-4</v>
      </c>
      <c r="O141" s="103">
        <f t="shared" si="40"/>
        <v>4.9906003320365332E-4</v>
      </c>
      <c r="P141" s="103">
        <f t="shared" si="40"/>
        <v>5.99800876292253E-4</v>
      </c>
      <c r="Q141" s="103">
        <f t="shared" si="40"/>
        <v>3.0158491904471948E-4</v>
      </c>
      <c r="R141" s="103">
        <f t="shared" si="40"/>
        <v>3.3235315964730099E-4</v>
      </c>
      <c r="S141" s="103">
        <f t="shared" si="40"/>
        <v>2.7235208198508496E-4</v>
      </c>
      <c r="T141" s="103">
        <f t="shared" si="40"/>
        <v>1.1414768684646786E-4</v>
      </c>
      <c r="U141" s="103">
        <f t="shared" si="40"/>
        <v>1.0347156778533653E-4</v>
      </c>
      <c r="V141" s="103">
        <f t="shared" si="40"/>
        <v>5.4162985406434071E-5</v>
      </c>
      <c r="W141" s="103">
        <f t="shared" si="42"/>
        <v>1.0331671951659576E-4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3.0795996742762256E-4</v>
      </c>
      <c r="O143" s="103">
        <f t="shared" si="40"/>
        <v>4.5547762764885962E-4</v>
      </c>
      <c r="P143" s="103">
        <f t="shared" si="40"/>
        <v>4.5417547624071279E-4</v>
      </c>
      <c r="Q143" s="103">
        <f t="shared" si="40"/>
        <v>4.4330988819860339E-4</v>
      </c>
      <c r="R143" s="103">
        <f t="shared" si="40"/>
        <v>4.6077699428599033E-4</v>
      </c>
      <c r="S143" s="103">
        <f t="shared" si="40"/>
        <v>3.6518417269847532E-4</v>
      </c>
      <c r="T143" s="103">
        <f t="shared" si="40"/>
        <v>5.2453547713838308E-4</v>
      </c>
      <c r="U143" s="103">
        <f t="shared" si="40"/>
        <v>7.6466100308119267E-4</v>
      </c>
      <c r="V143" s="103">
        <f t="shared" si="40"/>
        <v>1.1277946461918931E-3</v>
      </c>
      <c r="W143" s="103">
        <f t="shared" si="42"/>
        <v>2.2373700525402571E-3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1.5819478085468911E-2</v>
      </c>
      <c r="C145" s="156">
        <f t="shared" si="40"/>
        <v>1.553869537673977E-2</v>
      </c>
      <c r="D145" s="156">
        <f t="shared" si="40"/>
        <v>1.577520187870422E-2</v>
      </c>
      <c r="E145" s="156">
        <f t="shared" si="40"/>
        <v>1.4332571994593146E-2</v>
      </c>
      <c r="F145" s="156">
        <f t="shared" si="40"/>
        <v>1.2274754118739694E-2</v>
      </c>
      <c r="G145" s="156">
        <f t="shared" si="40"/>
        <v>1.1892190920517375E-2</v>
      </c>
      <c r="H145" s="156">
        <f t="shared" si="40"/>
        <v>1.2392275093045597E-2</v>
      </c>
      <c r="I145" s="156">
        <f t="shared" si="40"/>
        <v>1.2956368685678421E-2</v>
      </c>
      <c r="J145" s="156">
        <f t="shared" si="40"/>
        <v>1.3206032729676772E-2</v>
      </c>
      <c r="K145" s="156">
        <f t="shared" si="40"/>
        <v>1.4675254638187769E-2</v>
      </c>
      <c r="L145" s="156">
        <f t="shared" si="41"/>
        <v>1.4188530135528243E-2</v>
      </c>
      <c r="M145" s="156">
        <f t="shared" si="40"/>
        <v>1.3719948098824517E-2</v>
      </c>
      <c r="N145" s="156">
        <f t="shared" si="40"/>
        <v>1.430072754530457E-2</v>
      </c>
      <c r="O145" s="156">
        <f t="shared" si="40"/>
        <v>1.463739980638782E-2</v>
      </c>
      <c r="P145" s="156">
        <f t="shared" si="40"/>
        <v>1.5157155828732624E-2</v>
      </c>
      <c r="Q145" s="156">
        <f t="shared" si="40"/>
        <v>1.6743739223952465E-2</v>
      </c>
      <c r="R145" s="156">
        <f t="shared" si="40"/>
        <v>1.7600225618518935E-2</v>
      </c>
      <c r="S145" s="156">
        <f t="shared" si="40"/>
        <v>1.7636885225781704E-2</v>
      </c>
      <c r="T145" s="156">
        <f t="shared" si="40"/>
        <v>1.6759905016125776E-2</v>
      </c>
      <c r="U145" s="156">
        <f t="shared" si="40"/>
        <v>1.6376458304948747E-2</v>
      </c>
      <c r="V145" s="156">
        <f t="shared" si="40"/>
        <v>2.0477340209733345E-2</v>
      </c>
      <c r="W145" s="156">
        <f t="shared" si="42"/>
        <v>1.8979461730563404E-2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6.2145184372145683E-7</v>
      </c>
      <c r="U146" s="103">
        <f t="shared" si="40"/>
        <v>5.7034947209255303E-7</v>
      </c>
      <c r="V146" s="103">
        <f t="shared" si="40"/>
        <v>7.1923476205467442E-7</v>
      </c>
      <c r="W146" s="103">
        <f t="shared" si="42"/>
        <v>6.2711797980432956E-7</v>
      </c>
      <c r="DA146" s="191"/>
    </row>
    <row r="147" spans="1:105" ht="11.45" customHeight="1" x14ac:dyDescent="0.25">
      <c r="A147" s="157" t="s">
        <v>111</v>
      </c>
      <c r="B147" s="103">
        <f t="shared" si="40"/>
        <v>1.5819478085468911E-2</v>
      </c>
      <c r="C147" s="103">
        <f t="shared" si="40"/>
        <v>1.553869537673977E-2</v>
      </c>
      <c r="D147" s="103">
        <f t="shared" si="40"/>
        <v>1.577520187870422E-2</v>
      </c>
      <c r="E147" s="103">
        <f t="shared" si="40"/>
        <v>1.4332571994593146E-2</v>
      </c>
      <c r="F147" s="103">
        <f t="shared" si="40"/>
        <v>1.2274754118739694E-2</v>
      </c>
      <c r="G147" s="103">
        <f t="shared" si="40"/>
        <v>1.1892190920517375E-2</v>
      </c>
      <c r="H147" s="103">
        <f t="shared" si="40"/>
        <v>1.2392275093045597E-2</v>
      </c>
      <c r="I147" s="103">
        <f t="shared" si="40"/>
        <v>1.2956368685678421E-2</v>
      </c>
      <c r="J147" s="103">
        <f t="shared" si="40"/>
        <v>1.3206032729676772E-2</v>
      </c>
      <c r="K147" s="103">
        <f t="shared" si="40"/>
        <v>1.4675254638187769E-2</v>
      </c>
      <c r="L147" s="103">
        <f t="shared" si="41"/>
        <v>1.4188530135528243E-2</v>
      </c>
      <c r="M147" s="103">
        <f t="shared" si="40"/>
        <v>1.3719948098824517E-2</v>
      </c>
      <c r="N147" s="103">
        <f t="shared" si="40"/>
        <v>1.430072754530457E-2</v>
      </c>
      <c r="O147" s="103">
        <f t="shared" si="40"/>
        <v>1.463739980638782E-2</v>
      </c>
      <c r="P147" s="103">
        <f t="shared" si="40"/>
        <v>1.5157155828732624E-2</v>
      </c>
      <c r="Q147" s="103">
        <f t="shared" si="40"/>
        <v>1.6743739223952465E-2</v>
      </c>
      <c r="R147" s="103">
        <f t="shared" ref="R147:V147" si="43">IF(R29=0,0,R29/R$17)</f>
        <v>1.7600225618518935E-2</v>
      </c>
      <c r="S147" s="103">
        <f t="shared" si="43"/>
        <v>1.7636885225781704E-2</v>
      </c>
      <c r="T147" s="103">
        <f t="shared" si="43"/>
        <v>1.6759283564282055E-2</v>
      </c>
      <c r="U147" s="103">
        <f t="shared" si="43"/>
        <v>1.6375887955476651E-2</v>
      </c>
      <c r="V147" s="103">
        <f t="shared" si="43"/>
        <v>2.0476620974971289E-2</v>
      </c>
      <c r="W147" s="103">
        <f t="shared" ref="W147" si="44">IF(W29=0,0,W29/W$17)</f>
        <v>1.8978834612583602E-2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" si="51">IF(W31=0,0,W31/W$17)</f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0.43164351296592962</v>
      </c>
      <c r="C151" s="46">
        <f t="shared" si="55"/>
        <v>0.44461260512218093</v>
      </c>
      <c r="D151" s="46">
        <f t="shared" si="55"/>
        <v>0.45336933244879596</v>
      </c>
      <c r="E151" s="46">
        <f t="shared" si="55"/>
        <v>0.47544574332394807</v>
      </c>
      <c r="F151" s="46">
        <f t="shared" si="55"/>
        <v>0.54106850683069629</v>
      </c>
      <c r="G151" s="46">
        <f t="shared" si="55"/>
        <v>0.57940055264219403</v>
      </c>
      <c r="H151" s="46">
        <f t="shared" si="55"/>
        <v>0.57669207907642417</v>
      </c>
      <c r="I151" s="46">
        <f t="shared" si="55"/>
        <v>0.55782020829855949</v>
      </c>
      <c r="J151" s="46">
        <f t="shared" si="55"/>
        <v>0.55586181882896568</v>
      </c>
      <c r="K151" s="46">
        <f t="shared" si="55"/>
        <v>0.52680894587819893</v>
      </c>
      <c r="L151" s="46">
        <f t="shared" ref="L151" si="56">IF(L33=0,0,L33/L$17)</f>
        <v>0.56165749866314396</v>
      </c>
      <c r="M151" s="46">
        <f t="shared" ref="M151:V151" si="57">IF(M33=0,0,M33/M$17)</f>
        <v>0.55901341293581353</v>
      </c>
      <c r="N151" s="46">
        <f t="shared" si="57"/>
        <v>0.53883819370502029</v>
      </c>
      <c r="O151" s="46">
        <f t="shared" si="57"/>
        <v>0.55639360998944765</v>
      </c>
      <c r="P151" s="46">
        <f t="shared" si="57"/>
        <v>0.54406732933010205</v>
      </c>
      <c r="Q151" s="46">
        <f t="shared" si="57"/>
        <v>0.52935790429669793</v>
      </c>
      <c r="R151" s="46">
        <f t="shared" si="57"/>
        <v>0.52954893044988927</v>
      </c>
      <c r="S151" s="46">
        <f t="shared" si="57"/>
        <v>0.54207140876499404</v>
      </c>
      <c r="T151" s="46">
        <f t="shared" si="57"/>
        <v>0.55465801057635722</v>
      </c>
      <c r="U151" s="46">
        <f t="shared" si="57"/>
        <v>0.5748360760341481</v>
      </c>
      <c r="V151" s="46">
        <f t="shared" si="57"/>
        <v>0.57533052581251742</v>
      </c>
      <c r="W151" s="46">
        <f t="shared" ref="W151" si="58">IF(W33=0,0,W33/W$17)</f>
        <v>0.55899374163653559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2.1252833090724073E-2</v>
      </c>
      <c r="C152" s="154">
        <f t="shared" si="59"/>
        <v>2.0877139152783941E-2</v>
      </c>
      <c r="D152" s="154">
        <f t="shared" si="59"/>
        <v>2.0892969150825023E-2</v>
      </c>
      <c r="E152" s="154">
        <f t="shared" si="59"/>
        <v>1.9255214630043756E-2</v>
      </c>
      <c r="F152" s="154">
        <f t="shared" si="59"/>
        <v>1.6882210264817094E-2</v>
      </c>
      <c r="G152" s="154">
        <f t="shared" si="59"/>
        <v>1.6545371929524436E-2</v>
      </c>
      <c r="H152" s="154">
        <f t="shared" si="59"/>
        <v>1.7939603387976594E-2</v>
      </c>
      <c r="I152" s="154">
        <f t="shared" si="59"/>
        <v>1.952576814356697E-2</v>
      </c>
      <c r="J152" s="154">
        <f t="shared" si="59"/>
        <v>2.018560957866913E-2</v>
      </c>
      <c r="K152" s="154">
        <f t="shared" si="59"/>
        <v>2.1921210800889289E-2</v>
      </c>
      <c r="L152" s="154">
        <f t="shared" ref="L152" si="60">IF(L34=0,0,L34/L$17)</f>
        <v>2.1662377455604426E-2</v>
      </c>
      <c r="M152" s="154">
        <f t="shared" ref="M152:V152" si="61">IF(M34=0,0,M34/M$17)</f>
        <v>2.1589899849643199E-2</v>
      </c>
      <c r="N152" s="154">
        <f t="shared" si="61"/>
        <v>2.3027034205006711E-2</v>
      </c>
      <c r="O152" s="154">
        <f t="shared" si="61"/>
        <v>2.3783743547379926E-2</v>
      </c>
      <c r="P152" s="154">
        <f t="shared" si="61"/>
        <v>2.5873844113098166E-2</v>
      </c>
      <c r="Q152" s="154">
        <f t="shared" si="61"/>
        <v>2.8540401816424903E-2</v>
      </c>
      <c r="R152" s="154">
        <f t="shared" si="61"/>
        <v>3.0589541899152438E-2</v>
      </c>
      <c r="S152" s="154">
        <f t="shared" si="61"/>
        <v>2.9991998133205626E-2</v>
      </c>
      <c r="T152" s="154">
        <f t="shared" si="61"/>
        <v>2.8881435044106535E-2</v>
      </c>
      <c r="U152" s="154">
        <f t="shared" si="61"/>
        <v>2.8595842294577529E-2</v>
      </c>
      <c r="V152" s="154">
        <f t="shared" si="61"/>
        <v>3.7179225633447492E-2</v>
      </c>
      <c r="W152" s="154">
        <f t="shared" ref="W152" si="62">IF(W34=0,0,W34/W$17)</f>
        <v>3.6478924910508539E-2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1.8452308373004096E-3</v>
      </c>
      <c r="C153" s="103">
        <f t="shared" si="63"/>
        <v>1.5675264562998806E-3</v>
      </c>
      <c r="D153" s="103">
        <f t="shared" si="63"/>
        <v>1.3642579329296697E-3</v>
      </c>
      <c r="E153" s="103">
        <f t="shared" si="63"/>
        <v>1.0967912227904525E-3</v>
      </c>
      <c r="F153" s="103">
        <f t="shared" si="63"/>
        <v>8.1623457508227216E-4</v>
      </c>
      <c r="G153" s="103">
        <f t="shared" si="63"/>
        <v>6.6987515498635991E-4</v>
      </c>
      <c r="H153" s="103">
        <f t="shared" si="63"/>
        <v>6.1659464656164975E-4</v>
      </c>
      <c r="I153" s="103">
        <f t="shared" si="63"/>
        <v>5.8558108341869822E-4</v>
      </c>
      <c r="J153" s="103">
        <f t="shared" si="63"/>
        <v>5.3936437710760379E-4</v>
      </c>
      <c r="K153" s="103">
        <f t="shared" si="63"/>
        <v>5.1282066997327834E-4</v>
      </c>
      <c r="L153" s="103">
        <f t="shared" ref="L153" si="64">IF(L35=0,0,L35/L$17)</f>
        <v>4.6347913564577563E-4</v>
      </c>
      <c r="M153" s="103">
        <f t="shared" ref="M153:V153" si="65">IF(M35=0,0,M35/M$17)</f>
        <v>4.1269731404136356E-4</v>
      </c>
      <c r="N153" s="103">
        <f t="shared" si="65"/>
        <v>4.030833592311027E-4</v>
      </c>
      <c r="O153" s="103">
        <f t="shared" si="65"/>
        <v>3.9556077934016189E-4</v>
      </c>
      <c r="P153" s="103">
        <f t="shared" si="65"/>
        <v>4.1019721763364776E-4</v>
      </c>
      <c r="Q153" s="103">
        <f t="shared" si="65"/>
        <v>4.3096028679375512E-4</v>
      </c>
      <c r="R153" s="103">
        <f t="shared" si="65"/>
        <v>4.4574590546189768E-4</v>
      </c>
      <c r="S153" s="103">
        <f t="shared" si="65"/>
        <v>4.4208771359228544E-4</v>
      </c>
      <c r="T153" s="103">
        <f t="shared" si="65"/>
        <v>4.3312524573563239E-4</v>
      </c>
      <c r="U153" s="103">
        <f t="shared" si="65"/>
        <v>4.3076304659020009E-4</v>
      </c>
      <c r="V153" s="103">
        <f t="shared" si="65"/>
        <v>5.703374114689458E-4</v>
      </c>
      <c r="W153" s="103">
        <f t="shared" ref="W153" si="66">IF(W35=0,0,W35/W$17)</f>
        <v>5.4849430699305832E-4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1.9407602253423663E-2</v>
      </c>
      <c r="C154" s="103">
        <f t="shared" si="67"/>
        <v>1.9309612696484062E-2</v>
      </c>
      <c r="D154" s="103">
        <f t="shared" si="67"/>
        <v>1.9528711217895355E-2</v>
      </c>
      <c r="E154" s="103">
        <f t="shared" si="67"/>
        <v>1.8158423407253304E-2</v>
      </c>
      <c r="F154" s="103">
        <f t="shared" si="67"/>
        <v>1.6065975689734821E-2</v>
      </c>
      <c r="G154" s="103">
        <f t="shared" si="67"/>
        <v>1.5875496774538075E-2</v>
      </c>
      <c r="H154" s="103">
        <f t="shared" si="67"/>
        <v>1.7323008741414948E-2</v>
      </c>
      <c r="I154" s="103">
        <f t="shared" si="67"/>
        <v>1.8940187060148272E-2</v>
      </c>
      <c r="J154" s="103">
        <f t="shared" si="67"/>
        <v>1.9646245201561524E-2</v>
      </c>
      <c r="K154" s="103">
        <f t="shared" si="67"/>
        <v>2.140839013091601E-2</v>
      </c>
      <c r="L154" s="103">
        <f t="shared" ref="L154" si="68">IF(L36=0,0,L36/L$17)</f>
        <v>2.1198898319958651E-2</v>
      </c>
      <c r="M154" s="103">
        <f t="shared" ref="M154:V154" si="69">IF(M36=0,0,M36/M$17)</f>
        <v>2.1177202535601833E-2</v>
      </c>
      <c r="N154" s="103">
        <f t="shared" si="69"/>
        <v>2.2623950845775606E-2</v>
      </c>
      <c r="O154" s="103">
        <f t="shared" si="69"/>
        <v>2.3359997322769589E-2</v>
      </c>
      <c r="P154" s="103">
        <f t="shared" si="69"/>
        <v>2.5426626940601847E-2</v>
      </c>
      <c r="Q154" s="103">
        <f t="shared" si="69"/>
        <v>2.8067378159699691E-2</v>
      </c>
      <c r="R154" s="103">
        <f t="shared" si="69"/>
        <v>3.0092740876461761E-2</v>
      </c>
      <c r="S154" s="103">
        <f t="shared" si="69"/>
        <v>2.9496989644783169E-2</v>
      </c>
      <c r="T154" s="103">
        <f t="shared" si="69"/>
        <v>2.8400462158188929E-2</v>
      </c>
      <c r="U154" s="103">
        <f t="shared" si="69"/>
        <v>2.8129925587940027E-2</v>
      </c>
      <c r="V154" s="103">
        <f t="shared" si="69"/>
        <v>3.6553962066803281E-2</v>
      </c>
      <c r="W154" s="103">
        <f t="shared" ref="W154" si="70">IF(W36=0,0,W36/W$17)</f>
        <v>3.5882895542719472E-2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2.8185445270177072E-5</v>
      </c>
      <c r="P155" s="103">
        <f t="shared" si="73"/>
        <v>3.7019954862671217E-5</v>
      </c>
      <c r="Q155" s="103">
        <f t="shared" si="73"/>
        <v>4.2063369931452875E-5</v>
      </c>
      <c r="R155" s="103">
        <f t="shared" si="73"/>
        <v>5.105511722877735E-5</v>
      </c>
      <c r="S155" s="103">
        <f t="shared" si="73"/>
        <v>5.2920774830173263E-5</v>
      </c>
      <c r="T155" s="103">
        <f t="shared" si="73"/>
        <v>4.7847640181970163E-5</v>
      </c>
      <c r="U155" s="103">
        <f t="shared" si="73"/>
        <v>3.5153660047303367E-5</v>
      </c>
      <c r="V155" s="103">
        <f t="shared" si="73"/>
        <v>5.4926155175266038E-5</v>
      </c>
      <c r="W155" s="103">
        <f t="shared" ref="W155" si="74">IF(W37=0,0,W37/W$17)</f>
        <v>4.7535060796010565E-5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0.4103906798752055</v>
      </c>
      <c r="C158" s="156">
        <f t="shared" si="83"/>
        <v>0.42373546596939698</v>
      </c>
      <c r="D158" s="156">
        <f t="shared" si="83"/>
        <v>0.4324763632979709</v>
      </c>
      <c r="E158" s="156">
        <f t="shared" si="83"/>
        <v>0.45619052869390431</v>
      </c>
      <c r="F158" s="156">
        <f t="shared" si="83"/>
        <v>0.52418629656587923</v>
      </c>
      <c r="G158" s="156">
        <f t="shared" si="83"/>
        <v>0.5628551807126696</v>
      </c>
      <c r="H158" s="156">
        <f t="shared" si="83"/>
        <v>0.55875247568844755</v>
      </c>
      <c r="I158" s="156">
        <f t="shared" si="83"/>
        <v>0.5382944401549925</v>
      </c>
      <c r="J158" s="156">
        <f t="shared" si="83"/>
        <v>0.53567620925029658</v>
      </c>
      <c r="K158" s="156">
        <f t="shared" si="83"/>
        <v>0.50488773507730966</v>
      </c>
      <c r="L158" s="156">
        <f t="shared" ref="L158" si="84">IF(L40=0,0,L40/L$17)</f>
        <v>0.53999512120753956</v>
      </c>
      <c r="M158" s="156">
        <f t="shared" ref="M158:V158" si="85">IF(M40=0,0,M40/M$17)</f>
        <v>0.53742351308617031</v>
      </c>
      <c r="N158" s="156">
        <f t="shared" si="85"/>
        <v>0.51581115950001355</v>
      </c>
      <c r="O158" s="156">
        <f t="shared" si="85"/>
        <v>0.53260986644206776</v>
      </c>
      <c r="P158" s="156">
        <f t="shared" si="85"/>
        <v>0.51819348521700392</v>
      </c>
      <c r="Q158" s="156">
        <f t="shared" si="85"/>
        <v>0.50081750248027301</v>
      </c>
      <c r="R158" s="156">
        <f t="shared" si="85"/>
        <v>0.49895938855073685</v>
      </c>
      <c r="S158" s="156">
        <f t="shared" si="85"/>
        <v>0.51207941063178841</v>
      </c>
      <c r="T158" s="156">
        <f t="shared" si="85"/>
        <v>0.52577657553225066</v>
      </c>
      <c r="U158" s="156">
        <f t="shared" si="85"/>
        <v>0.54624023373957065</v>
      </c>
      <c r="V158" s="156">
        <f t="shared" si="85"/>
        <v>0.53815130017906998</v>
      </c>
      <c r="W158" s="156">
        <f t="shared" ref="W158" si="86">IF(W40=0,0,W40/W$17)</f>
        <v>0.52251481672602718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1.7871551863701665E-2</v>
      </c>
      <c r="C159" s="103">
        <f t="shared" si="87"/>
        <v>1.9377606291645789E-2</v>
      </c>
      <c r="D159" s="103">
        <f t="shared" si="87"/>
        <v>2.1575622198288173E-2</v>
      </c>
      <c r="E159" s="103">
        <f t="shared" si="87"/>
        <v>1.9628011987981326E-2</v>
      </c>
      <c r="F159" s="103">
        <f t="shared" si="87"/>
        <v>1.6885350348271603E-2</v>
      </c>
      <c r="G159" s="103">
        <f t="shared" si="87"/>
        <v>1.5445652228828492E-2</v>
      </c>
      <c r="H159" s="103">
        <f t="shared" si="87"/>
        <v>1.7520996788174856E-2</v>
      </c>
      <c r="I159" s="103">
        <f t="shared" si="87"/>
        <v>1.7141991579859808E-2</v>
      </c>
      <c r="J159" s="103">
        <f t="shared" si="87"/>
        <v>1.5615267371779921E-2</v>
      </c>
      <c r="K159" s="103">
        <f t="shared" si="87"/>
        <v>1.0974253370077057E-2</v>
      </c>
      <c r="L159" s="103">
        <f t="shared" ref="L159" si="88">IF(L41=0,0,L41/L$17)</f>
        <v>1.1674160715890296E-2</v>
      </c>
      <c r="M159" s="103">
        <f t="shared" ref="M159:V159" si="89">IF(M41=0,0,M41/M$17)</f>
        <v>1.1972345314030377E-2</v>
      </c>
      <c r="N159" s="103">
        <f t="shared" si="89"/>
        <v>1.8329294202673069E-2</v>
      </c>
      <c r="O159" s="103">
        <f t="shared" si="89"/>
        <v>1.4979517010659868E-2</v>
      </c>
      <c r="P159" s="103">
        <f t="shared" si="89"/>
        <v>2.0110706595148607E-2</v>
      </c>
      <c r="Q159" s="103">
        <f t="shared" si="89"/>
        <v>1.8753385449447189E-2</v>
      </c>
      <c r="R159" s="103">
        <f t="shared" si="89"/>
        <v>1.9503812811005182E-2</v>
      </c>
      <c r="S159" s="103">
        <f t="shared" si="89"/>
        <v>1.8261797395788409E-2</v>
      </c>
      <c r="T159" s="103">
        <f t="shared" si="89"/>
        <v>1.7803697023913042E-2</v>
      </c>
      <c r="U159" s="103">
        <f t="shared" si="89"/>
        <v>1.7268713961361162E-2</v>
      </c>
      <c r="V159" s="103">
        <f t="shared" si="89"/>
        <v>1.8272697683639389E-2</v>
      </c>
      <c r="W159" s="103">
        <f t="shared" ref="W159" si="90">IF(W41=0,0,W41/W$17)</f>
        <v>2.0236114736962685E-2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0.39251912801150385</v>
      </c>
      <c r="C160" s="105">
        <f t="shared" si="91"/>
        <v>0.40435785967775117</v>
      </c>
      <c r="D160" s="105">
        <f t="shared" si="91"/>
        <v>0.41090074109968272</v>
      </c>
      <c r="E160" s="105">
        <f t="shared" si="91"/>
        <v>0.436562516705923</v>
      </c>
      <c r="F160" s="105">
        <f t="shared" si="91"/>
        <v>0.50730094621760757</v>
      </c>
      <c r="G160" s="105">
        <f t="shared" si="91"/>
        <v>0.54740952848384106</v>
      </c>
      <c r="H160" s="105">
        <f t="shared" si="91"/>
        <v>0.54123147890027268</v>
      </c>
      <c r="I160" s="105">
        <f t="shared" si="91"/>
        <v>0.52115244857513277</v>
      </c>
      <c r="J160" s="105">
        <f t="shared" si="91"/>
        <v>0.52006094187851659</v>
      </c>
      <c r="K160" s="105">
        <f t="shared" si="91"/>
        <v>0.49391348170723254</v>
      </c>
      <c r="L160" s="105">
        <f t="shared" ref="L160" si="92">IF(L42=0,0,L42/L$17)</f>
        <v>0.52832096049164923</v>
      </c>
      <c r="M160" s="105">
        <f t="shared" ref="M160:V160" si="93">IF(M42=0,0,M42/M$17)</f>
        <v>0.52545116777213996</v>
      </c>
      <c r="N160" s="105">
        <f t="shared" si="93"/>
        <v>0.49748186529734051</v>
      </c>
      <c r="O160" s="105">
        <f t="shared" si="93"/>
        <v>0.51763034943140784</v>
      </c>
      <c r="P160" s="105">
        <f t="shared" si="93"/>
        <v>0.49808277862185529</v>
      </c>
      <c r="Q160" s="105">
        <f t="shared" si="93"/>
        <v>0.4820641170308258</v>
      </c>
      <c r="R160" s="105">
        <f t="shared" si="93"/>
        <v>0.47945557573973163</v>
      </c>
      <c r="S160" s="105">
        <f t="shared" si="93"/>
        <v>0.49381761323599999</v>
      </c>
      <c r="T160" s="105">
        <f t="shared" si="93"/>
        <v>0.50797287850833761</v>
      </c>
      <c r="U160" s="105">
        <f t="shared" si="93"/>
        <v>0.52897151977820944</v>
      </c>
      <c r="V160" s="105">
        <f t="shared" si="93"/>
        <v>0.51987860249543061</v>
      </c>
      <c r="W160" s="105">
        <f t="shared" ref="W160" si="94">IF(W42=0,0,W42/W$17)</f>
        <v>0.50227870198906444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305318</v>
      </c>
      <c r="C3" s="54">
        <f>TrRoad_act!C57</f>
        <v>312594</v>
      </c>
      <c r="D3" s="54">
        <f>TrRoad_act!D57</f>
        <v>320081</v>
      </c>
      <c r="E3" s="54">
        <f>TrRoad_act!E57</f>
        <v>328449</v>
      </c>
      <c r="F3" s="54">
        <f>TrRoad_act!F57</f>
        <v>336491</v>
      </c>
      <c r="G3" s="54">
        <f>TrRoad_act!G57</f>
        <v>347625</v>
      </c>
      <c r="H3" s="54">
        <f>TrRoad_act!H57</f>
        <v>358157</v>
      </c>
      <c r="I3" s="54">
        <f>TrRoad_act!I57</f>
        <v>367288</v>
      </c>
      <c r="J3" s="54">
        <f>TrRoad_act!J57</f>
        <v>377317</v>
      </c>
      <c r="K3" s="54">
        <f>TrRoad_act!K57</f>
        <v>383973</v>
      </c>
      <c r="L3" s="54">
        <f>TrRoad_act!L57</f>
        <v>392113</v>
      </c>
      <c r="M3" s="54">
        <f>TrRoad_act!M57</f>
        <v>403040</v>
      </c>
      <c r="N3" s="54">
        <f>TrRoad_act!N57</f>
        <v>415546</v>
      </c>
      <c r="O3" s="54">
        <f>TrRoad_act!O57</f>
        <v>424292</v>
      </c>
      <c r="P3" s="54">
        <f>TrRoad_act!P57</f>
        <v>435631</v>
      </c>
      <c r="Q3" s="54">
        <f>TrRoad_act!Q57</f>
        <v>446346</v>
      </c>
      <c r="R3" s="54">
        <f>TrRoad_act!R57</f>
        <v>458900</v>
      </c>
      <c r="S3" s="54">
        <f>TrRoad_act!S57</f>
        <v>476696</v>
      </c>
      <c r="T3" s="54">
        <f>TrRoad_act!T57</f>
        <v>489716</v>
      </c>
      <c r="U3" s="54">
        <f>TrRoad_act!U57</f>
        <v>506047</v>
      </c>
      <c r="V3" s="54">
        <f>TrRoad_act!V57</f>
        <v>512580</v>
      </c>
      <c r="W3" s="54">
        <f>TrRoad_act!W57</f>
        <v>521890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285578</v>
      </c>
      <c r="C4" s="28">
        <f>TrRoad_act!C58</f>
        <v>292459</v>
      </c>
      <c r="D4" s="28">
        <f>TrRoad_act!D58</f>
        <v>299516</v>
      </c>
      <c r="E4" s="28">
        <f>TrRoad_act!E58</f>
        <v>307158</v>
      </c>
      <c r="F4" s="28">
        <f>TrRoad_act!F58</f>
        <v>314521</v>
      </c>
      <c r="G4" s="28">
        <f>TrRoad_act!G58</f>
        <v>323837</v>
      </c>
      <c r="H4" s="28">
        <f>TrRoad_act!H58</f>
        <v>333308</v>
      </c>
      <c r="I4" s="28">
        <f>TrRoad_act!I58</f>
        <v>341299</v>
      </c>
      <c r="J4" s="28">
        <f>TrRoad_act!J58</f>
        <v>348653</v>
      </c>
      <c r="K4" s="28">
        <f>TrRoad_act!K58</f>
        <v>353691</v>
      </c>
      <c r="L4" s="28">
        <f>TrRoad_act!L58</f>
        <v>360862</v>
      </c>
      <c r="M4" s="28">
        <f>TrRoad_act!M58</f>
        <v>370525</v>
      </c>
      <c r="N4" s="28">
        <f>TrRoad_act!N58</f>
        <v>381936</v>
      </c>
      <c r="O4" s="28">
        <f>TrRoad_act!O58</f>
        <v>390759</v>
      </c>
      <c r="P4" s="28">
        <f>TrRoad_act!P58</f>
        <v>401880</v>
      </c>
      <c r="Q4" s="28">
        <f>TrRoad_act!Q58</f>
        <v>411219</v>
      </c>
      <c r="R4" s="28">
        <f>TrRoad_act!R58</f>
        <v>422092</v>
      </c>
      <c r="S4" s="28">
        <f>TrRoad_act!S58</f>
        <v>437364</v>
      </c>
      <c r="T4" s="28">
        <f>TrRoad_act!T58</f>
        <v>448849</v>
      </c>
      <c r="U4" s="28">
        <f>TrRoad_act!U58</f>
        <v>463440</v>
      </c>
      <c r="V4" s="28">
        <f>TrRoad_act!V58</f>
        <v>467863</v>
      </c>
      <c r="W4" s="28">
        <f>TrRoad_act!W58</f>
        <v>475796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8972</v>
      </c>
      <c r="C5" s="137">
        <f>TrRoad_act!C59</f>
        <v>10067</v>
      </c>
      <c r="D5" s="137">
        <f>TrRoad_act!D59</f>
        <v>11340</v>
      </c>
      <c r="E5" s="137">
        <f>TrRoad_act!E59</f>
        <v>12721</v>
      </c>
      <c r="F5" s="137">
        <f>TrRoad_act!F59</f>
        <v>14012</v>
      </c>
      <c r="G5" s="137">
        <f>TrRoad_act!G59</f>
        <v>15207</v>
      </c>
      <c r="H5" s="137">
        <f>TrRoad_act!H59</f>
        <v>16509</v>
      </c>
      <c r="I5" s="137">
        <f>TrRoad_act!I59</f>
        <v>17844</v>
      </c>
      <c r="J5" s="137">
        <f>TrRoad_act!J59</f>
        <v>19108</v>
      </c>
      <c r="K5" s="137">
        <f>TrRoad_act!K59</f>
        <v>20566</v>
      </c>
      <c r="L5" s="137">
        <f>TrRoad_act!L59</f>
        <v>22026</v>
      </c>
      <c r="M5" s="137">
        <f>TrRoad_act!M59</f>
        <v>23222</v>
      </c>
      <c r="N5" s="137">
        <f>TrRoad_act!N59</f>
        <v>24308</v>
      </c>
      <c r="O5" s="137">
        <f>TrRoad_act!O59</f>
        <v>25753</v>
      </c>
      <c r="P5" s="137">
        <f>TrRoad_act!P59</f>
        <v>27275</v>
      </c>
      <c r="Q5" s="137">
        <f>TrRoad_act!Q59</f>
        <v>28259</v>
      </c>
      <c r="R5" s="137">
        <f>TrRoad_act!R59</f>
        <v>29253</v>
      </c>
      <c r="S5" s="137">
        <f>TrRoad_act!S59</f>
        <v>30300</v>
      </c>
      <c r="T5" s="137">
        <f>TrRoad_act!T59</f>
        <v>30636</v>
      </c>
      <c r="U5" s="137">
        <f>TrRoad_act!U59</f>
        <v>30805</v>
      </c>
      <c r="V5" s="137">
        <f>TrRoad_act!V59</f>
        <v>32219</v>
      </c>
      <c r="W5" s="137">
        <f>TrRoad_act!W59</f>
        <v>33662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275555</v>
      </c>
      <c r="C6" s="110">
        <f>TrRoad_act!C60</f>
        <v>281270</v>
      </c>
      <c r="D6" s="110">
        <f>TrRoad_act!D60</f>
        <v>287000</v>
      </c>
      <c r="E6" s="110">
        <f>TrRoad_act!E60</f>
        <v>293210</v>
      </c>
      <c r="F6" s="110">
        <f>TrRoad_act!F60</f>
        <v>299240</v>
      </c>
      <c r="G6" s="110">
        <f>TrRoad_act!G60</f>
        <v>307290</v>
      </c>
      <c r="H6" s="110">
        <f>TrRoad_act!H60</f>
        <v>315420</v>
      </c>
      <c r="I6" s="110">
        <f>TrRoad_act!I60</f>
        <v>322000</v>
      </c>
      <c r="J6" s="110">
        <f>TrRoad_act!J60</f>
        <v>328000</v>
      </c>
      <c r="K6" s="110">
        <f>TrRoad_act!K60</f>
        <v>331502</v>
      </c>
      <c r="L6" s="110">
        <f>TrRoad_act!L60</f>
        <v>337200</v>
      </c>
      <c r="M6" s="110">
        <f>TrRoad_act!M60</f>
        <v>345600</v>
      </c>
      <c r="N6" s="110">
        <f>TrRoad_act!N60</f>
        <v>355900</v>
      </c>
      <c r="O6" s="110">
        <f>TrRoad_act!O60</f>
        <v>363247</v>
      </c>
      <c r="P6" s="110">
        <f>TrRoad_act!P60</f>
        <v>372827</v>
      </c>
      <c r="Q6" s="110">
        <f>TrRoad_act!Q60</f>
        <v>381103</v>
      </c>
      <c r="R6" s="110">
        <f>TrRoad_act!R60</f>
        <v>390935</v>
      </c>
      <c r="S6" s="110">
        <f>TrRoad_act!S60</f>
        <v>405104</v>
      </c>
      <c r="T6" s="110">
        <f>TrRoad_act!T60</f>
        <v>416167</v>
      </c>
      <c r="U6" s="110">
        <f>TrRoad_act!U60</f>
        <v>430451</v>
      </c>
      <c r="V6" s="110">
        <f>TrRoad_act!V60</f>
        <v>433405</v>
      </c>
      <c r="W6" s="110">
        <f>TrRoad_act!W60</f>
        <v>439790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193570</v>
      </c>
      <c r="C7" s="84">
        <f>TrRoad_act!C61</f>
        <v>187393</v>
      </c>
      <c r="D7" s="84">
        <f>TrRoad_act!D61</f>
        <v>180869</v>
      </c>
      <c r="E7" s="84">
        <f>TrRoad_act!E61</f>
        <v>174546</v>
      </c>
      <c r="F7" s="84">
        <f>TrRoad_act!F61</f>
        <v>164745</v>
      </c>
      <c r="G7" s="84">
        <f>TrRoad_act!G61</f>
        <v>154960</v>
      </c>
      <c r="H7" s="84">
        <f>TrRoad_act!H61</f>
        <v>145733</v>
      </c>
      <c r="I7" s="84">
        <f>TrRoad_act!I61</f>
        <v>137098</v>
      </c>
      <c r="J7" s="84">
        <f>TrRoad_act!J61</f>
        <v>131185</v>
      </c>
      <c r="K7" s="84">
        <f>TrRoad_act!K61</f>
        <v>125342</v>
      </c>
      <c r="L7" s="84">
        <f>TrRoad_act!L61</f>
        <v>121570</v>
      </c>
      <c r="M7" s="84">
        <f>TrRoad_act!M61</f>
        <v>121127</v>
      </c>
      <c r="N7" s="84">
        <f>TrRoad_act!N61</f>
        <v>121879</v>
      </c>
      <c r="O7" s="84">
        <f>TrRoad_act!O61</f>
        <v>123343</v>
      </c>
      <c r="P7" s="84">
        <f>TrRoad_act!P61</f>
        <v>126602</v>
      </c>
      <c r="Q7" s="84">
        <f>TrRoad_act!Q61</f>
        <v>130534</v>
      </c>
      <c r="R7" s="84">
        <f>TrRoad_act!R61</f>
        <v>137884</v>
      </c>
      <c r="S7" s="84">
        <f>TrRoad_act!S61</f>
        <v>151031</v>
      </c>
      <c r="T7" s="84">
        <f>TrRoad_act!T61</f>
        <v>166297</v>
      </c>
      <c r="U7" s="84">
        <f>TrRoad_act!U61</f>
        <v>183163</v>
      </c>
      <c r="V7" s="84">
        <f>TrRoad_act!V61</f>
        <v>192040</v>
      </c>
      <c r="W7" s="84">
        <f>TrRoad_act!W61</f>
        <v>198826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79520</v>
      </c>
      <c r="C8" s="84">
        <f>TrRoad_act!C62</f>
        <v>91218</v>
      </c>
      <c r="D8" s="84">
        <f>TrRoad_act!D62</f>
        <v>103354</v>
      </c>
      <c r="E8" s="84">
        <f>TrRoad_act!E62</f>
        <v>116034</v>
      </c>
      <c r="F8" s="84">
        <f>TrRoad_act!F62</f>
        <v>131995</v>
      </c>
      <c r="G8" s="84">
        <f>TrRoad_act!G62</f>
        <v>149945</v>
      </c>
      <c r="H8" s="84">
        <f>TrRoad_act!H62</f>
        <v>168517</v>
      </c>
      <c r="I8" s="84">
        <f>TrRoad_act!I62</f>
        <v>183792</v>
      </c>
      <c r="J8" s="84">
        <f>TrRoad_act!J62</f>
        <v>195672</v>
      </c>
      <c r="K8" s="84">
        <f>TrRoad_act!K62</f>
        <v>204916</v>
      </c>
      <c r="L8" s="84">
        <f>TrRoad_act!L62</f>
        <v>214179</v>
      </c>
      <c r="M8" s="84">
        <f>TrRoad_act!M62</f>
        <v>222968</v>
      </c>
      <c r="N8" s="84">
        <f>TrRoad_act!N62</f>
        <v>232217</v>
      </c>
      <c r="O8" s="84">
        <f>TrRoad_act!O62</f>
        <v>237623</v>
      </c>
      <c r="P8" s="84">
        <f>TrRoad_act!P62</f>
        <v>243637</v>
      </c>
      <c r="Q8" s="84">
        <f>TrRoad_act!Q62</f>
        <v>247971</v>
      </c>
      <c r="R8" s="84">
        <f>TrRoad_act!R62</f>
        <v>250142</v>
      </c>
      <c r="S8" s="84">
        <f>TrRoad_act!S62</f>
        <v>250862</v>
      </c>
      <c r="T8" s="84">
        <f>TrRoad_act!T62</f>
        <v>246365</v>
      </c>
      <c r="U8" s="84">
        <f>TrRoad_act!U62</f>
        <v>241985</v>
      </c>
      <c r="V8" s="84">
        <f>TrRoad_act!V62</f>
        <v>232462</v>
      </c>
      <c r="W8" s="84">
        <f>TrRoad_act!W62</f>
        <v>222815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2465</v>
      </c>
      <c r="C9" s="84">
        <f>TrRoad_act!C63</f>
        <v>2659</v>
      </c>
      <c r="D9" s="84">
        <f>TrRoad_act!D63</f>
        <v>2777</v>
      </c>
      <c r="E9" s="84">
        <f>TrRoad_act!E63</f>
        <v>2630</v>
      </c>
      <c r="F9" s="84">
        <f>TrRoad_act!F63</f>
        <v>2500</v>
      </c>
      <c r="G9" s="84">
        <f>TrRoad_act!G63</f>
        <v>2385</v>
      </c>
      <c r="H9" s="84">
        <f>TrRoad_act!H63</f>
        <v>1170</v>
      </c>
      <c r="I9" s="84">
        <f>TrRoad_act!I63</f>
        <v>1110</v>
      </c>
      <c r="J9" s="84">
        <f>TrRoad_act!J63</f>
        <v>1142</v>
      </c>
      <c r="K9" s="84">
        <f>TrRoad_act!K63</f>
        <v>1242</v>
      </c>
      <c r="L9" s="84">
        <f>TrRoad_act!L63</f>
        <v>1255</v>
      </c>
      <c r="M9" s="84">
        <f>TrRoad_act!M63</f>
        <v>1199</v>
      </c>
      <c r="N9" s="84">
        <f>TrRoad_act!N63</f>
        <v>1214</v>
      </c>
      <c r="O9" s="84">
        <f>TrRoad_act!O63</f>
        <v>1275</v>
      </c>
      <c r="P9" s="84">
        <f>TrRoad_act!P63</f>
        <v>1235</v>
      </c>
      <c r="Q9" s="84">
        <f>TrRoad_act!Q63</f>
        <v>1185</v>
      </c>
      <c r="R9" s="84">
        <f>TrRoad_act!R63</f>
        <v>1203</v>
      </c>
      <c r="S9" s="84">
        <f>TrRoad_act!S63</f>
        <v>1045</v>
      </c>
      <c r="T9" s="84">
        <f>TrRoad_act!T63</f>
        <v>293</v>
      </c>
      <c r="U9" s="84">
        <f>TrRoad_act!U63</f>
        <v>178</v>
      </c>
      <c r="V9" s="84">
        <f>TrRoad_act!V63</f>
        <v>355</v>
      </c>
      <c r="W9" s="84">
        <f>TrRoad_act!W63</f>
        <v>256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490</v>
      </c>
      <c r="O11" s="84">
        <f>TrRoad_act!O65</f>
        <v>743</v>
      </c>
      <c r="P11" s="84">
        <f>TrRoad_act!P65</f>
        <v>789</v>
      </c>
      <c r="Q11" s="84">
        <f>TrRoad_act!Q65</f>
        <v>778</v>
      </c>
      <c r="R11" s="84">
        <f>TrRoad_act!R65</f>
        <v>935</v>
      </c>
      <c r="S11" s="84">
        <f>TrRoad_act!S65</f>
        <v>1075</v>
      </c>
      <c r="T11" s="84">
        <f>TrRoad_act!T65</f>
        <v>1645</v>
      </c>
      <c r="U11" s="84">
        <f>TrRoad_act!U65</f>
        <v>2551</v>
      </c>
      <c r="V11" s="84">
        <f>TrRoad_act!V65</f>
        <v>4516</v>
      </c>
      <c r="W11" s="84">
        <f>TrRoad_act!W65</f>
        <v>9244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1</v>
      </c>
      <c r="K12" s="84">
        <f>TrRoad_act!K66</f>
        <v>2</v>
      </c>
      <c r="L12" s="84">
        <f>TrRoad_act!L66</f>
        <v>196</v>
      </c>
      <c r="M12" s="84">
        <f>TrRoad_act!M66</f>
        <v>306</v>
      </c>
      <c r="N12" s="84">
        <f>TrRoad_act!N66</f>
        <v>100</v>
      </c>
      <c r="O12" s="84">
        <f>TrRoad_act!O66</f>
        <v>263</v>
      </c>
      <c r="P12" s="84">
        <f>TrRoad_act!P66</f>
        <v>564</v>
      </c>
      <c r="Q12" s="84">
        <f>TrRoad_act!Q66</f>
        <v>635</v>
      </c>
      <c r="R12" s="84">
        <f>TrRoad_act!R66</f>
        <v>771</v>
      </c>
      <c r="S12" s="84">
        <f>TrRoad_act!S66</f>
        <v>1091</v>
      </c>
      <c r="T12" s="84">
        <f>TrRoad_act!T66</f>
        <v>1567</v>
      </c>
      <c r="U12" s="84">
        <f>TrRoad_act!U66</f>
        <v>2574</v>
      </c>
      <c r="V12" s="84">
        <f>TrRoad_act!V66</f>
        <v>4032</v>
      </c>
      <c r="W12" s="84">
        <f>TrRoad_act!W66</f>
        <v>8649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1051</v>
      </c>
      <c r="C13" s="110">
        <f>TrRoad_act!C67</f>
        <v>1122</v>
      </c>
      <c r="D13" s="110">
        <f>TrRoad_act!D67</f>
        <v>1176</v>
      </c>
      <c r="E13" s="110">
        <f>TrRoad_act!E67</f>
        <v>1227</v>
      </c>
      <c r="F13" s="110">
        <f>TrRoad_act!F67</f>
        <v>1269</v>
      </c>
      <c r="G13" s="110">
        <f>TrRoad_act!G67</f>
        <v>1340</v>
      </c>
      <c r="H13" s="110">
        <f>TrRoad_act!H67</f>
        <v>1379</v>
      </c>
      <c r="I13" s="110">
        <f>TrRoad_act!I67</f>
        <v>1455</v>
      </c>
      <c r="J13" s="110">
        <f>TrRoad_act!J67</f>
        <v>1545</v>
      </c>
      <c r="K13" s="110">
        <f>TrRoad_act!K67</f>
        <v>1623</v>
      </c>
      <c r="L13" s="110">
        <f>TrRoad_act!L67</f>
        <v>1636</v>
      </c>
      <c r="M13" s="110">
        <f>TrRoad_act!M67</f>
        <v>1703</v>
      </c>
      <c r="N13" s="110">
        <f>TrRoad_act!N67</f>
        <v>1728</v>
      </c>
      <c r="O13" s="110">
        <f>TrRoad_act!O67</f>
        <v>1759</v>
      </c>
      <c r="P13" s="110">
        <f>TrRoad_act!P67</f>
        <v>1778</v>
      </c>
      <c r="Q13" s="110">
        <f>TrRoad_act!Q67</f>
        <v>1857</v>
      </c>
      <c r="R13" s="110">
        <f>TrRoad_act!R67</f>
        <v>1904</v>
      </c>
      <c r="S13" s="110">
        <f>TrRoad_act!S67</f>
        <v>1960</v>
      </c>
      <c r="T13" s="110">
        <f>TrRoad_act!T67</f>
        <v>2046</v>
      </c>
      <c r="U13" s="110">
        <f>TrRoad_act!U67</f>
        <v>2184</v>
      </c>
      <c r="V13" s="110">
        <f>TrRoad_act!V67</f>
        <v>2239</v>
      </c>
      <c r="W13" s="110">
        <f>TrRoad_act!W67</f>
        <v>2344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1</v>
      </c>
      <c r="U14" s="102">
        <f>TrRoad_act!U68</f>
        <v>1</v>
      </c>
      <c r="V14" s="102">
        <f>TrRoad_act!V68</f>
        <v>1</v>
      </c>
      <c r="W14" s="102">
        <f>TrRoad_act!W68</f>
        <v>1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1051</v>
      </c>
      <c r="C15" s="102">
        <f>TrRoad_act!C69</f>
        <v>1122</v>
      </c>
      <c r="D15" s="102">
        <f>TrRoad_act!D69</f>
        <v>1176</v>
      </c>
      <c r="E15" s="102">
        <f>TrRoad_act!E69</f>
        <v>1224</v>
      </c>
      <c r="F15" s="102">
        <f>TrRoad_act!F69</f>
        <v>1266</v>
      </c>
      <c r="G15" s="102">
        <f>TrRoad_act!G69</f>
        <v>1337</v>
      </c>
      <c r="H15" s="102">
        <f>TrRoad_act!H69</f>
        <v>1376</v>
      </c>
      <c r="I15" s="102">
        <f>TrRoad_act!I69</f>
        <v>1452</v>
      </c>
      <c r="J15" s="102">
        <f>TrRoad_act!J69</f>
        <v>1542</v>
      </c>
      <c r="K15" s="102">
        <f>TrRoad_act!K69</f>
        <v>1621</v>
      </c>
      <c r="L15" s="102">
        <f>TrRoad_act!L69</f>
        <v>1634</v>
      </c>
      <c r="M15" s="102">
        <f>TrRoad_act!M69</f>
        <v>1701</v>
      </c>
      <c r="N15" s="102">
        <f>TrRoad_act!N69</f>
        <v>1726</v>
      </c>
      <c r="O15" s="102">
        <f>TrRoad_act!O69</f>
        <v>1755</v>
      </c>
      <c r="P15" s="102">
        <f>TrRoad_act!P69</f>
        <v>1775</v>
      </c>
      <c r="Q15" s="102">
        <f>TrRoad_act!Q69</f>
        <v>1854</v>
      </c>
      <c r="R15" s="102">
        <f>TrRoad_act!R69</f>
        <v>1901</v>
      </c>
      <c r="S15" s="102">
        <f>TrRoad_act!S69</f>
        <v>1952</v>
      </c>
      <c r="T15" s="102">
        <f>TrRoad_act!T69</f>
        <v>2017</v>
      </c>
      <c r="U15" s="102">
        <f>TrRoad_act!U69</f>
        <v>2079</v>
      </c>
      <c r="V15" s="102">
        <f>TrRoad_act!V69</f>
        <v>2087</v>
      </c>
      <c r="W15" s="102">
        <f>TrRoad_act!W69</f>
        <v>2163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3</v>
      </c>
      <c r="F18" s="102">
        <f>TrRoad_act!F72</f>
        <v>3</v>
      </c>
      <c r="G18" s="102">
        <f>TrRoad_act!G72</f>
        <v>3</v>
      </c>
      <c r="H18" s="102">
        <f>TrRoad_act!H72</f>
        <v>3</v>
      </c>
      <c r="I18" s="102">
        <f>TrRoad_act!I72</f>
        <v>3</v>
      </c>
      <c r="J18" s="102">
        <f>TrRoad_act!J72</f>
        <v>3</v>
      </c>
      <c r="K18" s="102">
        <f>TrRoad_act!K72</f>
        <v>2</v>
      </c>
      <c r="L18" s="102">
        <f>TrRoad_act!L72</f>
        <v>2</v>
      </c>
      <c r="M18" s="102">
        <f>TrRoad_act!M72</f>
        <v>2</v>
      </c>
      <c r="N18" s="102">
        <f>TrRoad_act!N72</f>
        <v>2</v>
      </c>
      <c r="O18" s="102">
        <f>TrRoad_act!O72</f>
        <v>4</v>
      </c>
      <c r="P18" s="102">
        <f>TrRoad_act!P72</f>
        <v>3</v>
      </c>
      <c r="Q18" s="102">
        <f>TrRoad_act!Q72</f>
        <v>3</v>
      </c>
      <c r="R18" s="102">
        <f>TrRoad_act!R72</f>
        <v>3</v>
      </c>
      <c r="S18" s="102">
        <f>TrRoad_act!S72</f>
        <v>8</v>
      </c>
      <c r="T18" s="102">
        <f>TrRoad_act!T72</f>
        <v>28</v>
      </c>
      <c r="U18" s="102">
        <f>TrRoad_act!U72</f>
        <v>104</v>
      </c>
      <c r="V18" s="102">
        <f>TrRoad_act!V72</f>
        <v>151</v>
      </c>
      <c r="W18" s="102">
        <f>TrRoad_act!W72</f>
        <v>180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19740</v>
      </c>
      <c r="C19" s="28">
        <f>TrRoad_act!C73</f>
        <v>20135</v>
      </c>
      <c r="D19" s="28">
        <f>TrRoad_act!D73</f>
        <v>20565</v>
      </c>
      <c r="E19" s="28">
        <f>TrRoad_act!E73</f>
        <v>21291</v>
      </c>
      <c r="F19" s="28">
        <f>TrRoad_act!F73</f>
        <v>21970</v>
      </c>
      <c r="G19" s="28">
        <f>TrRoad_act!G73</f>
        <v>23788</v>
      </c>
      <c r="H19" s="28">
        <f>TrRoad_act!H73</f>
        <v>24849</v>
      </c>
      <c r="I19" s="28">
        <f>TrRoad_act!I73</f>
        <v>25989</v>
      </c>
      <c r="J19" s="28">
        <f>TrRoad_act!J73</f>
        <v>28664</v>
      </c>
      <c r="K19" s="28">
        <f>TrRoad_act!K73</f>
        <v>30282</v>
      </c>
      <c r="L19" s="28">
        <f>TrRoad_act!L73</f>
        <v>31251</v>
      </c>
      <c r="M19" s="28">
        <f>TrRoad_act!M73</f>
        <v>32515</v>
      </c>
      <c r="N19" s="28">
        <f>TrRoad_act!N73</f>
        <v>33610</v>
      </c>
      <c r="O19" s="28">
        <f>TrRoad_act!O73</f>
        <v>33533</v>
      </c>
      <c r="P19" s="28">
        <f>TrRoad_act!P73</f>
        <v>33751</v>
      </c>
      <c r="Q19" s="28">
        <f>TrRoad_act!Q73</f>
        <v>35127</v>
      </c>
      <c r="R19" s="28">
        <f>TrRoad_act!R73</f>
        <v>36808</v>
      </c>
      <c r="S19" s="28">
        <f>TrRoad_act!S73</f>
        <v>39332</v>
      </c>
      <c r="T19" s="28">
        <f>TrRoad_act!T73</f>
        <v>40867</v>
      </c>
      <c r="U19" s="28">
        <f>TrRoad_act!U73</f>
        <v>42607</v>
      </c>
      <c r="V19" s="28">
        <f>TrRoad_act!V73</f>
        <v>44717</v>
      </c>
      <c r="W19" s="28">
        <f>TrRoad_act!W73</f>
        <v>46094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13354</v>
      </c>
      <c r="C20" s="137">
        <f>TrRoad_act!C74</f>
        <v>14508</v>
      </c>
      <c r="D20" s="137">
        <f>TrRoad_act!D74</f>
        <v>15439</v>
      </c>
      <c r="E20" s="137">
        <f>TrRoad_act!E74</f>
        <v>16137</v>
      </c>
      <c r="F20" s="137">
        <f>TrRoad_act!F74</f>
        <v>17056</v>
      </c>
      <c r="G20" s="137">
        <f>TrRoad_act!G74</f>
        <v>18041</v>
      </c>
      <c r="H20" s="137">
        <f>TrRoad_act!H74</f>
        <v>18991</v>
      </c>
      <c r="I20" s="137">
        <f>TrRoad_act!I74</f>
        <v>20283</v>
      </c>
      <c r="J20" s="137">
        <f>TrRoad_act!J74</f>
        <v>21839</v>
      </c>
      <c r="K20" s="137">
        <f>TrRoad_act!K74</f>
        <v>22576</v>
      </c>
      <c r="L20" s="137">
        <f>TrRoad_act!L74</f>
        <v>23451</v>
      </c>
      <c r="M20" s="137">
        <f>TrRoad_act!M74</f>
        <v>24631</v>
      </c>
      <c r="N20" s="137">
        <f>TrRoad_act!N74</f>
        <v>26133</v>
      </c>
      <c r="O20" s="137">
        <f>TrRoad_act!O74</f>
        <v>27635</v>
      </c>
      <c r="P20" s="137">
        <f>TrRoad_act!P74</f>
        <v>28521</v>
      </c>
      <c r="Q20" s="137">
        <f>TrRoad_act!Q74</f>
        <v>29668</v>
      </c>
      <c r="R20" s="137">
        <f>TrRoad_act!R74</f>
        <v>31138</v>
      </c>
      <c r="S20" s="137">
        <f>TrRoad_act!S74</f>
        <v>33019</v>
      </c>
      <c r="T20" s="137">
        <f>TrRoad_act!T74</f>
        <v>34785</v>
      </c>
      <c r="U20" s="137">
        <f>TrRoad_act!U74</f>
        <v>36210</v>
      </c>
      <c r="V20" s="137">
        <f>TrRoad_act!V74</f>
        <v>37797</v>
      </c>
      <c r="W20" s="137">
        <f>TrRoad_act!W74</f>
        <v>39533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2479</v>
      </c>
      <c r="C21" s="84">
        <f>TrRoad_act!C75</f>
        <v>2282</v>
      </c>
      <c r="D21" s="84">
        <f>TrRoad_act!D75</f>
        <v>2094</v>
      </c>
      <c r="E21" s="84">
        <f>TrRoad_act!E75</f>
        <v>1923</v>
      </c>
      <c r="F21" s="84">
        <f>TrRoad_act!F75</f>
        <v>1739</v>
      </c>
      <c r="G21" s="84">
        <f>TrRoad_act!G75</f>
        <v>1565</v>
      </c>
      <c r="H21" s="84">
        <f>TrRoad_act!H75</f>
        <v>1423</v>
      </c>
      <c r="I21" s="84">
        <f>TrRoad_act!I75</f>
        <v>1325</v>
      </c>
      <c r="J21" s="84">
        <f>TrRoad_act!J75</f>
        <v>1305</v>
      </c>
      <c r="K21" s="84">
        <f>TrRoad_act!K75</f>
        <v>1231</v>
      </c>
      <c r="L21" s="84">
        <f>TrRoad_act!L75</f>
        <v>1207</v>
      </c>
      <c r="M21" s="84">
        <f>TrRoad_act!M75</f>
        <v>1180</v>
      </c>
      <c r="N21" s="84">
        <f>TrRoad_act!N75</f>
        <v>1143</v>
      </c>
      <c r="O21" s="84">
        <f>TrRoad_act!O75</f>
        <v>1141</v>
      </c>
      <c r="P21" s="84">
        <f>TrRoad_act!P75</f>
        <v>1122</v>
      </c>
      <c r="Q21" s="84">
        <f>TrRoad_act!Q75</f>
        <v>1101</v>
      </c>
      <c r="R21" s="84">
        <f>TrRoad_act!R75</f>
        <v>1112</v>
      </c>
      <c r="S21" s="84">
        <f>TrRoad_act!S75</f>
        <v>1159</v>
      </c>
      <c r="T21" s="84">
        <f>TrRoad_act!T75</f>
        <v>1222</v>
      </c>
      <c r="U21" s="84">
        <f>TrRoad_act!U75</f>
        <v>1289</v>
      </c>
      <c r="V21" s="84">
        <f>TrRoad_act!V75</f>
        <v>1335</v>
      </c>
      <c r="W21" s="84">
        <f>TrRoad_act!W75</f>
        <v>1391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10875</v>
      </c>
      <c r="C22" s="84">
        <f>TrRoad_act!C76</f>
        <v>12226</v>
      </c>
      <c r="D22" s="84">
        <f>TrRoad_act!D76</f>
        <v>13345</v>
      </c>
      <c r="E22" s="84">
        <f>TrRoad_act!E76</f>
        <v>14214</v>
      </c>
      <c r="F22" s="84">
        <f>TrRoad_act!F76</f>
        <v>15317</v>
      </c>
      <c r="G22" s="84">
        <f>TrRoad_act!G76</f>
        <v>16476</v>
      </c>
      <c r="H22" s="84">
        <f>TrRoad_act!H76</f>
        <v>17567</v>
      </c>
      <c r="I22" s="84">
        <f>TrRoad_act!I76</f>
        <v>18956</v>
      </c>
      <c r="J22" s="84">
        <f>TrRoad_act!J76</f>
        <v>20532</v>
      </c>
      <c r="K22" s="84">
        <f>TrRoad_act!K76</f>
        <v>21338</v>
      </c>
      <c r="L22" s="84">
        <f>TrRoad_act!L76</f>
        <v>22237</v>
      </c>
      <c r="M22" s="84">
        <f>TrRoad_act!M76</f>
        <v>23444</v>
      </c>
      <c r="N22" s="84">
        <f>TrRoad_act!N76</f>
        <v>24964</v>
      </c>
      <c r="O22" s="84">
        <f>TrRoad_act!O76</f>
        <v>26365</v>
      </c>
      <c r="P22" s="84">
        <f>TrRoad_act!P76</f>
        <v>27241</v>
      </c>
      <c r="Q22" s="84">
        <f>TrRoad_act!Q76</f>
        <v>28385</v>
      </c>
      <c r="R22" s="84">
        <f>TrRoad_act!R76</f>
        <v>29816</v>
      </c>
      <c r="S22" s="84">
        <f>TrRoad_act!S76</f>
        <v>31602</v>
      </c>
      <c r="T22" s="84">
        <f>TrRoad_act!T76</f>
        <v>33251</v>
      </c>
      <c r="U22" s="84">
        <f>TrRoad_act!U76</f>
        <v>34574</v>
      </c>
      <c r="V22" s="84">
        <f>TrRoad_act!V76</f>
        <v>36046</v>
      </c>
      <c r="W22" s="84">
        <f>TrRoad_act!W76</f>
        <v>37611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59</v>
      </c>
      <c r="P23" s="84">
        <f>TrRoad_act!P77</f>
        <v>71</v>
      </c>
      <c r="Q23" s="84">
        <f>TrRoad_act!Q77</f>
        <v>73</v>
      </c>
      <c r="R23" s="84">
        <f>TrRoad_act!R77</f>
        <v>86</v>
      </c>
      <c r="S23" s="84">
        <f>TrRoad_act!S77</f>
        <v>96</v>
      </c>
      <c r="T23" s="84">
        <f>TrRoad_act!T77</f>
        <v>98</v>
      </c>
      <c r="U23" s="84">
        <f>TrRoad_act!U77</f>
        <v>89</v>
      </c>
      <c r="V23" s="84">
        <f>TrRoad_act!V77</f>
        <v>109</v>
      </c>
      <c r="W23" s="84">
        <f>TrRoad_act!W77</f>
        <v>102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1</v>
      </c>
      <c r="I25" s="84">
        <f>TrRoad_act!I79</f>
        <v>2</v>
      </c>
      <c r="J25" s="84">
        <f>TrRoad_act!J79</f>
        <v>2</v>
      </c>
      <c r="K25" s="84">
        <f>TrRoad_act!K79</f>
        <v>7</v>
      </c>
      <c r="L25" s="84">
        <f>TrRoad_act!L79</f>
        <v>7</v>
      </c>
      <c r="M25" s="84">
        <f>TrRoad_act!M79</f>
        <v>7</v>
      </c>
      <c r="N25" s="84">
        <f>TrRoad_act!N79</f>
        <v>26</v>
      </c>
      <c r="O25" s="84">
        <f>TrRoad_act!O79</f>
        <v>70</v>
      </c>
      <c r="P25" s="84">
        <f>TrRoad_act!P79</f>
        <v>87</v>
      </c>
      <c r="Q25" s="84">
        <f>TrRoad_act!Q79</f>
        <v>109</v>
      </c>
      <c r="R25" s="84">
        <f>TrRoad_act!R79</f>
        <v>124</v>
      </c>
      <c r="S25" s="84">
        <f>TrRoad_act!S79</f>
        <v>162</v>
      </c>
      <c r="T25" s="84">
        <f>TrRoad_act!T79</f>
        <v>214</v>
      </c>
      <c r="U25" s="84">
        <f>TrRoad_act!U79</f>
        <v>258</v>
      </c>
      <c r="V25" s="84">
        <f>TrRoad_act!V79</f>
        <v>307</v>
      </c>
      <c r="W25" s="84">
        <f>TrRoad_act!W79</f>
        <v>429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6386</v>
      </c>
      <c r="C26" s="110">
        <f>TrRoad_act!C80</f>
        <v>5627</v>
      </c>
      <c r="D26" s="110">
        <f>TrRoad_act!D80</f>
        <v>5126</v>
      </c>
      <c r="E26" s="110">
        <f>TrRoad_act!E80</f>
        <v>5154</v>
      </c>
      <c r="F26" s="110">
        <f>TrRoad_act!F80</f>
        <v>4914</v>
      </c>
      <c r="G26" s="110">
        <f>TrRoad_act!G80</f>
        <v>5747</v>
      </c>
      <c r="H26" s="110">
        <f>TrRoad_act!H80</f>
        <v>5858</v>
      </c>
      <c r="I26" s="110">
        <f>TrRoad_act!I80</f>
        <v>5706</v>
      </c>
      <c r="J26" s="110">
        <f>TrRoad_act!J80</f>
        <v>6825</v>
      </c>
      <c r="K26" s="110">
        <f>TrRoad_act!K80</f>
        <v>7706</v>
      </c>
      <c r="L26" s="110">
        <f>TrRoad_act!L80</f>
        <v>7800</v>
      </c>
      <c r="M26" s="110">
        <f>TrRoad_act!M80</f>
        <v>7884</v>
      </c>
      <c r="N26" s="110">
        <f>TrRoad_act!N80</f>
        <v>7477</v>
      </c>
      <c r="O26" s="110">
        <f>TrRoad_act!O80</f>
        <v>5898</v>
      </c>
      <c r="P26" s="110">
        <f>TrRoad_act!P80</f>
        <v>5230</v>
      </c>
      <c r="Q26" s="110">
        <f>TrRoad_act!Q80</f>
        <v>5459</v>
      </c>
      <c r="R26" s="110">
        <f>TrRoad_act!R80</f>
        <v>5670</v>
      </c>
      <c r="S26" s="110">
        <f>TrRoad_act!S80</f>
        <v>6313</v>
      </c>
      <c r="T26" s="110">
        <f>TrRoad_act!T80</f>
        <v>6082</v>
      </c>
      <c r="U26" s="110">
        <f>TrRoad_act!U80</f>
        <v>6397</v>
      </c>
      <c r="V26" s="110">
        <f>TrRoad_act!V80</f>
        <v>6920</v>
      </c>
      <c r="W26" s="110">
        <f>TrRoad_act!W80</f>
        <v>6561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5561</v>
      </c>
      <c r="C27" s="102">
        <f>TrRoad_act!C81</f>
        <v>4743</v>
      </c>
      <c r="D27" s="102">
        <f>TrRoad_act!D81</f>
        <v>4196</v>
      </c>
      <c r="E27" s="102">
        <f>TrRoad_act!E81</f>
        <v>4203</v>
      </c>
      <c r="F27" s="102">
        <f>TrRoad_act!F81</f>
        <v>3790</v>
      </c>
      <c r="G27" s="102">
        <f>TrRoad_act!G81</f>
        <v>4583</v>
      </c>
      <c r="H27" s="102">
        <f>TrRoad_act!H81</f>
        <v>4729</v>
      </c>
      <c r="I27" s="102">
        <f>TrRoad_act!I81</f>
        <v>4495</v>
      </c>
      <c r="J27" s="102">
        <f>TrRoad_act!J81</f>
        <v>5451</v>
      </c>
      <c r="K27" s="102">
        <f>TrRoad_act!K81</f>
        <v>6480</v>
      </c>
      <c r="L27" s="102">
        <f>TrRoad_act!L81</f>
        <v>6530</v>
      </c>
      <c r="M27" s="102">
        <f>TrRoad_act!M81</f>
        <v>6629</v>
      </c>
      <c r="N27" s="102">
        <f>TrRoad_act!N81</f>
        <v>6068</v>
      </c>
      <c r="O27" s="102">
        <f>TrRoad_act!O81</f>
        <v>4495</v>
      </c>
      <c r="P27" s="102">
        <f>TrRoad_act!P81</f>
        <v>3748</v>
      </c>
      <c r="Q27" s="102">
        <f>TrRoad_act!Q81</f>
        <v>4188</v>
      </c>
      <c r="R27" s="102">
        <f>TrRoad_act!R81</f>
        <v>4310</v>
      </c>
      <c r="S27" s="102">
        <f>TrRoad_act!S81</f>
        <v>4880</v>
      </c>
      <c r="T27" s="102">
        <f>TrRoad_act!T81</f>
        <v>4697</v>
      </c>
      <c r="U27" s="102">
        <f>TrRoad_act!U81</f>
        <v>4973</v>
      </c>
      <c r="V27" s="102">
        <f>TrRoad_act!V81</f>
        <v>5587</v>
      </c>
      <c r="W27" s="102">
        <f>TrRoad_act!W81</f>
        <v>5129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825</v>
      </c>
      <c r="C28" s="86">
        <f>TrRoad_act!C82</f>
        <v>884</v>
      </c>
      <c r="D28" s="86">
        <f>TrRoad_act!D82</f>
        <v>930</v>
      </c>
      <c r="E28" s="86">
        <f>TrRoad_act!E82</f>
        <v>951</v>
      </c>
      <c r="F28" s="86">
        <f>TrRoad_act!F82</f>
        <v>1124</v>
      </c>
      <c r="G28" s="86">
        <f>TrRoad_act!G82</f>
        <v>1164</v>
      </c>
      <c r="H28" s="86">
        <f>TrRoad_act!H82</f>
        <v>1129</v>
      </c>
      <c r="I28" s="86">
        <f>TrRoad_act!I82</f>
        <v>1211</v>
      </c>
      <c r="J28" s="86">
        <f>TrRoad_act!J82</f>
        <v>1374</v>
      </c>
      <c r="K28" s="86">
        <f>TrRoad_act!K82</f>
        <v>1226</v>
      </c>
      <c r="L28" s="86">
        <f>TrRoad_act!L82</f>
        <v>1270</v>
      </c>
      <c r="M28" s="86">
        <f>TrRoad_act!M82</f>
        <v>1255</v>
      </c>
      <c r="N28" s="86">
        <f>TrRoad_act!N82</f>
        <v>1409</v>
      </c>
      <c r="O28" s="86">
        <f>TrRoad_act!O82</f>
        <v>1403</v>
      </c>
      <c r="P28" s="86">
        <f>TrRoad_act!P82</f>
        <v>1482</v>
      </c>
      <c r="Q28" s="86">
        <f>TrRoad_act!Q82</f>
        <v>1271</v>
      </c>
      <c r="R28" s="86">
        <f>TrRoad_act!R82</f>
        <v>1360</v>
      </c>
      <c r="S28" s="86">
        <f>TrRoad_act!S82</f>
        <v>1433</v>
      </c>
      <c r="T28" s="86">
        <f>TrRoad_act!T82</f>
        <v>1385</v>
      </c>
      <c r="U28" s="86">
        <f>TrRoad_act!U82</f>
        <v>1424</v>
      </c>
      <c r="V28" s="86">
        <f>TrRoad_act!V82</f>
        <v>1333</v>
      </c>
      <c r="W28" s="86">
        <f>TrRoad_act!W82</f>
        <v>1432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44021</v>
      </c>
      <c r="C30" s="54">
        <f>TrRoad_act!C111</f>
        <v>57189</v>
      </c>
      <c r="D30" s="54">
        <f>TrRoad_act!D111</f>
        <v>48934</v>
      </c>
      <c r="E30" s="54">
        <f>TrRoad_act!E111</f>
        <v>50061</v>
      </c>
      <c r="F30" s="54">
        <f>TrRoad_act!F111</f>
        <v>53682</v>
      </c>
      <c r="G30" s="54">
        <f>TrRoad_act!G111</f>
        <v>54971</v>
      </c>
      <c r="H30" s="54">
        <f>TrRoad_act!H111</f>
        <v>56639</v>
      </c>
      <c r="I30" s="54">
        <f>TrRoad_act!I111</f>
        <v>57083</v>
      </c>
      <c r="J30" s="54">
        <f>TrRoad_act!J111</f>
        <v>59470</v>
      </c>
      <c r="K30" s="54">
        <f>TrRoad_act!K111</f>
        <v>52047</v>
      </c>
      <c r="L30" s="54">
        <f>TrRoad_act!L111</f>
        <v>55325</v>
      </c>
      <c r="M30" s="54">
        <f>TrRoad_act!M111</f>
        <v>55522</v>
      </c>
      <c r="N30" s="54">
        <f>TrRoad_act!N111</f>
        <v>58653</v>
      </c>
      <c r="O30" s="54">
        <f>TrRoad_act!O111</f>
        <v>52669</v>
      </c>
      <c r="P30" s="54">
        <f>TrRoad_act!P111</f>
        <v>55640</v>
      </c>
      <c r="Q30" s="54">
        <f>TrRoad_act!Q111</f>
        <v>52532</v>
      </c>
      <c r="R30" s="54">
        <f>TrRoad_act!R111</f>
        <v>57481</v>
      </c>
      <c r="S30" s="54">
        <f>TrRoad_act!S111</f>
        <v>60407</v>
      </c>
      <c r="T30" s="54">
        <f>TrRoad_act!T111</f>
        <v>60456</v>
      </c>
      <c r="U30" s="54">
        <f>TrRoad_act!U111</f>
        <v>63018</v>
      </c>
      <c r="V30" s="54">
        <f>TrRoad_act!V111</f>
        <v>53480</v>
      </c>
      <c r="W30" s="54">
        <f>TrRoad_act!W111</f>
        <v>53106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43938</v>
      </c>
      <c r="C31" s="28">
        <f>TrRoad_act!C112</f>
        <v>54366</v>
      </c>
      <c r="D31" s="28">
        <f>TrRoad_act!D112</f>
        <v>46492</v>
      </c>
      <c r="E31" s="28">
        <f>TrRoad_act!E112</f>
        <v>47526</v>
      </c>
      <c r="F31" s="28">
        <f>TrRoad_act!F112</f>
        <v>50857</v>
      </c>
      <c r="G31" s="28">
        <f>TrRoad_act!G112</f>
        <v>51448</v>
      </c>
      <c r="H31" s="28">
        <f>TrRoad_act!H112</f>
        <v>53535</v>
      </c>
      <c r="I31" s="28">
        <f>TrRoad_act!I112</f>
        <v>53361</v>
      </c>
      <c r="J31" s="28">
        <f>TrRoad_act!J112</f>
        <v>54422</v>
      </c>
      <c r="K31" s="28">
        <f>TrRoad_act!K112</f>
        <v>49642</v>
      </c>
      <c r="L31" s="28">
        <f>TrRoad_act!L112</f>
        <v>52022</v>
      </c>
      <c r="M31" s="28">
        <f>TrRoad_act!M112</f>
        <v>51901</v>
      </c>
      <c r="N31" s="28">
        <f>TrRoad_act!N112</f>
        <v>54888</v>
      </c>
      <c r="O31" s="28">
        <f>TrRoad_act!O112</f>
        <v>48967</v>
      </c>
      <c r="P31" s="28">
        <f>TrRoad_act!P112</f>
        <v>52242</v>
      </c>
      <c r="Q31" s="28">
        <f>TrRoad_act!Q112</f>
        <v>48709</v>
      </c>
      <c r="R31" s="28">
        <f>TrRoad_act!R112</f>
        <v>52906</v>
      </c>
      <c r="S31" s="28">
        <f>TrRoad_act!S112</f>
        <v>55220</v>
      </c>
      <c r="T31" s="28">
        <f>TrRoad_act!T112</f>
        <v>55433</v>
      </c>
      <c r="U31" s="28">
        <f>TrRoad_act!U112</f>
        <v>57847</v>
      </c>
      <c r="V31" s="28">
        <f>TrRoad_act!V112</f>
        <v>48306</v>
      </c>
      <c r="W31" s="28">
        <f>TrRoad_act!W112</f>
        <v>47613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1512</v>
      </c>
      <c r="C32" s="137">
        <f>TrRoad_act!C113</f>
        <v>1475</v>
      </c>
      <c r="D32" s="137">
        <f>TrRoad_act!D113</f>
        <v>1710</v>
      </c>
      <c r="E32" s="137">
        <f>TrRoad_act!E113</f>
        <v>1861</v>
      </c>
      <c r="F32" s="137">
        <f>TrRoad_act!F113</f>
        <v>1778</v>
      </c>
      <c r="G32" s="137">
        <f>TrRoad_act!G113</f>
        <v>1686</v>
      </c>
      <c r="H32" s="137">
        <f>TrRoad_act!H113</f>
        <v>1836</v>
      </c>
      <c r="I32" s="137">
        <f>TrRoad_act!I113</f>
        <v>1900</v>
      </c>
      <c r="J32" s="137">
        <f>TrRoad_act!J113</f>
        <v>1838</v>
      </c>
      <c r="K32" s="137">
        <f>TrRoad_act!K113</f>
        <v>2094</v>
      </c>
      <c r="L32" s="137">
        <f>TrRoad_act!L113</f>
        <v>2122</v>
      </c>
      <c r="M32" s="137">
        <f>TrRoad_act!M113</f>
        <v>1832</v>
      </c>
      <c r="N32" s="137">
        <f>TrRoad_act!N113</f>
        <v>1721</v>
      </c>
      <c r="O32" s="137">
        <f>TrRoad_act!O113</f>
        <v>2172</v>
      </c>
      <c r="P32" s="137">
        <f>TrRoad_act!P113</f>
        <v>2290</v>
      </c>
      <c r="Q32" s="137">
        <f>TrRoad_act!Q113</f>
        <v>1985</v>
      </c>
      <c r="R32" s="137">
        <f>TrRoad_act!R113</f>
        <v>2140</v>
      </c>
      <c r="S32" s="137">
        <f>TrRoad_act!S113</f>
        <v>2206</v>
      </c>
      <c r="T32" s="137">
        <f>TrRoad_act!T113</f>
        <v>2407</v>
      </c>
      <c r="U32" s="137">
        <f>TrRoad_act!U113</f>
        <v>2556</v>
      </c>
      <c r="V32" s="137">
        <f>TrRoad_act!V113</f>
        <v>2903</v>
      </c>
      <c r="W32" s="137">
        <f>TrRoad_act!W113</f>
        <v>3074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42304</v>
      </c>
      <c r="C33" s="110">
        <f>TrRoad_act!C114</f>
        <v>52740</v>
      </c>
      <c r="D33" s="110">
        <f>TrRoad_act!D114</f>
        <v>44693</v>
      </c>
      <c r="E33" s="110">
        <f>TrRoad_act!E114</f>
        <v>45530</v>
      </c>
      <c r="F33" s="110">
        <f>TrRoad_act!F114</f>
        <v>48953</v>
      </c>
      <c r="G33" s="110">
        <f>TrRoad_act!G114</f>
        <v>49604</v>
      </c>
      <c r="H33" s="110">
        <f>TrRoad_act!H114</f>
        <v>51531</v>
      </c>
      <c r="I33" s="110">
        <f>TrRoad_act!I114</f>
        <v>51285</v>
      </c>
      <c r="J33" s="110">
        <f>TrRoad_act!J114</f>
        <v>52359</v>
      </c>
      <c r="K33" s="110">
        <f>TrRoad_act!K114</f>
        <v>47339</v>
      </c>
      <c r="L33" s="110">
        <f>TrRoad_act!L114</f>
        <v>49726</v>
      </c>
      <c r="M33" s="110">
        <f>TrRoad_act!M114</f>
        <v>49881</v>
      </c>
      <c r="N33" s="110">
        <f>TrRoad_act!N114</f>
        <v>53008</v>
      </c>
      <c r="O33" s="110">
        <f>TrRoad_act!O114</f>
        <v>46624</v>
      </c>
      <c r="P33" s="110">
        <f>TrRoad_act!P114</f>
        <v>49793</v>
      </c>
      <c r="Q33" s="110">
        <f>TrRoad_act!Q114</f>
        <v>46473</v>
      </c>
      <c r="R33" s="110">
        <f>TrRoad_act!R114</f>
        <v>50561</v>
      </c>
      <c r="S33" s="110">
        <f>TrRoad_act!S114</f>
        <v>52775</v>
      </c>
      <c r="T33" s="110">
        <f>TrRoad_act!T114</f>
        <v>52808</v>
      </c>
      <c r="U33" s="110">
        <f>TrRoad_act!U114</f>
        <v>55008</v>
      </c>
      <c r="V33" s="110">
        <f>TrRoad_act!V114</f>
        <v>45189</v>
      </c>
      <c r="W33" s="110">
        <f>TrRoad_act!W114</f>
        <v>44372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16004</v>
      </c>
      <c r="C34" s="84">
        <f>TrRoad_act!C115</f>
        <v>25191</v>
      </c>
      <c r="D34" s="84">
        <f>TrRoad_act!D115</f>
        <v>17125</v>
      </c>
      <c r="E34" s="84">
        <f>TrRoad_act!E115</f>
        <v>16478</v>
      </c>
      <c r="F34" s="84">
        <f>TrRoad_act!F115</f>
        <v>13756</v>
      </c>
      <c r="G34" s="84">
        <f>TrRoad_act!G115</f>
        <v>12837</v>
      </c>
      <c r="H34" s="84">
        <f>TrRoad_act!H115</f>
        <v>12218</v>
      </c>
      <c r="I34" s="84">
        <f>TrRoad_act!I115</f>
        <v>11503</v>
      </c>
      <c r="J34" s="84">
        <f>TrRoad_act!J115</f>
        <v>12013</v>
      </c>
      <c r="K34" s="84">
        <f>TrRoad_act!K115</f>
        <v>12758</v>
      </c>
      <c r="L34" s="84">
        <f>TrRoad_act!L115</f>
        <v>14183</v>
      </c>
      <c r="M34" s="84">
        <f>TrRoad_act!M115</f>
        <v>14425</v>
      </c>
      <c r="N34" s="84">
        <f>TrRoad_act!N115</f>
        <v>16194</v>
      </c>
      <c r="O34" s="84">
        <f>TrRoad_act!O115</f>
        <v>13976</v>
      </c>
      <c r="P34" s="84">
        <f>TrRoad_act!P115</f>
        <v>18751</v>
      </c>
      <c r="Q34" s="84">
        <f>TrRoad_act!Q115</f>
        <v>18565</v>
      </c>
      <c r="R34" s="84">
        <f>TrRoad_act!R115</f>
        <v>22590</v>
      </c>
      <c r="S34" s="84">
        <f>TrRoad_act!S115</f>
        <v>28315</v>
      </c>
      <c r="T34" s="84">
        <f>TrRoad_act!T115</f>
        <v>32046</v>
      </c>
      <c r="U34" s="84">
        <f>TrRoad_act!U115</f>
        <v>34346</v>
      </c>
      <c r="V34" s="84">
        <f>TrRoad_act!V115</f>
        <v>26599</v>
      </c>
      <c r="W34" s="84">
        <f>TrRoad_act!W115</f>
        <v>24787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26300</v>
      </c>
      <c r="C35" s="84">
        <f>TrRoad_act!C116</f>
        <v>26834</v>
      </c>
      <c r="D35" s="84">
        <f>TrRoad_act!D116</f>
        <v>27152</v>
      </c>
      <c r="E35" s="84">
        <f>TrRoad_act!E116</f>
        <v>28884</v>
      </c>
      <c r="F35" s="84">
        <f>TrRoad_act!F116</f>
        <v>35004</v>
      </c>
      <c r="G35" s="84">
        <f>TrRoad_act!G116</f>
        <v>36561</v>
      </c>
      <c r="H35" s="84">
        <f>TrRoad_act!H116</f>
        <v>39280</v>
      </c>
      <c r="I35" s="84">
        <f>TrRoad_act!I116</f>
        <v>39753</v>
      </c>
      <c r="J35" s="84">
        <f>TrRoad_act!J116</f>
        <v>40313</v>
      </c>
      <c r="K35" s="84">
        <f>TrRoad_act!K116</f>
        <v>34480</v>
      </c>
      <c r="L35" s="84">
        <f>TrRoad_act!L116</f>
        <v>35322</v>
      </c>
      <c r="M35" s="84">
        <f>TrRoad_act!M116</f>
        <v>34999</v>
      </c>
      <c r="N35" s="84">
        <f>TrRoad_act!N116</f>
        <v>36060</v>
      </c>
      <c r="O35" s="84">
        <f>TrRoad_act!O116</f>
        <v>31966</v>
      </c>
      <c r="P35" s="84">
        <f>TrRoad_act!P116</f>
        <v>30541</v>
      </c>
      <c r="Q35" s="84">
        <f>TrRoad_act!Q116</f>
        <v>27711</v>
      </c>
      <c r="R35" s="84">
        <f>TrRoad_act!R116</f>
        <v>27457</v>
      </c>
      <c r="S35" s="84">
        <f>TrRoad_act!S116</f>
        <v>23392</v>
      </c>
      <c r="T35" s="84">
        <f>TrRoad_act!T116</f>
        <v>19590</v>
      </c>
      <c r="U35" s="84">
        <f>TrRoad_act!U116</f>
        <v>18695</v>
      </c>
      <c r="V35" s="84">
        <f>TrRoad_act!V116</f>
        <v>13055</v>
      </c>
      <c r="W35" s="84">
        <f>TrRoad_act!W116</f>
        <v>10023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715</v>
      </c>
      <c r="D36" s="84">
        <f>TrRoad_act!D117</f>
        <v>416</v>
      </c>
      <c r="E36" s="84">
        <f>TrRoad_act!E117</f>
        <v>168</v>
      </c>
      <c r="F36" s="84">
        <f>TrRoad_act!F117</f>
        <v>193</v>
      </c>
      <c r="G36" s="84">
        <f>TrRoad_act!G117</f>
        <v>206</v>
      </c>
      <c r="H36" s="84">
        <f>TrRoad_act!H117</f>
        <v>33</v>
      </c>
      <c r="I36" s="84">
        <f>TrRoad_act!I117</f>
        <v>29</v>
      </c>
      <c r="J36" s="84">
        <f>TrRoad_act!J117</f>
        <v>32</v>
      </c>
      <c r="K36" s="84">
        <f>TrRoad_act!K117</f>
        <v>100</v>
      </c>
      <c r="L36" s="84">
        <f>TrRoad_act!L117</f>
        <v>25</v>
      </c>
      <c r="M36" s="84">
        <f>TrRoad_act!M117</f>
        <v>151</v>
      </c>
      <c r="N36" s="84">
        <f>TrRoad_act!N117</f>
        <v>203</v>
      </c>
      <c r="O36" s="84">
        <f>TrRoad_act!O117</f>
        <v>235</v>
      </c>
      <c r="P36" s="84">
        <f>TrRoad_act!P117</f>
        <v>121</v>
      </c>
      <c r="Q36" s="84">
        <f>TrRoad_act!Q117</f>
        <v>100</v>
      </c>
      <c r="R36" s="84">
        <f>TrRoad_act!R117</f>
        <v>157</v>
      </c>
      <c r="S36" s="84">
        <f>TrRoad_act!S117</f>
        <v>0</v>
      </c>
      <c r="T36" s="84">
        <f>TrRoad_act!T117</f>
        <v>2</v>
      </c>
      <c r="U36" s="84">
        <f>TrRoad_act!U117</f>
        <v>1</v>
      </c>
      <c r="V36" s="84">
        <f>TrRoad_act!V117</f>
        <v>177</v>
      </c>
      <c r="W36" s="84">
        <f>TrRoad_act!W117</f>
        <v>98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490</v>
      </c>
      <c r="O38" s="84">
        <f>TrRoad_act!O119</f>
        <v>280</v>
      </c>
      <c r="P38" s="84">
        <f>TrRoad_act!P119</f>
        <v>73</v>
      </c>
      <c r="Q38" s="84">
        <f>TrRoad_act!Q119</f>
        <v>16</v>
      </c>
      <c r="R38" s="84">
        <f>TrRoad_act!R119</f>
        <v>195</v>
      </c>
      <c r="S38" s="84">
        <f>TrRoad_act!S119</f>
        <v>694</v>
      </c>
      <c r="T38" s="84">
        <f>TrRoad_act!T119</f>
        <v>672</v>
      </c>
      <c r="U38" s="84">
        <f>TrRoad_act!U119</f>
        <v>931</v>
      </c>
      <c r="V38" s="84">
        <f>TrRoad_act!V119</f>
        <v>2833</v>
      </c>
      <c r="W38" s="84">
        <f>TrRoad_act!W119</f>
        <v>4778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1</v>
      </c>
      <c r="K39" s="84">
        <f>TrRoad_act!K120</f>
        <v>1</v>
      </c>
      <c r="L39" s="84">
        <f>TrRoad_act!L120</f>
        <v>196</v>
      </c>
      <c r="M39" s="84">
        <f>TrRoad_act!M120</f>
        <v>306</v>
      </c>
      <c r="N39" s="84">
        <f>TrRoad_act!N120</f>
        <v>61</v>
      </c>
      <c r="O39" s="84">
        <f>TrRoad_act!O120</f>
        <v>167</v>
      </c>
      <c r="P39" s="84">
        <f>TrRoad_act!P120</f>
        <v>307</v>
      </c>
      <c r="Q39" s="84">
        <f>TrRoad_act!Q120</f>
        <v>81</v>
      </c>
      <c r="R39" s="84">
        <f>TrRoad_act!R120</f>
        <v>162</v>
      </c>
      <c r="S39" s="84">
        <f>TrRoad_act!S120</f>
        <v>374</v>
      </c>
      <c r="T39" s="84">
        <f>TrRoad_act!T120</f>
        <v>498</v>
      </c>
      <c r="U39" s="84">
        <f>TrRoad_act!U120</f>
        <v>1035</v>
      </c>
      <c r="V39" s="84">
        <f>TrRoad_act!V120</f>
        <v>2525</v>
      </c>
      <c r="W39" s="84">
        <f>TrRoad_act!W120</f>
        <v>4686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122</v>
      </c>
      <c r="C40" s="110">
        <f>TrRoad_act!C121</f>
        <v>151</v>
      </c>
      <c r="D40" s="110">
        <f>TrRoad_act!D121</f>
        <v>89</v>
      </c>
      <c r="E40" s="110">
        <f>TrRoad_act!E121</f>
        <v>135</v>
      </c>
      <c r="F40" s="110">
        <f>TrRoad_act!F121</f>
        <v>126</v>
      </c>
      <c r="G40" s="110">
        <f>TrRoad_act!G121</f>
        <v>158</v>
      </c>
      <c r="H40" s="110">
        <f>TrRoad_act!H121</f>
        <v>168</v>
      </c>
      <c r="I40" s="110">
        <f>TrRoad_act!I121</f>
        <v>176</v>
      </c>
      <c r="J40" s="110">
        <f>TrRoad_act!J121</f>
        <v>225</v>
      </c>
      <c r="K40" s="110">
        <f>TrRoad_act!K121</f>
        <v>209</v>
      </c>
      <c r="L40" s="110">
        <f>TrRoad_act!L121</f>
        <v>174</v>
      </c>
      <c r="M40" s="110">
        <f>TrRoad_act!M121</f>
        <v>188</v>
      </c>
      <c r="N40" s="110">
        <f>TrRoad_act!N121</f>
        <v>159</v>
      </c>
      <c r="O40" s="110">
        <f>TrRoad_act!O121</f>
        <v>171</v>
      </c>
      <c r="P40" s="110">
        <f>TrRoad_act!P121</f>
        <v>159</v>
      </c>
      <c r="Q40" s="110">
        <f>TrRoad_act!Q121</f>
        <v>251</v>
      </c>
      <c r="R40" s="110">
        <f>TrRoad_act!R121</f>
        <v>205</v>
      </c>
      <c r="S40" s="110">
        <f>TrRoad_act!S121</f>
        <v>239</v>
      </c>
      <c r="T40" s="110">
        <f>TrRoad_act!T121</f>
        <v>218</v>
      </c>
      <c r="U40" s="110">
        <f>TrRoad_act!U121</f>
        <v>283</v>
      </c>
      <c r="V40" s="110">
        <f>TrRoad_act!V121</f>
        <v>214</v>
      </c>
      <c r="W40" s="110">
        <f>TrRoad_act!W121</f>
        <v>167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1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122</v>
      </c>
      <c r="C42" s="102">
        <f>TrRoad_act!C123</f>
        <v>151</v>
      </c>
      <c r="D42" s="102">
        <f>TrRoad_act!D123</f>
        <v>89</v>
      </c>
      <c r="E42" s="102">
        <f>TrRoad_act!E123</f>
        <v>132</v>
      </c>
      <c r="F42" s="102">
        <f>TrRoad_act!F123</f>
        <v>126</v>
      </c>
      <c r="G42" s="102">
        <f>TrRoad_act!G123</f>
        <v>158</v>
      </c>
      <c r="H42" s="102">
        <f>TrRoad_act!H123</f>
        <v>168</v>
      </c>
      <c r="I42" s="102">
        <f>TrRoad_act!I123</f>
        <v>176</v>
      </c>
      <c r="J42" s="102">
        <f>TrRoad_act!J123</f>
        <v>225</v>
      </c>
      <c r="K42" s="102">
        <f>TrRoad_act!K123</f>
        <v>209</v>
      </c>
      <c r="L42" s="102">
        <f>TrRoad_act!L123</f>
        <v>174</v>
      </c>
      <c r="M42" s="102">
        <f>TrRoad_act!M123</f>
        <v>188</v>
      </c>
      <c r="N42" s="102">
        <f>TrRoad_act!N123</f>
        <v>159</v>
      </c>
      <c r="O42" s="102">
        <f>TrRoad_act!O123</f>
        <v>169</v>
      </c>
      <c r="P42" s="102">
        <f>TrRoad_act!P123</f>
        <v>159</v>
      </c>
      <c r="Q42" s="102">
        <f>TrRoad_act!Q123</f>
        <v>251</v>
      </c>
      <c r="R42" s="102">
        <f>TrRoad_act!R123</f>
        <v>205</v>
      </c>
      <c r="S42" s="102">
        <f>TrRoad_act!S123</f>
        <v>231</v>
      </c>
      <c r="T42" s="102">
        <f>TrRoad_act!T123</f>
        <v>197</v>
      </c>
      <c r="U42" s="102">
        <f>TrRoad_act!U123</f>
        <v>207</v>
      </c>
      <c r="V42" s="102">
        <f>TrRoad_act!V123</f>
        <v>167</v>
      </c>
      <c r="W42" s="102">
        <f>TrRoad_act!W123</f>
        <v>137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3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2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8</v>
      </c>
      <c r="T45" s="102">
        <f>TrRoad_act!T126</f>
        <v>20</v>
      </c>
      <c r="U45" s="102">
        <f>TrRoad_act!U126</f>
        <v>76</v>
      </c>
      <c r="V45" s="102">
        <f>TrRoad_act!V126</f>
        <v>47</v>
      </c>
      <c r="W45" s="102">
        <f>TrRoad_act!W126</f>
        <v>30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83</v>
      </c>
      <c r="C46" s="28">
        <f>TrRoad_act!C127</f>
        <v>2823</v>
      </c>
      <c r="D46" s="28">
        <f>TrRoad_act!D127</f>
        <v>2442</v>
      </c>
      <c r="E46" s="28">
        <f>TrRoad_act!E127</f>
        <v>2535</v>
      </c>
      <c r="F46" s="28">
        <f>TrRoad_act!F127</f>
        <v>2825</v>
      </c>
      <c r="G46" s="28">
        <f>TrRoad_act!G127</f>
        <v>3523</v>
      </c>
      <c r="H46" s="28">
        <f>TrRoad_act!H127</f>
        <v>3104</v>
      </c>
      <c r="I46" s="28">
        <f>TrRoad_act!I127</f>
        <v>3722</v>
      </c>
      <c r="J46" s="28">
        <f>TrRoad_act!J127</f>
        <v>5048</v>
      </c>
      <c r="K46" s="28">
        <f>TrRoad_act!K127</f>
        <v>2405</v>
      </c>
      <c r="L46" s="28">
        <f>TrRoad_act!L127</f>
        <v>3303</v>
      </c>
      <c r="M46" s="28">
        <f>TrRoad_act!M127</f>
        <v>3621</v>
      </c>
      <c r="N46" s="28">
        <f>TrRoad_act!N127</f>
        <v>3765</v>
      </c>
      <c r="O46" s="28">
        <f>TrRoad_act!O127</f>
        <v>3702</v>
      </c>
      <c r="P46" s="28">
        <f>TrRoad_act!P127</f>
        <v>3398</v>
      </c>
      <c r="Q46" s="28">
        <f>TrRoad_act!Q127</f>
        <v>3823</v>
      </c>
      <c r="R46" s="28">
        <f>TrRoad_act!R127</f>
        <v>4575</v>
      </c>
      <c r="S46" s="28">
        <f>TrRoad_act!S127</f>
        <v>5187</v>
      </c>
      <c r="T46" s="28">
        <f>TrRoad_act!T127</f>
        <v>5023</v>
      </c>
      <c r="U46" s="28">
        <f>TrRoad_act!U127</f>
        <v>5171</v>
      </c>
      <c r="V46" s="28">
        <f>TrRoad_act!V127</f>
        <v>5174</v>
      </c>
      <c r="W46" s="28">
        <f>TrRoad_act!W127</f>
        <v>5493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2323</v>
      </c>
      <c r="D47" s="137">
        <f>TrRoad_act!D128</f>
        <v>2232</v>
      </c>
      <c r="E47" s="137">
        <f>TrRoad_act!E128</f>
        <v>2114</v>
      </c>
      <c r="F47" s="137">
        <f>TrRoad_act!F128</f>
        <v>2427</v>
      </c>
      <c r="G47" s="137">
        <f>TrRoad_act!G128</f>
        <v>2563</v>
      </c>
      <c r="H47" s="137">
        <f>TrRoad_act!H128</f>
        <v>2793</v>
      </c>
      <c r="I47" s="137">
        <f>TrRoad_act!I128</f>
        <v>3280</v>
      </c>
      <c r="J47" s="137">
        <f>TrRoad_act!J128</f>
        <v>3793</v>
      </c>
      <c r="K47" s="137">
        <f>TrRoad_act!K128</f>
        <v>1365</v>
      </c>
      <c r="L47" s="137">
        <f>TrRoad_act!L128</f>
        <v>2643</v>
      </c>
      <c r="M47" s="137">
        <f>TrRoad_act!M128</f>
        <v>3002</v>
      </c>
      <c r="N47" s="137">
        <f>TrRoad_act!N128</f>
        <v>3395</v>
      </c>
      <c r="O47" s="137">
        <f>TrRoad_act!O128</f>
        <v>3491</v>
      </c>
      <c r="P47" s="137">
        <f>TrRoad_act!P128</f>
        <v>2996</v>
      </c>
      <c r="Q47" s="137">
        <f>TrRoad_act!Q128</f>
        <v>3383</v>
      </c>
      <c r="R47" s="137">
        <f>TrRoad_act!R128</f>
        <v>3859</v>
      </c>
      <c r="S47" s="137">
        <f>TrRoad_act!S128</f>
        <v>4369</v>
      </c>
      <c r="T47" s="137">
        <f>TrRoad_act!T128</f>
        <v>4418</v>
      </c>
      <c r="U47" s="137">
        <f>TrRoad_act!U128</f>
        <v>4323</v>
      </c>
      <c r="V47" s="137">
        <f>TrRoad_act!V128</f>
        <v>4482</v>
      </c>
      <c r="W47" s="137">
        <f>TrRoad_act!W128</f>
        <v>4803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20</v>
      </c>
      <c r="D48" s="84">
        <f>TrRoad_act!D129</f>
        <v>51</v>
      </c>
      <c r="E48" s="84">
        <f>TrRoad_act!E129</f>
        <v>84</v>
      </c>
      <c r="F48" s="84">
        <f>TrRoad_act!F129</f>
        <v>77</v>
      </c>
      <c r="G48" s="84">
        <f>TrRoad_act!G129</f>
        <v>86</v>
      </c>
      <c r="H48" s="84">
        <f>TrRoad_act!H129</f>
        <v>86</v>
      </c>
      <c r="I48" s="84">
        <f>TrRoad_act!I129</f>
        <v>126</v>
      </c>
      <c r="J48" s="84">
        <f>TrRoad_act!J129</f>
        <v>179</v>
      </c>
      <c r="K48" s="84">
        <f>TrRoad_act!K129</f>
        <v>159</v>
      </c>
      <c r="L48" s="84">
        <f>TrRoad_act!L129</f>
        <v>139</v>
      </c>
      <c r="M48" s="84">
        <f>TrRoad_act!M129</f>
        <v>115</v>
      </c>
      <c r="N48" s="84">
        <f>TrRoad_act!N129</f>
        <v>86</v>
      </c>
      <c r="O48" s="84">
        <f>TrRoad_act!O129</f>
        <v>109</v>
      </c>
      <c r="P48" s="84">
        <f>TrRoad_act!P129</f>
        <v>84</v>
      </c>
      <c r="Q48" s="84">
        <f>TrRoad_act!Q129</f>
        <v>78</v>
      </c>
      <c r="R48" s="84">
        <f>TrRoad_act!R129</f>
        <v>110</v>
      </c>
      <c r="S48" s="84">
        <f>TrRoad_act!S129</f>
        <v>147</v>
      </c>
      <c r="T48" s="84">
        <f>TrRoad_act!T129</f>
        <v>167</v>
      </c>
      <c r="U48" s="84">
        <f>TrRoad_act!U129</f>
        <v>174</v>
      </c>
      <c r="V48" s="84">
        <f>TrRoad_act!V129</f>
        <v>156</v>
      </c>
      <c r="W48" s="84">
        <f>TrRoad_act!W129</f>
        <v>170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2303</v>
      </c>
      <c r="D49" s="84">
        <f>TrRoad_act!D130</f>
        <v>2181</v>
      </c>
      <c r="E49" s="84">
        <f>TrRoad_act!E130</f>
        <v>2030</v>
      </c>
      <c r="F49" s="84">
        <f>TrRoad_act!F130</f>
        <v>2350</v>
      </c>
      <c r="G49" s="84">
        <f>TrRoad_act!G130</f>
        <v>2477</v>
      </c>
      <c r="H49" s="84">
        <f>TrRoad_act!H130</f>
        <v>2706</v>
      </c>
      <c r="I49" s="84">
        <f>TrRoad_act!I130</f>
        <v>3153</v>
      </c>
      <c r="J49" s="84">
        <f>TrRoad_act!J130</f>
        <v>3614</v>
      </c>
      <c r="K49" s="84">
        <f>TrRoad_act!K130</f>
        <v>1201</v>
      </c>
      <c r="L49" s="84">
        <f>TrRoad_act!L130</f>
        <v>2504</v>
      </c>
      <c r="M49" s="84">
        <f>TrRoad_act!M130</f>
        <v>2887</v>
      </c>
      <c r="N49" s="84">
        <f>TrRoad_act!N130</f>
        <v>3289</v>
      </c>
      <c r="O49" s="84">
        <f>TrRoad_act!O130</f>
        <v>3279</v>
      </c>
      <c r="P49" s="84">
        <f>TrRoad_act!P130</f>
        <v>2879</v>
      </c>
      <c r="Q49" s="84">
        <f>TrRoad_act!Q130</f>
        <v>3280</v>
      </c>
      <c r="R49" s="84">
        <f>TrRoad_act!R130</f>
        <v>3719</v>
      </c>
      <c r="S49" s="84">
        <f>TrRoad_act!S130</f>
        <v>4172</v>
      </c>
      <c r="T49" s="84">
        <f>TrRoad_act!T130</f>
        <v>4184</v>
      </c>
      <c r="U49" s="84">
        <f>TrRoad_act!U130</f>
        <v>4018</v>
      </c>
      <c r="V49" s="84">
        <f>TrRoad_act!V130</f>
        <v>4229</v>
      </c>
      <c r="W49" s="84">
        <f>TrRoad_act!W130</f>
        <v>4478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59</v>
      </c>
      <c r="P50" s="84">
        <f>TrRoad_act!P131</f>
        <v>12</v>
      </c>
      <c r="Q50" s="84">
        <f>TrRoad_act!Q131</f>
        <v>2</v>
      </c>
      <c r="R50" s="84">
        <f>TrRoad_act!R131</f>
        <v>14</v>
      </c>
      <c r="S50" s="84">
        <f>TrRoad_act!S131</f>
        <v>11</v>
      </c>
      <c r="T50" s="84">
        <f>TrRoad_act!T131</f>
        <v>13</v>
      </c>
      <c r="U50" s="84">
        <f>TrRoad_act!U131</f>
        <v>45</v>
      </c>
      <c r="V50" s="84">
        <f>TrRoad_act!V131</f>
        <v>36</v>
      </c>
      <c r="W50" s="84">
        <f>TrRoad_act!W131</f>
        <v>30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1</v>
      </c>
      <c r="I52" s="84">
        <f>TrRoad_act!I133</f>
        <v>1</v>
      </c>
      <c r="J52" s="84">
        <f>TrRoad_act!J133</f>
        <v>0</v>
      </c>
      <c r="K52" s="84">
        <f>TrRoad_act!K133</f>
        <v>5</v>
      </c>
      <c r="L52" s="84">
        <f>TrRoad_act!L133</f>
        <v>0</v>
      </c>
      <c r="M52" s="84">
        <f>TrRoad_act!M133</f>
        <v>0</v>
      </c>
      <c r="N52" s="84">
        <f>TrRoad_act!N133</f>
        <v>20</v>
      </c>
      <c r="O52" s="84">
        <f>TrRoad_act!O133</f>
        <v>44</v>
      </c>
      <c r="P52" s="84">
        <f>TrRoad_act!P133</f>
        <v>21</v>
      </c>
      <c r="Q52" s="84">
        <f>TrRoad_act!Q133</f>
        <v>23</v>
      </c>
      <c r="R52" s="84">
        <f>TrRoad_act!R133</f>
        <v>16</v>
      </c>
      <c r="S52" s="84">
        <f>TrRoad_act!S133</f>
        <v>39</v>
      </c>
      <c r="T52" s="84">
        <f>TrRoad_act!T133</f>
        <v>54</v>
      </c>
      <c r="U52" s="84">
        <f>TrRoad_act!U133</f>
        <v>86</v>
      </c>
      <c r="V52" s="84">
        <f>TrRoad_act!V133</f>
        <v>61</v>
      </c>
      <c r="W52" s="84">
        <f>TrRoad_act!W133</f>
        <v>125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83</v>
      </c>
      <c r="C53" s="110">
        <f>TrRoad_act!C134</f>
        <v>500</v>
      </c>
      <c r="D53" s="110">
        <f>TrRoad_act!D134</f>
        <v>210</v>
      </c>
      <c r="E53" s="110">
        <f>TrRoad_act!E134</f>
        <v>421</v>
      </c>
      <c r="F53" s="110">
        <f>TrRoad_act!F134</f>
        <v>398</v>
      </c>
      <c r="G53" s="110">
        <f>TrRoad_act!G134</f>
        <v>960</v>
      </c>
      <c r="H53" s="110">
        <f>TrRoad_act!H134</f>
        <v>311</v>
      </c>
      <c r="I53" s="110">
        <f>TrRoad_act!I134</f>
        <v>442</v>
      </c>
      <c r="J53" s="110">
        <f>TrRoad_act!J134</f>
        <v>1255</v>
      </c>
      <c r="K53" s="110">
        <f>TrRoad_act!K134</f>
        <v>1040</v>
      </c>
      <c r="L53" s="110">
        <f>TrRoad_act!L134</f>
        <v>660</v>
      </c>
      <c r="M53" s="110">
        <f>TrRoad_act!M134</f>
        <v>619</v>
      </c>
      <c r="N53" s="110">
        <f>TrRoad_act!N134</f>
        <v>370</v>
      </c>
      <c r="O53" s="110">
        <f>TrRoad_act!O134</f>
        <v>211</v>
      </c>
      <c r="P53" s="110">
        <f>TrRoad_act!P134</f>
        <v>402</v>
      </c>
      <c r="Q53" s="110">
        <f>TrRoad_act!Q134</f>
        <v>440</v>
      </c>
      <c r="R53" s="110">
        <f>TrRoad_act!R134</f>
        <v>716</v>
      </c>
      <c r="S53" s="110">
        <f>TrRoad_act!S134</f>
        <v>818</v>
      </c>
      <c r="T53" s="110">
        <f>TrRoad_act!T134</f>
        <v>605</v>
      </c>
      <c r="U53" s="110">
        <f>TrRoad_act!U134</f>
        <v>848</v>
      </c>
      <c r="V53" s="110">
        <f>TrRoad_act!V134</f>
        <v>692</v>
      </c>
      <c r="W53" s="110">
        <f>TrRoad_act!W134</f>
        <v>690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360</v>
      </c>
      <c r="D54" s="102">
        <f>TrRoad_act!D135</f>
        <v>70</v>
      </c>
      <c r="E54" s="102">
        <f>TrRoad_act!E135</f>
        <v>293</v>
      </c>
      <c r="F54" s="102">
        <f>TrRoad_act!F135</f>
        <v>108</v>
      </c>
      <c r="G54" s="102">
        <f>TrRoad_act!G135</f>
        <v>793</v>
      </c>
      <c r="H54" s="102">
        <f>TrRoad_act!H135</f>
        <v>212</v>
      </c>
      <c r="I54" s="102">
        <f>TrRoad_act!I135</f>
        <v>224</v>
      </c>
      <c r="J54" s="102">
        <f>TrRoad_act!J135</f>
        <v>956</v>
      </c>
      <c r="K54" s="102">
        <f>TrRoad_act!K135</f>
        <v>1040</v>
      </c>
      <c r="L54" s="102">
        <f>TrRoad_act!L135</f>
        <v>480</v>
      </c>
      <c r="M54" s="102">
        <f>TrRoad_act!M135</f>
        <v>492</v>
      </c>
      <c r="N54" s="102">
        <f>TrRoad_act!N135</f>
        <v>66</v>
      </c>
      <c r="O54" s="102">
        <f>TrRoad_act!O135</f>
        <v>61</v>
      </c>
      <c r="P54" s="102">
        <f>TrRoad_act!P135</f>
        <v>160</v>
      </c>
      <c r="Q54" s="102">
        <f>TrRoad_act!Q135</f>
        <v>440</v>
      </c>
      <c r="R54" s="102">
        <f>TrRoad_act!R135</f>
        <v>467</v>
      </c>
      <c r="S54" s="102">
        <f>TrRoad_act!S135</f>
        <v>581</v>
      </c>
      <c r="T54" s="102">
        <f>TrRoad_act!T135</f>
        <v>487</v>
      </c>
      <c r="U54" s="102">
        <f>TrRoad_act!U135</f>
        <v>640</v>
      </c>
      <c r="V54" s="102">
        <f>TrRoad_act!V135</f>
        <v>614</v>
      </c>
      <c r="W54" s="102">
        <f>TrRoad_act!W135</f>
        <v>421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83</v>
      </c>
      <c r="C55" s="86">
        <f>TrRoad_act!C136</f>
        <v>140</v>
      </c>
      <c r="D55" s="86">
        <f>TrRoad_act!D136</f>
        <v>140</v>
      </c>
      <c r="E55" s="86">
        <f>TrRoad_act!E136</f>
        <v>128</v>
      </c>
      <c r="F55" s="86">
        <f>TrRoad_act!F136</f>
        <v>290</v>
      </c>
      <c r="G55" s="86">
        <f>TrRoad_act!G136</f>
        <v>167</v>
      </c>
      <c r="H55" s="86">
        <f>TrRoad_act!H136</f>
        <v>99</v>
      </c>
      <c r="I55" s="86">
        <f>TrRoad_act!I136</f>
        <v>218</v>
      </c>
      <c r="J55" s="86">
        <f>TrRoad_act!J136</f>
        <v>299</v>
      </c>
      <c r="K55" s="86">
        <f>TrRoad_act!K136</f>
        <v>0</v>
      </c>
      <c r="L55" s="86">
        <f>TrRoad_act!L136</f>
        <v>180</v>
      </c>
      <c r="M55" s="86">
        <f>TrRoad_act!M136</f>
        <v>127</v>
      </c>
      <c r="N55" s="86">
        <f>TrRoad_act!N136</f>
        <v>304</v>
      </c>
      <c r="O55" s="86">
        <f>TrRoad_act!O136</f>
        <v>150</v>
      </c>
      <c r="P55" s="86">
        <f>TrRoad_act!P136</f>
        <v>242</v>
      </c>
      <c r="Q55" s="86">
        <f>TrRoad_act!Q136</f>
        <v>0</v>
      </c>
      <c r="R55" s="86">
        <f>TrRoad_act!R136</f>
        <v>249</v>
      </c>
      <c r="S55" s="86">
        <f>TrRoad_act!S136</f>
        <v>237</v>
      </c>
      <c r="T55" s="86">
        <f>TrRoad_act!T136</f>
        <v>118</v>
      </c>
      <c r="U55" s="86">
        <f>TrRoad_act!U136</f>
        <v>208</v>
      </c>
      <c r="V55" s="86">
        <f>TrRoad_act!V136</f>
        <v>78</v>
      </c>
      <c r="W55" s="86">
        <f>TrRoad_act!W136</f>
        <v>269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0</v>
      </c>
      <c r="C59" s="54">
        <f t="shared" si="0"/>
        <v>78</v>
      </c>
      <c r="D59" s="54">
        <f t="shared" si="0"/>
        <v>519</v>
      </c>
      <c r="E59" s="54">
        <f t="shared" si="0"/>
        <v>716</v>
      </c>
      <c r="F59" s="54">
        <f t="shared" si="0"/>
        <v>828</v>
      </c>
      <c r="G59" s="54">
        <f t="shared" si="0"/>
        <v>916</v>
      </c>
      <c r="H59" s="54">
        <f t="shared" si="0"/>
        <v>1088</v>
      </c>
      <c r="I59" s="54">
        <f t="shared" si="0"/>
        <v>1248</v>
      </c>
      <c r="J59" s="54">
        <f t="shared" si="0"/>
        <v>1776</v>
      </c>
      <c r="K59" s="54">
        <f t="shared" si="0"/>
        <v>2667</v>
      </c>
      <c r="L59" s="54">
        <f t="shared" ref="L59" si="1">L60+L75</f>
        <v>16633</v>
      </c>
      <c r="M59" s="54">
        <f t="shared" ref="M59:V59" si="2">M60+M75</f>
        <v>20211</v>
      </c>
      <c r="N59" s="54">
        <f t="shared" si="2"/>
        <v>29250</v>
      </c>
      <c r="O59" s="54">
        <f t="shared" si="2"/>
        <v>32816</v>
      </c>
      <c r="P59" s="54">
        <f t="shared" si="2"/>
        <v>39518</v>
      </c>
      <c r="Q59" s="54">
        <f t="shared" si="2"/>
        <v>42029</v>
      </c>
      <c r="R59" s="54">
        <f t="shared" si="2"/>
        <v>49683</v>
      </c>
      <c r="S59" s="54">
        <f t="shared" si="2"/>
        <v>55116</v>
      </c>
      <c r="T59" s="54">
        <f t="shared" si="2"/>
        <v>58436</v>
      </c>
      <c r="U59" s="54">
        <f t="shared" si="2"/>
        <v>62369</v>
      </c>
      <c r="V59" s="54">
        <f t="shared" si="2"/>
        <v>52887</v>
      </c>
      <c r="W59" s="54">
        <f t="shared" ref="W59" si="3">W60+W75</f>
        <v>53106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0</v>
      </c>
      <c r="C60" s="28">
        <f t="shared" si="4"/>
        <v>78</v>
      </c>
      <c r="D60" s="28">
        <f t="shared" si="4"/>
        <v>519</v>
      </c>
      <c r="E60" s="28">
        <f t="shared" si="4"/>
        <v>716</v>
      </c>
      <c r="F60" s="28">
        <f t="shared" si="4"/>
        <v>828</v>
      </c>
      <c r="G60" s="28">
        <f t="shared" si="4"/>
        <v>916</v>
      </c>
      <c r="H60" s="28">
        <f t="shared" si="4"/>
        <v>1088</v>
      </c>
      <c r="I60" s="28">
        <f t="shared" si="4"/>
        <v>1248</v>
      </c>
      <c r="J60" s="28">
        <f t="shared" si="4"/>
        <v>1355</v>
      </c>
      <c r="K60" s="28">
        <f t="shared" si="4"/>
        <v>1633</v>
      </c>
      <c r="L60" s="28">
        <f t="shared" ref="L60" si="5">L61+L62+L69</f>
        <v>15196</v>
      </c>
      <c r="M60" s="28">
        <f t="shared" ref="M60:V60" si="6">M61+M62+M69</f>
        <v>18249</v>
      </c>
      <c r="N60" s="28">
        <f t="shared" si="6"/>
        <v>26850</v>
      </c>
      <c r="O60" s="28">
        <f t="shared" si="6"/>
        <v>30148</v>
      </c>
      <c r="P60" s="28">
        <f t="shared" si="6"/>
        <v>36763</v>
      </c>
      <c r="Q60" s="28">
        <f t="shared" si="6"/>
        <v>38612</v>
      </c>
      <c r="R60" s="28">
        <f t="shared" si="6"/>
        <v>45434</v>
      </c>
      <c r="S60" s="28">
        <f t="shared" si="6"/>
        <v>50116</v>
      </c>
      <c r="T60" s="28">
        <f t="shared" si="6"/>
        <v>53481</v>
      </c>
      <c r="U60" s="28">
        <f t="shared" si="6"/>
        <v>57234</v>
      </c>
      <c r="V60" s="28">
        <f t="shared" si="6"/>
        <v>47719</v>
      </c>
      <c r="W60" s="28">
        <f t="shared" ref="W60" si="7">W61+W62+W69</f>
        <v>47613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78</v>
      </c>
      <c r="D61" s="137">
        <v>519</v>
      </c>
      <c r="E61" s="137">
        <v>716</v>
      </c>
      <c r="F61" s="137">
        <v>828</v>
      </c>
      <c r="G61" s="137">
        <v>916</v>
      </c>
      <c r="H61" s="137">
        <v>1088</v>
      </c>
      <c r="I61" s="137">
        <v>1217</v>
      </c>
      <c r="J61" s="137">
        <v>1263</v>
      </c>
      <c r="K61" s="137">
        <v>1532</v>
      </c>
      <c r="L61" s="137">
        <v>1642</v>
      </c>
      <c r="M61" s="137">
        <v>1489</v>
      </c>
      <c r="N61" s="137">
        <v>1460</v>
      </c>
      <c r="O61" s="137">
        <v>1913</v>
      </c>
      <c r="P61" s="137">
        <v>2082</v>
      </c>
      <c r="Q61" s="137">
        <v>1854</v>
      </c>
      <c r="R61" s="137">
        <v>2043</v>
      </c>
      <c r="S61" s="137">
        <v>2143</v>
      </c>
      <c r="T61" s="137">
        <v>2369</v>
      </c>
      <c r="U61" s="137">
        <v>2538</v>
      </c>
      <c r="V61" s="137">
        <v>2898</v>
      </c>
      <c r="W61" s="137">
        <v>3074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0</v>
      </c>
      <c r="E62" s="110">
        <f t="shared" si="8"/>
        <v>0</v>
      </c>
      <c r="F62" s="110">
        <f t="shared" si="8"/>
        <v>0</v>
      </c>
      <c r="G62" s="110">
        <f t="shared" si="8"/>
        <v>0</v>
      </c>
      <c r="H62" s="110">
        <f t="shared" si="8"/>
        <v>0</v>
      </c>
      <c r="I62" s="110">
        <f t="shared" si="8"/>
        <v>0</v>
      </c>
      <c r="J62" s="110">
        <f t="shared" si="8"/>
        <v>0</v>
      </c>
      <c r="K62" s="110">
        <f t="shared" si="8"/>
        <v>0</v>
      </c>
      <c r="L62" s="110">
        <f t="shared" ref="L62" si="9">SUM(L63:L68)</f>
        <v>13455</v>
      </c>
      <c r="M62" s="110">
        <f t="shared" ref="M62:V62" si="10">SUM(M63:M68)</f>
        <v>16639</v>
      </c>
      <c r="N62" s="110">
        <f t="shared" si="10"/>
        <v>25276</v>
      </c>
      <c r="O62" s="110">
        <f t="shared" si="10"/>
        <v>28102</v>
      </c>
      <c r="P62" s="110">
        <f t="shared" si="10"/>
        <v>34547</v>
      </c>
      <c r="Q62" s="110">
        <f t="shared" si="10"/>
        <v>36533</v>
      </c>
      <c r="R62" s="110">
        <f t="shared" si="10"/>
        <v>43200</v>
      </c>
      <c r="S62" s="110">
        <f t="shared" si="10"/>
        <v>47744</v>
      </c>
      <c r="T62" s="110">
        <f t="shared" si="10"/>
        <v>50898</v>
      </c>
      <c r="U62" s="110">
        <f t="shared" si="10"/>
        <v>54414</v>
      </c>
      <c r="V62" s="110">
        <f t="shared" si="10"/>
        <v>44610</v>
      </c>
      <c r="W62" s="110">
        <f t="shared" ref="W62" si="11">SUM(W63:W68)</f>
        <v>44372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4746</v>
      </c>
      <c r="O63" s="84">
        <v>7002</v>
      </c>
      <c r="P63" s="84">
        <v>11829</v>
      </c>
      <c r="Q63" s="84">
        <v>13877</v>
      </c>
      <c r="R63" s="84">
        <v>19060</v>
      </c>
      <c r="S63" s="84">
        <v>25947</v>
      </c>
      <c r="T63" s="84">
        <v>30922</v>
      </c>
      <c r="U63" s="84">
        <v>34059</v>
      </c>
      <c r="V63" s="84">
        <v>26597</v>
      </c>
      <c r="W63" s="84">
        <v>24787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13455</v>
      </c>
      <c r="M64" s="84">
        <v>16639</v>
      </c>
      <c r="N64" s="84">
        <v>20530</v>
      </c>
      <c r="O64" s="84">
        <v>21100</v>
      </c>
      <c r="P64" s="84">
        <v>22718</v>
      </c>
      <c r="Q64" s="84">
        <v>22656</v>
      </c>
      <c r="R64" s="84">
        <v>24140</v>
      </c>
      <c r="S64" s="84">
        <v>21698</v>
      </c>
      <c r="T64" s="84">
        <v>18856</v>
      </c>
      <c r="U64" s="84">
        <v>18407</v>
      </c>
      <c r="V64" s="84">
        <v>12593</v>
      </c>
      <c r="W64" s="84">
        <v>10023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158</v>
      </c>
      <c r="W65" s="84">
        <v>98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99</v>
      </c>
      <c r="T67" s="84">
        <v>650</v>
      </c>
      <c r="U67" s="84">
        <v>924</v>
      </c>
      <c r="V67" s="84">
        <v>2793</v>
      </c>
      <c r="W67" s="84">
        <v>4778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470</v>
      </c>
      <c r="U68" s="84">
        <v>1024</v>
      </c>
      <c r="V68" s="84">
        <v>2469</v>
      </c>
      <c r="W68" s="84">
        <v>4686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0</v>
      </c>
      <c r="H69" s="110">
        <f t="shared" si="12"/>
        <v>0</v>
      </c>
      <c r="I69" s="110">
        <f t="shared" si="12"/>
        <v>31</v>
      </c>
      <c r="J69" s="110">
        <f t="shared" si="12"/>
        <v>92</v>
      </c>
      <c r="K69" s="110">
        <f t="shared" si="12"/>
        <v>101</v>
      </c>
      <c r="L69" s="110">
        <f t="shared" ref="L69" si="13">SUM(L70:L74)</f>
        <v>99</v>
      </c>
      <c r="M69" s="110">
        <f t="shared" ref="M69:V69" si="14">SUM(M70:M74)</f>
        <v>121</v>
      </c>
      <c r="N69" s="110">
        <f t="shared" si="14"/>
        <v>114</v>
      </c>
      <c r="O69" s="110">
        <f t="shared" si="14"/>
        <v>133</v>
      </c>
      <c r="P69" s="110">
        <f t="shared" si="14"/>
        <v>134</v>
      </c>
      <c r="Q69" s="110">
        <f t="shared" si="14"/>
        <v>225</v>
      </c>
      <c r="R69" s="110">
        <f t="shared" si="14"/>
        <v>191</v>
      </c>
      <c r="S69" s="110">
        <f t="shared" si="14"/>
        <v>229</v>
      </c>
      <c r="T69" s="110">
        <f t="shared" si="14"/>
        <v>214</v>
      </c>
      <c r="U69" s="110">
        <f t="shared" si="14"/>
        <v>282</v>
      </c>
      <c r="V69" s="110">
        <f t="shared" si="14"/>
        <v>211</v>
      </c>
      <c r="W69" s="110">
        <f t="shared" ref="W69" si="15">SUM(W70:W74)</f>
        <v>167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31</v>
      </c>
      <c r="J71" s="102">
        <v>92</v>
      </c>
      <c r="K71" s="102">
        <v>101</v>
      </c>
      <c r="L71" s="102">
        <v>99</v>
      </c>
      <c r="M71" s="102">
        <v>121</v>
      </c>
      <c r="N71" s="102">
        <v>114</v>
      </c>
      <c r="O71" s="102">
        <v>133</v>
      </c>
      <c r="P71" s="102">
        <v>134</v>
      </c>
      <c r="Q71" s="102">
        <v>225</v>
      </c>
      <c r="R71" s="102">
        <v>191</v>
      </c>
      <c r="S71" s="102">
        <v>222</v>
      </c>
      <c r="T71" s="102">
        <v>193</v>
      </c>
      <c r="U71" s="102">
        <v>206</v>
      </c>
      <c r="V71" s="102">
        <v>164</v>
      </c>
      <c r="W71" s="102">
        <v>137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7</v>
      </c>
      <c r="T74" s="102">
        <v>20</v>
      </c>
      <c r="U74" s="102">
        <v>76</v>
      </c>
      <c r="V74" s="102">
        <v>47</v>
      </c>
      <c r="W74" s="102">
        <v>30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0</v>
      </c>
      <c r="J75" s="28">
        <f t="shared" si="16"/>
        <v>421</v>
      </c>
      <c r="K75" s="28">
        <f t="shared" si="16"/>
        <v>1034</v>
      </c>
      <c r="L75" s="28">
        <f t="shared" ref="L75" si="17">L76+L82</f>
        <v>1437</v>
      </c>
      <c r="M75" s="28">
        <f t="shared" ref="M75:V75" si="18">M76+M82</f>
        <v>1962</v>
      </c>
      <c r="N75" s="28">
        <f t="shared" si="18"/>
        <v>2400</v>
      </c>
      <c r="O75" s="28">
        <f t="shared" si="18"/>
        <v>2668</v>
      </c>
      <c r="P75" s="28">
        <f t="shared" si="18"/>
        <v>2755</v>
      </c>
      <c r="Q75" s="28">
        <f t="shared" si="18"/>
        <v>3417</v>
      </c>
      <c r="R75" s="28">
        <f t="shared" si="18"/>
        <v>4249</v>
      </c>
      <c r="S75" s="28">
        <f t="shared" si="18"/>
        <v>5000</v>
      </c>
      <c r="T75" s="28">
        <f t="shared" si="18"/>
        <v>4955</v>
      </c>
      <c r="U75" s="28">
        <f t="shared" si="18"/>
        <v>5135</v>
      </c>
      <c r="V75" s="28">
        <f t="shared" si="18"/>
        <v>5168</v>
      </c>
      <c r="W75" s="28">
        <f t="shared" ref="W75" si="19">W76+W82</f>
        <v>5493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395</v>
      </c>
      <c r="K76" s="137">
        <f t="shared" si="20"/>
        <v>434</v>
      </c>
      <c r="L76" s="137">
        <f t="shared" ref="L76" si="21">SUM(L77:L81)</f>
        <v>1125</v>
      </c>
      <c r="M76" s="137">
        <f t="shared" ref="M76:V76" si="22">SUM(M77:M81)</f>
        <v>1608</v>
      </c>
      <c r="N76" s="137">
        <f t="shared" si="22"/>
        <v>2168</v>
      </c>
      <c r="O76" s="137">
        <f t="shared" si="22"/>
        <v>2523</v>
      </c>
      <c r="P76" s="137">
        <f t="shared" si="22"/>
        <v>2452</v>
      </c>
      <c r="Q76" s="137">
        <f t="shared" si="22"/>
        <v>3007</v>
      </c>
      <c r="R76" s="137">
        <f t="shared" si="22"/>
        <v>3613</v>
      </c>
      <c r="S76" s="137">
        <f t="shared" si="22"/>
        <v>4241</v>
      </c>
      <c r="T76" s="137">
        <f t="shared" si="22"/>
        <v>4372</v>
      </c>
      <c r="U76" s="137">
        <f t="shared" si="22"/>
        <v>4311</v>
      </c>
      <c r="V76" s="137">
        <f t="shared" si="22"/>
        <v>4481</v>
      </c>
      <c r="W76" s="137">
        <f t="shared" ref="W76" si="23">SUM(W77:W81)</f>
        <v>4803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40</v>
      </c>
      <c r="K77" s="84">
        <v>56</v>
      </c>
      <c r="L77" s="84">
        <v>62</v>
      </c>
      <c r="M77" s="84">
        <v>62</v>
      </c>
      <c r="N77" s="84">
        <v>54</v>
      </c>
      <c r="O77" s="84">
        <v>79</v>
      </c>
      <c r="P77" s="84">
        <v>67</v>
      </c>
      <c r="Q77" s="84">
        <v>67</v>
      </c>
      <c r="R77" s="84">
        <v>101</v>
      </c>
      <c r="S77" s="84">
        <v>140</v>
      </c>
      <c r="T77" s="84">
        <v>164</v>
      </c>
      <c r="U77" s="84">
        <v>173</v>
      </c>
      <c r="V77" s="84">
        <v>156</v>
      </c>
      <c r="W77" s="84">
        <v>170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355</v>
      </c>
      <c r="K78" s="84">
        <v>378</v>
      </c>
      <c r="L78" s="84">
        <v>1063</v>
      </c>
      <c r="M78" s="84">
        <v>1546</v>
      </c>
      <c r="N78" s="84">
        <v>2114</v>
      </c>
      <c r="O78" s="84">
        <v>2427</v>
      </c>
      <c r="P78" s="84">
        <v>2370</v>
      </c>
      <c r="Q78" s="84">
        <v>2920</v>
      </c>
      <c r="R78" s="84">
        <v>3497</v>
      </c>
      <c r="S78" s="84">
        <v>4063</v>
      </c>
      <c r="T78" s="84">
        <v>4155</v>
      </c>
      <c r="U78" s="84">
        <v>4016</v>
      </c>
      <c r="V78" s="84">
        <v>4229</v>
      </c>
      <c r="W78" s="84">
        <v>4478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36</v>
      </c>
      <c r="V79" s="84">
        <v>36</v>
      </c>
      <c r="W79" s="84">
        <v>30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17</v>
      </c>
      <c r="P81" s="84">
        <v>15</v>
      </c>
      <c r="Q81" s="84">
        <v>20</v>
      </c>
      <c r="R81" s="84">
        <v>15</v>
      </c>
      <c r="S81" s="84">
        <v>38</v>
      </c>
      <c r="T81" s="84">
        <v>53</v>
      </c>
      <c r="U81" s="84">
        <v>86</v>
      </c>
      <c r="V81" s="84">
        <v>60</v>
      </c>
      <c r="W81" s="84">
        <v>125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26</v>
      </c>
      <c r="K82" s="110">
        <f t="shared" si="24"/>
        <v>600</v>
      </c>
      <c r="L82" s="110">
        <f t="shared" ref="L82" si="25">SUM(L83:L84)</f>
        <v>312</v>
      </c>
      <c r="M82" s="110">
        <f t="shared" ref="M82:V82" si="26">SUM(M83:M84)</f>
        <v>354</v>
      </c>
      <c r="N82" s="110">
        <f t="shared" si="26"/>
        <v>232</v>
      </c>
      <c r="O82" s="110">
        <f t="shared" si="26"/>
        <v>145</v>
      </c>
      <c r="P82" s="110">
        <f t="shared" si="26"/>
        <v>303</v>
      </c>
      <c r="Q82" s="110">
        <f t="shared" si="26"/>
        <v>410</v>
      </c>
      <c r="R82" s="110">
        <f t="shared" si="26"/>
        <v>636</v>
      </c>
      <c r="S82" s="110">
        <f t="shared" si="26"/>
        <v>759</v>
      </c>
      <c r="T82" s="110">
        <f t="shared" si="26"/>
        <v>583</v>
      </c>
      <c r="U82" s="110">
        <f t="shared" si="26"/>
        <v>824</v>
      </c>
      <c r="V82" s="110">
        <f t="shared" si="26"/>
        <v>687</v>
      </c>
      <c r="W82" s="110">
        <f t="shared" ref="W82" si="27">SUM(W83:W84)</f>
        <v>690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26</v>
      </c>
      <c r="K83" s="102">
        <v>600</v>
      </c>
      <c r="L83" s="102">
        <v>312</v>
      </c>
      <c r="M83" s="102">
        <v>354</v>
      </c>
      <c r="N83" s="102">
        <v>52</v>
      </c>
      <c r="O83" s="102">
        <v>51</v>
      </c>
      <c r="P83" s="102">
        <v>143</v>
      </c>
      <c r="Q83" s="102">
        <v>410</v>
      </c>
      <c r="R83" s="102">
        <v>449</v>
      </c>
      <c r="S83" s="102">
        <v>572</v>
      </c>
      <c r="T83" s="102">
        <v>485</v>
      </c>
      <c r="U83" s="102">
        <v>640</v>
      </c>
      <c r="V83" s="102">
        <v>614</v>
      </c>
      <c r="W83" s="102">
        <v>421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180</v>
      </c>
      <c r="O84" s="86">
        <v>94</v>
      </c>
      <c r="P84" s="86">
        <v>160</v>
      </c>
      <c r="Q84" s="86">
        <v>0</v>
      </c>
      <c r="R84" s="86">
        <v>187</v>
      </c>
      <c r="S84" s="86">
        <v>187</v>
      </c>
      <c r="T84" s="86">
        <v>98</v>
      </c>
      <c r="U84" s="86">
        <v>184</v>
      </c>
      <c r="V84" s="86">
        <v>73</v>
      </c>
      <c r="W84" s="86">
        <v>269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4.5015041215643006</v>
      </c>
      <c r="C90" s="141">
        <v>4.3860657914545191</v>
      </c>
      <c r="D90" s="141">
        <v>4.2984612307602177</v>
      </c>
      <c r="E90" s="141">
        <v>4.2152098054976079</v>
      </c>
      <c r="F90" s="141">
        <v>4.1499781820628003</v>
      </c>
      <c r="G90" s="141">
        <v>4.1032968761515312</v>
      </c>
      <c r="H90" s="141">
        <v>4.0545418124626993</v>
      </c>
      <c r="I90" s="141">
        <v>4.0057649182371202</v>
      </c>
      <c r="J90" s="141">
        <v>3.9776036683516436</v>
      </c>
      <c r="K90" s="141">
        <v>3.9105963364891516</v>
      </c>
      <c r="L90" s="141">
        <v>3.8389180593997789</v>
      </c>
      <c r="M90" s="141">
        <v>3.7761712082456933</v>
      </c>
      <c r="N90" s="141">
        <v>3.711372378872734</v>
      </c>
      <c r="O90" s="141">
        <v>3.629376106150068</v>
      </c>
      <c r="P90" s="141">
        <v>3.5495947978560203</v>
      </c>
      <c r="Q90" s="141">
        <v>3.4790457630189189</v>
      </c>
      <c r="R90" s="141">
        <v>3.4047284497170818</v>
      </c>
      <c r="S90" s="141">
        <v>3.332711278580879</v>
      </c>
      <c r="T90" s="141">
        <v>3.2239234097729228</v>
      </c>
      <c r="U90" s="141">
        <v>3.1240572295869806</v>
      </c>
      <c r="V90" s="141">
        <v>3.0463875957346507</v>
      </c>
      <c r="W90" s="141">
        <v>2.7636728050246875</v>
      </c>
      <c r="DA90" s="174" t="s">
        <v>862</v>
      </c>
    </row>
    <row r="91" spans="1:105" ht="11.45" customHeight="1" x14ac:dyDescent="0.25">
      <c r="A91" s="109" t="s">
        <v>20</v>
      </c>
      <c r="B91" s="130">
        <v>8.2038249233345226</v>
      </c>
      <c r="C91" s="130">
        <v>7.7989085868819714</v>
      </c>
      <c r="D91" s="130">
        <v>7.6179158944361616</v>
      </c>
      <c r="E91" s="130">
        <v>7.4529054927912686</v>
      </c>
      <c r="F91" s="130">
        <v>7.2970899853441331</v>
      </c>
      <c r="G91" s="130">
        <v>7.1816855841065879</v>
      </c>
      <c r="H91" s="130">
        <v>7.0819395356846586</v>
      </c>
      <c r="I91" s="130">
        <v>6.9962031972717833</v>
      </c>
      <c r="J91" s="130">
        <v>6.8938550824289884</v>
      </c>
      <c r="K91" s="130">
        <v>6.7587524564848493</v>
      </c>
      <c r="L91" s="130">
        <v>6.6112488913682483</v>
      </c>
      <c r="M91" s="130">
        <v>6.4740321110389916</v>
      </c>
      <c r="N91" s="130">
        <v>6.3299402523294592</v>
      </c>
      <c r="O91" s="130">
        <v>6.177508018432099</v>
      </c>
      <c r="P91" s="130">
        <v>6.0063901080348021</v>
      </c>
      <c r="Q91" s="130">
        <v>5.8639880610384871</v>
      </c>
      <c r="R91" s="130">
        <v>5.7074608553238946</v>
      </c>
      <c r="S91" s="130">
        <v>5.5990942641059958</v>
      </c>
      <c r="T91" s="130">
        <v>5.5058867501925137</v>
      </c>
      <c r="U91" s="130">
        <v>5.4635065580848048</v>
      </c>
      <c r="V91" s="130">
        <v>5.4027173621213569</v>
      </c>
      <c r="W91" s="130">
        <v>5.2931061563769388</v>
      </c>
      <c r="DA91" s="176" t="s">
        <v>863</v>
      </c>
    </row>
    <row r="92" spans="1:105" ht="11.45" customHeight="1" x14ac:dyDescent="0.25">
      <c r="A92" s="111" t="s">
        <v>110</v>
      </c>
      <c r="B92" s="96">
        <v>8.3931594339449305</v>
      </c>
      <c r="C92" s="96">
        <v>8.0360840148010091</v>
      </c>
      <c r="D92" s="96">
        <v>7.9326521960102614</v>
      </c>
      <c r="E92" s="96">
        <v>7.8272760167592521</v>
      </c>
      <c r="F92" s="96">
        <v>7.7330016676184936</v>
      </c>
      <c r="G92" s="96">
        <v>7.6567197659225865</v>
      </c>
      <c r="H92" s="96">
        <v>7.5841796468623199</v>
      </c>
      <c r="I92" s="96">
        <v>7.5186555145854213</v>
      </c>
      <c r="J92" s="96">
        <v>7.4396107086276446</v>
      </c>
      <c r="K92" s="96">
        <v>7.300299931872793</v>
      </c>
      <c r="L92" s="96">
        <v>7.1516413838093138</v>
      </c>
      <c r="M92" s="96">
        <v>7.0044409454389074</v>
      </c>
      <c r="N92" s="96">
        <v>6.8713775385803979</v>
      </c>
      <c r="O92" s="96">
        <v>6.7012457376528944</v>
      </c>
      <c r="P92" s="96">
        <v>6.4739274578805572</v>
      </c>
      <c r="Q92" s="96">
        <v>6.2927042183720276</v>
      </c>
      <c r="R92" s="96">
        <v>6.0803828209601374</v>
      </c>
      <c r="S92" s="96">
        <v>5.8816662298591096</v>
      </c>
      <c r="T92" s="96">
        <v>5.7576747312049283</v>
      </c>
      <c r="U92" s="96">
        <v>5.697286965679961</v>
      </c>
      <c r="V92" s="96">
        <v>5.6675939422082315</v>
      </c>
      <c r="W92" s="96">
        <v>5.5938986593254238</v>
      </c>
      <c r="DA92" s="171" t="s">
        <v>864</v>
      </c>
    </row>
    <row r="93" spans="1:105" ht="11.45" customHeight="1" x14ac:dyDescent="0.25">
      <c r="A93" s="111" t="s">
        <v>111</v>
      </c>
      <c r="B93" s="96">
        <v>7.7843550518374212</v>
      </c>
      <c r="C93" s="96">
        <v>7.1209083428736504</v>
      </c>
      <c r="D93" s="96">
        <v>6.9109701822903569</v>
      </c>
      <c r="E93" s="96">
        <v>6.7762370349193652</v>
      </c>
      <c r="F93" s="96">
        <v>6.6756109233510257</v>
      </c>
      <c r="G93" s="96">
        <v>6.6370046550781279</v>
      </c>
      <c r="H93" s="96">
        <v>6.6076380172815545</v>
      </c>
      <c r="I93" s="96">
        <v>6.5798019872565456</v>
      </c>
      <c r="J93" s="96">
        <v>6.5049966318508323</v>
      </c>
      <c r="K93" s="96">
        <v>6.4077780389021655</v>
      </c>
      <c r="L93" s="96">
        <v>6.2844125952427889</v>
      </c>
      <c r="M93" s="96">
        <v>6.1531575657460378</v>
      </c>
      <c r="N93" s="96">
        <v>6.0020992947293994</v>
      </c>
      <c r="O93" s="96">
        <v>5.859041074073426</v>
      </c>
      <c r="P93" s="96">
        <v>5.7189163618687067</v>
      </c>
      <c r="Q93" s="96">
        <v>5.588124378837346</v>
      </c>
      <c r="R93" s="96">
        <v>5.459330096281942</v>
      </c>
      <c r="S93" s="96">
        <v>5.3985817655664903</v>
      </c>
      <c r="T93" s="96">
        <v>5.3352092899799546</v>
      </c>
      <c r="U93" s="96">
        <v>5.3192069134148916</v>
      </c>
      <c r="V93" s="96">
        <v>5.2659051875913656</v>
      </c>
      <c r="W93" s="96">
        <v>5.2352659441441336</v>
      </c>
      <c r="DA93" s="171" t="s">
        <v>865</v>
      </c>
    </row>
    <row r="94" spans="1:105" ht="11.45" customHeight="1" x14ac:dyDescent="0.25">
      <c r="A94" s="111" t="s">
        <v>112</v>
      </c>
      <c r="B94" s="96">
        <v>6.8678261251979045</v>
      </c>
      <c r="C94" s="96">
        <v>6.4320643546953207</v>
      </c>
      <c r="D94" s="96">
        <v>6.2564527468068656</v>
      </c>
      <c r="E94" s="96">
        <v>6.1682485742381497</v>
      </c>
      <c r="F94" s="96">
        <v>6.0868162776854629</v>
      </c>
      <c r="G94" s="96">
        <v>6.026812519308832</v>
      </c>
      <c r="H94" s="96">
        <v>5.7753500057742135</v>
      </c>
      <c r="I94" s="96">
        <v>5.8011082053231746</v>
      </c>
      <c r="J94" s="96">
        <v>5.814371553495123</v>
      </c>
      <c r="K94" s="96">
        <v>5.8371118214625763</v>
      </c>
      <c r="L94" s="96">
        <v>5.8429416931912712</v>
      </c>
      <c r="M94" s="96">
        <v>5.8823503248626015</v>
      </c>
      <c r="N94" s="96">
        <v>5.9178532066503671</v>
      </c>
      <c r="O94" s="96">
        <v>5.9000674355031277</v>
      </c>
      <c r="P94" s="96">
        <v>5.8691394089354931</v>
      </c>
      <c r="Q94" s="96">
        <v>5.7971996832074382</v>
      </c>
      <c r="R94" s="96">
        <v>5.695721964427749</v>
      </c>
      <c r="S94" s="96">
        <v>5.6803728077258597</v>
      </c>
      <c r="T94" s="96">
        <v>5.2012541442807914</v>
      </c>
      <c r="U94" s="96">
        <v>5.1768006831899012</v>
      </c>
      <c r="V94" s="96">
        <v>5.0285595460438941</v>
      </c>
      <c r="W94" s="96">
        <v>4.8707804148003797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4.5522682382364223</v>
      </c>
      <c r="O96" s="96">
        <v>4.653186273823616</v>
      </c>
      <c r="P96" s="96">
        <v>4.3991053429518985</v>
      </c>
      <c r="Q96" s="96">
        <v>4.3760189424254552</v>
      </c>
      <c r="R96" s="96">
        <v>4.0206064220143656</v>
      </c>
      <c r="S96" s="96">
        <v>3.1962623868968136</v>
      </c>
      <c r="T96" s="96">
        <v>3.2054176508392924</v>
      </c>
      <c r="U96" s="96">
        <v>3.2687050096491088</v>
      </c>
      <c r="V96" s="96">
        <v>3.2198059672992931</v>
      </c>
      <c r="W96" s="96">
        <v>3.0720963217506907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1.3312044718003742</v>
      </c>
      <c r="K97" s="96">
        <v>1.3244260536334311</v>
      </c>
      <c r="L97" s="96">
        <v>1.3047135028115466</v>
      </c>
      <c r="M97" s="96">
        <v>1.3047135028115466</v>
      </c>
      <c r="N97" s="96">
        <v>1.2422665744337065</v>
      </c>
      <c r="O97" s="96">
        <v>1.2822939653836989</v>
      </c>
      <c r="P97" s="96">
        <v>1.2469233425643376</v>
      </c>
      <c r="Q97" s="96">
        <v>1.2283912482613115</v>
      </c>
      <c r="R97" s="96">
        <v>1.1959437550874878</v>
      </c>
      <c r="S97" s="96">
        <v>1.2147055770697821</v>
      </c>
      <c r="T97" s="96">
        <v>1.2748486790552001</v>
      </c>
      <c r="U97" s="96">
        <v>1.3710577140253748</v>
      </c>
      <c r="V97" s="96">
        <v>1.4743850670851764</v>
      </c>
      <c r="W97" s="96">
        <v>1.4809717692884259</v>
      </c>
      <c r="DA97" s="171" t="s">
        <v>869</v>
      </c>
    </row>
    <row r="98" spans="1:105" ht="11.45" customHeight="1" x14ac:dyDescent="0.25">
      <c r="A98" s="109" t="s">
        <v>21</v>
      </c>
      <c r="B98" s="130">
        <v>57.09173808454824</v>
      </c>
      <c r="C98" s="130">
        <v>54.403352260410443</v>
      </c>
      <c r="D98" s="130">
        <v>53.745904706403323</v>
      </c>
      <c r="E98" s="130">
        <v>52.732194403860277</v>
      </c>
      <c r="F98" s="130">
        <v>51.876971539882312</v>
      </c>
      <c r="G98" s="130">
        <v>51.003342118630947</v>
      </c>
      <c r="H98" s="130">
        <v>50.089688205696511</v>
      </c>
      <c r="I98" s="130">
        <v>49.349966533849155</v>
      </c>
      <c r="J98" s="130">
        <v>48.277325327966636</v>
      </c>
      <c r="K98" s="130">
        <v>47.341728419463799</v>
      </c>
      <c r="L98" s="130">
        <v>46.412508422310239</v>
      </c>
      <c r="M98" s="130">
        <v>45.833693354503872</v>
      </c>
      <c r="N98" s="130">
        <v>45.623852307983491</v>
      </c>
      <c r="O98" s="130">
        <v>45.355021531563928</v>
      </c>
      <c r="P98" s="130">
        <v>45.102041330756961</v>
      </c>
      <c r="Q98" s="130">
        <v>44.722456948311226</v>
      </c>
      <c r="R98" s="130">
        <v>44.413278727375932</v>
      </c>
      <c r="S98" s="130">
        <v>44.019990023556616</v>
      </c>
      <c r="T98" s="130">
        <v>43.663193670157973</v>
      </c>
      <c r="U98" s="130">
        <v>42.826862406897241</v>
      </c>
      <c r="V98" s="130">
        <v>42.215277760887673</v>
      </c>
      <c r="W98" s="130">
        <v>41.962471698972898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10.058257256467691</v>
      </c>
      <c r="U99" s="97">
        <v>10.058257256467691</v>
      </c>
      <c r="V99" s="97">
        <v>10.058257256467691</v>
      </c>
      <c r="W99" s="97">
        <v>10.058257256467691</v>
      </c>
      <c r="DA99" s="175" t="s">
        <v>871</v>
      </c>
    </row>
    <row r="100" spans="1:105" ht="11.45" customHeight="1" x14ac:dyDescent="0.25">
      <c r="A100" s="111" t="s">
        <v>111</v>
      </c>
      <c r="B100" s="97">
        <v>57.09173808454824</v>
      </c>
      <c r="C100" s="97">
        <v>53.88566829990269</v>
      </c>
      <c r="D100" s="97">
        <v>53.135516143968914</v>
      </c>
      <c r="E100" s="97">
        <v>52.06846970476137</v>
      </c>
      <c r="F100" s="97">
        <v>51.173751316964228</v>
      </c>
      <c r="G100" s="97">
        <v>50.296931321490895</v>
      </c>
      <c r="H100" s="97">
        <v>49.42877085983784</v>
      </c>
      <c r="I100" s="97">
        <v>48.747404781656485</v>
      </c>
      <c r="J100" s="97">
        <v>47.827252291689391</v>
      </c>
      <c r="K100" s="97">
        <v>47.029263468673278</v>
      </c>
      <c r="L100" s="97">
        <v>46.266857479335449</v>
      </c>
      <c r="M100" s="97">
        <v>45.77675149585324</v>
      </c>
      <c r="N100" s="97">
        <v>45.542648938510894</v>
      </c>
      <c r="O100" s="97">
        <v>45.269400375696407</v>
      </c>
      <c r="P100" s="97">
        <v>44.997592792122589</v>
      </c>
      <c r="Q100" s="97">
        <v>44.607685134081976</v>
      </c>
      <c r="R100" s="97">
        <v>44.30003644668664</v>
      </c>
      <c r="S100" s="97">
        <v>43.974973641646471</v>
      </c>
      <c r="T100" s="97">
        <v>43.810524232130618</v>
      </c>
      <c r="U100" s="97">
        <v>43.633334652801828</v>
      </c>
      <c r="V100" s="97">
        <v>43.424409320733652</v>
      </c>
      <c r="W100" s="97">
        <v>43.351813587500899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36.813962066104985</v>
      </c>
      <c r="F103" s="97">
        <v>36.813962066104985</v>
      </c>
      <c r="G103" s="97">
        <v>36.813962066104992</v>
      </c>
      <c r="H103" s="97">
        <v>36.813962066104992</v>
      </c>
      <c r="I103" s="97">
        <v>36.813962066104985</v>
      </c>
      <c r="J103" s="97">
        <v>36.813962066104985</v>
      </c>
      <c r="K103" s="97">
        <v>36.813962066104985</v>
      </c>
      <c r="L103" s="97">
        <v>36.813962066104985</v>
      </c>
      <c r="M103" s="97">
        <v>36.813962066104985</v>
      </c>
      <c r="N103" s="97">
        <v>36.813962066104985</v>
      </c>
      <c r="O103" s="97">
        <v>31.649617010515634</v>
      </c>
      <c r="P103" s="97">
        <v>30.321732644342113</v>
      </c>
      <c r="Q103" s="97">
        <v>30.321732644342113</v>
      </c>
      <c r="R103" s="97">
        <v>30.321732644342116</v>
      </c>
      <c r="S103" s="97">
        <v>25.138542938006832</v>
      </c>
      <c r="T103" s="97">
        <v>24.760181557113647</v>
      </c>
      <c r="U103" s="97">
        <v>24.310042394331795</v>
      </c>
      <c r="V103" s="97">
        <v>24.12752129357035</v>
      </c>
      <c r="W103" s="97">
        <v>23.990552986449398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10.798546574932624</v>
      </c>
      <c r="C105" s="141">
        <v>10.532927480468846</v>
      </c>
      <c r="D105" s="141">
        <v>10.293188710139013</v>
      </c>
      <c r="E105" s="141">
        <v>10.096386929970771</v>
      </c>
      <c r="F105" s="141">
        <v>9.8850858262692629</v>
      </c>
      <c r="G105" s="141">
        <v>9.6951685746333229</v>
      </c>
      <c r="H105" s="141">
        <v>9.4866883228932739</v>
      </c>
      <c r="I105" s="141">
        <v>9.2727752377394594</v>
      </c>
      <c r="J105" s="141">
        <v>9.0469048304994359</v>
      </c>
      <c r="K105" s="141">
        <v>8.9993170807296554</v>
      </c>
      <c r="L105" s="141">
        <v>8.9809714774277101</v>
      </c>
      <c r="M105" s="141">
        <v>8.9275401283598939</v>
      </c>
      <c r="N105" s="141">
        <v>8.7439995283177403</v>
      </c>
      <c r="O105" s="141">
        <v>8.5659670500474121</v>
      </c>
      <c r="P105" s="141">
        <v>8.3840579538346738</v>
      </c>
      <c r="Q105" s="141">
        <v>8.1657352513168835</v>
      </c>
      <c r="R105" s="141">
        <v>7.945284014878033</v>
      </c>
      <c r="S105" s="141">
        <v>7.6632339438882804</v>
      </c>
      <c r="T105" s="141">
        <v>7.4214639305508578</v>
      </c>
      <c r="U105" s="141">
        <v>7.2567491945352041</v>
      </c>
      <c r="V105" s="141">
        <v>7.1043531955105674</v>
      </c>
      <c r="W105" s="141">
        <v>6.9182191466170089</v>
      </c>
      <c r="DA105" s="174" t="s">
        <v>876</v>
      </c>
    </row>
    <row r="106" spans="1:105" ht="11.45" customHeight="1" x14ac:dyDescent="0.25">
      <c r="A106" s="111" t="s">
        <v>110</v>
      </c>
      <c r="B106" s="96">
        <v>9.8723167902427154</v>
      </c>
      <c r="C106" s="96">
        <v>9.8395688643581281</v>
      </c>
      <c r="D106" s="96">
        <v>9.7495431851625671</v>
      </c>
      <c r="E106" s="96">
        <v>9.588461459656541</v>
      </c>
      <c r="F106" s="96">
        <v>9.4221136619832038</v>
      </c>
      <c r="G106" s="96">
        <v>9.2201568359870816</v>
      </c>
      <c r="H106" s="96">
        <v>9.0122649080554122</v>
      </c>
      <c r="I106" s="96">
        <v>8.7665264931827593</v>
      </c>
      <c r="J106" s="96">
        <v>8.4805990446127524</v>
      </c>
      <c r="K106" s="96">
        <v>8.167206914192974</v>
      </c>
      <c r="L106" s="96">
        <v>7.9805933123380166</v>
      </c>
      <c r="M106" s="96">
        <v>7.8263092891625554</v>
      </c>
      <c r="N106" s="96">
        <v>7.6675251164754386</v>
      </c>
      <c r="O106" s="96">
        <v>7.617784392517108</v>
      </c>
      <c r="P106" s="96">
        <v>7.5361125938871734</v>
      </c>
      <c r="Q106" s="96">
        <v>7.4514207084164292</v>
      </c>
      <c r="R106" s="96">
        <v>7.2958298437401803</v>
      </c>
      <c r="S106" s="96">
        <v>7.0700419298357176</v>
      </c>
      <c r="T106" s="96">
        <v>6.8871526519767778</v>
      </c>
      <c r="U106" s="96">
        <v>6.7652451300819099</v>
      </c>
      <c r="V106" s="96">
        <v>6.6435014104870715</v>
      </c>
      <c r="W106" s="96">
        <v>6.4457226198827264</v>
      </c>
      <c r="DA106" s="171" t="s">
        <v>877</v>
      </c>
    </row>
    <row r="107" spans="1:105" ht="11.45" customHeight="1" x14ac:dyDescent="0.25">
      <c r="A107" s="111" t="s">
        <v>111</v>
      </c>
      <c r="B107" s="96">
        <v>11.009684380564467</v>
      </c>
      <c r="C107" s="96">
        <v>10.563681320460825</v>
      </c>
      <c r="D107" s="96">
        <v>10.232848046105703</v>
      </c>
      <c r="E107" s="96">
        <v>10.005556519209337</v>
      </c>
      <c r="F107" s="96">
        <v>9.7780019357235783</v>
      </c>
      <c r="G107" s="96">
        <v>9.5946626976643881</v>
      </c>
      <c r="H107" s="96">
        <v>9.4166624882532322</v>
      </c>
      <c r="I107" s="96">
        <v>9.2378515842481246</v>
      </c>
      <c r="J107" s="96">
        <v>9.0515039025318309</v>
      </c>
      <c r="K107" s="96">
        <v>9.0175921402078885</v>
      </c>
      <c r="L107" s="96">
        <v>9.0104174057139748</v>
      </c>
      <c r="M107" s="96">
        <v>8.9745860953252539</v>
      </c>
      <c r="N107" s="96">
        <v>8.7674856962201435</v>
      </c>
      <c r="O107" s="96">
        <v>8.5675711346029626</v>
      </c>
      <c r="P107" s="96">
        <v>8.3658653096704434</v>
      </c>
      <c r="Q107" s="96">
        <v>8.1276055620521586</v>
      </c>
      <c r="R107" s="96">
        <v>7.8816199400142954</v>
      </c>
      <c r="S107" s="96">
        <v>7.5928850372251171</v>
      </c>
      <c r="T107" s="96">
        <v>7.3630904055337858</v>
      </c>
      <c r="U107" s="96">
        <v>7.2000207997478967</v>
      </c>
      <c r="V107" s="96">
        <v>7.0800776786618158</v>
      </c>
      <c r="W107" s="96">
        <v>6.9306445435097919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9.1310019050222397</v>
      </c>
      <c r="P108" s="96">
        <v>9.0533906223465088</v>
      </c>
      <c r="Q108" s="96">
        <v>9.0297790580264401</v>
      </c>
      <c r="R108" s="96">
        <v>8.9679467687256853</v>
      </c>
      <c r="S108" s="96">
        <v>8.7320865931065867</v>
      </c>
      <c r="T108" s="96">
        <v>8.3453584449808673</v>
      </c>
      <c r="U108" s="96">
        <v>6.7831191055982982</v>
      </c>
      <c r="V108" s="96">
        <v>6.642057518447503</v>
      </c>
      <c r="W108" s="96">
        <v>6.4909072757728445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1.4083462594508855</v>
      </c>
      <c r="I110" s="96">
        <v>1.4011750396475919</v>
      </c>
      <c r="J110" s="96">
        <v>1.4011750396475919</v>
      </c>
      <c r="K110" s="96">
        <v>1.3776164413959175</v>
      </c>
      <c r="L110" s="96">
        <v>1.3776164413959178</v>
      </c>
      <c r="M110" s="96">
        <v>1.3776164413959175</v>
      </c>
      <c r="N110" s="96">
        <v>1.3411966793574426</v>
      </c>
      <c r="O110" s="96">
        <v>1.2762448692629735</v>
      </c>
      <c r="P110" s="96">
        <v>1.2660070012984199</v>
      </c>
      <c r="Q110" s="96">
        <v>1.2772542147382397</v>
      </c>
      <c r="R110" s="96">
        <v>1.2844005377149037</v>
      </c>
      <c r="S110" s="96">
        <v>1.2938264524213037</v>
      </c>
      <c r="T110" s="96">
        <v>1.3251143969695278</v>
      </c>
      <c r="U110" s="96">
        <v>1.4805845591230249</v>
      </c>
      <c r="V110" s="96">
        <v>1.5915003565521975</v>
      </c>
      <c r="W110" s="96">
        <v>1.6922494519527305</v>
      </c>
      <c r="DA110" s="171" t="s">
        <v>881</v>
      </c>
    </row>
    <row r="111" spans="1:105" ht="11.45" customHeight="1" x14ac:dyDescent="0.25">
      <c r="A111" s="109" t="s">
        <v>158</v>
      </c>
      <c r="B111" s="130">
        <v>33.346898602017731</v>
      </c>
      <c r="C111" s="130">
        <v>33.266853237810849</v>
      </c>
      <c r="D111" s="130">
        <v>33.224742261877147</v>
      </c>
      <c r="E111" s="130">
        <v>33.042596754040389</v>
      </c>
      <c r="F111" s="130">
        <v>32.921025841876244</v>
      </c>
      <c r="G111" s="130">
        <v>32.489149579746986</v>
      </c>
      <c r="H111" s="130">
        <v>32.320609151165506</v>
      </c>
      <c r="I111" s="130">
        <v>32.086688825824631</v>
      </c>
      <c r="J111" s="130">
        <v>31.603839577181894</v>
      </c>
      <c r="K111" s="130">
        <v>31.188606740998921</v>
      </c>
      <c r="L111" s="130">
        <v>30.900113375723215</v>
      </c>
      <c r="M111" s="130">
        <v>30.594464932375068</v>
      </c>
      <c r="N111" s="130">
        <v>30.349533103112549</v>
      </c>
      <c r="O111" s="130">
        <v>29.784100603636304</v>
      </c>
      <c r="P111" s="130">
        <v>29.333481371666689</v>
      </c>
      <c r="Q111" s="130">
        <v>28.959002240315179</v>
      </c>
      <c r="R111" s="130">
        <v>28.458858855837015</v>
      </c>
      <c r="S111" s="130">
        <v>27.920719102635587</v>
      </c>
      <c r="T111" s="130">
        <v>27.32918831946435</v>
      </c>
      <c r="U111" s="130">
        <v>26.624219738612954</v>
      </c>
      <c r="V111" s="130">
        <v>26.16333807371198</v>
      </c>
      <c r="W111" s="130">
        <v>25.291562631806343</v>
      </c>
      <c r="DA111" s="176" t="s">
        <v>882</v>
      </c>
    </row>
    <row r="112" spans="1:105" ht="11.45" customHeight="1" x14ac:dyDescent="0.25">
      <c r="A112" s="128" t="s">
        <v>27</v>
      </c>
      <c r="B112" s="97">
        <v>32.84317988464754</v>
      </c>
      <c r="C112" s="97">
        <v>32.720807812567223</v>
      </c>
      <c r="D112" s="97">
        <v>32.67529584840797</v>
      </c>
      <c r="E112" s="97">
        <v>32.540117567141621</v>
      </c>
      <c r="F112" s="97">
        <v>32.447713225177196</v>
      </c>
      <c r="G112" s="97">
        <v>32.086434936785402</v>
      </c>
      <c r="H112" s="97">
        <v>31.985204450363053</v>
      </c>
      <c r="I112" s="97">
        <v>31.793223867675717</v>
      </c>
      <c r="J112" s="97">
        <v>31.358181458972048</v>
      </c>
      <c r="K112" s="97">
        <v>30.959990470655509</v>
      </c>
      <c r="L112" s="97">
        <v>30.670408770559384</v>
      </c>
      <c r="M112" s="97">
        <v>30.364339240287997</v>
      </c>
      <c r="N112" s="97">
        <v>30.139562605842315</v>
      </c>
      <c r="O112" s="97">
        <v>29.4286294619472</v>
      </c>
      <c r="P112" s="97">
        <v>28.907936627310008</v>
      </c>
      <c r="Q112" s="97">
        <v>28.571324374196251</v>
      </c>
      <c r="R112" s="97">
        <v>28.12092252493899</v>
      </c>
      <c r="S112" s="97">
        <v>27.636350045008992</v>
      </c>
      <c r="T112" s="97">
        <v>26.991525028648311</v>
      </c>
      <c r="U112" s="97">
        <v>26.284052579538614</v>
      </c>
      <c r="V112" s="97">
        <v>25.85467190939546</v>
      </c>
      <c r="W112" s="97">
        <v>24.886528484316173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36.196596961714135</v>
      </c>
      <c r="D113" s="98">
        <v>35.703749951034865</v>
      </c>
      <c r="E113" s="98">
        <v>35.263332845034647</v>
      </c>
      <c r="F113" s="98">
        <v>34.516982085016245</v>
      </c>
      <c r="G113" s="98">
        <v>34.074751992713423</v>
      </c>
      <c r="H113" s="98">
        <v>33.725506254881005</v>
      </c>
      <c r="I113" s="98">
        <v>33.175974529275798</v>
      </c>
      <c r="J113" s="98">
        <v>32.578426478464181</v>
      </c>
      <c r="K113" s="98">
        <v>32.396953749013022</v>
      </c>
      <c r="L113" s="98">
        <v>32.081192959754574</v>
      </c>
      <c r="M113" s="98">
        <v>31.810005341016673</v>
      </c>
      <c r="N113" s="98">
        <v>31.253792136069109</v>
      </c>
      <c r="O113" s="98">
        <v>30.922976428221155</v>
      </c>
      <c r="P113" s="98">
        <v>30.409690347273187</v>
      </c>
      <c r="Q113" s="98">
        <v>30.236417585166532</v>
      </c>
      <c r="R113" s="98">
        <v>29.529818845668252</v>
      </c>
      <c r="S113" s="98">
        <v>28.889121755264874</v>
      </c>
      <c r="T113" s="98">
        <v>28.474317905719172</v>
      </c>
      <c r="U113" s="98">
        <v>27.812177099621874</v>
      </c>
      <c r="V113" s="98">
        <v>27.457049896695025</v>
      </c>
      <c r="W113" s="98">
        <v>26.742275021804303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1.1275000000068982</v>
      </c>
      <c r="C117" s="150">
        <f>IF(TrRoad_act!C59=0,0,TrRoad_ene!C62/TrRoad_tech!C90)</f>
        <v>1.1280146976036187</v>
      </c>
      <c r="D117" s="150">
        <f>IF(TrRoad_act!D59=0,0,TrRoad_ene!D62/TrRoad_tech!D90)</f>
        <v>1.1217080940762281</v>
      </c>
      <c r="E117" s="150">
        <f>IF(TrRoad_act!E59=0,0,TrRoad_ene!E62/TrRoad_tech!E90)</f>
        <v>1.131284559156339</v>
      </c>
      <c r="F117" s="150">
        <f>IF(TrRoad_act!F59=0,0,TrRoad_ene!F62/TrRoad_tech!F90)</f>
        <v>1.1338671355429382</v>
      </c>
      <c r="G117" s="150">
        <f>IF(TrRoad_act!G59=0,0,TrRoad_ene!G62/TrRoad_tech!G90)</f>
        <v>1.1163586673480113</v>
      </c>
      <c r="H117" s="150">
        <f>IF(TrRoad_act!H59=0,0,TrRoad_ene!H62/TrRoad_tech!H90)</f>
        <v>1.115051391578314</v>
      </c>
      <c r="I117" s="150">
        <f>IF(TrRoad_act!I59=0,0,TrRoad_ene!I62/TrRoad_tech!I90)</f>
        <v>1.0900854526481083</v>
      </c>
      <c r="J117" s="150">
        <f>IF(TrRoad_act!J59=0,0,TrRoad_ene!J62/TrRoad_tech!J90)</f>
        <v>1.0947369835930374</v>
      </c>
      <c r="K117" s="150">
        <f>IF(TrRoad_act!K59=0,0,TrRoad_ene!K62/TrRoad_tech!K90)</f>
        <v>1.1017390429500562</v>
      </c>
      <c r="L117" s="150">
        <f>IF(TrRoad_act!L59=0,0,TrRoad_ene!L62/TrRoad_tech!L90)</f>
        <v>1.1070730765873669</v>
      </c>
      <c r="M117" s="150">
        <f>IF(TrRoad_act!M59=0,0,TrRoad_ene!M62/TrRoad_tech!M90)</f>
        <v>1.113166464399385</v>
      </c>
      <c r="N117" s="150">
        <f>IF(TrRoad_act!N59=0,0,TrRoad_ene!N62/TrRoad_tech!N90)</f>
        <v>1.1193059771351155</v>
      </c>
      <c r="O117" s="150">
        <f>IF(TrRoad_act!O59=0,0,TrRoad_ene!O62/TrRoad_tech!O90)</f>
        <v>1.1273905754538032</v>
      </c>
      <c r="P117" s="150">
        <f>IF(TrRoad_act!P59=0,0,TrRoad_ene!P62/TrRoad_tech!P90)</f>
        <v>1.1364960401286728</v>
      </c>
      <c r="Q117" s="150">
        <f>IF(TrRoad_act!Q59=0,0,TrRoad_ene!Q62/TrRoad_tech!Q90)</f>
        <v>1.1456152145796841</v>
      </c>
      <c r="R117" s="150">
        <f>IF(TrRoad_act!R59=0,0,TrRoad_ene!R62/TrRoad_tech!R90)</f>
        <v>1.1555767264314905</v>
      </c>
      <c r="S117" s="150">
        <f>IF(TrRoad_act!S59=0,0,TrRoad_ene!S62/TrRoad_tech!S90)</f>
        <v>1.1999182537825497</v>
      </c>
      <c r="T117" s="150">
        <f>IF(TrRoad_act!T59=0,0,TrRoad_ene!T62/TrRoad_tech!T90)</f>
        <v>1.243503606254752</v>
      </c>
      <c r="U117" s="150">
        <f>IF(TrRoad_act!U59=0,0,TrRoad_ene!U62/TrRoad_tech!U90)</f>
        <v>1.2643128738593579</v>
      </c>
      <c r="V117" s="150">
        <f>IF(TrRoad_act!V59=0,0,TrRoad_ene!V62/TrRoad_tech!V90)</f>
        <v>1.2834809025288036</v>
      </c>
      <c r="W117" s="150">
        <f>IF(TrRoad_act!W59=0,0,TrRoad_ene!W62/TrRoad_tech!W90)</f>
        <v>1.2848393259927733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2.625361174635306</v>
      </c>
      <c r="C118" s="151">
        <f>IF(TrRoad_act!C60=0,0,TrRoad_ene!C63/TrRoad_tech!C91)</f>
        <v>2.7059745825082575</v>
      </c>
      <c r="D118" s="151">
        <f>IF(TrRoad_act!D60=0,0,TrRoad_ene!D63/TrRoad_tech!D91)</f>
        <v>2.7576651894564201</v>
      </c>
      <c r="E118" s="151">
        <f>IF(TrRoad_act!E60=0,0,TrRoad_ene!E63/TrRoad_tech!E91)</f>
        <v>2.9125752967214793</v>
      </c>
      <c r="F118" s="151">
        <f>IF(TrRoad_act!F60=0,0,TrRoad_ene!F63/TrRoad_tech!F91)</f>
        <v>2.9562385832400291</v>
      </c>
      <c r="G118" s="151">
        <f>IF(TrRoad_act!G60=0,0,TrRoad_ene!G63/TrRoad_tech!G91)</f>
        <v>2.7786982961619566</v>
      </c>
      <c r="H118" s="151">
        <f>IF(TrRoad_act!H60=0,0,TrRoad_ene!H63/TrRoad_tech!H91)</f>
        <v>2.6227491671119614</v>
      </c>
      <c r="I118" s="151">
        <f>IF(TrRoad_act!I60=0,0,TrRoad_ene!I63/TrRoad_tech!I91)</f>
        <v>2.6560156671565198</v>
      </c>
      <c r="J118" s="151">
        <f>IF(TrRoad_act!J60=0,0,TrRoad_ene!J63/TrRoad_tech!J91)</f>
        <v>2.6774096522991573</v>
      </c>
      <c r="K118" s="151">
        <f>IF(TrRoad_act!K60=0,0,TrRoad_ene!K63/TrRoad_tech!K91)</f>
        <v>2.6753329115826356</v>
      </c>
      <c r="L118" s="151">
        <f>IF(TrRoad_act!L60=0,0,TrRoad_ene!L63/TrRoad_tech!L91)</f>
        <v>2.7552923948836083</v>
      </c>
      <c r="M118" s="151">
        <f>IF(TrRoad_act!M60=0,0,TrRoad_ene!M63/TrRoad_tech!M91)</f>
        <v>2.9646669501105851</v>
      </c>
      <c r="N118" s="151">
        <f>IF(TrRoad_act!N60=0,0,TrRoad_ene!N63/TrRoad_tech!N91)</f>
        <v>2.9475374596592241</v>
      </c>
      <c r="O118" s="151">
        <f>IF(TrRoad_act!O60=0,0,TrRoad_ene!O63/TrRoad_tech!O91)</f>
        <v>2.7864337433470792</v>
      </c>
      <c r="P118" s="151">
        <f>IF(TrRoad_act!P60=0,0,TrRoad_ene!P63/TrRoad_tech!P91)</f>
        <v>2.7202065827992801</v>
      </c>
      <c r="Q118" s="151">
        <f>IF(TrRoad_act!Q60=0,0,TrRoad_ene!Q63/TrRoad_tech!Q91)</f>
        <v>2.6533997837514862</v>
      </c>
      <c r="R118" s="151">
        <f>IF(TrRoad_act!R60=0,0,TrRoad_ene!R63/TrRoad_tech!R91)</f>
        <v>2.5458521006175316</v>
      </c>
      <c r="S118" s="151">
        <f>IF(TrRoad_act!S60=0,0,TrRoad_ene!S63/TrRoad_tech!S91)</f>
        <v>2.5261694552431893</v>
      </c>
      <c r="T118" s="151">
        <f>IF(TrRoad_act!T60=0,0,TrRoad_ene!T63/TrRoad_tech!T91)</f>
        <v>2.5876021990370832</v>
      </c>
      <c r="U118" s="151">
        <f>IF(TrRoad_act!U60=0,0,TrRoad_ene!U63/TrRoad_tech!U91)</f>
        <v>2.4830026824726414</v>
      </c>
      <c r="V118" s="151">
        <f>IF(TrRoad_act!V60=0,0,TrRoad_ene!V63/TrRoad_tech!V91)</f>
        <v>2.0192657214756702</v>
      </c>
      <c r="W118" s="151">
        <f>IF(TrRoad_act!W60=0,0,TrRoad_ene!W63/TrRoad_tech!W91)</f>
        <v>2.2261801318780416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2.5424560025113503</v>
      </c>
      <c r="C119" s="91">
        <f>IF(TrRoad_act!C61=0,0,TrRoad_ene!C64/TrRoad_tech!C92)</f>
        <v>2.6491800866572257</v>
      </c>
      <c r="D119" s="91">
        <f>IF(TrRoad_act!D61=0,0,TrRoad_ene!D64/TrRoad_tech!D92)</f>
        <v>2.7094437308795269</v>
      </c>
      <c r="E119" s="91">
        <f>IF(TrRoad_act!E61=0,0,TrRoad_ene!E64/TrRoad_tech!E92)</f>
        <v>2.8780365404909465</v>
      </c>
      <c r="F119" s="91">
        <f>IF(TrRoad_act!F61=0,0,TrRoad_ene!F64/TrRoad_tech!F92)</f>
        <v>2.9718529189334175</v>
      </c>
      <c r="G119" s="91">
        <f>IF(TrRoad_act!G61=0,0,TrRoad_ene!G64/TrRoad_tech!G92)</f>
        <v>2.8355983018510704</v>
      </c>
      <c r="H119" s="91">
        <f>IF(TrRoad_act!H61=0,0,TrRoad_ene!H64/TrRoad_tech!H92)</f>
        <v>2.7096110472405344</v>
      </c>
      <c r="I119" s="91">
        <f>IF(TrRoad_act!I61=0,0,TrRoad_ene!I64/TrRoad_tech!I92)</f>
        <v>2.7420967677092789</v>
      </c>
      <c r="J119" s="91">
        <f>IF(TrRoad_act!J61=0,0,TrRoad_ene!J64/TrRoad_tech!J92)</f>
        <v>2.6835435551066338</v>
      </c>
      <c r="K119" s="91">
        <f>IF(TrRoad_act!K61=0,0,TrRoad_ene!K64/TrRoad_tech!K92)</f>
        <v>2.648638027255064</v>
      </c>
      <c r="L119" s="91">
        <f>IF(TrRoad_act!L61=0,0,TrRoad_ene!L64/TrRoad_tech!L92)</f>
        <v>2.6916163312030434</v>
      </c>
      <c r="M119" s="91">
        <f>IF(TrRoad_act!M61=0,0,TrRoad_ene!M64/TrRoad_tech!M92)</f>
        <v>2.8226865428155707</v>
      </c>
      <c r="N119" s="91">
        <f>IF(TrRoad_act!N61=0,0,TrRoad_ene!N64/TrRoad_tech!N92)</f>
        <v>2.7545295693407374</v>
      </c>
      <c r="O119" s="91">
        <f>IF(TrRoad_act!O61=0,0,TrRoad_ene!O64/TrRoad_tech!O92)</f>
        <v>2.6025123538926187</v>
      </c>
      <c r="P119" s="91">
        <f>IF(TrRoad_act!P61=0,0,TrRoad_ene!P64/TrRoad_tech!P92)</f>
        <v>2.5704299374871513</v>
      </c>
      <c r="Q119" s="91">
        <f>IF(TrRoad_act!Q61=0,0,TrRoad_ene!Q64/TrRoad_tech!Q92)</f>
        <v>2.4759724365959594</v>
      </c>
      <c r="R119" s="91">
        <f>IF(TrRoad_act!R61=0,0,TrRoad_ene!R64/TrRoad_tech!R92)</f>
        <v>2.3360099450242493</v>
      </c>
      <c r="S119" s="91">
        <f>IF(TrRoad_act!S61=0,0,TrRoad_ene!S64/TrRoad_tech!S92)</f>
        <v>2.3344347708218511</v>
      </c>
      <c r="T119" s="91">
        <f>IF(TrRoad_act!T61=0,0,TrRoad_ene!T64/TrRoad_tech!T92)</f>
        <v>2.3634632117382832</v>
      </c>
      <c r="U119" s="91">
        <f>IF(TrRoad_act!U61=0,0,TrRoad_ene!U64/TrRoad_tech!U92)</f>
        <v>2.3051182404796489</v>
      </c>
      <c r="V119" s="91">
        <f>IF(TrRoad_act!V61=0,0,TrRoad_ene!V64/TrRoad_tech!V92)</f>
        <v>1.7933875308662504</v>
      </c>
      <c r="W119" s="91">
        <f>IF(TrRoad_act!W61=0,0,TrRoad_ene!W64/TrRoad_tech!W92)</f>
        <v>2.0856579245073039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2.866674845675746</v>
      </c>
      <c r="C120" s="91">
        <f>IF(TrRoad_act!C62=0,0,TrRoad_ene!C65/TrRoad_tech!C93)</f>
        <v>2.9614464184428413</v>
      </c>
      <c r="D120" s="91">
        <f>IF(TrRoad_act!D62=0,0,TrRoad_ene!D65/TrRoad_tech!D93)</f>
        <v>2.9668983935272566</v>
      </c>
      <c r="E120" s="91">
        <f>IF(TrRoad_act!E62=0,0,TrRoad_ene!E65/TrRoad_tech!E93)</f>
        <v>3.0809370223167281</v>
      </c>
      <c r="F120" s="91">
        <f>IF(TrRoad_act!F62=0,0,TrRoad_ene!F65/TrRoad_tech!F93)</f>
        <v>3.0271071440682098</v>
      </c>
      <c r="G120" s="91">
        <f>IF(TrRoad_act!G62=0,0,TrRoad_ene!G65/TrRoad_tech!G93)</f>
        <v>2.784968634821444</v>
      </c>
      <c r="H120" s="91">
        <f>IF(TrRoad_act!H62=0,0,TrRoad_ene!H65/TrRoad_tech!H93)</f>
        <v>2.5822789282678076</v>
      </c>
      <c r="I120" s="91">
        <f>IF(TrRoad_act!I62=0,0,TrRoad_ene!I65/TrRoad_tech!I93)</f>
        <v>2.6049698766319711</v>
      </c>
      <c r="J120" s="91">
        <f>IF(TrRoad_act!J62=0,0,TrRoad_ene!J65/TrRoad_tech!J93)</f>
        <v>2.6851862200554857</v>
      </c>
      <c r="K120" s="91">
        <f>IF(TrRoad_act!K62=0,0,TrRoad_ene!K65/TrRoad_tech!K93)</f>
        <v>2.7083991848209394</v>
      </c>
      <c r="L120" s="91">
        <f>IF(TrRoad_act!L62=0,0,TrRoad_ene!L65/TrRoad_tech!L93)</f>
        <v>2.8125646193445535</v>
      </c>
      <c r="M120" s="91">
        <f>IF(TrRoad_act!M62=0,0,TrRoad_ene!M65/TrRoad_tech!M93)</f>
        <v>3.0809326236445016</v>
      </c>
      <c r="N120" s="91">
        <f>IF(TrRoad_act!N62=0,0,TrRoad_ene!N65/TrRoad_tech!N93)</f>
        <v>3.0928498157541249</v>
      </c>
      <c r="O120" s="91">
        <f>IF(TrRoad_act!O62=0,0,TrRoad_ene!O65/TrRoad_tech!O93)</f>
        <v>2.9316314274276132</v>
      </c>
      <c r="P120" s="91">
        <f>IF(TrRoad_act!P62=0,0,TrRoad_ene!P65/TrRoad_tech!P93)</f>
        <v>2.8454218289564235</v>
      </c>
      <c r="Q120" s="91">
        <f>IF(TrRoad_act!Q62=0,0,TrRoad_ene!Q65/TrRoad_tech!Q93)</f>
        <v>2.8004691412497373</v>
      </c>
      <c r="R120" s="91">
        <f>IF(TrRoad_act!R62=0,0,TrRoad_ene!R65/TrRoad_tech!R93)</f>
        <v>2.7119193880763333</v>
      </c>
      <c r="S120" s="91">
        <f>IF(TrRoad_act!S62=0,0,TrRoad_ene!S65/TrRoad_tech!S93)</f>
        <v>2.6861334089777582</v>
      </c>
      <c r="T120" s="91">
        <f>IF(TrRoad_act!T62=0,0,TrRoad_ene!T65/TrRoad_tech!T93)</f>
        <v>2.7725530899636697</v>
      </c>
      <c r="U120" s="91">
        <f>IF(TrRoad_act!U62=0,0,TrRoad_ene!U65/TrRoad_tech!U93)</f>
        <v>2.6453702888155535</v>
      </c>
      <c r="V120" s="91">
        <f>IF(TrRoad_act!V62=0,0,TrRoad_ene!V65/TrRoad_tech!V93)</f>
        <v>2.234918190651801</v>
      </c>
      <c r="W120" s="91">
        <f>IF(TrRoad_act!W62=0,0,TrRoad_ene!W65/TrRoad_tech!W93)</f>
        <v>2.3921568787269254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0.98646199743577812</v>
      </c>
      <c r="C121" s="91">
        <f>IF(TrRoad_act!C63=0,0,TrRoad_ene!C66/TrRoad_tech!C94)</f>
        <v>1.33106185698123</v>
      </c>
      <c r="D121" s="91">
        <f>IF(TrRoad_act!D63=0,0,TrRoad_ene!D66/TrRoad_tech!D94)</f>
        <v>1.7518204719486561</v>
      </c>
      <c r="E121" s="91">
        <f>IF(TrRoad_act!E63=0,0,TrRoad_ene!E66/TrRoad_tech!E94)</f>
        <v>1.413239987342692</v>
      </c>
      <c r="F121" s="91">
        <f>IF(TrRoad_act!F63=0,0,TrRoad_ene!F66/TrRoad_tech!F94)</f>
        <v>1.5119333950551257</v>
      </c>
      <c r="G121" s="91">
        <f>IF(TrRoad_act!G63=0,0,TrRoad_ene!G66/TrRoad_tech!G94)</f>
        <v>1.0601925997719108</v>
      </c>
      <c r="H121" s="91">
        <f>IF(TrRoad_act!H63=0,0,TrRoad_ene!H66/TrRoad_tech!H94)</f>
        <v>1.110345799987736</v>
      </c>
      <c r="I121" s="91">
        <f>IF(TrRoad_act!I63=0,0,TrRoad_ene!I66/TrRoad_tech!I94)</f>
        <v>2.3200991174172212</v>
      </c>
      <c r="J121" s="91">
        <f>IF(TrRoad_act!J63=0,0,TrRoad_ene!J66/TrRoad_tech!J94)</f>
        <v>2.2616152040431272</v>
      </c>
      <c r="K121" s="91">
        <f>IF(TrRoad_act!K63=0,0,TrRoad_ene!K66/TrRoad_tech!K94)</f>
        <v>1.4269248177773295</v>
      </c>
      <c r="L121" s="91">
        <f>IF(TrRoad_act!L63=0,0,TrRoad_ene!L66/TrRoad_tech!L94)</f>
        <v>1.5008569883973959</v>
      </c>
      <c r="M121" s="91">
        <f>IF(TrRoad_act!M63=0,0,TrRoad_ene!M66/TrRoad_tech!M94)</f>
        <v>0.71849545232954404</v>
      </c>
      <c r="N121" s="91">
        <f>IF(TrRoad_act!N63=0,0,TrRoad_ene!N66/TrRoad_tech!N94)</f>
        <v>1.9578584307693241</v>
      </c>
      <c r="O121" s="91">
        <f>IF(TrRoad_act!O63=0,0,TrRoad_ene!O66/TrRoad_tech!O94)</f>
        <v>1.2267046509519801</v>
      </c>
      <c r="P121" s="91">
        <f>IF(TrRoad_act!P63=0,0,TrRoad_ene!P66/TrRoad_tech!P94)</f>
        <v>1.423368689564706</v>
      </c>
      <c r="Q121" s="91">
        <f>IF(TrRoad_act!Q63=0,0,TrRoad_ene!Q66/TrRoad_tech!Q94)</f>
        <v>0.70013782170250516</v>
      </c>
      <c r="R121" s="91">
        <f>IF(TrRoad_act!R63=0,0,TrRoad_ene!R66/TrRoad_tech!R94)</f>
        <v>0.75356242209560886</v>
      </c>
      <c r="S121" s="91">
        <f>IF(TrRoad_act!S63=0,0,TrRoad_ene!S66/TrRoad_tech!S94)</f>
        <v>0.74777062412307216</v>
      </c>
      <c r="T121" s="91">
        <f>IF(TrRoad_act!T63=0,0,TrRoad_ene!T66/TrRoad_tech!T94)</f>
        <v>1.2916627809107522</v>
      </c>
      <c r="U121" s="91">
        <f>IF(TrRoad_act!U63=0,0,TrRoad_ene!U66/TrRoad_tech!U94)</f>
        <v>1.9810476010931051</v>
      </c>
      <c r="V121" s="91">
        <f>IF(TrRoad_act!V63=0,0,TrRoad_ene!V66/TrRoad_tech!V94)</f>
        <v>0.43687768057238729</v>
      </c>
      <c r="W121" s="91">
        <f>IF(TrRoad_act!W63=0,0,TrRoad_ene!W66/TrRoad_tech!W94)</f>
        <v>1.2499711160637708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2.4499943497700247</v>
      </c>
      <c r="O123" s="91">
        <f>IF(TrRoad_act!O65=0,0,TrRoad_ene!O68/TrRoad_tech!O96)</f>
        <v>2.3227161554929658</v>
      </c>
      <c r="P123" s="91">
        <f>IF(TrRoad_act!P65=0,0,TrRoad_ene!P68/TrRoad_tech!P96)</f>
        <v>2.2462023723120916</v>
      </c>
      <c r="Q123" s="91">
        <f>IF(TrRoad_act!Q65=0,0,TrRoad_ene!Q68/TrRoad_tech!Q96)</f>
        <v>2.1598919587794141</v>
      </c>
      <c r="R123" s="91">
        <f>IF(TrRoad_act!R65=0,0,TrRoad_ene!R68/TrRoad_tech!R96)</f>
        <v>2.0099602904049072</v>
      </c>
      <c r="S123" s="91">
        <f>IF(TrRoad_act!S65=0,0,TrRoad_ene!S68/TrRoad_tech!S96)</f>
        <v>1.9121680075235923</v>
      </c>
      <c r="T123" s="91">
        <f>IF(TrRoad_act!T65=0,0,TrRoad_ene!T68/TrRoad_tech!T96)</f>
        <v>1.9193262275928447</v>
      </c>
      <c r="U123" s="91">
        <f>IF(TrRoad_act!U65=0,0,TrRoad_ene!U68/TrRoad_tech!U96)</f>
        <v>1.8685986761054443</v>
      </c>
      <c r="V123" s="91">
        <f>IF(TrRoad_act!V65=0,0,TrRoad_ene!V68/TrRoad_tech!V96)</f>
        <v>1.4877024226166076</v>
      </c>
      <c r="W123" s="91">
        <f>IF(TrRoad_act!W65=0,0,TrRoad_ene!W68/TrRoad_tech!W96)</f>
        <v>1.6039435692050887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1.0491012987543573</v>
      </c>
      <c r="L124" s="91">
        <f>IF(TrRoad_act!L66=0,0,TrRoad_ene!L69/TrRoad_tech!L97)</f>
        <v>1.0555555555604399</v>
      </c>
      <c r="M124" s="91">
        <f>IF(TrRoad_act!M66=0,0,TrRoad_ene!M69/TrRoad_tech!M97)</f>
        <v>1.06037037037527</v>
      </c>
      <c r="N124" s="91">
        <f>IF(TrRoad_act!N66=0,0,TrRoad_ene!N69/TrRoad_tech!N97)</f>
        <v>1.06347913477371</v>
      </c>
      <c r="O124" s="91">
        <f>IF(TrRoad_act!O66=0,0,TrRoad_ene!O69/TrRoad_tech!O97)</f>
        <v>1.0685482632060235</v>
      </c>
      <c r="P124" s="91">
        <f>IF(TrRoad_act!P66=0,0,TrRoad_ene!P69/TrRoad_tech!P97)</f>
        <v>1.0732597216427835</v>
      </c>
      <c r="Q124" s="91">
        <f>IF(TrRoad_act!Q66=0,0,TrRoad_ene!Q69/TrRoad_tech!Q97)</f>
        <v>1.074529580408931</v>
      </c>
      <c r="R124" s="91">
        <f>IF(TrRoad_act!R66=0,0,TrRoad_ene!R69/TrRoad_tech!R97)</f>
        <v>1.0777758306585354</v>
      </c>
      <c r="S124" s="91">
        <f>IF(TrRoad_act!S66=0,0,TrRoad_ene!S69/TrRoad_tech!S97)</f>
        <v>1.0835853055884637</v>
      </c>
      <c r="T124" s="91">
        <f>IF(TrRoad_act!T66=0,0,TrRoad_ene!T69/TrRoad_tech!T97)</f>
        <v>1.0876956696560882</v>
      </c>
      <c r="U124" s="91">
        <f>IF(TrRoad_act!U66=0,0,TrRoad_ene!U69/TrRoad_tech!U97)</f>
        <v>1.091843346290885</v>
      </c>
      <c r="V124" s="91">
        <f>IF(TrRoad_act!V66=0,0,TrRoad_ene!V69/TrRoad_tech!V97)</f>
        <v>1.0971662172969685</v>
      </c>
      <c r="W124" s="91">
        <f>IF(TrRoad_act!W66=0,0,TrRoad_ene!W69/TrRoad_tech!W97)</f>
        <v>1.0981913260587208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1.1000000000067305</v>
      </c>
      <c r="C125" s="151">
        <f>IF(TrRoad_act!C67=0,0,TrRoad_ene!C70/TrRoad_tech!C98)</f>
        <v>1.0900872507448027</v>
      </c>
      <c r="D125" s="151">
        <f>IF(TrRoad_act!D67=0,0,TrRoad_ene!D70/TrRoad_tech!D98)</f>
        <v>1.0887863084804821</v>
      </c>
      <c r="E125" s="151">
        <f>IF(TrRoad_act!E67=0,0,TrRoad_ene!E70/TrRoad_tech!E98)</f>
        <v>1.0883891627101476</v>
      </c>
      <c r="F125" s="151">
        <f>IF(TrRoad_act!F67=0,0,TrRoad_ene!F70/TrRoad_tech!F98)</f>
        <v>1.0898208442182773</v>
      </c>
      <c r="G125" s="151">
        <f>IF(TrRoad_act!G67=0,0,TrRoad_ene!G70/TrRoad_tech!G98)</f>
        <v>1.093499766523498</v>
      </c>
      <c r="H125" s="151">
        <f>IF(TrRoad_act!H67=0,0,TrRoad_ene!H70/TrRoad_tech!H98)</f>
        <v>1.0996170675324286</v>
      </c>
      <c r="I125" s="151">
        <f>IF(TrRoad_act!I67=0,0,TrRoad_ene!I70/TrRoad_tech!I98)</f>
        <v>1.1070960492166253</v>
      </c>
      <c r="J125" s="151">
        <f>IF(TrRoad_act!J67=0,0,TrRoad_ene!J70/TrRoad_tech!J98)</f>
        <v>1.1197431775208282</v>
      </c>
      <c r="K125" s="151">
        <f>IF(TrRoad_act!K67=0,0,TrRoad_ene!K70/TrRoad_tech!K98)</f>
        <v>1.1327210474842975</v>
      </c>
      <c r="L125" s="151">
        <f>IF(TrRoad_act!L67=0,0,TrRoad_ene!L70/TrRoad_tech!L98)</f>
        <v>1.1470428039273592</v>
      </c>
      <c r="M125" s="151">
        <f>IF(TrRoad_act!M67=0,0,TrRoad_ene!M70/TrRoad_tech!M98)</f>
        <v>1.1602833108087429</v>
      </c>
      <c r="N125" s="151">
        <f>IF(TrRoad_act!N67=0,0,TrRoad_ene!N70/TrRoad_tech!N98)</f>
        <v>1.1689115811736286</v>
      </c>
      <c r="O125" s="151">
        <f>IF(TrRoad_act!O67=0,0,TrRoad_ene!O70/TrRoad_tech!O98)</f>
        <v>1.181029268342294</v>
      </c>
      <c r="P125" s="151">
        <f>IF(TrRoad_act!P67=0,0,TrRoad_ene!P70/TrRoad_tech!P98)</f>
        <v>1.1941171037274398</v>
      </c>
      <c r="Q125" s="151">
        <f>IF(TrRoad_act!Q67=0,0,TrRoad_ene!Q70/TrRoad_tech!Q98)</f>
        <v>1.214619024360412</v>
      </c>
      <c r="R125" s="151">
        <f>IF(TrRoad_act!R67=0,0,TrRoad_ene!R70/TrRoad_tech!R98)</f>
        <v>1.2318314502315184</v>
      </c>
      <c r="S125" s="151">
        <f>IF(TrRoad_act!S67=0,0,TrRoad_ene!S70/TrRoad_tech!S98)</f>
        <v>1.250862695304418</v>
      </c>
      <c r="T125" s="151">
        <f>IF(TrRoad_act!T67=0,0,TrRoad_ene!T70/TrRoad_tech!T98)</f>
        <v>1.2612284622397409</v>
      </c>
      <c r="U125" s="151">
        <f>IF(TrRoad_act!U67=0,0,TrRoad_ene!U70/TrRoad_tech!U98)</f>
        <v>1.2673218417670138</v>
      </c>
      <c r="V125" s="151">
        <f>IF(TrRoad_act!V67=0,0,TrRoad_ene!V70/TrRoad_tech!V98)</f>
        <v>1.2763805101668761</v>
      </c>
      <c r="W125" s="151">
        <f>IF(TrRoad_act!W67=0,0,TrRoad_ene!W70/TrRoad_tech!W98)</f>
        <v>1.2754694944913516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1.3402704049142133</v>
      </c>
      <c r="U126" s="93">
        <f>IF(TrRoad_act!U68=0,0,TrRoad_ene!U71/TrRoad_tech!U99)</f>
        <v>1.3402704049142129</v>
      </c>
      <c r="V126" s="93">
        <f>IF(TrRoad_act!V68=0,0,TrRoad_ene!V71/TrRoad_tech!V99)</f>
        <v>1.3402704049142129</v>
      </c>
      <c r="W126" s="93">
        <f>IF(TrRoad_act!W68=0,0,TrRoad_ene!W71/TrRoad_tech!W99)</f>
        <v>1.3402704049142133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1.1000000000067305</v>
      </c>
      <c r="C127" s="93">
        <f>IF(TrRoad_act!C69=0,0,TrRoad_ene!C72/TrRoad_tech!C100)</f>
        <v>1.1005598068635063</v>
      </c>
      <c r="D127" s="93">
        <f>IF(TrRoad_act!D69=0,0,TrRoad_ene!D72/TrRoad_tech!D100)</f>
        <v>1.1012936248266902</v>
      </c>
      <c r="E127" s="93">
        <f>IF(TrRoad_act!E69=0,0,TrRoad_ene!E72/TrRoad_tech!E100)</f>
        <v>1.1031095015084518</v>
      </c>
      <c r="F127" s="93">
        <f>IF(TrRoad_act!F69=0,0,TrRoad_ene!F72/TrRoad_tech!F100)</f>
        <v>1.1056011180521026</v>
      </c>
      <c r="G127" s="93">
        <f>IF(TrRoad_act!G69=0,0,TrRoad_ene!G72/TrRoad_tech!G100)</f>
        <v>1.1096075106952203</v>
      </c>
      <c r="H127" s="93">
        <f>IF(TrRoad_act!H69=0,0,TrRoad_ene!H72/TrRoad_tech!H100)</f>
        <v>1.1150402823881675</v>
      </c>
      <c r="I127" s="93">
        <f>IF(TrRoad_act!I69=0,0,TrRoad_ene!I72/TrRoad_tech!I100)</f>
        <v>1.1214629174675106</v>
      </c>
      <c r="J127" s="93">
        <f>IF(TrRoad_act!J69=0,0,TrRoad_ene!J72/TrRoad_tech!J100)</f>
        <v>1.1309183979870141</v>
      </c>
      <c r="K127" s="93">
        <f>IF(TrRoad_act!K69=0,0,TrRoad_ene!K72/TrRoad_tech!K100)</f>
        <v>1.1406518966063592</v>
      </c>
      <c r="L127" s="93">
        <f>IF(TrRoad_act!L69=0,0,TrRoad_ene!L72/TrRoad_tech!L100)</f>
        <v>1.1510418415144972</v>
      </c>
      <c r="M127" s="93">
        <f>IF(TrRoad_act!M69=0,0,TrRoad_ene!M72/TrRoad_tech!M100)</f>
        <v>1.1621080292597241</v>
      </c>
      <c r="N127" s="93">
        <f>IF(TrRoad_act!N69=0,0,TrRoad_ene!N72/TrRoad_tech!N100)</f>
        <v>1.1713855990013089</v>
      </c>
      <c r="O127" s="93">
        <f>IF(TrRoad_act!O69=0,0,TrRoad_ene!O72/TrRoad_tech!O100)</f>
        <v>1.1842827334328687</v>
      </c>
      <c r="P127" s="93">
        <f>IF(TrRoad_act!P69=0,0,TrRoad_ene!P72/TrRoad_tech!P100)</f>
        <v>1.1977224140090026</v>
      </c>
      <c r="Q127" s="93">
        <f>IF(TrRoad_act!Q69=0,0,TrRoad_ene!Q72/TrRoad_tech!Q100)</f>
        <v>1.2185864070010652</v>
      </c>
      <c r="R127" s="93">
        <f>IF(TrRoad_act!R69=0,0,TrRoad_ene!R72/TrRoad_tech!R100)</f>
        <v>1.235833272199697</v>
      </c>
      <c r="S127" s="93">
        <f>IF(TrRoad_act!S69=0,0,TrRoad_ene!S72/TrRoad_tech!S100)</f>
        <v>1.2548249457851324</v>
      </c>
      <c r="T127" s="93">
        <f>IF(TrRoad_act!T69=0,0,TrRoad_ene!T72/TrRoad_tech!T100)</f>
        <v>1.2666147512830668</v>
      </c>
      <c r="U127" s="93">
        <f>IF(TrRoad_act!U69=0,0,TrRoad_ene!U72/TrRoad_tech!U100)</f>
        <v>1.279012654810227</v>
      </c>
      <c r="V127" s="93">
        <f>IF(TrRoad_act!V69=0,0,TrRoad_ene!V72/TrRoad_tech!V100)</f>
        <v>1.2921594466847914</v>
      </c>
      <c r="W127" s="93">
        <f>IF(TrRoad_act!W69=0,0,TrRoad_ene!W72/TrRoad_tech!W100)</f>
        <v>1.297643189852616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1.1160000000058972</v>
      </c>
      <c r="F130" s="93">
        <f>IF(TrRoad_act!F72=0,0,TrRoad_ene!F75/TrRoad_tech!F103)</f>
        <v>1.1160000000058972</v>
      </c>
      <c r="G130" s="93">
        <f>IF(TrRoad_act!G72=0,0,TrRoad_ene!G75/TrRoad_tech!G103)</f>
        <v>1.1160000000058969</v>
      </c>
      <c r="H130" s="93">
        <f>IF(TrRoad_act!H72=0,0,TrRoad_ene!H75/TrRoad_tech!H103)</f>
        <v>1.1160000000058969</v>
      </c>
      <c r="I130" s="93">
        <f>IF(TrRoad_act!I72=0,0,TrRoad_ene!I75/TrRoad_tech!I103)</f>
        <v>1.1160000000058972</v>
      </c>
      <c r="J130" s="93">
        <f>IF(TrRoad_act!J72=0,0,TrRoad_ene!J75/TrRoad_tech!J103)</f>
        <v>1.1160000000058972</v>
      </c>
      <c r="K130" s="93">
        <f>IF(TrRoad_act!K72=0,0,TrRoad_ene!K75/TrRoad_tech!K103)</f>
        <v>1.1160000000058972</v>
      </c>
      <c r="L130" s="93">
        <f>IF(TrRoad_act!L72=0,0,TrRoad_ene!L75/TrRoad_tech!L103)</f>
        <v>1.1160000000058972</v>
      </c>
      <c r="M130" s="93">
        <f>IF(TrRoad_act!M72=0,0,TrRoad_ene!M75/TrRoad_tech!M103)</f>
        <v>1.1160000000058972</v>
      </c>
      <c r="N130" s="93">
        <f>IF(TrRoad_act!N72=0,0,TrRoad_ene!N75/TrRoad_tech!N103)</f>
        <v>1.1160000000058972</v>
      </c>
      <c r="O130" s="93">
        <f>IF(TrRoad_act!O72=0,0,TrRoad_ene!O75/TrRoad_tech!O103)</f>
        <v>1.1893855368792485</v>
      </c>
      <c r="P130" s="93">
        <f>IF(TrRoad_act!P72=0,0,TrRoad_ene!P75/TrRoad_tech!P103)</f>
        <v>1.2122949533829412</v>
      </c>
      <c r="Q130" s="93">
        <f>IF(TrRoad_act!Q72=0,0,TrRoad_ene!Q75/TrRoad_tech!Q103)</f>
        <v>1.2122949533829412</v>
      </c>
      <c r="R130" s="93">
        <f>IF(TrRoad_act!R72=0,0,TrRoad_ene!R75/TrRoad_tech!R103)</f>
        <v>1.2122949533829408</v>
      </c>
      <c r="S130" s="93">
        <f>IF(TrRoad_act!S72=0,0,TrRoad_ene!S75/TrRoad_tech!S103)</f>
        <v>1.3303615355983798</v>
      </c>
      <c r="T130" s="93">
        <f>IF(TrRoad_act!T72=0,0,TrRoad_ene!T75/TrRoad_tech!T103)</f>
        <v>1.3374709552697812</v>
      </c>
      <c r="U130" s="93">
        <f>IF(TrRoad_act!U72=0,0,TrRoad_ene!U75/TrRoad_tech!U103)</f>
        <v>1.3450277234930623</v>
      </c>
      <c r="V130" s="93">
        <f>IF(TrRoad_act!V72=0,0,TrRoad_ene!V75/TrRoad_tech!V103)</f>
        <v>1.3476761033162585</v>
      </c>
      <c r="W130" s="93">
        <f>IF(TrRoad_act!W72=0,0,TrRoad_ene!W75/TrRoad_tech!W103)</f>
        <v>1.3494818453218131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1.1097097328926255</v>
      </c>
      <c r="C132" s="150">
        <f>IF(TrRoad_act!C74=0,0,TrRoad_ene!C77/TrRoad_tech!C105)</f>
        <v>1.0972565913415935</v>
      </c>
      <c r="D132" s="150">
        <f>IF(TrRoad_act!D74=0,0,TrRoad_ene!D77/TrRoad_tech!D105)</f>
        <v>1.0912258580481473</v>
      </c>
      <c r="E132" s="150">
        <f>IF(TrRoad_act!E74=0,0,TrRoad_ene!E77/TrRoad_tech!E105)</f>
        <v>1.0900712282923324</v>
      </c>
      <c r="F132" s="150">
        <f>IF(TrRoad_act!F74=0,0,TrRoad_ene!F77/TrRoad_tech!F105)</f>
        <v>1.0909634781701374</v>
      </c>
      <c r="G132" s="150">
        <f>IF(TrRoad_act!G74=0,0,TrRoad_ene!G77/TrRoad_tech!G105)</f>
        <v>1.0945486598173639</v>
      </c>
      <c r="H132" s="150">
        <f>IF(TrRoad_act!H74=0,0,TrRoad_ene!H77/TrRoad_tech!H105)</f>
        <v>1.1020222927768535</v>
      </c>
      <c r="I132" s="150">
        <f>IF(TrRoad_act!I74=0,0,TrRoad_ene!I77/TrRoad_tech!I105)</f>
        <v>1.1116868169054626</v>
      </c>
      <c r="J132" s="150">
        <f>IF(TrRoad_act!J74=0,0,TrRoad_ene!J77/TrRoad_tech!J105)</f>
        <v>1.1236576750665808</v>
      </c>
      <c r="K132" s="150">
        <f>IF(TrRoad_act!K74=0,0,TrRoad_ene!K77/TrRoad_tech!K105)</f>
        <v>1.1269995702786983</v>
      </c>
      <c r="L132" s="150">
        <f>IF(TrRoad_act!L74=0,0,TrRoad_ene!L77/TrRoad_tech!L105)</f>
        <v>1.1296353629065217</v>
      </c>
      <c r="M132" s="150">
        <f>IF(TrRoad_act!M74=0,0,TrRoad_ene!M77/TrRoad_tech!M105)</f>
        <v>1.1352843281755953</v>
      </c>
      <c r="N132" s="150">
        <f>IF(TrRoad_act!N74=0,0,TrRoad_ene!N77/TrRoad_tech!N105)</f>
        <v>1.1459876228410146</v>
      </c>
      <c r="O132" s="150">
        <f>IF(TrRoad_act!O74=0,0,TrRoad_ene!O77/TrRoad_tech!O105)</f>
        <v>1.1551340475556782</v>
      </c>
      <c r="P132" s="150">
        <f>IF(TrRoad_act!P74=0,0,TrRoad_ene!P77/TrRoad_tech!P105)</f>
        <v>1.1673661822091514</v>
      </c>
      <c r="Q132" s="150">
        <f>IF(TrRoad_act!Q74=0,0,TrRoad_ene!Q77/TrRoad_tech!Q105)</f>
        <v>1.1818705435443124</v>
      </c>
      <c r="R132" s="150">
        <f>IF(TrRoad_act!R74=0,0,TrRoad_ene!R77/TrRoad_tech!R105)</f>
        <v>1.1959927050828347</v>
      </c>
      <c r="S132" s="150">
        <f>IF(TrRoad_act!S74=0,0,TrRoad_ene!S77/TrRoad_tech!S105)</f>
        <v>1.2142971574580643</v>
      </c>
      <c r="T132" s="150">
        <f>IF(TrRoad_act!T74=0,0,TrRoad_ene!T77/TrRoad_tech!T105)</f>
        <v>1.2344317815128307</v>
      </c>
      <c r="U132" s="150">
        <f>IF(TrRoad_act!U74=0,0,TrRoad_ene!U77/TrRoad_tech!U105)</f>
        <v>1.2485882661696699</v>
      </c>
      <c r="V132" s="150">
        <f>IF(TrRoad_act!V74=0,0,TrRoad_ene!V77/TrRoad_tech!V105)</f>
        <v>1.2722680137620204</v>
      </c>
      <c r="W132" s="150">
        <f>IF(TrRoad_act!W74=0,0,TrRoad_ene!W77/TrRoad_tech!W105)</f>
        <v>1.2941681316084999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1.1000076461736961</v>
      </c>
      <c r="D133" s="91">
        <f>IF(TrRoad_act!D75=0,0,TrRoad_ene!D78/TrRoad_tech!D106)</f>
        <v>1.1000609176142859</v>
      </c>
      <c r="E133" s="91">
        <f>IF(TrRoad_act!E75=0,0,TrRoad_ene!E78/TrRoad_tech!E106)</f>
        <v>1.1002284675646179</v>
      </c>
      <c r="F133" s="91">
        <f>IF(TrRoad_act!F75=0,0,TrRoad_ene!F78/TrRoad_tech!F106)</f>
        <v>1.1004991044774952</v>
      </c>
      <c r="G133" s="91">
        <f>IF(TrRoad_act!G75=0,0,TrRoad_ene!G78/TrRoad_tech!G106)</f>
        <v>1.1009867875014814</v>
      </c>
      <c r="H133" s="91">
        <f>IF(TrRoad_act!H75=0,0,TrRoad_ene!H78/TrRoad_tech!H106)</f>
        <v>1.1019213697272334</v>
      </c>
      <c r="I133" s="91">
        <f>IF(TrRoad_act!I75=0,0,TrRoad_ene!I78/TrRoad_tech!I106)</f>
        <v>1.1041048105963882</v>
      </c>
      <c r="J133" s="91">
        <f>IF(TrRoad_act!J75=0,0,TrRoad_ene!J78/TrRoad_tech!J106)</f>
        <v>1.1081963246514537</v>
      </c>
      <c r="K133" s="91">
        <f>IF(TrRoad_act!K75=0,0,TrRoad_ene!K78/TrRoad_tech!K106)</f>
        <v>1.1135384237975026</v>
      </c>
      <c r="L133" s="91">
        <f>IF(TrRoad_act!L75=0,0,TrRoad_ene!L78/TrRoad_tech!L106)</f>
        <v>1.117756552374364</v>
      </c>
      <c r="M133" s="91">
        <f>IF(TrRoad_act!M75=0,0,TrRoad_ene!M78/TrRoad_tech!M106)</f>
        <v>1.1225037554392392</v>
      </c>
      <c r="N133" s="91">
        <f>IF(TrRoad_act!N75=0,0,TrRoad_ene!N78/TrRoad_tech!N106)</f>
        <v>1.128845239433601</v>
      </c>
      <c r="O133" s="91">
        <f>IF(TrRoad_act!O75=0,0,TrRoad_ene!O78/TrRoad_tech!O106)</f>
        <v>1.1357077709373915</v>
      </c>
      <c r="P133" s="91">
        <f>IF(TrRoad_act!P75=0,0,TrRoad_ene!P78/TrRoad_tech!P106)</f>
        <v>1.1447702111581186</v>
      </c>
      <c r="Q133" s="91">
        <f>IF(TrRoad_act!Q75=0,0,TrRoad_ene!Q78/TrRoad_tech!Q106)</f>
        <v>1.1558350541889293</v>
      </c>
      <c r="R133" s="91">
        <f>IF(TrRoad_act!R75=0,0,TrRoad_ene!R78/TrRoad_tech!R106)</f>
        <v>1.1686891771793226</v>
      </c>
      <c r="S133" s="91">
        <f>IF(TrRoad_act!S75=0,0,TrRoad_ene!S78/TrRoad_tech!S106)</f>
        <v>1.187049272621612</v>
      </c>
      <c r="T133" s="91">
        <f>IF(TrRoad_act!T75=0,0,TrRoad_ene!T78/TrRoad_tech!T106)</f>
        <v>1.2071909132504086</v>
      </c>
      <c r="U133" s="91">
        <f>IF(TrRoad_act!U75=0,0,TrRoad_ene!U78/TrRoad_tech!U106)</f>
        <v>1.2279736453100543</v>
      </c>
      <c r="V133" s="91">
        <f>IF(TrRoad_act!V75=0,0,TrRoad_ene!V78/TrRoad_tech!V106)</f>
        <v>1.2426561680655914</v>
      </c>
      <c r="W133" s="91">
        <f>IF(TrRoad_act!W75=0,0,TrRoad_ene!W78/TrRoad_tech!W106)</f>
        <v>1.2623956979535096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1.1005379444071814</v>
      </c>
      <c r="D134" s="91">
        <f>IF(TrRoad_act!D76=0,0,TrRoad_ene!D79/TrRoad_tech!D107)</f>
        <v>1.1015510713138108</v>
      </c>
      <c r="E134" s="91">
        <f>IF(TrRoad_act!E76=0,0,TrRoad_ene!E79/TrRoad_tech!E107)</f>
        <v>1.1030481448806519</v>
      </c>
      <c r="F134" s="91">
        <f>IF(TrRoad_act!F76=0,0,TrRoad_ene!F79/TrRoad_tech!F107)</f>
        <v>1.1053149986844024</v>
      </c>
      <c r="G134" s="91">
        <f>IF(TrRoad_act!G76=0,0,TrRoad_ene!G79/TrRoad_tech!G107)</f>
        <v>1.1082822516707551</v>
      </c>
      <c r="H134" s="91">
        <f>IF(TrRoad_act!H76=0,0,TrRoad_ene!H79/TrRoad_tech!H107)</f>
        <v>1.1124835854025636</v>
      </c>
      <c r="I134" s="91">
        <f>IF(TrRoad_act!I76=0,0,TrRoad_ene!I79/TrRoad_tech!I107)</f>
        <v>1.1183009532300212</v>
      </c>
      <c r="J134" s="91">
        <f>IF(TrRoad_act!J76=0,0,TrRoad_ene!J79/TrRoad_tech!J107)</f>
        <v>1.1257831426558389</v>
      </c>
      <c r="K134" s="91">
        <f>IF(TrRoad_act!K76=0,0,TrRoad_ene!K79/TrRoad_tech!K107)</f>
        <v>1.1281715866842741</v>
      </c>
      <c r="L134" s="91">
        <f>IF(TrRoad_act!L76=0,0,TrRoad_ene!L79/TrRoad_tech!L107)</f>
        <v>1.1296891142445999</v>
      </c>
      <c r="M134" s="91">
        <f>IF(TrRoad_act!M76=0,0,TrRoad_ene!M79/TrRoad_tech!M107)</f>
        <v>1.1331327308422692</v>
      </c>
      <c r="N134" s="91">
        <f>IF(TrRoad_act!N76=0,0,TrRoad_ene!N79/TrRoad_tech!N107)</f>
        <v>1.1469591127535617</v>
      </c>
      <c r="O134" s="91">
        <f>IF(TrRoad_act!O76=0,0,TrRoad_ene!O79/TrRoad_tech!O107)</f>
        <v>1.1595235213408321</v>
      </c>
      <c r="P134" s="91">
        <f>IF(TrRoad_act!P76=0,0,TrRoad_ene!P79/TrRoad_tech!P107)</f>
        <v>1.1745246560413556</v>
      </c>
      <c r="Q134" s="91">
        <f>IF(TrRoad_act!Q76=0,0,TrRoad_ene!Q79/TrRoad_tech!Q107)</f>
        <v>1.1921029142938591</v>
      </c>
      <c r="R134" s="91">
        <f>IF(TrRoad_act!R76=0,0,TrRoad_ene!R79/TrRoad_tech!R107)</f>
        <v>1.2103390436360226</v>
      </c>
      <c r="S134" s="91">
        <f>IF(TrRoad_act!S76=0,0,TrRoad_ene!S79/TrRoad_tech!S107)</f>
        <v>1.2308747762110586</v>
      </c>
      <c r="T134" s="91">
        <f>IF(TrRoad_act!T76=0,0,TrRoad_ene!T79/TrRoad_tech!T107)</f>
        <v>1.2505083320690904</v>
      </c>
      <c r="U134" s="91">
        <f>IF(TrRoad_act!U76=0,0,TrRoad_ene!U79/TrRoad_tech!U107)</f>
        <v>1.2655428729947835</v>
      </c>
      <c r="V134" s="91">
        <f>IF(TrRoad_act!V76=0,0,TrRoad_ene!V79/TrRoad_tech!V107)</f>
        <v>1.2846257388296518</v>
      </c>
      <c r="W134" s="91">
        <f>IF(TrRoad_act!W76=0,0,TrRoad_ene!W79/TrRoad_tech!W107)</f>
        <v>1.3019342995893659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1.1693333333396367</v>
      </c>
      <c r="P135" s="91">
        <f>IF(TrRoad_act!P77=0,0,TrRoad_ene!P80/TrRoad_tech!P108)</f>
        <v>1.1717850744729994</v>
      </c>
      <c r="Q135" s="91">
        <f>IF(TrRoad_act!Q77=0,0,TrRoad_ene!Q80/TrRoad_tech!Q108)</f>
        <v>1.17253866683271</v>
      </c>
      <c r="R135" s="91">
        <f>IF(TrRoad_act!R77=0,0,TrRoad_ene!R80/TrRoad_tech!R108)</f>
        <v>1.1802638254894098</v>
      </c>
      <c r="S135" s="91">
        <f>IF(TrRoad_act!S77=0,0,TrRoad_ene!S80/TrRoad_tech!S108)</f>
        <v>1.1861792023759044</v>
      </c>
      <c r="T135" s="91">
        <f>IF(TrRoad_act!T77=0,0,TrRoad_ene!T80/TrRoad_tech!T108)</f>
        <v>1.1959605743093245</v>
      </c>
      <c r="U135" s="91">
        <f>IF(TrRoad_act!U77=0,0,TrRoad_ene!U80/TrRoad_tech!U108)</f>
        <v>1.250947163315534</v>
      </c>
      <c r="V135" s="91">
        <f>IF(TrRoad_act!V77=0,0,TrRoad_ene!V80/TrRoad_tech!V108)</f>
        <v>1.2761780418576976</v>
      </c>
      <c r="W135" s="91">
        <f>IF(TrRoad_act!W77=0,0,TrRoad_ene!W80/TrRoad_tech!W108)</f>
        <v>1.2984250975966911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1.1440000000061443</v>
      </c>
      <c r="I137" s="91">
        <f>IF(TrRoad_act!I79=0,0,TrRoad_ene!I82/TrRoad_tech!I110)</f>
        <v>1.1500801890515471</v>
      </c>
      <c r="J137" s="91">
        <f>IF(TrRoad_act!J79=0,0,TrRoad_ene!J82/TrRoad_tech!J110)</f>
        <v>1.1500801890515473</v>
      </c>
      <c r="K137" s="91">
        <f>IF(TrRoad_act!K79=0,0,TrRoad_ene!K82/TrRoad_tech!K110)</f>
        <v>1.174776230627685</v>
      </c>
      <c r="L137" s="91">
        <f>IF(TrRoad_act!L79=0,0,TrRoad_ene!L82/TrRoad_tech!L110)</f>
        <v>1.1747762306276845</v>
      </c>
      <c r="M137" s="91">
        <f>IF(TrRoad_act!M79=0,0,TrRoad_ene!M82/TrRoad_tech!M110)</f>
        <v>1.1747762306276848</v>
      </c>
      <c r="N137" s="91">
        <f>IF(TrRoad_act!N79=0,0,TrRoad_ene!N82/TrRoad_tech!N110)</f>
        <v>1.2238757157336724</v>
      </c>
      <c r="O137" s="91">
        <f>IF(TrRoad_act!O79=0,0,TrRoad_ene!O82/TrRoad_tech!O110)</f>
        <v>1.2439586407738119</v>
      </c>
      <c r="P137" s="91">
        <f>IF(TrRoad_act!P79=0,0,TrRoad_ene!P82/TrRoad_tech!P110)</f>
        <v>1.2550657708414479</v>
      </c>
      <c r="Q137" s="91">
        <f>IF(TrRoad_act!Q79=0,0,TrRoad_ene!Q82/TrRoad_tech!Q110)</f>
        <v>1.2660453560022296</v>
      </c>
      <c r="R137" s="91">
        <f>IF(TrRoad_act!R79=0,0,TrRoad_ene!R82/TrRoad_tech!R110)</f>
        <v>1.2740730928516169</v>
      </c>
      <c r="S137" s="91">
        <f>IF(TrRoad_act!S79=0,0,TrRoad_ene!S82/TrRoad_tech!S110)</f>
        <v>1.2894013351458884</v>
      </c>
      <c r="T137" s="91">
        <f>IF(TrRoad_act!T79=0,0,TrRoad_ene!T82/TrRoad_tech!T110)</f>
        <v>1.3046799315104114</v>
      </c>
      <c r="U137" s="91">
        <f>IF(TrRoad_act!U79=0,0,TrRoad_ene!U82/TrRoad_tech!U110)</f>
        <v>1.3289974836531315</v>
      </c>
      <c r="V137" s="91">
        <f>IF(TrRoad_act!V79=0,0,TrRoad_ene!V82/TrRoad_tech!V110)</f>
        <v>1.337152663615282</v>
      </c>
      <c r="W137" s="91">
        <f>IF(TrRoad_act!W79=0,0,TrRoad_ene!W82/TrRoad_tech!W110)</f>
        <v>1.3444132600960388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14.354297629681524</v>
      </c>
      <c r="C138" s="151">
        <f>IF(TrRoad_act!C80=0,0,TrRoad_ene!C83/TrRoad_tech!C111)</f>
        <v>14.10865850074671</v>
      </c>
      <c r="D138" s="151">
        <f>IF(TrRoad_act!D80=0,0,TrRoad_ene!D83/TrRoad_tech!D111)</f>
        <v>13.547796064456758</v>
      </c>
      <c r="E138" s="151">
        <f>IF(TrRoad_act!E80=0,0,TrRoad_ene!E83/TrRoad_tech!E111)</f>
        <v>15.920597397739668</v>
      </c>
      <c r="F138" s="151">
        <f>IF(TrRoad_act!F80=0,0,TrRoad_ene!F83/TrRoad_tech!F111)</f>
        <v>20.115140391914323</v>
      </c>
      <c r="G138" s="151">
        <f>IF(TrRoad_act!G80=0,0,TrRoad_ene!G83/TrRoad_tech!G111)</f>
        <v>23.353897702964364</v>
      </c>
      <c r="H138" s="151">
        <f>IF(TrRoad_act!H80=0,0,TrRoad_ene!H83/TrRoad_tech!H111)</f>
        <v>21.675131752189476</v>
      </c>
      <c r="I138" s="151">
        <f>IF(TrRoad_act!I80=0,0,TrRoad_ene!I83/TrRoad_tech!I111)</f>
        <v>20.023045549788101</v>
      </c>
      <c r="J138" s="151">
        <f>IF(TrRoad_act!J80=0,0,TrRoad_ene!J83/TrRoad_tech!J111)</f>
        <v>19.550579611803968</v>
      </c>
      <c r="K138" s="151">
        <f>IF(TrRoad_act!K80=0,0,TrRoad_ene!K83/TrRoad_tech!K111)</f>
        <v>21.728185654455995</v>
      </c>
      <c r="L138" s="151">
        <f>IF(TrRoad_act!L80=0,0,TrRoad_ene!L83/TrRoad_tech!L111)</f>
        <v>23.430804695020264</v>
      </c>
      <c r="M138" s="151">
        <f>IF(TrRoad_act!M80=0,0,TrRoad_ene!M83/TrRoad_tech!M111)</f>
        <v>24.509889573350033</v>
      </c>
      <c r="N138" s="151">
        <f>IF(TrRoad_act!N80=0,0,TrRoad_ene!N83/TrRoad_tech!N111)</f>
        <v>17.627224975961624</v>
      </c>
      <c r="O138" s="151">
        <f>IF(TrRoad_act!O80=0,0,TrRoad_ene!O83/TrRoad_tech!O111)</f>
        <v>20.094562787105929</v>
      </c>
      <c r="P138" s="151">
        <f>IF(TrRoad_act!P80=0,0,TrRoad_ene!P83/TrRoad_tech!P111)</f>
        <v>16.317231632374121</v>
      </c>
      <c r="Q138" s="151">
        <f>IF(TrRoad_act!Q80=0,0,TrRoad_ene!Q83/TrRoad_tech!Q111)</f>
        <v>17.376739700515866</v>
      </c>
      <c r="R138" s="151">
        <f>IF(TrRoad_act!R80=0,0,TrRoad_ene!R83/TrRoad_tech!R111)</f>
        <v>16.257695524999125</v>
      </c>
      <c r="S138" s="151">
        <f>IF(TrRoad_act!S80=0,0,TrRoad_ene!S83/TrRoad_tech!S111)</f>
        <v>17.325853155846627</v>
      </c>
      <c r="T138" s="151">
        <f>IF(TrRoad_act!T80=0,0,TrRoad_ene!T83/TrRoad_tech!T111)</f>
        <v>19.59174468571155</v>
      </c>
      <c r="U138" s="151">
        <f>IF(TrRoad_act!U80=0,0,TrRoad_ene!U83/TrRoad_tech!U111)</f>
        <v>21.094171851405221</v>
      </c>
      <c r="V138" s="151">
        <f>IF(TrRoad_act!V80=0,0,TrRoad_ene!V83/TrRoad_tech!V111)</f>
        <v>18.165790203448317</v>
      </c>
      <c r="W138" s="151">
        <f>IF(TrRoad_act!W80=0,0,TrRoad_ene!W83/TrRoad_tech!W111)</f>
        <v>17.161689378775808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1.3522145852251632</v>
      </c>
      <c r="C139" s="93">
        <f>IF(TrRoad_act!C81=0,0,TrRoad_ene!C84/TrRoad_tech!C112)</f>
        <v>1.3502685209157879</v>
      </c>
      <c r="D139" s="93">
        <f>IF(TrRoad_act!D81=0,0,TrRoad_ene!D84/TrRoad_tech!D112)</f>
        <v>1.3418931487671786</v>
      </c>
      <c r="E139" s="93">
        <f>IF(TrRoad_act!E81=0,0,TrRoad_ene!E84/TrRoad_tech!E112)</f>
        <v>1.389534461551547</v>
      </c>
      <c r="F139" s="93">
        <f>IF(TrRoad_act!F81=0,0,TrRoad_ene!F84/TrRoad_tech!F112)</f>
        <v>1.4731969216262062</v>
      </c>
      <c r="G139" s="93">
        <f>IF(TrRoad_act!G81=0,0,TrRoad_ene!G84/TrRoad_tech!G112)</f>
        <v>1.540495877385857</v>
      </c>
      <c r="H139" s="93">
        <f>IF(TrRoad_act!H81=0,0,TrRoad_ene!H84/TrRoad_tech!H112)</f>
        <v>1.5107443043502251</v>
      </c>
      <c r="I139" s="93">
        <f>IF(TrRoad_act!I81=0,0,TrRoad_ene!I84/TrRoad_tech!I112)</f>
        <v>1.481859010828501</v>
      </c>
      <c r="J139" s="93">
        <f>IF(TrRoad_act!J81=0,0,TrRoad_ene!J84/TrRoad_tech!J112)</f>
        <v>1.4810445607195359</v>
      </c>
      <c r="K139" s="93">
        <f>IF(TrRoad_act!K81=0,0,TrRoad_ene!K84/TrRoad_tech!K112)</f>
        <v>1.5307329676086741</v>
      </c>
      <c r="L139" s="93">
        <f>IF(TrRoad_act!L81=0,0,TrRoad_ene!L84/TrRoad_tech!L112)</f>
        <v>1.5697981145727267</v>
      </c>
      <c r="M139" s="93">
        <f>IF(TrRoad_act!M81=0,0,TrRoad_ene!M84/TrRoad_tech!M112)</f>
        <v>1.5977470592352745</v>
      </c>
      <c r="N139" s="93">
        <f>IF(TrRoad_act!N81=0,0,TrRoad_ene!N84/TrRoad_tech!N112)</f>
        <v>1.4702642498472207</v>
      </c>
      <c r="O139" s="93">
        <f>IF(TrRoad_act!O81=0,0,TrRoad_ene!O84/TrRoad_tech!O112)</f>
        <v>1.5329243272893178</v>
      </c>
      <c r="P139" s="93">
        <f>IF(TrRoad_act!P81=0,0,TrRoad_ene!P84/TrRoad_tech!P112)</f>
        <v>1.4771549150828331</v>
      </c>
      <c r="Q139" s="93">
        <f>IF(TrRoad_act!Q81=0,0,TrRoad_ene!Q84/TrRoad_tech!Q112)</f>
        <v>1.5079635882212241</v>
      </c>
      <c r="R139" s="93">
        <f>IF(TrRoad_act!R81=0,0,TrRoad_ene!R84/TrRoad_tech!R112)</f>
        <v>1.4975180896959548</v>
      </c>
      <c r="S139" s="93">
        <f>IF(TrRoad_act!S81=0,0,TrRoad_ene!S84/TrRoad_tech!S112)</f>
        <v>1.5292410834754742</v>
      </c>
      <c r="T139" s="93">
        <f>IF(TrRoad_act!T81=0,0,TrRoad_ene!T84/TrRoad_tech!T112)</f>
        <v>1.5909267607121076</v>
      </c>
      <c r="U139" s="93">
        <f>IF(TrRoad_act!U81=0,0,TrRoad_ene!U84/TrRoad_tech!U112)</f>
        <v>1.6374551853764068</v>
      </c>
      <c r="V139" s="93">
        <f>IF(TrRoad_act!V81=0,0,TrRoad_ene!V84/TrRoad_tech!V112)</f>
        <v>1.5933158331679595</v>
      </c>
      <c r="W139" s="93">
        <f>IF(TrRoad_act!W81=0,0,TrRoad_ene!W84/TrRoad_tech!W112)</f>
        <v>1.6097214259344252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23.482236564076509</v>
      </c>
      <c r="C140" s="94">
        <f>IF(TrRoad_act!C82=0,0,TrRoad_ene!C85/TrRoad_tech!C113)</f>
        <v>24.064105840894477</v>
      </c>
      <c r="D140" s="94">
        <f>IF(TrRoad_act!D82=0,0,TrRoad_ene!D85/TrRoad_tech!D113)</f>
        <v>24.552803611385364</v>
      </c>
      <c r="E140" s="94">
        <f>IF(TrRoad_act!E82=0,0,TrRoad_ene!E85/TrRoad_tech!E113)</f>
        <v>28.585518517152618</v>
      </c>
      <c r="F140" s="94">
        <f>IF(TrRoad_act!F82=0,0,TrRoad_ene!F85/TrRoad_tech!F113)</f>
        <v>33.529574174474639</v>
      </c>
      <c r="G140" s="94">
        <f>IF(TrRoad_act!G82=0,0,TrRoad_ene!G85/TrRoad_tech!G113)</f>
        <v>37.417869336364213</v>
      </c>
      <c r="H140" s="94">
        <f>IF(TrRoad_act!H82=0,0,TrRoad_ene!H85/TrRoad_tech!H113)</f>
        <v>36.892706438614532</v>
      </c>
      <c r="I140" s="94">
        <f>IF(TrRoad_act!I82=0,0,TrRoad_ene!I85/TrRoad_tech!I113)</f>
        <v>33.140823553926452</v>
      </c>
      <c r="J140" s="94">
        <f>IF(TrRoad_act!J82=0,0,TrRoad_ene!J85/TrRoad_tech!J113)</f>
        <v>30.077410906968591</v>
      </c>
      <c r="K140" s="94">
        <f>IF(TrRoad_act!K82=0,0,TrRoad_ene!K85/TrRoad_tech!K113)</f>
        <v>29.691649270606955</v>
      </c>
      <c r="L140" s="94">
        <f>IF(TrRoad_act!L82=0,0,TrRoad_ene!L85/TrRoad_tech!L113)</f>
        <v>32.71648816298999</v>
      </c>
      <c r="M140" s="94">
        <f>IF(TrRoad_act!M82=0,0,TrRoad_ene!M85/TrRoad_tech!M113)</f>
        <v>35.152069078704272</v>
      </c>
      <c r="N140" s="94">
        <f>IF(TrRoad_act!N82=0,0,TrRoad_ene!N85/TrRoad_tech!N113)</f>
        <v>28.912434201529443</v>
      </c>
      <c r="O140" s="94">
        <f>IF(TrRoad_act!O82=0,0,TrRoad_ene!O85/TrRoad_tech!O113)</f>
        <v>30.006492738761761</v>
      </c>
      <c r="P140" s="94">
        <f>IF(TrRoad_act!P82=0,0,TrRoad_ene!P85/TrRoad_tech!P113)</f>
        <v>26.777454242860298</v>
      </c>
      <c r="Q140" s="94">
        <f>IF(TrRoad_act!Q82=0,0,TrRoad_ene!Q85/TrRoad_tech!Q113)</f>
        <v>28.471468785734565</v>
      </c>
      <c r="R140" s="94">
        <f>IF(TrRoad_act!R82=0,0,TrRoad_ene!R85/TrRoad_tech!R113)</f>
        <v>26.388675960072497</v>
      </c>
      <c r="S140" s="94">
        <f>IF(TrRoad_act!S82=0,0,TrRoad_ene!S85/TrRoad_tech!S113)</f>
        <v>27.285986979635705</v>
      </c>
      <c r="T140" s="94">
        <f>IF(TrRoad_act!T82=0,0,TrRoad_ene!T85/TrRoad_tech!T113)</f>
        <v>31.442549032419155</v>
      </c>
      <c r="U140" s="94">
        <f>IF(TrRoad_act!U82=0,0,TrRoad_ene!U85/TrRoad_tech!U113)</f>
        <v>33.286349194195218</v>
      </c>
      <c r="V140" s="94">
        <f>IF(TrRoad_act!V82=0,0,TrRoad_ene!V85/TrRoad_tech!V113)</f>
        <v>27.491998396137927</v>
      </c>
      <c r="W140" s="94">
        <f>IF(TrRoad_act!W82=0,0,TrRoad_ene!W85/TrRoad_tech!W113)</f>
        <v>26.882273972569742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3.652601659702547</v>
      </c>
      <c r="C144" s="141">
        <v>3.7579541225768995</v>
      </c>
      <c r="D144" s="141">
        <v>3.8785800989397026</v>
      </c>
      <c r="E144" s="141">
        <v>3.8255892832725884</v>
      </c>
      <c r="F144" s="141">
        <v>3.8255892832725884</v>
      </c>
      <c r="G144" s="141">
        <v>3.8785800989397026</v>
      </c>
      <c r="H144" s="141">
        <v>3.8255892832725884</v>
      </c>
      <c r="I144" s="141">
        <v>3.7725984676054738</v>
      </c>
      <c r="J144" s="141">
        <v>3.6508798971052046</v>
      </c>
      <c r="K144" s="141">
        <v>3.4269203633388101</v>
      </c>
      <c r="L144" s="141">
        <v>3.2870806658012701</v>
      </c>
      <c r="M144" s="141">
        <v>3.1855951562845362</v>
      </c>
      <c r="N144" s="141">
        <v>3.0152508217602061</v>
      </c>
      <c r="O144" s="141">
        <v>2.8825871564247088</v>
      </c>
      <c r="P144" s="141">
        <v>2.8318620875229712</v>
      </c>
      <c r="Q144" s="141">
        <v>2.7862711387947399</v>
      </c>
      <c r="R144" s="141">
        <v>2.7212979776681365</v>
      </c>
      <c r="S144" s="141">
        <v>2.6693194487668537</v>
      </c>
      <c r="T144" s="141">
        <v>2.6277366256458277</v>
      </c>
      <c r="U144" s="141">
        <v>2.5944703671490066</v>
      </c>
      <c r="V144" s="141">
        <v>2.56785736035155</v>
      </c>
      <c r="W144" s="141">
        <v>2.5465669549135845</v>
      </c>
      <c r="DA144" s="174" t="s">
        <v>885</v>
      </c>
    </row>
    <row r="145" spans="1:105" ht="11.45" customHeight="1" x14ac:dyDescent="0.25">
      <c r="A145" s="109" t="s">
        <v>20</v>
      </c>
      <c r="B145" s="130">
        <v>6.9096435912623724</v>
      </c>
      <c r="C145" s="130">
        <v>6.975150664767737</v>
      </c>
      <c r="D145" s="130">
        <v>6.9651299891622669</v>
      </c>
      <c r="E145" s="130">
        <v>6.9913634483569433</v>
      </c>
      <c r="F145" s="130">
        <v>6.8155922946047394</v>
      </c>
      <c r="G145" s="130">
        <v>6.8190986220123868</v>
      </c>
      <c r="H145" s="130">
        <v>6.7692461352369646</v>
      </c>
      <c r="I145" s="130">
        <v>6.7029050942855868</v>
      </c>
      <c r="J145" s="130">
        <v>6.4756752343069719</v>
      </c>
      <c r="K145" s="130">
        <v>6.2201914780834171</v>
      </c>
      <c r="L145" s="130">
        <v>5.9762185130664678</v>
      </c>
      <c r="M145" s="130">
        <v>5.8249207372901539</v>
      </c>
      <c r="N145" s="130">
        <v>5.6608081288514658</v>
      </c>
      <c r="O145" s="130">
        <v>5.4748955770361256</v>
      </c>
      <c r="P145" s="130">
        <v>5.3603049730291055</v>
      </c>
      <c r="Q145" s="130">
        <v>5.2674373815385049</v>
      </c>
      <c r="R145" s="130">
        <v>5.2104430474929631</v>
      </c>
      <c r="S145" s="130">
        <v>5.2431724529540409</v>
      </c>
      <c r="T145" s="130">
        <v>5.413332156441208</v>
      </c>
      <c r="U145" s="130">
        <v>5.4338838030462346</v>
      </c>
      <c r="V145" s="130">
        <v>5.0411807673993536</v>
      </c>
      <c r="W145" s="130">
        <v>4.5510225828539275</v>
      </c>
      <c r="DA145" s="176" t="s">
        <v>886</v>
      </c>
    </row>
    <row r="146" spans="1:105" ht="11.45" customHeight="1" x14ac:dyDescent="0.25">
      <c r="A146" s="111" t="s">
        <v>110</v>
      </c>
      <c r="B146" s="96">
        <v>7.0150237605149979</v>
      </c>
      <c r="C146" s="96">
        <v>7.2573909853147969</v>
      </c>
      <c r="D146" s="96">
        <v>7.5365214078269034</v>
      </c>
      <c r="E146" s="96">
        <v>7.4434779336562009</v>
      </c>
      <c r="F146" s="96">
        <v>7.4434779336562009</v>
      </c>
      <c r="G146" s="96">
        <v>7.5365214078269034</v>
      </c>
      <c r="H146" s="96">
        <v>7.4434779336562009</v>
      </c>
      <c r="I146" s="96">
        <v>7.3504344594855002</v>
      </c>
      <c r="J146" s="96">
        <v>7.0713040369733902</v>
      </c>
      <c r="K146" s="96">
        <v>6.6820792164626051</v>
      </c>
      <c r="L146" s="96">
        <v>6.4341521977239466</v>
      </c>
      <c r="M146" s="96">
        <v>6.2543570960923569</v>
      </c>
      <c r="N146" s="96">
        <v>6.0551527486875116</v>
      </c>
      <c r="O146" s="96">
        <v>5.7783470008857858</v>
      </c>
      <c r="P146" s="96">
        <v>5.6725813390265314</v>
      </c>
      <c r="Q146" s="96">
        <v>5.571636294225244</v>
      </c>
      <c r="R146" s="96">
        <v>5.5540359740476131</v>
      </c>
      <c r="S146" s="96">
        <v>5.5009864136205788</v>
      </c>
      <c r="T146" s="96">
        <v>5.6239490021808622</v>
      </c>
      <c r="U146" s="96">
        <v>5.6963316004852009</v>
      </c>
      <c r="V146" s="96">
        <v>5.5457455074492517</v>
      </c>
      <c r="W146" s="96">
        <v>5.3292099502135928</v>
      </c>
      <c r="DA146" s="171" t="s">
        <v>887</v>
      </c>
    </row>
    <row r="147" spans="1:105" ht="11.45" customHeight="1" x14ac:dyDescent="0.25">
      <c r="A147" s="111" t="s">
        <v>111</v>
      </c>
      <c r="B147" s="96">
        <v>6.8341670115105773</v>
      </c>
      <c r="C147" s="96">
        <v>6.7309704556799668</v>
      </c>
      <c r="D147" s="96">
        <v>6.6181341997956951</v>
      </c>
      <c r="E147" s="96">
        <v>6.7380295092242202</v>
      </c>
      <c r="F147" s="96">
        <v>6.5730648579362398</v>
      </c>
      <c r="G147" s="96">
        <v>6.5715444464036299</v>
      </c>
      <c r="H147" s="96">
        <v>6.5601413599090694</v>
      </c>
      <c r="I147" s="96">
        <v>6.5160494254634331</v>
      </c>
      <c r="J147" s="96">
        <v>6.2988477779479846</v>
      </c>
      <c r="K147" s="96">
        <v>6.0513162771991036</v>
      </c>
      <c r="L147" s="96">
        <v>5.8188767663342578</v>
      </c>
      <c r="M147" s="96">
        <v>5.6902845720607624</v>
      </c>
      <c r="N147" s="96">
        <v>5.4992491330543034</v>
      </c>
      <c r="O147" s="96">
        <v>5.3739383648951913</v>
      </c>
      <c r="P147" s="96">
        <v>5.2199211475934515</v>
      </c>
      <c r="Q147" s="96">
        <v>5.0780185057086751</v>
      </c>
      <c r="R147" s="96">
        <v>4.9705085283890327</v>
      </c>
      <c r="S147" s="96">
        <v>5.0569743044015132</v>
      </c>
      <c r="T147" s="96">
        <v>5.2409262710666535</v>
      </c>
      <c r="U147" s="96">
        <v>5.270969844717329</v>
      </c>
      <c r="V147" s="96">
        <v>5.1205885328351162</v>
      </c>
      <c r="W147" s="96">
        <v>4.827837325250572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6.1953126448519908</v>
      </c>
      <c r="D148" s="96">
        <v>6.091456018607599</v>
      </c>
      <c r="E148" s="96">
        <v>6.2018099313831589</v>
      </c>
      <c r="F148" s="96">
        <v>6.0499733430624332</v>
      </c>
      <c r="G148" s="96">
        <v>6.0485739275018737</v>
      </c>
      <c r="H148" s="96">
        <v>6.0380783107976761</v>
      </c>
      <c r="I148" s="96">
        <v>5.9974952595414459</v>
      </c>
      <c r="J148" s="96">
        <v>5.7975787508900609</v>
      </c>
      <c r="K148" s="96">
        <v>5.5697460710876037</v>
      </c>
      <c r="L148" s="96">
        <v>5.1108869365871348</v>
      </c>
      <c r="M148" s="96">
        <v>5.1672722928668637</v>
      </c>
      <c r="N148" s="96">
        <v>6.9162942107377816</v>
      </c>
      <c r="O148" s="96">
        <v>4.9109781378019752</v>
      </c>
      <c r="P148" s="96">
        <v>4.9240253978075748</v>
      </c>
      <c r="Q148" s="96">
        <v>4.9099184586712932</v>
      </c>
      <c r="R148" s="96">
        <v>4.8944084482622801</v>
      </c>
      <c r="S148" s="96">
        <v>0</v>
      </c>
      <c r="T148" s="96">
        <v>5.5453128139347312</v>
      </c>
      <c r="U148" s="96">
        <v>6.926909521843382</v>
      </c>
      <c r="V148" s="96">
        <v>4.7188782534962224</v>
      </c>
      <c r="W148" s="96">
        <v>4.4412971797611478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4.5522682382364223</v>
      </c>
      <c r="O150" s="96">
        <v>4.8140350266892913</v>
      </c>
      <c r="P150" s="96">
        <v>2.0186959817502252</v>
      </c>
      <c r="Q150" s="96">
        <v>3.6488590330050297</v>
      </c>
      <c r="R150" s="96">
        <v>2.8658066218965845</v>
      </c>
      <c r="S150" s="96">
        <v>3.1515566332398874</v>
      </c>
      <c r="T150" s="96">
        <v>3.3752275595882653</v>
      </c>
      <c r="U150" s="96">
        <v>3.395925587971286</v>
      </c>
      <c r="V150" s="96">
        <v>3.1329611826972723</v>
      </c>
      <c r="W150" s="96">
        <v>2.9412688307722394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1.3312044718003742</v>
      </c>
      <c r="K151" s="96">
        <v>1.3178924270823702</v>
      </c>
      <c r="L151" s="96">
        <v>1.3047135028115466</v>
      </c>
      <c r="M151" s="96">
        <v>1.3047135028115466</v>
      </c>
      <c r="N151" s="96">
        <v>1.2037833190025795</v>
      </c>
      <c r="O151" s="96">
        <v>1.3055704027329134</v>
      </c>
      <c r="P151" s="96">
        <v>1.2192481612302588</v>
      </c>
      <c r="Q151" s="96">
        <v>1.1092003439380911</v>
      </c>
      <c r="R151" s="96">
        <v>1.0927851168607834</v>
      </c>
      <c r="S151" s="96">
        <v>1.2515312057596706</v>
      </c>
      <c r="T151" s="96">
        <v>1.391938950988822</v>
      </c>
      <c r="U151" s="96">
        <v>1.4990919891680912</v>
      </c>
      <c r="V151" s="96">
        <v>1.4789818486154866</v>
      </c>
      <c r="W151" s="96">
        <v>1.4863004486592633</v>
      </c>
      <c r="DA151" s="171" t="s">
        <v>892</v>
      </c>
    </row>
    <row r="152" spans="1:105" ht="11.45" customHeight="1" x14ac:dyDescent="0.25">
      <c r="A152" s="109" t="s">
        <v>21</v>
      </c>
      <c r="B152" s="130">
        <v>45.829651170278161</v>
      </c>
      <c r="C152" s="130">
        <v>46.214954699504169</v>
      </c>
      <c r="D152" s="130">
        <v>46.646870163985525</v>
      </c>
      <c r="E152" s="130">
        <v>46.286273017108741</v>
      </c>
      <c r="F152" s="130">
        <v>46.501552811449734</v>
      </c>
      <c r="G152" s="130">
        <v>46.645520467212734</v>
      </c>
      <c r="H152" s="130">
        <v>46.500207319339793</v>
      </c>
      <c r="I152" s="130">
        <v>46.353518968174683</v>
      </c>
      <c r="J152" s="130">
        <v>45.900552984772325</v>
      </c>
      <c r="K152" s="130">
        <v>45.241730931376928</v>
      </c>
      <c r="L152" s="130">
        <v>44.818828413422949</v>
      </c>
      <c r="M152" s="130">
        <v>44.505479147295354</v>
      </c>
      <c r="N152" s="130">
        <v>43.960187046333445</v>
      </c>
      <c r="O152" s="130">
        <v>43.342159517494643</v>
      </c>
      <c r="P152" s="130">
        <v>43.353667196560714</v>
      </c>
      <c r="Q152" s="130">
        <v>43.199999999908329</v>
      </c>
      <c r="R152" s="130">
        <v>43.062165274109169</v>
      </c>
      <c r="S152" s="130">
        <v>42.342675941165993</v>
      </c>
      <c r="T152" s="130">
        <v>41.006234277585065</v>
      </c>
      <c r="U152" s="130">
        <v>37.739223416694891</v>
      </c>
      <c r="V152" s="130">
        <v>38.488436716680411</v>
      </c>
      <c r="W152" s="130">
        <v>39.113001453956286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10.058257256467691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45.829651170278161</v>
      </c>
      <c r="C154" s="97">
        <v>46.214954699504169</v>
      </c>
      <c r="D154" s="97">
        <v>46.646870163985518</v>
      </c>
      <c r="E154" s="97">
        <v>46.501552811449734</v>
      </c>
      <c r="F154" s="97">
        <v>46.501552811449734</v>
      </c>
      <c r="G154" s="97">
        <v>46.645520467212734</v>
      </c>
      <c r="H154" s="97">
        <v>46.500207319339793</v>
      </c>
      <c r="I154" s="97">
        <v>46.353518968174683</v>
      </c>
      <c r="J154" s="97">
        <v>45.900552984772325</v>
      </c>
      <c r="K154" s="97">
        <v>45.241730931376928</v>
      </c>
      <c r="L154" s="97">
        <v>44.818828413422949</v>
      </c>
      <c r="M154" s="97">
        <v>44.505479147295361</v>
      </c>
      <c r="N154" s="97">
        <v>43.960187046333445</v>
      </c>
      <c r="O154" s="97">
        <v>43.522840367920381</v>
      </c>
      <c r="P154" s="97">
        <v>43.353667196560714</v>
      </c>
      <c r="Q154" s="97">
        <v>43.199999999908329</v>
      </c>
      <c r="R154" s="97">
        <v>43.062165274109169</v>
      </c>
      <c r="S154" s="97">
        <v>42.938490071145537</v>
      </c>
      <c r="T154" s="97">
        <v>42.827486111087623</v>
      </c>
      <c r="U154" s="97">
        <v>42.727827923972356</v>
      </c>
      <c r="V154" s="97">
        <v>42.638333846660259</v>
      </c>
      <c r="W154" s="97">
        <v>42.557949455194333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36.813962066104985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28.074627656519766</v>
      </c>
      <c r="P157" s="97">
        <v>0</v>
      </c>
      <c r="Q157" s="97">
        <v>0</v>
      </c>
      <c r="R157" s="97">
        <v>0</v>
      </c>
      <c r="S157" s="97">
        <v>25.138542938006832</v>
      </c>
      <c r="T157" s="97">
        <v>24.614302568640753</v>
      </c>
      <c r="U157" s="97">
        <v>24.151840087662851</v>
      </c>
      <c r="V157" s="97">
        <v>23.743057552709445</v>
      </c>
      <c r="W157" s="97">
        <v>23.381072248302555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9.1396612995143123</v>
      </c>
      <c r="D159" s="141">
        <v>9.0257534943494715</v>
      </c>
      <c r="E159" s="141">
        <v>9.1079825984310112</v>
      </c>
      <c r="F159" s="141">
        <v>8.9963569114097552</v>
      </c>
      <c r="G159" s="141">
        <v>9.0079849025196825</v>
      </c>
      <c r="H159" s="141">
        <v>9.0159363749448254</v>
      </c>
      <c r="I159" s="141">
        <v>8.9229299892161045</v>
      </c>
      <c r="J159" s="141">
        <v>8.783552975009842</v>
      </c>
      <c r="K159" s="141">
        <v>8.4048996938985194</v>
      </c>
      <c r="L159" s="141">
        <v>8.9356443105679091</v>
      </c>
      <c r="M159" s="141">
        <v>8.9329185145179011</v>
      </c>
      <c r="N159" s="141">
        <v>7.6264647835307064</v>
      </c>
      <c r="O159" s="141">
        <v>7.4257693327190797</v>
      </c>
      <c r="P159" s="141">
        <v>7.1332669121619325</v>
      </c>
      <c r="Q159" s="141">
        <v>6.8656674186532243</v>
      </c>
      <c r="R159" s="141">
        <v>6.6680227340874856</v>
      </c>
      <c r="S159" s="141">
        <v>6.3690401866117901</v>
      </c>
      <c r="T159" s="141">
        <v>6.4734673358197767</v>
      </c>
      <c r="U159" s="141">
        <v>6.3473122011025351</v>
      </c>
      <c r="V159" s="141">
        <v>6.862065128919828</v>
      </c>
      <c r="W159" s="141">
        <v>6.4503640763858954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7.5822760692617353</v>
      </c>
      <c r="D160" s="96">
        <v>7.8739020719256478</v>
      </c>
      <c r="E160" s="96">
        <v>7.7766934043710103</v>
      </c>
      <c r="F160" s="96">
        <v>7.7766934043710103</v>
      </c>
      <c r="G160" s="96">
        <v>7.8739020719256478</v>
      </c>
      <c r="H160" s="96">
        <v>7.7766934043710094</v>
      </c>
      <c r="I160" s="96">
        <v>7.6794847368163719</v>
      </c>
      <c r="J160" s="96">
        <v>7.3878587341524593</v>
      </c>
      <c r="K160" s="96">
        <v>6.9812098367603586</v>
      </c>
      <c r="L160" s="96">
        <v>6.7272994188426267</v>
      </c>
      <c r="M160" s="96">
        <v>6.543029654335518</v>
      </c>
      <c r="N160" s="96">
        <v>6.2337312081101564</v>
      </c>
      <c r="O160" s="96">
        <v>6.2650656186411764</v>
      </c>
      <c r="P160" s="96">
        <v>6.842048124019076</v>
      </c>
      <c r="Q160" s="96">
        <v>6.4233595351955204</v>
      </c>
      <c r="R160" s="96">
        <v>5.7148388614227041</v>
      </c>
      <c r="S160" s="96">
        <v>5.8278525207288814</v>
      </c>
      <c r="T160" s="96">
        <v>6.0966050593438688</v>
      </c>
      <c r="U160" s="96">
        <v>5.9523190421357128</v>
      </c>
      <c r="V160" s="96">
        <v>5.4997998269443977</v>
      </c>
      <c r="W160" s="96">
        <v>5.6686061819370055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9.2127919246750363</v>
      </c>
      <c r="D161" s="96">
        <v>9.0583510526097051</v>
      </c>
      <c r="E161" s="96">
        <v>9.2224537694144466</v>
      </c>
      <c r="F161" s="96">
        <v>8.9966638900427025</v>
      </c>
      <c r="G161" s="96">
        <v>8.9945828773295986</v>
      </c>
      <c r="H161" s="96">
        <v>8.9789752819813202</v>
      </c>
      <c r="I161" s="96">
        <v>8.9186259133013159</v>
      </c>
      <c r="J161" s="96">
        <v>8.6213383828579389</v>
      </c>
      <c r="K161" s="96">
        <v>8.2825378746373719</v>
      </c>
      <c r="L161" s="96">
        <v>7.9643940255785211</v>
      </c>
      <c r="M161" s="96">
        <v>7.7883877369193542</v>
      </c>
      <c r="N161" s="96">
        <v>7.5213885435053545</v>
      </c>
      <c r="O161" s="96">
        <v>7.2334215196347538</v>
      </c>
      <c r="P161" s="96">
        <v>7.1545794238129847</v>
      </c>
      <c r="Q161" s="96">
        <v>6.8746668684112135</v>
      </c>
      <c r="R161" s="96">
        <v>6.6966476927389698</v>
      </c>
      <c r="S161" s="96">
        <v>6.3663958425975888</v>
      </c>
      <c r="T161" s="96">
        <v>6.4698782523732516</v>
      </c>
      <c r="U161" s="96">
        <v>6.4437721071698357</v>
      </c>
      <c r="V161" s="96">
        <v>6.9695597784270271</v>
      </c>
      <c r="W161" s="96">
        <v>6.5917074016005319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6.3961897422379463</v>
      </c>
      <c r="P162" s="96">
        <v>6.087397113966226</v>
      </c>
      <c r="Q162" s="96">
        <v>7.0261852838651917</v>
      </c>
      <c r="R162" s="96">
        <v>6.2511706666544047</v>
      </c>
      <c r="S162" s="96">
        <v>6.3747905427553713</v>
      </c>
      <c r="T162" s="96">
        <v>6.6687652333314542</v>
      </c>
      <c r="U162" s="96">
        <v>6.510938120397693</v>
      </c>
      <c r="V162" s="96">
        <v>4.7866242014827831</v>
      </c>
      <c r="W162" s="96">
        <v>8.3652841766523931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1.4083462594508855</v>
      </c>
      <c r="I164" s="96">
        <v>1.3942627968563766</v>
      </c>
      <c r="J164" s="96">
        <v>0</v>
      </c>
      <c r="K164" s="96">
        <v>1.3690194250502927</v>
      </c>
      <c r="L164" s="96">
        <v>0</v>
      </c>
      <c r="M164" s="96">
        <v>0</v>
      </c>
      <c r="N164" s="96">
        <v>1.3327601031814273</v>
      </c>
      <c r="O164" s="96">
        <v>1.2402326008930817</v>
      </c>
      <c r="P164" s="96">
        <v>1.2508321057961216</v>
      </c>
      <c r="Q164" s="96">
        <v>1.3198853792075025</v>
      </c>
      <c r="R164" s="96">
        <v>1.3327601031814273</v>
      </c>
      <c r="S164" s="96">
        <v>1.321295500143308</v>
      </c>
      <c r="T164" s="96">
        <v>1.4067906801166035</v>
      </c>
      <c r="U164" s="96">
        <v>1.745382216743155</v>
      </c>
      <c r="V164" s="96">
        <v>1.9608770421324162</v>
      </c>
      <c r="W164" s="96">
        <v>1.9101542854361686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31.83884536076134</v>
      </c>
      <c r="D165" s="130">
        <v>32.518899429328485</v>
      </c>
      <c r="E165" s="130">
        <v>31.532837809252428</v>
      </c>
      <c r="F165" s="130">
        <v>32.217832374318817</v>
      </c>
      <c r="G165" s="130">
        <v>30.737690718554397</v>
      </c>
      <c r="H165" s="130">
        <v>30.738729124543344</v>
      </c>
      <c r="I165" s="130">
        <v>30.769689472674138</v>
      </c>
      <c r="J165" s="130">
        <v>29.830632271027543</v>
      </c>
      <c r="K165" s="130">
        <v>28.892852015117477</v>
      </c>
      <c r="L165" s="130">
        <v>29.032564007347041</v>
      </c>
      <c r="M165" s="130">
        <v>28.399456085400939</v>
      </c>
      <c r="N165" s="130">
        <v>29.223743339657418</v>
      </c>
      <c r="O165" s="130">
        <v>28.435028409121784</v>
      </c>
      <c r="P165" s="130">
        <v>27.62092263640162</v>
      </c>
      <c r="Q165" s="130">
        <v>25.703999999945449</v>
      </c>
      <c r="R165" s="130">
        <v>25.564129684765316</v>
      </c>
      <c r="S165" s="130">
        <v>24.791354705597417</v>
      </c>
      <c r="T165" s="130">
        <v>23.875815283703119</v>
      </c>
      <c r="U165" s="130">
        <v>23.184188520564572</v>
      </c>
      <c r="V165" s="130">
        <v>22.65902976486996</v>
      </c>
      <c r="W165" s="130">
        <v>23.119013143792603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31.230927834989359</v>
      </c>
      <c r="D166" s="97">
        <v>31.071313053443099</v>
      </c>
      <c r="E166" s="97">
        <v>30.872562940400371</v>
      </c>
      <c r="F166" s="97">
        <v>30.635182523641834</v>
      </c>
      <c r="G166" s="97">
        <v>30.359770733752722</v>
      </c>
      <c r="H166" s="97">
        <v>30.047016669208425</v>
      </c>
      <c r="I166" s="97">
        <v>29.697695351834049</v>
      </c>
      <c r="J166" s="97">
        <v>29.312663020558876</v>
      </c>
      <c r="K166" s="97">
        <v>28.892852015117477</v>
      </c>
      <c r="L166" s="97">
        <v>28.439265306049549</v>
      </c>
      <c r="M166" s="97">
        <v>27.952970728228642</v>
      </c>
      <c r="N166" s="97">
        <v>27.435094977366298</v>
      </c>
      <c r="O166" s="97">
        <v>26.886817429634437</v>
      </c>
      <c r="P166" s="97">
        <v>26.309363843133735</v>
      </c>
      <c r="Q166" s="97">
        <v>25.703999999945449</v>
      </c>
      <c r="R166" s="97">
        <v>24.743487092265589</v>
      </c>
      <c r="S166" s="97">
        <v>24.071128056889687</v>
      </c>
      <c r="T166" s="97">
        <v>23.365151069744993</v>
      </c>
      <c r="U166" s="97">
        <v>22.502290307679253</v>
      </c>
      <c r="V166" s="97">
        <v>22.376968208056816</v>
      </c>
      <c r="W166" s="97">
        <v>22.153198525976247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0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130.60899937122633</v>
      </c>
      <c r="C171" s="152">
        <v>127.25961117173615</v>
      </c>
      <c r="D171" s="152">
        <v>124.71780654296188</v>
      </c>
      <c r="E171" s="152">
        <v>122.30230606664568</v>
      </c>
      <c r="F171" s="152">
        <v>120.40964156293749</v>
      </c>
      <c r="G171" s="152">
        <v>119.05520569222364</v>
      </c>
      <c r="H171" s="152">
        <v>117.64060072670249</v>
      </c>
      <c r="I171" s="152">
        <v>116.22536235854895</v>
      </c>
      <c r="J171" s="152">
        <v>115.40827709787682</v>
      </c>
      <c r="K171" s="152">
        <v>113.46409125937656</v>
      </c>
      <c r="L171" s="152">
        <v>111.38438016848833</v>
      </c>
      <c r="M171" s="152">
        <v>109.56381014975368</v>
      </c>
      <c r="N171" s="152">
        <v>107.68370295974003</v>
      </c>
      <c r="O171" s="152">
        <v>105.30462013691769</v>
      </c>
      <c r="P171" s="152">
        <v>102.98980345266865</v>
      </c>
      <c r="Q171" s="152">
        <v>100.94285678821073</v>
      </c>
      <c r="R171" s="152">
        <v>98.786575317799063</v>
      </c>
      <c r="S171" s="152">
        <v>96.697031377455616</v>
      </c>
      <c r="T171" s="152">
        <v>93.540603147018317</v>
      </c>
      <c r="U171" s="152">
        <v>90.64303346522496</v>
      </c>
      <c r="V171" s="152">
        <v>88.389486009745326</v>
      </c>
      <c r="W171" s="152">
        <v>80.186650929536114</v>
      </c>
      <c r="DA171" s="174" t="s">
        <v>908</v>
      </c>
    </row>
    <row r="172" spans="1:105" ht="11.45" customHeight="1" x14ac:dyDescent="0.25">
      <c r="A172" s="109" t="s">
        <v>20</v>
      </c>
      <c r="B172" s="116">
        <v>246.07502838552068</v>
      </c>
      <c r="C172" s="116">
        <v>233.73316831387311</v>
      </c>
      <c r="D172" s="116">
        <v>229.70670634039922</v>
      </c>
      <c r="E172" s="116">
        <v>225.33674157428715</v>
      </c>
      <c r="F172" s="116">
        <v>221.76820476694957</v>
      </c>
      <c r="G172" s="116">
        <v>218.55611797718177</v>
      </c>
      <c r="H172" s="116">
        <v>215.98220408741287</v>
      </c>
      <c r="I172" s="116">
        <v>213.57696942737701</v>
      </c>
      <c r="J172" s="116">
        <v>210.38699956854416</v>
      </c>
      <c r="K172" s="116">
        <v>205.69255683494441</v>
      </c>
      <c r="L172" s="116">
        <v>200.83907234352185</v>
      </c>
      <c r="M172" s="116">
        <v>196.45562544150184</v>
      </c>
      <c r="N172" s="116">
        <v>191.66727462616683</v>
      </c>
      <c r="O172" s="116">
        <v>187.1721787552143</v>
      </c>
      <c r="P172" s="116">
        <v>181.15579304999619</v>
      </c>
      <c r="Q172" s="116">
        <v>176.80742836723579</v>
      </c>
      <c r="R172" s="116">
        <v>171.25721205099109</v>
      </c>
      <c r="S172" s="116">
        <v>166.52724138531275</v>
      </c>
      <c r="T172" s="116">
        <v>162.88537543510756</v>
      </c>
      <c r="U172" s="116">
        <v>160.6806764844136</v>
      </c>
      <c r="V172" s="116">
        <v>154.2785839780972</v>
      </c>
      <c r="W172" s="116">
        <v>145.07386643763493</v>
      </c>
      <c r="DA172" s="176" t="s">
        <v>909</v>
      </c>
    </row>
    <row r="173" spans="1:105" ht="11.45" customHeight="1" x14ac:dyDescent="0.25">
      <c r="A173" s="111" t="s">
        <v>110</v>
      </c>
      <c r="B173" s="87">
        <v>243.52352583202162</v>
      </c>
      <c r="C173" s="87">
        <v>233.16315251346023</v>
      </c>
      <c r="D173" s="87">
        <v>230.16212752479245</v>
      </c>
      <c r="E173" s="87">
        <v>227.10468784288571</v>
      </c>
      <c r="F173" s="87">
        <v>224.36936247715681</v>
      </c>
      <c r="G173" s="87">
        <v>222.15607940963528</v>
      </c>
      <c r="H173" s="87">
        <v>220.05136238419831</v>
      </c>
      <c r="I173" s="87">
        <v>218.15021087567104</v>
      </c>
      <c r="J173" s="87">
        <v>215.85676345613382</v>
      </c>
      <c r="K173" s="87">
        <v>211.81472758052155</v>
      </c>
      <c r="L173" s="87">
        <v>207.50147056992856</v>
      </c>
      <c r="M173" s="87">
        <v>203.23051991801987</v>
      </c>
      <c r="N173" s="87">
        <v>199.36974850620189</v>
      </c>
      <c r="O173" s="87">
        <v>194.43345528502763</v>
      </c>
      <c r="P173" s="87">
        <v>187.83792360093443</v>
      </c>
      <c r="Q173" s="87">
        <v>182.57981756885641</v>
      </c>
      <c r="R173" s="87">
        <v>176.41941328793564</v>
      </c>
      <c r="S173" s="87">
        <v>170.65374598623666</v>
      </c>
      <c r="T173" s="87">
        <v>167.05619167273898</v>
      </c>
      <c r="U173" s="87">
        <v>165.30406940060843</v>
      </c>
      <c r="V173" s="87">
        <v>164.44254045845537</v>
      </c>
      <c r="W173" s="87">
        <v>162.30430690456535</v>
      </c>
      <c r="DA173" s="171" t="s">
        <v>910</v>
      </c>
    </row>
    <row r="174" spans="1:105" ht="11.45" customHeight="1" x14ac:dyDescent="0.25">
      <c r="A174" s="111" t="s">
        <v>111</v>
      </c>
      <c r="B174" s="87">
        <v>241.50329458695393</v>
      </c>
      <c r="C174" s="87">
        <v>220.92039916008062</v>
      </c>
      <c r="D174" s="87">
        <v>214.40723819777028</v>
      </c>
      <c r="E174" s="87">
        <v>210.227251703901</v>
      </c>
      <c r="F174" s="87">
        <v>207.10540830089579</v>
      </c>
      <c r="G174" s="87">
        <v>205.90768017601897</v>
      </c>
      <c r="H174" s="87">
        <v>204.99660408409022</v>
      </c>
      <c r="I174" s="87">
        <v>204.1330138554207</v>
      </c>
      <c r="J174" s="87">
        <v>201.81223844590701</v>
      </c>
      <c r="K174" s="87">
        <v>198.79611054117208</v>
      </c>
      <c r="L174" s="87">
        <v>194.96879782438023</v>
      </c>
      <c r="M174" s="87">
        <v>190.89671711332744</v>
      </c>
      <c r="N174" s="87">
        <v>186.2102569143523</v>
      </c>
      <c r="O174" s="87">
        <v>181.77199178177591</v>
      </c>
      <c r="P174" s="87">
        <v>177.42473636689081</v>
      </c>
      <c r="Q174" s="87">
        <v>173.36702129643305</v>
      </c>
      <c r="R174" s="87">
        <v>169.37128326110911</v>
      </c>
      <c r="S174" s="87">
        <v>167.48661562830674</v>
      </c>
      <c r="T174" s="87">
        <v>165.52053603168463</v>
      </c>
      <c r="U174" s="87">
        <v>165.02407529268331</v>
      </c>
      <c r="V174" s="87">
        <v>163.37043253000979</v>
      </c>
      <c r="W174" s="87">
        <v>162.41987488112511</v>
      </c>
      <c r="DA174" s="171" t="s">
        <v>911</v>
      </c>
    </row>
    <row r="175" spans="1:105" ht="11.45" customHeight="1" x14ac:dyDescent="0.25">
      <c r="A175" s="111" t="s">
        <v>112</v>
      </c>
      <c r="B175" s="87">
        <v>181.43909299637491</v>
      </c>
      <c r="C175" s="87">
        <v>169.92683002390413</v>
      </c>
      <c r="D175" s="87">
        <v>165.28739823368852</v>
      </c>
      <c r="E175" s="87">
        <v>162.95715795421401</v>
      </c>
      <c r="F175" s="87">
        <v>160.80582188981919</v>
      </c>
      <c r="G175" s="87">
        <v>159.22060011836442</v>
      </c>
      <c r="H175" s="87">
        <v>152.57728540034731</v>
      </c>
      <c r="I175" s="87">
        <v>153.25778375283701</v>
      </c>
      <c r="J175" s="87">
        <v>153.60818427529409</v>
      </c>
      <c r="K175" s="87">
        <v>154.20895277456796</v>
      </c>
      <c r="L175" s="87">
        <v>154.36297045344583</v>
      </c>
      <c r="M175" s="87">
        <v>155.40409558625021</v>
      </c>
      <c r="N175" s="87">
        <v>156.34203585335973</v>
      </c>
      <c r="O175" s="87">
        <v>155.87215875886599</v>
      </c>
      <c r="P175" s="87">
        <v>155.05508025595941</v>
      </c>
      <c r="Q175" s="87">
        <v>153.15452564834985</v>
      </c>
      <c r="R175" s="87">
        <v>150.47361542740313</v>
      </c>
      <c r="S175" s="87">
        <v>150.06811053844967</v>
      </c>
      <c r="T175" s="87">
        <v>137.4104144715441</v>
      </c>
      <c r="U175" s="87">
        <v>136.76438562339453</v>
      </c>
      <c r="V175" s="87">
        <v>132.84804630754621</v>
      </c>
      <c r="W175" s="87">
        <v>128.67972551073015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105.193436988876</v>
      </c>
      <c r="O177" s="87">
        <v>107.43234254647878</v>
      </c>
      <c r="P177" s="87">
        <v>98.157521327731558</v>
      </c>
      <c r="Q177" s="87">
        <v>97.180140883718821</v>
      </c>
      <c r="R177" s="87">
        <v>85.879146382424821</v>
      </c>
      <c r="S177" s="87">
        <v>59.896477021728458</v>
      </c>
      <c r="T177" s="87">
        <v>59.349449022798268</v>
      </c>
      <c r="U177" s="87">
        <v>59.796834245312802</v>
      </c>
      <c r="V177" s="87">
        <v>51.350359993964048</v>
      </c>
      <c r="W177" s="87">
        <v>45.071674502668841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1771.2248155817847</v>
      </c>
      <c r="C179" s="116">
        <v>1687.8198283571985</v>
      </c>
      <c r="D179" s="116">
        <v>1667.4230518415413</v>
      </c>
      <c r="E179" s="116">
        <v>1607.0584525609884</v>
      </c>
      <c r="F179" s="116">
        <v>1609.4409179239588</v>
      </c>
      <c r="G179" s="116">
        <v>1582.3372745167248</v>
      </c>
      <c r="H179" s="116">
        <v>1553.9919037549114</v>
      </c>
      <c r="I179" s="116">
        <v>1531.0426395398449</v>
      </c>
      <c r="J179" s="116">
        <v>1497.7648171119986</v>
      </c>
      <c r="K179" s="116">
        <v>1468.7386827303876</v>
      </c>
      <c r="L179" s="116">
        <v>1439.9103868453362</v>
      </c>
      <c r="M179" s="116">
        <v>1421.9531193644791</v>
      </c>
      <c r="N179" s="116">
        <v>1415.4429712871136</v>
      </c>
      <c r="O179" s="116">
        <v>1396.4425689277573</v>
      </c>
      <c r="P179" s="116">
        <v>1399.2542094291744</v>
      </c>
      <c r="Q179" s="116">
        <v>1387.4779121863139</v>
      </c>
      <c r="R179" s="116">
        <v>1377.8859089345117</v>
      </c>
      <c r="S179" s="116">
        <v>1338.5447957633787</v>
      </c>
      <c r="T179" s="116">
        <v>1279.9184172829864</v>
      </c>
      <c r="U179" s="116">
        <v>1100.3185846057224</v>
      </c>
      <c r="V179" s="116">
        <v>1132.2510349691181</v>
      </c>
      <c r="W179" s="116">
        <v>1162.0508458528109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291.83554656595601</v>
      </c>
      <c r="U180" s="101">
        <v>291.83554656595601</v>
      </c>
      <c r="V180" s="101">
        <v>291.83554656595601</v>
      </c>
      <c r="W180" s="101">
        <v>291.83554656595601</v>
      </c>
      <c r="DA180" s="175" t="s">
        <v>917</v>
      </c>
    </row>
    <row r="181" spans="1:105" ht="11.45" customHeight="1" x14ac:dyDescent="0.25">
      <c r="A181" s="111" t="s">
        <v>111</v>
      </c>
      <c r="B181" s="101">
        <v>1771.2248155817847</v>
      </c>
      <c r="C181" s="101">
        <v>1671.7591038418213</v>
      </c>
      <c r="D181" s="101">
        <v>1648.4862423275267</v>
      </c>
      <c r="E181" s="101">
        <v>1615.3819929928216</v>
      </c>
      <c r="F181" s="101">
        <v>1587.6240815227461</v>
      </c>
      <c r="G181" s="101">
        <v>1560.4214531410219</v>
      </c>
      <c r="H181" s="101">
        <v>1533.4874797645309</v>
      </c>
      <c r="I181" s="101">
        <v>1512.3486504582099</v>
      </c>
      <c r="J181" s="101">
        <v>1483.8016666208025</v>
      </c>
      <c r="K181" s="101">
        <v>1459.0447113536518</v>
      </c>
      <c r="L181" s="101">
        <v>1435.391684608109</v>
      </c>
      <c r="M181" s="101">
        <v>1420.1865444366322</v>
      </c>
      <c r="N181" s="101">
        <v>1412.9237026863623</v>
      </c>
      <c r="O181" s="101">
        <v>1404.446387902876</v>
      </c>
      <c r="P181" s="101">
        <v>1396.0137783302564</v>
      </c>
      <c r="Q181" s="101">
        <v>1383.9172098445647</v>
      </c>
      <c r="R181" s="101">
        <v>1374.3726591288585</v>
      </c>
      <c r="S181" s="101">
        <v>1364.2878495534849</v>
      </c>
      <c r="T181" s="101">
        <v>1359.1859401561758</v>
      </c>
      <c r="U181" s="101">
        <v>1353.6887773354388</v>
      </c>
      <c r="V181" s="101">
        <v>1347.2070385553934</v>
      </c>
      <c r="W181" s="101">
        <v>1344.9548148795825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336.99375486654765</v>
      </c>
      <c r="C186" s="152">
        <v>328.73710409058413</v>
      </c>
      <c r="D186" s="152">
        <v>319.1212618208462</v>
      </c>
      <c r="E186" s="152">
        <v>314.50491387363149</v>
      </c>
      <c r="F186" s="152">
        <v>304.8229812754671</v>
      </c>
      <c r="G186" s="152">
        <v>298.51013513750507</v>
      </c>
      <c r="H186" s="152">
        <v>291.29047240116194</v>
      </c>
      <c r="I186" s="152">
        <v>285.30309842922378</v>
      </c>
      <c r="J186" s="152">
        <v>272.90765273963757</v>
      </c>
      <c r="K186" s="152">
        <v>267.33887603519662</v>
      </c>
      <c r="L186" s="152">
        <v>245.59891697038657</v>
      </c>
      <c r="M186" s="152">
        <v>239.50032981165722</v>
      </c>
      <c r="N186" s="152">
        <v>264.43774259644539</v>
      </c>
      <c r="O186" s="152">
        <v>252.98951257500852</v>
      </c>
      <c r="P186" s="152">
        <v>257.99661114933781</v>
      </c>
      <c r="Q186" s="152">
        <v>251.18537650849507</v>
      </c>
      <c r="R186" s="152">
        <v>244.91891940131694</v>
      </c>
      <c r="S186" s="152">
        <v>234.28686601892488</v>
      </c>
      <c r="T186" s="152">
        <v>226.18898777856677</v>
      </c>
      <c r="U186" s="152">
        <v>222.42517849526197</v>
      </c>
      <c r="V186" s="152">
        <v>218.02485330952163</v>
      </c>
      <c r="W186" s="152">
        <v>212.21785388814595</v>
      </c>
      <c r="DA186" s="174" t="s">
        <v>922</v>
      </c>
    </row>
    <row r="187" spans="1:105" ht="11.45" customHeight="1" x14ac:dyDescent="0.25">
      <c r="A187" s="111" t="s">
        <v>110</v>
      </c>
      <c r="B187" s="87">
        <v>286.44057244610019</v>
      </c>
      <c r="C187" s="87">
        <v>285.49040696457166</v>
      </c>
      <c r="D187" s="87">
        <v>282.87835473493573</v>
      </c>
      <c r="E187" s="87">
        <v>278.20464514427977</v>
      </c>
      <c r="F187" s="87">
        <v>273.37814297633957</v>
      </c>
      <c r="G187" s="87">
        <v>267.51846180151125</v>
      </c>
      <c r="H187" s="87">
        <v>261.48657646913153</v>
      </c>
      <c r="I187" s="87">
        <v>254.35659333308703</v>
      </c>
      <c r="J187" s="87">
        <v>246.06054451429378</v>
      </c>
      <c r="K187" s="87">
        <v>236.96762102481796</v>
      </c>
      <c r="L187" s="87">
        <v>231.55311619507088</v>
      </c>
      <c r="M187" s="87">
        <v>227.07663870182992</v>
      </c>
      <c r="N187" s="87">
        <v>222.46959151257943</v>
      </c>
      <c r="O187" s="87">
        <v>221.0263880835131</v>
      </c>
      <c r="P187" s="87">
        <v>218.65671972204166</v>
      </c>
      <c r="Q187" s="87">
        <v>216.19942497844551</v>
      </c>
      <c r="R187" s="87">
        <v>211.6850301011157</v>
      </c>
      <c r="S187" s="87">
        <v>205.13390125422475</v>
      </c>
      <c r="T187" s="87">
        <v>199.82745591244387</v>
      </c>
      <c r="U187" s="87">
        <v>196.29036719264471</v>
      </c>
      <c r="V187" s="87">
        <v>192.75803111861103</v>
      </c>
      <c r="W187" s="87">
        <v>187.01957365193024</v>
      </c>
      <c r="DA187" s="171" t="s">
        <v>923</v>
      </c>
    </row>
    <row r="188" spans="1:105" ht="11.45" customHeight="1" x14ac:dyDescent="0.25">
      <c r="A188" s="111" t="s">
        <v>111</v>
      </c>
      <c r="B188" s="87">
        <v>341.56651804329562</v>
      </c>
      <c r="C188" s="87">
        <v>327.72963525806489</v>
      </c>
      <c r="D188" s="87">
        <v>317.46580155781601</v>
      </c>
      <c r="E188" s="87">
        <v>310.41426649657609</v>
      </c>
      <c r="F188" s="87">
        <v>303.35457031825223</v>
      </c>
      <c r="G188" s="87">
        <v>297.66661932892714</v>
      </c>
      <c r="H188" s="87">
        <v>292.14430736811607</v>
      </c>
      <c r="I188" s="87">
        <v>286.59684426581163</v>
      </c>
      <c r="J188" s="87">
        <v>280.81555875488118</v>
      </c>
      <c r="K188" s="87">
        <v>279.76347386513186</v>
      </c>
      <c r="L188" s="87">
        <v>279.54088355334267</v>
      </c>
      <c r="M188" s="87">
        <v>278.42924624355663</v>
      </c>
      <c r="N188" s="87">
        <v>272.00412452684463</v>
      </c>
      <c r="O188" s="87">
        <v>265.80193758329568</v>
      </c>
      <c r="P188" s="87">
        <v>259.54417814989409</v>
      </c>
      <c r="Q188" s="87">
        <v>252.15236294695185</v>
      </c>
      <c r="R188" s="87">
        <v>244.52085876355221</v>
      </c>
      <c r="S188" s="87">
        <v>235.56309285725902</v>
      </c>
      <c r="T188" s="87">
        <v>228.43390100227643</v>
      </c>
      <c r="U188" s="87">
        <v>223.37479889528913</v>
      </c>
      <c r="V188" s="87">
        <v>219.65366095740774</v>
      </c>
      <c r="W188" s="87">
        <v>215.01761927902194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241.22927307622635</v>
      </c>
      <c r="P189" s="87">
        <v>239.17888326171072</v>
      </c>
      <c r="Q189" s="87">
        <v>238.5550962385156</v>
      </c>
      <c r="R189" s="87">
        <v>236.92156704250746</v>
      </c>
      <c r="S189" s="87">
        <v>230.69044593399775</v>
      </c>
      <c r="T189" s="87">
        <v>220.47358791328364</v>
      </c>
      <c r="U189" s="87">
        <v>179.20124298002261</v>
      </c>
      <c r="V189" s="87">
        <v>175.47457809906922</v>
      </c>
      <c r="W189" s="87">
        <v>171.48138397371827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1034.5604514459353</v>
      </c>
      <c r="C192" s="116">
        <v>1032.0771090182525</v>
      </c>
      <c r="D192" s="116">
        <v>1030.7706501840219</v>
      </c>
      <c r="E192" s="116">
        <v>1025.1197337055387</v>
      </c>
      <c r="F192" s="116">
        <v>1021.348094871227</v>
      </c>
      <c r="G192" s="116">
        <v>1007.9494845221917</v>
      </c>
      <c r="H192" s="116">
        <v>1002.7206545802792</v>
      </c>
      <c r="I192" s="116">
        <v>995.46346642988271</v>
      </c>
      <c r="J192" s="116">
        <v>980.48346056433161</v>
      </c>
      <c r="K192" s="116">
        <v>967.60119899081781</v>
      </c>
      <c r="L192" s="116">
        <v>958.65092658975186</v>
      </c>
      <c r="M192" s="116">
        <v>949.16843182141145</v>
      </c>
      <c r="N192" s="116">
        <v>941.56962070318718</v>
      </c>
      <c r="O192" s="116">
        <v>924.02753653812624</v>
      </c>
      <c r="P192" s="116">
        <v>910.04744076908526</v>
      </c>
      <c r="Q192" s="116">
        <v>898.42952979595952</v>
      </c>
      <c r="R192" s="116">
        <v>882.91298740895263</v>
      </c>
      <c r="S192" s="116">
        <v>866.21763853535776</v>
      </c>
      <c r="T192" s="116">
        <v>847.86587631046609</v>
      </c>
      <c r="U192" s="116">
        <v>825.99479852403931</v>
      </c>
      <c r="V192" s="116">
        <v>811.69631910639839</v>
      </c>
      <c r="W192" s="116">
        <v>784.65019390293469</v>
      </c>
      <c r="DA192" s="176" t="s">
        <v>928</v>
      </c>
    </row>
    <row r="193" spans="1:105" ht="11.45" customHeight="1" x14ac:dyDescent="0.25">
      <c r="A193" s="128" t="s">
        <v>27</v>
      </c>
      <c r="B193" s="101">
        <v>952.92923099942345</v>
      </c>
      <c r="C193" s="101">
        <v>949.37866357711926</v>
      </c>
      <c r="D193" s="101">
        <v>948.05815560073336</v>
      </c>
      <c r="E193" s="101">
        <v>944.13602211465206</v>
      </c>
      <c r="F193" s="101">
        <v>941.4549541170212</v>
      </c>
      <c r="G193" s="101">
        <v>930.97263654779863</v>
      </c>
      <c r="H193" s="101">
        <v>928.03548216996558</v>
      </c>
      <c r="I193" s="101">
        <v>922.46525694604986</v>
      </c>
      <c r="J193" s="101">
        <v>909.84270853769954</v>
      </c>
      <c r="K193" s="101">
        <v>898.28938655060563</v>
      </c>
      <c r="L193" s="101">
        <v>889.88731136320575</v>
      </c>
      <c r="M193" s="101">
        <v>881.00684963147785</v>
      </c>
      <c r="N193" s="101">
        <v>874.48506257671443</v>
      </c>
      <c r="O193" s="101">
        <v>853.85767581077414</v>
      </c>
      <c r="P193" s="101">
        <v>838.75002106356544</v>
      </c>
      <c r="Q193" s="101">
        <v>828.98337676690221</v>
      </c>
      <c r="R193" s="101">
        <v>815.91518150198294</v>
      </c>
      <c r="S193" s="101">
        <v>801.85554165331439</v>
      </c>
      <c r="T193" s="101">
        <v>783.14625074031721</v>
      </c>
      <c r="U193" s="101">
        <v>762.61927438628493</v>
      </c>
      <c r="V193" s="101">
        <v>750.16099862728026</v>
      </c>
      <c r="W193" s="101">
        <v>722.07077798487524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1050.2270312639821</v>
      </c>
      <c r="D194" s="88">
        <v>1035.9273098443</v>
      </c>
      <c r="E194" s="88">
        <v>1023.1488171522461</v>
      </c>
      <c r="F194" s="88">
        <v>1001.493805113274</v>
      </c>
      <c r="G194" s="88">
        <v>988.66270948663146</v>
      </c>
      <c r="H194" s="88">
        <v>978.52951064439503</v>
      </c>
      <c r="I194" s="88">
        <v>962.58510920306139</v>
      </c>
      <c r="J194" s="88">
        <v>945.24753694163451</v>
      </c>
      <c r="K194" s="88">
        <v>939.9821920776285</v>
      </c>
      <c r="L194" s="88">
        <v>930.82054307943031</v>
      </c>
      <c r="M194" s="88">
        <v>922.95216340705633</v>
      </c>
      <c r="N194" s="88">
        <v>906.8139020229886</v>
      </c>
      <c r="O194" s="88">
        <v>897.21544172805693</v>
      </c>
      <c r="P194" s="88">
        <v>882.32269041352629</v>
      </c>
      <c r="Q194" s="88">
        <v>877.29526369883627</v>
      </c>
      <c r="R194" s="88">
        <v>856.79363761329387</v>
      </c>
      <c r="S194" s="88">
        <v>838.20411650705489</v>
      </c>
      <c r="T194" s="88">
        <v>826.16878025911876</v>
      </c>
      <c r="U194" s="88">
        <v>806.95707994922941</v>
      </c>
      <c r="V194" s="88">
        <v>796.65323319685535</v>
      </c>
      <c r="W194" s="88">
        <v>775.91438043474147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1.1275000000068982</v>
      </c>
      <c r="C198" s="150">
        <f>IF(TrRoad_act!C59=0,0,TrRoad_emi!C56/TrRoad_tech!C171)</f>
        <v>1.1280146976036187</v>
      </c>
      <c r="D198" s="150">
        <f>IF(TrRoad_act!D59=0,0,TrRoad_emi!D56/TrRoad_tech!D171)</f>
        <v>1.1217080940762283</v>
      </c>
      <c r="E198" s="150">
        <f>IF(TrRoad_act!E59=0,0,TrRoad_emi!E56/TrRoad_tech!E171)</f>
        <v>1.1312845591563387</v>
      </c>
      <c r="F198" s="150">
        <f>IF(TrRoad_act!F59=0,0,TrRoad_emi!F56/TrRoad_tech!F171)</f>
        <v>1.1338671355429382</v>
      </c>
      <c r="G198" s="150">
        <f>IF(TrRoad_act!G59=0,0,TrRoad_emi!G56/TrRoad_tech!G171)</f>
        <v>1.116358667348011</v>
      </c>
      <c r="H198" s="150">
        <f>IF(TrRoad_act!H59=0,0,TrRoad_emi!H56/TrRoad_tech!H171)</f>
        <v>1.115051391578314</v>
      </c>
      <c r="I198" s="150">
        <f>IF(TrRoad_act!I59=0,0,TrRoad_emi!I56/TrRoad_tech!I171)</f>
        <v>1.0869139135608572</v>
      </c>
      <c r="J198" s="150">
        <f>IF(TrRoad_act!J59=0,0,TrRoad_emi!J56/TrRoad_tech!J171)</f>
        <v>1.0923506559592815</v>
      </c>
      <c r="K198" s="150">
        <f>IF(TrRoad_act!K59=0,0,TrRoad_emi!K56/TrRoad_tech!K171)</f>
        <v>1.0996616653543239</v>
      </c>
      <c r="L198" s="150">
        <f>IF(TrRoad_act!L59=0,0,TrRoad_emi!L56/TrRoad_tech!L171)</f>
        <v>1.104888016225654</v>
      </c>
      <c r="M198" s="150">
        <f>IF(TrRoad_act!M59=0,0,TrRoad_emi!M56/TrRoad_tech!M171)</f>
        <v>1.0942510521245143</v>
      </c>
      <c r="N198" s="150">
        <f>IF(TrRoad_act!N59=0,0,TrRoad_emi!N56/TrRoad_tech!N171)</f>
        <v>1.1153428228668565</v>
      </c>
      <c r="O198" s="150">
        <f>IF(TrRoad_act!O59=0,0,TrRoad_emi!O56/TrRoad_tech!O171)</f>
        <v>1.1251823358792947</v>
      </c>
      <c r="P198" s="150">
        <f>IF(TrRoad_act!P59=0,0,TrRoad_emi!P56/TrRoad_tech!P171)</f>
        <v>1.1254116073304556</v>
      </c>
      <c r="Q198" s="150">
        <f>IF(TrRoad_act!Q59=0,0,TrRoad_emi!Q56/TrRoad_tech!Q171)</f>
        <v>1.1183042173159081</v>
      </c>
      <c r="R198" s="150">
        <f>IF(TrRoad_act!R59=0,0,TrRoad_emi!R56/TrRoad_tech!R171)</f>
        <v>1.1207607806214013</v>
      </c>
      <c r="S198" s="150">
        <f>IF(TrRoad_act!S59=0,0,TrRoad_emi!S56/TrRoad_tech!S171)</f>
        <v>1.1737191300884602</v>
      </c>
      <c r="T198" s="150">
        <f>IF(TrRoad_act!T59=0,0,TrRoad_emi!T56/TrRoad_tech!T171)</f>
        <v>1.2067820147015149</v>
      </c>
      <c r="U198" s="150">
        <f>IF(TrRoad_act!U59=0,0,TrRoad_emi!U56/TrRoad_tech!U171)</f>
        <v>1.2044089999765009</v>
      </c>
      <c r="V198" s="150">
        <f>IF(TrRoad_act!V59=0,0,TrRoad_emi!V56/TrRoad_tech!V171)</f>
        <v>1.2191655963940573</v>
      </c>
      <c r="W198" s="150">
        <f>IF(TrRoad_act!W59=0,0,TrRoad_emi!W56/TrRoad_tech!W171)</f>
        <v>1.2162854429360055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2.5974686109704419</v>
      </c>
      <c r="C199" s="151">
        <f>IF(TrRoad_act!C60=0,0,TrRoad_emi!C57/TrRoad_tech!C172)</f>
        <v>2.6837037491257338</v>
      </c>
      <c r="D199" s="151">
        <f>IF(TrRoad_act!D60=0,0,TrRoad_emi!D57/TrRoad_tech!D172)</f>
        <v>2.7231530062418923</v>
      </c>
      <c r="E199" s="151">
        <f>IF(TrRoad_act!E60=0,0,TrRoad_emi!E57/TrRoad_tech!E172)</f>
        <v>2.8737893820075278</v>
      </c>
      <c r="F199" s="151">
        <f>IF(TrRoad_act!F60=0,0,TrRoad_emi!F57/TrRoad_tech!F172)</f>
        <v>2.9071550077102004</v>
      </c>
      <c r="G199" s="151">
        <f>IF(TrRoad_act!G60=0,0,TrRoad_emi!G57/TrRoad_tech!G172)</f>
        <v>2.7350636413372897</v>
      </c>
      <c r="H199" s="151">
        <f>IF(TrRoad_act!H60=0,0,TrRoad_emi!H57/TrRoad_tech!H172)</f>
        <v>2.5823209220769034</v>
      </c>
      <c r="I199" s="151">
        <f>IF(TrRoad_act!I60=0,0,TrRoad_emi!I57/TrRoad_tech!I172)</f>
        <v>2.5770515576023461</v>
      </c>
      <c r="J199" s="151">
        <f>IF(TrRoad_act!J60=0,0,TrRoad_emi!J57/TrRoad_tech!J172)</f>
        <v>2.6038597021476604</v>
      </c>
      <c r="K199" s="151">
        <f>IF(TrRoad_act!K60=0,0,TrRoad_emi!K57/TrRoad_tech!K172)</f>
        <v>2.6118894713922711</v>
      </c>
      <c r="L199" s="151">
        <f>IF(TrRoad_act!L60=0,0,TrRoad_emi!L57/TrRoad_tech!L172)</f>
        <v>2.700448949646904</v>
      </c>
      <c r="M199" s="151">
        <f>IF(TrRoad_act!M60=0,0,TrRoad_emi!M57/TrRoad_tech!M172)</f>
        <v>2.8987158853791066</v>
      </c>
      <c r="N199" s="151">
        <f>IF(TrRoad_act!N60=0,0,TrRoad_emi!N57/TrRoad_tech!N172)</f>
        <v>2.8949456233661093</v>
      </c>
      <c r="O199" s="151">
        <f>IF(TrRoad_act!O60=0,0,TrRoad_emi!O57/TrRoad_tech!O172)</f>
        <v>2.730299232881384</v>
      </c>
      <c r="P199" s="151">
        <f>IF(TrRoad_act!P60=0,0,TrRoad_emi!P57/TrRoad_tech!P172)</f>
        <v>2.6554007264335118</v>
      </c>
      <c r="Q199" s="151">
        <f>IF(TrRoad_act!Q60=0,0,TrRoad_emi!Q57/TrRoad_tech!Q172)</f>
        <v>2.5656408814586422</v>
      </c>
      <c r="R199" s="151">
        <f>IF(TrRoad_act!R60=0,0,TrRoad_emi!R57/TrRoad_tech!R172)</f>
        <v>2.4609153837463786</v>
      </c>
      <c r="S199" s="151">
        <f>IF(TrRoad_act!S60=0,0,TrRoad_emi!S57/TrRoad_tech!S172)</f>
        <v>2.4440233757319847</v>
      </c>
      <c r="T199" s="151">
        <f>IF(TrRoad_act!T60=0,0,TrRoad_emi!T57/TrRoad_tech!T172)</f>
        <v>2.5084558334301725</v>
      </c>
      <c r="U199" s="151">
        <f>IF(TrRoad_act!U60=0,0,TrRoad_emi!U57/TrRoad_tech!U172)</f>
        <v>2.4021625228043502</v>
      </c>
      <c r="V199" s="151">
        <f>IF(TrRoad_act!V60=0,0,TrRoad_emi!V57/TrRoad_tech!V172)</f>
        <v>1.9672534752500777</v>
      </c>
      <c r="W199" s="151">
        <f>IF(TrRoad_act!W60=0,0,TrRoad_emi!W57/TrRoad_tech!W172)</f>
        <v>2.259970017375093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2.5424560025113503</v>
      </c>
      <c r="C200" s="91">
        <f>IF(TrRoad_act!C61=0,0,TrRoad_emi!C58/TrRoad_tech!C173)</f>
        <v>2.6491800866572257</v>
      </c>
      <c r="D200" s="91">
        <f>IF(TrRoad_act!D61=0,0,TrRoad_emi!D58/TrRoad_tech!D173)</f>
        <v>2.7094437308795265</v>
      </c>
      <c r="E200" s="91">
        <f>IF(TrRoad_act!E61=0,0,TrRoad_emi!E58/TrRoad_tech!E173)</f>
        <v>2.8780365404909474</v>
      </c>
      <c r="F200" s="91">
        <f>IF(TrRoad_act!F61=0,0,TrRoad_emi!F58/TrRoad_tech!F173)</f>
        <v>2.9718529189334175</v>
      </c>
      <c r="G200" s="91">
        <f>IF(TrRoad_act!G61=0,0,TrRoad_emi!G58/TrRoad_tech!G173)</f>
        <v>2.8355983018510709</v>
      </c>
      <c r="H200" s="91">
        <f>IF(TrRoad_act!H61=0,0,TrRoad_emi!H58/TrRoad_tech!H173)</f>
        <v>2.7096110472405344</v>
      </c>
      <c r="I200" s="91">
        <f>IF(TrRoad_act!I61=0,0,TrRoad_emi!I58/TrRoad_tech!I173)</f>
        <v>2.7341187995062457</v>
      </c>
      <c r="J200" s="91">
        <f>IF(TrRoad_act!J61=0,0,TrRoad_emi!J58/TrRoad_tech!J173)</f>
        <v>2.6776939179445454</v>
      </c>
      <c r="K200" s="91">
        <f>IF(TrRoad_act!K61=0,0,TrRoad_emi!K58/TrRoad_tech!K173)</f>
        <v>2.643643903345021</v>
      </c>
      <c r="L200" s="91">
        <f>IF(TrRoad_act!L61=0,0,TrRoad_emi!L58/TrRoad_tech!L173)</f>
        <v>2.6863038145511351</v>
      </c>
      <c r="M200" s="91">
        <f>IF(TrRoad_act!M61=0,0,TrRoad_emi!M58/TrRoad_tech!M173)</f>
        <v>2.7747222163759533</v>
      </c>
      <c r="N200" s="91">
        <f>IF(TrRoad_act!N61=0,0,TrRoad_emi!N58/TrRoad_tech!N173)</f>
        <v>2.7447765385852692</v>
      </c>
      <c r="O200" s="91">
        <f>IF(TrRoad_act!O61=0,0,TrRoad_emi!O58/TrRoad_tech!O173)</f>
        <v>2.5974147675741421</v>
      </c>
      <c r="P200" s="91">
        <f>IF(TrRoad_act!P61=0,0,TrRoad_emi!P58/TrRoad_tech!P173)</f>
        <v>2.5453601115497237</v>
      </c>
      <c r="Q200" s="91">
        <f>IF(TrRoad_act!Q61=0,0,TrRoad_emi!Q58/TrRoad_tech!Q173)</f>
        <v>2.4169462683149576</v>
      </c>
      <c r="R200" s="91">
        <f>IF(TrRoad_act!R61=0,0,TrRoad_emi!R58/TrRoad_tech!R173)</f>
        <v>2.2656291613016939</v>
      </c>
      <c r="S200" s="91">
        <f>IF(TrRoad_act!S61=0,0,TrRoad_emi!S58/TrRoad_tech!S173)</f>
        <v>2.2834645108697691</v>
      </c>
      <c r="T200" s="91">
        <f>IF(TrRoad_act!T61=0,0,TrRoad_emi!T58/TrRoad_tech!T173)</f>
        <v>2.2936683753775311</v>
      </c>
      <c r="U200" s="91">
        <f>IF(TrRoad_act!U61=0,0,TrRoad_emi!U58/TrRoad_tech!U173)</f>
        <v>2.1959004074433879</v>
      </c>
      <c r="V200" s="91">
        <f>IF(TrRoad_act!V61=0,0,TrRoad_emi!V58/TrRoad_tech!V173)</f>
        <v>1.7035207725540351</v>
      </c>
      <c r="W200" s="91">
        <f>IF(TrRoad_act!W61=0,0,TrRoad_emi!W58/TrRoad_tech!W173)</f>
        <v>1.9743755668143554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2.866674845675746</v>
      </c>
      <c r="C201" s="91">
        <f>IF(TrRoad_act!C62=0,0,TrRoad_emi!C59/TrRoad_tech!C174)</f>
        <v>2.9614464184428408</v>
      </c>
      <c r="D201" s="91">
        <f>IF(TrRoad_act!D62=0,0,TrRoad_emi!D59/TrRoad_tech!D174)</f>
        <v>2.9668983935272566</v>
      </c>
      <c r="E201" s="91">
        <f>IF(TrRoad_act!E62=0,0,TrRoad_emi!E59/TrRoad_tech!E174)</f>
        <v>3.0809370223167276</v>
      </c>
      <c r="F201" s="91">
        <f>IF(TrRoad_act!F62=0,0,TrRoad_emi!F59/TrRoad_tech!F174)</f>
        <v>3.0261480115010331</v>
      </c>
      <c r="G201" s="91">
        <f>IF(TrRoad_act!G62=0,0,TrRoad_emi!G59/TrRoad_tech!G174)</f>
        <v>2.7841407382168795</v>
      </c>
      <c r="H201" s="91">
        <f>IF(TrRoad_act!H62=0,0,TrRoad_emi!H59/TrRoad_tech!H174)</f>
        <v>2.5815348050705715</v>
      </c>
      <c r="I201" s="91">
        <f>IF(TrRoad_act!I62=0,0,TrRoad_emi!I59/TrRoad_tech!I174)</f>
        <v>2.5385652378268366</v>
      </c>
      <c r="J201" s="91">
        <f>IF(TrRoad_act!J62=0,0,TrRoad_emi!J59/TrRoad_tech!J174)</f>
        <v>2.6186996901162347</v>
      </c>
      <c r="K201" s="91">
        <f>IF(TrRoad_act!K62=0,0,TrRoad_emi!K59/TrRoad_tech!K174)</f>
        <v>2.6401677714962557</v>
      </c>
      <c r="L201" s="91">
        <f>IF(TrRoad_act!L62=0,0,TrRoad_emi!L59/TrRoad_tech!L174)</f>
        <v>2.747407715705017</v>
      </c>
      <c r="M201" s="91">
        <f>IF(TrRoad_act!M62=0,0,TrRoad_emi!M59/TrRoad_tech!M174)</f>
        <v>3.0158721364864238</v>
      </c>
      <c r="N201" s="91">
        <f>IF(TrRoad_act!N62=0,0,TrRoad_emi!N59/TrRoad_tech!N174)</f>
        <v>3.0132085394032804</v>
      </c>
      <c r="O201" s="91">
        <f>IF(TrRoad_act!O62=0,0,TrRoad_emi!O59/TrRoad_tech!O174)</f>
        <v>2.8440683592239213</v>
      </c>
      <c r="P201" s="91">
        <f>IF(TrRoad_act!P62=0,0,TrRoad_emi!P59/TrRoad_tech!P174)</f>
        <v>2.7359446610918541</v>
      </c>
      <c r="Q201" s="91">
        <f>IF(TrRoad_act!Q62=0,0,TrRoad_emi!Q59/TrRoad_tech!Q174)</f>
        <v>2.6707941046813457</v>
      </c>
      <c r="R201" s="91">
        <f>IF(TrRoad_act!R62=0,0,TrRoad_emi!R59/TrRoad_tech!R174)</f>
        <v>2.5753646304768849</v>
      </c>
      <c r="S201" s="91">
        <f>IF(TrRoad_act!S62=0,0,TrRoad_emi!S59/TrRoad_tech!S174)</f>
        <v>2.5119737317438799</v>
      </c>
      <c r="T201" s="91">
        <f>IF(TrRoad_act!T62=0,0,TrRoad_emi!T59/TrRoad_tech!T174)</f>
        <v>2.5936050476393739</v>
      </c>
      <c r="U201" s="91">
        <f>IF(TrRoad_act!U62=0,0,TrRoad_emi!U59/TrRoad_tech!U174)</f>
        <v>2.477970604945829</v>
      </c>
      <c r="V201" s="91">
        <f>IF(TrRoad_act!V62=0,0,TrRoad_emi!V59/TrRoad_tech!V174)</f>
        <v>2.0262354779559564</v>
      </c>
      <c r="W201" s="91">
        <f>IF(TrRoad_act!W62=0,0,TrRoad_emi!W59/TrRoad_tech!W174)</f>
        <v>2.1887855824106905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0.98646199743577812</v>
      </c>
      <c r="C202" s="91">
        <f>IF(TrRoad_act!C63=0,0,TrRoad_emi!C60/TrRoad_tech!C175)</f>
        <v>1.3310618569812298</v>
      </c>
      <c r="D202" s="91">
        <f>IF(TrRoad_act!D63=0,0,TrRoad_emi!D60/TrRoad_tech!D175)</f>
        <v>1.7518204719486563</v>
      </c>
      <c r="E202" s="91">
        <f>IF(TrRoad_act!E63=0,0,TrRoad_emi!E60/TrRoad_tech!E175)</f>
        <v>1.413239987342692</v>
      </c>
      <c r="F202" s="91">
        <f>IF(TrRoad_act!F63=0,0,TrRoad_emi!F60/TrRoad_tech!F175)</f>
        <v>1.5119333950551257</v>
      </c>
      <c r="G202" s="91">
        <f>IF(TrRoad_act!G63=0,0,TrRoad_emi!G60/TrRoad_tech!G175)</f>
        <v>1.0601925997719108</v>
      </c>
      <c r="H202" s="91">
        <f>IF(TrRoad_act!H63=0,0,TrRoad_emi!H60/TrRoad_tech!H175)</f>
        <v>1.1103457999877357</v>
      </c>
      <c r="I202" s="91">
        <f>IF(TrRoad_act!I63=0,0,TrRoad_emi!I60/TrRoad_tech!I175)</f>
        <v>2.3200991174172212</v>
      </c>
      <c r="J202" s="91">
        <f>IF(TrRoad_act!J63=0,0,TrRoad_emi!J60/TrRoad_tech!J175)</f>
        <v>2.2616152040431268</v>
      </c>
      <c r="K202" s="91">
        <f>IF(TrRoad_act!K63=0,0,TrRoad_emi!K60/TrRoad_tech!K175)</f>
        <v>1.4269248177773293</v>
      </c>
      <c r="L202" s="91">
        <f>IF(TrRoad_act!L63=0,0,TrRoad_emi!L60/TrRoad_tech!L175)</f>
        <v>1.5008569883973957</v>
      </c>
      <c r="M202" s="91">
        <f>IF(TrRoad_act!M63=0,0,TrRoad_emi!M60/TrRoad_tech!M175)</f>
        <v>0.71849545232954426</v>
      </c>
      <c r="N202" s="91">
        <f>IF(TrRoad_act!N63=0,0,TrRoad_emi!N60/TrRoad_tech!N175)</f>
        <v>1.9578584307693241</v>
      </c>
      <c r="O202" s="91">
        <f>IF(TrRoad_act!O63=0,0,TrRoad_emi!O60/TrRoad_tech!O175)</f>
        <v>1.2267046509519801</v>
      </c>
      <c r="P202" s="91">
        <f>IF(TrRoad_act!P63=0,0,TrRoad_emi!P60/TrRoad_tech!P175)</f>
        <v>1.4233686895647057</v>
      </c>
      <c r="Q202" s="91">
        <f>IF(TrRoad_act!Q63=0,0,TrRoad_emi!Q60/TrRoad_tech!Q175)</f>
        <v>0.70013782170250527</v>
      </c>
      <c r="R202" s="91">
        <f>IF(TrRoad_act!R63=0,0,TrRoad_emi!R60/TrRoad_tech!R175)</f>
        <v>0.75356242209560875</v>
      </c>
      <c r="S202" s="91">
        <f>IF(TrRoad_act!S63=0,0,TrRoad_emi!S60/TrRoad_tech!S175)</f>
        <v>0.74777062412307205</v>
      </c>
      <c r="T202" s="91">
        <f>IF(TrRoad_act!T63=0,0,TrRoad_emi!T60/TrRoad_tech!T175)</f>
        <v>1.2916627809107522</v>
      </c>
      <c r="U202" s="91">
        <f>IF(TrRoad_act!U63=0,0,TrRoad_emi!U60/TrRoad_tech!U175)</f>
        <v>1.9810476010931051</v>
      </c>
      <c r="V202" s="91">
        <f>IF(TrRoad_act!V63=0,0,TrRoad_emi!V60/TrRoad_tech!V175)</f>
        <v>0.43687768057238729</v>
      </c>
      <c r="W202" s="91">
        <f>IF(TrRoad_act!W63=0,0,TrRoad_emi!W60/TrRoad_tech!W175)</f>
        <v>1.2499711160637705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2.7939425518829224</v>
      </c>
      <c r="O204" s="91">
        <f>IF(TrRoad_act!O65=0,0,TrRoad_emi!O62/TrRoad_tech!O177)</f>
        <v>2.6396771395297494</v>
      </c>
      <c r="P204" s="91">
        <f>IF(TrRoad_act!P65=0,0,TrRoad_emi!P62/TrRoad_tech!P177)</f>
        <v>2.5746263407176704</v>
      </c>
      <c r="Q204" s="91">
        <f>IF(TrRoad_act!Q65=0,0,TrRoad_emi!Q62/TrRoad_tech!Q177)</f>
        <v>2.4349296824271547</v>
      </c>
      <c r="R204" s="91">
        <f>IF(TrRoad_act!R65=0,0,TrRoad_emi!R62/TrRoad_tech!R177)</f>
        <v>2.2754364272122838</v>
      </c>
      <c r="S204" s="91">
        <f>IF(TrRoad_act!S65=0,0,TrRoad_emi!S62/TrRoad_tech!S177)</f>
        <v>2.3125241345556833</v>
      </c>
      <c r="T204" s="91">
        <f>IF(TrRoad_act!T65=0,0,TrRoad_emi!T62/TrRoad_tech!T177)</f>
        <v>2.3179455974369776</v>
      </c>
      <c r="U204" s="91">
        <f>IF(TrRoad_act!U65=0,0,TrRoad_emi!U62/TrRoad_tech!U177)</f>
        <v>2.2125284251941193</v>
      </c>
      <c r="V204" s="91">
        <f>IF(TrRoad_act!V65=0,0,TrRoad_emi!V62/TrRoad_tech!V177)</f>
        <v>1.717231621867964</v>
      </c>
      <c r="W204" s="91">
        <f>IF(TrRoad_act!W65=0,0,TrRoad_emi!W62/TrRoad_tech!W177)</f>
        <v>1.9865940801402246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1.1000000000067303</v>
      </c>
      <c r="C206" s="151">
        <f>IF(TrRoad_act!C67=0,0,TrRoad_emi!C64/TrRoad_tech!C179)</f>
        <v>1.0900872507448027</v>
      </c>
      <c r="D206" s="151">
        <f>IF(TrRoad_act!D67=0,0,TrRoad_emi!D64/TrRoad_tech!D179)</f>
        <v>1.0887863084804823</v>
      </c>
      <c r="E206" s="151">
        <f>IF(TrRoad_act!E67=0,0,TrRoad_emi!E64/TrRoad_tech!E179)</f>
        <v>1.1058343691248369</v>
      </c>
      <c r="F206" s="151">
        <f>IF(TrRoad_act!F67=0,0,TrRoad_emi!F64/TrRoad_tech!F179)</f>
        <v>1.087372693959815</v>
      </c>
      <c r="G206" s="151">
        <f>IF(TrRoad_act!G67=0,0,TrRoad_emi!G64/TrRoad_tech!G179)</f>
        <v>1.0911124686596676</v>
      </c>
      <c r="H206" s="151">
        <f>IF(TrRoad_act!H67=0,0,TrRoad_emi!H64/TrRoad_tech!H179)</f>
        <v>1.097219982673282</v>
      </c>
      <c r="I206" s="151">
        <f>IF(TrRoad_act!I67=0,0,TrRoad_emi!I64/TrRoad_tech!I179)</f>
        <v>1.0768884474593639</v>
      </c>
      <c r="J206" s="151">
        <f>IF(TrRoad_act!J67=0,0,TrRoad_emi!J64/TrRoad_tech!J179)</f>
        <v>1.0900703916477132</v>
      </c>
      <c r="K206" s="151">
        <f>IF(TrRoad_act!K67=0,0,TrRoad_emi!K64/TrRoad_tech!K179)</f>
        <v>1.1029020630110189</v>
      </c>
      <c r="L206" s="151">
        <f>IF(TrRoad_act!L67=0,0,TrRoad_emi!L64/TrRoad_tech!L179)</f>
        <v>1.1191943359059167</v>
      </c>
      <c r="M206" s="151">
        <f>IF(TrRoad_act!M67=0,0,TrRoad_emi!M64/TrRoad_tech!M179)</f>
        <v>1.1345166081055491</v>
      </c>
      <c r="N206" s="151">
        <f>IF(TrRoad_act!N67=0,0,TrRoad_emi!N64/TrRoad_tech!N179)</f>
        <v>1.1375418913461197</v>
      </c>
      <c r="O206" s="151">
        <f>IF(TrRoad_act!O67=0,0,TrRoad_emi!O64/TrRoad_tech!O179)</f>
        <v>1.1521548558409354</v>
      </c>
      <c r="P206" s="151">
        <f>IF(TrRoad_act!P67=0,0,TrRoad_emi!P64/TrRoad_tech!P179)</f>
        <v>1.1464583699843354</v>
      </c>
      <c r="Q206" s="151">
        <f>IF(TrRoad_act!Q67=0,0,TrRoad_emi!Q64/TrRoad_tech!Q179)</f>
        <v>1.1567029540004976</v>
      </c>
      <c r="R206" s="151">
        <f>IF(TrRoad_act!R67=0,0,TrRoad_emi!R64/TrRoad_tech!R179)</f>
        <v>1.1681533981276522</v>
      </c>
      <c r="S206" s="151">
        <f>IF(TrRoad_act!S67=0,0,TrRoad_emi!S64/TrRoad_tech!S179)</f>
        <v>1.189545917785773</v>
      </c>
      <c r="T206" s="151">
        <f>IF(TrRoad_act!T67=0,0,TrRoad_emi!T64/TrRoad_tech!T179)</f>
        <v>1.2347416325581273</v>
      </c>
      <c r="U206" s="151">
        <f>IF(TrRoad_act!U67=0,0,TrRoad_emi!U64/TrRoad_tech!U179)</f>
        <v>1.3764565028717728</v>
      </c>
      <c r="V206" s="151">
        <f>IF(TrRoad_act!V67=0,0,TrRoad_emi!V64/TrRoad_tech!V179)</f>
        <v>1.2624588396681751</v>
      </c>
      <c r="W206" s="151">
        <f>IF(TrRoad_act!W67=0,0,TrRoad_emi!W64/TrRoad_tech!W179)</f>
        <v>1.2170914411689711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1.3006912174212346</v>
      </c>
      <c r="U207" s="93">
        <f>IF(TrRoad_act!U68=0,0,TrRoad_emi!U65/TrRoad_tech!U180)</f>
        <v>1.276767619357797</v>
      </c>
      <c r="V207" s="93">
        <f>IF(TrRoad_act!V68=0,0,TrRoad_emi!V65/TrRoad_tech!V180)</f>
        <v>1.2731093733588845</v>
      </c>
      <c r="W207" s="93">
        <f>IF(TrRoad_act!W68=0,0,TrRoad_emi!W65/TrRoad_tech!W180)</f>
        <v>1.2687589413839844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1.1005598068635063</v>
      </c>
      <c r="D208" s="93">
        <f>IF(TrRoad_act!D69=0,0,TrRoad_emi!D66/TrRoad_tech!D181)</f>
        <v>1.1012936248266902</v>
      </c>
      <c r="E208" s="93">
        <f>IF(TrRoad_act!E69=0,0,TrRoad_emi!E66/TrRoad_tech!E181)</f>
        <v>1.1031095015084516</v>
      </c>
      <c r="F208" s="93">
        <f>IF(TrRoad_act!F69=0,0,TrRoad_emi!F66/TrRoad_tech!F181)</f>
        <v>1.105250810650295</v>
      </c>
      <c r="G208" s="93">
        <f>IF(TrRoad_act!G69=0,0,TrRoad_emi!G66/TrRoad_tech!G181)</f>
        <v>1.1092776540932399</v>
      </c>
      <c r="H208" s="93">
        <f>IF(TrRoad_act!H69=0,0,TrRoad_emi!H66/TrRoad_tech!H181)</f>
        <v>1.1147189664641233</v>
      </c>
      <c r="I208" s="93">
        <f>IF(TrRoad_act!I69=0,0,TrRoad_emi!I66/TrRoad_tech!I181)</f>
        <v>1.0928751243280115</v>
      </c>
      <c r="J208" s="93">
        <f>IF(TrRoad_act!J69=0,0,TrRoad_emi!J66/TrRoad_tech!J181)</f>
        <v>1.1029163028753168</v>
      </c>
      <c r="K208" s="93">
        <f>IF(TrRoad_act!K69=0,0,TrRoad_emi!K66/TrRoad_tech!K181)</f>
        <v>1.1119159955423228</v>
      </c>
      <c r="L208" s="93">
        <f>IF(TrRoad_act!L69=0,0,TrRoad_emi!L66/TrRoad_tech!L181)</f>
        <v>1.1243763840040091</v>
      </c>
      <c r="M208" s="93">
        <f>IF(TrRoad_act!M69=0,0,TrRoad_emi!M66/TrRoad_tech!M181)</f>
        <v>1.1375676307019285</v>
      </c>
      <c r="N208" s="93">
        <f>IF(TrRoad_act!N69=0,0,TrRoad_emi!N66/TrRoad_tech!N181)</f>
        <v>1.1412222707568316</v>
      </c>
      <c r="O208" s="93">
        <f>IF(TrRoad_act!O69=0,0,TrRoad_emi!O66/TrRoad_tech!O181)</f>
        <v>1.1489101320922466</v>
      </c>
      <c r="P208" s="93">
        <f>IF(TrRoad_act!P69=0,0,TrRoad_emi!P66/TrRoad_tech!P181)</f>
        <v>1.1516402280781692</v>
      </c>
      <c r="Q208" s="93">
        <f>IF(TrRoad_act!Q69=0,0,TrRoad_emi!Q66/TrRoad_tech!Q181)</f>
        <v>1.1621600623711472</v>
      </c>
      <c r="R208" s="93">
        <f>IF(TrRoad_act!R69=0,0,TrRoad_emi!R66/TrRoad_tech!R181)</f>
        <v>1.1736046847053361</v>
      </c>
      <c r="S208" s="93">
        <f>IF(TrRoad_act!S69=0,0,TrRoad_emi!S66/TrRoad_tech!S181)</f>
        <v>1.1734664001475474</v>
      </c>
      <c r="T208" s="93">
        <f>IF(TrRoad_act!T69=0,0,TrRoad_emi!T66/TrRoad_tech!T181)</f>
        <v>1.1848640245100948</v>
      </c>
      <c r="U208" s="93">
        <f>IF(TrRoad_act!U69=0,0,TrRoad_emi!U66/TrRoad_tech!U181)</f>
        <v>1.1980764187808752</v>
      </c>
      <c r="V208" s="93">
        <f>IF(TrRoad_act!V69=0,0,TrRoad_emi!V66/TrRoad_tech!V181)</f>
        <v>1.1715056618180169</v>
      </c>
      <c r="W208" s="93">
        <f>IF(TrRoad_act!W69=0,0,TrRoad_emi!W66/TrRoad_tech!W181)</f>
        <v>1.1873229261512208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1.0966028644603667</v>
      </c>
      <c r="C213" s="150">
        <f>IF(TrRoad_act!C74=0,0,TrRoad_emi!C71/TrRoad_tech!C186)</f>
        <v>1.0850662610199393</v>
      </c>
      <c r="D213" s="150">
        <f>IF(TrRoad_act!D74=0,0,TrRoad_emi!D71/TrRoad_tech!D186)</f>
        <v>1.0870499034109313</v>
      </c>
      <c r="E213" s="150">
        <f>IF(TrRoad_act!E74=0,0,TrRoad_emi!E71/TrRoad_tech!E186)</f>
        <v>1.0813935777845889</v>
      </c>
      <c r="F213" s="150">
        <f>IF(TrRoad_act!F74=0,0,TrRoad_emi!F71/TrRoad_tech!F186)</f>
        <v>1.0936060047698539</v>
      </c>
      <c r="G213" s="150">
        <f>IF(TrRoad_act!G74=0,0,TrRoad_emi!G71/TrRoad_tech!G186)</f>
        <v>1.0994919170501249</v>
      </c>
      <c r="H213" s="150">
        <f>IF(TrRoad_act!H74=0,0,TrRoad_emi!H71/TrRoad_tech!H186)</f>
        <v>1.1105128310808321</v>
      </c>
      <c r="I213" s="150">
        <f>IF(TrRoad_act!I74=0,0,TrRoad_emi!I71/TrRoad_tech!I186)</f>
        <v>1.0908902792134063</v>
      </c>
      <c r="J213" s="150">
        <f>IF(TrRoad_act!J74=0,0,TrRoad_emi!J71/TrRoad_tech!J186)</f>
        <v>1.1256496197420944</v>
      </c>
      <c r="K213" s="150">
        <f>IF(TrRoad_act!K74=0,0,TrRoad_emi!K71/TrRoad_tech!K186)</f>
        <v>1.1461093593117644</v>
      </c>
      <c r="L213" s="150">
        <f>IF(TrRoad_act!L74=0,0,TrRoad_emi!L71/TrRoad_tech!L186)</f>
        <v>1.2505751167786676</v>
      </c>
      <c r="M213" s="150">
        <f>IF(TrRoad_act!M74=0,0,TrRoad_emi!M71/TrRoad_tech!M186)</f>
        <v>1.2835440997503131</v>
      </c>
      <c r="N213" s="150">
        <f>IF(TrRoad_act!N74=0,0,TrRoad_emi!N71/TrRoad_tech!N186)</f>
        <v>1.1443087181230802</v>
      </c>
      <c r="O213" s="150">
        <f>IF(TrRoad_act!O74=0,0,TrRoad_emi!O71/TrRoad_tech!O186)</f>
        <v>1.1758604821693719</v>
      </c>
      <c r="P213" s="150">
        <f>IF(TrRoad_act!P74=0,0,TrRoad_emi!P71/TrRoad_tech!P186)</f>
        <v>1.1303567971608923</v>
      </c>
      <c r="Q213" s="150">
        <f>IF(TrRoad_act!Q74=0,0,TrRoad_emi!Q71/TrRoad_tech!Q186)</f>
        <v>1.1353428404755417</v>
      </c>
      <c r="R213" s="150">
        <f>IF(TrRoad_act!R74=0,0,TrRoad_emi!R71/TrRoad_tech!R186)</f>
        <v>1.1415479260021595</v>
      </c>
      <c r="S213" s="150">
        <f>IF(TrRoad_act!S74=0,0,TrRoad_emi!S71/TrRoad_tech!S186)</f>
        <v>1.1510458956394589</v>
      </c>
      <c r="T213" s="150">
        <f>IF(TrRoad_act!T74=0,0,TrRoad_emi!T71/TrRoad_tech!T186)</f>
        <v>1.1737717087400021</v>
      </c>
      <c r="U213" s="150">
        <f>IF(TrRoad_act!U74=0,0,TrRoad_emi!U71/TrRoad_tech!U186)</f>
        <v>1.1814521907117799</v>
      </c>
      <c r="V213" s="150">
        <f>IF(TrRoad_act!V74=0,0,TrRoad_emi!V71/TrRoad_tech!V186)</f>
        <v>1.1639711902456202</v>
      </c>
      <c r="W213" s="150">
        <f>IF(TrRoad_act!W74=0,0,TrRoad_emi!W71/TrRoad_tech!W186)</f>
        <v>1.1944658239575365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1.1000000000067307</v>
      </c>
      <c r="C214" s="91">
        <f>IF(TrRoad_act!C75=0,0,TrRoad_emi!C72/TrRoad_tech!C187)</f>
        <v>1.1000076461736963</v>
      </c>
      <c r="D214" s="91">
        <f>IF(TrRoad_act!D75=0,0,TrRoad_emi!D72/TrRoad_tech!D187)</f>
        <v>1.1000609176142859</v>
      </c>
      <c r="E214" s="91">
        <f>IF(TrRoad_act!E75=0,0,TrRoad_emi!E72/TrRoad_tech!E187)</f>
        <v>1.1002284675646179</v>
      </c>
      <c r="F214" s="91">
        <f>IF(TrRoad_act!F75=0,0,TrRoad_emi!F72/TrRoad_tech!F187)</f>
        <v>1.1004991044774952</v>
      </c>
      <c r="G214" s="91">
        <f>IF(TrRoad_act!G75=0,0,TrRoad_emi!G72/TrRoad_tech!G187)</f>
        <v>1.1009867875014816</v>
      </c>
      <c r="H214" s="91">
        <f>IF(TrRoad_act!H75=0,0,TrRoad_emi!H72/TrRoad_tech!H187)</f>
        <v>1.1019213697272334</v>
      </c>
      <c r="I214" s="91">
        <f>IF(TrRoad_act!I75=0,0,TrRoad_emi!I72/TrRoad_tech!I187)</f>
        <v>1.100892483017186</v>
      </c>
      <c r="J214" s="91">
        <f>IF(TrRoad_act!J75=0,0,TrRoad_emi!J72/TrRoad_tech!J187)</f>
        <v>1.1057806581006966</v>
      </c>
      <c r="K214" s="91">
        <f>IF(TrRoad_act!K75=0,0,TrRoad_emi!K72/TrRoad_tech!K187)</f>
        <v>1.1114387979483633</v>
      </c>
      <c r="L214" s="91">
        <f>IF(TrRoad_act!L75=0,0,TrRoad_emi!L72/TrRoad_tech!L187)</f>
        <v>1.1155504057447607</v>
      </c>
      <c r="M214" s="91">
        <f>IF(TrRoad_act!M75=0,0,TrRoad_emi!M72/TrRoad_tech!M187)</f>
        <v>1.1034296798240704</v>
      </c>
      <c r="N214" s="91">
        <f>IF(TrRoad_act!N75=0,0,TrRoad_emi!N72/TrRoad_tech!N187)</f>
        <v>1.1248483092641435</v>
      </c>
      <c r="O214" s="91">
        <f>IF(TrRoad_act!O75=0,0,TrRoad_emi!O72/TrRoad_tech!O187)</f>
        <v>1.1334832403270911</v>
      </c>
      <c r="P214" s="91">
        <f>IF(TrRoad_act!P75=0,0,TrRoad_emi!P72/TrRoad_tech!P187)</f>
        <v>1.1336050790090033</v>
      </c>
      <c r="Q214" s="91">
        <f>IF(TrRoad_act!Q75=0,0,TrRoad_emi!Q72/TrRoad_tech!Q187)</f>
        <v>1.1282804201367693</v>
      </c>
      <c r="R214" s="91">
        <f>IF(TrRoad_act!R75=0,0,TrRoad_emi!R72/TrRoad_tech!R187)</f>
        <v>1.1334781711674902</v>
      </c>
      <c r="S214" s="91">
        <f>IF(TrRoad_act!S75=0,0,TrRoad_emi!S72/TrRoad_tech!S187)</f>
        <v>1.16113113142628</v>
      </c>
      <c r="T214" s="91">
        <f>IF(TrRoad_act!T75=0,0,TrRoad_emi!T72/TrRoad_tech!T187)</f>
        <v>1.1715416626811435</v>
      </c>
      <c r="U214" s="91">
        <f>IF(TrRoad_act!U75=0,0,TrRoad_emi!U72/TrRoad_tech!U187)</f>
        <v>1.1697915450554075</v>
      </c>
      <c r="V214" s="91">
        <f>IF(TrRoad_act!V75=0,0,TrRoad_emi!V72/TrRoad_tech!V187)</f>
        <v>1.1803865918592744</v>
      </c>
      <c r="W214" s="91">
        <f>IF(TrRoad_act!W75=0,0,TrRoad_emi!W72/TrRoad_tech!W187)</f>
        <v>1.1950393170441675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1.1005379444071814</v>
      </c>
      <c r="D215" s="91">
        <f>IF(TrRoad_act!D76=0,0,TrRoad_emi!D73/TrRoad_tech!D188)</f>
        <v>1.1015510713138108</v>
      </c>
      <c r="E215" s="91">
        <f>IF(TrRoad_act!E76=0,0,TrRoad_emi!E73/TrRoad_tech!E188)</f>
        <v>1.1030481448806522</v>
      </c>
      <c r="F215" s="91">
        <f>IF(TrRoad_act!F76=0,0,TrRoad_emi!F73/TrRoad_tech!F188)</f>
        <v>1.1049647819389181</v>
      </c>
      <c r="G215" s="91">
        <f>IF(TrRoad_act!G76=0,0,TrRoad_emi!G73/TrRoad_tech!G188)</f>
        <v>1.1079527890327976</v>
      </c>
      <c r="H215" s="91">
        <f>IF(TrRoad_act!H76=0,0,TrRoad_emi!H73/TrRoad_tech!H188)</f>
        <v>1.1121630062298882</v>
      </c>
      <c r="I215" s="91">
        <f>IF(TrRoad_act!I76=0,0,TrRoad_emi!I73/TrRoad_tech!I188)</f>
        <v>1.0897937633615957</v>
      </c>
      <c r="J215" s="91">
        <f>IF(TrRoad_act!J76=0,0,TrRoad_emi!J73/TrRoad_tech!J188)</f>
        <v>1.0979081989888984</v>
      </c>
      <c r="K215" s="91">
        <f>IF(TrRoad_act!K76=0,0,TrRoad_emi!K73/TrRoad_tech!K188)</f>
        <v>1.0997500961360456</v>
      </c>
      <c r="L215" s="91">
        <f>IF(TrRoad_act!L76=0,0,TrRoad_emi!L73/TrRoad_tech!L188)</f>
        <v>1.1035183218463718</v>
      </c>
      <c r="M215" s="91">
        <f>IF(TrRoad_act!M76=0,0,TrRoad_emi!M73/TrRoad_tech!M188)</f>
        <v>1.1092042077328759</v>
      </c>
      <c r="N215" s="91">
        <f>IF(TrRoad_act!N76=0,0,TrRoad_emi!N73/TrRoad_tech!N188)</f>
        <v>1.1174247696384716</v>
      </c>
      <c r="O215" s="91">
        <f>IF(TrRoad_act!O76=0,0,TrRoad_emi!O73/TrRoad_tech!O188)</f>
        <v>1.1248904374432283</v>
      </c>
      <c r="P215" s="91">
        <f>IF(TrRoad_act!P76=0,0,TrRoad_emi!P73/TrRoad_tech!P188)</f>
        <v>1.129335000285578</v>
      </c>
      <c r="Q215" s="91">
        <f>IF(TrRoad_act!Q76=0,0,TrRoad_emi!Q73/TrRoad_tech!Q188)</f>
        <v>1.1369028812967601</v>
      </c>
      <c r="R215" s="91">
        <f>IF(TrRoad_act!R76=0,0,TrRoad_emi!R73/TrRoad_tech!R188)</f>
        <v>1.149394180951848</v>
      </c>
      <c r="S215" s="91">
        <f>IF(TrRoad_act!S76=0,0,TrRoad_emi!S73/TrRoad_tech!S188)</f>
        <v>1.1510690774234393</v>
      </c>
      <c r="T215" s="91">
        <f>IF(TrRoad_act!T76=0,0,TrRoad_emi!T73/TrRoad_tech!T188)</f>
        <v>1.1697971569633627</v>
      </c>
      <c r="U215" s="91">
        <f>IF(TrRoad_act!U76=0,0,TrRoad_emi!U73/TrRoad_tech!U188)</f>
        <v>1.1854590080785541</v>
      </c>
      <c r="V215" s="91">
        <f>IF(TrRoad_act!V76=0,0,TrRoad_emi!V73/TrRoad_tech!V188)</f>
        <v>1.1646754045851171</v>
      </c>
      <c r="W215" s="91">
        <f>IF(TrRoad_act!W76=0,0,TrRoad_emi!W73/TrRoad_tech!W188)</f>
        <v>1.1912492234638536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1.1693333333396365</v>
      </c>
      <c r="P216" s="91">
        <f>IF(TrRoad_act!P77=0,0,TrRoad_emi!P74/TrRoad_tech!P189)</f>
        <v>1.1717850744729994</v>
      </c>
      <c r="Q216" s="91">
        <f>IF(TrRoad_act!Q77=0,0,TrRoad_emi!Q74/TrRoad_tech!Q189)</f>
        <v>1.1725386668327102</v>
      </c>
      <c r="R216" s="91">
        <f>IF(TrRoad_act!R77=0,0,TrRoad_emi!R74/TrRoad_tech!R189)</f>
        <v>1.1802638254894096</v>
      </c>
      <c r="S216" s="91">
        <f>IF(TrRoad_act!S77=0,0,TrRoad_emi!S74/TrRoad_tech!S189)</f>
        <v>1.1861792023759046</v>
      </c>
      <c r="T216" s="91">
        <f>IF(TrRoad_act!T77=0,0,TrRoad_emi!T74/TrRoad_tech!T189)</f>
        <v>1.1959605743093247</v>
      </c>
      <c r="U216" s="91">
        <f>IF(TrRoad_act!U77=0,0,TrRoad_emi!U74/TrRoad_tech!U189)</f>
        <v>1.250947163315534</v>
      </c>
      <c r="V216" s="91">
        <f>IF(TrRoad_act!V77=0,0,TrRoad_emi!V74/TrRoad_tech!V189)</f>
        <v>1.2761780418576976</v>
      </c>
      <c r="W216" s="91">
        <f>IF(TrRoad_act!W77=0,0,TrRoad_emi!W74/TrRoad_tech!W189)</f>
        <v>1.2984250975966913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14.354297629681522</v>
      </c>
      <c r="C219" s="151">
        <f>IF(TrRoad_act!C80=0,0,TrRoad_emi!C77/TrRoad_tech!C192)</f>
        <v>14.108658500746712</v>
      </c>
      <c r="D219" s="151">
        <f>IF(TrRoad_act!D80=0,0,TrRoad_emi!D77/TrRoad_tech!D192)</f>
        <v>13.547796064456758</v>
      </c>
      <c r="E219" s="151">
        <f>IF(TrRoad_act!E80=0,0,TrRoad_emi!E77/TrRoad_tech!E192)</f>
        <v>15.92059739773967</v>
      </c>
      <c r="F219" s="151">
        <f>IF(TrRoad_act!F80=0,0,TrRoad_emi!F77/TrRoad_tech!F192)</f>
        <v>20.108766951753463</v>
      </c>
      <c r="G219" s="151">
        <f>IF(TrRoad_act!G80=0,0,TrRoad_emi!G77/TrRoad_tech!G192)</f>
        <v>23.346955214503307</v>
      </c>
      <c r="H219" s="151">
        <f>IF(TrRoad_act!H80=0,0,TrRoad_emi!H77/TrRoad_tech!H192)</f>
        <v>21.66888573121809</v>
      </c>
      <c r="I219" s="151">
        <f>IF(TrRoad_act!I80=0,0,TrRoad_emi!I77/TrRoad_tech!I192)</f>
        <v>19.512627706019579</v>
      </c>
      <c r="J219" s="151">
        <f>IF(TrRoad_act!J80=0,0,TrRoad_emi!J77/TrRoad_tech!J192)</f>
        <v>19.06649765615359</v>
      </c>
      <c r="K219" s="151">
        <f>IF(TrRoad_act!K80=0,0,TrRoad_emi!K77/TrRoad_tech!K192)</f>
        <v>21.180797800961773</v>
      </c>
      <c r="L219" s="151">
        <f>IF(TrRoad_act!L80=0,0,TrRoad_emi!L77/TrRoad_tech!L192)</f>
        <v>22.88799807887716</v>
      </c>
      <c r="M219" s="151">
        <f>IF(TrRoad_act!M80=0,0,TrRoad_emi!M77/TrRoad_tech!M192)</f>
        <v>23.992310791005057</v>
      </c>
      <c r="N219" s="151">
        <f>IF(TrRoad_act!N80=0,0,TrRoad_emi!N77/TrRoad_tech!N192)</f>
        <v>17.173321689595046</v>
      </c>
      <c r="O219" s="151">
        <f>IF(TrRoad_act!O80=0,0,TrRoad_emi!O77/TrRoad_tech!O192)</f>
        <v>19.494370840946228</v>
      </c>
      <c r="P219" s="151">
        <f>IF(TrRoad_act!P80=0,0,TrRoad_emi!P77/TrRoad_tech!P192)</f>
        <v>15.689428651345594</v>
      </c>
      <c r="Q219" s="151">
        <f>IF(TrRoad_act!Q80=0,0,TrRoad_emi!Q77/TrRoad_tech!Q192)</f>
        <v>16.57211403158303</v>
      </c>
      <c r="R219" s="151">
        <f>IF(TrRoad_act!R80=0,0,TrRoad_emi!R77/TrRoad_tech!R192)</f>
        <v>15.439062905864875</v>
      </c>
      <c r="S219" s="151">
        <f>IF(TrRoad_act!S80=0,0,TrRoad_emi!S77/TrRoad_tech!S192)</f>
        <v>16.202504262102682</v>
      </c>
      <c r="T219" s="151">
        <f>IF(TrRoad_act!T80=0,0,TrRoad_emi!T77/TrRoad_tech!T192)</f>
        <v>18.327240727278262</v>
      </c>
      <c r="U219" s="151">
        <f>IF(TrRoad_act!U80=0,0,TrRoad_emi!U77/TrRoad_tech!U192)</f>
        <v>19.75932745765498</v>
      </c>
      <c r="V219" s="151">
        <f>IF(TrRoad_act!V80=0,0,TrRoad_emi!V77/TrRoad_tech!V192)</f>
        <v>16.469582085506605</v>
      </c>
      <c r="W219" s="151">
        <f>IF(TrRoad_act!W80=0,0,TrRoad_emi!W77/TrRoad_tech!W192)</f>
        <v>15.702673439237754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1.4458744699160833</v>
      </c>
      <c r="C220" s="93">
        <f>IF(TrRoad_act!C81=0,0,TrRoad_emi!C78/TrRoad_tech!C193)</f>
        <v>1.4437936132735911</v>
      </c>
      <c r="D220" s="93">
        <f>IF(TrRoad_act!D81=0,0,TrRoad_emi!D78/TrRoad_tech!D193)</f>
        <v>1.4348381287683687</v>
      </c>
      <c r="E220" s="93">
        <f>IF(TrRoad_act!E81=0,0,TrRoad_emi!E78/TrRoad_tech!E193)</f>
        <v>1.4857792727412649</v>
      </c>
      <c r="F220" s="93">
        <f>IF(TrRoad_act!F81=0,0,TrRoad_emi!F78/TrRoad_tech!F193)</f>
        <v>1.5747374248438697</v>
      </c>
      <c r="G220" s="93">
        <f>IF(TrRoad_act!G81=0,0,TrRoad_emi!G78/TrRoad_tech!G193)</f>
        <v>1.6467072230080571</v>
      </c>
      <c r="H220" s="93">
        <f>IF(TrRoad_act!H81=0,0,TrRoad_emi!H78/TrRoad_tech!H193)</f>
        <v>1.6149191046889459</v>
      </c>
      <c r="I220" s="93">
        <f>IF(TrRoad_act!I81=0,0,TrRoad_emi!I78/TrRoad_tech!I193)</f>
        <v>1.5441073201110023</v>
      </c>
      <c r="J220" s="93">
        <f>IF(TrRoad_act!J81=0,0,TrRoad_emi!J78/TrRoad_tech!J193)</f>
        <v>1.544416333092024</v>
      </c>
      <c r="K220" s="93">
        <f>IF(TrRoad_act!K81=0,0,TrRoad_emi!K78/TrRoad_tech!K193)</f>
        <v>1.5955237015792694</v>
      </c>
      <c r="L220" s="93">
        <f>IF(TrRoad_act!L81=0,0,TrRoad_emi!L78/TrRoad_tech!L193)</f>
        <v>1.6396433078899055</v>
      </c>
      <c r="M220" s="93">
        <f>IF(TrRoad_act!M81=0,0,TrRoad_emi!M78/TrRoad_tech!M193)</f>
        <v>1.6723367137911656</v>
      </c>
      <c r="N220" s="93">
        <f>IF(TrRoad_act!N81=0,0,TrRoad_emi!N78/TrRoad_tech!N193)</f>
        <v>1.531618940701895</v>
      </c>
      <c r="O220" s="93">
        <f>IF(TrRoad_act!O81=0,0,TrRoad_emi!O78/TrRoad_tech!O193)</f>
        <v>1.5901436228410417</v>
      </c>
      <c r="P220" s="93">
        <f>IF(TrRoad_act!P81=0,0,TrRoad_emi!P78/TrRoad_tech!P193)</f>
        <v>1.5186988607249101</v>
      </c>
      <c r="Q220" s="93">
        <f>IF(TrRoad_act!Q81=0,0,TrRoad_emi!Q78/TrRoad_tech!Q193)</f>
        <v>1.5377489737609078</v>
      </c>
      <c r="R220" s="93">
        <f>IF(TrRoad_act!R81=0,0,TrRoad_emi!R78/TrRoad_tech!R193)</f>
        <v>1.5206140592934962</v>
      </c>
      <c r="S220" s="93">
        <f>IF(TrRoad_act!S81=0,0,TrRoad_emi!S78/TrRoad_tech!S193)</f>
        <v>1.5291442128063324</v>
      </c>
      <c r="T220" s="93">
        <f>IF(TrRoad_act!T81=0,0,TrRoad_emi!T78/TrRoad_tech!T193)</f>
        <v>1.5913259034464202</v>
      </c>
      <c r="U220" s="93">
        <f>IF(TrRoad_act!U81=0,0,TrRoad_emi!U78/TrRoad_tech!U193)</f>
        <v>1.640076383394969</v>
      </c>
      <c r="V220" s="93">
        <f>IF(TrRoad_act!V81=0,0,TrRoad_emi!V78/TrRoad_tech!V193)</f>
        <v>1.5445967977179897</v>
      </c>
      <c r="W220" s="93">
        <f>IF(TrRoad_act!W81=0,0,TrRoad_emi!W78/TrRoad_tech!W193)</f>
        <v>1.5748864989353106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25.108711823925962</v>
      </c>
      <c r="C221" s="94">
        <f>IF(TrRoad_act!C82=0,0,TrRoad_emi!C79/TrRoad_tech!C194)</f>
        <v>25.730883734636077</v>
      </c>
      <c r="D221" s="94">
        <f>IF(TrRoad_act!D82=0,0,TrRoad_emi!D79/TrRoad_tech!D194)</f>
        <v>26.253430701351451</v>
      </c>
      <c r="E221" s="94">
        <f>IF(TrRoad_act!E82=0,0,TrRoad_emi!E79/TrRoad_tech!E194)</f>
        <v>30.565467851674015</v>
      </c>
      <c r="F221" s="94">
        <f>IF(TrRoad_act!F82=0,0,TrRoad_emi!F79/TrRoad_tech!F194)</f>
        <v>35.840609301124175</v>
      </c>
      <c r="G221" s="94">
        <f>IF(TrRoad_act!G82=0,0,TrRoad_emi!G79/TrRoad_tech!G194)</f>
        <v>39.997689451997971</v>
      </c>
      <c r="H221" s="94">
        <f>IF(TrRoad_act!H82=0,0,TrRoad_emi!H79/TrRoad_tech!H194)</f>
        <v>39.436677854644934</v>
      </c>
      <c r="I221" s="94">
        <f>IF(TrRoad_act!I82=0,0,TrRoad_emi!I79/TrRoad_tech!I194)</f>
        <v>34.532966949071863</v>
      </c>
      <c r="J221" s="94">
        <f>IF(TrRoad_act!J82=0,0,TrRoad_emi!J79/TrRoad_tech!J194)</f>
        <v>31.364380177241038</v>
      </c>
      <c r="K221" s="94">
        <f>IF(TrRoad_act!K82=0,0,TrRoad_emi!K79/TrRoad_tech!K194)</f>
        <v>30.948396064298475</v>
      </c>
      <c r="L221" s="94">
        <f>IF(TrRoad_act!L82=0,0,TrRoad_emi!L79/TrRoad_tech!L194)</f>
        <v>34.172146326412587</v>
      </c>
      <c r="M221" s="94">
        <f>IF(TrRoad_act!M82=0,0,TrRoad_emi!M79/TrRoad_tech!M194)</f>
        <v>36.793117750551197</v>
      </c>
      <c r="N221" s="94">
        <f>IF(TrRoad_act!N82=0,0,TrRoad_emi!N79/TrRoad_tech!N194)</f>
        <v>30.118961165968166</v>
      </c>
      <c r="O221" s="94">
        <f>IF(TrRoad_act!O82=0,0,TrRoad_emi!O79/TrRoad_tech!O194)</f>
        <v>31.126541749612795</v>
      </c>
      <c r="P221" s="94">
        <f>IF(TrRoad_act!P82=0,0,TrRoad_emi!P79/TrRoad_tech!P194)</f>
        <v>27.530551356873037</v>
      </c>
      <c r="Q221" s="94">
        <f>IF(TrRoad_act!Q82=0,0,TrRoad_emi!Q79/TrRoad_tech!Q194)</f>
        <v>29.033838912764303</v>
      </c>
      <c r="R221" s="94">
        <f>IF(TrRoad_act!R82=0,0,TrRoad_emi!R79/TrRoad_tech!R194)</f>
        <v>26.795664070524612</v>
      </c>
      <c r="S221" s="94">
        <f>IF(TrRoad_act!S82=0,0,TrRoad_emi!S79/TrRoad_tech!S194)</f>
        <v>27.284258532862026</v>
      </c>
      <c r="T221" s="94">
        <f>IF(TrRoad_act!T82=0,0,TrRoad_emi!T79/TrRoad_tech!T194)</f>
        <v>31.450437557085699</v>
      </c>
      <c r="U221" s="94">
        <f>IF(TrRoad_act!U82=0,0,TrRoad_emi!U79/TrRoad_tech!U194)</f>
        <v>33.339633163938132</v>
      </c>
      <c r="V221" s="94">
        <f>IF(TrRoad_act!V82=0,0,TrRoad_emi!V79/TrRoad_tech!V194)</f>
        <v>26.651371813152863</v>
      </c>
      <c r="W221" s="94">
        <f>IF(TrRoad_act!W82=0,0,TrRoad_emi!W79/TrRoad_tech!W194)</f>
        <v>26.300532289619177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105.97849851787939</v>
      </c>
      <c r="C225" s="152">
        <v>109.0352500804064</v>
      </c>
      <c r="D225" s="152">
        <v>112.53515536660838</v>
      </c>
      <c r="E225" s="152">
        <v>110.99765207365532</v>
      </c>
      <c r="F225" s="152">
        <v>110.99765207365532</v>
      </c>
      <c r="G225" s="152">
        <v>112.53515536660838</v>
      </c>
      <c r="H225" s="152">
        <v>110.99765207365532</v>
      </c>
      <c r="I225" s="152">
        <v>109.46014878070224</v>
      </c>
      <c r="J225" s="152">
        <v>105.9285423956765</v>
      </c>
      <c r="K225" s="152">
        <v>99.430463128182623</v>
      </c>
      <c r="L225" s="152">
        <v>95.373080867826943</v>
      </c>
      <c r="M225" s="152">
        <v>92.428527116301424</v>
      </c>
      <c r="N225" s="152">
        <v>87.486067333981225</v>
      </c>
      <c r="O225" s="152">
        <v>83.636894232176459</v>
      </c>
      <c r="P225" s="152">
        <v>82.165130503125354</v>
      </c>
      <c r="Q225" s="152">
        <v>80.842330827067315</v>
      </c>
      <c r="R225" s="152">
        <v>78.957165484203614</v>
      </c>
      <c r="S225" s="152">
        <v>77.449033209912656</v>
      </c>
      <c r="T225" s="152">
        <v>76.242527390479893</v>
      </c>
      <c r="U225" s="152">
        <v>75.277322734933662</v>
      </c>
      <c r="V225" s="152">
        <v>74.505159010496698</v>
      </c>
      <c r="W225" s="152">
        <v>73.88742803094712</v>
      </c>
      <c r="DA225" s="174" t="s">
        <v>931</v>
      </c>
    </row>
    <row r="226" spans="1:105" ht="11.45" customHeight="1" x14ac:dyDescent="0.25">
      <c r="A226" s="109" t="s">
        <v>20</v>
      </c>
      <c r="B226" s="116">
        <v>207.25585428054455</v>
      </c>
      <c r="C226" s="116">
        <v>209.0451562780261</v>
      </c>
      <c r="D226" s="116">
        <v>210.02293687854163</v>
      </c>
      <c r="E226" s="116">
        <v>211.38213279882893</v>
      </c>
      <c r="F226" s="116">
        <v>207.13485384361277</v>
      </c>
      <c r="G226" s="116">
        <v>207.52171693909924</v>
      </c>
      <c r="H226" s="116">
        <v>206.44580385524799</v>
      </c>
      <c r="I226" s="116">
        <v>204.62329581209119</v>
      </c>
      <c r="J226" s="116">
        <v>197.62496693593741</v>
      </c>
      <c r="K226" s="116">
        <v>189.30225620296443</v>
      </c>
      <c r="L226" s="116">
        <v>181.54787423803197</v>
      </c>
      <c r="M226" s="116">
        <v>176.75822840610854</v>
      </c>
      <c r="N226" s="116">
        <v>171.40630448120382</v>
      </c>
      <c r="O226" s="116">
        <v>165.88373994069329</v>
      </c>
      <c r="P226" s="116">
        <v>161.66953543026506</v>
      </c>
      <c r="Q226" s="116">
        <v>158.82059237179553</v>
      </c>
      <c r="R226" s="116">
        <v>156.34377045823396</v>
      </c>
      <c r="S226" s="116">
        <v>155.94147973097435</v>
      </c>
      <c r="T226" s="116">
        <v>160.14725341490833</v>
      </c>
      <c r="U226" s="116">
        <v>159.809476959287</v>
      </c>
      <c r="V226" s="116">
        <v>143.95463953468973</v>
      </c>
      <c r="W226" s="116">
        <v>124.73478196619673</v>
      </c>
      <c r="DA226" s="176" t="s">
        <v>932</v>
      </c>
    </row>
    <row r="227" spans="1:105" ht="11.45" customHeight="1" x14ac:dyDescent="0.25">
      <c r="A227" s="111" t="s">
        <v>110</v>
      </c>
      <c r="B227" s="87">
        <v>203.53757526003267</v>
      </c>
      <c r="C227" s="87">
        <v>210.56974492079982</v>
      </c>
      <c r="D227" s="87">
        <v>218.6685812639075</v>
      </c>
      <c r="E227" s="87">
        <v>215.96896914953822</v>
      </c>
      <c r="F227" s="87">
        <v>215.96896914953825</v>
      </c>
      <c r="G227" s="87">
        <v>218.6685812639075</v>
      </c>
      <c r="H227" s="87">
        <v>215.96896914953825</v>
      </c>
      <c r="I227" s="87">
        <v>213.26935703516907</v>
      </c>
      <c r="J227" s="87">
        <v>205.17052069206133</v>
      </c>
      <c r="K227" s="87">
        <v>193.87734779595547</v>
      </c>
      <c r="L227" s="87">
        <v>186.68386336051421</v>
      </c>
      <c r="M227" s="87">
        <v>181.46719406914201</v>
      </c>
      <c r="N227" s="87">
        <v>175.68737475045978</v>
      </c>
      <c r="O227" s="87">
        <v>167.65598773752868</v>
      </c>
      <c r="P227" s="87">
        <v>164.58724740313744</v>
      </c>
      <c r="Q227" s="87">
        <v>161.65837497806939</v>
      </c>
      <c r="R227" s="87">
        <v>161.14771006586787</v>
      </c>
      <c r="S227" s="87">
        <v>159.60850232166823</v>
      </c>
      <c r="T227" s="87">
        <v>163.17620329855271</v>
      </c>
      <c r="U227" s="87">
        <v>165.27634993423629</v>
      </c>
      <c r="V227" s="87">
        <v>160.9071661237785</v>
      </c>
      <c r="W227" s="87">
        <v>154.62449000151111</v>
      </c>
      <c r="DA227" s="171" t="s">
        <v>933</v>
      </c>
    </row>
    <row r="228" spans="1:105" ht="11.45" customHeight="1" x14ac:dyDescent="0.25">
      <c r="A228" s="111" t="s">
        <v>111</v>
      </c>
      <c r="B228" s="87">
        <v>212.02448218850233</v>
      </c>
      <c r="C228" s="87">
        <v>208.82289283946099</v>
      </c>
      <c r="D228" s="87">
        <v>205.32223962369119</v>
      </c>
      <c r="E228" s="87">
        <v>209.04189424371998</v>
      </c>
      <c r="F228" s="87">
        <v>203.92399988880717</v>
      </c>
      <c r="G228" s="87">
        <v>203.87683035558211</v>
      </c>
      <c r="H228" s="87">
        <v>203.52305885639464</v>
      </c>
      <c r="I228" s="87">
        <v>202.15514239286955</v>
      </c>
      <c r="J228" s="87">
        <v>195.41663764644053</v>
      </c>
      <c r="K228" s="87">
        <v>187.73717383128511</v>
      </c>
      <c r="L228" s="87">
        <v>180.52592674758611</v>
      </c>
      <c r="M228" s="87">
        <v>176.53645833711263</v>
      </c>
      <c r="N228" s="87">
        <v>170.60973896271372</v>
      </c>
      <c r="O228" s="87">
        <v>166.72207413292102</v>
      </c>
      <c r="P228" s="87">
        <v>161.94381502811501</v>
      </c>
      <c r="Q228" s="87">
        <v>157.54140078858501</v>
      </c>
      <c r="R228" s="87">
        <v>154.20599104034471</v>
      </c>
      <c r="S228" s="87">
        <v>156.88852153092179</v>
      </c>
      <c r="T228" s="87">
        <v>162.59548192771081</v>
      </c>
      <c r="U228" s="87">
        <v>163.52755940484121</v>
      </c>
      <c r="V228" s="87">
        <v>158.86210131332081</v>
      </c>
      <c r="W228" s="87">
        <v>149.7797328119909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163.67215573305248</v>
      </c>
      <c r="D229" s="87">
        <v>160.92839785043674</v>
      </c>
      <c r="E229" s="87">
        <v>163.84380564871174</v>
      </c>
      <c r="F229" s="87">
        <v>159.83247915815028</v>
      </c>
      <c r="G229" s="87">
        <v>159.79550840708521</v>
      </c>
      <c r="H229" s="87">
        <v>159.51822777409708</v>
      </c>
      <c r="I229" s="87">
        <v>158.44607599320969</v>
      </c>
      <c r="J229" s="87">
        <v>153.16454012676931</v>
      </c>
      <c r="K229" s="87">
        <v>147.14549508621067</v>
      </c>
      <c r="L229" s="87">
        <v>135.02302959871005</v>
      </c>
      <c r="M229" s="87">
        <v>136.51265786174017</v>
      </c>
      <c r="N229" s="87">
        <v>182.71955719557195</v>
      </c>
      <c r="O229" s="87">
        <v>129.74169741697418</v>
      </c>
      <c r="P229" s="87">
        <v>130.08638916926216</v>
      </c>
      <c r="Q229" s="87">
        <v>129.71370206344699</v>
      </c>
      <c r="R229" s="87">
        <v>129.30394762737433</v>
      </c>
      <c r="S229" s="87">
        <v>0</v>
      </c>
      <c r="T229" s="87">
        <v>146.5</v>
      </c>
      <c r="U229" s="87">
        <v>182.99999999999997</v>
      </c>
      <c r="V229" s="87">
        <v>124.66666666666669</v>
      </c>
      <c r="W229" s="87">
        <v>117.3333333333333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105.19343698887599</v>
      </c>
      <c r="O231" s="87">
        <v>110.98673481871708</v>
      </c>
      <c r="P231" s="87">
        <v>29.714983011195464</v>
      </c>
      <c r="Q231" s="87">
        <v>67.533147985741223</v>
      </c>
      <c r="R231" s="87">
        <v>52.492266556769138</v>
      </c>
      <c r="S231" s="87">
        <v>58.444602179845084</v>
      </c>
      <c r="T231" s="87">
        <v>63.055143549410722</v>
      </c>
      <c r="U231" s="87">
        <v>61.103620474406981</v>
      </c>
      <c r="V231" s="87">
        <v>45.600339414509961</v>
      </c>
      <c r="W231" s="87">
        <v>39.621930325528268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1421.8277138811297</v>
      </c>
      <c r="C233" s="116">
        <v>1433.7814430089009</v>
      </c>
      <c r="D233" s="116">
        <v>1447.1812695790777</v>
      </c>
      <c r="E233" s="116">
        <v>1410.6135185651376</v>
      </c>
      <c r="F233" s="116">
        <v>1442.6729167143453</v>
      </c>
      <c r="G233" s="116">
        <v>1447.1393963326557</v>
      </c>
      <c r="H233" s="116">
        <v>1442.6311739141738</v>
      </c>
      <c r="I233" s="116">
        <v>1438.0802869302177</v>
      </c>
      <c r="J233" s="116">
        <v>1424.0273851035377</v>
      </c>
      <c r="K233" s="116">
        <v>1403.5879658604529</v>
      </c>
      <c r="L233" s="116">
        <v>1390.4677586377752</v>
      </c>
      <c r="M233" s="116">
        <v>1380.746352095771</v>
      </c>
      <c r="N233" s="116">
        <v>1363.8291074406134</v>
      </c>
      <c r="O233" s="116">
        <v>1334.4682581038089</v>
      </c>
      <c r="P233" s="116">
        <v>1345.0123215955327</v>
      </c>
      <c r="Q233" s="116">
        <v>1340.2449215971562</v>
      </c>
      <c r="R233" s="116">
        <v>1335.9687111510345</v>
      </c>
      <c r="S233" s="116">
        <v>1287.5416030174663</v>
      </c>
      <c r="T233" s="116">
        <v>1202.0337969728757</v>
      </c>
      <c r="U233" s="116">
        <v>969.60567644313937</v>
      </c>
      <c r="V233" s="116">
        <v>1032.293866539005</v>
      </c>
      <c r="W233" s="116">
        <v>1083.1415448896121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291.83554656595601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1421.8277138811297</v>
      </c>
      <c r="C235" s="101">
        <v>1433.7814430089009</v>
      </c>
      <c r="D235" s="101">
        <v>1447.1812695790777</v>
      </c>
      <c r="E235" s="101">
        <v>1442.6729167143453</v>
      </c>
      <c r="F235" s="101">
        <v>1442.6729167143453</v>
      </c>
      <c r="G235" s="101">
        <v>1447.1393963326557</v>
      </c>
      <c r="H235" s="101">
        <v>1442.6311739141738</v>
      </c>
      <c r="I235" s="101">
        <v>1438.0802869302177</v>
      </c>
      <c r="J235" s="101">
        <v>1424.0273851035377</v>
      </c>
      <c r="K235" s="101">
        <v>1403.5879658604529</v>
      </c>
      <c r="L235" s="101">
        <v>1390.4677586377752</v>
      </c>
      <c r="M235" s="101">
        <v>1380.746352095771</v>
      </c>
      <c r="N235" s="101">
        <v>1363.8291074406134</v>
      </c>
      <c r="O235" s="101">
        <v>1350.2607818683512</v>
      </c>
      <c r="P235" s="101">
        <v>1345.0123215955327</v>
      </c>
      <c r="Q235" s="101">
        <v>1340.2449215971562</v>
      </c>
      <c r="R235" s="101">
        <v>1335.9687111510345</v>
      </c>
      <c r="S235" s="101">
        <v>1332.1317884033526</v>
      </c>
      <c r="T235" s="101">
        <v>1328.6879806777713</v>
      </c>
      <c r="U235" s="101">
        <v>1325.5961663449682</v>
      </c>
      <c r="V235" s="101">
        <v>1322.8196852655512</v>
      </c>
      <c r="W235" s="101">
        <v>1320.3258247924468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285.25267961280792</v>
      </c>
      <c r="D240" s="152">
        <v>279.82677915576812</v>
      </c>
      <c r="E240" s="152">
        <v>283.71587802156193</v>
      </c>
      <c r="F240" s="152">
        <v>277.41755433893354</v>
      </c>
      <c r="G240" s="152">
        <v>277.35204085086832</v>
      </c>
      <c r="H240" s="152">
        <v>276.83594911185355</v>
      </c>
      <c r="I240" s="152">
        <v>274.5391220774377</v>
      </c>
      <c r="J240" s="152">
        <v>264.96341787999819</v>
      </c>
      <c r="K240" s="152">
        <v>249.68077212956891</v>
      </c>
      <c r="L240" s="152">
        <v>244.35937366284102</v>
      </c>
      <c r="M240" s="152">
        <v>239.64461650655599</v>
      </c>
      <c r="N240" s="152">
        <v>230.64103844206713</v>
      </c>
      <c r="O240" s="152">
        <v>219.3146148009813</v>
      </c>
      <c r="P240" s="152">
        <v>219.506914181067</v>
      </c>
      <c r="Q240" s="152">
        <v>211.194118160811</v>
      </c>
      <c r="R240" s="152">
        <v>205.54644988372917</v>
      </c>
      <c r="S240" s="152">
        <v>194.71968046335542</v>
      </c>
      <c r="T240" s="152">
        <v>197.29625284293587</v>
      </c>
      <c r="U240" s="152">
        <v>194.55020580820994</v>
      </c>
      <c r="V240" s="152">
        <v>210.58929672564076</v>
      </c>
      <c r="W240" s="152">
        <v>197.86629941567946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219.99613098622029</v>
      </c>
      <c r="D241" s="87">
        <v>228.45752063953643</v>
      </c>
      <c r="E241" s="87">
        <v>225.63705742176441</v>
      </c>
      <c r="F241" s="87">
        <v>225.63705742176441</v>
      </c>
      <c r="G241" s="87">
        <v>228.45752063953643</v>
      </c>
      <c r="H241" s="87">
        <v>225.63705742176435</v>
      </c>
      <c r="I241" s="87">
        <v>222.81659420399231</v>
      </c>
      <c r="J241" s="87">
        <v>214.35520455067615</v>
      </c>
      <c r="K241" s="87">
        <v>202.55648035771949</v>
      </c>
      <c r="L241" s="87">
        <v>195.18939044319546</v>
      </c>
      <c r="M241" s="87">
        <v>189.8428909384296</v>
      </c>
      <c r="N241" s="87">
        <v>180.86874374726114</v>
      </c>
      <c r="O241" s="87">
        <v>181.77789675363928</v>
      </c>
      <c r="P241" s="87">
        <v>198.51876950350646</v>
      </c>
      <c r="Q241" s="87">
        <v>186.37071939455927</v>
      </c>
      <c r="R241" s="87">
        <v>165.81332930088172</v>
      </c>
      <c r="S241" s="87">
        <v>169.09236683114864</v>
      </c>
      <c r="T241" s="87">
        <v>176.8900938128541</v>
      </c>
      <c r="U241" s="87">
        <v>172.70370370370367</v>
      </c>
      <c r="V241" s="87">
        <v>159.5740740740741</v>
      </c>
      <c r="W241" s="87">
        <v>164.47191011235961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285.81938867600019</v>
      </c>
      <c r="D242" s="87">
        <v>281.02798602616139</v>
      </c>
      <c r="E242" s="87">
        <v>286.11913956362247</v>
      </c>
      <c r="F242" s="87">
        <v>279.11419189749614</v>
      </c>
      <c r="G242" s="87">
        <v>279.04963016785439</v>
      </c>
      <c r="H242" s="87">
        <v>278.5654171955415</v>
      </c>
      <c r="I242" s="87">
        <v>276.6931270359317</v>
      </c>
      <c r="J242" s="87">
        <v>267.47002280140066</v>
      </c>
      <c r="K242" s="87">
        <v>256.95901213987025</v>
      </c>
      <c r="L242" s="87">
        <v>247.08885755562486</v>
      </c>
      <c r="M242" s="87">
        <v>241.6284053670806</v>
      </c>
      <c r="N242" s="87">
        <v>233.34497219475628</v>
      </c>
      <c r="O242" s="87">
        <v>224.41102910839433</v>
      </c>
      <c r="P242" s="87">
        <v>221.96501710530572</v>
      </c>
      <c r="Q242" s="87">
        <v>213.28095736296078</v>
      </c>
      <c r="R242" s="87">
        <v>207.75805698930003</v>
      </c>
      <c r="S242" s="87">
        <v>197.512261503166</v>
      </c>
      <c r="T242" s="87">
        <v>200.72271923873922</v>
      </c>
      <c r="U242" s="87">
        <v>199.91279728199316</v>
      </c>
      <c r="V242" s="87">
        <v>216.2249328431584</v>
      </c>
      <c r="W242" s="87">
        <v>204.50236966824639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168.9790691127796</v>
      </c>
      <c r="P243" s="87">
        <v>160.82116683391646</v>
      </c>
      <c r="Q243" s="87">
        <v>185.62273736833163</v>
      </c>
      <c r="R243" s="87">
        <v>165.14785250050809</v>
      </c>
      <c r="S243" s="87">
        <v>168.41372991021569</v>
      </c>
      <c r="T243" s="87">
        <v>176.18016141993559</v>
      </c>
      <c r="U243" s="87">
        <v>172.01057300885552</v>
      </c>
      <c r="V243" s="87">
        <v>126.45642708470683</v>
      </c>
      <c r="W243" s="87">
        <v>221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987.77432417518764</v>
      </c>
      <c r="D246" s="116">
        <v>1008.8724494485797</v>
      </c>
      <c r="E246" s="116">
        <v>978.28068836775537</v>
      </c>
      <c r="F246" s="116">
        <v>999.53208853335343</v>
      </c>
      <c r="G246" s="116">
        <v>953.61189553828683</v>
      </c>
      <c r="H246" s="116">
        <v>953.64411124090816</v>
      </c>
      <c r="I246" s="116">
        <v>954.6046309018634</v>
      </c>
      <c r="J246" s="116">
        <v>925.47114373522538</v>
      </c>
      <c r="K246" s="116">
        <v>896.37727277318345</v>
      </c>
      <c r="L246" s="116">
        <v>900.71172388596813</v>
      </c>
      <c r="M246" s="116">
        <v>881.0700646912228</v>
      </c>
      <c r="N246" s="116">
        <v>906.64290743327967</v>
      </c>
      <c r="O246" s="116">
        <v>882.17366714993523</v>
      </c>
      <c r="P246" s="116">
        <v>856.9166966051796</v>
      </c>
      <c r="Q246" s="116">
        <v>797.44572835030772</v>
      </c>
      <c r="R246" s="116">
        <v>793.10636539654001</v>
      </c>
      <c r="S246" s="116">
        <v>769.13164916113897</v>
      </c>
      <c r="T246" s="116">
        <v>740.72778201487893</v>
      </c>
      <c r="U246" s="116">
        <v>719.27062328943725</v>
      </c>
      <c r="V246" s="116">
        <v>702.97799932292151</v>
      </c>
      <c r="W246" s="116">
        <v>717.24861014749274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906.15050521056685</v>
      </c>
      <c r="D247" s="101">
        <v>901.51935830063803</v>
      </c>
      <c r="E247" s="101">
        <v>895.75271837575713</v>
      </c>
      <c r="F247" s="101">
        <v>888.86523857658665</v>
      </c>
      <c r="G247" s="101">
        <v>880.87429658896599</v>
      </c>
      <c r="H247" s="101">
        <v>871.79988627714783</v>
      </c>
      <c r="I247" s="101">
        <v>861.66449453047744</v>
      </c>
      <c r="J247" s="101">
        <v>850.49296471391801</v>
      </c>
      <c r="K247" s="101">
        <v>838.31234822107444</v>
      </c>
      <c r="L247" s="101">
        <v>825.15174576474203</v>
      </c>
      <c r="M247" s="101">
        <v>811.0421400654875</v>
      </c>
      <c r="N247" s="101">
        <v>796.01622166307391</v>
      </c>
      <c r="O247" s="101">
        <v>780.10820959574676</v>
      </c>
      <c r="P247" s="101">
        <v>763.35366865133608</v>
      </c>
      <c r="Q247" s="101">
        <v>745.78932489441729</v>
      </c>
      <c r="R247" s="101">
        <v>717.92050008223021</v>
      </c>
      <c r="S247" s="101">
        <v>698.41232271369915</v>
      </c>
      <c r="T247" s="101">
        <v>677.92873647674185</v>
      </c>
      <c r="U247" s="101">
        <v>652.89324218712704</v>
      </c>
      <c r="V247" s="101">
        <v>649.25708111990139</v>
      </c>
      <c r="W247" s="101">
        <v>642.76451030870248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0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332</v>
      </c>
      <c r="C4" s="28">
        <f t="shared" ref="C4:V4" si="1">SUM(C5,C6,C9)</f>
        <v>346</v>
      </c>
      <c r="D4" s="28">
        <f t="shared" si="1"/>
        <v>268</v>
      </c>
      <c r="E4" s="28">
        <f t="shared" si="1"/>
        <v>262</v>
      </c>
      <c r="F4" s="28">
        <f t="shared" si="1"/>
        <v>253</v>
      </c>
      <c r="G4" s="28">
        <f t="shared" si="1"/>
        <v>267</v>
      </c>
      <c r="H4" s="28">
        <f t="shared" si="1"/>
        <v>298</v>
      </c>
      <c r="I4" s="28">
        <f t="shared" si="1"/>
        <v>316</v>
      </c>
      <c r="J4" s="28">
        <f t="shared" si="1"/>
        <v>345</v>
      </c>
      <c r="K4" s="28">
        <f t="shared" si="1"/>
        <v>333</v>
      </c>
      <c r="L4" s="28">
        <f t="shared" si="1"/>
        <v>347</v>
      </c>
      <c r="M4" s="28">
        <f t="shared" si="1"/>
        <v>349</v>
      </c>
      <c r="N4" s="28">
        <f t="shared" si="1"/>
        <v>373</v>
      </c>
      <c r="O4" s="28">
        <f t="shared" si="1"/>
        <v>394</v>
      </c>
      <c r="P4" s="28">
        <f t="shared" si="1"/>
        <v>366</v>
      </c>
      <c r="Q4" s="28">
        <f t="shared" si="1"/>
        <v>418</v>
      </c>
      <c r="R4" s="28">
        <f t="shared" si="1"/>
        <v>417</v>
      </c>
      <c r="S4" s="28">
        <f t="shared" si="1"/>
        <v>438</v>
      </c>
      <c r="T4" s="28">
        <f t="shared" si="1"/>
        <v>462.5</v>
      </c>
      <c r="U4" s="28">
        <f t="shared" si="1"/>
        <v>494.2</v>
      </c>
      <c r="V4" s="28">
        <f t="shared" si="1"/>
        <v>299.73171150447064</v>
      </c>
      <c r="W4" s="28">
        <f t="shared" ref="W4" si="2">SUM(W5,W6,W9)</f>
        <v>338.13234432053679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19.5</v>
      </c>
      <c r="U5" s="108">
        <v>31.2</v>
      </c>
      <c r="V5" s="108">
        <v>31.731711504470649</v>
      </c>
      <c r="W5" s="108">
        <v>34.132344320536788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332</v>
      </c>
      <c r="C6" s="110">
        <f t="shared" ref="C6:V6" si="4">SUM(C7:C8)</f>
        <v>346</v>
      </c>
      <c r="D6" s="110">
        <f t="shared" si="4"/>
        <v>268</v>
      </c>
      <c r="E6" s="110">
        <f t="shared" si="4"/>
        <v>262</v>
      </c>
      <c r="F6" s="110">
        <f t="shared" si="4"/>
        <v>253</v>
      </c>
      <c r="G6" s="110">
        <f t="shared" si="4"/>
        <v>267</v>
      </c>
      <c r="H6" s="110">
        <f t="shared" si="4"/>
        <v>298</v>
      </c>
      <c r="I6" s="110">
        <f t="shared" si="4"/>
        <v>316</v>
      </c>
      <c r="J6" s="110">
        <f t="shared" si="4"/>
        <v>345</v>
      </c>
      <c r="K6" s="110">
        <f t="shared" si="4"/>
        <v>333</v>
      </c>
      <c r="L6" s="110">
        <f t="shared" si="4"/>
        <v>347</v>
      </c>
      <c r="M6" s="110">
        <f t="shared" si="4"/>
        <v>349</v>
      </c>
      <c r="N6" s="110">
        <f t="shared" si="4"/>
        <v>373</v>
      </c>
      <c r="O6" s="110">
        <f t="shared" si="4"/>
        <v>394</v>
      </c>
      <c r="P6" s="110">
        <f t="shared" si="4"/>
        <v>366</v>
      </c>
      <c r="Q6" s="110">
        <f t="shared" si="4"/>
        <v>418</v>
      </c>
      <c r="R6" s="110">
        <f t="shared" si="4"/>
        <v>417</v>
      </c>
      <c r="S6" s="110">
        <f t="shared" si="4"/>
        <v>438</v>
      </c>
      <c r="T6" s="110">
        <f t="shared" si="4"/>
        <v>443</v>
      </c>
      <c r="U6" s="110">
        <f t="shared" si="4"/>
        <v>463</v>
      </c>
      <c r="V6" s="110">
        <f t="shared" si="4"/>
        <v>268</v>
      </c>
      <c r="W6" s="110">
        <f t="shared" ref="W6" si="5">SUM(W7:W8)</f>
        <v>304</v>
      </c>
      <c r="DA6" s="176" t="s">
        <v>377</v>
      </c>
    </row>
    <row r="7" spans="1:105" ht="11.45" customHeight="1" x14ac:dyDescent="0.25">
      <c r="A7" s="111" t="s">
        <v>90</v>
      </c>
      <c r="B7" s="84">
        <v>72.691862044751147</v>
      </c>
      <c r="C7" s="84">
        <v>74.317210816327531</v>
      </c>
      <c r="D7" s="84">
        <v>72.241204237515163</v>
      </c>
      <c r="E7" s="84">
        <v>52.881026757355258</v>
      </c>
      <c r="F7" s="84">
        <v>42.320218519253011</v>
      </c>
      <c r="G7" s="84">
        <v>30.388636683855704</v>
      </c>
      <c r="H7" s="84">
        <v>30.957830659533123</v>
      </c>
      <c r="I7" s="84">
        <v>49.776281709496985</v>
      </c>
      <c r="J7" s="84">
        <v>68.826264357039463</v>
      </c>
      <c r="K7" s="84">
        <v>55.685737539204922</v>
      </c>
      <c r="L7" s="84">
        <v>60.8709684324295</v>
      </c>
      <c r="M7" s="84">
        <v>55.17854942427158</v>
      </c>
      <c r="N7" s="84">
        <v>63.066077868175583</v>
      </c>
      <c r="O7" s="84">
        <v>50.854023882149114</v>
      </c>
      <c r="P7" s="84">
        <v>63.097159193219269</v>
      </c>
      <c r="Q7" s="84">
        <v>51.899531218201481</v>
      </c>
      <c r="R7" s="84">
        <v>52.932854057280672</v>
      </c>
      <c r="S7" s="84">
        <v>51.352756755835628</v>
      </c>
      <c r="T7" s="84">
        <v>59.627403451514681</v>
      </c>
      <c r="U7" s="84">
        <v>60.592993827526193</v>
      </c>
      <c r="V7" s="84">
        <v>33.21801989096177</v>
      </c>
      <c r="W7" s="84">
        <v>43.736260919972167</v>
      </c>
      <c r="DA7" s="171" t="s">
        <v>1029</v>
      </c>
    </row>
    <row r="8" spans="1:105" ht="11.45" customHeight="1" x14ac:dyDescent="0.25">
      <c r="A8" s="111" t="s">
        <v>93</v>
      </c>
      <c r="B8" s="84">
        <v>259.30813795524887</v>
      </c>
      <c r="C8" s="84">
        <v>271.68278918367247</v>
      </c>
      <c r="D8" s="84">
        <v>195.75879576248485</v>
      </c>
      <c r="E8" s="84">
        <v>209.11897324264476</v>
      </c>
      <c r="F8" s="84">
        <v>210.67978148074698</v>
      </c>
      <c r="G8" s="84">
        <v>236.61136331614429</v>
      </c>
      <c r="H8" s="84">
        <v>267.0421693404669</v>
      </c>
      <c r="I8" s="84">
        <v>266.22371829050303</v>
      </c>
      <c r="J8" s="84">
        <v>276.17373564296054</v>
      </c>
      <c r="K8" s="84">
        <v>277.31426246079508</v>
      </c>
      <c r="L8" s="84">
        <v>286.12903156757051</v>
      </c>
      <c r="M8" s="84">
        <v>293.82145057572842</v>
      </c>
      <c r="N8" s="84">
        <v>309.93392213182443</v>
      </c>
      <c r="O8" s="84">
        <v>343.14597611785086</v>
      </c>
      <c r="P8" s="84">
        <v>302.90284080678072</v>
      </c>
      <c r="Q8" s="84">
        <v>366.1004687817985</v>
      </c>
      <c r="R8" s="84">
        <v>364.06714594271932</v>
      </c>
      <c r="S8" s="84">
        <v>386.64724324416437</v>
      </c>
      <c r="T8" s="84">
        <v>383.37259654848532</v>
      </c>
      <c r="U8" s="84">
        <v>402.40700617247381</v>
      </c>
      <c r="V8" s="84">
        <v>234.78198010903822</v>
      </c>
      <c r="W8" s="84">
        <v>260.26373908002785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632</v>
      </c>
      <c r="C10" s="28">
        <f t="shared" ref="C10:V10" si="7">SUM(C11:C12)</f>
        <v>585</v>
      </c>
      <c r="D10" s="28">
        <f t="shared" si="7"/>
        <v>550</v>
      </c>
      <c r="E10" s="28">
        <f t="shared" si="7"/>
        <v>525</v>
      </c>
      <c r="F10" s="28">
        <f t="shared" si="7"/>
        <v>559</v>
      </c>
      <c r="G10" s="28">
        <f t="shared" si="7"/>
        <v>392</v>
      </c>
      <c r="H10" s="28">
        <f t="shared" si="7"/>
        <v>441</v>
      </c>
      <c r="I10" s="28">
        <f t="shared" si="7"/>
        <v>574</v>
      </c>
      <c r="J10" s="28">
        <f t="shared" si="7"/>
        <v>279</v>
      </c>
      <c r="K10" s="28">
        <f t="shared" si="7"/>
        <v>200</v>
      </c>
      <c r="L10" s="28">
        <f t="shared" si="7"/>
        <v>323</v>
      </c>
      <c r="M10" s="28">
        <f t="shared" si="7"/>
        <v>288</v>
      </c>
      <c r="N10" s="28">
        <f t="shared" si="7"/>
        <v>231</v>
      </c>
      <c r="O10" s="28">
        <f t="shared" si="7"/>
        <v>218</v>
      </c>
      <c r="P10" s="28">
        <f t="shared" si="7"/>
        <v>208</v>
      </c>
      <c r="Q10" s="28">
        <f t="shared" si="7"/>
        <v>207</v>
      </c>
      <c r="R10" s="28">
        <f t="shared" si="7"/>
        <v>201</v>
      </c>
      <c r="S10" s="28">
        <f t="shared" si="7"/>
        <v>213</v>
      </c>
      <c r="T10" s="28">
        <f t="shared" si="7"/>
        <v>223</v>
      </c>
      <c r="U10" s="28">
        <f t="shared" si="7"/>
        <v>191</v>
      </c>
      <c r="V10" s="28">
        <f t="shared" si="7"/>
        <v>162</v>
      </c>
      <c r="W10" s="28">
        <f t="shared" ref="W10" si="8">SUM(W11:W12)</f>
        <v>176</v>
      </c>
      <c r="DA10" s="173" t="s">
        <v>383</v>
      </c>
    </row>
    <row r="11" spans="1:105" ht="11.45" customHeight="1" x14ac:dyDescent="0.25">
      <c r="A11" s="83" t="s">
        <v>90</v>
      </c>
      <c r="B11" s="84">
        <v>161.28054187871783</v>
      </c>
      <c r="C11" s="84">
        <v>146.57825235711081</v>
      </c>
      <c r="D11" s="84">
        <v>133.24643445167689</v>
      </c>
      <c r="E11" s="84">
        <v>113.12498970939558</v>
      </c>
      <c r="F11" s="84">
        <v>105.12140131157325</v>
      </c>
      <c r="G11" s="84">
        <v>48.458600895525144</v>
      </c>
      <c r="H11" s="84">
        <v>39.34703285638362</v>
      </c>
      <c r="I11" s="84">
        <v>61.909620512644779</v>
      </c>
      <c r="J11" s="84">
        <v>36.885039602566117</v>
      </c>
      <c r="K11" s="84">
        <v>23.530970901667359</v>
      </c>
      <c r="L11" s="84">
        <v>39.823392644211999</v>
      </c>
      <c r="M11" s="84">
        <v>32.074094161880303</v>
      </c>
      <c r="N11" s="84">
        <v>25.977931901941243</v>
      </c>
      <c r="O11" s="84">
        <v>22.49668275709654</v>
      </c>
      <c r="P11" s="84">
        <v>22.610955503821128</v>
      </c>
      <c r="Q11" s="84">
        <v>18.183045548930082</v>
      </c>
      <c r="R11" s="84">
        <v>18.044273680668127</v>
      </c>
      <c r="S11" s="84">
        <v>17.683369083561544</v>
      </c>
      <c r="T11" s="84">
        <v>20.48323409493544</v>
      </c>
      <c r="U11" s="84">
        <v>16.736924724462394</v>
      </c>
      <c r="V11" s="84">
        <v>15.661180805304973</v>
      </c>
      <c r="W11" s="84">
        <v>16.352681506774129</v>
      </c>
      <c r="DA11" s="171" t="s">
        <v>1031</v>
      </c>
    </row>
    <row r="12" spans="1:105" ht="11.45" customHeight="1" x14ac:dyDescent="0.25">
      <c r="A12" s="85" t="s">
        <v>93</v>
      </c>
      <c r="B12" s="86">
        <v>470.71945812128217</v>
      </c>
      <c r="C12" s="86">
        <v>438.42174764288916</v>
      </c>
      <c r="D12" s="86">
        <v>416.75356554832308</v>
      </c>
      <c r="E12" s="86">
        <v>411.87501029060445</v>
      </c>
      <c r="F12" s="86">
        <v>453.87859868842673</v>
      </c>
      <c r="G12" s="86">
        <v>343.54139910447486</v>
      </c>
      <c r="H12" s="86">
        <v>401.65296714361637</v>
      </c>
      <c r="I12" s="86">
        <v>512.09037948735522</v>
      </c>
      <c r="J12" s="86">
        <v>242.11496039743389</v>
      </c>
      <c r="K12" s="86">
        <v>176.46902909833264</v>
      </c>
      <c r="L12" s="86">
        <v>283.17660735578801</v>
      </c>
      <c r="M12" s="86">
        <v>255.92590583811969</v>
      </c>
      <c r="N12" s="86">
        <v>205.02206809805875</v>
      </c>
      <c r="O12" s="86">
        <v>195.50331724290345</v>
      </c>
      <c r="P12" s="86">
        <v>185.38904449617888</v>
      </c>
      <c r="Q12" s="86">
        <v>188.81695445106993</v>
      </c>
      <c r="R12" s="86">
        <v>182.95572631933186</v>
      </c>
      <c r="S12" s="86">
        <v>195.31663091643844</v>
      </c>
      <c r="T12" s="86">
        <v>202.51676590506457</v>
      </c>
      <c r="U12" s="86">
        <v>174.2630752755376</v>
      </c>
      <c r="V12" s="86">
        <v>146.33881919469502</v>
      </c>
      <c r="W12" s="86">
        <v>159.64731849322587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4.3916204931631544</v>
      </c>
      <c r="C14" s="62">
        <f t="shared" ref="C14:V14" si="10">C15+C21</f>
        <v>5.071283670374914</v>
      </c>
      <c r="D14" s="62">
        <f t="shared" si="10"/>
        <v>5.1254780882145505</v>
      </c>
      <c r="E14" s="62">
        <f t="shared" si="10"/>
        <v>4.6300603127006195</v>
      </c>
      <c r="F14" s="62">
        <f t="shared" si="10"/>
        <v>4.6258635940244215</v>
      </c>
      <c r="G14" s="62">
        <f t="shared" si="10"/>
        <v>5.2930214072461874</v>
      </c>
      <c r="H14" s="62">
        <f t="shared" si="10"/>
        <v>5.9353392275891013</v>
      </c>
      <c r="I14" s="62">
        <f t="shared" si="10"/>
        <v>6.5194558869006736</v>
      </c>
      <c r="J14" s="62">
        <f t="shared" si="10"/>
        <v>6.8869817066078705</v>
      </c>
      <c r="K14" s="62">
        <f t="shared" si="10"/>
        <v>6.7461431175020419</v>
      </c>
      <c r="L14" s="62">
        <f t="shared" si="10"/>
        <v>7.3464744653127516</v>
      </c>
      <c r="M14" s="62">
        <f t="shared" si="10"/>
        <v>7.8624666487848467</v>
      </c>
      <c r="N14" s="62">
        <f t="shared" si="10"/>
        <v>8.0619535270443201</v>
      </c>
      <c r="O14" s="62">
        <f t="shared" si="10"/>
        <v>8.4795359601096845</v>
      </c>
      <c r="P14" s="62">
        <f t="shared" si="10"/>
        <v>8.5806720688643896</v>
      </c>
      <c r="Q14" s="62">
        <f t="shared" si="10"/>
        <v>8.9428729632178836</v>
      </c>
      <c r="R14" s="62">
        <f t="shared" si="10"/>
        <v>9.1190944543536734</v>
      </c>
      <c r="S14" s="62">
        <f t="shared" si="10"/>
        <v>9.3213012736260339</v>
      </c>
      <c r="T14" s="62">
        <f t="shared" si="10"/>
        <v>10.372502302747103</v>
      </c>
      <c r="U14" s="62">
        <f t="shared" si="10"/>
        <v>10.628342261151058</v>
      </c>
      <c r="V14" s="62">
        <f t="shared" si="10"/>
        <v>9.6692208036400764</v>
      </c>
      <c r="W14" s="62">
        <f t="shared" ref="W14" si="11">W15+W21</f>
        <v>10.560002147677009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3.1249090083112674</v>
      </c>
      <c r="C15" s="29">
        <f t="shared" ref="C15:V15" si="13">SUM(C16,C17,C20)</f>
        <v>3.6351322759075488</v>
      </c>
      <c r="D15" s="29">
        <f t="shared" si="13"/>
        <v>3.6308290265464924</v>
      </c>
      <c r="E15" s="29">
        <f t="shared" si="13"/>
        <v>3.2032895579552378</v>
      </c>
      <c r="F15" s="29">
        <f t="shared" si="13"/>
        <v>3.1066786328356555</v>
      </c>
      <c r="G15" s="29">
        <f t="shared" si="13"/>
        <v>4.2035122050230891</v>
      </c>
      <c r="H15" s="29">
        <f t="shared" si="13"/>
        <v>4.8000271739577842</v>
      </c>
      <c r="I15" s="29">
        <f t="shared" si="13"/>
        <v>5.1323712983685024</v>
      </c>
      <c r="J15" s="29">
        <f t="shared" si="13"/>
        <v>5.9841785170420767</v>
      </c>
      <c r="K15" s="29">
        <f t="shared" si="13"/>
        <v>6.0560114227581519</v>
      </c>
      <c r="L15" s="29">
        <f t="shared" si="13"/>
        <v>6.5613351372745532</v>
      </c>
      <c r="M15" s="29">
        <f t="shared" si="13"/>
        <v>7.1512706354474966</v>
      </c>
      <c r="N15" s="29">
        <f t="shared" si="13"/>
        <v>7.4564289252213882</v>
      </c>
      <c r="O15" s="29">
        <f t="shared" si="13"/>
        <v>7.8872102863970923</v>
      </c>
      <c r="P15" s="29">
        <f t="shared" si="13"/>
        <v>8.0296000111639145</v>
      </c>
      <c r="Q15" s="29">
        <f t="shared" si="13"/>
        <v>8.3760820136417955</v>
      </c>
      <c r="R15" s="29">
        <f t="shared" si="13"/>
        <v>8.5775012202849066</v>
      </c>
      <c r="S15" s="29">
        <f t="shared" si="13"/>
        <v>8.7430029831553355</v>
      </c>
      <c r="T15" s="29">
        <f t="shared" si="13"/>
        <v>9.8002271564900898</v>
      </c>
      <c r="U15" s="29">
        <f t="shared" si="13"/>
        <v>10.074190675600283</v>
      </c>
      <c r="V15" s="29">
        <f t="shared" si="13"/>
        <v>9.1742962767659222</v>
      </c>
      <c r="W15" s="29">
        <f t="shared" ref="W15" si="14">SUM(W16,W17,W20)</f>
        <v>10.056034894314214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0.44476655952629607</v>
      </c>
      <c r="U16" s="115">
        <v>0.70475161987041046</v>
      </c>
      <c r="V16" s="115">
        <v>0.71814216040148104</v>
      </c>
      <c r="W16" s="115">
        <v>0.71859516251861111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3.1249090083112674</v>
      </c>
      <c r="C17" s="116">
        <f t="shared" ref="C17:V17" si="16">SUM(C18:C19)</f>
        <v>3.6351322759075488</v>
      </c>
      <c r="D17" s="116">
        <f t="shared" si="16"/>
        <v>3.6308290265464924</v>
      </c>
      <c r="E17" s="116">
        <f t="shared" si="16"/>
        <v>3.2032895579552378</v>
      </c>
      <c r="F17" s="116">
        <f t="shared" si="16"/>
        <v>3.1066786328356555</v>
      </c>
      <c r="G17" s="116">
        <f t="shared" si="16"/>
        <v>4.2035122050230891</v>
      </c>
      <c r="H17" s="116">
        <f t="shared" si="16"/>
        <v>4.8000271739577842</v>
      </c>
      <c r="I17" s="116">
        <f t="shared" si="16"/>
        <v>5.1323712983685024</v>
      </c>
      <c r="J17" s="116">
        <f t="shared" si="16"/>
        <v>5.9841785170420767</v>
      </c>
      <c r="K17" s="116">
        <f t="shared" si="16"/>
        <v>6.0560114227581519</v>
      </c>
      <c r="L17" s="116">
        <f t="shared" si="16"/>
        <v>6.5613351372745532</v>
      </c>
      <c r="M17" s="116">
        <f t="shared" si="16"/>
        <v>7.1512706354474966</v>
      </c>
      <c r="N17" s="116">
        <f t="shared" si="16"/>
        <v>7.4564289252213882</v>
      </c>
      <c r="O17" s="116">
        <f t="shared" si="16"/>
        <v>7.8872102863970923</v>
      </c>
      <c r="P17" s="116">
        <f t="shared" si="16"/>
        <v>8.0296000111639145</v>
      </c>
      <c r="Q17" s="116">
        <f t="shared" si="16"/>
        <v>8.3760820136417955</v>
      </c>
      <c r="R17" s="116">
        <f t="shared" si="16"/>
        <v>8.5775012202849066</v>
      </c>
      <c r="S17" s="116">
        <f t="shared" si="16"/>
        <v>8.7430029831553355</v>
      </c>
      <c r="T17" s="116">
        <f t="shared" si="16"/>
        <v>9.355460596963793</v>
      </c>
      <c r="U17" s="116">
        <f t="shared" si="16"/>
        <v>9.3694390557298721</v>
      </c>
      <c r="V17" s="116">
        <f t="shared" si="16"/>
        <v>8.4561541163644414</v>
      </c>
      <c r="W17" s="116">
        <f t="shared" ref="W17" si="17">SUM(W18:W19)</f>
        <v>9.3374397317956035</v>
      </c>
      <c r="DA17" s="176" t="s">
        <v>1036</v>
      </c>
    </row>
    <row r="18" spans="1:105" ht="11.45" customHeight="1" x14ac:dyDescent="0.25">
      <c r="A18" s="111" t="s">
        <v>92</v>
      </c>
      <c r="B18" s="87">
        <v>1.6240042028652064</v>
      </c>
      <c r="C18" s="87">
        <v>1.8948962294102412</v>
      </c>
      <c r="D18" s="87">
        <v>1.8430003632075975</v>
      </c>
      <c r="E18" s="87">
        <v>1.3724536792766469</v>
      </c>
      <c r="F18" s="87">
        <v>1.1108094385359029</v>
      </c>
      <c r="G18" s="87">
        <v>0.80254673520392328</v>
      </c>
      <c r="H18" s="87">
        <v>0.67743971909083023</v>
      </c>
      <c r="I18" s="87">
        <v>0.93672285138572819</v>
      </c>
      <c r="J18" s="87">
        <v>1.3860621510992845</v>
      </c>
      <c r="K18" s="87">
        <v>1.1696722940019859</v>
      </c>
      <c r="L18" s="87">
        <v>1.3968391212368372</v>
      </c>
      <c r="M18" s="87">
        <v>1.3743016361533236</v>
      </c>
      <c r="N18" s="87">
        <v>1.4225866351519858</v>
      </c>
      <c r="O18" s="87">
        <v>1.3821420354573191</v>
      </c>
      <c r="P18" s="87">
        <v>1.5055213185860865</v>
      </c>
      <c r="Q18" s="87">
        <v>1.2143673340690739</v>
      </c>
      <c r="R18" s="87">
        <v>1.2634914332247291</v>
      </c>
      <c r="S18" s="87">
        <v>1.1824078756912744</v>
      </c>
      <c r="T18" s="87">
        <v>1.424502207354444</v>
      </c>
      <c r="U18" s="87">
        <v>1.3637181507645801</v>
      </c>
      <c r="V18" s="87">
        <v>1.3590637992056549</v>
      </c>
      <c r="W18" s="87">
        <v>1.4501448044832472</v>
      </c>
      <c r="DA18" s="171" t="s">
        <v>1037</v>
      </c>
    </row>
    <row r="19" spans="1:105" ht="11.45" customHeight="1" x14ac:dyDescent="0.25">
      <c r="A19" s="111" t="s">
        <v>93</v>
      </c>
      <c r="B19" s="87">
        <v>1.500904805446061</v>
      </c>
      <c r="C19" s="87">
        <v>1.7402360464973077</v>
      </c>
      <c r="D19" s="87">
        <v>1.7878286633388949</v>
      </c>
      <c r="E19" s="87">
        <v>1.830835878678591</v>
      </c>
      <c r="F19" s="87">
        <v>1.9958691942997526</v>
      </c>
      <c r="G19" s="87">
        <v>3.4009654698191656</v>
      </c>
      <c r="H19" s="87">
        <v>4.1225874548669541</v>
      </c>
      <c r="I19" s="87">
        <v>4.1956484469827746</v>
      </c>
      <c r="J19" s="87">
        <v>4.5981163659427917</v>
      </c>
      <c r="K19" s="87">
        <v>4.8863391287561662</v>
      </c>
      <c r="L19" s="87">
        <v>5.1644960160377158</v>
      </c>
      <c r="M19" s="87">
        <v>5.7769689992941728</v>
      </c>
      <c r="N19" s="87">
        <v>6.0338422900694022</v>
      </c>
      <c r="O19" s="87">
        <v>6.5050682509397735</v>
      </c>
      <c r="P19" s="87">
        <v>6.5240786925778282</v>
      </c>
      <c r="Q19" s="87">
        <v>7.1617146795727216</v>
      </c>
      <c r="R19" s="87">
        <v>7.3140097870601775</v>
      </c>
      <c r="S19" s="87">
        <v>7.5605951074640609</v>
      </c>
      <c r="T19" s="87">
        <v>7.9309583896093487</v>
      </c>
      <c r="U19" s="87">
        <v>8.0057209049652922</v>
      </c>
      <c r="V19" s="87">
        <v>7.097090317158786</v>
      </c>
      <c r="W19" s="87">
        <v>7.8872949273123556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1.2667114848518866</v>
      </c>
      <c r="C21" s="29">
        <f t="shared" ref="C21:V21" si="19">SUM(C22:C23)</f>
        <v>1.4361513944673654</v>
      </c>
      <c r="D21" s="29">
        <f t="shared" si="19"/>
        <v>1.4946490616680583</v>
      </c>
      <c r="E21" s="29">
        <f t="shared" si="19"/>
        <v>1.4267707547453821</v>
      </c>
      <c r="F21" s="29">
        <f t="shared" si="19"/>
        <v>1.5191849611887656</v>
      </c>
      <c r="G21" s="29">
        <f t="shared" si="19"/>
        <v>1.0895092022230981</v>
      </c>
      <c r="H21" s="29">
        <f t="shared" si="19"/>
        <v>1.1353120536313173</v>
      </c>
      <c r="I21" s="29">
        <f t="shared" si="19"/>
        <v>1.3870845885321712</v>
      </c>
      <c r="J21" s="29">
        <f t="shared" si="19"/>
        <v>0.90280318956579364</v>
      </c>
      <c r="K21" s="29">
        <f t="shared" si="19"/>
        <v>0.69013169474388958</v>
      </c>
      <c r="L21" s="29">
        <f t="shared" si="19"/>
        <v>0.78513932803819875</v>
      </c>
      <c r="M21" s="29">
        <f t="shared" si="19"/>
        <v>0.71119601333735039</v>
      </c>
      <c r="N21" s="29">
        <f t="shared" si="19"/>
        <v>0.60552460182293233</v>
      </c>
      <c r="O21" s="29">
        <f t="shared" si="19"/>
        <v>0.59232567371259293</v>
      </c>
      <c r="P21" s="29">
        <f t="shared" si="19"/>
        <v>0.55107205770047529</v>
      </c>
      <c r="Q21" s="29">
        <f t="shared" si="19"/>
        <v>0.56679094957608867</v>
      </c>
      <c r="R21" s="29">
        <f t="shared" si="19"/>
        <v>0.54159323406876658</v>
      </c>
      <c r="S21" s="29">
        <f t="shared" si="19"/>
        <v>0.57829829047069747</v>
      </c>
      <c r="T21" s="29">
        <f t="shared" si="19"/>
        <v>0.57227514625701359</v>
      </c>
      <c r="U21" s="29">
        <f t="shared" si="19"/>
        <v>0.55415158555077437</v>
      </c>
      <c r="V21" s="29">
        <f t="shared" si="19"/>
        <v>0.49492452687415445</v>
      </c>
      <c r="W21" s="29">
        <f t="shared" ref="W21" si="20">SUM(W22:W23)</f>
        <v>0.50396725336279502</v>
      </c>
      <c r="DA21" s="173" t="s">
        <v>1040</v>
      </c>
    </row>
    <row r="22" spans="1:105" ht="11.45" customHeight="1" x14ac:dyDescent="0.25">
      <c r="A22" s="83" t="s">
        <v>92</v>
      </c>
      <c r="B22" s="87">
        <v>0.39533938875810598</v>
      </c>
      <c r="C22" s="87">
        <v>0.38907441963650885</v>
      </c>
      <c r="D22" s="87">
        <v>0.35341398810272245</v>
      </c>
      <c r="E22" s="87">
        <v>0.29929983292399787</v>
      </c>
      <c r="F22" s="87">
        <v>0.27741876858942727</v>
      </c>
      <c r="G22" s="87">
        <v>0.14329037538760114</v>
      </c>
      <c r="H22" s="87">
        <v>8.9801714737139673E-2</v>
      </c>
      <c r="I22" s="87">
        <v>0.13735806917796201</v>
      </c>
      <c r="J22" s="87">
        <v>8.4719069299349817E-2</v>
      </c>
      <c r="K22" s="87">
        <v>6.3617357436939068E-2</v>
      </c>
      <c r="L22" s="87">
        <v>7.4184153317548768E-2</v>
      </c>
      <c r="M22" s="87">
        <v>6.1260049375839801E-2</v>
      </c>
      <c r="N22" s="87">
        <v>5.6293627660972269E-2</v>
      </c>
      <c r="O22" s="87">
        <v>5.0476569654116378E-2</v>
      </c>
      <c r="P22" s="87">
        <v>4.9506002608750842E-2</v>
      </c>
      <c r="Q22" s="87">
        <v>4.1054003710937689E-2</v>
      </c>
      <c r="R22" s="87">
        <v>3.9272827195831111E-2</v>
      </c>
      <c r="S22" s="87">
        <v>3.8711406760537123E-2</v>
      </c>
      <c r="T22" s="87">
        <v>4.3566290533964311E-2</v>
      </c>
      <c r="U22" s="87">
        <v>3.9449020954831687E-2</v>
      </c>
      <c r="V22" s="87">
        <v>4.6882095661391648E-2</v>
      </c>
      <c r="W22" s="87">
        <v>3.6011581951574376E-2</v>
      </c>
      <c r="DA22" s="171" t="s">
        <v>1041</v>
      </c>
    </row>
    <row r="23" spans="1:105" ht="11.45" customHeight="1" x14ac:dyDescent="0.25">
      <c r="A23" s="85" t="s">
        <v>93</v>
      </c>
      <c r="B23" s="88">
        <v>0.87137209609378052</v>
      </c>
      <c r="C23" s="88">
        <v>1.0470769748308566</v>
      </c>
      <c r="D23" s="88">
        <v>1.1412350735653358</v>
      </c>
      <c r="E23" s="88">
        <v>1.1274709218213843</v>
      </c>
      <c r="F23" s="88">
        <v>1.2417661925993384</v>
      </c>
      <c r="G23" s="88">
        <v>0.94621882683549696</v>
      </c>
      <c r="H23" s="88">
        <v>1.0455103388941775</v>
      </c>
      <c r="I23" s="88">
        <v>1.2497265193542093</v>
      </c>
      <c r="J23" s="88">
        <v>0.81808412026644384</v>
      </c>
      <c r="K23" s="88">
        <v>0.6265143373069505</v>
      </c>
      <c r="L23" s="88">
        <v>0.71095517472064995</v>
      </c>
      <c r="M23" s="88">
        <v>0.64993596396151054</v>
      </c>
      <c r="N23" s="88">
        <v>0.54923097416196009</v>
      </c>
      <c r="O23" s="88">
        <v>0.54184910405847653</v>
      </c>
      <c r="P23" s="88">
        <v>0.50156605509172447</v>
      </c>
      <c r="Q23" s="88">
        <v>0.52573694586515096</v>
      </c>
      <c r="R23" s="88">
        <v>0.50232040687293544</v>
      </c>
      <c r="S23" s="88">
        <v>0.53958688371016039</v>
      </c>
      <c r="T23" s="88">
        <v>0.52870885572304926</v>
      </c>
      <c r="U23" s="88">
        <v>0.51470256459594266</v>
      </c>
      <c r="V23" s="88">
        <v>0.44804243121276283</v>
      </c>
      <c r="W23" s="88">
        <v>0.46795567141122063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27.166285999999996</v>
      </c>
      <c r="C25" s="62">
        <f t="shared" ref="C25:V25" si="22">C26+C32</f>
        <v>31.414973999999997</v>
      </c>
      <c r="D25" s="62">
        <f t="shared" si="22"/>
        <v>31.678773999999997</v>
      </c>
      <c r="E25" s="62">
        <f t="shared" si="22"/>
        <v>30.616329999999998</v>
      </c>
      <c r="F25" s="62">
        <f t="shared" si="22"/>
        <v>31.023052</v>
      </c>
      <c r="G25" s="62">
        <f t="shared" si="22"/>
        <v>38.674337000000001</v>
      </c>
      <c r="H25" s="62">
        <f t="shared" si="22"/>
        <v>41.769126</v>
      </c>
      <c r="I25" s="62">
        <f t="shared" si="22"/>
        <v>41.887035000000004</v>
      </c>
      <c r="J25" s="62">
        <f t="shared" si="22"/>
        <v>46.303890000000003</v>
      </c>
      <c r="K25" s="62">
        <f t="shared" si="22"/>
        <v>46.509350999999995</v>
      </c>
      <c r="L25" s="62">
        <f t="shared" si="22"/>
        <v>49.054730999999997</v>
      </c>
      <c r="M25" s="62">
        <f t="shared" si="22"/>
        <v>52.487327999999998</v>
      </c>
      <c r="N25" s="62">
        <f t="shared" si="22"/>
        <v>54.061198999999995</v>
      </c>
      <c r="O25" s="62">
        <f t="shared" si="22"/>
        <v>56.468302999999992</v>
      </c>
      <c r="P25" s="62">
        <f t="shared" si="22"/>
        <v>56.977028999999995</v>
      </c>
      <c r="Q25" s="62">
        <f t="shared" si="22"/>
        <v>59.667320999999994</v>
      </c>
      <c r="R25" s="62">
        <f t="shared" si="22"/>
        <v>59.891310999999995</v>
      </c>
      <c r="S25" s="62">
        <f t="shared" si="22"/>
        <v>61.178180999999995</v>
      </c>
      <c r="T25" s="62">
        <f t="shared" si="22"/>
        <v>69.274448000000007</v>
      </c>
      <c r="U25" s="62">
        <f t="shared" si="22"/>
        <v>71.640519999999995</v>
      </c>
      <c r="V25" s="62">
        <f t="shared" si="22"/>
        <v>70.434486000000007</v>
      </c>
      <c r="W25" s="62">
        <f t="shared" ref="W25" si="23">W26+W32</f>
        <v>71.302121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20.832727999999996</v>
      </c>
      <c r="C26" s="29">
        <f t="shared" ref="C26:V26" si="25">SUM(C27,C28,C31)</f>
        <v>24.234215999999996</v>
      </c>
      <c r="D26" s="29">
        <f t="shared" si="25"/>
        <v>24.205527999999997</v>
      </c>
      <c r="E26" s="29">
        <f t="shared" si="25"/>
        <v>23.409573999999999</v>
      </c>
      <c r="F26" s="29">
        <f t="shared" si="25"/>
        <v>23.427126999999999</v>
      </c>
      <c r="G26" s="29">
        <f t="shared" si="25"/>
        <v>31.711767000000002</v>
      </c>
      <c r="H26" s="29">
        <f t="shared" si="25"/>
        <v>35.439911000000002</v>
      </c>
      <c r="I26" s="29">
        <f t="shared" si="25"/>
        <v>34.844315000000002</v>
      </c>
      <c r="J26" s="29">
        <f t="shared" si="25"/>
        <v>39.894525000000002</v>
      </c>
      <c r="K26" s="29">
        <f t="shared" si="25"/>
        <v>40.733340999999996</v>
      </c>
      <c r="L26" s="29">
        <f t="shared" si="25"/>
        <v>43.742234999999994</v>
      </c>
      <c r="M26" s="29">
        <f t="shared" si="25"/>
        <v>47.675137999999997</v>
      </c>
      <c r="N26" s="29">
        <f t="shared" si="25"/>
        <v>49.709526999999994</v>
      </c>
      <c r="O26" s="29">
        <f t="shared" si="25"/>
        <v>52.581402999999995</v>
      </c>
      <c r="P26" s="29">
        <f t="shared" si="25"/>
        <v>53.530666999999994</v>
      </c>
      <c r="Q26" s="29">
        <f t="shared" si="25"/>
        <v>56.698904999999996</v>
      </c>
      <c r="R26" s="29">
        <f t="shared" si="25"/>
        <v>57.183342999999994</v>
      </c>
      <c r="S26" s="29">
        <f t="shared" si="25"/>
        <v>58.286687999999998</v>
      </c>
      <c r="T26" s="29">
        <f t="shared" si="25"/>
        <v>66.413071000000002</v>
      </c>
      <c r="U26" s="29">
        <f t="shared" si="25"/>
        <v>68.869760999999997</v>
      </c>
      <c r="V26" s="29">
        <f t="shared" si="25"/>
        <v>67.959862000000001</v>
      </c>
      <c r="W26" s="29">
        <f t="shared" ref="W26" si="26">SUM(W27,W28,W31)</f>
        <v>68.782284000000004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4.0433330000000005</v>
      </c>
      <c r="U27" s="115">
        <v>6.4068329999999998</v>
      </c>
      <c r="V27" s="115">
        <v>6.5285660000000005</v>
      </c>
      <c r="W27" s="115">
        <v>6.5326839999999997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20.832727999999996</v>
      </c>
      <c r="C28" s="116">
        <f t="shared" ref="C28:V28" si="28">SUM(C29:C30)</f>
        <v>24.234215999999996</v>
      </c>
      <c r="D28" s="116">
        <f t="shared" si="28"/>
        <v>24.205527999999997</v>
      </c>
      <c r="E28" s="116">
        <f t="shared" si="28"/>
        <v>23.409573999999999</v>
      </c>
      <c r="F28" s="116">
        <f t="shared" si="28"/>
        <v>23.427126999999999</v>
      </c>
      <c r="G28" s="116">
        <f t="shared" si="28"/>
        <v>31.711767000000002</v>
      </c>
      <c r="H28" s="116">
        <f t="shared" si="28"/>
        <v>35.439911000000002</v>
      </c>
      <c r="I28" s="116">
        <f t="shared" si="28"/>
        <v>34.844315000000002</v>
      </c>
      <c r="J28" s="116">
        <f t="shared" si="28"/>
        <v>39.894525000000002</v>
      </c>
      <c r="K28" s="116">
        <f t="shared" si="28"/>
        <v>40.733340999999996</v>
      </c>
      <c r="L28" s="116">
        <f t="shared" si="28"/>
        <v>43.742234999999994</v>
      </c>
      <c r="M28" s="116">
        <f t="shared" si="28"/>
        <v>47.675137999999997</v>
      </c>
      <c r="N28" s="116">
        <f t="shared" si="28"/>
        <v>49.709526999999994</v>
      </c>
      <c r="O28" s="116">
        <f t="shared" si="28"/>
        <v>52.581402999999995</v>
      </c>
      <c r="P28" s="116">
        <f t="shared" si="28"/>
        <v>53.530666999999994</v>
      </c>
      <c r="Q28" s="116">
        <f t="shared" si="28"/>
        <v>56.698904999999996</v>
      </c>
      <c r="R28" s="116">
        <f t="shared" si="28"/>
        <v>57.183342999999994</v>
      </c>
      <c r="S28" s="116">
        <f t="shared" si="28"/>
        <v>58.286687999999998</v>
      </c>
      <c r="T28" s="116">
        <f t="shared" si="28"/>
        <v>62.369737999999998</v>
      </c>
      <c r="U28" s="116">
        <f t="shared" si="28"/>
        <v>62.462927999999991</v>
      </c>
      <c r="V28" s="116">
        <f t="shared" si="28"/>
        <v>61.431295999999996</v>
      </c>
      <c r="W28" s="116">
        <f t="shared" ref="W28" si="29">SUM(W29:W30)</f>
        <v>62.249600000000001</v>
      </c>
      <c r="DA28" s="176" t="s">
        <v>1046</v>
      </c>
    </row>
    <row r="29" spans="1:105" ht="11.45" customHeight="1" x14ac:dyDescent="0.25">
      <c r="A29" s="111" t="s">
        <v>92</v>
      </c>
      <c r="B29" s="87">
        <v>10.826694999999999</v>
      </c>
      <c r="C29" s="87">
        <v>12.632641999999999</v>
      </c>
      <c r="D29" s="87">
        <v>12.286669999999999</v>
      </c>
      <c r="E29" s="87">
        <v>11.204001</v>
      </c>
      <c r="F29" s="87">
        <v>10.121331999999999</v>
      </c>
      <c r="G29" s="87">
        <v>9.0386629999999997</v>
      </c>
      <c r="H29" s="87">
        <v>7.9559940000000005</v>
      </c>
      <c r="I29" s="87">
        <v>6.8733250000000004</v>
      </c>
      <c r="J29" s="87">
        <v>9.2404149999999987</v>
      </c>
      <c r="K29" s="87">
        <v>8.1577459999999995</v>
      </c>
      <c r="L29" s="87">
        <v>9.3122609999999995</v>
      </c>
      <c r="M29" s="87">
        <v>9.1620109999999997</v>
      </c>
      <c r="N29" s="87">
        <v>9.4839109999999991</v>
      </c>
      <c r="O29" s="87">
        <v>9.2142809999999997</v>
      </c>
      <c r="P29" s="87">
        <v>10.036809</v>
      </c>
      <c r="Q29" s="87">
        <v>8.9541399999999989</v>
      </c>
      <c r="R29" s="87">
        <v>8.4232769999999988</v>
      </c>
      <c r="S29" s="87">
        <v>7.8827199999999999</v>
      </c>
      <c r="T29" s="87">
        <v>9.4966819999999998</v>
      </c>
      <c r="U29" s="87">
        <v>9.0914549999999998</v>
      </c>
      <c r="V29" s="87">
        <v>9.0604259999999996</v>
      </c>
      <c r="W29" s="87">
        <v>9.6676329999999986</v>
      </c>
      <c r="DA29" s="171" t="s">
        <v>1047</v>
      </c>
    </row>
    <row r="30" spans="1:105" ht="11.45" customHeight="1" x14ac:dyDescent="0.25">
      <c r="A30" s="111" t="s">
        <v>93</v>
      </c>
      <c r="B30" s="87">
        <v>10.006032999999999</v>
      </c>
      <c r="C30" s="87">
        <v>11.601573999999999</v>
      </c>
      <c r="D30" s="87">
        <v>11.918857999999998</v>
      </c>
      <c r="E30" s="87">
        <v>12.205572999999999</v>
      </c>
      <c r="F30" s="87">
        <v>13.305795</v>
      </c>
      <c r="G30" s="87">
        <v>22.673104000000002</v>
      </c>
      <c r="H30" s="87">
        <v>27.483917000000002</v>
      </c>
      <c r="I30" s="87">
        <v>27.97099</v>
      </c>
      <c r="J30" s="87">
        <v>30.654109999999999</v>
      </c>
      <c r="K30" s="87">
        <v>32.575595</v>
      </c>
      <c r="L30" s="87">
        <v>34.429973999999994</v>
      </c>
      <c r="M30" s="87">
        <v>38.513126999999997</v>
      </c>
      <c r="N30" s="87">
        <v>40.225615999999995</v>
      </c>
      <c r="O30" s="87">
        <v>43.367121999999995</v>
      </c>
      <c r="P30" s="87">
        <v>43.493857999999996</v>
      </c>
      <c r="Q30" s="87">
        <v>47.744765000000001</v>
      </c>
      <c r="R30" s="87">
        <v>48.760065999999995</v>
      </c>
      <c r="S30" s="87">
        <v>50.403967999999999</v>
      </c>
      <c r="T30" s="87">
        <v>52.873055999999998</v>
      </c>
      <c r="U30" s="87">
        <v>53.371472999999995</v>
      </c>
      <c r="V30" s="87">
        <v>52.370869999999996</v>
      </c>
      <c r="W30" s="87">
        <v>52.581966999999999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6.333558</v>
      </c>
      <c r="C32" s="29">
        <f t="shared" ref="C32:V32" si="31">SUM(C33:C34)</f>
        <v>7.180758</v>
      </c>
      <c r="D32" s="29">
        <f t="shared" si="31"/>
        <v>7.4732459999999996</v>
      </c>
      <c r="E32" s="29">
        <f t="shared" si="31"/>
        <v>7.2067560000000004</v>
      </c>
      <c r="F32" s="29">
        <f t="shared" si="31"/>
        <v>7.5959249999999994</v>
      </c>
      <c r="G32" s="29">
        <f t="shared" si="31"/>
        <v>6.9625700000000004</v>
      </c>
      <c r="H32" s="29">
        <f t="shared" si="31"/>
        <v>6.3292149999999996</v>
      </c>
      <c r="I32" s="29">
        <f t="shared" si="31"/>
        <v>7.0427200000000001</v>
      </c>
      <c r="J32" s="29">
        <f t="shared" si="31"/>
        <v>6.4093650000000002</v>
      </c>
      <c r="K32" s="29">
        <f t="shared" si="31"/>
        <v>5.7760099999999994</v>
      </c>
      <c r="L32" s="29">
        <f t="shared" si="31"/>
        <v>5.3124960000000003</v>
      </c>
      <c r="M32" s="29">
        <f t="shared" si="31"/>
        <v>4.8121900000000002</v>
      </c>
      <c r="N32" s="29">
        <f t="shared" si="31"/>
        <v>4.3516720000000007</v>
      </c>
      <c r="O32" s="29">
        <f t="shared" si="31"/>
        <v>3.8869000000000002</v>
      </c>
      <c r="P32" s="29">
        <f t="shared" si="31"/>
        <v>3.4463620000000001</v>
      </c>
      <c r="Q32" s="29">
        <f t="shared" si="31"/>
        <v>2.9684160000000004</v>
      </c>
      <c r="R32" s="29">
        <f t="shared" si="31"/>
        <v>2.7079680000000002</v>
      </c>
      <c r="S32" s="29">
        <f t="shared" si="31"/>
        <v>2.8914930000000001</v>
      </c>
      <c r="T32" s="29">
        <f t="shared" si="31"/>
        <v>2.8613770000000001</v>
      </c>
      <c r="U32" s="29">
        <f t="shared" si="31"/>
        <v>2.770759</v>
      </c>
      <c r="V32" s="29">
        <f t="shared" si="31"/>
        <v>2.4746240000000004</v>
      </c>
      <c r="W32" s="29">
        <f t="shared" ref="W32" si="32">SUM(W33:W34)</f>
        <v>2.5198369999999999</v>
      </c>
      <c r="DA32" s="173" t="s">
        <v>1050</v>
      </c>
    </row>
    <row r="33" spans="1:105" ht="11.45" customHeight="1" x14ac:dyDescent="0.25">
      <c r="A33" s="83" t="s">
        <v>92</v>
      </c>
      <c r="B33" s="87">
        <v>1.9766969999999999</v>
      </c>
      <c r="C33" s="87">
        <v>1.945373</v>
      </c>
      <c r="D33" s="87">
        <v>1.7670699999999999</v>
      </c>
      <c r="E33" s="87">
        <v>1.5694009999999998</v>
      </c>
      <c r="F33" s="87">
        <v>1.3870939999999998</v>
      </c>
      <c r="G33" s="87">
        <v>1.189425</v>
      </c>
      <c r="H33" s="87">
        <v>0.99175600000000008</v>
      </c>
      <c r="I33" s="87">
        <v>0.79408699999999999</v>
      </c>
      <c r="J33" s="87">
        <v>0.596418</v>
      </c>
      <c r="K33" s="87">
        <v>0.39874899999999996</v>
      </c>
      <c r="L33" s="87">
        <v>0.370921</v>
      </c>
      <c r="M33" s="87">
        <v>0.30630099999999999</v>
      </c>
      <c r="N33" s="87">
        <v>0.28146899999999997</v>
      </c>
      <c r="O33" s="87">
        <v>0.25238299999999997</v>
      </c>
      <c r="P33" s="87">
        <v>0.247531</v>
      </c>
      <c r="Q33" s="87">
        <v>0.20527100000000001</v>
      </c>
      <c r="R33" s="87">
        <v>0.19636500000000001</v>
      </c>
      <c r="S33" s="87">
        <v>0.19355800000000001</v>
      </c>
      <c r="T33" s="87">
        <v>0.217832</v>
      </c>
      <c r="U33" s="87">
        <v>0.197246</v>
      </c>
      <c r="V33" s="87">
        <v>0.23441100000000001</v>
      </c>
      <c r="W33" s="87">
        <v>0.180058</v>
      </c>
      <c r="DA33" s="171" t="s">
        <v>1051</v>
      </c>
    </row>
    <row r="34" spans="1:105" ht="11.45" customHeight="1" x14ac:dyDescent="0.25">
      <c r="A34" s="85" t="s">
        <v>93</v>
      </c>
      <c r="B34" s="88">
        <v>4.3568610000000003</v>
      </c>
      <c r="C34" s="88">
        <v>5.235385</v>
      </c>
      <c r="D34" s="88">
        <v>5.7061760000000001</v>
      </c>
      <c r="E34" s="88">
        <v>5.6373550000000003</v>
      </c>
      <c r="F34" s="88">
        <v>6.208831</v>
      </c>
      <c r="G34" s="88">
        <v>5.7731450000000004</v>
      </c>
      <c r="H34" s="88">
        <v>5.337459</v>
      </c>
      <c r="I34" s="88">
        <v>6.2486329999999999</v>
      </c>
      <c r="J34" s="88">
        <v>5.8129470000000003</v>
      </c>
      <c r="K34" s="88">
        <v>5.3772609999999998</v>
      </c>
      <c r="L34" s="88">
        <v>4.9415750000000003</v>
      </c>
      <c r="M34" s="88">
        <v>4.5058889999999998</v>
      </c>
      <c r="N34" s="88">
        <v>4.0702030000000002</v>
      </c>
      <c r="O34" s="88">
        <v>3.6345170000000002</v>
      </c>
      <c r="P34" s="88">
        <v>3.1988310000000002</v>
      </c>
      <c r="Q34" s="88">
        <v>2.7631450000000002</v>
      </c>
      <c r="R34" s="88">
        <v>2.511603</v>
      </c>
      <c r="S34" s="88">
        <v>2.6979350000000002</v>
      </c>
      <c r="T34" s="88">
        <v>2.643545</v>
      </c>
      <c r="U34" s="88">
        <v>2.5735130000000002</v>
      </c>
      <c r="V34" s="88">
        <v>2.2402130000000002</v>
      </c>
      <c r="W34" s="88">
        <v>2.3397790000000001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5.2535790000000011</v>
      </c>
      <c r="D36" s="54">
        <f t="shared" ref="D36:V36" si="34">D37+D43</f>
        <v>1.3691789999999999</v>
      </c>
      <c r="E36" s="54">
        <f t="shared" si="34"/>
        <v>0.72388100000000133</v>
      </c>
      <c r="F36" s="54">
        <f t="shared" si="34"/>
        <v>2.1776850000000003</v>
      </c>
      <c r="G36" s="54">
        <f t="shared" si="34"/>
        <v>9.6987830000000024</v>
      </c>
      <c r="H36" s="54">
        <f t="shared" si="34"/>
        <v>5.1422869999999996</v>
      </c>
      <c r="I36" s="54">
        <f t="shared" si="34"/>
        <v>1.9042339999999989</v>
      </c>
      <c r="J36" s="54">
        <f t="shared" si="34"/>
        <v>5.8027729999999975</v>
      </c>
      <c r="K36" s="54">
        <f t="shared" si="34"/>
        <v>2.2529590000000006</v>
      </c>
      <c r="L36" s="54">
        <f t="shared" si="34"/>
        <v>3.8114439999999949</v>
      </c>
      <c r="M36" s="54">
        <f t="shared" si="34"/>
        <v>4.6986610000000031</v>
      </c>
      <c r="N36" s="54">
        <f t="shared" si="34"/>
        <v>2.8399349999999974</v>
      </c>
      <c r="O36" s="54">
        <f t="shared" si="34"/>
        <v>3.6731680000000004</v>
      </c>
      <c r="P36" s="54">
        <f t="shared" si="34"/>
        <v>1.7747900000000016</v>
      </c>
      <c r="Q36" s="54">
        <f t="shared" si="34"/>
        <v>4.6179360000000056</v>
      </c>
      <c r="R36" s="54">
        <f t="shared" si="34"/>
        <v>1.4156839999999937</v>
      </c>
      <c r="S36" s="54">
        <f t="shared" si="34"/>
        <v>2.4112290000000045</v>
      </c>
      <c r="T36" s="54">
        <f t="shared" si="34"/>
        <v>9.1011579999999999</v>
      </c>
      <c r="U36" s="54">
        <f t="shared" si="34"/>
        <v>3.3709629999999962</v>
      </c>
      <c r="V36" s="54">
        <f t="shared" si="34"/>
        <v>0.6267730000000008</v>
      </c>
      <c r="W36" s="54">
        <f t="shared" ref="W36" si="35">W37+W43</f>
        <v>1.8725260000000006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4.1540510000000008</v>
      </c>
      <c r="D37" s="28">
        <f t="shared" ref="D37:V37" si="37">SUM(D38,D39,D42)</f>
        <v>0.7238749999999996</v>
      </c>
      <c r="E37" s="28">
        <f t="shared" si="37"/>
        <v>0.61818900000000099</v>
      </c>
      <c r="F37" s="28">
        <f t="shared" si="37"/>
        <v>1.4316960000000005</v>
      </c>
      <c r="G37" s="28">
        <f t="shared" si="37"/>
        <v>9.6987830000000024</v>
      </c>
      <c r="H37" s="28">
        <f t="shared" si="37"/>
        <v>5.1422869999999996</v>
      </c>
      <c r="I37" s="28">
        <f t="shared" si="37"/>
        <v>0.8185469999999988</v>
      </c>
      <c r="J37" s="28">
        <f t="shared" si="37"/>
        <v>5.8027729999999975</v>
      </c>
      <c r="K37" s="28">
        <f t="shared" si="37"/>
        <v>2.2529590000000006</v>
      </c>
      <c r="L37" s="28">
        <f t="shared" si="37"/>
        <v>3.7614569999999947</v>
      </c>
      <c r="M37" s="28">
        <f t="shared" si="37"/>
        <v>4.6854660000000035</v>
      </c>
      <c r="N37" s="28">
        <f t="shared" si="37"/>
        <v>2.7869519999999977</v>
      </c>
      <c r="O37" s="28">
        <f t="shared" si="37"/>
        <v>3.6244390000000006</v>
      </c>
      <c r="P37" s="28">
        <f t="shared" si="37"/>
        <v>1.7018270000000015</v>
      </c>
      <c r="Q37" s="28">
        <f t="shared" si="37"/>
        <v>4.5823810000000051</v>
      </c>
      <c r="R37" s="28">
        <f t="shared" si="37"/>
        <v>1.3467749999999938</v>
      </c>
      <c r="S37" s="28">
        <f t="shared" si="37"/>
        <v>1.9753760000000042</v>
      </c>
      <c r="T37" s="28">
        <f t="shared" si="37"/>
        <v>8.8789459999999991</v>
      </c>
      <c r="U37" s="28">
        <f t="shared" si="37"/>
        <v>3.2092529999999959</v>
      </c>
      <c r="V37" s="28">
        <f t="shared" si="37"/>
        <v>0.51179300000000083</v>
      </c>
      <c r="W37" s="28">
        <f t="shared" ref="W37" si="38">SUM(W38,W39,W42)</f>
        <v>1.5749850000000007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4.0433330000000005</v>
      </c>
      <c r="U38" s="108">
        <v>2.3634999999999993</v>
      </c>
      <c r="V38" s="108">
        <v>0.12173300000000076</v>
      </c>
      <c r="W38" s="108">
        <v>4.1179999999991779E-3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4.1540510000000008</v>
      </c>
      <c r="D39" s="110">
        <f t="shared" ref="D39:V39" si="40">SUM(D40:D41)</f>
        <v>0.7238749999999996</v>
      </c>
      <c r="E39" s="110">
        <f t="shared" si="40"/>
        <v>0.61818900000000099</v>
      </c>
      <c r="F39" s="110">
        <f t="shared" si="40"/>
        <v>1.4316960000000005</v>
      </c>
      <c r="G39" s="110">
        <f t="shared" si="40"/>
        <v>9.6987830000000024</v>
      </c>
      <c r="H39" s="110">
        <f t="shared" si="40"/>
        <v>5.1422869999999996</v>
      </c>
      <c r="I39" s="110">
        <f t="shared" si="40"/>
        <v>0.8185469999999988</v>
      </c>
      <c r="J39" s="110">
        <f t="shared" si="40"/>
        <v>5.8027729999999975</v>
      </c>
      <c r="K39" s="110">
        <f t="shared" si="40"/>
        <v>2.2529590000000006</v>
      </c>
      <c r="L39" s="110">
        <f t="shared" si="40"/>
        <v>3.7614569999999947</v>
      </c>
      <c r="M39" s="110">
        <f t="shared" si="40"/>
        <v>4.6854660000000035</v>
      </c>
      <c r="N39" s="110">
        <f t="shared" si="40"/>
        <v>2.7869519999999977</v>
      </c>
      <c r="O39" s="110">
        <f t="shared" si="40"/>
        <v>3.6244390000000006</v>
      </c>
      <c r="P39" s="110">
        <f t="shared" si="40"/>
        <v>1.7018270000000015</v>
      </c>
      <c r="Q39" s="110">
        <f t="shared" si="40"/>
        <v>4.5823810000000051</v>
      </c>
      <c r="R39" s="110">
        <f t="shared" si="40"/>
        <v>1.3467749999999938</v>
      </c>
      <c r="S39" s="110">
        <f t="shared" si="40"/>
        <v>1.9753760000000042</v>
      </c>
      <c r="T39" s="110">
        <f t="shared" si="40"/>
        <v>4.8356129999999995</v>
      </c>
      <c r="U39" s="110">
        <f t="shared" si="40"/>
        <v>0.84575299999999665</v>
      </c>
      <c r="V39" s="110">
        <f t="shared" si="40"/>
        <v>0.39006000000000007</v>
      </c>
      <c r="W39" s="110">
        <f t="shared" ref="W39" si="41">SUM(W40:W41)</f>
        <v>1.5708670000000016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2.227036</v>
      </c>
      <c r="D40" s="84">
        <v>7.5117000000000544E-2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2.7881789999999986</v>
      </c>
      <c r="K40" s="84">
        <v>0</v>
      </c>
      <c r="L40" s="84">
        <v>1.5756040000000002</v>
      </c>
      <c r="M40" s="84">
        <v>0.2708390000000005</v>
      </c>
      <c r="N40" s="84">
        <v>0.74298899999999968</v>
      </c>
      <c r="O40" s="84">
        <v>0.1514590000000009</v>
      </c>
      <c r="P40" s="84">
        <v>1.2436170000000004</v>
      </c>
      <c r="Q40" s="84">
        <v>0</v>
      </c>
      <c r="R40" s="84">
        <v>0</v>
      </c>
      <c r="S40" s="84">
        <v>0</v>
      </c>
      <c r="T40" s="84">
        <v>2.0350510000000002</v>
      </c>
      <c r="U40" s="84">
        <v>1.5862000000000265E-2</v>
      </c>
      <c r="V40" s="84">
        <v>0.39006000000000007</v>
      </c>
      <c r="W40" s="84">
        <v>1.0282959999999992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1.9270150000000008</v>
      </c>
      <c r="D41" s="84">
        <v>0.64875799999999906</v>
      </c>
      <c r="E41" s="84">
        <v>0.61818900000000099</v>
      </c>
      <c r="F41" s="84">
        <v>1.4316960000000005</v>
      </c>
      <c r="G41" s="84">
        <v>9.6987830000000024</v>
      </c>
      <c r="H41" s="84">
        <v>5.1422869999999996</v>
      </c>
      <c r="I41" s="84">
        <v>0.8185469999999988</v>
      </c>
      <c r="J41" s="84">
        <v>3.0145939999999989</v>
      </c>
      <c r="K41" s="84">
        <v>2.2529590000000006</v>
      </c>
      <c r="L41" s="84">
        <v>2.1858529999999945</v>
      </c>
      <c r="M41" s="84">
        <v>4.414627000000003</v>
      </c>
      <c r="N41" s="84">
        <v>2.043962999999998</v>
      </c>
      <c r="O41" s="84">
        <v>3.4729799999999997</v>
      </c>
      <c r="P41" s="84">
        <v>0.45821000000000112</v>
      </c>
      <c r="Q41" s="84">
        <v>4.5823810000000051</v>
      </c>
      <c r="R41" s="84">
        <v>1.3467749999999938</v>
      </c>
      <c r="S41" s="84">
        <v>1.9753760000000042</v>
      </c>
      <c r="T41" s="84">
        <v>2.8005619999999993</v>
      </c>
      <c r="U41" s="84">
        <v>0.82989099999999638</v>
      </c>
      <c r="V41" s="84">
        <v>0</v>
      </c>
      <c r="W41" s="84">
        <v>0.54257100000000236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1.0995280000000001</v>
      </c>
      <c r="D43" s="28">
        <f t="shared" ref="D43:V43" si="43">SUM(D44:D45)</f>
        <v>0.64530400000000032</v>
      </c>
      <c r="E43" s="28">
        <f t="shared" si="43"/>
        <v>0.10569200000000034</v>
      </c>
      <c r="F43" s="28">
        <f t="shared" si="43"/>
        <v>0.74598899999999979</v>
      </c>
      <c r="G43" s="28">
        <f t="shared" si="43"/>
        <v>0</v>
      </c>
      <c r="H43" s="28">
        <f t="shared" si="43"/>
        <v>0</v>
      </c>
      <c r="I43" s="28">
        <f t="shared" si="43"/>
        <v>1.0856870000000001</v>
      </c>
      <c r="J43" s="28">
        <f t="shared" si="43"/>
        <v>0</v>
      </c>
      <c r="K43" s="28">
        <f t="shared" si="43"/>
        <v>0</v>
      </c>
      <c r="L43" s="28">
        <f t="shared" si="43"/>
        <v>4.9987000000000059E-2</v>
      </c>
      <c r="M43" s="28">
        <f t="shared" si="43"/>
        <v>1.3195000000000012E-2</v>
      </c>
      <c r="N43" s="28">
        <f t="shared" si="43"/>
        <v>5.2982999999999947E-2</v>
      </c>
      <c r="O43" s="28">
        <f t="shared" si="43"/>
        <v>4.8729000000000022E-2</v>
      </c>
      <c r="P43" s="28">
        <f t="shared" si="43"/>
        <v>7.2963000000000056E-2</v>
      </c>
      <c r="Q43" s="28">
        <f t="shared" si="43"/>
        <v>3.5555000000000003E-2</v>
      </c>
      <c r="R43" s="28">
        <f t="shared" si="43"/>
        <v>6.890899999999997E-2</v>
      </c>
      <c r="S43" s="28">
        <f t="shared" si="43"/>
        <v>0.43585300000000027</v>
      </c>
      <c r="T43" s="28">
        <f t="shared" si="43"/>
        <v>0.22221199999999997</v>
      </c>
      <c r="U43" s="28">
        <f t="shared" si="43"/>
        <v>0.16171000000000027</v>
      </c>
      <c r="V43" s="28">
        <f t="shared" si="43"/>
        <v>0.11498</v>
      </c>
      <c r="W43" s="28">
        <f t="shared" ref="W43" si="44">SUM(W44:W45)</f>
        <v>0.29754099999999994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4.6491000000000282E-2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4.9987000000000059E-2</v>
      </c>
      <c r="M44" s="84">
        <v>1.3195000000000012E-2</v>
      </c>
      <c r="N44" s="84">
        <v>5.2982999999999947E-2</v>
      </c>
      <c r="O44" s="84">
        <v>4.8729000000000022E-2</v>
      </c>
      <c r="P44" s="84">
        <v>7.2963000000000056E-2</v>
      </c>
      <c r="Q44" s="84">
        <v>3.5555000000000003E-2</v>
      </c>
      <c r="R44" s="84">
        <v>6.890899999999997E-2</v>
      </c>
      <c r="S44" s="84">
        <v>7.5007999999999964E-2</v>
      </c>
      <c r="T44" s="84">
        <v>0.10208899999999999</v>
      </c>
      <c r="U44" s="84">
        <v>5.7229000000000002E-2</v>
      </c>
      <c r="V44" s="84">
        <v>0.11498</v>
      </c>
      <c r="W44" s="84">
        <v>2.3462000000000011E-2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1.0530369999999998</v>
      </c>
      <c r="D45" s="86">
        <v>0.64530400000000032</v>
      </c>
      <c r="E45" s="86">
        <v>0.10569200000000034</v>
      </c>
      <c r="F45" s="86">
        <v>0.74598899999999979</v>
      </c>
      <c r="G45" s="86">
        <v>0</v>
      </c>
      <c r="H45" s="86">
        <v>0</v>
      </c>
      <c r="I45" s="86">
        <v>1.0856870000000001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0.3608450000000003</v>
      </c>
      <c r="T45" s="86">
        <v>0.12012299999999998</v>
      </c>
      <c r="U45" s="86">
        <v>0.10448100000000027</v>
      </c>
      <c r="V45" s="86">
        <v>0</v>
      </c>
      <c r="W45" s="86">
        <v>0.27407899999999996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106.24309351631847</v>
      </c>
      <c r="C50" s="29">
        <f t="shared" si="45"/>
        <v>95.182230999728191</v>
      </c>
      <c r="D50" s="29">
        <f t="shared" si="45"/>
        <v>73.812343693559015</v>
      </c>
      <c r="E50" s="29">
        <f t="shared" si="45"/>
        <v>81.790920008880803</v>
      </c>
      <c r="F50" s="29">
        <f t="shared" si="45"/>
        <v>81.437454561906662</v>
      </c>
      <c r="G50" s="29">
        <f t="shared" si="45"/>
        <v>63.518312063169901</v>
      </c>
      <c r="H50" s="29">
        <f t="shared" si="45"/>
        <v>62.08298186659826</v>
      </c>
      <c r="I50" s="29">
        <f t="shared" si="45"/>
        <v>61.569980352055062</v>
      </c>
      <c r="J50" s="29">
        <f t="shared" si="45"/>
        <v>57.652023417665397</v>
      </c>
      <c r="K50" s="29">
        <f t="shared" ref="K50:V50" si="46">IF(K4=0,0,K4/K15)</f>
        <v>54.986686245109219</v>
      </c>
      <c r="L50" s="29">
        <f t="shared" si="46"/>
        <v>52.88557781917185</v>
      </c>
      <c r="M50" s="29">
        <f t="shared" si="46"/>
        <v>48.802516054989304</v>
      </c>
      <c r="N50" s="29">
        <f t="shared" si="46"/>
        <v>50.023946280548138</v>
      </c>
      <c r="O50" s="29">
        <f t="shared" si="46"/>
        <v>49.954291275778914</v>
      </c>
      <c r="P50" s="29">
        <f t="shared" si="46"/>
        <v>45.581348945294124</v>
      </c>
      <c r="Q50" s="29">
        <f t="shared" si="46"/>
        <v>49.904000380991953</v>
      </c>
      <c r="R50" s="29">
        <f t="shared" si="46"/>
        <v>48.615557059186187</v>
      </c>
      <c r="S50" s="29">
        <f t="shared" si="46"/>
        <v>50.097203540233323</v>
      </c>
      <c r="T50" s="29">
        <f t="shared" si="46"/>
        <v>47.192783658459852</v>
      </c>
      <c r="U50" s="29">
        <f t="shared" si="46"/>
        <v>49.056049851920484</v>
      </c>
      <c r="V50" s="29">
        <f t="shared" si="46"/>
        <v>32.670812284921169</v>
      </c>
      <c r="W50" s="29">
        <f t="shared" ref="W50" si="47">IF(W4=0,0,W4/W15)</f>
        <v>33.624818119089895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43.843224231535544</v>
      </c>
      <c r="U51" s="115">
        <f t="shared" si="49"/>
        <v>44.270916334661351</v>
      </c>
      <c r="V51" s="115">
        <f t="shared" si="49"/>
        <v>44.185835694050986</v>
      </c>
      <c r="W51" s="115">
        <f t="shared" ref="W51" si="50">IF(W5=0,0,W5/W16)</f>
        <v>47.498711514987114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106.24309351631847</v>
      </c>
      <c r="C52" s="116">
        <f t="shared" si="51"/>
        <v>95.182230999728191</v>
      </c>
      <c r="D52" s="116">
        <f t="shared" si="51"/>
        <v>73.812343693559015</v>
      </c>
      <c r="E52" s="116">
        <f t="shared" si="51"/>
        <v>81.790920008880803</v>
      </c>
      <c r="F52" s="116">
        <f t="shared" si="51"/>
        <v>81.437454561906662</v>
      </c>
      <c r="G52" s="116">
        <f t="shared" si="51"/>
        <v>63.518312063169901</v>
      </c>
      <c r="H52" s="116">
        <f t="shared" si="51"/>
        <v>62.08298186659826</v>
      </c>
      <c r="I52" s="116">
        <f t="shared" si="51"/>
        <v>61.569980352055062</v>
      </c>
      <c r="J52" s="116">
        <f t="shared" si="51"/>
        <v>57.652023417665397</v>
      </c>
      <c r="K52" s="116">
        <f t="shared" ref="K52:V52" si="52">IF(K6=0,0,K6/K17)</f>
        <v>54.986686245109219</v>
      </c>
      <c r="L52" s="116">
        <f t="shared" si="52"/>
        <v>52.88557781917185</v>
      </c>
      <c r="M52" s="116">
        <f t="shared" si="52"/>
        <v>48.802516054989304</v>
      </c>
      <c r="N52" s="116">
        <f t="shared" si="52"/>
        <v>50.023946280548138</v>
      </c>
      <c r="O52" s="116">
        <f t="shared" si="52"/>
        <v>49.954291275778914</v>
      </c>
      <c r="P52" s="116">
        <f t="shared" si="52"/>
        <v>45.581348945294124</v>
      </c>
      <c r="Q52" s="116">
        <f t="shared" si="52"/>
        <v>49.904000380991953</v>
      </c>
      <c r="R52" s="116">
        <f t="shared" si="52"/>
        <v>48.615557059186187</v>
      </c>
      <c r="S52" s="116">
        <f t="shared" si="52"/>
        <v>50.097203540233323</v>
      </c>
      <c r="T52" s="116">
        <f t="shared" si="52"/>
        <v>47.352024564538333</v>
      </c>
      <c r="U52" s="116">
        <f t="shared" si="52"/>
        <v>49.415978613666603</v>
      </c>
      <c r="V52" s="116">
        <f t="shared" si="52"/>
        <v>31.692894466216444</v>
      </c>
      <c r="W52" s="116">
        <f t="shared" ref="W52" si="53">IF(W6=0,0,W6/W17)</f>
        <v>32.557104381067887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44.760882956153672</v>
      </c>
      <c r="C53" s="87">
        <f t="shared" si="54"/>
        <v>39.21967317411238</v>
      </c>
      <c r="D53" s="87">
        <f t="shared" si="54"/>
        <v>39.197607162586237</v>
      </c>
      <c r="E53" s="87">
        <f t="shared" si="54"/>
        <v>38.530281608648721</v>
      </c>
      <c r="F53" s="87">
        <f t="shared" si="54"/>
        <v>38.098540623703173</v>
      </c>
      <c r="G53" s="87">
        <f t="shared" si="54"/>
        <v>37.865254882800187</v>
      </c>
      <c r="H53" s="87">
        <f t="shared" si="54"/>
        <v>45.698281023558259</v>
      </c>
      <c r="I53" s="87">
        <f t="shared" si="54"/>
        <v>53.138750310042205</v>
      </c>
      <c r="J53" s="87">
        <f t="shared" si="54"/>
        <v>49.655972715547726</v>
      </c>
      <c r="K53" s="87">
        <f t="shared" ref="K53:V53" si="55">IF(K7=0,0,K7/K18)</f>
        <v>47.607982017491793</v>
      </c>
      <c r="L53" s="87">
        <f t="shared" si="55"/>
        <v>43.577651504012174</v>
      </c>
      <c r="M53" s="87">
        <f t="shared" si="55"/>
        <v>40.150246476251446</v>
      </c>
      <c r="N53" s="87">
        <f t="shared" si="55"/>
        <v>44.331976914318297</v>
      </c>
      <c r="O53" s="87">
        <f t="shared" si="55"/>
        <v>36.793630884196851</v>
      </c>
      <c r="P53" s="87">
        <f t="shared" si="55"/>
        <v>41.910505294257206</v>
      </c>
      <c r="Q53" s="87">
        <f t="shared" si="55"/>
        <v>42.737917730624169</v>
      </c>
      <c r="R53" s="87">
        <f t="shared" si="55"/>
        <v>41.894113933312155</v>
      </c>
      <c r="S53" s="87">
        <f t="shared" si="55"/>
        <v>43.430661966635775</v>
      </c>
      <c r="T53" s="87">
        <f t="shared" si="55"/>
        <v>41.858414219135163</v>
      </c>
      <c r="U53" s="87">
        <f t="shared" si="55"/>
        <v>44.432197220191149</v>
      </c>
      <c r="V53" s="87">
        <f t="shared" si="55"/>
        <v>24.441839971292758</v>
      </c>
      <c r="W53" s="87">
        <f t="shared" ref="W53" si="56">IF(W7=0,0,W7/W18)</f>
        <v>30.159926639572657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172.76787775903207</v>
      </c>
      <c r="C54" s="87">
        <f t="shared" si="57"/>
        <v>156.11835516825838</v>
      </c>
      <c r="D54" s="87">
        <f t="shared" si="57"/>
        <v>109.49527758263571</v>
      </c>
      <c r="E54" s="87">
        <f t="shared" si="57"/>
        <v>114.22049113084715</v>
      </c>
      <c r="F54" s="87">
        <f t="shared" si="57"/>
        <v>105.55791034926196</v>
      </c>
      <c r="G54" s="87">
        <f t="shared" si="57"/>
        <v>69.571821712357831</v>
      </c>
      <c r="H54" s="87">
        <f t="shared" si="57"/>
        <v>64.775380089319412</v>
      </c>
      <c r="I54" s="87">
        <f t="shared" si="57"/>
        <v>63.452341552103356</v>
      </c>
      <c r="J54" s="87">
        <f t="shared" si="57"/>
        <v>60.062363294786742</v>
      </c>
      <c r="K54" s="87">
        <f t="shared" ref="K54:V54" si="58">IF(K8=0,0,K8/K19)</f>
        <v>56.752970916160365</v>
      </c>
      <c r="L54" s="87">
        <f t="shared" si="58"/>
        <v>55.403088835586573</v>
      </c>
      <c r="M54" s="87">
        <f t="shared" si="58"/>
        <v>50.860832144265856</v>
      </c>
      <c r="N54" s="87">
        <f t="shared" si="58"/>
        <v>51.365930236844079</v>
      </c>
      <c r="O54" s="87">
        <f t="shared" si="58"/>
        <v>52.750557393195265</v>
      </c>
      <c r="P54" s="87">
        <f t="shared" si="58"/>
        <v>46.428446847426997</v>
      </c>
      <c r="Q54" s="87">
        <f t="shared" si="58"/>
        <v>51.11910836465222</v>
      </c>
      <c r="R54" s="87">
        <f t="shared" si="58"/>
        <v>49.776682906115433</v>
      </c>
      <c r="S54" s="87">
        <f t="shared" si="58"/>
        <v>51.139789626143831</v>
      </c>
      <c r="T54" s="87">
        <f t="shared" si="58"/>
        <v>48.338747691673227</v>
      </c>
      <c r="U54" s="87">
        <f t="shared" si="58"/>
        <v>50.264930660135022</v>
      </c>
      <c r="V54" s="87">
        <f t="shared" si="58"/>
        <v>33.081441776413754</v>
      </c>
      <c r="W54" s="87">
        <f t="shared" ref="W54" si="59">IF(W8=0,0,W8/W19)</f>
        <v>32.997845456340038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498.92971490180986</v>
      </c>
      <c r="C56" s="29">
        <f t="shared" si="63"/>
        <v>407.33867073739998</v>
      </c>
      <c r="D56" s="29">
        <f t="shared" si="63"/>
        <v>367.97935656293055</v>
      </c>
      <c r="E56" s="29">
        <f t="shared" si="63"/>
        <v>367.96380795854634</v>
      </c>
      <c r="F56" s="29">
        <f t="shared" si="63"/>
        <v>367.96046187988941</v>
      </c>
      <c r="G56" s="29">
        <f t="shared" si="63"/>
        <v>359.79503358038676</v>
      </c>
      <c r="H56" s="29">
        <f t="shared" si="63"/>
        <v>388.43945908039387</v>
      </c>
      <c r="I56" s="29">
        <f t="shared" si="63"/>
        <v>413.81758888072818</v>
      </c>
      <c r="J56" s="29">
        <f t="shared" si="63"/>
        <v>309.03745492324413</v>
      </c>
      <c r="K56" s="29">
        <f t="shared" ref="K56:V56" si="64">IF(K10=0,0,K10/K21)</f>
        <v>289.79976071700452</v>
      </c>
      <c r="L56" s="29">
        <f t="shared" si="64"/>
        <v>411.39195104016665</v>
      </c>
      <c r="M56" s="29">
        <f t="shared" si="64"/>
        <v>404.95165130149485</v>
      </c>
      <c r="N56" s="29">
        <f t="shared" si="64"/>
        <v>381.48739011523941</v>
      </c>
      <c r="O56" s="29">
        <f t="shared" si="64"/>
        <v>368.04077499057979</v>
      </c>
      <c r="P56" s="29">
        <f t="shared" si="64"/>
        <v>377.44610181823884</v>
      </c>
      <c r="Q56" s="29">
        <f t="shared" si="64"/>
        <v>365.21401789287279</v>
      </c>
      <c r="R56" s="29">
        <f t="shared" si="64"/>
        <v>371.12723600693812</v>
      </c>
      <c r="S56" s="29">
        <f t="shared" si="64"/>
        <v>368.32202949559434</v>
      </c>
      <c r="T56" s="29">
        <f t="shared" si="64"/>
        <v>389.67269758007075</v>
      </c>
      <c r="U56" s="29">
        <f t="shared" si="64"/>
        <v>344.67103402792583</v>
      </c>
      <c r="V56" s="29">
        <f t="shared" si="64"/>
        <v>327.32263446946143</v>
      </c>
      <c r="W56" s="29">
        <f t="shared" ref="W56" si="65">IF(W10=0,0,W10/W21)</f>
        <v>349.22903983466051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407.95464976397687</v>
      </c>
      <c r="C57" s="87">
        <f t="shared" si="66"/>
        <v>376.73577331054281</v>
      </c>
      <c r="D57" s="87">
        <f t="shared" si="66"/>
        <v>377.02648717160514</v>
      </c>
      <c r="E57" s="87">
        <f t="shared" si="66"/>
        <v>377.96542886183886</v>
      </c>
      <c r="F57" s="87">
        <f t="shared" si="66"/>
        <v>378.92678222918022</v>
      </c>
      <c r="G57" s="87">
        <f t="shared" si="66"/>
        <v>338.18461822327146</v>
      </c>
      <c r="H57" s="87">
        <f t="shared" si="66"/>
        <v>438.15458281122</v>
      </c>
      <c r="I57" s="87">
        <f t="shared" si="66"/>
        <v>450.71702655076109</v>
      </c>
      <c r="J57" s="87">
        <f t="shared" si="66"/>
        <v>435.38060448037987</v>
      </c>
      <c r="K57" s="87">
        <f t="shared" ref="K57:V57" si="67">IF(K11=0,0,K11/K22)</f>
        <v>369.88287237476845</v>
      </c>
      <c r="L57" s="87">
        <f t="shared" si="67"/>
        <v>536.81805160929844</v>
      </c>
      <c r="M57" s="87">
        <f t="shared" si="67"/>
        <v>523.57277685332599</v>
      </c>
      <c r="N57" s="87">
        <f t="shared" si="67"/>
        <v>461.47198148950434</v>
      </c>
      <c r="O57" s="87">
        <f t="shared" si="67"/>
        <v>445.6856500204334</v>
      </c>
      <c r="P57" s="87">
        <f t="shared" si="67"/>
        <v>456.73159439910711</v>
      </c>
      <c r="Q57" s="87">
        <f t="shared" si="67"/>
        <v>442.90553674027456</v>
      </c>
      <c r="R57" s="87">
        <f t="shared" si="67"/>
        <v>459.45950340401168</v>
      </c>
      <c r="S57" s="87">
        <f t="shared" si="67"/>
        <v>456.79996061492102</v>
      </c>
      <c r="T57" s="87">
        <f t="shared" si="67"/>
        <v>470.16245459242617</v>
      </c>
      <c r="U57" s="87">
        <f t="shared" si="67"/>
        <v>424.26717620256852</v>
      </c>
      <c r="V57" s="87">
        <f t="shared" si="67"/>
        <v>334.05462329198463</v>
      </c>
      <c r="W57" s="87">
        <f t="shared" ref="W57" si="68">IF(W11=0,0,W11/W22)</f>
        <v>454.09506110461814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540.20487944408706</v>
      </c>
      <c r="C58" s="88">
        <f t="shared" si="69"/>
        <v>418.71014087929041</v>
      </c>
      <c r="D58" s="88">
        <f t="shared" si="69"/>
        <v>365.17767040434717</v>
      </c>
      <c r="E58" s="88">
        <f t="shared" si="69"/>
        <v>365.30876523647885</v>
      </c>
      <c r="F58" s="88">
        <f t="shared" si="69"/>
        <v>365.51051348751992</v>
      </c>
      <c r="G58" s="88">
        <f t="shared" si="69"/>
        <v>363.06760060292117</v>
      </c>
      <c r="H58" s="88">
        <f t="shared" si="69"/>
        <v>384.16929245141603</v>
      </c>
      <c r="I58" s="88">
        <f t="shared" si="69"/>
        <v>409.76195316074086</v>
      </c>
      <c r="J58" s="88">
        <f t="shared" si="69"/>
        <v>295.95362432726216</v>
      </c>
      <c r="K58" s="88">
        <f t="shared" ref="K58:V58" si="70">IF(K12=0,0,K12/K23)</f>
        <v>281.66798202396848</v>
      </c>
      <c r="L58" s="88">
        <f t="shared" si="70"/>
        <v>398.30444650333175</v>
      </c>
      <c r="M58" s="88">
        <f t="shared" si="70"/>
        <v>393.77095595417109</v>
      </c>
      <c r="N58" s="88">
        <f t="shared" si="70"/>
        <v>373.28934044714089</v>
      </c>
      <c r="O58" s="88">
        <f t="shared" si="70"/>
        <v>360.80767833438119</v>
      </c>
      <c r="P58" s="88">
        <f t="shared" si="70"/>
        <v>369.62039718233257</v>
      </c>
      <c r="Q58" s="88">
        <f t="shared" si="70"/>
        <v>359.14720457842918</v>
      </c>
      <c r="R58" s="88">
        <f t="shared" si="70"/>
        <v>364.22117002626862</v>
      </c>
      <c r="S58" s="88">
        <f t="shared" si="70"/>
        <v>361.97438598480267</v>
      </c>
      <c r="T58" s="88">
        <f t="shared" si="70"/>
        <v>383.04023795498489</v>
      </c>
      <c r="U58" s="88">
        <f t="shared" si="70"/>
        <v>338.57044293598864</v>
      </c>
      <c r="V58" s="88">
        <f t="shared" si="70"/>
        <v>326.61821515115116</v>
      </c>
      <c r="W58" s="88">
        <f t="shared" ref="W58" si="71">IF(W12=0,0,W12/W23)</f>
        <v>341.15906323300914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</v>
      </c>
      <c r="C61" s="29">
        <f t="shared" ref="C61" si="73">IF(C26=0,0,(C62*C27+C64*C29+C65*C30+C66*C31)/(C27+C29+C30+C31))</f>
        <v>320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320</v>
      </c>
      <c r="G61" s="29">
        <f t="shared" ref="G61" si="77">IF(G26=0,0,(G62*G27+G64*G29+G65*G30+G66*G31)/(G27+G29+G30+G31))</f>
        <v>319.99999999999994</v>
      </c>
      <c r="H61" s="29">
        <f t="shared" ref="H61" si="78">IF(H26=0,0,(H62*H27+H64*H29+H65*H30+H66*H31)/(H27+H29+H30+H31))</f>
        <v>320.00000000000006</v>
      </c>
      <c r="I61" s="29">
        <f t="shared" ref="I61" si="79">IF(I26=0,0,(I62*I27+I64*I29+I65*I30+I66*I31)/(I27+I29+I30+I31))</f>
        <v>320</v>
      </c>
      <c r="J61" s="29">
        <f t="shared" ref="J61" si="80">IF(J26=0,0,(J62*J27+J64*J29+J65*J30+J66*J31)/(J27+J29+J30+J31))</f>
        <v>320</v>
      </c>
      <c r="K61" s="29">
        <f t="shared" ref="K61" si="81">IF(K26=0,0,(K62*K27+K64*K29+K65*K30+K66*K31)/(K27+K29+K30+K31))</f>
        <v>320</v>
      </c>
      <c r="L61" s="29">
        <f t="shared" ref="L61" si="82">IF(L26=0,0,(L62*L27+L64*L29+L65*L30+L66*L31)/(L27+L29+L30+L31))</f>
        <v>320</v>
      </c>
      <c r="M61" s="29">
        <f t="shared" ref="M61" si="83">IF(M26=0,0,(M62*M27+M64*M29+M65*M30+M66*M31)/(M27+M29+M30+M31))</f>
        <v>320</v>
      </c>
      <c r="N61" s="29">
        <f t="shared" ref="N61" si="84">IF(N26=0,0,(N62*N27+N64*N29+N65*N30+N66*N31)/(N27+N29+N30+N31))</f>
        <v>320</v>
      </c>
      <c r="O61" s="29">
        <f t="shared" ref="O61" si="85">IF(O26=0,0,(O62*O27+O64*O29+O65*O30+O66*O31)/(O27+O29+O30+O31))</f>
        <v>320.00000000000006</v>
      </c>
      <c r="P61" s="29">
        <f t="shared" ref="P61" si="86">IF(P26=0,0,(P62*P27+P64*P29+P65*P30+P66*P31)/(P27+P29+P30+P31))</f>
        <v>320</v>
      </c>
      <c r="Q61" s="29">
        <f t="shared" ref="Q61" si="87">IF(Q26=0,0,(Q62*Q27+Q64*Q29+Q65*Q30+Q66*Q31)/(Q27+Q29+Q30+Q31))</f>
        <v>320.00000000000006</v>
      </c>
      <c r="R61" s="29">
        <f t="shared" ref="R61" si="88">IF(R26=0,0,(R62*R27+R64*R29+R65*R30+R66*R31)/(R27+R29+R30+R31))</f>
        <v>320</v>
      </c>
      <c r="S61" s="29">
        <f t="shared" ref="S61" si="89">IF(S26=0,0,(S62*S27+S64*S29+S65*S30+S66*S31)/(S27+S29+S30+S31))</f>
        <v>320.00000000000006</v>
      </c>
      <c r="T61" s="29">
        <f t="shared" ref="T61" si="90">IF(T26=0,0,(T62*T27+T64*T29+T65*T30+T66*T31)/(T27+T29+T30+T31))</f>
        <v>324.87052676723829</v>
      </c>
      <c r="U61" s="29">
        <f t="shared" ref="U61" si="91">IF(U26=0,0,(U62*U27+U64*U29+U65*U30+U66*U31)/(U27+U29+U30+U31))</f>
        <v>327.44225960069758</v>
      </c>
      <c r="V61" s="29">
        <f t="shared" ref="V61" si="92">IF(V26=0,0,(V62*V27+V64*V29+V65*V30+V66*V31)/(V27+V29+V30+V31))</f>
        <v>327.6852021859608</v>
      </c>
      <c r="W61" s="29">
        <f t="shared" ref="W61" si="93">IF(W26=0,0,(W62*W27+W64*W29+W65*W30+W66*W31)/(W27+W29+W30+W31))</f>
        <v>327.59810069697596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320.00000000000006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320.00000000000006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319.99999999999994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2100.0000000000005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2099.9999999999995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0.33200966723849523</v>
      </c>
      <c r="C72" s="30">
        <f t="shared" ref="C72:J72" si="138">IF(C50=0,0,C50/C61)</f>
        <v>0.29744447187415057</v>
      </c>
      <c r="D72" s="30">
        <f t="shared" si="138"/>
        <v>0.23066357404237192</v>
      </c>
      <c r="E72" s="30">
        <f t="shared" si="138"/>
        <v>0.25559662502775249</v>
      </c>
      <c r="F72" s="30">
        <f t="shared" si="138"/>
        <v>0.25449204550595833</v>
      </c>
      <c r="G72" s="30">
        <f t="shared" si="138"/>
        <v>0.19849472519740596</v>
      </c>
      <c r="H72" s="30">
        <f t="shared" si="138"/>
        <v>0.19400931833311952</v>
      </c>
      <c r="I72" s="30">
        <f t="shared" si="138"/>
        <v>0.19240618860017206</v>
      </c>
      <c r="J72" s="30">
        <f t="shared" si="138"/>
        <v>0.18016257318020437</v>
      </c>
      <c r="K72" s="30">
        <f t="shared" ref="K72:V72" si="139">IF(K50=0,0,K50/K61)</f>
        <v>0.1718333945159663</v>
      </c>
      <c r="L72" s="30">
        <f t="shared" si="139"/>
        <v>0.16526743068491204</v>
      </c>
      <c r="M72" s="30">
        <f t="shared" si="139"/>
        <v>0.15250786267184158</v>
      </c>
      <c r="N72" s="30">
        <f t="shared" si="139"/>
        <v>0.15632483212671294</v>
      </c>
      <c r="O72" s="30">
        <f t="shared" si="139"/>
        <v>0.15610716023680907</v>
      </c>
      <c r="P72" s="30">
        <f t="shared" si="139"/>
        <v>0.14244171545404413</v>
      </c>
      <c r="Q72" s="30">
        <f t="shared" si="139"/>
        <v>0.15595000119059982</v>
      </c>
      <c r="R72" s="30">
        <f t="shared" si="139"/>
        <v>0.15192361580995684</v>
      </c>
      <c r="S72" s="30">
        <f t="shared" si="139"/>
        <v>0.1565537610632291</v>
      </c>
      <c r="T72" s="30">
        <f t="shared" si="139"/>
        <v>0.14526643622636878</v>
      </c>
      <c r="U72" s="30">
        <f t="shared" si="139"/>
        <v>0.14981587871932697</v>
      </c>
      <c r="V72" s="30">
        <f t="shared" si="139"/>
        <v>9.9701823783853796E-2</v>
      </c>
      <c r="W72" s="30">
        <f t="shared" ref="W72" si="140">IF(W50=0,0,W50/W61)</f>
        <v>0.10264045501958639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0.10960806057883886</v>
      </c>
      <c r="U73" s="118">
        <f t="shared" si="142"/>
        <v>0.11067729083665338</v>
      </c>
      <c r="V73" s="118">
        <f t="shared" si="142"/>
        <v>0.11046458923512746</v>
      </c>
      <c r="W73" s="118">
        <f t="shared" ref="W73" si="143">IF(W51=0,0,W51/W62)</f>
        <v>0.11874677878746778</v>
      </c>
      <c r="DA73" s="203"/>
    </row>
    <row r="74" spans="1:105" ht="11.45" customHeight="1" x14ac:dyDescent="0.25">
      <c r="A74" s="109" t="s">
        <v>24</v>
      </c>
      <c r="B74" s="119">
        <f t="shared" si="141"/>
        <v>0.33200966723849523</v>
      </c>
      <c r="C74" s="119">
        <f t="shared" si="141"/>
        <v>0.29744447187415057</v>
      </c>
      <c r="D74" s="119">
        <f t="shared" si="141"/>
        <v>0.23066357404237192</v>
      </c>
      <c r="E74" s="119">
        <f t="shared" si="141"/>
        <v>0.25559662502775249</v>
      </c>
      <c r="F74" s="119">
        <f t="shared" si="141"/>
        <v>0.25449204550595833</v>
      </c>
      <c r="G74" s="119">
        <f t="shared" si="141"/>
        <v>0.19849472519740596</v>
      </c>
      <c r="H74" s="119">
        <f t="shared" si="141"/>
        <v>0.19400931833311952</v>
      </c>
      <c r="I74" s="119">
        <f t="shared" si="141"/>
        <v>0.19240618860017206</v>
      </c>
      <c r="J74" s="119">
        <f t="shared" si="141"/>
        <v>0.18016257318020437</v>
      </c>
      <c r="K74" s="119">
        <f t="shared" ref="K74:V74" si="144">IF(K52=0,0,K52/K63)</f>
        <v>0.1718333945159663</v>
      </c>
      <c r="L74" s="119">
        <f t="shared" si="144"/>
        <v>0.16526743068491204</v>
      </c>
      <c r="M74" s="119">
        <f t="shared" si="144"/>
        <v>0.15250786267184158</v>
      </c>
      <c r="N74" s="119">
        <f t="shared" si="144"/>
        <v>0.15632483212671294</v>
      </c>
      <c r="O74" s="119">
        <f t="shared" si="144"/>
        <v>0.15610716023680907</v>
      </c>
      <c r="P74" s="119">
        <f t="shared" si="144"/>
        <v>0.14244171545404413</v>
      </c>
      <c r="Q74" s="119">
        <f t="shared" si="144"/>
        <v>0.15595000119059982</v>
      </c>
      <c r="R74" s="119">
        <f t="shared" si="144"/>
        <v>0.15192361580995684</v>
      </c>
      <c r="S74" s="119">
        <f t="shared" si="144"/>
        <v>0.1565537610632291</v>
      </c>
      <c r="T74" s="119">
        <f t="shared" si="144"/>
        <v>0.14797507676418228</v>
      </c>
      <c r="U74" s="119">
        <f t="shared" si="144"/>
        <v>0.15442493316770814</v>
      </c>
      <c r="V74" s="119">
        <f t="shared" si="144"/>
        <v>9.9040295206926407E-2</v>
      </c>
      <c r="W74" s="119">
        <f t="shared" ref="W74" si="145">IF(W52=0,0,W52/W63)</f>
        <v>0.10174095119083715</v>
      </c>
      <c r="DA74" s="176"/>
    </row>
    <row r="75" spans="1:105" ht="11.45" customHeight="1" x14ac:dyDescent="0.25">
      <c r="A75" s="111" t="s">
        <v>92</v>
      </c>
      <c r="B75" s="120">
        <f t="shared" si="141"/>
        <v>0.13987775923798024</v>
      </c>
      <c r="C75" s="120">
        <f t="shared" si="141"/>
        <v>0.12256147866910119</v>
      </c>
      <c r="D75" s="120">
        <f t="shared" si="141"/>
        <v>0.12249252238308199</v>
      </c>
      <c r="E75" s="120">
        <f t="shared" si="141"/>
        <v>0.12040713002702726</v>
      </c>
      <c r="F75" s="120">
        <f t="shared" si="141"/>
        <v>0.11905793944907242</v>
      </c>
      <c r="G75" s="120">
        <f t="shared" si="141"/>
        <v>0.11832892150875059</v>
      </c>
      <c r="H75" s="120">
        <f t="shared" si="141"/>
        <v>0.14280712819861957</v>
      </c>
      <c r="I75" s="120">
        <f t="shared" si="141"/>
        <v>0.1660585947188819</v>
      </c>
      <c r="J75" s="120">
        <f t="shared" si="141"/>
        <v>0.15517491473608663</v>
      </c>
      <c r="K75" s="120">
        <f t="shared" ref="K75:V75" si="146">IF(K53=0,0,K53/K64)</f>
        <v>0.14877494380466186</v>
      </c>
      <c r="L75" s="120">
        <f t="shared" si="146"/>
        <v>0.13618016095003804</v>
      </c>
      <c r="M75" s="120">
        <f t="shared" si="146"/>
        <v>0.12546952023828578</v>
      </c>
      <c r="N75" s="120">
        <f t="shared" si="146"/>
        <v>0.13853742785724468</v>
      </c>
      <c r="O75" s="120">
        <f t="shared" si="146"/>
        <v>0.11498009651311517</v>
      </c>
      <c r="P75" s="120">
        <f t="shared" si="146"/>
        <v>0.13097032904455377</v>
      </c>
      <c r="Q75" s="120">
        <f t="shared" si="146"/>
        <v>0.13355599290820053</v>
      </c>
      <c r="R75" s="120">
        <f t="shared" si="146"/>
        <v>0.13091910604160048</v>
      </c>
      <c r="S75" s="120">
        <f t="shared" si="146"/>
        <v>0.13572081864573679</v>
      </c>
      <c r="T75" s="120">
        <f t="shared" si="146"/>
        <v>0.13080754443479739</v>
      </c>
      <c r="U75" s="120">
        <f t="shared" si="146"/>
        <v>0.13885061631309734</v>
      </c>
      <c r="V75" s="120">
        <f t="shared" si="146"/>
        <v>7.6380749910289869E-2</v>
      </c>
      <c r="W75" s="120">
        <f t="shared" ref="W75" si="147">IF(W53=0,0,W53/W64)</f>
        <v>9.4249770748664558E-2</v>
      </c>
      <c r="DA75" s="171"/>
    </row>
    <row r="76" spans="1:105" ht="11.45" customHeight="1" x14ac:dyDescent="0.25">
      <c r="A76" s="111" t="s">
        <v>93</v>
      </c>
      <c r="B76" s="120">
        <f t="shared" si="141"/>
        <v>0.53989961799697528</v>
      </c>
      <c r="C76" s="120">
        <f t="shared" si="141"/>
        <v>0.48786985990080745</v>
      </c>
      <c r="D76" s="120">
        <f t="shared" si="141"/>
        <v>0.34217274244573659</v>
      </c>
      <c r="E76" s="120">
        <f t="shared" si="141"/>
        <v>0.35693903478389732</v>
      </c>
      <c r="F76" s="120">
        <f t="shared" si="141"/>
        <v>0.32986846984144363</v>
      </c>
      <c r="G76" s="120">
        <f t="shared" si="141"/>
        <v>0.21741194285111823</v>
      </c>
      <c r="H76" s="120">
        <f t="shared" si="141"/>
        <v>0.20242306277912317</v>
      </c>
      <c r="I76" s="120">
        <f t="shared" si="141"/>
        <v>0.19828856735032299</v>
      </c>
      <c r="J76" s="120">
        <f t="shared" si="141"/>
        <v>0.18769488529620856</v>
      </c>
      <c r="K76" s="120">
        <f t="shared" ref="K76:V76" si="148">IF(K54=0,0,K54/K65)</f>
        <v>0.17735303411300113</v>
      </c>
      <c r="L76" s="120">
        <f t="shared" si="148"/>
        <v>0.17313465261120803</v>
      </c>
      <c r="M76" s="120">
        <f t="shared" si="148"/>
        <v>0.15894010045083079</v>
      </c>
      <c r="N76" s="120">
        <f t="shared" si="148"/>
        <v>0.16051853199013774</v>
      </c>
      <c r="O76" s="120">
        <f t="shared" si="148"/>
        <v>0.1648454918537352</v>
      </c>
      <c r="P76" s="120">
        <f t="shared" si="148"/>
        <v>0.14508889639820938</v>
      </c>
      <c r="Q76" s="120">
        <f t="shared" si="148"/>
        <v>0.1597472136395382</v>
      </c>
      <c r="R76" s="120">
        <f t="shared" si="148"/>
        <v>0.15555213408161073</v>
      </c>
      <c r="S76" s="120">
        <f t="shared" si="148"/>
        <v>0.15981184258169948</v>
      </c>
      <c r="T76" s="120">
        <f t="shared" si="148"/>
        <v>0.15105858653647883</v>
      </c>
      <c r="U76" s="120">
        <f t="shared" si="148"/>
        <v>0.15707790831292195</v>
      </c>
      <c r="V76" s="120">
        <f t="shared" si="148"/>
        <v>0.10337950555129298</v>
      </c>
      <c r="W76" s="120">
        <f t="shared" ref="W76" si="149">IF(W54=0,0,W54/W65)</f>
        <v>0.10311826705106261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0.23758557852467135</v>
      </c>
      <c r="C78" s="30">
        <f t="shared" si="141"/>
        <v>0.19397079558923808</v>
      </c>
      <c r="D78" s="30">
        <f t="shared" si="141"/>
        <v>0.17522826502996694</v>
      </c>
      <c r="E78" s="30">
        <f t="shared" si="141"/>
        <v>0.17522086093264111</v>
      </c>
      <c r="F78" s="30">
        <f t="shared" si="141"/>
        <v>0.1752192675618521</v>
      </c>
      <c r="G78" s="30">
        <f t="shared" si="141"/>
        <v>0.17133096837161274</v>
      </c>
      <c r="H78" s="30">
        <f t="shared" si="141"/>
        <v>0.18497117099066371</v>
      </c>
      <c r="I78" s="30">
        <f t="shared" si="141"/>
        <v>0.19705599470510865</v>
      </c>
      <c r="J78" s="30">
        <f t="shared" si="141"/>
        <v>0.14716069282059244</v>
      </c>
      <c r="K78" s="30">
        <f t="shared" ref="K78:V78" si="152">IF(K56=0,0,K56/K67)</f>
        <v>0.13799988605571645</v>
      </c>
      <c r="L78" s="30">
        <f t="shared" si="152"/>
        <v>0.19590092906674603</v>
      </c>
      <c r="M78" s="30">
        <f t="shared" si="152"/>
        <v>0.19283411966737854</v>
      </c>
      <c r="N78" s="30">
        <f t="shared" si="152"/>
        <v>0.18166066195963781</v>
      </c>
      <c r="O78" s="30">
        <f t="shared" si="152"/>
        <v>0.17525751190027608</v>
      </c>
      <c r="P78" s="30">
        <f t="shared" si="152"/>
        <v>0.17973623896106611</v>
      </c>
      <c r="Q78" s="30">
        <f t="shared" si="152"/>
        <v>0.17391143709184423</v>
      </c>
      <c r="R78" s="30">
        <f t="shared" si="152"/>
        <v>0.17672725524139909</v>
      </c>
      <c r="S78" s="30">
        <f t="shared" si="152"/>
        <v>0.17539144261694969</v>
      </c>
      <c r="T78" s="30">
        <f t="shared" si="152"/>
        <v>0.1855584274190813</v>
      </c>
      <c r="U78" s="30">
        <f t="shared" si="152"/>
        <v>0.16412906382282183</v>
      </c>
      <c r="V78" s="30">
        <f t="shared" si="152"/>
        <v>0.15586792117593401</v>
      </c>
      <c r="W78" s="30">
        <f t="shared" ref="W78" si="153">IF(W56=0,0,W56/W67)</f>
        <v>0.16629954277840978</v>
      </c>
      <c r="DA78" s="173"/>
    </row>
    <row r="79" spans="1:105" ht="11.45" customHeight="1" x14ac:dyDescent="0.25">
      <c r="A79" s="83" t="s">
        <v>92</v>
      </c>
      <c r="B79" s="120">
        <f t="shared" si="141"/>
        <v>0.19426411893522708</v>
      </c>
      <c r="C79" s="120">
        <f t="shared" si="141"/>
        <v>0.17939798729073467</v>
      </c>
      <c r="D79" s="120">
        <f t="shared" si="141"/>
        <v>0.17953642246266913</v>
      </c>
      <c r="E79" s="120">
        <f t="shared" si="141"/>
        <v>0.17998353755325661</v>
      </c>
      <c r="F79" s="120">
        <f t="shared" si="141"/>
        <v>0.1804413248710382</v>
      </c>
      <c r="G79" s="120">
        <f t="shared" si="141"/>
        <v>0.16104029439203402</v>
      </c>
      <c r="H79" s="120">
        <f t="shared" si="141"/>
        <v>0.20864503943391427</v>
      </c>
      <c r="I79" s="120">
        <f t="shared" si="141"/>
        <v>0.21462715550036243</v>
      </c>
      <c r="J79" s="120">
        <f t="shared" si="141"/>
        <v>0.20732409737160945</v>
      </c>
      <c r="K79" s="120">
        <f t="shared" ref="K79:V79" si="154">IF(K57=0,0,K57/K68)</f>
        <v>0.17613470113084212</v>
      </c>
      <c r="L79" s="120">
        <f t="shared" si="154"/>
        <v>0.25562764362347545</v>
      </c>
      <c r="M79" s="120">
        <f t="shared" si="154"/>
        <v>0.24932036993015524</v>
      </c>
      <c r="N79" s="120">
        <f t="shared" si="154"/>
        <v>0.21974856261404968</v>
      </c>
      <c r="O79" s="120">
        <f t="shared" si="154"/>
        <v>0.2122312619144921</v>
      </c>
      <c r="P79" s="120">
        <f t="shared" si="154"/>
        <v>0.21749123542814625</v>
      </c>
      <c r="Q79" s="120">
        <f t="shared" si="154"/>
        <v>0.21090739844774978</v>
      </c>
      <c r="R79" s="120">
        <f t="shared" si="154"/>
        <v>0.21879023971619604</v>
      </c>
      <c r="S79" s="120">
        <f t="shared" si="154"/>
        <v>0.21752379076901002</v>
      </c>
      <c r="T79" s="120">
        <f t="shared" si="154"/>
        <v>0.22388688313925056</v>
      </c>
      <c r="U79" s="120">
        <f t="shared" si="154"/>
        <v>0.20203198866788977</v>
      </c>
      <c r="V79" s="120">
        <f t="shared" si="154"/>
        <v>0.1590736301390403</v>
      </c>
      <c r="W79" s="120">
        <f t="shared" ref="W79" si="155">IF(W57=0,0,W57/W68)</f>
        <v>0.21623574338315149</v>
      </c>
      <c r="DA79" s="171"/>
    </row>
    <row r="80" spans="1:105" ht="11.45" customHeight="1" x14ac:dyDescent="0.25">
      <c r="A80" s="85" t="s">
        <v>93</v>
      </c>
      <c r="B80" s="122">
        <f t="shared" si="141"/>
        <v>0.25724041878289861</v>
      </c>
      <c r="C80" s="122">
        <f t="shared" si="141"/>
        <v>0.19938578137109067</v>
      </c>
      <c r="D80" s="122">
        <f t="shared" si="141"/>
        <v>0.17389412876397484</v>
      </c>
      <c r="E80" s="122">
        <f t="shared" si="141"/>
        <v>0.17395655487451372</v>
      </c>
      <c r="F80" s="122">
        <f t="shared" si="141"/>
        <v>0.17405262547024758</v>
      </c>
      <c r="G80" s="122">
        <f t="shared" si="141"/>
        <v>0.17288933362043865</v>
      </c>
      <c r="H80" s="122">
        <f t="shared" si="141"/>
        <v>0.1829377583101981</v>
      </c>
      <c r="I80" s="122">
        <f t="shared" si="141"/>
        <v>0.19512473960035279</v>
      </c>
      <c r="J80" s="122">
        <f t="shared" si="141"/>
        <v>0.14093029729869627</v>
      </c>
      <c r="K80" s="122">
        <f t="shared" ref="K80:V80" si="156">IF(K58=0,0,K58/K69)</f>
        <v>0.13412761048760405</v>
      </c>
      <c r="L80" s="122">
        <f t="shared" si="156"/>
        <v>0.18966878404920559</v>
      </c>
      <c r="M80" s="122">
        <f t="shared" si="156"/>
        <v>0.18750997902579575</v>
      </c>
      <c r="N80" s="122">
        <f t="shared" si="156"/>
        <v>0.17775682878435281</v>
      </c>
      <c r="O80" s="122">
        <f t="shared" si="156"/>
        <v>0.17181318015922914</v>
      </c>
      <c r="P80" s="122">
        <f t="shared" si="156"/>
        <v>0.17600971294396789</v>
      </c>
      <c r="Q80" s="122">
        <f t="shared" si="156"/>
        <v>0.17102247837068058</v>
      </c>
      <c r="R80" s="122">
        <f t="shared" si="156"/>
        <v>0.17343865239346126</v>
      </c>
      <c r="S80" s="122">
        <f t="shared" si="156"/>
        <v>0.1723687552308584</v>
      </c>
      <c r="T80" s="122">
        <f t="shared" si="156"/>
        <v>0.18240011331189757</v>
      </c>
      <c r="U80" s="122">
        <f t="shared" si="156"/>
        <v>0.16122402044570888</v>
      </c>
      <c r="V80" s="122">
        <f t="shared" si="156"/>
        <v>0.15553248340531009</v>
      </c>
      <c r="W80" s="122">
        <f t="shared" ref="W80" si="157">IF(W58=0,0,W58/W69)</f>
        <v>0.16245669677762339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161657.00726124857</v>
      </c>
      <c r="C82" s="54">
        <f t="shared" si="158"/>
        <v>161428.86734125309</v>
      </c>
      <c r="D82" s="54">
        <f t="shared" si="158"/>
        <v>161795.34246541711</v>
      </c>
      <c r="E82" s="54">
        <f t="shared" si="158"/>
        <v>151228.45594820214</v>
      </c>
      <c r="F82" s="54">
        <f t="shared" si="158"/>
        <v>149110.52574789937</v>
      </c>
      <c r="G82" s="54">
        <f t="shared" si="158"/>
        <v>136861.33539267103</v>
      </c>
      <c r="H82" s="54">
        <f t="shared" si="158"/>
        <v>142098.71730591397</v>
      </c>
      <c r="I82" s="54">
        <f t="shared" si="158"/>
        <v>155643.76630861251</v>
      </c>
      <c r="J82" s="54">
        <f t="shared" si="158"/>
        <v>148734.40885005277</v>
      </c>
      <c r="K82" s="54">
        <f t="shared" ref="K82:V82" si="159">IF(K14=0,0,K14/K25*1000000)</f>
        <v>145049.17769121402</v>
      </c>
      <c r="L82" s="54">
        <f t="shared" si="159"/>
        <v>149760.77364103275</v>
      </c>
      <c r="M82" s="54">
        <f t="shared" si="159"/>
        <v>149797.42631945081</v>
      </c>
      <c r="N82" s="54">
        <f t="shared" si="159"/>
        <v>149126.42849531179</v>
      </c>
      <c r="O82" s="54">
        <f t="shared" si="159"/>
        <v>150164.52610785354</v>
      </c>
      <c r="P82" s="54">
        <f t="shared" si="159"/>
        <v>150598.79778681317</v>
      </c>
      <c r="Q82" s="54">
        <f t="shared" si="159"/>
        <v>149878.90881204276</v>
      </c>
      <c r="R82" s="54">
        <f t="shared" si="159"/>
        <v>152260.72533883378</v>
      </c>
      <c r="S82" s="54">
        <f t="shared" si="159"/>
        <v>152363.16479605751</v>
      </c>
      <c r="T82" s="54">
        <f t="shared" si="159"/>
        <v>149730.56591872234</v>
      </c>
      <c r="U82" s="54">
        <f t="shared" si="159"/>
        <v>148356.57615482213</v>
      </c>
      <c r="V82" s="54">
        <f t="shared" si="159"/>
        <v>137279.63889223349</v>
      </c>
      <c r="W82" s="54">
        <f t="shared" ref="W82" si="160">IF(W14=0,0,W14/W25*1000000)</f>
        <v>148102.21630962437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149999.99079867351</v>
      </c>
      <c r="C83" s="28">
        <f t="shared" si="161"/>
        <v>149999.99487945266</v>
      </c>
      <c r="D83" s="28">
        <f t="shared" si="161"/>
        <v>149999.99283413659</v>
      </c>
      <c r="E83" s="28">
        <f t="shared" si="161"/>
        <v>136836.73004708407</v>
      </c>
      <c r="F83" s="28">
        <f t="shared" si="161"/>
        <v>132610.31251658197</v>
      </c>
      <c r="G83" s="28">
        <f t="shared" si="161"/>
        <v>132553.70490780563</v>
      </c>
      <c r="H83" s="28">
        <f t="shared" si="161"/>
        <v>135441.28747834</v>
      </c>
      <c r="I83" s="28">
        <f t="shared" si="161"/>
        <v>147294.36633690464</v>
      </c>
      <c r="J83" s="28">
        <f t="shared" si="161"/>
        <v>149999.99416065429</v>
      </c>
      <c r="K83" s="28">
        <f t="shared" ref="K83:V83" si="162">IF(K15=0,0,K15/K26*1000000)</f>
        <v>148674.5568638269</v>
      </c>
      <c r="L83" s="28">
        <f t="shared" si="162"/>
        <v>149999.99742296099</v>
      </c>
      <c r="M83" s="28">
        <f t="shared" si="162"/>
        <v>149999.99864599231</v>
      </c>
      <c r="N83" s="28">
        <f t="shared" si="162"/>
        <v>149999.99748984512</v>
      </c>
      <c r="O83" s="28">
        <f t="shared" si="162"/>
        <v>149999.99688857852</v>
      </c>
      <c r="P83" s="28">
        <f t="shared" si="162"/>
        <v>149999.99927450775</v>
      </c>
      <c r="Q83" s="28">
        <f t="shared" si="162"/>
        <v>147729.16714426488</v>
      </c>
      <c r="R83" s="28">
        <f t="shared" si="162"/>
        <v>149999.99598283207</v>
      </c>
      <c r="S83" s="28">
        <f t="shared" si="162"/>
        <v>149999.99627968803</v>
      </c>
      <c r="T83" s="28">
        <f t="shared" si="162"/>
        <v>147564.73400379406</v>
      </c>
      <c r="U83" s="28">
        <f t="shared" si="162"/>
        <v>146278.86795774251</v>
      </c>
      <c r="V83" s="28">
        <f t="shared" si="162"/>
        <v>134995.80497626556</v>
      </c>
      <c r="W83" s="28">
        <f t="shared" ref="W83" si="163">IF(W15=0,0,W15/W26*1000000)</f>
        <v>146200.94462571514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109999.98257039329</v>
      </c>
      <c r="U84" s="108">
        <f t="shared" si="164"/>
        <v>109999.99841893966</v>
      </c>
      <c r="V84" s="108">
        <f t="shared" si="164"/>
        <v>109999.98474419666</v>
      </c>
      <c r="W84" s="108">
        <f t="shared" ref="W84" si="165">IF(W16=0,0,W16/W27*1000000)</f>
        <v>109999.98813942495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149999.99079867351</v>
      </c>
      <c r="C85" s="110">
        <f t="shared" si="161"/>
        <v>149999.99487945266</v>
      </c>
      <c r="D85" s="110">
        <f t="shared" si="161"/>
        <v>149999.99283413659</v>
      </c>
      <c r="E85" s="110">
        <f t="shared" si="161"/>
        <v>136836.73004708407</v>
      </c>
      <c r="F85" s="110">
        <f t="shared" si="161"/>
        <v>132610.31251658197</v>
      </c>
      <c r="G85" s="110">
        <f t="shared" si="161"/>
        <v>132553.70490780563</v>
      </c>
      <c r="H85" s="110">
        <f t="shared" si="161"/>
        <v>135441.28747834</v>
      </c>
      <c r="I85" s="110">
        <f t="shared" si="161"/>
        <v>147294.36633690464</v>
      </c>
      <c r="J85" s="110">
        <f t="shared" si="161"/>
        <v>149999.99416065429</v>
      </c>
      <c r="K85" s="110">
        <f t="shared" ref="K85:V85" si="166">IF(K17=0,0,K17/K28*1000000)</f>
        <v>148674.5568638269</v>
      </c>
      <c r="L85" s="110">
        <f t="shared" si="166"/>
        <v>149999.99742296099</v>
      </c>
      <c r="M85" s="110">
        <f t="shared" si="166"/>
        <v>149999.99864599231</v>
      </c>
      <c r="N85" s="110">
        <f t="shared" si="166"/>
        <v>149999.99748984512</v>
      </c>
      <c r="O85" s="110">
        <f t="shared" si="166"/>
        <v>149999.99688857852</v>
      </c>
      <c r="P85" s="110">
        <f t="shared" si="166"/>
        <v>149999.99927450775</v>
      </c>
      <c r="Q85" s="110">
        <f t="shared" si="166"/>
        <v>147729.16714426488</v>
      </c>
      <c r="R85" s="110">
        <f t="shared" si="166"/>
        <v>149999.99598283207</v>
      </c>
      <c r="S85" s="110">
        <f t="shared" si="166"/>
        <v>149999.99627968803</v>
      </c>
      <c r="T85" s="110">
        <f t="shared" si="166"/>
        <v>149999.99834797755</v>
      </c>
      <c r="U85" s="110">
        <f t="shared" si="166"/>
        <v>149999.99769030797</v>
      </c>
      <c r="V85" s="110">
        <f t="shared" si="166"/>
        <v>137652.21746851056</v>
      </c>
      <c r="W85" s="110">
        <f t="shared" ref="W85" si="167">IF(W17=0,0,W17/W28*1000000)</f>
        <v>149999.99569146795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149999.99564642823</v>
      </c>
      <c r="C86" s="84">
        <f t="shared" si="161"/>
        <v>149999.99441211438</v>
      </c>
      <c r="D86" s="84">
        <f t="shared" si="161"/>
        <v>149999.98886660076</v>
      </c>
      <c r="E86" s="84">
        <f t="shared" si="161"/>
        <v>122496.74730274006</v>
      </c>
      <c r="F86" s="84">
        <f t="shared" si="161"/>
        <v>109749.33324348051</v>
      </c>
      <c r="G86" s="84">
        <f t="shared" si="161"/>
        <v>88790.425664052673</v>
      </c>
      <c r="H86" s="84">
        <f t="shared" si="161"/>
        <v>85148.344643149583</v>
      </c>
      <c r="I86" s="84">
        <f t="shared" si="161"/>
        <v>136283.80025471342</v>
      </c>
      <c r="J86" s="84">
        <f t="shared" si="161"/>
        <v>149999.9892969401</v>
      </c>
      <c r="K86" s="84">
        <f t="shared" ref="K86:V86" si="168">IF(K18=0,0,K18/K29*1000000)</f>
        <v>143381.79860000371</v>
      </c>
      <c r="L86" s="84">
        <f t="shared" si="168"/>
        <v>149999.99691125896</v>
      </c>
      <c r="M86" s="84">
        <f t="shared" si="168"/>
        <v>149999.9984886859</v>
      </c>
      <c r="N86" s="84">
        <f t="shared" si="168"/>
        <v>149999.99843439969</v>
      </c>
      <c r="O86" s="84">
        <f t="shared" si="168"/>
        <v>149999.98756900502</v>
      </c>
      <c r="P86" s="84">
        <f t="shared" si="168"/>
        <v>149999.99687012937</v>
      </c>
      <c r="Q86" s="84">
        <f t="shared" si="168"/>
        <v>135620.76693787164</v>
      </c>
      <c r="R86" s="84">
        <f t="shared" si="168"/>
        <v>149999.98613659854</v>
      </c>
      <c r="S86" s="84">
        <f t="shared" si="168"/>
        <v>149999.98423022439</v>
      </c>
      <c r="T86" s="84">
        <f t="shared" si="168"/>
        <v>149999.99024442895</v>
      </c>
      <c r="U86" s="84">
        <f t="shared" si="168"/>
        <v>149999.98908475929</v>
      </c>
      <c r="V86" s="84">
        <f t="shared" si="168"/>
        <v>149999.98887531942</v>
      </c>
      <c r="W86" s="84">
        <f t="shared" ref="W86" si="169">IF(W18=0,0,W18/W29*1000000)</f>
        <v>149999.98494804749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149999.98555332181</v>
      </c>
      <c r="C87" s="84">
        <f t="shared" si="161"/>
        <v>149999.99538832469</v>
      </c>
      <c r="D87" s="84">
        <f t="shared" si="161"/>
        <v>149999.99692410926</v>
      </c>
      <c r="E87" s="84">
        <f t="shared" si="161"/>
        <v>149999.99415665213</v>
      </c>
      <c r="F87" s="84">
        <f t="shared" si="161"/>
        <v>149999.99581383544</v>
      </c>
      <c r="G87" s="84">
        <f t="shared" si="161"/>
        <v>149999.99425835849</v>
      </c>
      <c r="H87" s="84">
        <f t="shared" si="161"/>
        <v>149999.99653859215</v>
      </c>
      <c r="I87" s="84">
        <f t="shared" si="161"/>
        <v>149999.99810456386</v>
      </c>
      <c r="J87" s="84">
        <f t="shared" si="161"/>
        <v>149999.99562677866</v>
      </c>
      <c r="K87" s="84">
        <f t="shared" ref="K87:V87" si="170">IF(K19=0,0,K19/K30*1000000)</f>
        <v>149999.99627807768</v>
      </c>
      <c r="L87" s="84">
        <f t="shared" si="170"/>
        <v>149999.99756136083</v>
      </c>
      <c r="M87" s="84">
        <f t="shared" si="170"/>
        <v>149999.99868341442</v>
      </c>
      <c r="N87" s="84">
        <f t="shared" si="170"/>
        <v>149999.99726714945</v>
      </c>
      <c r="O87" s="84">
        <f t="shared" si="170"/>
        <v>149999.99886872302</v>
      </c>
      <c r="P87" s="84">
        <f t="shared" si="170"/>
        <v>149999.99982935129</v>
      </c>
      <c r="Q87" s="84">
        <f t="shared" si="170"/>
        <v>149999.99852492145</v>
      </c>
      <c r="R87" s="84">
        <f t="shared" si="170"/>
        <v>149999.99768376397</v>
      </c>
      <c r="S87" s="84">
        <f t="shared" si="170"/>
        <v>149999.99816411399</v>
      </c>
      <c r="T87" s="84">
        <f t="shared" si="170"/>
        <v>149999.99980347927</v>
      </c>
      <c r="U87" s="84">
        <f t="shared" si="170"/>
        <v>149999.99915620266</v>
      </c>
      <c r="V87" s="84">
        <f t="shared" si="170"/>
        <v>135515.99041907812</v>
      </c>
      <c r="W87" s="84">
        <f t="shared" ref="W87" si="171">IF(W19=0,0,W19/W30*1000000)</f>
        <v>149999.99766673535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199999.98181936386</v>
      </c>
      <c r="C89" s="28">
        <f t="shared" si="161"/>
        <v>199999.97137730659</v>
      </c>
      <c r="D89" s="28">
        <f t="shared" si="161"/>
        <v>199999.98148971121</v>
      </c>
      <c r="E89" s="28">
        <f t="shared" si="161"/>
        <v>197976.83656077465</v>
      </c>
      <c r="F89" s="28">
        <f t="shared" si="161"/>
        <v>199999.99489051901</v>
      </c>
      <c r="G89" s="28">
        <f t="shared" si="161"/>
        <v>156480.8974592856</v>
      </c>
      <c r="H89" s="28">
        <f t="shared" si="161"/>
        <v>179376.43983200402</v>
      </c>
      <c r="I89" s="28">
        <f t="shared" si="161"/>
        <v>196952.96540713974</v>
      </c>
      <c r="J89" s="28">
        <f t="shared" si="161"/>
        <v>140856.88513071006</v>
      </c>
      <c r="K89" s="28">
        <f t="shared" ref="K89:V89" si="174">IF(K21=0,0,K21/K32*1000000)</f>
        <v>119482.42727140182</v>
      </c>
      <c r="L89" s="28">
        <f t="shared" si="174"/>
        <v>147791.04361456435</v>
      </c>
      <c r="M89" s="28">
        <f t="shared" si="174"/>
        <v>147790.50979644409</v>
      </c>
      <c r="N89" s="28">
        <f t="shared" si="174"/>
        <v>139147.57404118055</v>
      </c>
      <c r="O89" s="28">
        <f t="shared" si="174"/>
        <v>152390.25282682676</v>
      </c>
      <c r="P89" s="28">
        <f t="shared" si="174"/>
        <v>159899.64423368042</v>
      </c>
      <c r="Q89" s="28">
        <f t="shared" si="174"/>
        <v>190940.5385148472</v>
      </c>
      <c r="R89" s="28">
        <f t="shared" si="174"/>
        <v>199999.86486870103</v>
      </c>
      <c r="S89" s="28">
        <f t="shared" si="174"/>
        <v>199999.89295173719</v>
      </c>
      <c r="T89" s="28">
        <f t="shared" si="174"/>
        <v>199999.91132137206</v>
      </c>
      <c r="U89" s="28">
        <f t="shared" si="174"/>
        <v>199999.92260271439</v>
      </c>
      <c r="V89" s="28">
        <f t="shared" si="174"/>
        <v>199999.88962935554</v>
      </c>
      <c r="W89" s="28">
        <f t="shared" ref="W89" si="175">IF(W21=0,0,W21/W32*1000000)</f>
        <v>199999.94180686885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199999.99431278845</v>
      </c>
      <c r="C90" s="84">
        <f t="shared" si="161"/>
        <v>199999.90728590809</v>
      </c>
      <c r="D90" s="84">
        <f t="shared" si="161"/>
        <v>199999.99326722906</v>
      </c>
      <c r="E90" s="84">
        <f t="shared" si="161"/>
        <v>190709.5974349436</v>
      </c>
      <c r="F90" s="84">
        <f t="shared" si="161"/>
        <v>199999.97735512324</v>
      </c>
      <c r="G90" s="84">
        <f t="shared" si="161"/>
        <v>120470.29059217786</v>
      </c>
      <c r="H90" s="84">
        <f t="shared" si="161"/>
        <v>90548.19404887862</v>
      </c>
      <c r="I90" s="84">
        <f t="shared" si="161"/>
        <v>172976.09604232534</v>
      </c>
      <c r="J90" s="84">
        <f t="shared" si="161"/>
        <v>142046.46623567669</v>
      </c>
      <c r="K90" s="84">
        <f t="shared" ref="K90:V90" si="176">IF(K22=0,0,K22/K33*1000000)</f>
        <v>159542.36233053642</v>
      </c>
      <c r="L90" s="84">
        <f t="shared" si="176"/>
        <v>199999.87414449104</v>
      </c>
      <c r="M90" s="84">
        <f t="shared" si="176"/>
        <v>199999.5082478993</v>
      </c>
      <c r="N90" s="84">
        <f t="shared" si="176"/>
        <v>199999.38771577785</v>
      </c>
      <c r="O90" s="84">
        <f t="shared" si="176"/>
        <v>199999.87976256871</v>
      </c>
      <c r="P90" s="84">
        <f t="shared" si="176"/>
        <v>199999.20255948082</v>
      </c>
      <c r="Q90" s="84">
        <f t="shared" si="176"/>
        <v>199999.04375648624</v>
      </c>
      <c r="R90" s="84">
        <f t="shared" si="176"/>
        <v>199999.11998488076</v>
      </c>
      <c r="S90" s="84">
        <f t="shared" si="176"/>
        <v>199999.00164569341</v>
      </c>
      <c r="T90" s="84">
        <f t="shared" si="176"/>
        <v>199999.49747495461</v>
      </c>
      <c r="U90" s="84">
        <f t="shared" si="176"/>
        <v>199999.09227478219</v>
      </c>
      <c r="V90" s="84">
        <f t="shared" si="176"/>
        <v>199999.55489030655</v>
      </c>
      <c r="W90" s="84">
        <f t="shared" ref="W90" si="177">IF(W22=0,0,W22/W33*1000000)</f>
        <v>199999.89976326725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199999.97615112818</v>
      </c>
      <c r="C91" s="86">
        <f t="shared" si="161"/>
        <v>199999.99519249424</v>
      </c>
      <c r="D91" s="86">
        <f t="shared" si="161"/>
        <v>199999.97784248783</v>
      </c>
      <c r="E91" s="86">
        <f t="shared" si="161"/>
        <v>199999.98613203963</v>
      </c>
      <c r="F91" s="86">
        <f t="shared" si="161"/>
        <v>199999.99880804267</v>
      </c>
      <c r="G91" s="86">
        <f t="shared" si="161"/>
        <v>163900.06258902157</v>
      </c>
      <c r="H91" s="86">
        <f t="shared" si="161"/>
        <v>195881.66183462535</v>
      </c>
      <c r="I91" s="86">
        <f t="shared" si="161"/>
        <v>199999.98709385068</v>
      </c>
      <c r="J91" s="86">
        <f t="shared" si="161"/>
        <v>140734.83213702857</v>
      </c>
      <c r="K91" s="86">
        <f t="shared" ref="K91:V91" si="178">IF(K23=0,0,K23/K34*1000000)</f>
        <v>116511.79611831201</v>
      </c>
      <c r="L91" s="86">
        <f t="shared" si="178"/>
        <v>143872.18138359732</v>
      </c>
      <c r="M91" s="86">
        <f t="shared" si="178"/>
        <v>144241.45023579377</v>
      </c>
      <c r="N91" s="86">
        <f t="shared" si="178"/>
        <v>134939.45490236237</v>
      </c>
      <c r="O91" s="86">
        <f t="shared" si="178"/>
        <v>149084.21230619543</v>
      </c>
      <c r="P91" s="86">
        <f t="shared" si="178"/>
        <v>156796.67200040404</v>
      </c>
      <c r="Q91" s="86">
        <f t="shared" si="178"/>
        <v>190267.59213329412</v>
      </c>
      <c r="R91" s="86">
        <f t="shared" si="178"/>
        <v>199999.92310605437</v>
      </c>
      <c r="S91" s="86">
        <f t="shared" si="178"/>
        <v>199999.95689672302</v>
      </c>
      <c r="T91" s="86">
        <f t="shared" si="178"/>
        <v>199999.94542292613</v>
      </c>
      <c r="U91" s="86">
        <f t="shared" si="178"/>
        <v>199999.98624290712</v>
      </c>
      <c r="V91" s="86">
        <f t="shared" si="178"/>
        <v>199999.92465571925</v>
      </c>
      <c r="W91" s="86">
        <f t="shared" ref="W91" si="179">IF(W23=0,0,W23/W34*1000000)</f>
        <v>199999.94504233974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15936463.049870379</v>
      </c>
      <c r="C94" s="28">
        <f t="shared" si="180"/>
        <v>14277334.162574109</v>
      </c>
      <c r="D94" s="28">
        <f t="shared" si="180"/>
        <v>11071851.025104679</v>
      </c>
      <c r="E94" s="28">
        <f t="shared" si="180"/>
        <v>11192002.041557869</v>
      </c>
      <c r="F94" s="28">
        <f t="shared" si="180"/>
        <v>10799446.300009388</v>
      </c>
      <c r="G94" s="28">
        <f t="shared" si="180"/>
        <v>8419587.5934633352</v>
      </c>
      <c r="H94" s="28">
        <f t="shared" si="180"/>
        <v>8408598.9945065025</v>
      </c>
      <c r="I94" s="28">
        <f t="shared" si="180"/>
        <v>9068911.2413316201</v>
      </c>
      <c r="J94" s="28">
        <f t="shared" si="180"/>
        <v>8647803.1759997141</v>
      </c>
      <c r="K94" s="28">
        <f t="shared" ref="K94:V94" si="181">IF(K4=0,0,K4/K26*1000000)</f>
        <v>8175121.2109019011</v>
      </c>
      <c r="L94" s="28">
        <f t="shared" si="181"/>
        <v>7932836.536587581</v>
      </c>
      <c r="M94" s="28">
        <f t="shared" si="181"/>
        <v>7320377.3421694133</v>
      </c>
      <c r="N94" s="28">
        <f t="shared" si="181"/>
        <v>7503591.8165143682</v>
      </c>
      <c r="O94" s="28">
        <f t="shared" si="181"/>
        <v>7493143.5359379826</v>
      </c>
      <c r="P94" s="28">
        <f t="shared" si="181"/>
        <v>6837202.3087252034</v>
      </c>
      <c r="Q94" s="28">
        <f t="shared" si="181"/>
        <v>7372276.4134510187</v>
      </c>
      <c r="R94" s="28">
        <f t="shared" si="181"/>
        <v>7292333.3635810707</v>
      </c>
      <c r="S94" s="28">
        <f t="shared" si="181"/>
        <v>7514580.3446577722</v>
      </c>
      <c r="T94" s="28">
        <f t="shared" si="181"/>
        <v>6963990.5674592275</v>
      </c>
      <c r="U94" s="28">
        <f t="shared" si="181"/>
        <v>7175863.4388175104</v>
      </c>
      <c r="V94" s="28">
        <f t="shared" si="181"/>
        <v>4410422.6036313996</v>
      </c>
      <c r="W94" s="28">
        <f t="shared" ref="W94" si="182">IF(W4=0,0,W4/W26*1000000)</f>
        <v>4915980.1718788045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4822753.9012987539</v>
      </c>
      <c r="U95" s="108">
        <f t="shared" si="183"/>
        <v>4869800.7268177588</v>
      </c>
      <c r="V95" s="108">
        <f t="shared" si="183"/>
        <v>4860441.2522551883</v>
      </c>
      <c r="W95" s="108">
        <f t="shared" ref="W95" si="184">IF(W5=0,0,W5/W27*1000000)</f>
        <v>5224857.70328655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15936463.049870379</v>
      </c>
      <c r="C96" s="110">
        <f t="shared" si="180"/>
        <v>14277334.162574109</v>
      </c>
      <c r="D96" s="110">
        <f t="shared" si="180"/>
        <v>11071851.025104679</v>
      </c>
      <c r="E96" s="110">
        <f t="shared" si="180"/>
        <v>11192002.041557869</v>
      </c>
      <c r="F96" s="110">
        <f t="shared" si="180"/>
        <v>10799446.300009388</v>
      </c>
      <c r="G96" s="110">
        <f t="shared" si="180"/>
        <v>8419587.5934633352</v>
      </c>
      <c r="H96" s="110">
        <f t="shared" si="180"/>
        <v>8408598.9945065025</v>
      </c>
      <c r="I96" s="110">
        <f t="shared" si="180"/>
        <v>9068911.2413316201</v>
      </c>
      <c r="J96" s="110">
        <f t="shared" si="180"/>
        <v>8647803.1759997141</v>
      </c>
      <c r="K96" s="110">
        <f t="shared" ref="K96:V96" si="185">IF(K6=0,0,K6/K28*1000000)</f>
        <v>8175121.2109019011</v>
      </c>
      <c r="L96" s="110">
        <f t="shared" si="185"/>
        <v>7932836.536587581</v>
      </c>
      <c r="M96" s="110">
        <f t="shared" si="185"/>
        <v>7320377.3421694133</v>
      </c>
      <c r="N96" s="110">
        <f t="shared" si="185"/>
        <v>7503591.8165143682</v>
      </c>
      <c r="O96" s="110">
        <f t="shared" si="185"/>
        <v>7493143.5359379826</v>
      </c>
      <c r="P96" s="110">
        <f t="shared" si="185"/>
        <v>6837202.3087252034</v>
      </c>
      <c r="Q96" s="110">
        <f t="shared" si="185"/>
        <v>7372276.4134510187</v>
      </c>
      <c r="R96" s="110">
        <f t="shared" si="185"/>
        <v>7292333.3635810707</v>
      </c>
      <c r="S96" s="110">
        <f t="shared" si="185"/>
        <v>7514580.3446577722</v>
      </c>
      <c r="T96" s="110">
        <f t="shared" si="185"/>
        <v>7102803.6064541424</v>
      </c>
      <c r="U96" s="110">
        <f t="shared" si="185"/>
        <v>7412396.6779142991</v>
      </c>
      <c r="V96" s="110">
        <f t="shared" si="185"/>
        <v>4362597.2012701798</v>
      </c>
      <c r="W96" s="110">
        <f t="shared" ref="W96" si="186">IF(W6=0,0,W6/W28*1000000)</f>
        <v>4883565.5168868555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6714132.2485533357</v>
      </c>
      <c r="C97" s="84">
        <f t="shared" si="180"/>
        <v>5882950.7569618085</v>
      </c>
      <c r="D97" s="84">
        <f t="shared" si="180"/>
        <v>5879640.6379853263</v>
      </c>
      <c r="E97" s="84">
        <f t="shared" si="180"/>
        <v>4719834.1697180551</v>
      </c>
      <c r="F97" s="84">
        <f t="shared" si="180"/>
        <v>4181289.4310010788</v>
      </c>
      <c r="G97" s="84">
        <f t="shared" si="180"/>
        <v>3362072.0989216776</v>
      </c>
      <c r="H97" s="84">
        <f t="shared" si="180"/>
        <v>3891132.9821934407</v>
      </c>
      <c r="I97" s="84">
        <f t="shared" si="180"/>
        <v>7241950.8330388833</v>
      </c>
      <c r="J97" s="84">
        <f t="shared" si="180"/>
        <v>7448395.3758613085</v>
      </c>
      <c r="K97" s="84">
        <f t="shared" ref="K97:V97" si="187">IF(K7=0,0,K7/K29*1000000)</f>
        <v>6826118.089384607</v>
      </c>
      <c r="L97" s="84">
        <f t="shared" si="187"/>
        <v>6536647.5910017453</v>
      </c>
      <c r="M97" s="84">
        <f t="shared" si="187"/>
        <v>6022536.9107580837</v>
      </c>
      <c r="N97" s="84">
        <f t="shared" si="187"/>
        <v>6649796.4677415881</v>
      </c>
      <c r="O97" s="84">
        <f t="shared" si="187"/>
        <v>5519044.1752480865</v>
      </c>
      <c r="P97" s="84">
        <f t="shared" si="187"/>
        <v>6286575.6629641224</v>
      </c>
      <c r="Q97" s="84">
        <f t="shared" si="187"/>
        <v>5796149.1799549125</v>
      </c>
      <c r="R97" s="84">
        <f t="shared" si="187"/>
        <v>6284116.5092019029</v>
      </c>
      <c r="S97" s="84">
        <f t="shared" si="187"/>
        <v>6514598.6101035718</v>
      </c>
      <c r="T97" s="84">
        <f t="shared" si="187"/>
        <v>6278761.7245175401</v>
      </c>
      <c r="U97" s="84">
        <f t="shared" si="187"/>
        <v>6664829.0980405435</v>
      </c>
      <c r="V97" s="84">
        <f t="shared" si="187"/>
        <v>3666275.7237862516</v>
      </c>
      <c r="W97" s="84">
        <f t="shared" ref="W97" si="188">IF(W7=0,0,W7/W29*1000000)</f>
        <v>4523988.5419701152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25915179.167932875</v>
      </c>
      <c r="C98" s="84">
        <f t="shared" si="180"/>
        <v>23417752.555271596</v>
      </c>
      <c r="D98" s="84">
        <f t="shared" si="180"/>
        <v>16424291.300599847</v>
      </c>
      <c r="E98" s="84">
        <f t="shared" si="180"/>
        <v>17133073.002197012</v>
      </c>
      <c r="F98" s="84">
        <f t="shared" si="180"/>
        <v>15833686.11050651</v>
      </c>
      <c r="G98" s="84">
        <f t="shared" si="180"/>
        <v>10435772.857397217</v>
      </c>
      <c r="H98" s="84">
        <f t="shared" si="180"/>
        <v>9716306.7891839035</v>
      </c>
      <c r="I98" s="84">
        <f t="shared" si="180"/>
        <v>9517851.112545643</v>
      </c>
      <c r="J98" s="84">
        <f t="shared" si="180"/>
        <v>9009354.231552003</v>
      </c>
      <c r="K98" s="84">
        <f t="shared" ref="K98:V98" si="189">IF(K8=0,0,K8/K30*1000000)</f>
        <v>8512945.4261939079</v>
      </c>
      <c r="L98" s="84">
        <f t="shared" si="189"/>
        <v>8310463.1902298434</v>
      </c>
      <c r="M98" s="84">
        <f t="shared" si="189"/>
        <v>7629124.7546772417</v>
      </c>
      <c r="N98" s="84">
        <f t="shared" si="189"/>
        <v>7704889.3951512016</v>
      </c>
      <c r="O98" s="84">
        <f t="shared" si="189"/>
        <v>7912583.5493037999</v>
      </c>
      <c r="P98" s="84">
        <f t="shared" si="189"/>
        <v>6964267.0191910947</v>
      </c>
      <c r="Q98" s="84">
        <f t="shared" si="189"/>
        <v>7667866.1792931324</v>
      </c>
      <c r="R98" s="84">
        <f t="shared" si="189"/>
        <v>7466502.3206227683</v>
      </c>
      <c r="S98" s="84">
        <f t="shared" si="189"/>
        <v>7670968.350034751</v>
      </c>
      <c r="T98" s="84">
        <f t="shared" si="189"/>
        <v>7250812.1442514183</v>
      </c>
      <c r="U98" s="84">
        <f t="shared" si="189"/>
        <v>7539739.5566068385</v>
      </c>
      <c r="V98" s="84">
        <f t="shared" si="189"/>
        <v>4483064.3468217775</v>
      </c>
      <c r="W98" s="84">
        <f t="shared" ref="W98" si="190">IF(W8=0,0,W8/W30*1000000)</f>
        <v>4949676.7414582996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99785933.909502357</v>
      </c>
      <c r="C100" s="28">
        <f t="shared" si="180"/>
        <v>81467722.488350123</v>
      </c>
      <c r="D100" s="28">
        <f t="shared" si="180"/>
        <v>73595864.501181945</v>
      </c>
      <c r="E100" s="28">
        <f t="shared" si="180"/>
        <v>72848310.668489397</v>
      </c>
      <c r="F100" s="28">
        <f t="shared" si="180"/>
        <v>73592090.4958909</v>
      </c>
      <c r="G100" s="28">
        <f t="shared" si="180"/>
        <v>56301049.756052718</v>
      </c>
      <c r="H100" s="28">
        <f t="shared" si="180"/>
        <v>69676887.260110468</v>
      </c>
      <c r="I100" s="28">
        <f t="shared" si="180"/>
        <v>81502601.267692029</v>
      </c>
      <c r="J100" s="28">
        <f t="shared" si="180"/>
        <v>43530053.289210394</v>
      </c>
      <c r="K100" s="28">
        <f t="shared" ref="K100:V100" si="193">IF(K10=0,0,K10/K32*1000000)</f>
        <v>34625978.833139144</v>
      </c>
      <c r="L100" s="28">
        <f t="shared" si="193"/>
        <v>60800045.778857991</v>
      </c>
      <c r="M100" s="28">
        <f t="shared" si="193"/>
        <v>59848010.988759793</v>
      </c>
      <c r="N100" s="28">
        <f t="shared" si="193"/>
        <v>53083044.861837</v>
      </c>
      <c r="O100" s="28">
        <f t="shared" si="193"/>
        <v>56085826.75139571</v>
      </c>
      <c r="P100" s="28">
        <f t="shared" si="193"/>
        <v>60353497.398125902</v>
      </c>
      <c r="Q100" s="28">
        <f t="shared" si="193"/>
        <v>69734161.249636158</v>
      </c>
      <c r="R100" s="28">
        <f t="shared" si="193"/>
        <v>74225397.050482124</v>
      </c>
      <c r="S100" s="28">
        <f t="shared" si="193"/>
        <v>73664366.470885456</v>
      </c>
      <c r="T100" s="28">
        <f t="shared" si="193"/>
        <v>77934504.960373968</v>
      </c>
      <c r="U100" s="28">
        <f t="shared" si="193"/>
        <v>68934180.128982708</v>
      </c>
      <c r="V100" s="28">
        <f t="shared" si="193"/>
        <v>65464490.767082185</v>
      </c>
      <c r="W100" s="28">
        <f t="shared" ref="W100" si="194">IF(W10=0,0,W10/W32*1000000)</f>
        <v>69845787.644200802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81590927.632670984</v>
      </c>
      <c r="C101" s="84">
        <f t="shared" si="180"/>
        <v>75347119.733393446</v>
      </c>
      <c r="D101" s="84">
        <f t="shared" si="180"/>
        <v>75405294.895888045</v>
      </c>
      <c r="E101" s="84">
        <f t="shared" si="180"/>
        <v>72081634.782567114</v>
      </c>
      <c r="F101" s="84">
        <f t="shared" si="180"/>
        <v>75785347.865085751</v>
      </c>
      <c r="G101" s="84">
        <f t="shared" si="180"/>
        <v>40741199.231162243</v>
      </c>
      <c r="H101" s="84">
        <f t="shared" si="180"/>
        <v>39674106.18779581</v>
      </c>
      <c r="I101" s="84">
        <f t="shared" si="180"/>
        <v>77963271.672555745</v>
      </c>
      <c r="J101" s="84">
        <f t="shared" si="180"/>
        <v>61844276.333990782</v>
      </c>
      <c r="K101" s="84">
        <f t="shared" ref="K101:V101" si="195">IF(K11=0,0,K11/K33*1000000)</f>
        <v>59011987.24427487</v>
      </c>
      <c r="L101" s="84">
        <f t="shared" si="195"/>
        <v>107363542.76035058</v>
      </c>
      <c r="M101" s="84">
        <f t="shared" si="195"/>
        <v>104714297.90265231</v>
      </c>
      <c r="N101" s="84">
        <f t="shared" si="195"/>
        <v>92294113.745887622</v>
      </c>
      <c r="O101" s="84">
        <f t="shared" si="195"/>
        <v>89137076.415988952</v>
      </c>
      <c r="P101" s="84">
        <f t="shared" si="195"/>
        <v>91345954.663541645</v>
      </c>
      <c r="Q101" s="84">
        <f t="shared" si="195"/>
        <v>88580683.822508201</v>
      </c>
      <c r="R101" s="84">
        <f t="shared" si="195"/>
        <v>91891496.349492654</v>
      </c>
      <c r="S101" s="84">
        <f t="shared" si="195"/>
        <v>91359536.074776262</v>
      </c>
      <c r="T101" s="84">
        <f t="shared" si="195"/>
        <v>94032254.650076389</v>
      </c>
      <c r="U101" s="84">
        <f t="shared" si="195"/>
        <v>84853050.122498766</v>
      </c>
      <c r="V101" s="84">
        <f t="shared" si="195"/>
        <v>66810775.967445947</v>
      </c>
      <c r="W101" s="84">
        <f t="shared" ref="W101" si="196">IF(W11=0,0,W11/W33*1000000)</f>
        <v>90818966.703918353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108040963.00554049</v>
      </c>
      <c r="C102" s="86">
        <f t="shared" si="180"/>
        <v>83742026.162906662</v>
      </c>
      <c r="D102" s="86">
        <f t="shared" si="180"/>
        <v>73035525.989440754</v>
      </c>
      <c r="E102" s="86">
        <f t="shared" si="180"/>
        <v>73061747.98120828</v>
      </c>
      <c r="F102" s="86">
        <f t="shared" si="180"/>
        <v>73102102.261831045</v>
      </c>
      <c r="G102" s="86">
        <f t="shared" si="180"/>
        <v>59506802.462864667</v>
      </c>
      <c r="H102" s="86">
        <f t="shared" si="180"/>
        <v>75251719.431215569</v>
      </c>
      <c r="I102" s="86">
        <f t="shared" si="180"/>
        <v>81952385.343699202</v>
      </c>
      <c r="J102" s="86">
        <f t="shared" si="180"/>
        <v>41650983.640042454</v>
      </c>
      <c r="K102" s="86">
        <f t="shared" ref="K102:V102" si="197">IF(K12=0,0,K12/K34*1000000)</f>
        <v>32817642.494632985</v>
      </c>
      <c r="L102" s="86">
        <f t="shared" si="197"/>
        <v>57304929.573220685</v>
      </c>
      <c r="M102" s="86">
        <f t="shared" si="197"/>
        <v>56798093.74756451</v>
      </c>
      <c r="N102" s="86">
        <f t="shared" si="197"/>
        <v>50371460.120799564</v>
      </c>
      <c r="O102" s="86">
        <f t="shared" si="197"/>
        <v>53790728.51850836</v>
      </c>
      <c r="P102" s="86">
        <f t="shared" si="197"/>
        <v>57955248.181657262</v>
      </c>
      <c r="Q102" s="86">
        <f t="shared" si="197"/>
        <v>68334073.83654131</v>
      </c>
      <c r="R102" s="86">
        <f t="shared" si="197"/>
        <v>72844205.998850882</v>
      </c>
      <c r="S102" s="86">
        <f t="shared" si="197"/>
        <v>72394861.594678298</v>
      </c>
      <c r="T102" s="86">
        <f t="shared" si="197"/>
        <v>76608026.685781628</v>
      </c>
      <c r="U102" s="86">
        <f t="shared" si="197"/>
        <v>67714083.929452702</v>
      </c>
      <c r="V102" s="86">
        <f t="shared" si="197"/>
        <v>65323618.421415731</v>
      </c>
      <c r="W102" s="86">
        <f t="shared" ref="W102" si="198">IF(W12=0,0,W12/W34*1000000)</f>
        <v>68231793.897297934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4.2162162162162162E-2</v>
      </c>
      <c r="U106" s="123">
        <f t="shared" si="202"/>
        <v>6.3132335087009314E-2</v>
      </c>
      <c r="V106" s="123">
        <f t="shared" si="202"/>
        <v>0.10586704805172861</v>
      </c>
      <c r="W106" s="123">
        <f t="shared" ref="W106" si="203">IF(W5=0,0,W5/W$4)</f>
        <v>0.10094374257252541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1</v>
      </c>
      <c r="G107" s="124">
        <f t="shared" si="199"/>
        <v>1</v>
      </c>
      <c r="H107" s="124">
        <f t="shared" si="199"/>
        <v>1</v>
      </c>
      <c r="I107" s="124">
        <f t="shared" si="199"/>
        <v>1</v>
      </c>
      <c r="J107" s="124">
        <f t="shared" si="199"/>
        <v>1</v>
      </c>
      <c r="K107" s="124">
        <f t="shared" ref="K107:V107" si="204">IF(K6=0,0,K6/K$4)</f>
        <v>1</v>
      </c>
      <c r="L107" s="124">
        <f t="shared" si="204"/>
        <v>1</v>
      </c>
      <c r="M107" s="124">
        <f t="shared" si="204"/>
        <v>1</v>
      </c>
      <c r="N107" s="124">
        <f t="shared" si="204"/>
        <v>1</v>
      </c>
      <c r="O107" s="124">
        <f t="shared" si="204"/>
        <v>1</v>
      </c>
      <c r="P107" s="124">
        <f t="shared" si="204"/>
        <v>1</v>
      </c>
      <c r="Q107" s="124">
        <f t="shared" si="204"/>
        <v>1</v>
      </c>
      <c r="R107" s="124">
        <f t="shared" si="204"/>
        <v>1</v>
      </c>
      <c r="S107" s="124">
        <f t="shared" si="204"/>
        <v>1</v>
      </c>
      <c r="T107" s="124">
        <f t="shared" si="204"/>
        <v>0.95783783783783782</v>
      </c>
      <c r="U107" s="124">
        <f t="shared" si="204"/>
        <v>0.93686766491299067</v>
      </c>
      <c r="V107" s="124">
        <f t="shared" si="204"/>
        <v>0.89413295194827147</v>
      </c>
      <c r="W107" s="124">
        <f t="shared" ref="W107" si="205">IF(W6=0,0,W6/W$4)</f>
        <v>0.89905625742747464</v>
      </c>
      <c r="DA107" s="176"/>
    </row>
    <row r="108" spans="1:105" ht="11.45" customHeight="1" x14ac:dyDescent="0.25">
      <c r="A108" s="111" t="s">
        <v>92</v>
      </c>
      <c r="B108" s="125">
        <f t="shared" si="199"/>
        <v>0.21895139170105768</v>
      </c>
      <c r="C108" s="125">
        <f t="shared" si="199"/>
        <v>0.21478962663678478</v>
      </c>
      <c r="D108" s="125">
        <f t="shared" si="199"/>
        <v>0.26955673222953419</v>
      </c>
      <c r="E108" s="125">
        <f t="shared" si="199"/>
        <v>0.20183597998990557</v>
      </c>
      <c r="F108" s="125">
        <f t="shared" si="199"/>
        <v>0.16727359098518976</v>
      </c>
      <c r="G108" s="125">
        <f t="shared" si="199"/>
        <v>0.11381511866612623</v>
      </c>
      <c r="H108" s="125">
        <f t="shared" si="199"/>
        <v>0.10388533778366819</v>
      </c>
      <c r="I108" s="125">
        <f t="shared" si="199"/>
        <v>0.15751987882752211</v>
      </c>
      <c r="J108" s="125">
        <f t="shared" si="199"/>
        <v>0.19949641842620133</v>
      </c>
      <c r="K108" s="125">
        <f t="shared" ref="K108:V108" si="206">IF(K7=0,0,K7/K$4)</f>
        <v>0.16722443705466944</v>
      </c>
      <c r="L108" s="125">
        <f t="shared" si="206"/>
        <v>0.17542065830671325</v>
      </c>
      <c r="M108" s="125">
        <f t="shared" si="206"/>
        <v>0.15810472614404464</v>
      </c>
      <c r="N108" s="125">
        <f t="shared" si="206"/>
        <v>0.16907795675114098</v>
      </c>
      <c r="O108" s="125">
        <f t="shared" si="206"/>
        <v>0.12907112660443937</v>
      </c>
      <c r="P108" s="125">
        <f t="shared" si="206"/>
        <v>0.17239660981753899</v>
      </c>
      <c r="Q108" s="125">
        <f t="shared" si="206"/>
        <v>0.12416155793828106</v>
      </c>
      <c r="R108" s="125">
        <f t="shared" si="206"/>
        <v>0.12693729989755556</v>
      </c>
      <c r="S108" s="125">
        <f t="shared" si="206"/>
        <v>0.11724373688546948</v>
      </c>
      <c r="T108" s="125">
        <f t="shared" si="206"/>
        <v>0.12892411557084255</v>
      </c>
      <c r="U108" s="125">
        <f t="shared" si="206"/>
        <v>0.12260824327706636</v>
      </c>
      <c r="V108" s="125">
        <f t="shared" si="206"/>
        <v>0.11082584396635091</v>
      </c>
      <c r="W108" s="125">
        <f t="shared" ref="W108" si="207">IF(W7=0,0,W7/W$4)</f>
        <v>0.12934657584401874</v>
      </c>
      <c r="DA108" s="171"/>
    </row>
    <row r="109" spans="1:105" ht="11.45" customHeight="1" x14ac:dyDescent="0.25">
      <c r="A109" s="111" t="s">
        <v>93</v>
      </c>
      <c r="B109" s="125">
        <f t="shared" si="199"/>
        <v>0.7810486082989424</v>
      </c>
      <c r="C109" s="125">
        <f t="shared" si="199"/>
        <v>0.7852103733632152</v>
      </c>
      <c r="D109" s="125">
        <f t="shared" si="199"/>
        <v>0.73044326777046586</v>
      </c>
      <c r="E109" s="125">
        <f t="shared" si="199"/>
        <v>0.79816402001009445</v>
      </c>
      <c r="F109" s="125">
        <f t="shared" si="199"/>
        <v>0.83272640901481021</v>
      </c>
      <c r="G109" s="125">
        <f t="shared" si="199"/>
        <v>0.88618488133387374</v>
      </c>
      <c r="H109" s="125">
        <f t="shared" si="199"/>
        <v>0.89611466221633185</v>
      </c>
      <c r="I109" s="125">
        <f t="shared" si="199"/>
        <v>0.84248012117247795</v>
      </c>
      <c r="J109" s="125">
        <f t="shared" si="199"/>
        <v>0.80050358157379864</v>
      </c>
      <c r="K109" s="125">
        <f t="shared" ref="K109:V109" si="208">IF(K8=0,0,K8/K$4)</f>
        <v>0.83277556294533062</v>
      </c>
      <c r="L109" s="125">
        <f t="shared" si="208"/>
        <v>0.82457934169328673</v>
      </c>
      <c r="M109" s="125">
        <f t="shared" si="208"/>
        <v>0.84189527385595531</v>
      </c>
      <c r="N109" s="125">
        <f t="shared" si="208"/>
        <v>0.8309220432488591</v>
      </c>
      <c r="O109" s="125">
        <f t="shared" si="208"/>
        <v>0.87092887339556058</v>
      </c>
      <c r="P109" s="125">
        <f t="shared" si="208"/>
        <v>0.82760339018246099</v>
      </c>
      <c r="Q109" s="125">
        <f t="shared" si="208"/>
        <v>0.8758384420617189</v>
      </c>
      <c r="R109" s="125">
        <f t="shared" si="208"/>
        <v>0.87306270010244447</v>
      </c>
      <c r="S109" s="125">
        <f t="shared" si="208"/>
        <v>0.88275626311453048</v>
      </c>
      <c r="T109" s="125">
        <f t="shared" si="208"/>
        <v>0.82891372226699533</v>
      </c>
      <c r="U109" s="125">
        <f t="shared" si="208"/>
        <v>0.81425942163592435</v>
      </c>
      <c r="V109" s="125">
        <f t="shared" si="208"/>
        <v>0.78330710798192049</v>
      </c>
      <c r="W109" s="125">
        <f t="shared" ref="W109" si="209">IF(W8=0,0,W8/W$4)</f>
        <v>0.76970968158345587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0.25519073082075605</v>
      </c>
      <c r="C112" s="125">
        <f t="shared" si="212"/>
        <v>0.25056111514036039</v>
      </c>
      <c r="D112" s="125">
        <f t="shared" si="212"/>
        <v>0.24226624445759434</v>
      </c>
      <c r="E112" s="125">
        <f t="shared" si="212"/>
        <v>0.2154761708750392</v>
      </c>
      <c r="F112" s="125">
        <f t="shared" si="212"/>
        <v>0.18805259626399509</v>
      </c>
      <c r="G112" s="125">
        <f t="shared" si="212"/>
        <v>0.12361887983552333</v>
      </c>
      <c r="H112" s="125">
        <f t="shared" si="212"/>
        <v>8.9222296726493469E-2</v>
      </c>
      <c r="I112" s="125">
        <f t="shared" si="212"/>
        <v>0.10785648172934631</v>
      </c>
      <c r="J112" s="125">
        <f t="shared" si="212"/>
        <v>0.13220444301995024</v>
      </c>
      <c r="K112" s="125">
        <f t="shared" ref="K112:V112" si="215">IF(K11=0,0,K11/K$10)</f>
        <v>0.11765485450833679</v>
      </c>
      <c r="L112" s="125">
        <f t="shared" si="215"/>
        <v>0.12329223728858205</v>
      </c>
      <c r="M112" s="125">
        <f t="shared" si="215"/>
        <v>0.11136838250652883</v>
      </c>
      <c r="N112" s="125">
        <f t="shared" si="215"/>
        <v>0.11245857966208331</v>
      </c>
      <c r="O112" s="125">
        <f t="shared" si="215"/>
        <v>0.10319579246374559</v>
      </c>
      <c r="P112" s="125">
        <f t="shared" si="215"/>
        <v>0.10870651684529388</v>
      </c>
      <c r="Q112" s="125">
        <f t="shared" si="215"/>
        <v>8.7840799753285417E-2</v>
      </c>
      <c r="R112" s="125">
        <f t="shared" si="215"/>
        <v>8.9772505873970773E-2</v>
      </c>
      <c r="S112" s="125">
        <f t="shared" si="215"/>
        <v>8.3020512129396914E-2</v>
      </c>
      <c r="T112" s="125">
        <f t="shared" si="215"/>
        <v>9.1853067690293458E-2</v>
      </c>
      <c r="U112" s="125">
        <f t="shared" si="215"/>
        <v>8.7627878138546569E-2</v>
      </c>
      <c r="V112" s="125">
        <f t="shared" si="215"/>
        <v>9.6673955588302302E-2</v>
      </c>
      <c r="W112" s="125">
        <f t="shared" ref="W112" si="216">IF(W11=0,0,W11/W$10)</f>
        <v>9.2912963106671187E-2</v>
      </c>
      <c r="DA112" s="171"/>
    </row>
    <row r="113" spans="1:105" ht="11.45" customHeight="1" x14ac:dyDescent="0.25">
      <c r="A113" s="85" t="s">
        <v>93</v>
      </c>
      <c r="B113" s="127">
        <f t="shared" si="212"/>
        <v>0.74480926917924395</v>
      </c>
      <c r="C113" s="127">
        <f t="shared" si="212"/>
        <v>0.74943888485963961</v>
      </c>
      <c r="D113" s="127">
        <f t="shared" si="212"/>
        <v>0.75773375554240563</v>
      </c>
      <c r="E113" s="127">
        <f t="shared" si="212"/>
        <v>0.78452382912496088</v>
      </c>
      <c r="F113" s="127">
        <f t="shared" si="212"/>
        <v>0.81194740373600494</v>
      </c>
      <c r="G113" s="127">
        <f t="shared" si="212"/>
        <v>0.87638112016447667</v>
      </c>
      <c r="H113" s="127">
        <f t="shared" si="212"/>
        <v>0.91077770327350649</v>
      </c>
      <c r="I113" s="127">
        <f t="shared" si="212"/>
        <v>0.89214351827065375</v>
      </c>
      <c r="J113" s="127">
        <f t="shared" si="212"/>
        <v>0.86779555698004973</v>
      </c>
      <c r="K113" s="127">
        <f t="shared" ref="K113:V113" si="217">IF(K12=0,0,K12/K$10)</f>
        <v>0.88234514549166321</v>
      </c>
      <c r="L113" s="127">
        <f t="shared" si="217"/>
        <v>0.87670776271141793</v>
      </c>
      <c r="M113" s="127">
        <f t="shared" si="217"/>
        <v>0.88863161749347119</v>
      </c>
      <c r="N113" s="127">
        <f t="shared" si="217"/>
        <v>0.88754142033791672</v>
      </c>
      <c r="O113" s="127">
        <f t="shared" si="217"/>
        <v>0.89680420753625434</v>
      </c>
      <c r="P113" s="127">
        <f t="shared" si="217"/>
        <v>0.89129348315470613</v>
      </c>
      <c r="Q113" s="127">
        <f t="shared" si="217"/>
        <v>0.9121592002467146</v>
      </c>
      <c r="R113" s="127">
        <f t="shared" si="217"/>
        <v>0.9102274941260291</v>
      </c>
      <c r="S113" s="127">
        <f t="shared" si="217"/>
        <v>0.91697948787060302</v>
      </c>
      <c r="T113" s="127">
        <f t="shared" si="217"/>
        <v>0.90814693230970656</v>
      </c>
      <c r="U113" s="127">
        <f t="shared" si="217"/>
        <v>0.91237212186145344</v>
      </c>
      <c r="V113" s="127">
        <f t="shared" si="217"/>
        <v>0.90332604441169762</v>
      </c>
      <c r="W113" s="127">
        <f t="shared" ref="W113" si="218">IF(W12=0,0,W12/W$10)</f>
        <v>0.90708703689332881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4.5383290858901616E-2</v>
      </c>
      <c r="U117" s="123">
        <f t="shared" si="222"/>
        <v>6.9956152564922242E-2</v>
      </c>
      <c r="V117" s="123">
        <f t="shared" si="222"/>
        <v>7.827762901228616E-2</v>
      </c>
      <c r="W117" s="123">
        <f t="shared" ref="W117" si="223">IF(W16=0,0,W16/W$15)</f>
        <v>7.1459095962854324E-2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1</v>
      </c>
      <c r="G118" s="124">
        <f t="shared" si="219"/>
        <v>1</v>
      </c>
      <c r="H118" s="124">
        <f t="shared" si="219"/>
        <v>1</v>
      </c>
      <c r="I118" s="124">
        <f t="shared" si="219"/>
        <v>1</v>
      </c>
      <c r="J118" s="124">
        <f t="shared" si="219"/>
        <v>1</v>
      </c>
      <c r="K118" s="124">
        <f t="shared" ref="K118:V118" si="224">IF(K17=0,0,K17/K$15)</f>
        <v>1</v>
      </c>
      <c r="L118" s="124">
        <f t="shared" si="224"/>
        <v>1</v>
      </c>
      <c r="M118" s="124">
        <f t="shared" si="224"/>
        <v>1</v>
      </c>
      <c r="N118" s="124">
        <f t="shared" si="224"/>
        <v>1</v>
      </c>
      <c r="O118" s="124">
        <f t="shared" si="224"/>
        <v>1</v>
      </c>
      <c r="P118" s="124">
        <f t="shared" si="224"/>
        <v>1</v>
      </c>
      <c r="Q118" s="124">
        <f t="shared" si="224"/>
        <v>1</v>
      </c>
      <c r="R118" s="124">
        <f t="shared" si="224"/>
        <v>1</v>
      </c>
      <c r="S118" s="124">
        <f t="shared" si="224"/>
        <v>1</v>
      </c>
      <c r="T118" s="124">
        <f t="shared" si="224"/>
        <v>0.95461670914109831</v>
      </c>
      <c r="U118" s="124">
        <f t="shared" si="224"/>
        <v>0.93004384743507773</v>
      </c>
      <c r="V118" s="124">
        <f t="shared" si="224"/>
        <v>0.92172237098771381</v>
      </c>
      <c r="W118" s="124">
        <f t="shared" ref="W118" si="225">IF(W17=0,0,W17/W$15)</f>
        <v>0.92854090403714573</v>
      </c>
      <c r="DA118" s="176"/>
    </row>
    <row r="119" spans="1:105" ht="11.45" customHeight="1" x14ac:dyDescent="0.25">
      <c r="A119" s="111" t="s">
        <v>92</v>
      </c>
      <c r="B119" s="125">
        <f t="shared" si="219"/>
        <v>0.51969647709609146</v>
      </c>
      <c r="C119" s="125">
        <f t="shared" si="219"/>
        <v>0.52127297869433387</v>
      </c>
      <c r="D119" s="125">
        <f t="shared" si="219"/>
        <v>0.50759767252400478</v>
      </c>
      <c r="E119" s="125">
        <f t="shared" si="219"/>
        <v>0.42845133243362737</v>
      </c>
      <c r="F119" s="125">
        <f t="shared" si="219"/>
        <v>0.35755530900278515</v>
      </c>
      <c r="G119" s="125">
        <f t="shared" si="219"/>
        <v>0.19092289877138946</v>
      </c>
      <c r="H119" s="125">
        <f t="shared" si="219"/>
        <v>0.14113247582560212</v>
      </c>
      <c r="I119" s="125">
        <f t="shared" si="219"/>
        <v>0.18251268213651986</v>
      </c>
      <c r="J119" s="125">
        <f t="shared" si="219"/>
        <v>0.23162112345946559</v>
      </c>
      <c r="K119" s="125">
        <f t="shared" ref="K119:V119" si="226">IF(K18=0,0,K18/K$15)</f>
        <v>0.19314235267232538</v>
      </c>
      <c r="L119" s="125">
        <f t="shared" si="226"/>
        <v>0.21288946411249099</v>
      </c>
      <c r="M119" s="125">
        <f t="shared" si="226"/>
        <v>0.19217586722856916</v>
      </c>
      <c r="N119" s="125">
        <f t="shared" si="226"/>
        <v>0.19078658824736908</v>
      </c>
      <c r="O119" s="125">
        <f t="shared" si="226"/>
        <v>0.17523839041556566</v>
      </c>
      <c r="P119" s="125">
        <f t="shared" si="226"/>
        <v>0.18749642777882988</v>
      </c>
      <c r="Q119" s="125">
        <f t="shared" si="226"/>
        <v>0.14498035383264893</v>
      </c>
      <c r="R119" s="125">
        <f t="shared" si="226"/>
        <v>0.1473029732991121</v>
      </c>
      <c r="S119" s="125">
        <f t="shared" si="226"/>
        <v>0.13524047492255861</v>
      </c>
      <c r="T119" s="125">
        <f t="shared" si="226"/>
        <v>0.14535399890308495</v>
      </c>
      <c r="U119" s="125">
        <f t="shared" si="226"/>
        <v>0.13536751434212071</v>
      </c>
      <c r="V119" s="125">
        <f t="shared" si="226"/>
        <v>0.14813820681238621</v>
      </c>
      <c r="W119" s="125">
        <f t="shared" ref="W119" si="227">IF(W18=0,0,W18/W$15)</f>
        <v>0.14420642129067929</v>
      </c>
      <c r="DA119" s="171"/>
    </row>
    <row r="120" spans="1:105" ht="11.45" customHeight="1" x14ac:dyDescent="0.25">
      <c r="A120" s="111" t="s">
        <v>93</v>
      </c>
      <c r="B120" s="125">
        <f t="shared" si="219"/>
        <v>0.48030352290390854</v>
      </c>
      <c r="C120" s="125">
        <f t="shared" si="219"/>
        <v>0.47872702130566613</v>
      </c>
      <c r="D120" s="125">
        <f t="shared" si="219"/>
        <v>0.49240232747599522</v>
      </c>
      <c r="E120" s="125">
        <f t="shared" si="219"/>
        <v>0.57154866756637268</v>
      </c>
      <c r="F120" s="125">
        <f t="shared" si="219"/>
        <v>0.64244469099721491</v>
      </c>
      <c r="G120" s="125">
        <f t="shared" si="219"/>
        <v>0.80907710122861054</v>
      </c>
      <c r="H120" s="125">
        <f t="shared" si="219"/>
        <v>0.85886752417439793</v>
      </c>
      <c r="I120" s="125">
        <f t="shared" si="219"/>
        <v>0.81748731786348028</v>
      </c>
      <c r="J120" s="125">
        <f t="shared" si="219"/>
        <v>0.76837887654053438</v>
      </c>
      <c r="K120" s="125">
        <f t="shared" ref="K120:V120" si="228">IF(K19=0,0,K19/K$15)</f>
        <v>0.80685764732767462</v>
      </c>
      <c r="L120" s="125">
        <f t="shared" si="228"/>
        <v>0.78711053588750901</v>
      </c>
      <c r="M120" s="125">
        <f t="shared" si="228"/>
        <v>0.80782413277143084</v>
      </c>
      <c r="N120" s="125">
        <f t="shared" si="228"/>
        <v>0.80921341175263084</v>
      </c>
      <c r="O120" s="125">
        <f t="shared" si="228"/>
        <v>0.82476160958443434</v>
      </c>
      <c r="P120" s="125">
        <f t="shared" si="228"/>
        <v>0.8125035722211702</v>
      </c>
      <c r="Q120" s="125">
        <f t="shared" si="228"/>
        <v>0.85501964616735104</v>
      </c>
      <c r="R120" s="125">
        <f t="shared" si="228"/>
        <v>0.85269702670088787</v>
      </c>
      <c r="S120" s="125">
        <f t="shared" si="228"/>
        <v>0.86475952507744136</v>
      </c>
      <c r="T120" s="125">
        <f t="shared" si="228"/>
        <v>0.80926271023801333</v>
      </c>
      <c r="U120" s="125">
        <f t="shared" si="228"/>
        <v>0.79467633309295704</v>
      </c>
      <c r="V120" s="125">
        <f t="shared" si="228"/>
        <v>0.7735841641753276</v>
      </c>
      <c r="W120" s="125">
        <f t="shared" ref="W120" si="229">IF(W19=0,0,W19/W$15)</f>
        <v>0.78433448274646633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0.31209900082679998</v>
      </c>
      <c r="C123" s="125">
        <f t="shared" si="232"/>
        <v>0.27091462720112969</v>
      </c>
      <c r="D123" s="125">
        <f t="shared" si="232"/>
        <v>0.23645282171341636</v>
      </c>
      <c r="E123" s="125">
        <f t="shared" si="232"/>
        <v>0.20977429760775421</v>
      </c>
      <c r="F123" s="125">
        <f t="shared" si="232"/>
        <v>0.18261026515977782</v>
      </c>
      <c r="G123" s="125">
        <f t="shared" si="232"/>
        <v>0.13151827914369435</v>
      </c>
      <c r="H123" s="125">
        <f t="shared" si="232"/>
        <v>7.9098706342372718E-2</v>
      </c>
      <c r="I123" s="125">
        <f t="shared" si="232"/>
        <v>9.9026454704767425E-2</v>
      </c>
      <c r="J123" s="125">
        <f t="shared" si="232"/>
        <v>9.3840019927372814E-2</v>
      </c>
      <c r="K123" s="125">
        <f t="shared" ref="K123:V123" si="235">IF(K22=0,0,K22/K$21)</f>
        <v>9.2181474813365444E-2</v>
      </c>
      <c r="L123" s="125">
        <f t="shared" si="235"/>
        <v>9.4485336128697334E-2</v>
      </c>
      <c r="M123" s="125">
        <f t="shared" si="235"/>
        <v>8.6136660255407768E-2</v>
      </c>
      <c r="N123" s="125">
        <f t="shared" si="235"/>
        <v>9.2966706045469097E-2</v>
      </c>
      <c r="O123" s="125">
        <f t="shared" si="235"/>
        <v>8.521759547874759E-2</v>
      </c>
      <c r="P123" s="125">
        <f t="shared" si="235"/>
        <v>8.9835806256137352E-2</v>
      </c>
      <c r="Q123" s="125">
        <f t="shared" si="235"/>
        <v>7.2432355777103691E-2</v>
      </c>
      <c r="R123" s="125">
        <f t="shared" si="235"/>
        <v>7.2513511479437368E-2</v>
      </c>
      <c r="S123" s="125">
        <f t="shared" si="235"/>
        <v>6.6940206115823964E-2</v>
      </c>
      <c r="T123" s="125">
        <f t="shared" si="235"/>
        <v>7.6128224017609741E-2</v>
      </c>
      <c r="U123" s="125">
        <f t="shared" si="235"/>
        <v>7.1188140543932729E-2</v>
      </c>
      <c r="V123" s="125">
        <f t="shared" si="235"/>
        <v>9.4725747292197668E-2</v>
      </c>
      <c r="W123" s="125">
        <f t="shared" ref="W123" si="236">IF(W22=0,0,W22/W$21)</f>
        <v>7.145619424929267E-2</v>
      </c>
      <c r="DA123" s="171"/>
    </row>
    <row r="124" spans="1:105" ht="11.45" customHeight="1" x14ac:dyDescent="0.25">
      <c r="A124" s="85" t="s">
        <v>93</v>
      </c>
      <c r="B124" s="127">
        <f t="shared" si="232"/>
        <v>0.68790099917320002</v>
      </c>
      <c r="C124" s="127">
        <f t="shared" si="232"/>
        <v>0.72908537279887031</v>
      </c>
      <c r="D124" s="127">
        <f t="shared" si="232"/>
        <v>0.76354717828658358</v>
      </c>
      <c r="E124" s="127">
        <f t="shared" si="232"/>
        <v>0.79022570239224588</v>
      </c>
      <c r="F124" s="127">
        <f t="shared" si="232"/>
        <v>0.81738973484022226</v>
      </c>
      <c r="G124" s="127">
        <f t="shared" si="232"/>
        <v>0.86848172085630571</v>
      </c>
      <c r="H124" s="127">
        <f t="shared" si="232"/>
        <v>0.9209012936576273</v>
      </c>
      <c r="I124" s="127">
        <f t="shared" si="232"/>
        <v>0.90097354529523266</v>
      </c>
      <c r="J124" s="127">
        <f t="shared" si="232"/>
        <v>0.90615998007262721</v>
      </c>
      <c r="K124" s="127">
        <f t="shared" ref="K124:V124" si="237">IF(K23=0,0,K23/K$21)</f>
        <v>0.90781852518663453</v>
      </c>
      <c r="L124" s="127">
        <f t="shared" si="237"/>
        <v>0.90551466387130264</v>
      </c>
      <c r="M124" s="127">
        <f t="shared" si="237"/>
        <v>0.91386333974459222</v>
      </c>
      <c r="N124" s="127">
        <f t="shared" si="237"/>
        <v>0.90703329395453092</v>
      </c>
      <c r="O124" s="127">
        <f t="shared" si="237"/>
        <v>0.91478240452125237</v>
      </c>
      <c r="P124" s="127">
        <f t="shared" si="237"/>
        <v>0.9101641937438627</v>
      </c>
      <c r="Q124" s="127">
        <f t="shared" si="237"/>
        <v>0.92756764422289628</v>
      </c>
      <c r="R124" s="127">
        <f t="shared" si="237"/>
        <v>0.92748648852056259</v>
      </c>
      <c r="S124" s="127">
        <f t="shared" si="237"/>
        <v>0.93305979388417615</v>
      </c>
      <c r="T124" s="127">
        <f t="shared" si="237"/>
        <v>0.92387177598239023</v>
      </c>
      <c r="U124" s="127">
        <f t="shared" si="237"/>
        <v>0.92881185945606726</v>
      </c>
      <c r="V124" s="127">
        <f t="shared" si="237"/>
        <v>0.90527425270780237</v>
      </c>
      <c r="W124" s="127">
        <f t="shared" ref="W124" si="238">IF(W23=0,0,W23/W$21)</f>
        <v>0.92854380575070727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12.957351676698195</v>
      </c>
      <c r="C4" s="146">
        <f t="shared" ref="C4:V4" si="0">SUM(C5,C8)</f>
        <v>14.642562338779021</v>
      </c>
      <c r="D4" s="146">
        <f t="shared" si="0"/>
        <v>14.331384350816853</v>
      </c>
      <c r="E4" s="146">
        <f t="shared" si="0"/>
        <v>12.273860705073085</v>
      </c>
      <c r="F4" s="146">
        <f t="shared" si="0"/>
        <v>11.614187446259674</v>
      </c>
      <c r="G4" s="146">
        <f t="shared" si="0"/>
        <v>11.423817712811694</v>
      </c>
      <c r="H4" s="146">
        <f t="shared" si="0"/>
        <v>12.03645743766122</v>
      </c>
      <c r="I4" s="146">
        <f t="shared" si="0"/>
        <v>13.531384350816852</v>
      </c>
      <c r="J4" s="146">
        <f t="shared" si="0"/>
        <v>14.102149613069647</v>
      </c>
      <c r="K4" s="146">
        <f t="shared" si="0"/>
        <v>13.312725709372312</v>
      </c>
      <c r="L4" s="146">
        <f t="shared" si="0"/>
        <v>14.447377472055033</v>
      </c>
      <c r="M4" s="146">
        <f t="shared" si="0"/>
        <v>15.043852106620808</v>
      </c>
      <c r="N4" s="146">
        <f t="shared" si="0"/>
        <v>15.00326741186586</v>
      </c>
      <c r="O4" s="146">
        <f t="shared" si="0"/>
        <v>15.368529664660361</v>
      </c>
      <c r="P4" s="146">
        <f t="shared" si="0"/>
        <v>14.899914015477215</v>
      </c>
      <c r="Q4" s="146">
        <f t="shared" si="0"/>
        <v>14.877214101461732</v>
      </c>
      <c r="R4" s="146">
        <f t="shared" si="0"/>
        <v>14.889509888220118</v>
      </c>
      <c r="S4" s="146">
        <f t="shared" si="0"/>
        <v>14.987446259673254</v>
      </c>
      <c r="T4" s="146">
        <f t="shared" si="0"/>
        <v>16.133190025795354</v>
      </c>
      <c r="U4" s="146">
        <f t="shared" si="0"/>
        <v>16.064746345657781</v>
      </c>
      <c r="V4" s="146">
        <f t="shared" si="0"/>
        <v>14.594840928632843</v>
      </c>
      <c r="W4" s="146">
        <f t="shared" ref="W4" si="1">SUM(W5,W8)</f>
        <v>15.874548581255372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7.8236457437661224</v>
      </c>
      <c r="C5" s="101">
        <f t="shared" ref="C5:V5" si="2">SUM(C6:C7)</f>
        <v>8.6770421324161653</v>
      </c>
      <c r="D5" s="101">
        <f t="shared" si="2"/>
        <v>8.2051590713671541</v>
      </c>
      <c r="E5" s="101">
        <f t="shared" si="2"/>
        <v>6.2345657781599302</v>
      </c>
      <c r="F5" s="101">
        <f t="shared" si="2"/>
        <v>5.1355975924333617</v>
      </c>
      <c r="G5" s="101">
        <f t="shared" si="2"/>
        <v>3.3009458297506451</v>
      </c>
      <c r="H5" s="101">
        <f t="shared" si="2"/>
        <v>2.5023215821152189</v>
      </c>
      <c r="I5" s="101">
        <f t="shared" si="2"/>
        <v>3.406448839208942</v>
      </c>
      <c r="J5" s="101">
        <f t="shared" si="2"/>
        <v>4.3613069647463458</v>
      </c>
      <c r="K5" s="101">
        <f t="shared" si="2"/>
        <v>3.659157351676698</v>
      </c>
      <c r="L5" s="101">
        <f t="shared" si="2"/>
        <v>4.1634565778159924</v>
      </c>
      <c r="M5" s="101">
        <f t="shared" si="2"/>
        <v>3.9117798796216681</v>
      </c>
      <c r="N5" s="101">
        <f t="shared" si="2"/>
        <v>3.939810834049871</v>
      </c>
      <c r="O5" s="101">
        <f t="shared" si="2"/>
        <v>3.7001719690455723</v>
      </c>
      <c r="P5" s="101">
        <f t="shared" si="2"/>
        <v>3.7808254514187447</v>
      </c>
      <c r="Q5" s="101">
        <f t="shared" si="2"/>
        <v>3.0446259673258815</v>
      </c>
      <c r="R5" s="101">
        <f t="shared" si="2"/>
        <v>3.1147033533963886</v>
      </c>
      <c r="S5" s="101">
        <f t="shared" si="2"/>
        <v>2.8975924333619951</v>
      </c>
      <c r="T5" s="101">
        <f t="shared" si="2"/>
        <v>3.4537403267411859</v>
      </c>
      <c r="U5" s="101">
        <f t="shared" si="2"/>
        <v>3.2796216680997414</v>
      </c>
      <c r="V5" s="101">
        <f t="shared" si="2"/>
        <v>3.2898538263112638</v>
      </c>
      <c r="W5" s="101">
        <f t="shared" ref="W5" si="3">SUM(W6:W7)</f>
        <v>3.43791917454858</v>
      </c>
      <c r="DA5" s="175"/>
    </row>
    <row r="6" spans="1:105" ht="11.45" customHeight="1" x14ac:dyDescent="0.25">
      <c r="A6" s="164" t="s">
        <v>182</v>
      </c>
      <c r="B6" s="165">
        <v>7.8236457437661224</v>
      </c>
      <c r="C6" s="165">
        <v>8.6770421324161653</v>
      </c>
      <c r="D6" s="165">
        <v>8.2051590713671541</v>
      </c>
      <c r="E6" s="165">
        <v>6.2345657781599302</v>
      </c>
      <c r="F6" s="165">
        <v>5.1355975924333617</v>
      </c>
      <c r="G6" s="165">
        <v>3.3009458297506451</v>
      </c>
      <c r="H6" s="165">
        <v>2.5023215821152189</v>
      </c>
      <c r="I6" s="165">
        <v>3.406448839208942</v>
      </c>
      <c r="J6" s="165">
        <v>4.3613069647463458</v>
      </c>
      <c r="K6" s="165">
        <v>3.659157351676698</v>
      </c>
      <c r="L6" s="165">
        <v>4.1634565778159924</v>
      </c>
      <c r="M6" s="165">
        <v>3.9117798796216681</v>
      </c>
      <c r="N6" s="165">
        <v>3.8559759243336198</v>
      </c>
      <c r="O6" s="165">
        <v>3.6154772141014622</v>
      </c>
      <c r="P6" s="165">
        <v>3.6560619088564059</v>
      </c>
      <c r="Q6" s="165">
        <v>2.9417024935511611</v>
      </c>
      <c r="R6" s="165">
        <v>3.0117798796216682</v>
      </c>
      <c r="S6" s="165">
        <v>2.750988822012038</v>
      </c>
      <c r="T6" s="165">
        <v>3.2988822012037828</v>
      </c>
      <c r="U6" s="165">
        <v>3.1335339638864999</v>
      </c>
      <c r="V6" s="165">
        <v>3.067583834909716</v>
      </c>
      <c r="W6" s="165">
        <v>3.217712811693894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8.3834909716251071E-2</v>
      </c>
      <c r="O7" s="167">
        <v>8.4694754944110051E-2</v>
      </c>
      <c r="P7" s="167">
        <v>0.12476354256233881</v>
      </c>
      <c r="Q7" s="167">
        <v>0.10292347377472059</v>
      </c>
      <c r="R7" s="167">
        <v>0.10292347377472059</v>
      </c>
      <c r="S7" s="167">
        <v>0.146603611349957</v>
      </c>
      <c r="T7" s="167">
        <v>0.15485812553740319</v>
      </c>
      <c r="U7" s="167">
        <v>0.1460877042132416</v>
      </c>
      <c r="V7" s="167">
        <v>0.22226999140154771</v>
      </c>
      <c r="W7" s="167">
        <v>0.22020636285468609</v>
      </c>
      <c r="DA7" s="177" t="s">
        <v>1103</v>
      </c>
    </row>
    <row r="8" spans="1:105" ht="11.45" customHeight="1" x14ac:dyDescent="0.25">
      <c r="A8" s="85" t="s">
        <v>91</v>
      </c>
      <c r="B8" s="88">
        <v>5.133705932932072</v>
      </c>
      <c r="C8" s="88">
        <v>5.9655202063628554</v>
      </c>
      <c r="D8" s="88">
        <v>6.1262252794496987</v>
      </c>
      <c r="E8" s="88">
        <v>6.0392949269131551</v>
      </c>
      <c r="F8" s="88">
        <v>6.4785898538263114</v>
      </c>
      <c r="G8" s="88">
        <v>8.1228718830610482</v>
      </c>
      <c r="H8" s="88">
        <v>9.5341358555460012</v>
      </c>
      <c r="I8" s="88">
        <v>10.12493551160791</v>
      </c>
      <c r="J8" s="88">
        <v>9.7408426483233015</v>
      </c>
      <c r="K8" s="88">
        <v>9.6535683576956135</v>
      </c>
      <c r="L8" s="88">
        <v>10.28392089423904</v>
      </c>
      <c r="M8" s="88">
        <v>11.13207222699914</v>
      </c>
      <c r="N8" s="88">
        <v>11.063456577815989</v>
      </c>
      <c r="O8" s="88">
        <v>11.668357695614789</v>
      </c>
      <c r="P8" s="88">
        <v>11.119088564058471</v>
      </c>
      <c r="Q8" s="88">
        <v>11.83258813413585</v>
      </c>
      <c r="R8" s="88">
        <v>11.77480653482373</v>
      </c>
      <c r="S8" s="88">
        <v>12.089853826311259</v>
      </c>
      <c r="T8" s="88">
        <v>12.679449699054169</v>
      </c>
      <c r="U8" s="88">
        <v>12.78512467755804</v>
      </c>
      <c r="V8" s="88">
        <v>11.304987102321579</v>
      </c>
      <c r="W8" s="88">
        <v>12.436629406706791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12.957351676698195</v>
      </c>
      <c r="C10" s="62">
        <f t="shared" ref="C10:V10" si="5">SUM(C11,C17)</f>
        <v>14.642562338779019</v>
      </c>
      <c r="D10" s="62">
        <f t="shared" si="5"/>
        <v>14.331384350816855</v>
      </c>
      <c r="E10" s="62">
        <f t="shared" si="5"/>
        <v>12.273860705073085</v>
      </c>
      <c r="F10" s="62">
        <f t="shared" si="5"/>
        <v>11.614187446259674</v>
      </c>
      <c r="G10" s="62">
        <f t="shared" si="5"/>
        <v>11.423817712811694</v>
      </c>
      <c r="H10" s="62">
        <f t="shared" si="5"/>
        <v>12.03645743766122</v>
      </c>
      <c r="I10" s="62">
        <f t="shared" si="5"/>
        <v>13.531384350816852</v>
      </c>
      <c r="J10" s="62">
        <f t="shared" si="5"/>
        <v>14.102149613069647</v>
      </c>
      <c r="K10" s="62">
        <f t="shared" si="5"/>
        <v>13.312725709372309</v>
      </c>
      <c r="L10" s="62">
        <f t="shared" si="5"/>
        <v>14.447377472055033</v>
      </c>
      <c r="M10" s="62">
        <f t="shared" si="5"/>
        <v>15.043852106620809</v>
      </c>
      <c r="N10" s="62">
        <f t="shared" si="5"/>
        <v>15.00326741186586</v>
      </c>
      <c r="O10" s="62">
        <f t="shared" si="5"/>
        <v>15.368529664660361</v>
      </c>
      <c r="P10" s="62">
        <f t="shared" si="5"/>
        <v>14.899914015477215</v>
      </c>
      <c r="Q10" s="62">
        <f t="shared" si="5"/>
        <v>14.877214101461732</v>
      </c>
      <c r="R10" s="62">
        <f t="shared" si="5"/>
        <v>14.88950988822012</v>
      </c>
      <c r="S10" s="62">
        <f t="shared" si="5"/>
        <v>14.987446259673254</v>
      </c>
      <c r="T10" s="62">
        <f t="shared" si="5"/>
        <v>16.133190025795358</v>
      </c>
      <c r="U10" s="62">
        <f t="shared" si="5"/>
        <v>16.064746345657781</v>
      </c>
      <c r="V10" s="62">
        <f t="shared" si="5"/>
        <v>14.594840928632843</v>
      </c>
      <c r="W10" s="62">
        <f t="shared" ref="W10" si="6">SUM(W11,W17)</f>
        <v>15.874548581255372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8.4859883901889219</v>
      </c>
      <c r="C11" s="29">
        <f t="shared" ref="C11:V11" si="8">SUM(C12,C13,C16)</f>
        <v>9.7643265324060593</v>
      </c>
      <c r="D11" s="29">
        <f t="shared" si="8"/>
        <v>9.5274119146209966</v>
      </c>
      <c r="E11" s="29">
        <f t="shared" si="8"/>
        <v>7.9130349386110659</v>
      </c>
      <c r="F11" s="29">
        <f t="shared" si="8"/>
        <v>7.2063162916475907</v>
      </c>
      <c r="G11" s="29">
        <f t="shared" si="8"/>
        <v>8.4652322759193908</v>
      </c>
      <c r="H11" s="29">
        <f t="shared" si="8"/>
        <v>9.1586479161528338</v>
      </c>
      <c r="I11" s="29">
        <f t="shared" si="8"/>
        <v>9.9555385031036607</v>
      </c>
      <c r="J11" s="29">
        <f t="shared" si="8"/>
        <v>11.804235243462587</v>
      </c>
      <c r="K11" s="29">
        <f t="shared" si="8"/>
        <v>11.576843426034475</v>
      </c>
      <c r="L11" s="29">
        <f t="shared" si="8"/>
        <v>12.482290952140435</v>
      </c>
      <c r="M11" s="29">
        <f t="shared" si="8"/>
        <v>13.28548769352013</v>
      </c>
      <c r="N11" s="29">
        <f t="shared" si="8"/>
        <v>13.527931062289642</v>
      </c>
      <c r="O11" s="29">
        <f t="shared" si="8"/>
        <v>13.953654509996264</v>
      </c>
      <c r="P11" s="29">
        <f t="shared" si="8"/>
        <v>13.625250219598653</v>
      </c>
      <c r="Q11" s="29">
        <f t="shared" si="8"/>
        <v>13.620821647915323</v>
      </c>
      <c r="R11" s="29">
        <f t="shared" si="8"/>
        <v>13.710062851154493</v>
      </c>
      <c r="S11" s="29">
        <f t="shared" si="8"/>
        <v>13.747602229383897</v>
      </c>
      <c r="T11" s="29">
        <f t="shared" si="8"/>
        <v>14.90141462426511</v>
      </c>
      <c r="U11" s="29">
        <f t="shared" si="8"/>
        <v>14.884948507425646</v>
      </c>
      <c r="V11" s="29">
        <f t="shared" si="8"/>
        <v>13.515771591057572</v>
      </c>
      <c r="W11" s="29">
        <f t="shared" ref="W11" si="9">SUM(W12,W13,W16)</f>
        <v>14.808447863279637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0.16603576824136926</v>
      </c>
      <c r="U12" s="115">
        <v>0.26219695143575916</v>
      </c>
      <c r="V12" s="115">
        <v>0.26649772028613733</v>
      </c>
      <c r="W12" s="115">
        <v>0.26615584200375642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8.4859883901889219</v>
      </c>
      <c r="C13" s="116">
        <f t="shared" ref="C13:V13" si="11">SUM(C14:C15)</f>
        <v>9.7643265324060593</v>
      </c>
      <c r="D13" s="116">
        <f t="shared" si="11"/>
        <v>9.5274119146209966</v>
      </c>
      <c r="E13" s="116">
        <f t="shared" si="11"/>
        <v>7.9130349386110659</v>
      </c>
      <c r="F13" s="116">
        <f t="shared" si="11"/>
        <v>7.2063162916475907</v>
      </c>
      <c r="G13" s="116">
        <f t="shared" si="11"/>
        <v>8.4652322759193908</v>
      </c>
      <c r="H13" s="116">
        <f t="shared" si="11"/>
        <v>9.1586479161528338</v>
      </c>
      <c r="I13" s="116">
        <f t="shared" si="11"/>
        <v>9.9555385031036607</v>
      </c>
      <c r="J13" s="116">
        <f t="shared" si="11"/>
        <v>11.804235243462587</v>
      </c>
      <c r="K13" s="116">
        <f t="shared" si="11"/>
        <v>11.576843426034475</v>
      </c>
      <c r="L13" s="116">
        <f t="shared" si="11"/>
        <v>12.482290952140435</v>
      </c>
      <c r="M13" s="116">
        <f t="shared" si="11"/>
        <v>13.28548769352013</v>
      </c>
      <c r="N13" s="116">
        <f t="shared" si="11"/>
        <v>13.527931062289642</v>
      </c>
      <c r="O13" s="116">
        <f t="shared" si="11"/>
        <v>13.953654509996264</v>
      </c>
      <c r="P13" s="116">
        <f t="shared" si="11"/>
        <v>13.625250219598653</v>
      </c>
      <c r="Q13" s="116">
        <f t="shared" si="11"/>
        <v>13.620821647915323</v>
      </c>
      <c r="R13" s="116">
        <f t="shared" si="11"/>
        <v>13.710062851154493</v>
      </c>
      <c r="S13" s="116">
        <f t="shared" si="11"/>
        <v>13.747602229383897</v>
      </c>
      <c r="T13" s="116">
        <f t="shared" si="11"/>
        <v>14.73537885602374</v>
      </c>
      <c r="U13" s="116">
        <f t="shared" si="11"/>
        <v>14.622751555989886</v>
      </c>
      <c r="V13" s="116">
        <f t="shared" si="11"/>
        <v>13.249273870771434</v>
      </c>
      <c r="W13" s="116">
        <f t="shared" ref="W13" si="12">SUM(W14:W15)</f>
        <v>14.54229202127588</v>
      </c>
      <c r="DA13" s="176" t="s">
        <v>396</v>
      </c>
    </row>
    <row r="14" spans="1:105" ht="11.45" customHeight="1" x14ac:dyDescent="0.25">
      <c r="A14" s="111" t="s">
        <v>95</v>
      </c>
      <c r="B14" s="87">
        <v>5.7964147226582563</v>
      </c>
      <c r="C14" s="87">
        <v>6.6957816761790241</v>
      </c>
      <c r="D14" s="87">
        <v>6.4174289375736491</v>
      </c>
      <c r="E14" s="87">
        <v>4.7339118198337715</v>
      </c>
      <c r="F14" s="87">
        <v>3.757774322598789</v>
      </c>
      <c r="G14" s="87">
        <v>2.5936388211742054</v>
      </c>
      <c r="H14" s="87">
        <v>2.0625541728382122</v>
      </c>
      <c r="I14" s="87">
        <v>2.7416476381716892</v>
      </c>
      <c r="J14" s="87">
        <v>3.9552728947963294</v>
      </c>
      <c r="K14" s="87">
        <v>3.3519714916486008</v>
      </c>
      <c r="L14" s="87">
        <v>3.8148445061714389</v>
      </c>
      <c r="M14" s="87">
        <v>3.6257287349783591</v>
      </c>
      <c r="N14" s="87">
        <v>3.6790172418416702</v>
      </c>
      <c r="O14" s="87">
        <v>3.4685132464193651</v>
      </c>
      <c r="P14" s="87">
        <v>3.5550088706405991</v>
      </c>
      <c r="Q14" s="87">
        <v>2.8585648439969806</v>
      </c>
      <c r="R14" s="87">
        <v>2.937572626851753</v>
      </c>
      <c r="S14" s="87">
        <v>2.7236254218405787</v>
      </c>
      <c r="T14" s="87">
        <v>3.2584871126300481</v>
      </c>
      <c r="U14" s="87">
        <v>3.1031810453887751</v>
      </c>
      <c r="V14" s="87">
        <v>3.080488177476052</v>
      </c>
      <c r="W14" s="87">
        <v>3.2772832585238705</v>
      </c>
      <c r="DA14" s="171" t="s">
        <v>1106</v>
      </c>
    </row>
    <row r="15" spans="1:105" ht="11.45" customHeight="1" x14ac:dyDescent="0.25">
      <c r="A15" s="111" t="s">
        <v>93</v>
      </c>
      <c r="B15" s="87">
        <v>2.6895736675306656</v>
      </c>
      <c r="C15" s="87">
        <v>3.0685448562270361</v>
      </c>
      <c r="D15" s="87">
        <v>3.1099829770473471</v>
      </c>
      <c r="E15" s="87">
        <v>3.1791231187772939</v>
      </c>
      <c r="F15" s="87">
        <v>3.4485419690488013</v>
      </c>
      <c r="G15" s="87">
        <v>5.8715934547451862</v>
      </c>
      <c r="H15" s="87">
        <v>7.0960937433146221</v>
      </c>
      <c r="I15" s="87">
        <v>7.2138908649319724</v>
      </c>
      <c r="J15" s="87">
        <v>7.8489623486662579</v>
      </c>
      <c r="K15" s="87">
        <v>8.2248719343858756</v>
      </c>
      <c r="L15" s="87">
        <v>8.6674464459689951</v>
      </c>
      <c r="M15" s="87">
        <v>9.6597589585417705</v>
      </c>
      <c r="N15" s="87">
        <v>9.8489138204479723</v>
      </c>
      <c r="O15" s="87">
        <v>10.485141263576899</v>
      </c>
      <c r="P15" s="87">
        <v>10.070241348958055</v>
      </c>
      <c r="Q15" s="87">
        <v>10.762256803918342</v>
      </c>
      <c r="R15" s="87">
        <v>10.772490224302739</v>
      </c>
      <c r="S15" s="87">
        <v>11.023976807543319</v>
      </c>
      <c r="T15" s="87">
        <v>11.476891743393692</v>
      </c>
      <c r="U15" s="87">
        <v>11.519570510601111</v>
      </c>
      <c r="V15" s="87">
        <v>10.168785693295382</v>
      </c>
      <c r="W15" s="87">
        <v>11.265008762752009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4.4713632865092734</v>
      </c>
      <c r="C17" s="29">
        <f t="shared" si="13"/>
        <v>4.8782358063729605</v>
      </c>
      <c r="D17" s="29">
        <f t="shared" si="13"/>
        <v>4.803972436195858</v>
      </c>
      <c r="E17" s="29">
        <f t="shared" si="13"/>
        <v>4.3608257664620194</v>
      </c>
      <c r="F17" s="29">
        <f t="shared" si="13"/>
        <v>4.4078711546120823</v>
      </c>
      <c r="G17" s="29">
        <f t="shared" si="13"/>
        <v>2.9585854368923021</v>
      </c>
      <c r="H17" s="29">
        <f t="shared" si="13"/>
        <v>2.8778095215083868</v>
      </c>
      <c r="I17" s="29">
        <f t="shared" si="13"/>
        <v>3.5758458477131909</v>
      </c>
      <c r="J17" s="29">
        <f t="shared" si="13"/>
        <v>2.2979143696070601</v>
      </c>
      <c r="K17" s="29">
        <f t="shared" si="13"/>
        <v>1.7358822833378342</v>
      </c>
      <c r="L17" s="29">
        <f t="shared" si="13"/>
        <v>1.9650865199145986</v>
      </c>
      <c r="M17" s="29">
        <f t="shared" si="13"/>
        <v>1.7583644131006788</v>
      </c>
      <c r="N17" s="29">
        <f t="shared" si="13"/>
        <v>1.475336349576218</v>
      </c>
      <c r="O17" s="29">
        <f t="shared" si="13"/>
        <v>1.4148751546640979</v>
      </c>
      <c r="P17" s="29">
        <f t="shared" si="13"/>
        <v>1.2746637958785612</v>
      </c>
      <c r="Q17" s="29">
        <f t="shared" si="13"/>
        <v>1.256392453546409</v>
      </c>
      <c r="R17" s="29">
        <f t="shared" si="13"/>
        <v>1.1794470370656267</v>
      </c>
      <c r="S17" s="29">
        <f t="shared" si="13"/>
        <v>1.2398440302893572</v>
      </c>
      <c r="T17" s="29">
        <f t="shared" si="13"/>
        <v>1.2317754015302469</v>
      </c>
      <c r="U17" s="29">
        <f t="shared" si="13"/>
        <v>1.1797978382321341</v>
      </c>
      <c r="V17" s="29">
        <f t="shared" si="13"/>
        <v>1.0790693375752713</v>
      </c>
      <c r="W17" s="29">
        <f t="shared" si="13"/>
        <v>1.0661007179757336</v>
      </c>
      <c r="DA17" s="173" t="s">
        <v>401</v>
      </c>
    </row>
    <row r="18" spans="1:105" ht="11.45" customHeight="1" x14ac:dyDescent="0.25">
      <c r="A18" s="83" t="s">
        <v>95</v>
      </c>
      <c r="B18" s="87">
        <v>2.0272310211078666</v>
      </c>
      <c r="C18" s="87">
        <v>1.9812604562371419</v>
      </c>
      <c r="D18" s="87">
        <v>1.7877301337935056</v>
      </c>
      <c r="E18" s="87">
        <v>1.5006539583261584</v>
      </c>
      <c r="F18" s="87">
        <v>1.3778232698345723</v>
      </c>
      <c r="G18" s="87">
        <v>0.70730700857643991</v>
      </c>
      <c r="H18" s="87">
        <v>0.43976740927700664</v>
      </c>
      <c r="I18" s="87">
        <v>0.66480120103725271</v>
      </c>
      <c r="J18" s="87">
        <v>0.40603406995001612</v>
      </c>
      <c r="K18" s="87">
        <v>0.307185860028097</v>
      </c>
      <c r="L18" s="87">
        <v>0.34861207164455399</v>
      </c>
      <c r="M18" s="87">
        <v>0.286051144643309</v>
      </c>
      <c r="N18" s="87">
        <v>0.26079359220820075</v>
      </c>
      <c r="O18" s="87">
        <v>0.23165872262620721</v>
      </c>
      <c r="P18" s="87">
        <v>0.22581658077814579</v>
      </c>
      <c r="Q18" s="87">
        <v>0.18606112332890068</v>
      </c>
      <c r="R18" s="87">
        <v>0.17713072654463546</v>
      </c>
      <c r="S18" s="87">
        <v>0.17396701152141644</v>
      </c>
      <c r="T18" s="87">
        <v>0.19525321411113761</v>
      </c>
      <c r="U18" s="87">
        <v>0.17644062271096625</v>
      </c>
      <c r="V18" s="87">
        <v>0.20936564883521147</v>
      </c>
      <c r="W18" s="87">
        <v>0.16063591602470942</v>
      </c>
      <c r="DA18" s="171" t="s">
        <v>1108</v>
      </c>
    </row>
    <row r="19" spans="1:105" ht="11.45" customHeight="1" x14ac:dyDescent="0.25">
      <c r="A19" s="85" t="s">
        <v>93</v>
      </c>
      <c r="B19" s="88">
        <v>2.4441322654014068</v>
      </c>
      <c r="C19" s="88">
        <v>2.8969753501358189</v>
      </c>
      <c r="D19" s="88">
        <v>3.0162423024023521</v>
      </c>
      <c r="E19" s="88">
        <v>2.8601718081358611</v>
      </c>
      <c r="F19" s="88">
        <v>3.0300478847775101</v>
      </c>
      <c r="G19" s="88">
        <v>2.251278428315862</v>
      </c>
      <c r="H19" s="88">
        <v>2.43804211223138</v>
      </c>
      <c r="I19" s="88">
        <v>2.9110446466759381</v>
      </c>
      <c r="J19" s="88">
        <v>1.8918802996570441</v>
      </c>
      <c r="K19" s="88">
        <v>1.4286964233097372</v>
      </c>
      <c r="L19" s="88">
        <v>1.6164744482700446</v>
      </c>
      <c r="M19" s="88">
        <v>1.4723132684573699</v>
      </c>
      <c r="N19" s="88">
        <v>1.2145427573680172</v>
      </c>
      <c r="O19" s="88">
        <v>1.1832164320378906</v>
      </c>
      <c r="P19" s="88">
        <v>1.0488472151004153</v>
      </c>
      <c r="Q19" s="88">
        <v>1.0703313302175084</v>
      </c>
      <c r="R19" s="88">
        <v>1.0023163105209913</v>
      </c>
      <c r="S19" s="88">
        <v>1.0658770187679407</v>
      </c>
      <c r="T19" s="88">
        <v>1.0365221874191093</v>
      </c>
      <c r="U19" s="88">
        <v>1.0033572155211679</v>
      </c>
      <c r="V19" s="88">
        <v>0.86970368874005999</v>
      </c>
      <c r="W19" s="88">
        <v>0.90546480195102419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295.04716304312075</v>
      </c>
      <c r="C23" s="62">
        <f>IF(C10=0,0,C10/TrRail_act!C14*100)</f>
        <v>288.73483107081864</v>
      </c>
      <c r="D23" s="62">
        <f>IF(D10=0,0,D10/TrRail_act!D14*100)</f>
        <v>279.61068419686018</v>
      </c>
      <c r="E23" s="62">
        <f>IF(E10=0,0,E10/TrRail_act!E14*100)</f>
        <v>265.09073049016058</v>
      </c>
      <c r="F23" s="62">
        <f>IF(F10=0,0,F10/TrRail_act!F14*100)</f>
        <v>251.07068572585237</v>
      </c>
      <c r="G23" s="62">
        <f>IF(G10=0,0,G10/TrRail_act!G14*100)</f>
        <v>215.82791441524117</v>
      </c>
      <c r="H23" s="62">
        <f>IF(H10=0,0,H10/TrRail_act!H14*100)</f>
        <v>202.7930835311389</v>
      </c>
      <c r="I23" s="62">
        <f>IF(I10=0,0,I10/TrRail_act!I14*100)</f>
        <v>207.55389077798677</v>
      </c>
      <c r="J23" s="62">
        <f>IF(J10=0,0,J10/TrRail_act!J14*100)</f>
        <v>204.7653124958793</v>
      </c>
      <c r="K23" s="62">
        <f>IF(K10=0,0,K10/TrRail_act!K14*100)</f>
        <v>197.33832320921377</v>
      </c>
      <c r="L23" s="62">
        <f>IF(L10=0,0,L10/TrRail_act!L14*100)</f>
        <v>196.65728833973404</v>
      </c>
      <c r="M23" s="62">
        <f>IF(M10=0,0,M10/TrRail_act!M14*100)</f>
        <v>191.33756337072481</v>
      </c>
      <c r="N23" s="62">
        <f>IF(N10=0,0,N10/TrRail_act!N14*100)</f>
        <v>186.09965142488696</v>
      </c>
      <c r="O23" s="62">
        <f>IF(O10=0,0,O10/TrRail_act!O14*100)</f>
        <v>181.24257903921389</v>
      </c>
      <c r="P23" s="62">
        <f>IF(P10=0,0,P10/TrRail_act!P14*100)</f>
        <v>173.64506994204646</v>
      </c>
      <c r="Q23" s="62">
        <f>IF(Q10=0,0,Q10/TrRail_act!Q14*100)</f>
        <v>166.35832984156039</v>
      </c>
      <c r="R23" s="62">
        <f>IF(R10=0,0,R10/TrRail_act!R14*100)</f>
        <v>163.27838211075348</v>
      </c>
      <c r="S23" s="62">
        <f>IF(S10=0,0,S10/TrRail_act!S14*100)</f>
        <v>160.78705987198566</v>
      </c>
      <c r="T23" s="62">
        <f>IF(T10=0,0,T10/TrRail_act!T14*100)</f>
        <v>155.5380712860634</v>
      </c>
      <c r="U23" s="62">
        <f>IF(U10=0,0,U10/TrRail_act!U14*100)</f>
        <v>151.15006603031577</v>
      </c>
      <c r="V23" s="62">
        <f>IF(V10=0,0,V10/TrRail_act!V14*100)</f>
        <v>150.94123120177861</v>
      </c>
      <c r="W23" s="62">
        <f>IF(W10=0,0,W10/TrRail_act!W14*100)</f>
        <v>150.32713402191359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271.55953557748023</v>
      </c>
      <c r="C24" s="29">
        <f>IF(C11=0,0,C11/TrRail_act!C15*100)</f>
        <v>268.60993744631458</v>
      </c>
      <c r="D24" s="29">
        <f>IF(D11=0,0,D11/TrRail_act!D15*100)</f>
        <v>262.40320998213213</v>
      </c>
      <c r="E24" s="29">
        <f>IF(E11=0,0,E11/TrRail_act!E15*100)</f>
        <v>247.02839988222013</v>
      </c>
      <c r="F24" s="29">
        <f>IF(F11=0,0,F11/TrRail_act!F15*100)</f>
        <v>231.96207729635509</v>
      </c>
      <c r="G24" s="29">
        <f>IF(G11=0,0,G11/TrRail_act!G15*100)</f>
        <v>201.38474359141046</v>
      </c>
      <c r="H24" s="29">
        <f>IF(H11=0,0,H11/TrRail_act!H15*100)</f>
        <v>190.80408473190414</v>
      </c>
      <c r="I24" s="29">
        <f>IF(I11=0,0,I11/TrRail_act!I15*100)</f>
        <v>193.97541456652533</v>
      </c>
      <c r="J24" s="29">
        <f>IF(J11=0,0,J11/TrRail_act!J15*100)</f>
        <v>197.2574048358656</v>
      </c>
      <c r="K24" s="29">
        <f>IF(K11=0,0,K11/TrRail_act!K15*100)</f>
        <v>191.16283999282672</v>
      </c>
      <c r="L24" s="29">
        <f>IF(L11=0,0,L11/TrRail_act!L15*100)</f>
        <v>190.24010648731056</v>
      </c>
      <c r="M24" s="29">
        <f>IF(M11=0,0,M11/TrRail_act!M15*100)</f>
        <v>185.77800185139796</v>
      </c>
      <c r="N24" s="29">
        <f>IF(N11=0,0,N11/TrRail_act!N15*100)</f>
        <v>181.42640663456717</v>
      </c>
      <c r="O24" s="29">
        <f>IF(O11=0,0,O11/TrRail_act!O15*100)</f>
        <v>176.91495475988313</v>
      </c>
      <c r="P24" s="29">
        <f>IF(P11=0,0,P11/TrRail_act!P15*100)</f>
        <v>169.68778271215072</v>
      </c>
      <c r="Q24" s="29">
        <f>IF(Q11=0,0,Q11/TrRail_act!Q15*100)</f>
        <v>162.61566715478222</v>
      </c>
      <c r="R24" s="29">
        <f>IF(R11=0,0,R11/TrRail_act!R15*100)</f>
        <v>159.83749228425182</v>
      </c>
      <c r="S24" s="29">
        <f>IF(S11=0,0,S11/TrRail_act!S15*100)</f>
        <v>157.2411933962581</v>
      </c>
      <c r="T24" s="29">
        <f>IF(T11=0,0,T11/TrRail_act!T15*100)</f>
        <v>152.05172682550338</v>
      </c>
      <c r="U24" s="29">
        <f>IF(U11=0,0,U11/TrRail_act!U15*100)</f>
        <v>147.75329340824402</v>
      </c>
      <c r="V24" s="29">
        <f>IF(V11=0,0,V11/TrRail_act!V15*100)</f>
        <v>147.32216164946098</v>
      </c>
      <c r="W24" s="29">
        <f>IF(W11=0,0,W11/TrRail_act!W15*100)</f>
        <v>147.25931263079136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37.330991884418566</v>
      </c>
      <c r="U25" s="115">
        <f>IF(U12=0,0,U12/TrRail_act!U16*100)</f>
        <v>37.204164423768461</v>
      </c>
      <c r="V25" s="115">
        <f>IF(V12=0,0,V12/TrRail_act!V16*100)</f>
        <v>37.10932667386502</v>
      </c>
      <c r="W25" s="115">
        <f>IF(W12=0,0,W12/TrRail_act!W16*100)</f>
        <v>37.038357045280442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271.55953557748023</v>
      </c>
      <c r="C26" s="116">
        <f>IF(C13=0,0,C13/TrRail_act!C17*100)</f>
        <v>268.60993744631458</v>
      </c>
      <c r="D26" s="116">
        <f>IF(D13=0,0,D13/TrRail_act!D17*100)</f>
        <v>262.40320998213213</v>
      </c>
      <c r="E26" s="116">
        <f>IF(E13=0,0,E13/TrRail_act!E17*100)</f>
        <v>247.02839988222013</v>
      </c>
      <c r="F26" s="116">
        <f>IF(F13=0,0,F13/TrRail_act!F17*100)</f>
        <v>231.96207729635509</v>
      </c>
      <c r="G26" s="116">
        <f>IF(G13=0,0,G13/TrRail_act!G17*100)</f>
        <v>201.38474359141046</v>
      </c>
      <c r="H26" s="116">
        <f>IF(H13=0,0,H13/TrRail_act!H17*100)</f>
        <v>190.80408473190414</v>
      </c>
      <c r="I26" s="116">
        <f>IF(I13=0,0,I13/TrRail_act!I17*100)</f>
        <v>193.97541456652533</v>
      </c>
      <c r="J26" s="116">
        <f>IF(J13=0,0,J13/TrRail_act!J17*100)</f>
        <v>197.2574048358656</v>
      </c>
      <c r="K26" s="116">
        <f>IF(K13=0,0,K13/TrRail_act!K17*100)</f>
        <v>191.16283999282672</v>
      </c>
      <c r="L26" s="116">
        <f>IF(L13=0,0,L13/TrRail_act!L17*100)</f>
        <v>190.24010648731056</v>
      </c>
      <c r="M26" s="116">
        <f>IF(M13=0,0,M13/TrRail_act!M17*100)</f>
        <v>185.77800185139796</v>
      </c>
      <c r="N26" s="116">
        <f>IF(N13=0,0,N13/TrRail_act!N17*100)</f>
        <v>181.42640663456717</v>
      </c>
      <c r="O26" s="116">
        <f>IF(O13=0,0,O13/TrRail_act!O17*100)</f>
        <v>176.91495475988313</v>
      </c>
      <c r="P26" s="116">
        <f>IF(P13=0,0,P13/TrRail_act!P17*100)</f>
        <v>169.68778271215072</v>
      </c>
      <c r="Q26" s="116">
        <f>IF(Q13=0,0,Q13/TrRail_act!Q17*100)</f>
        <v>162.61566715478222</v>
      </c>
      <c r="R26" s="116">
        <f>IF(R13=0,0,R13/TrRail_act!R17*100)</f>
        <v>159.83749228425182</v>
      </c>
      <c r="S26" s="116">
        <f>IF(S13=0,0,S13/TrRail_act!S17*100)</f>
        <v>157.2411933962581</v>
      </c>
      <c r="T26" s="116">
        <f>IF(T13=0,0,T13/TrRail_act!T17*100)</f>
        <v>157.505648207272</v>
      </c>
      <c r="U26" s="116">
        <f>IF(U13=0,0,U13/TrRail_act!U17*100)</f>
        <v>156.06859139605967</v>
      </c>
      <c r="V26" s="116">
        <f>IF(V13=0,0,V13/TrRail_act!V17*100)</f>
        <v>156.68202930610377</v>
      </c>
      <c r="W26" s="116">
        <f>IF(W13=0,0,W13/TrRail_act!W17*100)</f>
        <v>155.74174976205578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356.92116513194537</v>
      </c>
      <c r="C27" s="87">
        <f>IF(C14=0,0,C14/TrRail_act!C18*100)</f>
        <v>353.35875243484907</v>
      </c>
      <c r="D27" s="87">
        <f>IF(D14=0,0,D14/TrRail_act!D18*100)</f>
        <v>348.20551670454461</v>
      </c>
      <c r="E27" s="87">
        <f>IF(E14=0,0,E14/TrRail_act!E18*100)</f>
        <v>344.92324887268944</v>
      </c>
      <c r="F27" s="87">
        <f>IF(F14=0,0,F14/TrRail_act!F18*100)</f>
        <v>338.29153698511112</v>
      </c>
      <c r="G27" s="87">
        <f>IF(G14=0,0,G14/TrRail_act!G18*100)</f>
        <v>323.17604787404366</v>
      </c>
      <c r="H27" s="87">
        <f>IF(H14=0,0,H14/TrRail_act!H18*100)</f>
        <v>304.46313003410825</v>
      </c>
      <c r="I27" s="87">
        <f>IF(I14=0,0,I14/TrRail_act!I18*100)</f>
        <v>292.6850384952038</v>
      </c>
      <c r="J27" s="87">
        <f>IF(J14=0,0,J14/TrRail_act!J18*100)</f>
        <v>285.3604285824706</v>
      </c>
      <c r="K27" s="87">
        <f>IF(K14=0,0,K14/TrRail_act!K18*100)</f>
        <v>286.57355644288771</v>
      </c>
      <c r="L27" s="87">
        <f>IF(L14=0,0,L14/TrRail_act!L18*100)</f>
        <v>273.10550285802196</v>
      </c>
      <c r="M27" s="87">
        <f>IF(M14=0,0,M14/TrRail_act!M18*100)</f>
        <v>263.82335868614621</v>
      </c>
      <c r="N27" s="87">
        <f>IF(N14=0,0,N14/TrRail_act!N18*100)</f>
        <v>258.61463554721308</v>
      </c>
      <c r="O27" s="87">
        <f>IF(O14=0,0,O14/TrRail_act!O18*100)</f>
        <v>250.95201198129496</v>
      </c>
      <c r="P27" s="87">
        <f>IF(P14=0,0,P14/TrRail_act!P18*100)</f>
        <v>236.13142017671947</v>
      </c>
      <c r="Q27" s="87">
        <f>IF(Q14=0,0,Q14/TrRail_act!Q18*100)</f>
        <v>235.39540004082355</v>
      </c>
      <c r="R27" s="87">
        <f>IF(R14=0,0,R14/TrRail_act!R18*100)</f>
        <v>232.49644197067266</v>
      </c>
      <c r="S27" s="87">
        <f>IF(S14=0,0,S14/TrRail_act!S18*100)</f>
        <v>230.34567663449113</v>
      </c>
      <c r="T27" s="87">
        <f>IF(T14=0,0,T14/TrRail_act!T18*100)</f>
        <v>228.7456695965142</v>
      </c>
      <c r="U27" s="87">
        <f>IF(U14=0,0,U14/TrRail_act!U18*100)</f>
        <v>227.55296199943885</v>
      </c>
      <c r="V27" s="87">
        <f>IF(V14=0,0,V14/TrRail_act!V18*100)</f>
        <v>226.66251424521309</v>
      </c>
      <c r="W27" s="87">
        <f>IF(W14=0,0,W14/TrRail_act!W18*100)</f>
        <v>225.99696584726351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179.19681899688092</v>
      </c>
      <c r="C28" s="87">
        <f>IF(C15=0,0,C15/TrRail_act!C19*100)</f>
        <v>176.32923202592582</v>
      </c>
      <c r="D28" s="87">
        <f>IF(D15=0,0,D15/TrRail_act!D19*100)</f>
        <v>173.95307731778036</v>
      </c>
      <c r="E28" s="87">
        <f>IF(E15=0,0,E15/TrRail_act!E19*100)</f>
        <v>173.64326075321571</v>
      </c>
      <c r="F28" s="87">
        <f>IF(F15=0,0,F15/TrRail_act!F19*100)</f>
        <v>172.78396695023474</v>
      </c>
      <c r="G28" s="87">
        <f>IF(G15=0,0,G15/TrRail_act!G19*100)</f>
        <v>172.64490059810538</v>
      </c>
      <c r="H28" s="87">
        <f>IF(H15=0,0,H15/TrRail_act!H19*100)</f>
        <v>172.12718519621143</v>
      </c>
      <c r="I28" s="87">
        <f>IF(I15=0,0,I15/TrRail_act!I19*100)</f>
        <v>171.93744795562444</v>
      </c>
      <c r="J28" s="87">
        <f>IF(J15=0,0,J15/TrRail_act!J19*100)</f>
        <v>170.6995152798165</v>
      </c>
      <c r="K28" s="87">
        <f>IF(K15=0,0,K15/TrRail_act!K19*100)</f>
        <v>168.32380474745199</v>
      </c>
      <c r="L28" s="87">
        <f>IF(L15=0,0,L15/TrRail_act!L19*100)</f>
        <v>167.82753668612179</v>
      </c>
      <c r="M28" s="87">
        <f>IF(M15=0,0,M15/TrRail_act!M19*100)</f>
        <v>167.21154224164948</v>
      </c>
      <c r="N28" s="87">
        <f>IF(N15=0,0,N15/TrRail_act!N19*100)</f>
        <v>163.2278960399326</v>
      </c>
      <c r="O28" s="87">
        <f>IF(O15=0,0,O15/TrRail_act!O19*100)</f>
        <v>161.18418530139377</v>
      </c>
      <c r="P28" s="87">
        <f>IF(P15=0,0,P15/TrRail_act!P19*100)</f>
        <v>154.35499514152929</v>
      </c>
      <c r="Q28" s="87">
        <f>IF(Q15=0,0,Q15/TrRail_act!Q19*100)</f>
        <v>150.27486133475</v>
      </c>
      <c r="R28" s="87">
        <f>IF(R15=0,0,R15/TrRail_act!R19*100)</f>
        <v>147.28569605363734</v>
      </c>
      <c r="S28" s="87">
        <f>IF(S15=0,0,S15/TrRail_act!S19*100)</f>
        <v>145.80832131402059</v>
      </c>
      <c r="T28" s="87">
        <f>IF(T15=0,0,T15/TrRail_act!T19*100)</f>
        <v>144.71002342453346</v>
      </c>
      <c r="U28" s="87">
        <f>IF(U15=0,0,U15/TrRail_act!U19*100)</f>
        <v>143.89173251663655</v>
      </c>
      <c r="V28" s="87">
        <f>IF(V15=0,0,V15/TrRail_act!V19*100)</f>
        <v>143.28105235902228</v>
      </c>
      <c r="W28" s="87">
        <f>IF(W15=0,0,W15/TrRail_act!W19*100)</f>
        <v>142.82474367407266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352.9898749621031</v>
      </c>
      <c r="C30" s="29">
        <f>IF(C17=0,0,C17/TrRail_act!C21*100)</f>
        <v>339.67420323274365</v>
      </c>
      <c r="D30" s="29">
        <f>IF(D17=0,0,D17/TrRail_act!D21*100)</f>
        <v>321.41139745771017</v>
      </c>
      <c r="E30" s="29">
        <f>IF(E17=0,0,E17/TrRail_act!E21*100)</f>
        <v>305.64305807068786</v>
      </c>
      <c r="F30" s="29">
        <f>IF(F17=0,0,F17/TrRail_act!F21*100)</f>
        <v>290.14710303364996</v>
      </c>
      <c r="G30" s="29">
        <f>IF(G17=0,0,G17/TrRail_act!G21*100)</f>
        <v>271.55212923905844</v>
      </c>
      <c r="H30" s="29">
        <f>IF(H17=0,0,H17/TrRail_act!H21*100)</f>
        <v>253.48180813404193</v>
      </c>
      <c r="I30" s="29">
        <f>IF(I17=0,0,I17/TrRail_act!I21*100)</f>
        <v>257.79580259753243</v>
      </c>
      <c r="J30" s="29">
        <f>IF(J17=0,0,J17/TrRail_act!J21*100)</f>
        <v>254.53104244262249</v>
      </c>
      <c r="K30" s="29">
        <f>IF(K17=0,0,K17/TrRail_act!K21*100)</f>
        <v>251.52913517209589</v>
      </c>
      <c r="L30" s="29">
        <f>IF(L17=0,0,L17/TrRail_act!L21*100)</f>
        <v>250.28507039950401</v>
      </c>
      <c r="M30" s="29">
        <f>IF(M17=0,0,M17/TrRail_act!M21*100)</f>
        <v>247.24047662323048</v>
      </c>
      <c r="N30" s="29">
        <f>IF(N17=0,0,N17/TrRail_act!N21*100)</f>
        <v>243.64597988830124</v>
      </c>
      <c r="O30" s="29">
        <f>IF(O17=0,0,O17/TrRail_act!O21*100)</f>
        <v>238.86777451261057</v>
      </c>
      <c r="P30" s="29">
        <f>IF(P17=0,0,P17/TrRail_act!P21*100)</f>
        <v>231.30619273230874</v>
      </c>
      <c r="Q30" s="29">
        <f>IF(Q17=0,0,Q17/TrRail_act!Q21*100)</f>
        <v>221.66769855554037</v>
      </c>
      <c r="R30" s="29">
        <f>IF(R17=0,0,R17/TrRail_act!R21*100)</f>
        <v>217.77359148394959</v>
      </c>
      <c r="S30" s="29">
        <f>IF(S17=0,0,S17/TrRail_act!S21*100)</f>
        <v>214.39524389397801</v>
      </c>
      <c r="T30" s="29">
        <f>IF(T17=0,0,T17/TrRail_act!T21*100)</f>
        <v>215.24181324083682</v>
      </c>
      <c r="U30" s="29">
        <f>IF(U17=0,0,U17/TrRail_act!U21*100)</f>
        <v>212.90164442271268</v>
      </c>
      <c r="V30" s="29">
        <f>IF(V17=0,0,V17/TrRail_act!V21*100)</f>
        <v>218.02704836441632</v>
      </c>
      <c r="W30" s="29">
        <f>IF(W17=0,0,W17/TrRail_act!W21*100)</f>
        <v>211.54166483278846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512.78245445668369</v>
      </c>
      <c r="C31" s="87">
        <f>IF(C18=0,0,C18/TrRail_act!C22*100)</f>
        <v>509.22403433464638</v>
      </c>
      <c r="D31" s="87">
        <f>IF(D18=0,0,D18/TrRail_act!D22*100)</f>
        <v>505.8458900822817</v>
      </c>
      <c r="E31" s="87">
        <f>IF(E18=0,0,E18/TrRail_act!E22*100)</f>
        <v>501.38817107433005</v>
      </c>
      <c r="F31" s="87">
        <f>IF(F18=0,0,F18/TrRail_act!F22*100)</f>
        <v>496.65827472319137</v>
      </c>
      <c r="G31" s="87">
        <f>IF(G18=0,0,G18/TrRail_act!G22*100)</f>
        <v>493.61794653909669</v>
      </c>
      <c r="H31" s="87">
        <f>IF(H18=0,0,H18/TrRail_act!H22*100)</f>
        <v>489.70936753742205</v>
      </c>
      <c r="I31" s="87">
        <f>IF(I18=0,0,I18/TrRail_act!I22*100)</f>
        <v>483.99137015818997</v>
      </c>
      <c r="J31" s="87">
        <f>IF(J18=0,0,J18/TrRail_act!J22*100)</f>
        <v>479.27116445923031</v>
      </c>
      <c r="K31" s="87">
        <f>IF(K18=0,0,K18/TrRail_act!K22*100)</f>
        <v>482.86485387670507</v>
      </c>
      <c r="L31" s="87">
        <f>IF(L18=0,0,L18/TrRail_act!L22*100)</f>
        <v>469.92795099015768</v>
      </c>
      <c r="M31" s="87">
        <f>IF(M18=0,0,M18/TrRail_act!M22*100)</f>
        <v>466.94566452002243</v>
      </c>
      <c r="N31" s="87">
        <f>IF(N18=0,0,N18/TrRail_act!N22*100)</f>
        <v>463.27373637887968</v>
      </c>
      <c r="O31" s="87">
        <f>IF(O18=0,0,O18/TrRail_act!O22*100)</f>
        <v>458.94307837005596</v>
      </c>
      <c r="P31" s="87">
        <f>IF(P18=0,0,P18/TrRail_act!P22*100)</f>
        <v>456.13979897102359</v>
      </c>
      <c r="Q31" s="87">
        <f>IF(Q18=0,0,Q18/TrRail_act!Q22*100)</f>
        <v>453.21066524707777</v>
      </c>
      <c r="R31" s="87">
        <f>IF(R18=0,0,R18/TrRail_act!R22*100)</f>
        <v>451.02616539773396</v>
      </c>
      <c r="S31" s="87">
        <f>IF(S18=0,0,S18/TrRail_act!S22*100)</f>
        <v>449.39470321383544</v>
      </c>
      <c r="T31" s="87">
        <f>IF(T18=0,0,T18/TrRail_act!T22*100)</f>
        <v>448.17498051370262</v>
      </c>
      <c r="U31" s="87">
        <f>IF(U18=0,0,U18/TrRail_act!U22*100)</f>
        <v>447.262361499382</v>
      </c>
      <c r="V31" s="87">
        <f>IF(V18=0,0,V18/TrRail_act!V22*100)</f>
        <v>446.57911699887666</v>
      </c>
      <c r="W31" s="87">
        <f>IF(W18=0,0,W18/TrRail_act!W22*100)</f>
        <v>446.06736866133883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280.49237247302898</v>
      </c>
      <c r="C32" s="88">
        <f>IF(C19=0,0,C19/TrRail_act!C23*100)</f>
        <v>276.67262481860917</v>
      </c>
      <c r="D32" s="88">
        <f>IF(D19=0,0,D19/TrRail_act!D23*100)</f>
        <v>264.29632003679143</v>
      </c>
      <c r="E32" s="88">
        <f>IF(E19=0,0,E19/TrRail_act!E23*100)</f>
        <v>253.68031696244259</v>
      </c>
      <c r="F32" s="88">
        <f>IF(F19=0,0,F19/TrRail_act!F23*100)</f>
        <v>244.01114338882385</v>
      </c>
      <c r="G32" s="88">
        <f>IF(G19=0,0,G19/TrRail_act!G23*100)</f>
        <v>237.92365618479221</v>
      </c>
      <c r="H32" s="88">
        <f>IF(H19=0,0,H19/TrRail_act!H23*100)</f>
        <v>233.19158324250191</v>
      </c>
      <c r="I32" s="88">
        <f>IF(I19=0,0,I19/TrRail_act!I23*100)</f>
        <v>232.93453420354783</v>
      </c>
      <c r="J32" s="88">
        <f>IF(J19=0,0,J19/TrRail_act!J23*100)</f>
        <v>231.25742851980468</v>
      </c>
      <c r="K32" s="88">
        <f>IF(K19=0,0,K19/TrRail_act!K23*100)</f>
        <v>228.03890321982698</v>
      </c>
      <c r="L32" s="88">
        <f>IF(L19=0,0,L19/TrRail_act!L23*100)</f>
        <v>227.36657749276432</v>
      </c>
      <c r="M32" s="88">
        <f>IF(M19=0,0,M19/TrRail_act!M23*100)</f>
        <v>226.53205086286943</v>
      </c>
      <c r="N32" s="88">
        <f>IF(N19=0,0,N19/TrRail_act!N23*100)</f>
        <v>221.13515342451655</v>
      </c>
      <c r="O32" s="88">
        <f>IF(O19=0,0,O19/TrRail_act!O23*100)</f>
        <v>218.36640924115977</v>
      </c>
      <c r="P32" s="88">
        <f>IF(P19=0,0,P19/TrRail_act!P23*100)</f>
        <v>209.11447344828912</v>
      </c>
      <c r="Q32" s="88">
        <f>IF(Q19=0,0,Q19/TrRail_act!Q23*100)</f>
        <v>203.58685814940679</v>
      </c>
      <c r="R32" s="88">
        <f>IF(R19=0,0,R19/TrRail_act!R23*100)</f>
        <v>199.53724690594393</v>
      </c>
      <c r="S32" s="88">
        <f>IF(S19=0,0,S19/TrRail_act!S23*100)</f>
        <v>197.53575391585642</v>
      </c>
      <c r="T32" s="88">
        <f>IF(T19=0,0,T19/TrRail_act!T23*100)</f>
        <v>196.04782030775462</v>
      </c>
      <c r="U32" s="88">
        <f>IF(U19=0,0,U19/TrRail_act!U23*100)</f>
        <v>194.93922986547273</v>
      </c>
      <c r="V32" s="88">
        <f>IF(V19=0,0,V19/TrRail_act!V23*100)</f>
        <v>194.11190283606464</v>
      </c>
      <c r="W32" s="88">
        <f>IF(W19=0,0,W19/TrRail_act!W23*100)</f>
        <v>193.49371260324745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25.560205994544944</v>
      </c>
      <c r="C35" s="29">
        <f>IF(C11=0,0,C11/TrRail_act!C4*1000)</f>
        <v>28.220596914468381</v>
      </c>
      <c r="D35" s="29">
        <f>IF(D11=0,0,D11/TrRail_act!D4*1000)</f>
        <v>35.550044457541027</v>
      </c>
      <c r="E35" s="29">
        <f>IF(E11=0,0,E11/TrRail_act!E4*1000)</f>
        <v>30.20242342981323</v>
      </c>
      <c r="F35" s="29">
        <f>IF(F11=0,0,F11/TrRail_act!F4*1000)</f>
        <v>28.483463603350163</v>
      </c>
      <c r="G35" s="29">
        <f>IF(G11=0,0,G11/TrRail_act!G4*1000)</f>
        <v>31.704989797450899</v>
      </c>
      <c r="H35" s="29">
        <f>IF(H11=0,0,H11/TrRail_act!H4*1000)</f>
        <v>30.733717839439041</v>
      </c>
      <c r="I35" s="29">
        <f>IF(I11=0,0,I11/TrRail_act!I4*1000)</f>
        <v>31.504868680707787</v>
      </c>
      <c r="J35" s="29">
        <f>IF(J11=0,0,J11/TrRail_act!J4*1000)</f>
        <v>34.215174618732135</v>
      </c>
      <c r="K35" s="29">
        <f>IF(K11=0,0,K11/TrRail_act!K4*1000)</f>
        <v>34.765295573677101</v>
      </c>
      <c r="L35" s="29">
        <f>IF(L11=0,0,L11/TrRail_act!L4*1000)</f>
        <v>35.972020034986848</v>
      </c>
      <c r="M35" s="29">
        <f>IF(M11=0,0,M11/TrRail_act!M4*1000)</f>
        <v>38.067299981433038</v>
      </c>
      <c r="N35" s="29">
        <f>IF(N11=0,0,N11/TrRail_act!N4*1000)</f>
        <v>36.267911695146495</v>
      </c>
      <c r="O35" s="29">
        <f>IF(O11=0,0,O11/TrRail_act!O4*1000)</f>
        <v>35.415366776640262</v>
      </c>
      <c r="P35" s="29">
        <f>IF(P11=0,0,P11/TrRail_act!P4*1000)</f>
        <v>37.227459616389766</v>
      </c>
      <c r="Q35" s="29">
        <f>IF(Q11=0,0,Q11/TrRail_act!Q4*1000)</f>
        <v>32.58569772228546</v>
      </c>
      <c r="R35" s="29">
        <f>IF(R11=0,0,R11/TrRail_act!R4*1000)</f>
        <v>32.877848563919649</v>
      </c>
      <c r="S35" s="29">
        <f>IF(S11=0,0,S11/TrRail_act!S4*1000)</f>
        <v>31.387219701789718</v>
      </c>
      <c r="T35" s="29">
        <f>IF(T11=0,0,T11/TrRail_act!T4*1000)</f>
        <v>32.219274863275913</v>
      </c>
      <c r="U35" s="29">
        <f>IF(U11=0,0,U11/TrRail_act!U4*1000)</f>
        <v>30.119280670630609</v>
      </c>
      <c r="V35" s="29">
        <f>IF(V11=0,0,V11/TrRail_act!V4*1000)</f>
        <v>45.092898323025715</v>
      </c>
      <c r="W35" s="29">
        <f>IF(W11=0,0,W11/TrRail_act!W4*1000)</f>
        <v>43.794828007467345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8.5146547816086802</v>
      </c>
      <c r="U36" s="115">
        <f>IF(U12=0,0,U12/TrRail_act!U5*1000)</f>
        <v>8.4037484434538197</v>
      </c>
      <c r="V36" s="115">
        <f>IF(V12=0,0,V12/TrRail_act!V5*1000)</f>
        <v>8.398466633247649</v>
      </c>
      <c r="W36" s="115">
        <f>IF(W12=0,0,W12/TrRail_act!W5*1000)</f>
        <v>7.7977603736879999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25.560205994544944</v>
      </c>
      <c r="C37" s="116">
        <f>IF(C13=0,0,C13/TrRail_act!C6*1000)</f>
        <v>28.220596914468381</v>
      </c>
      <c r="D37" s="116">
        <f>IF(D13=0,0,D13/TrRail_act!D6*1000)</f>
        <v>35.550044457541027</v>
      </c>
      <c r="E37" s="116">
        <f>IF(E13=0,0,E13/TrRail_act!E6*1000)</f>
        <v>30.20242342981323</v>
      </c>
      <c r="F37" s="116">
        <f>IF(F13=0,0,F13/TrRail_act!F6*1000)</f>
        <v>28.483463603350163</v>
      </c>
      <c r="G37" s="116">
        <f>IF(G13=0,0,G13/TrRail_act!G6*1000)</f>
        <v>31.704989797450899</v>
      </c>
      <c r="H37" s="116">
        <f>IF(H13=0,0,H13/TrRail_act!H6*1000)</f>
        <v>30.733717839439041</v>
      </c>
      <c r="I37" s="116">
        <f>IF(I13=0,0,I13/TrRail_act!I6*1000)</f>
        <v>31.504868680707787</v>
      </c>
      <c r="J37" s="116">
        <f>IF(J13=0,0,J13/TrRail_act!J6*1000)</f>
        <v>34.215174618732135</v>
      </c>
      <c r="K37" s="116">
        <f>IF(K13=0,0,K13/TrRail_act!K6*1000)</f>
        <v>34.765295573677101</v>
      </c>
      <c r="L37" s="116">
        <f>IF(L13=0,0,L13/TrRail_act!L6*1000)</f>
        <v>35.972020034986848</v>
      </c>
      <c r="M37" s="116">
        <f>IF(M13=0,0,M13/TrRail_act!M6*1000)</f>
        <v>38.067299981433038</v>
      </c>
      <c r="N37" s="116">
        <f>IF(N13=0,0,N13/TrRail_act!N6*1000)</f>
        <v>36.267911695146495</v>
      </c>
      <c r="O37" s="116">
        <f>IF(O13=0,0,O13/TrRail_act!O6*1000)</f>
        <v>35.415366776640262</v>
      </c>
      <c r="P37" s="116">
        <f>IF(P13=0,0,P13/TrRail_act!P6*1000)</f>
        <v>37.227459616389766</v>
      </c>
      <c r="Q37" s="116">
        <f>IF(Q13=0,0,Q13/TrRail_act!Q6*1000)</f>
        <v>32.58569772228546</v>
      </c>
      <c r="R37" s="116">
        <f>IF(R13=0,0,R13/TrRail_act!R6*1000)</f>
        <v>32.877848563919649</v>
      </c>
      <c r="S37" s="116">
        <f>IF(S13=0,0,S13/TrRail_act!S6*1000)</f>
        <v>31.387219701789718</v>
      </c>
      <c r="T37" s="116">
        <f>IF(T13=0,0,T13/TrRail_act!T6*1000)</f>
        <v>33.262706221272552</v>
      </c>
      <c r="U37" s="116">
        <f>IF(U13=0,0,U13/TrRail_act!U6*1000)</f>
        <v>31.582616751598028</v>
      </c>
      <c r="V37" s="116">
        <f>IF(V13=0,0,V13/TrRail_act!V6*1000)</f>
        <v>49.437589070042662</v>
      </c>
      <c r="W37" s="116">
        <f>IF(W13=0,0,W13/TrRail_act!W6*1000)</f>
        <v>47.836486912091715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79.73952736400976</v>
      </c>
      <c r="C38" s="87">
        <f>IF(C14=0,0,C14/TrRail_act!C7*1000)</f>
        <v>90.097322041961746</v>
      </c>
      <c r="D38" s="87">
        <f>IF(D14=0,0,D14/TrRail_act!D7*1000)</f>
        <v>88.833360480459035</v>
      </c>
      <c r="E38" s="87">
        <f>IF(E14=0,0,E14/TrRail_act!E7*1000)</f>
        <v>89.520043579247044</v>
      </c>
      <c r="F38" s="87">
        <f>IF(F14=0,0,F14/TrRail_act!F7*1000)</f>
        <v>88.793830799556019</v>
      </c>
      <c r="G38" s="87">
        <f>IF(G14=0,0,G14/TrRail_act!G7*1000)</f>
        <v>85.348969358408382</v>
      </c>
      <c r="H38" s="87">
        <f>IF(H14=0,0,H14/TrRail_act!H7*1000)</f>
        <v>66.624635153596316</v>
      </c>
      <c r="I38" s="87">
        <f>IF(I14=0,0,I14/TrRail_act!I7*1000)</f>
        <v>55.079398139306996</v>
      </c>
      <c r="J38" s="87">
        <f>IF(J14=0,0,J14/TrRail_act!J7*1000)</f>
        <v>57.467493430678822</v>
      </c>
      <c r="K38" s="87">
        <f>IF(K14=0,0,K14/TrRail_act!K7*1000)</f>
        <v>60.194434693240481</v>
      </c>
      <c r="L38" s="87">
        <f>IF(L14=0,0,L14/TrRail_act!L7*1000)</f>
        <v>62.67100071532704</v>
      </c>
      <c r="M38" s="87">
        <f>IF(M14=0,0,M14/TrRail_act!M7*1000)</f>
        <v>65.709025931433743</v>
      </c>
      <c r="N38" s="87">
        <f>IF(N14=0,0,N14/TrRail_act!N7*1000)</f>
        <v>58.335913159714295</v>
      </c>
      <c r="O38" s="87">
        <f>IF(O14=0,0,O14/TrRail_act!O7*1000)</f>
        <v>68.205286064627231</v>
      </c>
      <c r="P38" s="87">
        <f>IF(P14=0,0,P14/TrRail_act!P7*1000)</f>
        <v>56.341821344987551</v>
      </c>
      <c r="Q38" s="87">
        <f>IF(Q14=0,0,Q14/TrRail_act!Q7*1000)</f>
        <v>55.078818187753967</v>
      </c>
      <c r="R38" s="87">
        <f>IF(R14=0,0,R14/TrRail_act!R7*1000)</f>
        <v>55.496207018667327</v>
      </c>
      <c r="S38" s="87">
        <f>IF(S14=0,0,S14/TrRail_act!S7*1000)</f>
        <v>53.03756981909391</v>
      </c>
      <c r="T38" s="87">
        <f>IF(T14=0,0,T14/TrRail_act!T7*1000)</f>
        <v>54.647476227598077</v>
      </c>
      <c r="U38" s="87">
        <f>IF(U14=0,0,U14/TrRail_act!U7*1000)</f>
        <v>51.213528980293788</v>
      </c>
      <c r="V38" s="87">
        <f>IF(V14=0,0,V14/TrRail_act!V7*1000)</f>
        <v>92.73545465948186</v>
      </c>
      <c r="W38" s="87">
        <f>IF(W14=0,0,W14/TrRail_act!W7*1000)</f>
        <v>74.932863248657327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10.372114383833297</v>
      </c>
      <c r="C39" s="87">
        <f>IF(C15=0,0,C15/TrRail_act!C8*1000)</f>
        <v>11.294586843160431</v>
      </c>
      <c r="D39" s="87">
        <f>IF(D15=0,0,D15/TrRail_act!D8*1000)</f>
        <v>15.886810934517115</v>
      </c>
      <c r="E39" s="87">
        <f>IF(E15=0,0,E15/TrRail_act!E8*1000)</f>
        <v>15.202461400231229</v>
      </c>
      <c r="F39" s="87">
        <f>IF(F15=0,0,F15/TrRail_act!F8*1000)</f>
        <v>16.368642234252306</v>
      </c>
      <c r="G39" s="87">
        <f>IF(G15=0,0,G15/TrRail_act!G8*1000)</f>
        <v>24.815348563373753</v>
      </c>
      <c r="H39" s="87">
        <f>IF(H15=0,0,H15/TrRail_act!H8*1000)</f>
        <v>26.572933259343838</v>
      </c>
      <c r="I39" s="87">
        <f>IF(I15=0,0,I15/TrRail_act!I8*1000)</f>
        <v>27.097100556082619</v>
      </c>
      <c r="J39" s="87">
        <f>IF(J15=0,0,J15/TrRail_act!J8*1000)</f>
        <v>28.420379404989674</v>
      </c>
      <c r="K39" s="87">
        <f>IF(K15=0,0,K15/TrRail_act!K8*1000)</f>
        <v>29.659029656105968</v>
      </c>
      <c r="L39" s="87">
        <f>IF(L15=0,0,L15/TrRail_act!L8*1000)</f>
        <v>30.292090245033886</v>
      </c>
      <c r="M39" s="87">
        <f>IF(M15=0,0,M15/TrRail_act!M8*1000)</f>
        <v>32.8762891191707</v>
      </c>
      <c r="N39" s="87">
        <f>IF(N15=0,0,N15/TrRail_act!N8*1000)</f>
        <v>31.777463249921144</v>
      </c>
      <c r="O39" s="87">
        <f>IF(O15=0,0,O15/TrRail_act!O8*1000)</f>
        <v>30.555920783916925</v>
      </c>
      <c r="P39" s="87">
        <f>IF(P15=0,0,P15/TrRail_act!P8*1000)</f>
        <v>33.245780469195999</v>
      </c>
      <c r="Q39" s="87">
        <f>IF(Q15=0,0,Q15/TrRail_act!Q8*1000)</f>
        <v>29.397003614143998</v>
      </c>
      <c r="R39" s="87">
        <f>IF(R15=0,0,R15/TrRail_act!R8*1000)</f>
        <v>29.589295118647247</v>
      </c>
      <c r="S39" s="87">
        <f>IF(S15=0,0,S15/TrRail_act!S8*1000)</f>
        <v>28.511717075871594</v>
      </c>
      <c r="T39" s="87">
        <f>IF(T15=0,0,T15/TrRail_act!T8*1000)</f>
        <v>29.936651306641327</v>
      </c>
      <c r="U39" s="87">
        <f>IF(U15=0,0,U15/TrRail_act!U8*1000)</f>
        <v>28.626664878850946</v>
      </c>
      <c r="V39" s="87">
        <f>IF(V15=0,0,V15/TrRail_act!V8*1000)</f>
        <v>43.311610578344897</v>
      </c>
      <c r="W39" s="87">
        <f>IF(W15=0,0,W15/TrRail_act!W8*1000)</f>
        <v>43.283051271649327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7.0749419090336607</v>
      </c>
      <c r="C41" s="29">
        <f>IF(C17=0,0,C17/TrRail_act!C10*1000)</f>
        <v>8.338864626278566</v>
      </c>
      <c r="D41" s="29">
        <f>IF(D17=0,0,D17/TrRail_act!D10*1000)</f>
        <v>8.7344953385379238</v>
      </c>
      <c r="E41" s="29">
        <f>IF(E17=0,0,E17/TrRail_act!E10*1000)</f>
        <v>8.306334793260989</v>
      </c>
      <c r="F41" s="29">
        <f>IF(F17=0,0,F17/TrRail_act!F10*1000)</f>
        <v>7.885279346354352</v>
      </c>
      <c r="G41" s="29">
        <f>IF(G17=0,0,G17/TrRail_act!G10*1000)</f>
        <v>7.5474118288068937</v>
      </c>
      <c r="H41" s="29">
        <f>IF(H17=0,0,H17/TrRail_act!H10*1000)</f>
        <v>6.5256451734884049</v>
      </c>
      <c r="I41" s="29">
        <f>IF(I17=0,0,I17/TrRail_act!I10*1000)</f>
        <v>6.2296965988034687</v>
      </c>
      <c r="J41" s="29">
        <f>IF(J17=0,0,J17/TrRail_act!J10*1000)</f>
        <v>8.2362522208138351</v>
      </c>
      <c r="K41" s="29">
        <f>IF(K17=0,0,K17/TrRail_act!K10*1000)</f>
        <v>8.6794114166891703</v>
      </c>
      <c r="L41" s="29">
        <f>IF(L17=0,0,L17/TrRail_act!L10*1000)</f>
        <v>6.0838591947820388</v>
      </c>
      <c r="M41" s="29">
        <f>IF(M17=0,0,M17/TrRail_act!M10*1000)</f>
        <v>6.1054319899329119</v>
      </c>
      <c r="N41" s="29">
        <f>IF(N17=0,0,N17/TrRail_act!N10*1000)</f>
        <v>6.3867374440528915</v>
      </c>
      <c r="O41" s="29">
        <f>IF(O17=0,0,O17/TrRail_act!O10*1000)</f>
        <v>6.4902530030463206</v>
      </c>
      <c r="P41" s="29">
        <f>IF(P17=0,0,P17/TrRail_act!P10*1000)</f>
        <v>6.1281913263392367</v>
      </c>
      <c r="Q41" s="29">
        <f>IF(Q17=0,0,Q17/TrRail_act!Q10*1000)</f>
        <v>6.069528761093764</v>
      </c>
      <c r="R41" s="29">
        <f>IF(R17=0,0,R17/TrRail_act!R10*1000)</f>
        <v>5.8678957067941626</v>
      </c>
      <c r="S41" s="29">
        <f>IF(S17=0,0,S17/TrRail_act!S10*1000)</f>
        <v>5.820863991968813</v>
      </c>
      <c r="T41" s="29">
        <f>IF(T17=0,0,T17/TrRail_act!T10*1000)</f>
        <v>5.5236565091042458</v>
      </c>
      <c r="U41" s="29">
        <f>IF(U17=0,0,U17/TrRail_act!U10*1000)</f>
        <v>6.1769520326289742</v>
      </c>
      <c r="V41" s="29">
        <f>IF(V17=0,0,V17/TrRail_act!V10*1000)</f>
        <v>6.6609218368843912</v>
      </c>
      <c r="W41" s="29">
        <f>IF(W17=0,0,W17/TrRail_act!W10*1000)</f>
        <v>6.0573904430439409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12.56959455550648</v>
      </c>
      <c r="C42" s="87">
        <f>IF(C18=0,0,C18/TrRail_act!C11*1000)</f>
        <v>13.516742247752873</v>
      </c>
      <c r="D42" s="87">
        <f>IF(D18=0,0,D18/TrRail_act!D11*1000)</f>
        <v>13.416720238332855</v>
      </c>
      <c r="E42" s="87">
        <f>IF(E18=0,0,E18/TrRail_act!E11*1000)</f>
        <v>13.265450562083206</v>
      </c>
      <c r="F42" s="87">
        <f>IF(F18=0,0,F18/TrRail_act!F11*1000)</f>
        <v>13.106972059388653</v>
      </c>
      <c r="G42" s="87">
        <f>IF(G18=0,0,G18/TrRail_act!G11*1000)</f>
        <v>14.596108750670831</v>
      </c>
      <c r="H42" s="87">
        <f>IF(H18=0,0,H18/TrRail_act!H11*1000)</f>
        <v>11.17663461136077</v>
      </c>
      <c r="I42" s="87">
        <f>IF(I18=0,0,I18/TrRail_act!I11*1000)</f>
        <v>10.738253530426178</v>
      </c>
      <c r="J42" s="87">
        <f>IF(J18=0,0,J18/TrRail_act!J11*1000)</f>
        <v>11.00809635356249</v>
      </c>
      <c r="K42" s="87">
        <f>IF(K18=0,0,K18/TrRail_act!K11*1000)</f>
        <v>13.054534014418012</v>
      </c>
      <c r="L42" s="87">
        <f>IF(L18=0,0,L18/TrRail_act!L11*1000)</f>
        <v>8.7539520994382656</v>
      </c>
      <c r="M42" s="87">
        <f>IF(M18=0,0,M18/TrRail_act!M11*1000)</f>
        <v>8.9184481157780464</v>
      </c>
      <c r="N42" s="87">
        <f>IF(N18=0,0,N18/TrRail_act!N11*1000)</f>
        <v>10.039043646454109</v>
      </c>
      <c r="O42" s="87">
        <f>IF(O18=0,0,O18/TrRail_act!O11*1000)</f>
        <v>10.297461413644678</v>
      </c>
      <c r="P42" s="87">
        <f>IF(P18=0,0,P18/TrRail_act!P11*1000)</f>
        <v>9.9870428182472875</v>
      </c>
      <c r="Q42" s="87">
        <f>IF(Q18=0,0,Q18/TrRail_act!Q11*1000)</f>
        <v>10.232671024675996</v>
      </c>
      <c r="R42" s="87">
        <f>IF(R18=0,0,R18/TrRail_act!R11*1000)</f>
        <v>9.816450896242273</v>
      </c>
      <c r="S42" s="87">
        <f>IF(S18=0,0,S18/TrRail_act!S11*1000)</f>
        <v>9.8378883966820627</v>
      </c>
      <c r="T42" s="87">
        <f>IF(T18=0,0,T18/TrRail_act!T11*1000)</f>
        <v>9.5323430473029998</v>
      </c>
      <c r="U42" s="87">
        <f>IF(U18=0,0,U18/TrRail_act!U11*1000)</f>
        <v>10.541997745445061</v>
      </c>
      <c r="V42" s="87">
        <f>IF(V18=0,0,V18/TrRail_act!V11*1000)</f>
        <v>13.368445932524592</v>
      </c>
      <c r="W42" s="87">
        <f>IF(W18=0,0,W18/TrRail_act!W11*1000)</f>
        <v>9.8232155966693107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5.1923331896164555</v>
      </c>
      <c r="C43" s="88">
        <f>IF(C19=0,0,C19/TrRail_act!C12*1000)</f>
        <v>6.6077364220889727</v>
      </c>
      <c r="D43" s="88">
        <f>IF(D19=0,0,D19/TrRail_act!D12*1000)</f>
        <v>7.2374720980104374</v>
      </c>
      <c r="E43" s="88">
        <f>IF(E19=0,0,E19/TrRail_act!E12*1000)</f>
        <v>6.9442712878303174</v>
      </c>
      <c r="F43" s="88">
        <f>IF(F19=0,0,F19/TrRail_act!F12*1000)</f>
        <v>6.6758994443303585</v>
      </c>
      <c r="G43" s="88">
        <f>IF(G19=0,0,G19/TrRail_act!G12*1000)</f>
        <v>6.5531503166266791</v>
      </c>
      <c r="H43" s="88">
        <f>IF(H19=0,0,H19/TrRail_act!H12*1000)</f>
        <v>6.0700214156755514</v>
      </c>
      <c r="I43" s="88">
        <f>IF(I19=0,0,I19/TrRail_act!I12*1000)</f>
        <v>5.6846306106944136</v>
      </c>
      <c r="J43" s="88">
        <f>IF(J19=0,0,J19/TrRail_act!J12*1000)</f>
        <v>7.8139752147141399</v>
      </c>
      <c r="K43" s="88">
        <f>IF(K19=0,0,K19/TrRail_act!K12*1000)</f>
        <v>8.096017927959668</v>
      </c>
      <c r="L43" s="88">
        <f>IF(L19=0,0,L19/TrRail_act!L12*1000)</f>
        <v>5.7083615181499718</v>
      </c>
      <c r="M43" s="88">
        <f>IF(M19=0,0,M19/TrRail_act!M12*1000)</f>
        <v>5.752888765346988</v>
      </c>
      <c r="N43" s="88">
        <f>IF(N19=0,0,N19/TrRail_act!N12*1000)</f>
        <v>5.9239611064069502</v>
      </c>
      <c r="O43" s="88">
        <f>IF(O19=0,0,O19/TrRail_act!O12*1000)</f>
        <v>6.052155271451487</v>
      </c>
      <c r="P43" s="88">
        <f>IF(P19=0,0,P19/TrRail_act!P12*1000)</f>
        <v>5.6575469060256873</v>
      </c>
      <c r="Q43" s="88">
        <f>IF(Q19=0,0,Q19/TrRail_act!Q12*1000)</f>
        <v>5.6686187600535325</v>
      </c>
      <c r="R43" s="88">
        <f>IF(R19=0,0,R19/TrRail_act!R12*1000)</f>
        <v>5.478463728276771</v>
      </c>
      <c r="S43" s="88">
        <f>IF(S19=0,0,S19/TrRail_act!S12*1000)</f>
        <v>5.4571749152480047</v>
      </c>
      <c r="T43" s="88">
        <f>IF(T19=0,0,T19/TrRail_act!T12*1000)</f>
        <v>5.1182043263766523</v>
      </c>
      <c r="U43" s="88">
        <f>IF(U19=0,0,U19/TrRail_act!U12*1000)</f>
        <v>5.7577155340263602</v>
      </c>
      <c r="V43" s="88">
        <f>IF(V19=0,0,V19/TrRail_act!V12*1000)</f>
        <v>5.9430825909765703</v>
      </c>
      <c r="W43" s="88">
        <f>IF(W19=0,0,W19/TrRail_act!W12*1000)</f>
        <v>5.6716568151405857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476964.41378472553</v>
      </c>
      <c r="C45" s="54">
        <f>IF(C10=0,0,1000000*C10/TrRail_act!C25)</f>
        <v>466101.36741730297</v>
      </c>
      <c r="D45" s="54">
        <f>IF(D10=0,0,1000000*D10/TrRail_act!D25)</f>
        <v>452397.06406620587</v>
      </c>
      <c r="E45" s="54">
        <f>IF(E10=0,0,1000000*E10/TrRail_act!E25)</f>
        <v>400892.61858207977</v>
      </c>
      <c r="F45" s="54">
        <f>IF(F10=0,0,1000000*F10/TrRail_act!F25)</f>
        <v>374372.8194846746</v>
      </c>
      <c r="G45" s="54">
        <f>IF(G10=0,0,1000000*G10/TrRail_act!G25)</f>
        <v>295384.96581885021</v>
      </c>
      <c r="H45" s="54">
        <f>IF(H10=0,0,1000000*H10/TrRail_act!H25)</f>
        <v>288166.37048285903</v>
      </c>
      <c r="I45" s="54">
        <f>IF(I10=0,0,1000000*I10/TrRail_act!I25)</f>
        <v>323044.69272692257</v>
      </c>
      <c r="J45" s="54">
        <f>IF(J10=0,0,1000000*J10/TrRail_act!J25)</f>
        <v>304556.47707070934</v>
      </c>
      <c r="K45" s="54">
        <f>IF(K10=0,0,1000000*K10/TrRail_act!K25)</f>
        <v>286237.6150845947</v>
      </c>
      <c r="L45" s="54">
        <f>IF(L10=0,0,1000000*L10/TrRail_act!L25)</f>
        <v>294515.47643906221</v>
      </c>
      <c r="M45" s="54">
        <f>IF(M10=0,0,1000000*M10/TrRail_act!M25)</f>
        <v>286618.745511694</v>
      </c>
      <c r="N45" s="54">
        <f>IF(N10=0,0,1000000*N10/TrRail_act!N25)</f>
        <v>277523.76361215854</v>
      </c>
      <c r="O45" s="54">
        <f>IF(O10=0,0,1000000*O10/TrRail_act!O25)</f>
        <v>272162.05991988751</v>
      </c>
      <c r="P45" s="54">
        <f>IF(P10=0,0,1000000*P10/TrRail_act!P25)</f>
        <v>261507.38774879288</v>
      </c>
      <c r="Q45" s="54">
        <f>IF(Q10=0,0,1000000*Q10/TrRail_act!Q25)</f>
        <v>249336.04948446964</v>
      </c>
      <c r="R45" s="54">
        <f>IF(R10=0,0,1000000*R10/TrRail_act!R25)</f>
        <v>248608.84892334585</v>
      </c>
      <c r="S45" s="54">
        <f>IF(S10=0,0,1000000*S10/TrRail_act!S25)</f>
        <v>244980.2530034892</v>
      </c>
      <c r="T45" s="54">
        <f>IF(T10=0,0,1000000*T10/TrRail_act!T25)</f>
        <v>232888.03435568849</v>
      </c>
      <c r="U45" s="54">
        <f>IF(U10=0,0,1000000*U10/TrRail_act!U25)</f>
        <v>224241.06281832937</v>
      </c>
      <c r="V45" s="54">
        <f>IF(V10=0,0,1000000*V10/TrRail_act!V25)</f>
        <v>207211.57713329294</v>
      </c>
      <c r="W45" s="54">
        <f>IF(W10=0,0,1000000*W10/TrRail_act!W25)</f>
        <v>222637.81720119339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407339.27837914089</v>
      </c>
      <c r="C46" s="28">
        <f>IF(C11=0,0,1000000*C11/TrRail_act!C26)</f>
        <v>402914.89241517289</v>
      </c>
      <c r="D46" s="28">
        <f>IF(D11=0,0,1000000*D11/TrRail_act!D26)</f>
        <v>393604.79616974265</v>
      </c>
      <c r="E46" s="28">
        <f>IF(E11=0,0,1000000*E11/TrRail_act!E26)</f>
        <v>338025.58468646486</v>
      </c>
      <c r="F46" s="28">
        <f>IF(F11=0,0,1000000*F11/TrRail_act!F26)</f>
        <v>307605.63562265196</v>
      </c>
      <c r="G46" s="28">
        <f>IF(G11=0,0,1000000*G11/TrRail_act!G26)</f>
        <v>266942.93874949921</v>
      </c>
      <c r="H46" s="28">
        <f>IF(H11=0,0,1000000*H11/TrRail_act!H26)</f>
        <v>258427.50892215368</v>
      </c>
      <c r="I46" s="28">
        <f>IF(I11=0,0,1000000*I11/TrRail_act!I26)</f>
        <v>285714.85773514735</v>
      </c>
      <c r="J46" s="28">
        <f>IF(J11=0,0,1000000*J11/TrRail_act!J26)</f>
        <v>295886.09573525656</v>
      </c>
      <c r="K46" s="28">
        <f>IF(K11=0,0,1000000*K11/TrRail_act!K26)</f>
        <v>284210.50524764165</v>
      </c>
      <c r="L46" s="28">
        <f>IF(L11=0,0,1000000*L11/TrRail_act!L26)</f>
        <v>285360.15482840413</v>
      </c>
      <c r="M46" s="28">
        <f>IF(M11=0,0,1000000*M11/TrRail_act!M26)</f>
        <v>278667.00026164856</v>
      </c>
      <c r="N46" s="28">
        <f>IF(N11=0,0,1000000*N11/TrRail_act!N26)</f>
        <v>272139.60539776698</v>
      </c>
      <c r="O46" s="28">
        <f>IF(O11=0,0,1000000*O11/TrRail_act!O26)</f>
        <v>265372.42663525476</v>
      </c>
      <c r="P46" s="28">
        <f>IF(P11=0,0,1000000*P11/TrRail_act!P26)</f>
        <v>254531.67283715433</v>
      </c>
      <c r="Q46" s="28">
        <f>IF(Q11=0,0,1000000*Q11/TrRail_act!Q26)</f>
        <v>240230.77073384967</v>
      </c>
      <c r="R46" s="28">
        <f>IF(R11=0,0,1000000*R11/TrRail_act!R26)</f>
        <v>239756.23200543722</v>
      </c>
      <c r="S46" s="28">
        <f>IF(S11=0,0,1000000*S11/TrRail_act!S26)</f>
        <v>235861.7842445242</v>
      </c>
      <c r="T46" s="28">
        <f>IF(T11=0,0,1000000*T11/TrRail_act!T26)</f>
        <v>224374.72623822966</v>
      </c>
      <c r="U46" s="28">
        <f>IF(U11=0,0,1000000*U11/TrRail_act!U26)</f>
        <v>216131.84496786108</v>
      </c>
      <c r="V46" s="28">
        <f>IF(V11=0,0,1000000*V11/TrRail_act!V26)</f>
        <v>198878.73802712507</v>
      </c>
      <c r="W46" s="28">
        <f>IF(W11=0,0,1000000*W11/TrRail_act!W26)</f>
        <v>215294.50611555201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41064.084566215359</v>
      </c>
      <c r="U47" s="108">
        <f>IF(U12=0,0,1000000*U12/TrRail_act!U27)</f>
        <v>40924.580277925015</v>
      </c>
      <c r="V47" s="108">
        <f>IF(V12=0,0,1000000*V12/TrRail_act!V27)</f>
        <v>40820.25367992562</v>
      </c>
      <c r="W47" s="108">
        <f>IF(W12=0,0,1000000*W12/TrRail_act!W27)</f>
        <v>40742.188356846353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407339.27837914089</v>
      </c>
      <c r="C48" s="110">
        <f>IF(C13=0,0,1000000*C13/TrRail_act!C28)</f>
        <v>402914.89241517289</v>
      </c>
      <c r="D48" s="110">
        <f>IF(D13=0,0,1000000*D13/TrRail_act!D28)</f>
        <v>393604.79616974265</v>
      </c>
      <c r="E48" s="110">
        <f>IF(E13=0,0,1000000*E13/TrRail_act!E28)</f>
        <v>338025.58468646486</v>
      </c>
      <c r="F48" s="110">
        <f>IF(F13=0,0,1000000*F13/TrRail_act!F28)</f>
        <v>307605.63562265196</v>
      </c>
      <c r="G48" s="110">
        <f>IF(G13=0,0,1000000*G13/TrRail_act!G28)</f>
        <v>266942.93874949921</v>
      </c>
      <c r="H48" s="110">
        <f>IF(H13=0,0,1000000*H13/TrRail_act!H28)</f>
        <v>258427.50892215368</v>
      </c>
      <c r="I48" s="110">
        <f>IF(I13=0,0,1000000*I13/TrRail_act!I28)</f>
        <v>285714.85773514735</v>
      </c>
      <c r="J48" s="110">
        <f>IF(J13=0,0,1000000*J13/TrRail_act!J28)</f>
        <v>295886.09573525656</v>
      </c>
      <c r="K48" s="110">
        <f>IF(K13=0,0,1000000*K13/TrRail_act!K28)</f>
        <v>284210.50524764165</v>
      </c>
      <c r="L48" s="110">
        <f>IF(L13=0,0,1000000*L13/TrRail_act!L28)</f>
        <v>285360.15482840413</v>
      </c>
      <c r="M48" s="110">
        <f>IF(M13=0,0,1000000*M13/TrRail_act!M28)</f>
        <v>278667.00026164856</v>
      </c>
      <c r="N48" s="110">
        <f>IF(N13=0,0,1000000*N13/TrRail_act!N28)</f>
        <v>272139.60539776698</v>
      </c>
      <c r="O48" s="110">
        <f>IF(O13=0,0,1000000*O13/TrRail_act!O28)</f>
        <v>265372.42663525476</v>
      </c>
      <c r="P48" s="110">
        <f>IF(P13=0,0,1000000*P13/TrRail_act!P28)</f>
        <v>254531.67283715433</v>
      </c>
      <c r="Q48" s="110">
        <f>IF(Q13=0,0,1000000*Q13/TrRail_act!Q28)</f>
        <v>240230.77073384967</v>
      </c>
      <c r="R48" s="110">
        <f>IF(R13=0,0,1000000*R13/TrRail_act!R28)</f>
        <v>239756.23200543722</v>
      </c>
      <c r="S48" s="110">
        <f>IF(S13=0,0,1000000*S13/TrRail_act!S28)</f>
        <v>235861.7842445242</v>
      </c>
      <c r="T48" s="110">
        <f>IF(T13=0,0,1000000*T13/TrRail_act!T28)</f>
        <v>236258.46970887933</v>
      </c>
      <c r="U48" s="110">
        <f>IF(U13=0,0,1000000*U13/TrRail_act!U28)</f>
        <v>234102.88348938571</v>
      </c>
      <c r="V48" s="110">
        <f>IF(V13=0,0,1000000*V13/TrRail_act!V28)</f>
        <v>215676.28771451337</v>
      </c>
      <c r="W48" s="110">
        <f>IF(W13=0,0,1000000*W13/TrRail_act!W28)</f>
        <v>233612.61793290044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535381.73215909908</v>
      </c>
      <c r="C49" s="84">
        <f>IF(C14=0,0,1000000*C14/TrRail_act!C29)</f>
        <v>530038.10890699073</v>
      </c>
      <c r="D49" s="84">
        <f>IF(D14=0,0,1000000*D14/TrRail_act!D29)</f>
        <v>522308.23628970661</v>
      </c>
      <c r="E49" s="84">
        <f>IF(E14=0,0,1000000*E14/TrRail_act!E29)</f>
        <v>422519.76055997954</v>
      </c>
      <c r="F49" s="84">
        <f>IF(F14=0,0,1000000*F14/TrRail_act!F29)</f>
        <v>371272.70626028167</v>
      </c>
      <c r="G49" s="84">
        <f>IF(G14=0,0,1000000*G14/TrRail_act!G29)</f>
        <v>286949.38855162601</v>
      </c>
      <c r="H49" s="84">
        <f>IF(H14=0,0,1000000*H14/TrRail_act!H29)</f>
        <v>259245.31527276317</v>
      </c>
      <c r="I49" s="84">
        <f>IF(I14=0,0,1000000*I14/TrRail_act!I29)</f>
        <v>398882.29323823465</v>
      </c>
      <c r="J49" s="84">
        <f>IF(J14=0,0,1000000*J14/TrRail_act!J29)</f>
        <v>428040.61233140831</v>
      </c>
      <c r="K49" s="84">
        <f>IF(K14=0,0,1000000*K14/TrRail_act!K29)</f>
        <v>410894.31953980931</v>
      </c>
      <c r="L49" s="84">
        <f>IF(L14=0,0,1000000*L14/TrRail_act!L29)</f>
        <v>409658.24585151114</v>
      </c>
      <c r="M49" s="84">
        <f>IF(M14=0,0,1000000*M14/TrRail_act!M29)</f>
        <v>395735.03404201975</v>
      </c>
      <c r="N49" s="84">
        <f>IF(N14=0,0,1000000*N14/TrRail_act!N29)</f>
        <v>387921.94927194808</v>
      </c>
      <c r="O49" s="84">
        <f>IF(O14=0,0,1000000*O14/TrRail_act!O29)</f>
        <v>376427.98677611037</v>
      </c>
      <c r="P49" s="84">
        <f>IF(P14=0,0,1000000*P14/TrRail_act!P29)</f>
        <v>354197.1228744713</v>
      </c>
      <c r="Q49" s="84">
        <f>IF(Q14=0,0,1000000*Q14/TrRail_act!Q29)</f>
        <v>319245.04687183595</v>
      </c>
      <c r="R49" s="84">
        <f>IF(R14=0,0,1000000*R14/TrRail_act!R29)</f>
        <v>348744.63072409388</v>
      </c>
      <c r="S49" s="84">
        <f>IF(S14=0,0,1000000*S14/TrRail_act!S29)</f>
        <v>345518.47862674034</v>
      </c>
      <c r="T49" s="84">
        <f>IF(T14=0,0,1000000*T14/TrRail_act!T29)</f>
        <v>343118.48207932501</v>
      </c>
      <c r="U49" s="84">
        <f>IF(U14=0,0,1000000*U14/TrRail_act!U29)</f>
        <v>341329.41816120467</v>
      </c>
      <c r="V49" s="84">
        <f>IF(V14=0,0,1000000*V14/TrRail_act!V29)</f>
        <v>339993.74615233904</v>
      </c>
      <c r="W49" s="84">
        <f>IF(W14=0,0,1000000*W14/TrRail_act!W29)</f>
        <v>338995.41475393932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268795.2026073336</v>
      </c>
      <c r="C50" s="84">
        <f>IF(C15=0,0,1000000*C15/TrRail_act!C30)</f>
        <v>264493.83990715712</v>
      </c>
      <c r="D50" s="84">
        <f>IF(D15=0,0,1000000*D15/TrRail_act!D30)</f>
        <v>260929.61062606395</v>
      </c>
      <c r="E50" s="84">
        <f>IF(E15=0,0,1000000*E15/TrRail_act!E30)</f>
        <v>260464.88098324378</v>
      </c>
      <c r="F50" s="84">
        <f>IF(F15=0,0,1000000*F15/TrRail_act!F30)</f>
        <v>259175.94319233097</v>
      </c>
      <c r="G50" s="84">
        <f>IF(G15=0,0,1000000*G15/TrRail_act!G30)</f>
        <v>258967.34098450685</v>
      </c>
      <c r="H50" s="84">
        <f>IF(H15=0,0,1000000*H15/TrRail_act!H30)</f>
        <v>258190.77183629325</v>
      </c>
      <c r="I50" s="84">
        <f>IF(I15=0,0,1000000*I15/TrRail_act!I30)</f>
        <v>257906.16867447211</v>
      </c>
      <c r="J50" s="84">
        <f>IF(J15=0,0,1000000*J15/TrRail_act!J30)</f>
        <v>256049.26545465708</v>
      </c>
      <c r="K50" s="84">
        <f>IF(K15=0,0,1000000*K15/TrRail_act!K30)</f>
        <v>252485.70085629672</v>
      </c>
      <c r="L50" s="84">
        <f>IF(L15=0,0,1000000*L15/TrRail_act!L30)</f>
        <v>251741.30093647461</v>
      </c>
      <c r="M50" s="84">
        <f>IF(M15=0,0,1000000*M15/TrRail_act!M30)</f>
        <v>250817.3111609912</v>
      </c>
      <c r="N50" s="84">
        <f>IF(N15=0,0,1000000*N15/TrRail_act!N30)</f>
        <v>244841.83959912442</v>
      </c>
      <c r="O50" s="84">
        <f>IF(O15=0,0,1000000*O15/TrRail_act!O30)</f>
        <v>241776.27612865111</v>
      </c>
      <c r="P50" s="84">
        <f>IF(P15=0,0,1000000*P15/TrRail_act!P30)</f>
        <v>231532.49244888913</v>
      </c>
      <c r="Q50" s="84">
        <f>IF(Q15=0,0,1000000*Q15/TrRail_act!Q30)</f>
        <v>225412.28978545277</v>
      </c>
      <c r="R50" s="84">
        <f>IF(R15=0,0,1000000*R15/TrRail_act!R30)</f>
        <v>220928.5406689716</v>
      </c>
      <c r="S50" s="84">
        <f>IF(S15=0,0,1000000*S15/TrRail_act!S30)</f>
        <v>218712.47929415634</v>
      </c>
      <c r="T50" s="84">
        <f>IF(T15=0,0,1000000*T15/TrRail_act!T30)</f>
        <v>217065.03485241503</v>
      </c>
      <c r="U50" s="84">
        <f>IF(U15=0,0,1000000*U15/TrRail_act!U30)</f>
        <v>215837.59756080018</v>
      </c>
      <c r="V50" s="84">
        <f>IF(V15=0,0,1000000*V15/TrRail_act!V30)</f>
        <v>194168.73718720698</v>
      </c>
      <c r="W50" s="84">
        <f>IF(W15=0,0,1000000*W15/TrRail_act!W30)</f>
        <v>214237.11217862979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705979.68574840133</v>
      </c>
      <c r="C52" s="28">
        <f>IF(C17=0,0,1000000*C17/TrRail_act!C32)</f>
        <v>679348.30924158148</v>
      </c>
      <c r="D52" s="28">
        <f>IF(D17=0,0,1000000*D17/TrRail_act!D32)</f>
        <v>642822.73542124243</v>
      </c>
      <c r="E52" s="28">
        <f>IF(E17=0,0,1000000*E17/TrRail_act!E32)</f>
        <v>605102.4575359592</v>
      </c>
      <c r="F52" s="28">
        <f>IF(F17=0,0,1000000*F17/TrRail_act!F32)</f>
        <v>580294.1912422888</v>
      </c>
      <c r="G52" s="28">
        <f>IF(G17=0,0,1000000*G17/TrRail_act!G32)</f>
        <v>424927.20890307776</v>
      </c>
      <c r="H52" s="28">
        <f>IF(H17=0,0,1000000*H17/TrRail_act!H32)</f>
        <v>454686.6430526356</v>
      </c>
      <c r="I52" s="28">
        <f>IF(I17=0,0,1000000*I17/TrRail_act!I32)</f>
        <v>507736.47791097627</v>
      </c>
      <c r="J52" s="28">
        <f>IF(J17=0,0,1000000*J17/TrRail_act!J32)</f>
        <v>358524.49807540374</v>
      </c>
      <c r="K52" s="28">
        <f>IF(K17=0,0,1000000*K17/TrRail_act!K32)</f>
        <v>300533.11599838547</v>
      </c>
      <c r="L52" s="28">
        <f>IF(L17=0,0,1000000*L17/TrRail_act!L32)</f>
        <v>369898.91755487415</v>
      </c>
      <c r="M52" s="28">
        <f>IF(M17=0,0,1000000*M17/TrRail_act!M32)</f>
        <v>365397.96082463051</v>
      </c>
      <c r="N52" s="28">
        <f>IF(N17=0,0,1000000*N17/TrRail_act!N32)</f>
        <v>339027.47026343388</v>
      </c>
      <c r="O52" s="28">
        <f>IF(O17=0,0,1000000*O17/TrRail_act!O32)</f>
        <v>364011.20550158166</v>
      </c>
      <c r="P52" s="28">
        <f>IF(P17=0,0,1000000*P17/TrRail_act!P32)</f>
        <v>369857.77926943288</v>
      </c>
      <c r="Q52" s="28">
        <f>IF(Q17=0,0,1000000*Q17/TrRail_act!Q32)</f>
        <v>423253.49733541691</v>
      </c>
      <c r="R52" s="28">
        <f>IF(R17=0,0,1000000*R17/TrRail_act!R32)</f>
        <v>435546.88868761616</v>
      </c>
      <c r="S52" s="28">
        <f>IF(S17=0,0,1000000*S17/TrRail_act!S32)</f>
        <v>428790.25828157191</v>
      </c>
      <c r="T52" s="28">
        <f>IF(T17=0,0,1000000*T17/TrRail_act!T32)</f>
        <v>430483.43560818688</v>
      </c>
      <c r="U52" s="28">
        <f>IF(U17=0,0,1000000*U17/TrRail_act!U32)</f>
        <v>425803.12406533165</v>
      </c>
      <c r="V52" s="28">
        <f>IF(V17=0,0,1000000*V17/TrRail_act!V32)</f>
        <v>436053.85609097424</v>
      </c>
      <c r="W52" s="28">
        <f>IF(W17=0,0,1000000*W17/TrRail_act!W32)</f>
        <v>423083.20656285848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1025564.8797503446</v>
      </c>
      <c r="C53" s="84">
        <f>IF(C18=0,0,1000000*C18/TrRail_act!C33)</f>
        <v>1018447.5965468534</v>
      </c>
      <c r="D53" s="84">
        <f>IF(D18=0,0,1000000*D18/TrRail_act!D33)</f>
        <v>1011691.7461071184</v>
      </c>
      <c r="E53" s="84">
        <f>IF(E18=0,0,1000000*E18/TrRail_act!E33)</f>
        <v>956195.36264228099</v>
      </c>
      <c r="F53" s="84">
        <f>IF(F18=0,0,1000000*F18/TrRail_act!F33)</f>
        <v>993316.43697872851</v>
      </c>
      <c r="G53" s="84">
        <f>IF(G18=0,0,1000000*G18/TrRail_act!G33)</f>
        <v>594662.97461079084</v>
      </c>
      <c r="H53" s="84">
        <f>IF(H18=0,0,1000000*H18/TrRail_act!H33)</f>
        <v>443422.98839332111</v>
      </c>
      <c r="I53" s="84">
        <f>IF(I18=0,0,1000000*I18/TrRail_act!I33)</f>
        <v>837189.377281397</v>
      </c>
      <c r="J53" s="84">
        <f>IF(J18=0,0,1000000*J18/TrRail_act!J33)</f>
        <v>680787.75280091492</v>
      </c>
      <c r="K53" s="84">
        <f>IF(K18=0,0,1000000*K18/TrRail_act!K33)</f>
        <v>770373.99473878811</v>
      </c>
      <c r="L53" s="84">
        <f>IF(L18=0,0,1000000*L18/TrRail_act!L33)</f>
        <v>939855.31055010087</v>
      </c>
      <c r="M53" s="84">
        <f>IF(M18=0,0,1000000*M18/TrRail_act!M33)</f>
        <v>933889.03282493039</v>
      </c>
      <c r="N53" s="84">
        <f>IF(N18=0,0,1000000*N18/TrRail_act!N33)</f>
        <v>926544.63620576612</v>
      </c>
      <c r="O53" s="84">
        <f>IF(O18=0,0,1000000*O18/TrRail_act!O33)</f>
        <v>917885.60491874348</v>
      </c>
      <c r="P53" s="84">
        <f>IF(P18=0,0,1000000*P18/TrRail_act!P33)</f>
        <v>912275.96049846604</v>
      </c>
      <c r="Q53" s="84">
        <f>IF(Q18=0,0,1000000*Q18/TrRail_act!Q33)</f>
        <v>906416.99669656542</v>
      </c>
      <c r="R53" s="84">
        <f>IF(R18=0,0,1000000*R18/TrRail_act!R33)</f>
        <v>902048.36169702059</v>
      </c>
      <c r="S53" s="84">
        <f>IF(S18=0,0,1000000*S18/TrRail_act!S33)</f>
        <v>898784.91987629782</v>
      </c>
      <c r="T53" s="84">
        <f>IF(T18=0,0,1000000*T18/TrRail_act!T33)</f>
        <v>896347.70883588097</v>
      </c>
      <c r="U53" s="84">
        <f>IF(U18=0,0,1000000*U18/TrRail_act!U33)</f>
        <v>894520.66308551875</v>
      </c>
      <c r="V53" s="84">
        <f>IF(V18=0,0,1000000*V18/TrRail_act!V33)</f>
        <v>893156.24623081449</v>
      </c>
      <c r="W53" s="84">
        <f>IF(W18=0,0,1000000*W18/TrRail_act!W33)</f>
        <v>892134.29019932146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560984.6780517915</v>
      </c>
      <c r="C54" s="86">
        <f>IF(C19=0,0,1000000*C19/TrRail_act!C34)</f>
        <v>553345.23633616616</v>
      </c>
      <c r="D54" s="86">
        <f>IF(D19=0,0,1000000*D19/TrRail_act!D34)</f>
        <v>528592.58151209354</v>
      </c>
      <c r="E54" s="86">
        <f>IF(E19=0,0,1000000*E19/TrRail_act!E34)</f>
        <v>507360.59874459938</v>
      </c>
      <c r="F54" s="86">
        <f>IF(F19=0,0,1000000*F19/TrRail_act!F34)</f>
        <v>488022.28386913898</v>
      </c>
      <c r="G54" s="86">
        <f>IF(G19=0,0,1000000*G19/TrRail_act!G34)</f>
        <v>389957.0214009629</v>
      </c>
      <c r="H54" s="86">
        <f>IF(H19=0,0,1000000*H19/TrRail_act!H34)</f>
        <v>456779.54851388646</v>
      </c>
      <c r="I54" s="86">
        <f>IF(I19=0,0,1000000*I19/TrRail_act!I34)</f>
        <v>465869.03834421677</v>
      </c>
      <c r="J54" s="86">
        <f>IF(J19=0,0,1000000*J19/TrRail_act!J34)</f>
        <v>325459.75383175589</v>
      </c>
      <c r="K54" s="86">
        <f>IF(K19=0,0,1000000*K19/TrRail_act!K34)</f>
        <v>265692.22198991961</v>
      </c>
      <c r="L54" s="86">
        <f>IF(L19=0,0,1000000*L19/TrRail_act!L34)</f>
        <v>327117.25477606722</v>
      </c>
      <c r="M54" s="86">
        <f>IF(M19=0,0,1000000*M19/TrRail_act!M34)</f>
        <v>326753.11541348888</v>
      </c>
      <c r="N54" s="86">
        <f>IF(N19=0,0,1000000*N19/TrRail_act!N34)</f>
        <v>298398.57062854536</v>
      </c>
      <c r="O54" s="86">
        <f>IF(O19=0,0,1000000*O19/TrRail_act!O34)</f>
        <v>325549.84115850623</v>
      </c>
      <c r="P54" s="86">
        <f>IF(P19=0,0,1000000*P19/TrRail_act!P34)</f>
        <v>327884.53503808583</v>
      </c>
      <c r="Q54" s="86">
        <f>IF(Q19=0,0,1000000*Q19/TrRail_act!Q34)</f>
        <v>387359.8129007013</v>
      </c>
      <c r="R54" s="86">
        <f>IF(R19=0,0,1000000*R19/TrRail_act!R34)</f>
        <v>399074.34037982568</v>
      </c>
      <c r="S54" s="86">
        <f>IF(S19=0,0,1000000*S19/TrRail_act!S34)</f>
        <v>395071.42268732964</v>
      </c>
      <c r="T54" s="86">
        <f>IF(T19=0,0,1000000*T19/TrRail_act!T34)</f>
        <v>392095.53361834557</v>
      </c>
      <c r="U54" s="86">
        <f>IF(U19=0,0,1000000*U19/TrRail_act!U34)</f>
        <v>389878.4329129745</v>
      </c>
      <c r="V54" s="86">
        <f>IF(V19=0,0,1000000*V19/TrRail_act!V34)</f>
        <v>388223.65941991226</v>
      </c>
      <c r="W54" s="86">
        <f>IF(W19=0,0,1000000*W19/TrRail_act!W34)</f>
        <v>386987.3188668777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0.65491688440081985</v>
      </c>
      <c r="C57" s="31">
        <f t="shared" ref="C57:V57" si="17">IF(C11=0,0,C11/C$10)</f>
        <v>0.66684548144599298</v>
      </c>
      <c r="D57" s="31">
        <f t="shared" si="17"/>
        <v>0.66479355248594374</v>
      </c>
      <c r="E57" s="31">
        <f t="shared" si="17"/>
        <v>0.64470626877331405</v>
      </c>
      <c r="F57" s="31">
        <f t="shared" si="17"/>
        <v>0.62047528722884271</v>
      </c>
      <c r="G57" s="31">
        <f t="shared" si="17"/>
        <v>0.74101604986446168</v>
      </c>
      <c r="H57" s="31">
        <f t="shared" si="17"/>
        <v>0.76090892719780456</v>
      </c>
      <c r="I57" s="31">
        <f t="shared" si="17"/>
        <v>0.73573687990783243</v>
      </c>
      <c r="J57" s="31">
        <f t="shared" si="17"/>
        <v>0.83705219185326263</v>
      </c>
      <c r="K57" s="31">
        <f t="shared" si="17"/>
        <v>0.86960729746608145</v>
      </c>
      <c r="L57" s="31">
        <f t="shared" si="17"/>
        <v>0.86398316762224947</v>
      </c>
      <c r="M57" s="31">
        <f t="shared" si="17"/>
        <v>0.88311740898284807</v>
      </c>
      <c r="N57" s="31">
        <f t="shared" si="17"/>
        <v>0.90166566328016018</v>
      </c>
      <c r="O57" s="31">
        <f t="shared" si="17"/>
        <v>0.90793685632025189</v>
      </c>
      <c r="P57" s="31">
        <f t="shared" si="17"/>
        <v>0.91445160055591523</v>
      </c>
      <c r="Q57" s="31">
        <f t="shared" si="17"/>
        <v>0.91554921203809492</v>
      </c>
      <c r="R57" s="31">
        <f t="shared" si="17"/>
        <v>0.92078671185820904</v>
      </c>
      <c r="S57" s="31">
        <f t="shared" si="17"/>
        <v>0.91727449701518482</v>
      </c>
      <c r="T57" s="31">
        <f t="shared" si="17"/>
        <v>0.9236496068315837</v>
      </c>
      <c r="U57" s="31">
        <f t="shared" si="17"/>
        <v>0.92655982155914784</v>
      </c>
      <c r="V57" s="31">
        <f t="shared" si="17"/>
        <v>0.92606501551803122</v>
      </c>
      <c r="W57" s="31">
        <f t="shared" ref="W57" si="18">IF(W11=0,0,W11/W$10)</f>
        <v>0.93284213957210826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0</v>
      </c>
      <c r="G58" s="123">
        <f t="shared" si="19"/>
        <v>0</v>
      </c>
      <c r="H58" s="123">
        <f t="shared" si="19"/>
        <v>0</v>
      </c>
      <c r="I58" s="123">
        <f t="shared" si="19"/>
        <v>0</v>
      </c>
      <c r="J58" s="123">
        <f t="shared" si="19"/>
        <v>0</v>
      </c>
      <c r="K58" s="123">
        <f t="shared" si="19"/>
        <v>0</v>
      </c>
      <c r="L58" s="123">
        <f t="shared" si="19"/>
        <v>0</v>
      </c>
      <c r="M58" s="123">
        <f t="shared" si="19"/>
        <v>0</v>
      </c>
      <c r="N58" s="123">
        <f t="shared" si="19"/>
        <v>0</v>
      </c>
      <c r="O58" s="123">
        <f t="shared" si="19"/>
        <v>0</v>
      </c>
      <c r="P58" s="123">
        <f t="shared" si="19"/>
        <v>0</v>
      </c>
      <c r="Q58" s="123">
        <f t="shared" si="19"/>
        <v>0</v>
      </c>
      <c r="R58" s="123">
        <f t="shared" si="19"/>
        <v>0</v>
      </c>
      <c r="S58" s="123">
        <f t="shared" si="19"/>
        <v>0</v>
      </c>
      <c r="T58" s="123">
        <f t="shared" si="19"/>
        <v>1.0291564654968711E-2</v>
      </c>
      <c r="U58" s="123">
        <f t="shared" si="19"/>
        <v>1.632126308092189E-2</v>
      </c>
      <c r="V58" s="123">
        <f t="shared" si="19"/>
        <v>1.8259720786905572E-2</v>
      </c>
      <c r="W58" s="123">
        <f t="shared" ref="W58" si="20">IF(W12=0,0,W12/W$10)</f>
        <v>1.6766199091672603E-2</v>
      </c>
      <c r="DA58" s="203"/>
    </row>
    <row r="59" spans="1:105" ht="11.45" customHeight="1" x14ac:dyDescent="0.25">
      <c r="A59" s="109" t="s">
        <v>24</v>
      </c>
      <c r="B59" s="124">
        <f t="shared" si="14"/>
        <v>0.65491688440081985</v>
      </c>
      <c r="C59" s="124">
        <f t="shared" ref="C59:V59" si="21">IF(C13=0,0,C13/C$10)</f>
        <v>0.66684548144599298</v>
      </c>
      <c r="D59" s="124">
        <f t="shared" si="21"/>
        <v>0.66479355248594374</v>
      </c>
      <c r="E59" s="124">
        <f t="shared" si="21"/>
        <v>0.64470626877331405</v>
      </c>
      <c r="F59" s="124">
        <f t="shared" si="21"/>
        <v>0.62047528722884271</v>
      </c>
      <c r="G59" s="124">
        <f t="shared" si="21"/>
        <v>0.74101604986446168</v>
      </c>
      <c r="H59" s="124">
        <f t="shared" si="21"/>
        <v>0.76090892719780456</v>
      </c>
      <c r="I59" s="124">
        <f t="shared" si="21"/>
        <v>0.73573687990783243</v>
      </c>
      <c r="J59" s="124">
        <f t="shared" si="21"/>
        <v>0.83705219185326263</v>
      </c>
      <c r="K59" s="124">
        <f t="shared" si="21"/>
        <v>0.86960729746608145</v>
      </c>
      <c r="L59" s="124">
        <f t="shared" si="21"/>
        <v>0.86398316762224947</v>
      </c>
      <c r="M59" s="124">
        <f t="shared" si="21"/>
        <v>0.88311740898284807</v>
      </c>
      <c r="N59" s="124">
        <f t="shared" si="21"/>
        <v>0.90166566328016018</v>
      </c>
      <c r="O59" s="124">
        <f t="shared" si="21"/>
        <v>0.90793685632025189</v>
      </c>
      <c r="P59" s="124">
        <f t="shared" si="21"/>
        <v>0.91445160055591523</v>
      </c>
      <c r="Q59" s="124">
        <f t="shared" si="21"/>
        <v>0.91554921203809492</v>
      </c>
      <c r="R59" s="124">
        <f t="shared" si="21"/>
        <v>0.92078671185820904</v>
      </c>
      <c r="S59" s="124">
        <f t="shared" si="21"/>
        <v>0.91727449701518482</v>
      </c>
      <c r="T59" s="124">
        <f t="shared" si="21"/>
        <v>0.91335804217661498</v>
      </c>
      <c r="U59" s="124">
        <f t="shared" si="21"/>
        <v>0.91023855847822588</v>
      </c>
      <c r="V59" s="124">
        <f t="shared" si="21"/>
        <v>0.9078052947311257</v>
      </c>
      <c r="W59" s="124">
        <f t="shared" ref="W59" si="22">IF(W13=0,0,W13/W$10)</f>
        <v>0.91607594048043561</v>
      </c>
      <c r="DA59" s="176"/>
    </row>
    <row r="60" spans="1:105" ht="11.45" customHeight="1" x14ac:dyDescent="0.25">
      <c r="A60" s="111" t="s">
        <v>92</v>
      </c>
      <c r="B60" s="125">
        <f t="shared" si="14"/>
        <v>0.44734563568898239</v>
      </c>
      <c r="C60" s="125">
        <f t="shared" ref="C60:V60" si="23">IF(C14=0,0,C14/C$10)</f>
        <v>0.45728210140147896</v>
      </c>
      <c r="D60" s="125">
        <f t="shared" si="23"/>
        <v>0.44778848857039211</v>
      </c>
      <c r="E60" s="125">
        <f t="shared" si="23"/>
        <v>0.38569052831739653</v>
      </c>
      <c r="F60" s="125">
        <f t="shared" si="23"/>
        <v>0.32355034219883999</v>
      </c>
      <c r="G60" s="125">
        <f t="shared" si="23"/>
        <v>0.22703783326877372</v>
      </c>
      <c r="H60" s="125">
        <f t="shared" si="23"/>
        <v>0.1713589055185479</v>
      </c>
      <c r="I60" s="125">
        <f t="shared" si="23"/>
        <v>0.2026139799957854</v>
      </c>
      <c r="J60" s="125">
        <f t="shared" si="23"/>
        <v>0.2804730486712923</v>
      </c>
      <c r="K60" s="125">
        <f t="shared" si="23"/>
        <v>0.25178701678565907</v>
      </c>
      <c r="L60" s="125">
        <f t="shared" si="23"/>
        <v>0.26405100258163361</v>
      </c>
      <c r="M60" s="125">
        <f t="shared" si="23"/>
        <v>0.24101066065271098</v>
      </c>
      <c r="N60" s="125">
        <f t="shared" si="23"/>
        <v>0.24521440169305991</v>
      </c>
      <c r="O60" s="125">
        <f t="shared" si="23"/>
        <v>0.22568933542127617</v>
      </c>
      <c r="P60" s="125">
        <f t="shared" si="23"/>
        <v>0.23859257623553065</v>
      </c>
      <c r="Q60" s="125">
        <f t="shared" si="23"/>
        <v>0.19214382642487601</v>
      </c>
      <c r="R60" s="125">
        <f t="shared" si="23"/>
        <v>0.19729142523192267</v>
      </c>
      <c r="S60" s="125">
        <f t="shared" si="23"/>
        <v>0.18172711845973666</v>
      </c>
      <c r="T60" s="125">
        <f t="shared" si="23"/>
        <v>0.20197413576732517</v>
      </c>
      <c r="U60" s="125">
        <f t="shared" si="23"/>
        <v>0.19316713620116069</v>
      </c>
      <c r="V60" s="125">
        <f t="shared" si="23"/>
        <v>0.21106692375335218</v>
      </c>
      <c r="W60" s="125">
        <f t="shared" ref="W60" si="24">IF(W14=0,0,W14/W$10)</f>
        <v>0.20644891045240044</v>
      </c>
      <c r="DA60" s="171"/>
    </row>
    <row r="61" spans="1:105" ht="11.45" customHeight="1" x14ac:dyDescent="0.25">
      <c r="A61" s="111" t="s">
        <v>93</v>
      </c>
      <c r="B61" s="125">
        <f t="shared" si="14"/>
        <v>0.20757124871183749</v>
      </c>
      <c r="C61" s="125">
        <f t="shared" ref="C61:V61" si="25">IF(C15=0,0,C15/C$10)</f>
        <v>0.20956338004451405</v>
      </c>
      <c r="D61" s="125">
        <f t="shared" si="25"/>
        <v>0.21700506391555158</v>
      </c>
      <c r="E61" s="125">
        <f t="shared" si="25"/>
        <v>0.25901574045591741</v>
      </c>
      <c r="F61" s="125">
        <f t="shared" si="25"/>
        <v>0.29692494503000272</v>
      </c>
      <c r="G61" s="125">
        <f t="shared" si="25"/>
        <v>0.51397821659568799</v>
      </c>
      <c r="H61" s="125">
        <f t="shared" si="25"/>
        <v>0.58955002167925663</v>
      </c>
      <c r="I61" s="125">
        <f t="shared" si="25"/>
        <v>0.53312289991204709</v>
      </c>
      <c r="J61" s="125">
        <f t="shared" si="25"/>
        <v>0.55657914318197022</v>
      </c>
      <c r="K61" s="125">
        <f t="shared" si="25"/>
        <v>0.61782028068042238</v>
      </c>
      <c r="L61" s="125">
        <f t="shared" si="25"/>
        <v>0.59993216504061586</v>
      </c>
      <c r="M61" s="125">
        <f t="shared" si="25"/>
        <v>0.64210674833013703</v>
      </c>
      <c r="N61" s="125">
        <f t="shared" si="25"/>
        <v>0.65645126158710021</v>
      </c>
      <c r="O61" s="125">
        <f t="shared" si="25"/>
        <v>0.68224752089897578</v>
      </c>
      <c r="P61" s="125">
        <f t="shared" si="25"/>
        <v>0.67585902432038458</v>
      </c>
      <c r="Q61" s="125">
        <f t="shared" si="25"/>
        <v>0.72340538561321888</v>
      </c>
      <c r="R61" s="125">
        <f t="shared" si="25"/>
        <v>0.72349528662628626</v>
      </c>
      <c r="S61" s="125">
        <f t="shared" si="25"/>
        <v>0.73554737855544816</v>
      </c>
      <c r="T61" s="125">
        <f t="shared" si="25"/>
        <v>0.71138390640928972</v>
      </c>
      <c r="U61" s="125">
        <f t="shared" si="25"/>
        <v>0.71707142227706522</v>
      </c>
      <c r="V61" s="125">
        <f t="shared" si="25"/>
        <v>0.69673837097777347</v>
      </c>
      <c r="W61" s="125">
        <f t="shared" ref="W61" si="26">IF(W15=0,0,W15/W$10)</f>
        <v>0.70962703002803518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0.34508311559918009</v>
      </c>
      <c r="C63" s="31">
        <f t="shared" ref="C63:V63" si="29">IF(C17=0,0,C17/C$10)</f>
        <v>0.33315451855400713</v>
      </c>
      <c r="D63" s="31">
        <f t="shared" si="29"/>
        <v>0.33520644751405632</v>
      </c>
      <c r="E63" s="31">
        <f t="shared" si="29"/>
        <v>0.355293731226686</v>
      </c>
      <c r="F63" s="31">
        <f t="shared" si="29"/>
        <v>0.37952471277115718</v>
      </c>
      <c r="G63" s="31">
        <f t="shared" si="29"/>
        <v>0.25898395013553821</v>
      </c>
      <c r="H63" s="31">
        <f t="shared" si="29"/>
        <v>0.23909107280219555</v>
      </c>
      <c r="I63" s="31">
        <f t="shared" si="29"/>
        <v>0.26426312009216757</v>
      </c>
      <c r="J63" s="31">
        <f t="shared" si="29"/>
        <v>0.1629478081467374</v>
      </c>
      <c r="K63" s="31">
        <f t="shared" si="29"/>
        <v>0.13039270253391863</v>
      </c>
      <c r="L63" s="31">
        <f t="shared" si="29"/>
        <v>0.13601683237775053</v>
      </c>
      <c r="M63" s="31">
        <f t="shared" si="29"/>
        <v>0.11688259101715189</v>
      </c>
      <c r="N63" s="31">
        <f t="shared" si="29"/>
        <v>9.8334336719839877E-2</v>
      </c>
      <c r="O63" s="31">
        <f t="shared" si="29"/>
        <v>9.2063143679748105E-2</v>
      </c>
      <c r="P63" s="31">
        <f t="shared" si="29"/>
        <v>8.5548399444084725E-2</v>
      </c>
      <c r="Q63" s="31">
        <f t="shared" si="29"/>
        <v>8.4450787961905083E-2</v>
      </c>
      <c r="R63" s="31">
        <f t="shared" si="29"/>
        <v>7.9213288141791002E-2</v>
      </c>
      <c r="S63" s="31">
        <f t="shared" si="29"/>
        <v>8.2725502984815208E-2</v>
      </c>
      <c r="T63" s="31">
        <f t="shared" si="29"/>
        <v>7.6350393168416242E-2</v>
      </c>
      <c r="U63" s="31">
        <f t="shared" si="29"/>
        <v>7.34401784408521E-2</v>
      </c>
      <c r="V63" s="31">
        <f t="shared" si="29"/>
        <v>7.3934984481968724E-2</v>
      </c>
      <c r="W63" s="31">
        <f t="shared" ref="W63" si="30">IF(W17=0,0,W17/W$10)</f>
        <v>6.7157860427891639E-2</v>
      </c>
      <c r="DA63" s="173"/>
    </row>
    <row r="64" spans="1:105" ht="11.45" customHeight="1" x14ac:dyDescent="0.25">
      <c r="A64" s="83" t="s">
        <v>92</v>
      </c>
      <c r="B64" s="125">
        <f t="shared" si="14"/>
        <v>0.15645411745314669</v>
      </c>
      <c r="C64" s="125">
        <f t="shared" ref="C64:V64" si="31">IF(C18=0,0,C18/C$10)</f>
        <v>0.13530831629038165</v>
      </c>
      <c r="D64" s="125">
        <f t="shared" si="31"/>
        <v>0.12474232007402755</v>
      </c>
      <c r="E64" s="125">
        <f t="shared" si="31"/>
        <v>0.12226421615701583</v>
      </c>
      <c r="F64" s="125">
        <f t="shared" si="31"/>
        <v>0.11863277359780322</v>
      </c>
      <c r="G64" s="125">
        <f t="shared" si="31"/>
        <v>6.1915116851278394E-2</v>
      </c>
      <c r="H64" s="125">
        <f t="shared" si="31"/>
        <v>3.6536282502940248E-2</v>
      </c>
      <c r="I64" s="125">
        <f t="shared" si="31"/>
        <v>4.9130316884179001E-2</v>
      </c>
      <c r="J64" s="125">
        <f t="shared" si="31"/>
        <v>2.8792353016430221E-2</v>
      </c>
      <c r="K64" s="125">
        <f t="shared" si="31"/>
        <v>2.3074602957667393E-2</v>
      </c>
      <c r="L64" s="125">
        <f t="shared" si="31"/>
        <v>2.4129782191879459E-2</v>
      </c>
      <c r="M64" s="125">
        <f t="shared" si="31"/>
        <v>1.9014487952684518E-2</v>
      </c>
      <c r="N64" s="125">
        <f t="shared" si="31"/>
        <v>1.7382453104977852E-2</v>
      </c>
      <c r="O64" s="125">
        <f t="shared" si="31"/>
        <v>1.5073577478195719E-2</v>
      </c>
      <c r="P64" s="125">
        <f t="shared" si="31"/>
        <v>1.5155562679326866E-2</v>
      </c>
      <c r="Q64" s="125">
        <f t="shared" si="31"/>
        <v>1.2506449262608892E-2</v>
      </c>
      <c r="R64" s="125">
        <f t="shared" si="31"/>
        <v>1.1896343659019494E-2</v>
      </c>
      <c r="S64" s="125">
        <f t="shared" si="31"/>
        <v>1.1607515283608373E-2</v>
      </c>
      <c r="T64" s="125">
        <f t="shared" si="31"/>
        <v>1.2102579452603436E-2</v>
      </c>
      <c r="U64" s="125">
        <f t="shared" si="31"/>
        <v>1.0983094218518879E-2</v>
      </c>
      <c r="V64" s="125">
        <f t="shared" si="31"/>
        <v>1.4345181962515817E-2</v>
      </c>
      <c r="W64" s="125">
        <f t="shared" ref="W64" si="32">IF(W18=0,0,W18/W$10)</f>
        <v>1.0119085604386124E-2</v>
      </c>
      <c r="DA64" s="171"/>
    </row>
    <row r="65" spans="1:105" ht="11.45" customHeight="1" x14ac:dyDescent="0.25">
      <c r="A65" s="85" t="s">
        <v>93</v>
      </c>
      <c r="B65" s="127">
        <f t="shared" si="14"/>
        <v>0.1886289981460334</v>
      </c>
      <c r="C65" s="127">
        <f t="shared" ref="C65:V65" si="33">IF(C19=0,0,C19/C$10)</f>
        <v>0.19784620226362548</v>
      </c>
      <c r="D65" s="127">
        <f t="shared" si="33"/>
        <v>0.21046412744002874</v>
      </c>
      <c r="E65" s="127">
        <f t="shared" si="33"/>
        <v>0.23302951506967018</v>
      </c>
      <c r="F65" s="127">
        <f t="shared" si="33"/>
        <v>0.26089193917335396</v>
      </c>
      <c r="G65" s="127">
        <f t="shared" si="33"/>
        <v>0.19706883328425981</v>
      </c>
      <c r="H65" s="127">
        <f t="shared" si="33"/>
        <v>0.2025547902992553</v>
      </c>
      <c r="I65" s="127">
        <f t="shared" si="33"/>
        <v>0.21513280320798858</v>
      </c>
      <c r="J65" s="127">
        <f t="shared" si="33"/>
        <v>0.13415545513030719</v>
      </c>
      <c r="K65" s="127">
        <f t="shared" si="33"/>
        <v>0.10731809957625123</v>
      </c>
      <c r="L65" s="127">
        <f t="shared" si="33"/>
        <v>0.11188705018587107</v>
      </c>
      <c r="M65" s="127">
        <f t="shared" si="33"/>
        <v>9.786810306446736E-2</v>
      </c>
      <c r="N65" s="127">
        <f t="shared" si="33"/>
        <v>8.0951883614862025E-2</v>
      </c>
      <c r="O65" s="127">
        <f t="shared" si="33"/>
        <v>7.6989566201552395E-2</v>
      </c>
      <c r="P65" s="127">
        <f t="shared" si="33"/>
        <v>7.0392836764757855E-2</v>
      </c>
      <c r="Q65" s="127">
        <f t="shared" si="33"/>
        <v>7.1944338699296201E-2</v>
      </c>
      <c r="R65" s="127">
        <f t="shared" si="33"/>
        <v>6.7316944482771521E-2</v>
      </c>
      <c r="S65" s="127">
        <f t="shared" si="33"/>
        <v>7.1117987701206822E-2</v>
      </c>
      <c r="T65" s="127">
        <f t="shared" si="33"/>
        <v>6.4247813715812799E-2</v>
      </c>
      <c r="U65" s="127">
        <f t="shared" si="33"/>
        <v>6.2457084222333217E-2</v>
      </c>
      <c r="V65" s="127">
        <f t="shared" si="33"/>
        <v>5.9589802519452922E-2</v>
      </c>
      <c r="W65" s="127">
        <f t="shared" ref="W65" si="34">IF(W19=0,0,W19/W$10)</f>
        <v>5.7038774823505521E-2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24.272225640000002</v>
      </c>
      <c r="C4" s="26">
        <f t="shared" ref="C4:W4" si="0">SUM(C5:C6)</f>
        <v>26.919818640000003</v>
      </c>
      <c r="D4" s="26">
        <f t="shared" si="0"/>
        <v>25.45583976</v>
      </c>
      <c r="E4" s="26">
        <f t="shared" si="0"/>
        <v>19.342234079999997</v>
      </c>
      <c r="F4" s="26">
        <f t="shared" si="0"/>
        <v>15.932774520000001</v>
      </c>
      <c r="G4" s="26">
        <f t="shared" si="0"/>
        <v>10.240916400000001</v>
      </c>
      <c r="H4" s="26">
        <f t="shared" si="0"/>
        <v>7.7632495199999996</v>
      </c>
      <c r="I4" s="26">
        <f t="shared" si="0"/>
        <v>10.56823092</v>
      </c>
      <c r="J4" s="26">
        <f t="shared" si="0"/>
        <v>13.530600720000001</v>
      </c>
      <c r="K4" s="26">
        <f t="shared" si="0"/>
        <v>11.35223856</v>
      </c>
      <c r="L4" s="26">
        <f t="shared" si="0"/>
        <v>12.916785959999999</v>
      </c>
      <c r="M4" s="26">
        <f t="shared" si="0"/>
        <v>12.13597944</v>
      </c>
      <c r="N4" s="26">
        <f t="shared" si="0"/>
        <v>11.9628522</v>
      </c>
      <c r="O4" s="26">
        <f t="shared" si="0"/>
        <v>11.216724480000002</v>
      </c>
      <c r="P4" s="26">
        <f t="shared" si="0"/>
        <v>11.3426352</v>
      </c>
      <c r="Q4" s="26">
        <f t="shared" si="0"/>
        <v>9.1263931200000012</v>
      </c>
      <c r="R4" s="26">
        <f t="shared" si="0"/>
        <v>9.3438025200000006</v>
      </c>
      <c r="S4" s="26">
        <f t="shared" si="0"/>
        <v>8.5347194400000017</v>
      </c>
      <c r="T4" s="26">
        <f t="shared" si="0"/>
        <v>10.23451416</v>
      </c>
      <c r="U4" s="26">
        <f t="shared" si="0"/>
        <v>9.7215346799999995</v>
      </c>
      <c r="V4" s="26">
        <f t="shared" si="0"/>
        <v>9.51692976</v>
      </c>
      <c r="W4" s="26">
        <f t="shared" si="0"/>
        <v>9.9826927199999975</v>
      </c>
      <c r="DA4" s="202" t="s">
        <v>1135</v>
      </c>
    </row>
    <row r="5" spans="1:105" ht="11.45" customHeight="1" x14ac:dyDescent="0.25">
      <c r="A5" s="107" t="s">
        <v>92</v>
      </c>
      <c r="B5" s="129">
        <v>24.272225640000002</v>
      </c>
      <c r="C5" s="129">
        <v>26.919818640000003</v>
      </c>
      <c r="D5" s="129">
        <v>25.45583976</v>
      </c>
      <c r="E5" s="129">
        <v>19.342234079999997</v>
      </c>
      <c r="F5" s="129">
        <v>15.932774520000001</v>
      </c>
      <c r="G5" s="129">
        <v>10.240916400000001</v>
      </c>
      <c r="H5" s="129">
        <v>7.7632495199999996</v>
      </c>
      <c r="I5" s="129">
        <v>10.56823092</v>
      </c>
      <c r="J5" s="129">
        <v>13.530600720000001</v>
      </c>
      <c r="K5" s="129">
        <v>11.35223856</v>
      </c>
      <c r="L5" s="129">
        <v>12.916785959999999</v>
      </c>
      <c r="M5" s="129">
        <v>12.13597944</v>
      </c>
      <c r="N5" s="129">
        <v>11.9628522</v>
      </c>
      <c r="O5" s="129">
        <v>11.216724480000002</v>
      </c>
      <c r="P5" s="129">
        <v>11.3426352</v>
      </c>
      <c r="Q5" s="129">
        <v>9.1263931200000012</v>
      </c>
      <c r="R5" s="129">
        <v>9.3438025200000006</v>
      </c>
      <c r="S5" s="129">
        <v>8.5347194400000017</v>
      </c>
      <c r="T5" s="129">
        <v>10.23451416</v>
      </c>
      <c r="U5" s="129">
        <v>9.7215346799999995</v>
      </c>
      <c r="V5" s="129">
        <v>9.51692976</v>
      </c>
      <c r="W5" s="129">
        <v>9.9826927199999975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24.272225640000002</v>
      </c>
      <c r="C8" s="79">
        <f t="shared" si="1"/>
        <v>26.919818640000003</v>
      </c>
      <c r="D8" s="79">
        <f t="shared" si="1"/>
        <v>25.455839760000003</v>
      </c>
      <c r="E8" s="79">
        <f t="shared" si="1"/>
        <v>19.342234079999997</v>
      </c>
      <c r="F8" s="79">
        <f t="shared" si="1"/>
        <v>15.932774519999999</v>
      </c>
      <c r="G8" s="79">
        <f t="shared" si="1"/>
        <v>10.240916400000003</v>
      </c>
      <c r="H8" s="79">
        <f t="shared" si="1"/>
        <v>7.7632495199999987</v>
      </c>
      <c r="I8" s="79">
        <f t="shared" si="1"/>
        <v>10.568230919999998</v>
      </c>
      <c r="J8" s="79">
        <f t="shared" si="1"/>
        <v>13.530600720000001</v>
      </c>
      <c r="K8" s="79">
        <f t="shared" si="1"/>
        <v>11.35223856</v>
      </c>
      <c r="L8" s="79">
        <f t="shared" si="1"/>
        <v>12.916785959999999</v>
      </c>
      <c r="M8" s="79">
        <f t="shared" si="1"/>
        <v>12.135979440000002</v>
      </c>
      <c r="N8" s="79">
        <f t="shared" si="1"/>
        <v>11.9628522</v>
      </c>
      <c r="O8" s="79">
        <f t="shared" si="1"/>
        <v>11.216724480000002</v>
      </c>
      <c r="P8" s="79">
        <f t="shared" si="1"/>
        <v>11.3426352</v>
      </c>
      <c r="Q8" s="79">
        <f t="shared" si="1"/>
        <v>9.1263931199999995</v>
      </c>
      <c r="R8" s="79">
        <f t="shared" si="1"/>
        <v>9.3438025200000006</v>
      </c>
      <c r="S8" s="79">
        <f t="shared" si="1"/>
        <v>8.5347194400000035</v>
      </c>
      <c r="T8" s="79">
        <f t="shared" si="1"/>
        <v>10.23451416</v>
      </c>
      <c r="U8" s="79">
        <f t="shared" si="1"/>
        <v>9.7215346799999995</v>
      </c>
      <c r="V8" s="79">
        <f t="shared" si="1"/>
        <v>9.5169297599999982</v>
      </c>
      <c r="W8" s="79">
        <f t="shared" si="1"/>
        <v>9.9826927199999957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17.98290600817176</v>
      </c>
      <c r="C9" s="32">
        <f t="shared" si="2"/>
        <v>20.773118952873318</v>
      </c>
      <c r="D9" s="32">
        <f t="shared" si="2"/>
        <v>19.909552183592517</v>
      </c>
      <c r="E9" s="32">
        <f t="shared" si="2"/>
        <v>14.686577027394506</v>
      </c>
      <c r="F9" s="32">
        <f t="shared" si="2"/>
        <v>11.658189704587748</v>
      </c>
      <c r="G9" s="32">
        <f t="shared" si="2"/>
        <v>8.0465538392206941</v>
      </c>
      <c r="H9" s="32">
        <f t="shared" si="2"/>
        <v>6.3989068418317192</v>
      </c>
      <c r="I9" s="32">
        <f t="shared" si="2"/>
        <v>8.5057391756394463</v>
      </c>
      <c r="J9" s="32">
        <f t="shared" si="2"/>
        <v>12.270912987946556</v>
      </c>
      <c r="K9" s="32">
        <f t="shared" si="2"/>
        <v>10.399219372754663</v>
      </c>
      <c r="L9" s="32">
        <f t="shared" si="2"/>
        <v>11.835245315022988</v>
      </c>
      <c r="M9" s="32">
        <f t="shared" si="2"/>
        <v>11.24852899109708</v>
      </c>
      <c r="N9" s="32">
        <f t="shared" si="2"/>
        <v>11.170977836050707</v>
      </c>
      <c r="O9" s="32">
        <f t="shared" si="2"/>
        <v>10.514472777423823</v>
      </c>
      <c r="P9" s="32">
        <f t="shared" si="2"/>
        <v>10.665175970318636</v>
      </c>
      <c r="Q9" s="32">
        <f t="shared" si="2"/>
        <v>8.5686671549482814</v>
      </c>
      <c r="R9" s="32">
        <f t="shared" si="2"/>
        <v>8.8124278299344319</v>
      </c>
      <c r="S9" s="32">
        <f t="shared" si="2"/>
        <v>8.0223079572616207</v>
      </c>
      <c r="T9" s="32">
        <f t="shared" si="2"/>
        <v>9.6559177411744166</v>
      </c>
      <c r="U9" s="32">
        <f t="shared" si="2"/>
        <v>9.1985250751636869</v>
      </c>
      <c r="V9" s="32">
        <f t="shared" si="2"/>
        <v>8.9112742265577616</v>
      </c>
      <c r="W9" s="32">
        <f t="shared" si="2"/>
        <v>9.5162538923097095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17.98290600817176</v>
      </c>
      <c r="C11" s="130">
        <f t="shared" si="3"/>
        <v>20.773118952873318</v>
      </c>
      <c r="D11" s="130">
        <f t="shared" si="3"/>
        <v>19.909552183592517</v>
      </c>
      <c r="E11" s="130">
        <f t="shared" si="3"/>
        <v>14.686577027394506</v>
      </c>
      <c r="F11" s="130">
        <f t="shared" si="3"/>
        <v>11.658189704587748</v>
      </c>
      <c r="G11" s="130">
        <f t="shared" si="3"/>
        <v>8.0465538392206941</v>
      </c>
      <c r="H11" s="130">
        <f t="shared" si="3"/>
        <v>6.3989068418317192</v>
      </c>
      <c r="I11" s="130">
        <f t="shared" si="3"/>
        <v>8.5057391756394463</v>
      </c>
      <c r="J11" s="130">
        <f t="shared" si="3"/>
        <v>12.270912987946556</v>
      </c>
      <c r="K11" s="130">
        <f t="shared" si="3"/>
        <v>10.399219372754663</v>
      </c>
      <c r="L11" s="130">
        <f t="shared" si="3"/>
        <v>11.835245315022988</v>
      </c>
      <c r="M11" s="130">
        <f t="shared" si="3"/>
        <v>11.24852899109708</v>
      </c>
      <c r="N11" s="130">
        <f t="shared" si="3"/>
        <v>11.170977836050707</v>
      </c>
      <c r="O11" s="130">
        <f t="shared" si="3"/>
        <v>10.514472777423823</v>
      </c>
      <c r="P11" s="130">
        <f t="shared" si="3"/>
        <v>10.665175970318636</v>
      </c>
      <c r="Q11" s="130">
        <f t="shared" si="3"/>
        <v>8.5686671549482814</v>
      </c>
      <c r="R11" s="130">
        <f t="shared" si="3"/>
        <v>8.8124278299344319</v>
      </c>
      <c r="S11" s="130">
        <f t="shared" si="3"/>
        <v>8.0223079572616207</v>
      </c>
      <c r="T11" s="130">
        <f t="shared" si="3"/>
        <v>9.6559177411744166</v>
      </c>
      <c r="U11" s="130">
        <f t="shared" si="3"/>
        <v>9.1985250751636869</v>
      </c>
      <c r="V11" s="130">
        <f t="shared" si="3"/>
        <v>8.9112742265577616</v>
      </c>
      <c r="W11" s="130">
        <f t="shared" si="3"/>
        <v>9.5162538923097095</v>
      </c>
      <c r="DA11" s="176" t="s">
        <v>408</v>
      </c>
    </row>
    <row r="12" spans="1:105" ht="11.45" customHeight="1" x14ac:dyDescent="0.25">
      <c r="A12" s="111" t="s">
        <v>92</v>
      </c>
      <c r="B12" s="96">
        <v>17.98290600817176</v>
      </c>
      <c r="C12" s="96">
        <v>20.773118952873318</v>
      </c>
      <c r="D12" s="96">
        <v>19.909552183592517</v>
      </c>
      <c r="E12" s="96">
        <v>14.686577027394506</v>
      </c>
      <c r="F12" s="96">
        <v>11.658189704587748</v>
      </c>
      <c r="G12" s="96">
        <v>8.0465538392206941</v>
      </c>
      <c r="H12" s="96">
        <v>6.3989068418317192</v>
      </c>
      <c r="I12" s="96">
        <v>8.5057391756394463</v>
      </c>
      <c r="J12" s="96">
        <v>12.270912987946556</v>
      </c>
      <c r="K12" s="96">
        <v>10.399219372754663</v>
      </c>
      <c r="L12" s="96">
        <v>11.835245315022988</v>
      </c>
      <c r="M12" s="96">
        <v>11.24852899109708</v>
      </c>
      <c r="N12" s="96">
        <v>11.170977836050707</v>
      </c>
      <c r="O12" s="96">
        <v>10.514472777423823</v>
      </c>
      <c r="P12" s="96">
        <v>10.665175970318636</v>
      </c>
      <c r="Q12" s="96">
        <v>8.5686671549482814</v>
      </c>
      <c r="R12" s="96">
        <v>8.8124278299344319</v>
      </c>
      <c r="S12" s="96">
        <v>8.0223079572616207</v>
      </c>
      <c r="T12" s="96">
        <v>9.6559177411744166</v>
      </c>
      <c r="U12" s="96">
        <v>9.1985250751636869</v>
      </c>
      <c r="V12" s="96">
        <v>8.9112742265577616</v>
      </c>
      <c r="W12" s="96">
        <v>9.5162538923097095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6.2893196318282421</v>
      </c>
      <c r="C15" s="32">
        <f t="shared" si="4"/>
        <v>6.1466996871266861</v>
      </c>
      <c r="D15" s="32">
        <f t="shared" si="4"/>
        <v>5.5462875764074875</v>
      </c>
      <c r="E15" s="32">
        <f t="shared" si="4"/>
        <v>4.6556570526054903</v>
      </c>
      <c r="F15" s="32">
        <f t="shared" si="4"/>
        <v>4.2745848154122497</v>
      </c>
      <c r="G15" s="32">
        <f t="shared" si="4"/>
        <v>2.1943625607793087</v>
      </c>
      <c r="H15" s="32">
        <f t="shared" si="4"/>
        <v>1.3643426781682799</v>
      </c>
      <c r="I15" s="32">
        <f t="shared" si="4"/>
        <v>2.0624917443605524</v>
      </c>
      <c r="J15" s="32">
        <f t="shared" si="4"/>
        <v>1.2596877320534452</v>
      </c>
      <c r="K15" s="32">
        <f t="shared" si="4"/>
        <v>0.95301918724533674</v>
      </c>
      <c r="L15" s="32">
        <f t="shared" si="4"/>
        <v>1.0815406449770113</v>
      </c>
      <c r="M15" s="32">
        <f t="shared" si="4"/>
        <v>0.88745044890292113</v>
      </c>
      <c r="N15" s="32">
        <f t="shared" si="4"/>
        <v>0.79187436394929367</v>
      </c>
      <c r="O15" s="32">
        <f t="shared" si="4"/>
        <v>0.70225170257617975</v>
      </c>
      <c r="P15" s="32">
        <f t="shared" si="4"/>
        <v>0.67745922968136441</v>
      </c>
      <c r="Q15" s="32">
        <f t="shared" si="4"/>
        <v>0.55772596505171901</v>
      </c>
      <c r="R15" s="32">
        <f t="shared" si="4"/>
        <v>0.53137469006556937</v>
      </c>
      <c r="S15" s="32">
        <f t="shared" si="4"/>
        <v>0.51241148273838233</v>
      </c>
      <c r="T15" s="32">
        <f t="shared" si="4"/>
        <v>0.57859641882558321</v>
      </c>
      <c r="U15" s="32">
        <f t="shared" si="4"/>
        <v>0.52300960483631254</v>
      </c>
      <c r="V15" s="32">
        <f t="shared" si="4"/>
        <v>0.6056555334422371</v>
      </c>
      <c r="W15" s="32">
        <f t="shared" si="4"/>
        <v>0.46643882769028666</v>
      </c>
      <c r="DA15" s="173" t="s">
        <v>413</v>
      </c>
    </row>
    <row r="16" spans="1:105" ht="11.45" customHeight="1" x14ac:dyDescent="0.25">
      <c r="A16" s="83" t="s">
        <v>92</v>
      </c>
      <c r="B16" s="96">
        <v>6.2893196318282421</v>
      </c>
      <c r="C16" s="96">
        <v>6.1466996871266861</v>
      </c>
      <c r="D16" s="96">
        <v>5.5462875764074875</v>
      </c>
      <c r="E16" s="96">
        <v>4.6556570526054903</v>
      </c>
      <c r="F16" s="96">
        <v>4.2745848154122497</v>
      </c>
      <c r="G16" s="96">
        <v>2.1943625607793087</v>
      </c>
      <c r="H16" s="96">
        <v>1.3643426781682799</v>
      </c>
      <c r="I16" s="96">
        <v>2.0624917443605524</v>
      </c>
      <c r="J16" s="96">
        <v>1.2596877320534452</v>
      </c>
      <c r="K16" s="96">
        <v>0.95301918724533674</v>
      </c>
      <c r="L16" s="96">
        <v>1.0815406449770113</v>
      </c>
      <c r="M16" s="96">
        <v>0.88745044890292113</v>
      </c>
      <c r="N16" s="96">
        <v>0.79187436394929367</v>
      </c>
      <c r="O16" s="96">
        <v>0.70225170257617975</v>
      </c>
      <c r="P16" s="96">
        <v>0.67745922968136441</v>
      </c>
      <c r="Q16" s="96">
        <v>0.55772596505171901</v>
      </c>
      <c r="R16" s="96">
        <v>0.53137469006556937</v>
      </c>
      <c r="S16" s="96">
        <v>0.51241148273838233</v>
      </c>
      <c r="T16" s="96">
        <v>0.57859641882558321</v>
      </c>
      <c r="U16" s="96">
        <v>0.52300960483631254</v>
      </c>
      <c r="V16" s="96">
        <v>0.6056555334422371</v>
      </c>
      <c r="W16" s="96">
        <v>0.46643882769028666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1.8732397055835004</v>
      </c>
      <c r="C22" s="134">
        <f>IF(C4=0,0,C4/TrRail_ene!C4)</f>
        <v>1.8384636525470808</v>
      </c>
      <c r="D22" s="134">
        <f>IF(D4=0,0,D4/TrRail_ene!D4)</f>
        <v>1.7762303443176501</v>
      </c>
      <c r="E22" s="134">
        <f>IF(E4=0,0,E4/TrRail_ene!E4)</f>
        <v>1.5758883488066131</v>
      </c>
      <c r="F22" s="134">
        <f>IF(F4=0,0,F4/TrRail_ene!F4)</f>
        <v>1.3718372114900832</v>
      </c>
      <c r="G22" s="134">
        <f>IF(G4=0,0,G4/TrRail_ene!G4)</f>
        <v>0.89645306476791198</v>
      </c>
      <c r="H22" s="134">
        <f>IF(H4=0,0,H4/TrRail_ene!H4)</f>
        <v>0.6449779397473997</v>
      </c>
      <c r="I22" s="134">
        <f>IF(I4=0,0,I4/TrRail_ene!I4)</f>
        <v>0.78101623943318299</v>
      </c>
      <c r="J22" s="134">
        <f>IF(J4=0,0,J4/TrRail_ene!J4)</f>
        <v>0.95947079638554222</v>
      </c>
      <c r="K22" s="134">
        <f>IF(K4=0,0,K4/TrRail_ene!K4)</f>
        <v>0.85273585649014716</v>
      </c>
      <c r="L22" s="134">
        <f>IF(L4=0,0,L4/TrRail_ene!L4)</f>
        <v>0.89405748448010069</v>
      </c>
      <c r="M22" s="134">
        <f>IF(M4=0,0,M4/TrRail_ene!M4)</f>
        <v>0.80670690950617285</v>
      </c>
      <c r="N22" s="134">
        <f>IF(N4=0,0,N4/TrRail_ene!N4)</f>
        <v>0.79734979532116845</v>
      </c>
      <c r="O22" s="134">
        <f>IF(O4=0,0,O4/TrRail_ene!O4)</f>
        <v>0.72985020198728867</v>
      </c>
      <c r="P22" s="134">
        <f>IF(P4=0,0,P4/TrRail_ene!P4)</f>
        <v>0.76125507759426614</v>
      </c>
      <c r="Q22" s="134">
        <f>IF(Q4=0,0,Q4/TrRail_ene!Q4)</f>
        <v>0.61344772332766961</v>
      </c>
      <c r="R22" s="134">
        <f>IF(R4=0,0,R4/TrRail_ene!R4)</f>
        <v>0.62754265184996982</v>
      </c>
      <c r="S22" s="134">
        <f>IF(S4=0,0,S4/TrRail_ene!S4)</f>
        <v>0.56945788442720791</v>
      </c>
      <c r="T22" s="134">
        <f>IF(T4=0,0,T4/TrRail_ene!T4)</f>
        <v>0.63437634737060911</v>
      </c>
      <c r="U22" s="134">
        <f>IF(U4=0,0,U4/TrRail_ene!U4)</f>
        <v>0.60514710103889569</v>
      </c>
      <c r="V22" s="134">
        <f>IF(V4=0,0,V4/TrRail_ene!V4)</f>
        <v>0.65207492199036177</v>
      </c>
      <c r="W22" s="134">
        <f>IF(W4=0,0,W4/TrRail_ene!W4)</f>
        <v>0.6288489193190373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1.5182013431470973</v>
      </c>
      <c r="O23" s="129">
        <f>IF(O5=0,0,O5/SUM(TrRail_ene!O5:O7))</f>
        <v>1.5157031313457117</v>
      </c>
      <c r="P23" s="129">
        <f>IF(P5=0,0,P5/SUM(TrRail_ene!P5:P7))</f>
        <v>1.5000210067544517</v>
      </c>
      <c r="Q23" s="129">
        <f>IF(Q5=0,0,Q5/SUM(TrRail_ene!Q5:Q7))</f>
        <v>1.4987708207743795</v>
      </c>
      <c r="R23" s="129">
        <f>IF(R5=0,0,R5/SUM(TrRail_ene!R5:R7))</f>
        <v>1.4999506309021644</v>
      </c>
      <c r="S23" s="129">
        <f>IF(S5=0,0,S5/SUM(TrRail_ene!S5:S7))</f>
        <v>1.4727260020653434</v>
      </c>
      <c r="T23" s="129">
        <f>IF(T5=0,0,T5/SUM(TrRail_ene!T5:T7))</f>
        <v>1.4816565797893797</v>
      </c>
      <c r="U23" s="129">
        <f>IF(U5=0,0,U5/SUM(TrRail_ene!U5:U7))</f>
        <v>1.4821122165644174</v>
      </c>
      <c r="V23" s="129">
        <f>IF(V5=0,0,V5/SUM(TrRail_ene!V5:V7))</f>
        <v>1.4464061721962314</v>
      </c>
      <c r="W23" s="129">
        <f>IF(W5=0,0,W5/SUM(TrRail_ene!W5:W7))</f>
        <v>1.4518509908411077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5526.9406083214253</v>
      </c>
      <c r="C26" s="54">
        <f>IF(C8=0,0,C8/TrRail_act!C14*1000)</f>
        <v>5308.2849214802163</v>
      </c>
      <c r="D26" s="54">
        <f>IF(D8=0,0,D8/TrRail_act!D14*1000)</f>
        <v>4966.529818658827</v>
      </c>
      <c r="E26" s="54">
        <f>IF(E8=0,0,E8/TrRail_act!E14*1000)</f>
        <v>4177.5339355607803</v>
      </c>
      <c r="F26" s="54">
        <f>IF(F8=0,0,F8/TrRail_act!F14*1000)</f>
        <v>3444.2810939305627</v>
      </c>
      <c r="G26" s="54">
        <f>IF(G8=0,0,G8/TrRail_act!G14*1000)</f>
        <v>1934.7959534000956</v>
      </c>
      <c r="H26" s="54">
        <f>IF(H8=0,0,H8/TrRail_act!H14*1000)</f>
        <v>1307.9706521093628</v>
      </c>
      <c r="I26" s="54">
        <f>IF(I8=0,0,I8/TrRail_act!I14*1000)</f>
        <v>1621.0295925514879</v>
      </c>
      <c r="J26" s="54">
        <f>IF(J8=0,0,J8/TrRail_act!J14*1000)</f>
        <v>1964.6633745255572</v>
      </c>
      <c r="K26" s="54">
        <f>IF(K8=0,0,K8/TrRail_act!K14*1000)</f>
        <v>1682.7746406013841</v>
      </c>
      <c r="L26" s="54">
        <f>IF(L8=0,0,L8/TrRail_act!L14*1000)</f>
        <v>1758.2292051770046</v>
      </c>
      <c r="M26" s="54">
        <f>IF(M8=0,0,M8/TrRail_act!M14*1000)</f>
        <v>1543.5333441923892</v>
      </c>
      <c r="N26" s="54">
        <f>IF(N8=0,0,N8/TrRail_act!N14*1000)</f>
        <v>1483.8651897297441</v>
      </c>
      <c r="O26" s="54">
        <f>IF(O8=0,0,O8/TrRail_act!O14*1000)</f>
        <v>1322.799329204674</v>
      </c>
      <c r="P26" s="54">
        <f>IF(P8=0,0,P8/TrRail_act!P14*1000)</f>
        <v>1321.8819119259435</v>
      </c>
      <c r="Q26" s="54">
        <f>IF(Q8=0,0,Q8/TrRail_act!Q14*1000)</f>
        <v>1020.521386978987</v>
      </c>
      <c r="R26" s="54">
        <f>IF(R8=0,0,R8/TrRail_act!R14*1000)</f>
        <v>1024.6414889955488</v>
      </c>
      <c r="S26" s="54">
        <f>IF(S8=0,0,S8/TrRail_act!S14*1000)</f>
        <v>915.61458957971797</v>
      </c>
      <c r="T26" s="54">
        <f>IF(T8=0,0,T8/TrRail_act!T14*1000)</f>
        <v>986.69673539522307</v>
      </c>
      <c r="U26" s="54">
        <f>IF(U8=0,0,U8/TrRail_act!U14*1000)</f>
        <v>914.68024280083262</v>
      </c>
      <c r="V26" s="54">
        <f>IF(V8=0,0,V8/TrRail_act!V14*1000)</f>
        <v>984.24991561028924</v>
      </c>
      <c r="W26" s="54">
        <f>IF(W8=0,0,W8/TrRail_act!W14*1000)</f>
        <v>945.33055774008437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5754.6974841004749</v>
      </c>
      <c r="C27" s="28">
        <f>IF(C9=0,0,C9/TrRail_act!C15*1000)</f>
        <v>5714.5427940960117</v>
      </c>
      <c r="D27" s="28">
        <f>IF(D9=0,0,D9/TrRail_act!D15*1000)</f>
        <v>5483.4727931349971</v>
      </c>
      <c r="E27" s="28">
        <f>IF(E9=0,0,E9/TrRail_act!E15*1000)</f>
        <v>4584.8421635568338</v>
      </c>
      <c r="F27" s="28">
        <f>IF(F9=0,0,F9/TrRail_act!F15*1000)</f>
        <v>3752.6217167646355</v>
      </c>
      <c r="G27" s="28">
        <f>IF(G9=0,0,G9/TrRail_act!G15*1000)</f>
        <v>1914.245384991453</v>
      </c>
      <c r="H27" s="28">
        <f>IF(H9=0,0,H9/TrRail_act!H15*1000)</f>
        <v>1333.0980450586917</v>
      </c>
      <c r="I27" s="28">
        <f>IF(I9=0,0,I9/TrRail_act!I15*1000)</f>
        <v>1657.2727655817271</v>
      </c>
      <c r="J27" s="28">
        <f>IF(J9=0,0,J9/TrRail_act!J15*1000)</f>
        <v>2050.5593128615342</v>
      </c>
      <c r="K27" s="28">
        <f>IF(K9=0,0,K9/TrRail_act!K15*1000)</f>
        <v>1717.1730115427092</v>
      </c>
      <c r="L27" s="28">
        <f>IF(L9=0,0,L9/TrRail_act!L15*1000)</f>
        <v>1803.7861300191275</v>
      </c>
      <c r="M27" s="28">
        <f>IF(M9=0,0,M9/TrRail_act!M15*1000)</f>
        <v>1572.9413085473577</v>
      </c>
      <c r="N27" s="28">
        <f>IF(N9=0,0,N9/TrRail_act!N15*1000)</f>
        <v>1498.1672792809502</v>
      </c>
      <c r="O27" s="28">
        <f>IF(O9=0,0,O9/TrRail_act!O15*1000)</f>
        <v>1333.1041516108573</v>
      </c>
      <c r="P27" s="28">
        <f>IF(P9=0,0,P9/TrRail_act!P15*1000)</f>
        <v>1328.232534060272</v>
      </c>
      <c r="Q27" s="28">
        <f>IF(Q9=0,0,Q9/TrRail_act!Q15*1000)</f>
        <v>1022.9922702515127</v>
      </c>
      <c r="R27" s="28">
        <f>IF(R9=0,0,R9/TrRail_act!R15*1000)</f>
        <v>1027.388700230546</v>
      </c>
      <c r="S27" s="28">
        <f>IF(S9=0,0,S9/TrRail_act!S15*1000)</f>
        <v>917.56893743691512</v>
      </c>
      <c r="T27" s="28">
        <f>IF(T9=0,0,T9/TrRail_act!T15*1000)</f>
        <v>985.27489077433211</v>
      </c>
      <c r="U27" s="28">
        <f>IF(U9=0,0,U9/TrRail_act!U15*1000)</f>
        <v>913.0783177890944</v>
      </c>
      <c r="V27" s="28">
        <f>IF(V9=0,0,V9/TrRail_act!V15*1000)</f>
        <v>971.33054762202642</v>
      </c>
      <c r="W27" s="28">
        <f>IF(W9=0,0,W9/TrRail_act!W15*1000)</f>
        <v>946.32268009434779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5754.6974841004749</v>
      </c>
      <c r="C29" s="110">
        <f>IF(C11=0,0,C11/TrRail_act!C17*1000)</f>
        <v>5714.5427940960117</v>
      </c>
      <c r="D29" s="110">
        <f>IF(D11=0,0,D11/TrRail_act!D17*1000)</f>
        <v>5483.4727931349971</v>
      </c>
      <c r="E29" s="110">
        <f>IF(E11=0,0,E11/TrRail_act!E17*1000)</f>
        <v>4584.8421635568338</v>
      </c>
      <c r="F29" s="110">
        <f>IF(F11=0,0,F11/TrRail_act!F17*1000)</f>
        <v>3752.6217167646355</v>
      </c>
      <c r="G29" s="110">
        <f>IF(G11=0,0,G11/TrRail_act!G17*1000)</f>
        <v>1914.245384991453</v>
      </c>
      <c r="H29" s="110">
        <f>IF(H11=0,0,H11/TrRail_act!H17*1000)</f>
        <v>1333.0980450586917</v>
      </c>
      <c r="I29" s="110">
        <f>IF(I11=0,0,I11/TrRail_act!I17*1000)</f>
        <v>1657.2727655817271</v>
      </c>
      <c r="J29" s="110">
        <f>IF(J11=0,0,J11/TrRail_act!J17*1000)</f>
        <v>2050.5593128615342</v>
      </c>
      <c r="K29" s="110">
        <f>IF(K11=0,0,K11/TrRail_act!K17*1000)</f>
        <v>1717.1730115427092</v>
      </c>
      <c r="L29" s="110">
        <f>IF(L11=0,0,L11/TrRail_act!L17*1000)</f>
        <v>1803.7861300191275</v>
      </c>
      <c r="M29" s="110">
        <f>IF(M11=0,0,M11/TrRail_act!M17*1000)</f>
        <v>1572.9413085473577</v>
      </c>
      <c r="N29" s="110">
        <f>IF(N11=0,0,N11/TrRail_act!N17*1000)</f>
        <v>1498.1672792809502</v>
      </c>
      <c r="O29" s="110">
        <f>IF(O11=0,0,O11/TrRail_act!O17*1000)</f>
        <v>1333.1041516108573</v>
      </c>
      <c r="P29" s="110">
        <f>IF(P11=0,0,P11/TrRail_act!P17*1000)</f>
        <v>1328.232534060272</v>
      </c>
      <c r="Q29" s="110">
        <f>IF(Q11=0,0,Q11/TrRail_act!Q17*1000)</f>
        <v>1022.9922702515127</v>
      </c>
      <c r="R29" s="110">
        <f>IF(R11=0,0,R11/TrRail_act!R17*1000)</f>
        <v>1027.388700230546</v>
      </c>
      <c r="S29" s="110">
        <f>IF(S11=0,0,S11/TrRail_act!S17*1000)</f>
        <v>917.56893743691512</v>
      </c>
      <c r="T29" s="110">
        <f>IF(T11=0,0,T11/TrRail_act!T17*1000)</f>
        <v>1032.1156976822856</v>
      </c>
      <c r="U29" s="110">
        <f>IF(U11=0,0,U11/TrRail_act!U17*1000)</f>
        <v>981.7583550573753</v>
      </c>
      <c r="V29" s="110">
        <f>IF(V11=0,0,V11/TrRail_act!V17*1000)</f>
        <v>1053.8211702306332</v>
      </c>
      <c r="W29" s="110">
        <f>IF(W11=0,0,W11/TrRail_act!W17*1000)</f>
        <v>1019.1502345022066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11073.189328232518</v>
      </c>
      <c r="C30" s="84">
        <f>IF(C12=0,0,C12/TrRail_act!C18*1000)</f>
        <v>10962.668366984217</v>
      </c>
      <c r="D30" s="84">
        <f>IF(D12=0,0,D12/TrRail_act!D18*1000)</f>
        <v>10802.793412878935</v>
      </c>
      <c r="E30" s="84">
        <f>IF(E12=0,0,E12/TrRail_act!E18*1000)</f>
        <v>10700.963718597106</v>
      </c>
      <c r="F30" s="84">
        <f>IF(F12=0,0,F12/TrRail_act!F18*1000)</f>
        <v>10495.22024223504</v>
      </c>
      <c r="G30" s="84">
        <f>IF(G12=0,0,G12/TrRail_act!G18*1000)</f>
        <v>10026.274466341332</v>
      </c>
      <c r="H30" s="84">
        <f>IF(H12=0,0,H12/TrRail_act!H18*1000)</f>
        <v>9445.7213852466211</v>
      </c>
      <c r="I30" s="84">
        <f>IF(I12=0,0,I12/TrRail_act!I18*1000)</f>
        <v>9080.3156590624385</v>
      </c>
      <c r="J30" s="84">
        <f>IF(J12=0,0,J12/TrRail_act!J18*1000)</f>
        <v>8853.0755841031423</v>
      </c>
      <c r="K30" s="84">
        <f>IF(K12=0,0,K12/TrRail_act!K18*1000)</f>
        <v>8890.7118909127621</v>
      </c>
      <c r="L30" s="84">
        <f>IF(L12=0,0,L12/TrRail_act!L18*1000)</f>
        <v>8472.8764645018091</v>
      </c>
      <c r="M30" s="84">
        <f>IF(M12=0,0,M12/TrRail_act!M18*1000)</f>
        <v>8184.9054786704355</v>
      </c>
      <c r="N30" s="84">
        <f>IF(N12=0,0,N12/TrRail_act!N18*1000)</f>
        <v>7852.5817409055198</v>
      </c>
      <c r="O30" s="84">
        <f>IF(O12=0,0,O12/TrRail_act!O18*1000)</f>
        <v>7607.3750075511061</v>
      </c>
      <c r="P30" s="84">
        <f>IF(P12=0,0,P12/TrRail_act!P18*1000)</f>
        <v>7084.0418123968238</v>
      </c>
      <c r="Q30" s="84">
        <f>IF(Q12=0,0,Q12/TrRail_act!Q18*1000)</f>
        <v>7056.0751385139702</v>
      </c>
      <c r="R30" s="84">
        <f>IF(R12=0,0,R12/TrRail_act!R18*1000)</f>
        <v>6974.66369632838</v>
      </c>
      <c r="S30" s="84">
        <f>IF(S12=0,0,S12/TrRail_act!S18*1000)</f>
        <v>6784.7213488590114</v>
      </c>
      <c r="T30" s="84">
        <f>IF(T12=0,0,T12/TrRail_act!T18*1000)</f>
        <v>6778.4505291200549</v>
      </c>
      <c r="U30" s="84">
        <f>IF(U12=0,0,U12/TrRail_act!U18*1000)</f>
        <v>6745.1804978957389</v>
      </c>
      <c r="V30" s="84">
        <f>IF(V12=0,0,V12/TrRail_act!V18*1000)</f>
        <v>6556.9211921958486</v>
      </c>
      <c r="W30" s="84">
        <f>IF(W12=0,0,W12/TrRail_act!W18*1000)</f>
        <v>6562.2783758486694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4965.0766627126904</v>
      </c>
      <c r="C33" s="28">
        <f>IF(C15=0,0,C15/TrRail_act!C21*1000)</f>
        <v>4279.9803076515846</v>
      </c>
      <c r="D33" s="28">
        <f>IF(D15=0,0,D15/TrRail_act!D21*1000)</f>
        <v>3710.7624248716415</v>
      </c>
      <c r="E33" s="28">
        <f>IF(E15=0,0,E15/TrRail_act!E21*1000)</f>
        <v>3263.0729478586259</v>
      </c>
      <c r="F33" s="28">
        <f>IF(F15=0,0,F15/TrRail_act!F21*1000)</f>
        <v>2813.7356046938339</v>
      </c>
      <c r="G33" s="28">
        <f>IF(G15=0,0,G15/TrRail_act!G21*1000)</f>
        <v>2014.08354908963</v>
      </c>
      <c r="H33" s="28">
        <f>IF(H15=0,0,H15/TrRail_act!H21*1000)</f>
        <v>1201.7336324444047</v>
      </c>
      <c r="I33" s="28">
        <f>IF(I15=0,0,I15/TrRail_act!I21*1000)</f>
        <v>1486.9257155708901</v>
      </c>
      <c r="J33" s="28">
        <f>IF(J15=0,0,J15/TrRail_act!J21*1000)</f>
        <v>1395.3071351678502</v>
      </c>
      <c r="K33" s="28">
        <f>IF(K15=0,0,K15/TrRail_act!K21*1000)</f>
        <v>1380.9236621120635</v>
      </c>
      <c r="L33" s="28">
        <f>IF(L15=0,0,L15/TrRail_act!L21*1000)</f>
        <v>1377.5142912270369</v>
      </c>
      <c r="M33" s="28">
        <f>IF(M15=0,0,M15/TrRail_act!M21*1000)</f>
        <v>1247.8282108732319</v>
      </c>
      <c r="N33" s="28">
        <f>IF(N15=0,0,N15/TrRail_act!N21*1000)</f>
        <v>1307.7492831263257</v>
      </c>
      <c r="O33" s="28">
        <f>IF(O15=0,0,O15/TrRail_act!O21*1000)</f>
        <v>1185.5837653880337</v>
      </c>
      <c r="P33" s="28">
        <f>IF(P15=0,0,P15/TrRail_act!P21*1000)</f>
        <v>1229.3478143462403</v>
      </c>
      <c r="Q33" s="28">
        <f>IF(Q15=0,0,Q15/TrRail_act!Q21*1000)</f>
        <v>984.00647623052294</v>
      </c>
      <c r="R33" s="28">
        <f>IF(R15=0,0,R15/TrRail_act!R21*1000)</f>
        <v>981.13243785113502</v>
      </c>
      <c r="S33" s="28">
        <f>IF(S15=0,0,S15/TrRail_act!S21*1000)</f>
        <v>886.06778055890925</v>
      </c>
      <c r="T33" s="28">
        <f>IF(T15=0,0,T15/TrRail_act!T21*1000)</f>
        <v>1011.0458624840064</v>
      </c>
      <c r="U33" s="28">
        <f>IF(U15=0,0,U15/TrRail_act!U21*1000)</f>
        <v>943.80241521187816</v>
      </c>
      <c r="V33" s="28">
        <f>IF(V15=0,0,V15/TrRail_act!V21*1000)</f>
        <v>1223.7331159711114</v>
      </c>
      <c r="W33" s="28">
        <f>IF(W15=0,0,W15/TrRail_act!W21*1000)</f>
        <v>925.53399963570155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15908.659270165594</v>
      </c>
      <c r="C34" s="84">
        <f>IF(C16=0,0,C16/TrRail_act!C22*1000)</f>
        <v>15798.262175316524</v>
      </c>
      <c r="D34" s="84">
        <f>IF(D16=0,0,D16/TrRail_act!D22*1000)</f>
        <v>15693.457992940046</v>
      </c>
      <c r="E34" s="84">
        <f>IF(E16=0,0,E16/TrRail_act!E22*1000)</f>
        <v>15555.160880386176</v>
      </c>
      <c r="F34" s="84">
        <f>IF(F16=0,0,F16/TrRail_act!F22*1000)</f>
        <v>15408.419686767937</v>
      </c>
      <c r="G34" s="84">
        <f>IF(G16=0,0,G16/TrRail_act!G22*1000)</f>
        <v>15314.095973602885</v>
      </c>
      <c r="H34" s="84">
        <f>IF(H16=0,0,H16/TrRail_act!H22*1000)</f>
        <v>15192.83548384208</v>
      </c>
      <c r="I34" s="84">
        <f>IF(I16=0,0,I16/TrRail_act!I22*1000)</f>
        <v>15015.439258165276</v>
      </c>
      <c r="J34" s="84">
        <f>IF(J16=0,0,J16/TrRail_act!J22*1000)</f>
        <v>14868.998709162081</v>
      </c>
      <c r="K34" s="84">
        <f>IF(K16=0,0,K16/TrRail_act!K22*1000)</f>
        <v>14980.490005263429</v>
      </c>
      <c r="L34" s="84">
        <f>IF(L16=0,0,L16/TrRail_act!L22*1000)</f>
        <v>14579.133097973438</v>
      </c>
      <c r="M34" s="84">
        <f>IF(M16=0,0,M16/TrRail_act!M22*1000)</f>
        <v>14486.610081854105</v>
      </c>
      <c r="N34" s="84">
        <f>IF(N16=0,0,N16/TrRail_act!N22*1000)</f>
        <v>14066.856176303791</v>
      </c>
      <c r="O34" s="84">
        <f>IF(O16=0,0,O16/TrRail_act!O22*1000)</f>
        <v>13912.42921989868</v>
      </c>
      <c r="P34" s="84">
        <f>IF(P16=0,0,P16/TrRail_act!P22*1000)</f>
        <v>13684.38560946576</v>
      </c>
      <c r="Q34" s="84">
        <f>IF(Q16=0,0,Q16/TrRail_act!Q22*1000)</f>
        <v>13585.178414721304</v>
      </c>
      <c r="R34" s="84">
        <f>IF(R16=0,0,R16/TrRail_act!R22*1000)</f>
        <v>13530.339626834299</v>
      </c>
      <c r="S34" s="84">
        <f>IF(S16=0,0,S16/TrRail_act!S22*1000)</f>
        <v>13236.705292269069</v>
      </c>
      <c r="T34" s="84">
        <f>IF(T16=0,0,T16/TrRail_act!T22*1000)</f>
        <v>13280.828175502091</v>
      </c>
      <c r="U34" s="84">
        <f>IF(U16=0,0,U16/TrRail_act!U22*1000)</f>
        <v>13257.860199753695</v>
      </c>
      <c r="V34" s="84">
        <f>IF(V16=0,0,V16/TrRail_act!V22*1000)</f>
        <v>12918.695824022361</v>
      </c>
      <c r="W34" s="84">
        <f>IF(W16=0,0,W16/TrRail_act!W22*1000)</f>
        <v>12952.467023457008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54.165379542686019</v>
      </c>
      <c r="C38" s="29">
        <f>IF(C9=0,0,C9/TrRail_act!C4*1000)</f>
        <v>60.03791604876681</v>
      </c>
      <c r="D38" s="29">
        <f>IF(D9=0,0,D9/TrRail_act!D4*1000)</f>
        <v>74.289373819375058</v>
      </c>
      <c r="E38" s="29">
        <f>IF(E9=0,0,E9/TrRail_act!E4*1000)</f>
        <v>56.055637509139331</v>
      </c>
      <c r="F38" s="29">
        <f>IF(F9=0,0,F9/TrRail_act!F4*1000)</f>
        <v>46.07980120390414</v>
      </c>
      <c r="G38" s="29">
        <f>IF(G9=0,0,G9/TrRail_act!G4*1000)</f>
        <v>30.136905764871511</v>
      </c>
      <c r="H38" s="29">
        <f>IF(H9=0,0,H9/TrRail_act!H4*1000)</f>
        <v>21.472841751113151</v>
      </c>
      <c r="I38" s="29">
        <f>IF(I9=0,0,I9/TrRail_act!I4*1000)</f>
        <v>26.916896125441284</v>
      </c>
      <c r="J38" s="29">
        <f>IF(J9=0,0,J9/TrRail_act!J4*1000)</f>
        <v>35.56786373317842</v>
      </c>
      <c r="K38" s="29">
        <f>IF(K9=0,0,K9/TrRail_act!K4*1000)</f>
        <v>31.228887005269257</v>
      </c>
      <c r="L38" s="29">
        <f>IF(L9=0,0,L9/TrRail_act!L4*1000)</f>
        <v>34.107335201795351</v>
      </c>
      <c r="M38" s="29">
        <f>IF(M9=0,0,M9/TrRail_act!M4*1000)</f>
        <v>32.230742094834042</v>
      </c>
      <c r="N38" s="29">
        <f>IF(N9=0,0,N9/TrRail_act!N4*1000)</f>
        <v>29.949002241422804</v>
      </c>
      <c r="O38" s="29">
        <f>IF(O9=0,0,O9/TrRail_act!O4*1000)</f>
        <v>26.686479130517316</v>
      </c>
      <c r="P38" s="29">
        <f>IF(P9=0,0,P9/TrRail_act!P4*1000)</f>
        <v>29.139825055515399</v>
      </c>
      <c r="Q38" s="29">
        <f>IF(Q9=0,0,Q9/TrRail_act!Q4*1000)</f>
        <v>20.499203719971966</v>
      </c>
      <c r="R38" s="29">
        <f>IF(R9=0,0,R9/TrRail_act!R4*1000)</f>
        <v>21.132920455478256</v>
      </c>
      <c r="S38" s="29">
        <f>IF(S9=0,0,S9/TrRail_act!S4*1000)</f>
        <v>18.315771591921511</v>
      </c>
      <c r="T38" s="29">
        <f>IF(T9=0,0,T9/TrRail_act!T4*1000)</f>
        <v>20.877659980917656</v>
      </c>
      <c r="U38" s="29">
        <f>IF(U9=0,0,U9/TrRail_act!U4*1000)</f>
        <v>18.612960492034979</v>
      </c>
      <c r="V38" s="29">
        <f>IF(V9=0,0,V9/TrRail_act!V4*1000)</f>
        <v>29.73083555900239</v>
      </c>
      <c r="W38" s="29">
        <f>IF(W9=0,0,W9/TrRail_act!W4*1000)</f>
        <v>28.143577661676336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54.165379542686019</v>
      </c>
      <c r="C40" s="116">
        <f>IF(C11=0,0,C11/TrRail_act!C6*1000)</f>
        <v>60.03791604876681</v>
      </c>
      <c r="D40" s="116">
        <f>IF(D11=0,0,D11/TrRail_act!D6*1000)</f>
        <v>74.289373819375058</v>
      </c>
      <c r="E40" s="116">
        <f>IF(E11=0,0,E11/TrRail_act!E6*1000)</f>
        <v>56.055637509139331</v>
      </c>
      <c r="F40" s="116">
        <f>IF(F11=0,0,F11/TrRail_act!F6*1000)</f>
        <v>46.07980120390414</v>
      </c>
      <c r="G40" s="116">
        <f>IF(G11=0,0,G11/TrRail_act!G6*1000)</f>
        <v>30.136905764871511</v>
      </c>
      <c r="H40" s="116">
        <f>IF(H11=0,0,H11/TrRail_act!H6*1000)</f>
        <v>21.472841751113151</v>
      </c>
      <c r="I40" s="116">
        <f>IF(I11=0,0,I11/TrRail_act!I6*1000)</f>
        <v>26.916896125441284</v>
      </c>
      <c r="J40" s="116">
        <f>IF(J11=0,0,J11/TrRail_act!J6*1000)</f>
        <v>35.56786373317842</v>
      </c>
      <c r="K40" s="116">
        <f>IF(K11=0,0,K11/TrRail_act!K6*1000)</f>
        <v>31.228887005269257</v>
      </c>
      <c r="L40" s="116">
        <f>IF(L11=0,0,L11/TrRail_act!L6*1000)</f>
        <v>34.107335201795351</v>
      </c>
      <c r="M40" s="116">
        <f>IF(M11=0,0,M11/TrRail_act!M6*1000)</f>
        <v>32.230742094834042</v>
      </c>
      <c r="N40" s="116">
        <f>IF(N11=0,0,N11/TrRail_act!N6*1000)</f>
        <v>29.949002241422804</v>
      </c>
      <c r="O40" s="116">
        <f>IF(O11=0,0,O11/TrRail_act!O6*1000)</f>
        <v>26.686479130517316</v>
      </c>
      <c r="P40" s="116">
        <f>IF(P11=0,0,P11/TrRail_act!P6*1000)</f>
        <v>29.139825055515399</v>
      </c>
      <c r="Q40" s="116">
        <f>IF(Q11=0,0,Q11/TrRail_act!Q6*1000)</f>
        <v>20.499203719971966</v>
      </c>
      <c r="R40" s="116">
        <f>IF(R11=0,0,R11/TrRail_act!R6*1000)</f>
        <v>21.132920455478256</v>
      </c>
      <c r="S40" s="116">
        <f>IF(S11=0,0,S11/TrRail_act!S6*1000)</f>
        <v>18.315771591921511</v>
      </c>
      <c r="T40" s="116">
        <f>IF(T11=0,0,T11/TrRail_act!T6*1000)</f>
        <v>21.796654043283109</v>
      </c>
      <c r="U40" s="116">
        <f>IF(U11=0,0,U11/TrRail_act!U6*1000)</f>
        <v>19.867224784370816</v>
      </c>
      <c r="V40" s="116">
        <f>IF(V11=0,0,V11/TrRail_act!V6*1000)</f>
        <v>33.251023233424483</v>
      </c>
      <c r="W40" s="116">
        <f>IF(W11=0,0,W11/TrRail_act!W6*1000)</f>
        <v>31.303466751018785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247.38540879721833</v>
      </c>
      <c r="C41" s="87">
        <f>IF(C12=0,0,C12/TrRail_act!C7*1000)</f>
        <v>279.51962573263648</v>
      </c>
      <c r="D41" s="87">
        <f>IF(D12=0,0,D12/TrRail_act!D7*1000)</f>
        <v>275.59828762175317</v>
      </c>
      <c r="E41" s="87">
        <f>IF(E12=0,0,E12/TrRail_act!E7*1000)</f>
        <v>277.7286661770753</v>
      </c>
      <c r="F41" s="87">
        <f>IF(F12=0,0,F12/TrRail_act!F7*1000)</f>
        <v>275.47564999656163</v>
      </c>
      <c r="G41" s="87">
        <f>IF(G12=0,0,G12/TrRail_act!G7*1000)</f>
        <v>264.78824709815012</v>
      </c>
      <c r="H41" s="87">
        <f>IF(H12=0,0,H12/TrRail_act!H7*1000)</f>
        <v>206.69752064365809</v>
      </c>
      <c r="I41" s="87">
        <f>IF(I12=0,0,I12/TrRail_act!I7*1000)</f>
        <v>170.87936028007107</v>
      </c>
      <c r="J41" s="87">
        <f>IF(J12=0,0,J12/TrRail_act!J7*1000)</f>
        <v>178.28823200821449</v>
      </c>
      <c r="K41" s="87">
        <f>IF(K12=0,0,K12/TrRail_act!K7*1000)</f>
        <v>186.74834584768152</v>
      </c>
      <c r="L41" s="87">
        <f>IF(L12=0,0,L12/TrRail_act!L7*1000)</f>
        <v>194.43169083404405</v>
      </c>
      <c r="M41" s="87">
        <f>IF(M12=0,0,M12/TrRail_act!M7*1000)</f>
        <v>203.85691737936753</v>
      </c>
      <c r="N41" s="87">
        <f>IF(N12=0,0,N12/TrRail_act!N7*1000)</f>
        <v>177.13132342558131</v>
      </c>
      <c r="O41" s="87">
        <f>IF(O12=0,0,O12/TrRail_act!O7*1000)</f>
        <v>206.75793132497103</v>
      </c>
      <c r="P41" s="87">
        <f>IF(P12=0,0,P12/TrRail_act!P7*1000)</f>
        <v>169.02783115257537</v>
      </c>
      <c r="Q41" s="87">
        <f>IF(Q12=0,0,Q12/TrRail_act!Q7*1000)</f>
        <v>165.10105108508566</v>
      </c>
      <c r="R41" s="87">
        <f>IF(R12=0,0,R12/TrRail_act!R7*1000)</f>
        <v>166.48314146065439</v>
      </c>
      <c r="S41" s="87">
        <f>IF(S12=0,0,S12/TrRail_act!S7*1000)</f>
        <v>156.21961631787141</v>
      </c>
      <c r="T41" s="87">
        <f>IF(T12=0,0,T12/TrRail_act!T7*1000)</f>
        <v>161.9375854430088</v>
      </c>
      <c r="U41" s="87">
        <f>IF(U12=0,0,U12/TrRail_act!U7*1000)</f>
        <v>151.80839391013851</v>
      </c>
      <c r="V41" s="87">
        <f>IF(V12=0,0,V12/TrRail_act!V7*1000)</f>
        <v>268.26626800179667</v>
      </c>
      <c r="W41" s="87">
        <f>IF(W12=0,0,W12/TrRail_act!W7*1000)</f>
        <v>217.5827035082487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9.9514551136522815</v>
      </c>
      <c r="C44" s="29">
        <f>IF(C15=0,0,C15/TrRail_act!C10*1000)</f>
        <v>10.507178952353311</v>
      </c>
      <c r="D44" s="29">
        <f>IF(D15=0,0,D15/TrRail_act!D10*1000)</f>
        <v>10.084159229831794</v>
      </c>
      <c r="E44" s="29">
        <f>IF(E15=0,0,E15/TrRail_act!E10*1000)</f>
        <v>8.867918195439028</v>
      </c>
      <c r="F44" s="29">
        <f>IF(F15=0,0,F15/TrRail_act!F10*1000)</f>
        <v>7.6468422458179779</v>
      </c>
      <c r="G44" s="29">
        <f>IF(G15=0,0,G15/TrRail_act!G10*1000)</f>
        <v>5.59786367545742</v>
      </c>
      <c r="H44" s="29">
        <f>IF(H15=0,0,H15/TrRail_act!H10*1000)</f>
        <v>3.0937475695425851</v>
      </c>
      <c r="I44" s="29">
        <f>IF(I15=0,0,I15/TrRail_act!I10*1000)</f>
        <v>3.5931911922657704</v>
      </c>
      <c r="J44" s="29">
        <f>IF(J15=0,0,J15/TrRail_act!J10*1000)</f>
        <v>4.5150097923062544</v>
      </c>
      <c r="K44" s="29">
        <f>IF(K15=0,0,K15/TrRail_act!K10*1000)</f>
        <v>4.7650959362266834</v>
      </c>
      <c r="L44" s="29">
        <f>IF(L15=0,0,L15/TrRail_act!L10*1000)</f>
        <v>3.3484230494644311</v>
      </c>
      <c r="M44" s="29">
        <f>IF(M15=0,0,M15/TrRail_act!M10*1000)</f>
        <v>3.0814251698018094</v>
      </c>
      <c r="N44" s="29">
        <f>IF(N15=0,0,N15/TrRail_act!N10*1000)</f>
        <v>3.428027549564042</v>
      </c>
      <c r="O44" s="29">
        <f>IF(O15=0,0,O15/TrRail_act!O10*1000)</f>
        <v>3.2213380852118338</v>
      </c>
      <c r="P44" s="29">
        <f>IF(P15=0,0,P15/TrRail_act!P10*1000)</f>
        <v>3.2570155273142518</v>
      </c>
      <c r="Q44" s="29">
        <f>IF(Q15=0,0,Q15/TrRail_act!Q10*1000)</f>
        <v>2.6943283335831838</v>
      </c>
      <c r="R44" s="29">
        <f>IF(R15=0,0,R15/TrRail_act!R10*1000)</f>
        <v>2.643655174455569</v>
      </c>
      <c r="S44" s="29">
        <f>IF(S15=0,0,S15/TrRail_act!S10*1000)</f>
        <v>2.4056877123867717</v>
      </c>
      <c r="T44" s="29">
        <f>IF(T15=0,0,T15/TrRail_act!T10*1000)</f>
        <v>2.594602775002615</v>
      </c>
      <c r="U44" s="29">
        <f>IF(U15=0,0,U15/TrRail_act!U10*1000)</f>
        <v>2.7382701823890709</v>
      </c>
      <c r="V44" s="29">
        <f>IF(V15=0,0,V15/TrRail_act!V10*1000)</f>
        <v>3.7386144039644265</v>
      </c>
      <c r="W44" s="29">
        <f>IF(W15=0,0,W15/TrRail_act!W10*1000)</f>
        <v>2.6502206118766289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38.996146457380945</v>
      </c>
      <c r="C45" s="87">
        <f>IF(C16=0,0,C16/TrRail_act!C11*1000)</f>
        <v>41.934595264182768</v>
      </c>
      <c r="D45" s="87">
        <f>IF(D16=0,0,D16/TrRail_act!D11*1000)</f>
        <v>41.624285101744334</v>
      </c>
      <c r="E45" s="87">
        <f>IF(E16=0,0,E16/TrRail_act!E11*1000)</f>
        <v>41.154983214277507</v>
      </c>
      <c r="F45" s="87">
        <f>IF(F16=0,0,F16/TrRail_act!F11*1000)</f>
        <v>40.663316528122074</v>
      </c>
      <c r="G45" s="87">
        <f>IF(G16=0,0,G16/TrRail_act!G11*1000)</f>
        <v>45.283242194925705</v>
      </c>
      <c r="H45" s="87">
        <f>IF(H16=0,0,H16/TrRail_act!H11*1000)</f>
        <v>34.674601339016355</v>
      </c>
      <c r="I45" s="87">
        <f>IF(I16=0,0,I16/TrRail_act!I11*1000)</f>
        <v>33.314559631960549</v>
      </c>
      <c r="J45" s="87">
        <f>IF(J16=0,0,J16/TrRail_act!J11*1000)</f>
        <v>34.151725079503727</v>
      </c>
      <c r="K45" s="87">
        <f>IF(K16=0,0,K16/TrRail_act!K11*1000)</f>
        <v>40.500631751569912</v>
      </c>
      <c r="L45" s="87">
        <f>IF(L16=0,0,L16/TrRail_act!L11*1000)</f>
        <v>27.158425567596744</v>
      </c>
      <c r="M45" s="87">
        <f>IF(M16=0,0,M16/TrRail_act!M11*1000)</f>
        <v>27.668761101214383</v>
      </c>
      <c r="N45" s="87">
        <f>IF(N16=0,0,N16/TrRail_act!N11*1000)</f>
        <v>30.482579095917931</v>
      </c>
      <c r="O45" s="87">
        <f>IF(O16=0,0,O16/TrRail_act!O11*1000)</f>
        <v>31.215789019145753</v>
      </c>
      <c r="P45" s="87">
        <f>IF(P16=0,0,P16/TrRail_act!P11*1000)</f>
        <v>29.961548045454229</v>
      </c>
      <c r="Q45" s="87">
        <f>IF(Q16=0,0,Q16/TrRail_act!Q11*1000)</f>
        <v>30.672857500735706</v>
      </c>
      <c r="R45" s="87">
        <f>IF(R16=0,0,R16/TrRail_act!R11*1000)</f>
        <v>29.448383430077421</v>
      </c>
      <c r="S45" s="87">
        <f>IF(S16=0,0,S16/TrRail_act!S11*1000)</f>
        <v>28.977028094421211</v>
      </c>
      <c r="T45" s="87">
        <f>IF(T16=0,0,T16/TrRail_act!T11*1000)</f>
        <v>28.247317593692074</v>
      </c>
      <c r="U45" s="87">
        <f>IF(U16=0,0,U16/TrRail_act!U11*1000)</f>
        <v>31.24884729103734</v>
      </c>
      <c r="V45" s="87">
        <f>IF(V16=0,0,V16/TrRail_act!V11*1000)</f>
        <v>38.672405418950341</v>
      </c>
      <c r="W45" s="87">
        <f>IF(W16=0,0,W16/TrRail_act!W11*1000)</f>
        <v>28.523690594540319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893.46867805190607</v>
      </c>
      <c r="C48" s="62">
        <f>IF(C8=0,0,1000000*C8/TrRail_act!C25/1000)</f>
        <v>856.91042239920387</v>
      </c>
      <c r="D48" s="62">
        <f>IF(D8=0,0,1000000*D8/TrRail_act!D25/1000)</f>
        <v>803.56139287461076</v>
      </c>
      <c r="E48" s="62">
        <f>IF(E8=0,0,1000000*E8/TrRail_act!E25/1000)</f>
        <v>631.7620067460731</v>
      </c>
      <c r="F48" s="62">
        <f>IF(F8=0,0,1000000*F8/TrRail_act!F25/1000)</f>
        <v>513.5785647395362</v>
      </c>
      <c r="G48" s="62">
        <f>IF(G8=0,0,1000000*G8/TrRail_act!G25/1000)</f>
        <v>264.79875789467326</v>
      </c>
      <c r="H48" s="62">
        <f>IF(H8=0,0,1000000*H8/TrRail_act!H25/1000)</f>
        <v>185.86095193852032</v>
      </c>
      <c r="I48" s="62">
        <f>IF(I8=0,0,1000000*I8/TrRail_act!I25/1000)</f>
        <v>252.30315108242914</v>
      </c>
      <c r="J48" s="62">
        <f>IF(J8=0,0,1000000*J8/TrRail_act!J25/1000)</f>
        <v>292.21304559940864</v>
      </c>
      <c r="K48" s="62">
        <f>IF(K8=0,0,1000000*K8/TrRail_act!K25/1000)</f>
        <v>244.08507785885899</v>
      </c>
      <c r="L48" s="62">
        <f>IF(L8=0,0,1000000*L8/TrRail_act!L25/1000)</f>
        <v>263.31376600556626</v>
      </c>
      <c r="M48" s="62">
        <f>IF(M8=0,0,1000000*M8/TrRail_act!M25/1000)</f>
        <v>231.21732239827492</v>
      </c>
      <c r="N48" s="62">
        <f>IF(N8=0,0,1000000*N8/TrRail_act!N25/1000)</f>
        <v>221.28351611291495</v>
      </c>
      <c r="O48" s="62">
        <f>IF(O8=0,0,1000000*O8/TrRail_act!O25/1000)</f>
        <v>198.63753440580646</v>
      </c>
      <c r="P48" s="62">
        <f>IF(P8=0,0,1000000*P8/TrRail_act!P25/1000)</f>
        <v>199.07382675218113</v>
      </c>
      <c r="Q48" s="62">
        <f>IF(Q8=0,0,1000000*Q8/TrRail_act!Q25/1000)</f>
        <v>152.954631899763</v>
      </c>
      <c r="R48" s="62">
        <f>IF(R8=0,0,1000000*R8/TrRail_act!R25/1000)</f>
        <v>156.01265632672497</v>
      </c>
      <c r="S48" s="62">
        <f>IF(S8=0,0,1000000*S8/TrRail_act!S25/1000)</f>
        <v>139.50593660180914</v>
      </c>
      <c r="T48" s="62">
        <f>IF(T8=0,0,1000000*T8/TrRail_act!T25/1000)</f>
        <v>147.73866058088257</v>
      </c>
      <c r="U48" s="62">
        <f>IF(U8=0,0,1000000*U8/TrRail_act!U25/1000)</f>
        <v>135.69882909839291</v>
      </c>
      <c r="V48" s="62">
        <f>IF(V8=0,0,1000000*V8/TrRail_act!V25/1000)</f>
        <v>135.11747299469178</v>
      </c>
      <c r="W48" s="62">
        <f>IF(W8=0,0,1000000*W8/TrRail_act!W25/1000)</f>
        <v>140.00555074651979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863.2045696642208</v>
      </c>
      <c r="C49" s="29">
        <f>IF(C9=0,0,1000000*C9/TrRail_act!C26/1000)</f>
        <v>857.18138985281485</v>
      </c>
      <c r="D49" s="29">
        <f>IF(D9=0,0,1000000*D9/TrRail_act!D26/1000)</f>
        <v>822.52087967643263</v>
      </c>
      <c r="E49" s="29">
        <f>IF(E9=0,0,1000000*E9/TrRail_act!E26/1000)</f>
        <v>627.37480944311528</v>
      </c>
      <c r="F49" s="29">
        <f>IF(F9=0,0,1000000*F9/TrRail_act!F26/1000)</f>
        <v>497.63633861667068</v>
      </c>
      <c r="G49" s="29">
        <f>IF(G9=0,0,1000000*G9/TrRail_act!G26/1000)</f>
        <v>253.74031788328583</v>
      </c>
      <c r="H49" s="29">
        <f>IF(H9=0,0,1000000*H9/TrRail_act!H26/1000)</f>
        <v>180.55651555760733</v>
      </c>
      <c r="I49" s="29">
        <f>IF(I9=0,0,1000000*I9/TrRail_act!I26/1000)</f>
        <v>244.10694185377002</v>
      </c>
      <c r="J49" s="29">
        <f>IF(J9=0,0,1000000*J9/TrRail_act!J26/1000)</f>
        <v>307.58388495530539</v>
      </c>
      <c r="K49" s="29">
        <f>IF(K9=0,0,1000000*K9/TrRail_act!K26/1000)</f>
        <v>255.29993654963545</v>
      </c>
      <c r="L49" s="29">
        <f>IF(L9=0,0,1000000*L9/TrRail_act!L26/1000)</f>
        <v>270.56791485444194</v>
      </c>
      <c r="M49" s="29">
        <f>IF(M9=0,0,1000000*M9/TrRail_act!M26/1000)</f>
        <v>235.94119415232905</v>
      </c>
      <c r="N49" s="29">
        <f>IF(N9=0,0,1000000*N9/TrRail_act!N26/1000)</f>
        <v>224.72508813151063</v>
      </c>
      <c r="O49" s="29">
        <f>IF(O9=0,0,1000000*O9/TrRail_act!O26/1000)</f>
        <v>199.96561859377971</v>
      </c>
      <c r="P49" s="29">
        <f>IF(P9=0,0,1000000*P9/TrRail_act!P26/1000)</f>
        <v>199.2348791454184</v>
      </c>
      <c r="Q49" s="29">
        <f>IF(Q9=0,0,1000000*Q9/TrRail_act!Q26/1000)</f>
        <v>151.12579607927668</v>
      </c>
      <c r="R49" s="29">
        <f>IF(R9=0,0,1000000*R9/TrRail_act!R26/1000)</f>
        <v>154.10830090738895</v>
      </c>
      <c r="S49" s="29">
        <f>IF(S9=0,0,1000000*S9/TrRail_act!S26/1000)</f>
        <v>137.63533720189454</v>
      </c>
      <c r="T49" s="29">
        <f>IF(T9=0,0,1000000*T9/TrRail_act!T26/1000)</f>
        <v>145.39182717773159</v>
      </c>
      <c r="U49" s="29">
        <f>IF(U9=0,0,1000000*U9/TrRail_act!U26/1000)</f>
        <v>133.56406268294856</v>
      </c>
      <c r="V49" s="29">
        <f>IF(V9=0,0,1000000*V9/TrRail_act!V26/1000)</f>
        <v>131.12554917427235</v>
      </c>
      <c r="W49" s="29">
        <f>IF(W9=0,0,1000000*W9/TrRail_act!W26/1000)</f>
        <v>138.35326975053212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863.2045696642208</v>
      </c>
      <c r="C51" s="116">
        <f>IF(C11=0,0,1000000*C11/TrRail_act!C28/1000)</f>
        <v>857.18138985281485</v>
      </c>
      <c r="D51" s="116">
        <f>IF(D11=0,0,1000000*D11/TrRail_act!D28/1000)</f>
        <v>822.52087967643263</v>
      </c>
      <c r="E51" s="116">
        <f>IF(E11=0,0,1000000*E11/TrRail_act!E28/1000)</f>
        <v>627.37480944311528</v>
      </c>
      <c r="F51" s="116">
        <f>IF(F11=0,0,1000000*F11/TrRail_act!F28/1000)</f>
        <v>497.63633861667068</v>
      </c>
      <c r="G51" s="116">
        <f>IF(G11=0,0,1000000*G11/TrRail_act!G28/1000)</f>
        <v>253.74031788328583</v>
      </c>
      <c r="H51" s="116">
        <f>IF(H11=0,0,1000000*H11/TrRail_act!H28/1000)</f>
        <v>180.55651555760733</v>
      </c>
      <c r="I51" s="116">
        <f>IF(I11=0,0,1000000*I11/TrRail_act!I28/1000)</f>
        <v>244.10694185377002</v>
      </c>
      <c r="J51" s="116">
        <f>IF(J11=0,0,1000000*J11/TrRail_act!J28/1000)</f>
        <v>307.58388495530539</v>
      </c>
      <c r="K51" s="116">
        <f>IF(K11=0,0,1000000*K11/TrRail_act!K28/1000)</f>
        <v>255.29993654963545</v>
      </c>
      <c r="L51" s="116">
        <f>IF(L11=0,0,1000000*L11/TrRail_act!L28/1000)</f>
        <v>270.56791485444194</v>
      </c>
      <c r="M51" s="116">
        <f>IF(M11=0,0,1000000*M11/TrRail_act!M28/1000)</f>
        <v>235.94119415232905</v>
      </c>
      <c r="N51" s="116">
        <f>IF(N11=0,0,1000000*N11/TrRail_act!N28/1000)</f>
        <v>224.72508813151063</v>
      </c>
      <c r="O51" s="116">
        <f>IF(O11=0,0,1000000*O11/TrRail_act!O28/1000)</f>
        <v>199.96561859377971</v>
      </c>
      <c r="P51" s="116">
        <f>IF(P11=0,0,1000000*P11/TrRail_act!P28/1000)</f>
        <v>199.2348791454184</v>
      </c>
      <c r="Q51" s="116">
        <f>IF(Q11=0,0,1000000*Q11/TrRail_act!Q28/1000)</f>
        <v>151.12579607927668</v>
      </c>
      <c r="R51" s="116">
        <f>IF(R11=0,0,1000000*R11/TrRail_act!R28/1000)</f>
        <v>154.10830090738895</v>
      </c>
      <c r="S51" s="116">
        <f>IF(S11=0,0,1000000*S11/TrRail_act!S28/1000)</f>
        <v>137.63533720189454</v>
      </c>
      <c r="T51" s="116">
        <f>IF(T11=0,0,1000000*T11/TrRail_act!T28/1000)</f>
        <v>154.81735294726454</v>
      </c>
      <c r="U51" s="116">
        <f>IF(U11=0,0,1000000*U11/TrRail_act!U28/1000)</f>
        <v>147.26375099104683</v>
      </c>
      <c r="V51" s="116">
        <f>IF(V11=0,0,1000000*V11/TrRail_act!V28/1000)</f>
        <v>145.0608208975074</v>
      </c>
      <c r="W51" s="116">
        <f>IF(W11=0,0,1000000*W11/TrRail_act!W28/1000)</f>
        <v>152.87253078428952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1660.9783510269535</v>
      </c>
      <c r="C52" s="87">
        <f>IF(C12=0,0,1000000*C12/TrRail_act!C29/1000)</f>
        <v>1644.4001937894957</v>
      </c>
      <c r="D52" s="87">
        <f>IF(D12=0,0,1000000*D12/TrRail_act!D29/1000)</f>
        <v>1620.4188916600281</v>
      </c>
      <c r="E52" s="87">
        <f>IF(E12=0,0,1000000*E12/TrRail_act!E29/1000)</f>
        <v>1310.833248532779</v>
      </c>
      <c r="F52" s="87">
        <f>IF(F12=0,0,1000000*F12/TrRail_act!F29/1000)</f>
        <v>1151.8434238287757</v>
      </c>
      <c r="G52" s="87">
        <f>IF(G12=0,0,1000000*G12/TrRail_act!G29/1000)</f>
        <v>890.23717769106941</v>
      </c>
      <c r="H52" s="87">
        <f>IF(H12=0,0,1000000*H12/TrRail_act!H29/1000)</f>
        <v>804.28753991414771</v>
      </c>
      <c r="I52" s="87">
        <f>IF(I12=0,0,1000000*I12/TrRail_act!I29/1000)</f>
        <v>1237.4999255294119</v>
      </c>
      <c r="J52" s="87">
        <f>IF(J12=0,0,1000000*J12/TrRail_act!J29/1000)</f>
        <v>1327.961242860473</v>
      </c>
      <c r="K52" s="87">
        <f>IF(K12=0,0,1000000*K12/TrRail_act!K29/1000)</f>
        <v>1274.7662617535118</v>
      </c>
      <c r="L52" s="87">
        <f>IF(L12=0,0,1000000*L12/TrRail_act!L29/1000)</f>
        <v>1270.9314435047502</v>
      </c>
      <c r="M52" s="87">
        <f>IF(M12=0,0,1000000*M12/TrRail_act!M29/1000)</f>
        <v>1227.7358094306021</v>
      </c>
      <c r="N52" s="87">
        <f>IF(N12=0,0,1000000*N12/TrRail_act!N29/1000)</f>
        <v>1177.8872488418235</v>
      </c>
      <c r="O52" s="87">
        <f>IF(O12=0,0,1000000*O12/TrRail_act!O29/1000)</f>
        <v>1141.1061565654252</v>
      </c>
      <c r="P52" s="87">
        <f>IF(P12=0,0,1000000*P12/TrRail_act!P29/1000)</f>
        <v>1062.6062496873892</v>
      </c>
      <c r="Q52" s="87">
        <f>IF(Q12=0,0,1000000*Q12/TrRail_act!Q29/1000)</f>
        <v>956.95032185651348</v>
      </c>
      <c r="R52" s="87">
        <f>IF(R12=0,0,1000000*R12/TrRail_act!R29/1000)</f>
        <v>1046.1994577566941</v>
      </c>
      <c r="S52" s="87">
        <f>IF(S12=0,0,1000000*S12/TrRail_act!S29/1000)</f>
        <v>1017.7080953353184</v>
      </c>
      <c r="T52" s="87">
        <f>IF(T12=0,0,1000000*T12/TrRail_act!T29/1000)</f>
        <v>1016.7675132403525</v>
      </c>
      <c r="U52" s="87">
        <f>IF(U12=0,0,1000000*U12/TrRail_act!U29/1000)</f>
        <v>1011.777001059092</v>
      </c>
      <c r="V52" s="87">
        <f>IF(V12=0,0,1000000*V12/TrRail_act!V29/1000)</f>
        <v>983.53810588572344</v>
      </c>
      <c r="W52" s="87">
        <f>IF(W12=0,0,1000000*W12/TrRail_act!W29/1000)</f>
        <v>984.34165760219821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993.01524227428604</v>
      </c>
      <c r="C55" s="29">
        <f>IF(C15=0,0,1000000*C15/TrRail_act!C32/1000)</f>
        <v>855.9959390257527</v>
      </c>
      <c r="D55" s="29">
        <f>IF(D15=0,0,1000000*D15/TrRail_act!D32/1000)</f>
        <v>742.15241628704416</v>
      </c>
      <c r="E55" s="29">
        <f>IF(E15=0,0,1000000*E15/TrRail_act!E32/1000)</f>
        <v>646.01285968409218</v>
      </c>
      <c r="F55" s="29">
        <f>IF(F15=0,0,1000000*F15/TrRail_act!F32/1000)</f>
        <v>562.7471065620382</v>
      </c>
      <c r="G55" s="29">
        <f>IF(G15=0,0,1000000*G15/TrRail_act!G32/1000)</f>
        <v>315.16560131952843</v>
      </c>
      <c r="H55" s="29">
        <f>IF(H15=0,0,1000000*H15/TrRail_act!H32/1000)</f>
        <v>215.5627006142594</v>
      </c>
      <c r="I55" s="29">
        <f>IF(I15=0,0,1000000*I15/TrRail_act!I32/1000)</f>
        <v>292.85442902182001</v>
      </c>
      <c r="J55" s="29">
        <f>IF(J15=0,0,1000000*J15/TrRail_act!J32/1000)</f>
        <v>196.53861686039807</v>
      </c>
      <c r="K55" s="29">
        <f>IF(K15=0,0,1000000*K15/TrRail_act!K32/1000)</f>
        <v>164.99611102566249</v>
      </c>
      <c r="L55" s="29">
        <f>IF(L15=0,0,1000000*L15/TrRail_act!L32/1000)</f>
        <v>203.58427469442069</v>
      </c>
      <c r="M55" s="29">
        <f>IF(M15=0,0,1000000*M15/TrRail_act!M32/1000)</f>
        <v>184.41716742333972</v>
      </c>
      <c r="N55" s="29">
        <f>IF(N15=0,0,1000000*N15/TrRail_act!N32/1000)</f>
        <v>181.97014020112118</v>
      </c>
      <c r="O55" s="29">
        <f>IF(O15=0,0,1000000*O15/TrRail_act!O32/1000)</f>
        <v>180.6714097548637</v>
      </c>
      <c r="P55" s="29">
        <f>IF(P15=0,0,1000000*P15/TrRail_act!P32/1000)</f>
        <v>196.57227815341639</v>
      </c>
      <c r="Q55" s="29">
        <f>IF(Q15=0,0,1000000*Q15/TrRail_act!Q32/1000)</f>
        <v>187.88672647355318</v>
      </c>
      <c r="R55" s="29">
        <f>IF(R15=0,0,1000000*R15/TrRail_act!R32/1000)</f>
        <v>196.2263549885262</v>
      </c>
      <c r="S55" s="29">
        <f>IF(S15=0,0,1000000*S15/TrRail_act!S32/1000)</f>
        <v>177.21346125976524</v>
      </c>
      <c r="T55" s="29">
        <f>IF(T15=0,0,1000000*T15/TrRail_act!T32/1000)</f>
        <v>202.20908283864139</v>
      </c>
      <c r="U55" s="29">
        <f>IF(U15=0,0,1000000*U15/TrRail_act!U32/1000)</f>
        <v>188.76040999463055</v>
      </c>
      <c r="V55" s="29">
        <f>IF(V15=0,0,1000000*V15/TrRail_act!V32/1000)</f>
        <v>244.74648813000965</v>
      </c>
      <c r="W55" s="29">
        <f>IF(W15=0,0,1000000*W15/TrRail_act!W32/1000)</f>
        <v>185.10674606741892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3181.7317635572076</v>
      </c>
      <c r="C56" s="87">
        <f>IF(C16=0,0,1000000*C16/TrRail_act!C33/1000)</f>
        <v>3159.6509703417728</v>
      </c>
      <c r="D56" s="87">
        <f>IF(D16=0,0,1000000*D16/TrRail_act!D33/1000)</f>
        <v>3138.6914929275513</v>
      </c>
      <c r="E56" s="87">
        <f>IF(E16=0,0,1000000*E16/TrRail_act!E33/1000)</f>
        <v>2966.5184695342305</v>
      </c>
      <c r="F56" s="87">
        <f>IF(F16=0,0,1000000*F16/TrRail_act!F33/1000)</f>
        <v>3081.683588431822</v>
      </c>
      <c r="G56" s="87">
        <f>IF(G16=0,0,1000000*G16/TrRail_act!G33/1000)</f>
        <v>1844.8935920964407</v>
      </c>
      <c r="H56" s="87">
        <f>IF(H16=0,0,1000000*H16/TrRail_act!H33/1000)</f>
        <v>1375.6838155436212</v>
      </c>
      <c r="I56" s="87">
        <f>IF(I16=0,0,1000000*I16/TrRail_act!I33/1000)</f>
        <v>2597.3120632380992</v>
      </c>
      <c r="J56" s="87">
        <f>IF(J16=0,0,1000000*J16/TrRail_act!J33/1000)</f>
        <v>2112.0887230993112</v>
      </c>
      <c r="K56" s="87">
        <f>IF(K16=0,0,1000000*K16/TrRail_act!K33/1000)</f>
        <v>2390.0227643087173</v>
      </c>
      <c r="L56" s="87">
        <f>IF(L16=0,0,1000000*L16/TrRail_act!L33/1000)</f>
        <v>2915.8247847304715</v>
      </c>
      <c r="M56" s="87">
        <f>IF(M16=0,0,1000000*M16/TrRail_act!M33/1000)</f>
        <v>2897.3148925498813</v>
      </c>
      <c r="N56" s="87">
        <f>IF(N16=0,0,1000000*N16/TrRail_act!N33/1000)</f>
        <v>2813.3626223466658</v>
      </c>
      <c r="O56" s="87">
        <f>IF(O16=0,0,1000000*O16/TrRail_act!O33/1000)</f>
        <v>2782.484171184984</v>
      </c>
      <c r="P56" s="87">
        <f>IF(P16=0,0,1000000*P16/TrRail_act!P33/1000)</f>
        <v>2736.8662094095866</v>
      </c>
      <c r="Q56" s="87">
        <f>IF(Q16=0,0,1000000*Q16/TrRail_act!Q33/1000)</f>
        <v>2717.0226922055185</v>
      </c>
      <c r="R56" s="87">
        <f>IF(R16=0,0,1000000*R16/TrRail_act!R33/1000)</f>
        <v>2706.0560184634192</v>
      </c>
      <c r="S56" s="87">
        <f>IF(S16=0,0,1000000*S16/TrRail_act!S33/1000)</f>
        <v>2647.3278435320799</v>
      </c>
      <c r="T56" s="87">
        <f>IF(T16=0,0,1000000*T16/TrRail_act!T33/1000)</f>
        <v>2656.158961151636</v>
      </c>
      <c r="U56" s="87">
        <f>IF(U16=0,0,1000000*U16/TrRail_act!U33/1000)</f>
        <v>2651.5600054567012</v>
      </c>
      <c r="V56" s="87">
        <f>IF(V16=0,0,1000000*V16/TrRail_act!V33/1000)</f>
        <v>2583.7334145677337</v>
      </c>
      <c r="W56" s="87">
        <f>IF(W16=0,0,1000000*W16/TrRail_act!W33/1000)</f>
        <v>2590.4921063784263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0.74088409834722346</v>
      </c>
      <c r="C60" s="31">
        <f t="shared" ref="C60:V60" si="8">IF(C9=0,0,C9/C$8)</f>
        <v>0.77166637824248419</v>
      </c>
      <c r="D60" s="31">
        <f t="shared" si="8"/>
        <v>0.78212120956533371</v>
      </c>
      <c r="E60" s="31">
        <f t="shared" si="8"/>
        <v>0.75930096630257038</v>
      </c>
      <c r="F60" s="31">
        <f t="shared" si="8"/>
        <v>0.73171120886406349</v>
      </c>
      <c r="G60" s="31">
        <f t="shared" si="8"/>
        <v>0.78572595702672576</v>
      </c>
      <c r="H60" s="31">
        <f t="shared" si="8"/>
        <v>0.8242562377193462</v>
      </c>
      <c r="I60" s="31">
        <f t="shared" si="8"/>
        <v>0.80484039760549142</v>
      </c>
      <c r="J60" s="31">
        <f t="shared" si="8"/>
        <v>0.90690082738222688</v>
      </c>
      <c r="K60" s="31">
        <f t="shared" si="8"/>
        <v>0.9160501092178126</v>
      </c>
      <c r="L60" s="31">
        <f t="shared" si="8"/>
        <v>0.91626859434488839</v>
      </c>
      <c r="M60" s="31">
        <f t="shared" si="8"/>
        <v>0.92687442712881518</v>
      </c>
      <c r="N60" s="31">
        <f t="shared" si="8"/>
        <v>0.93380555483672245</v>
      </c>
      <c r="O60" s="31">
        <f t="shared" si="8"/>
        <v>0.93739244430686253</v>
      </c>
      <c r="P60" s="31">
        <f t="shared" si="8"/>
        <v>0.94027320655773494</v>
      </c>
      <c r="Q60" s="31">
        <f t="shared" si="8"/>
        <v>0.93888867620336325</v>
      </c>
      <c r="R60" s="31">
        <f t="shared" si="8"/>
        <v>0.94313078760727398</v>
      </c>
      <c r="S60" s="31">
        <f t="shared" si="8"/>
        <v>0.93996153167767371</v>
      </c>
      <c r="T60" s="31">
        <f t="shared" si="8"/>
        <v>0.94346615679257773</v>
      </c>
      <c r="U60" s="31">
        <f t="shared" si="8"/>
        <v>0.94620092176266224</v>
      </c>
      <c r="V60" s="31">
        <f t="shared" si="8"/>
        <v>0.93636019717327024</v>
      </c>
      <c r="W60" s="31">
        <f t="shared" ref="W60" si="9">IF(W9=0,0,W9/W$8)</f>
        <v>0.95327524939680941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0.74088409834722346</v>
      </c>
      <c r="C62" s="124">
        <f t="shared" ref="C62:V62" si="12">IF(C11=0,0,C11/C$8)</f>
        <v>0.77166637824248419</v>
      </c>
      <c r="D62" s="124">
        <f t="shared" si="12"/>
        <v>0.78212120956533371</v>
      </c>
      <c r="E62" s="124">
        <f t="shared" si="12"/>
        <v>0.75930096630257038</v>
      </c>
      <c r="F62" s="124">
        <f t="shared" si="12"/>
        <v>0.73171120886406349</v>
      </c>
      <c r="G62" s="124">
        <f t="shared" si="12"/>
        <v>0.78572595702672576</v>
      </c>
      <c r="H62" s="124">
        <f t="shared" si="12"/>
        <v>0.8242562377193462</v>
      </c>
      <c r="I62" s="124">
        <f t="shared" si="12"/>
        <v>0.80484039760549142</v>
      </c>
      <c r="J62" s="124">
        <f t="shared" si="12"/>
        <v>0.90690082738222688</v>
      </c>
      <c r="K62" s="124">
        <f t="shared" si="12"/>
        <v>0.9160501092178126</v>
      </c>
      <c r="L62" s="124">
        <f t="shared" si="12"/>
        <v>0.91626859434488839</v>
      </c>
      <c r="M62" s="124">
        <f t="shared" si="12"/>
        <v>0.92687442712881518</v>
      </c>
      <c r="N62" s="124">
        <f t="shared" si="12"/>
        <v>0.93380555483672245</v>
      </c>
      <c r="O62" s="124">
        <f t="shared" si="12"/>
        <v>0.93739244430686253</v>
      </c>
      <c r="P62" s="124">
        <f t="shared" si="12"/>
        <v>0.94027320655773494</v>
      </c>
      <c r="Q62" s="124">
        <f t="shared" si="12"/>
        <v>0.93888867620336325</v>
      </c>
      <c r="R62" s="124">
        <f t="shared" si="12"/>
        <v>0.94313078760727398</v>
      </c>
      <c r="S62" s="124">
        <f t="shared" si="12"/>
        <v>0.93996153167767371</v>
      </c>
      <c r="T62" s="124">
        <f t="shared" si="12"/>
        <v>0.94346615679257773</v>
      </c>
      <c r="U62" s="124">
        <f t="shared" si="12"/>
        <v>0.94620092176266224</v>
      </c>
      <c r="V62" s="124">
        <f t="shared" si="12"/>
        <v>0.93636019717327024</v>
      </c>
      <c r="W62" s="124">
        <f t="shared" ref="W62" si="13">IF(W11=0,0,W11/W$8)</f>
        <v>0.95327524939680941</v>
      </c>
      <c r="DA62" s="176"/>
    </row>
    <row r="63" spans="1:105" ht="11.45" customHeight="1" x14ac:dyDescent="0.25">
      <c r="A63" s="111" t="s">
        <v>92</v>
      </c>
      <c r="B63" s="125">
        <f t="shared" si="5"/>
        <v>0.74088409834722346</v>
      </c>
      <c r="C63" s="125">
        <f t="shared" ref="C63:V63" si="14">IF(C12=0,0,C12/C$8)</f>
        <v>0.77166637824248419</v>
      </c>
      <c r="D63" s="125">
        <f t="shared" si="14"/>
        <v>0.78212120956533371</v>
      </c>
      <c r="E63" s="125">
        <f t="shared" si="14"/>
        <v>0.75930096630257038</v>
      </c>
      <c r="F63" s="125">
        <f t="shared" si="14"/>
        <v>0.73171120886406349</v>
      </c>
      <c r="G63" s="125">
        <f t="shared" si="14"/>
        <v>0.78572595702672576</v>
      </c>
      <c r="H63" s="125">
        <f t="shared" si="14"/>
        <v>0.8242562377193462</v>
      </c>
      <c r="I63" s="125">
        <f t="shared" si="14"/>
        <v>0.80484039760549142</v>
      </c>
      <c r="J63" s="125">
        <f t="shared" si="14"/>
        <v>0.90690082738222688</v>
      </c>
      <c r="K63" s="125">
        <f t="shared" si="14"/>
        <v>0.9160501092178126</v>
      </c>
      <c r="L63" s="125">
        <f t="shared" si="14"/>
        <v>0.91626859434488839</v>
      </c>
      <c r="M63" s="125">
        <f t="shared" si="14"/>
        <v>0.92687442712881518</v>
      </c>
      <c r="N63" s="125">
        <f t="shared" si="14"/>
        <v>0.93380555483672245</v>
      </c>
      <c r="O63" s="125">
        <f t="shared" si="14"/>
        <v>0.93739244430686253</v>
      </c>
      <c r="P63" s="125">
        <f t="shared" si="14"/>
        <v>0.94027320655773494</v>
      </c>
      <c r="Q63" s="125">
        <f t="shared" si="14"/>
        <v>0.93888867620336325</v>
      </c>
      <c r="R63" s="125">
        <f t="shared" si="14"/>
        <v>0.94313078760727398</v>
      </c>
      <c r="S63" s="125">
        <f t="shared" si="14"/>
        <v>0.93996153167767371</v>
      </c>
      <c r="T63" s="125">
        <f t="shared" si="14"/>
        <v>0.94346615679257773</v>
      </c>
      <c r="U63" s="125">
        <f t="shared" si="14"/>
        <v>0.94620092176266224</v>
      </c>
      <c r="V63" s="125">
        <f t="shared" si="14"/>
        <v>0.93636019717327024</v>
      </c>
      <c r="W63" s="125">
        <f t="shared" ref="W63" si="15">IF(W12=0,0,W12/W$8)</f>
        <v>0.95327524939680941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0.25911590165277654</v>
      </c>
      <c r="C66" s="31">
        <f t="shared" ref="C66:V66" si="20">IF(C15=0,0,C15/C$8)</f>
        <v>0.22833362175751587</v>
      </c>
      <c r="D66" s="31">
        <f t="shared" si="20"/>
        <v>0.21787879043466632</v>
      </c>
      <c r="E66" s="31">
        <f t="shared" si="20"/>
        <v>0.24069903369742959</v>
      </c>
      <c r="F66" s="31">
        <f t="shared" si="20"/>
        <v>0.26828879113593646</v>
      </c>
      <c r="G66" s="31">
        <f t="shared" si="20"/>
        <v>0.21427404297327415</v>
      </c>
      <c r="H66" s="31">
        <f t="shared" si="20"/>
        <v>0.17574376228065386</v>
      </c>
      <c r="I66" s="31">
        <f t="shared" si="20"/>
        <v>0.19515960239450869</v>
      </c>
      <c r="J66" s="31">
        <f t="shared" si="20"/>
        <v>9.3099172617773104E-2</v>
      </c>
      <c r="K66" s="31">
        <f t="shared" si="20"/>
        <v>8.3949890782187439E-2</v>
      </c>
      <c r="L66" s="31">
        <f t="shared" si="20"/>
        <v>8.3731405655111696E-2</v>
      </c>
      <c r="M66" s="31">
        <f t="shared" si="20"/>
        <v>7.3125572871184846E-2</v>
      </c>
      <c r="N66" s="31">
        <f t="shared" si="20"/>
        <v>6.6194445163277507E-2</v>
      </c>
      <c r="O66" s="31">
        <f t="shared" si="20"/>
        <v>6.2607555693137584E-2</v>
      </c>
      <c r="P66" s="31">
        <f t="shared" si="20"/>
        <v>5.9726793442265023E-2</v>
      </c>
      <c r="Q66" s="31">
        <f t="shared" si="20"/>
        <v>6.1111323796636877E-2</v>
      </c>
      <c r="R66" s="31">
        <f t="shared" si="20"/>
        <v>5.6869212392726097E-2</v>
      </c>
      <c r="S66" s="31">
        <f t="shared" si="20"/>
        <v>6.0038468322326261E-2</v>
      </c>
      <c r="T66" s="31">
        <f t="shared" si="20"/>
        <v>5.6533843207422288E-2</v>
      </c>
      <c r="U66" s="31">
        <f t="shared" si="20"/>
        <v>5.3799078237337788E-2</v>
      </c>
      <c r="V66" s="31">
        <f t="shared" si="20"/>
        <v>6.3639802826729833E-2</v>
      </c>
      <c r="W66" s="31">
        <f t="shared" ref="W66" si="21">IF(W15=0,0,W15/W$8)</f>
        <v>4.6724750603190646E-2</v>
      </c>
      <c r="DA66" s="173"/>
    </row>
    <row r="67" spans="1:105" ht="11.45" customHeight="1" x14ac:dyDescent="0.25">
      <c r="A67" s="83" t="s">
        <v>92</v>
      </c>
      <c r="B67" s="125">
        <f t="shared" si="5"/>
        <v>0.25911590165277654</v>
      </c>
      <c r="C67" s="125">
        <f t="shared" ref="C67:V67" si="22">IF(C16=0,0,C16/C$8)</f>
        <v>0.22833362175751587</v>
      </c>
      <c r="D67" s="125">
        <f t="shared" si="22"/>
        <v>0.21787879043466632</v>
      </c>
      <c r="E67" s="125">
        <f t="shared" si="22"/>
        <v>0.24069903369742959</v>
      </c>
      <c r="F67" s="125">
        <f t="shared" si="22"/>
        <v>0.26828879113593646</v>
      </c>
      <c r="G67" s="125">
        <f t="shared" si="22"/>
        <v>0.21427404297327415</v>
      </c>
      <c r="H67" s="125">
        <f t="shared" si="22"/>
        <v>0.17574376228065386</v>
      </c>
      <c r="I67" s="125">
        <f t="shared" si="22"/>
        <v>0.19515960239450869</v>
      </c>
      <c r="J67" s="125">
        <f t="shared" si="22"/>
        <v>9.3099172617773104E-2</v>
      </c>
      <c r="K67" s="125">
        <f t="shared" si="22"/>
        <v>8.3949890782187439E-2</v>
      </c>
      <c r="L67" s="125">
        <f t="shared" si="22"/>
        <v>8.3731405655111696E-2</v>
      </c>
      <c r="M67" s="125">
        <f t="shared" si="22"/>
        <v>7.3125572871184846E-2</v>
      </c>
      <c r="N67" s="125">
        <f t="shared" si="22"/>
        <v>6.6194445163277507E-2</v>
      </c>
      <c r="O67" s="125">
        <f t="shared" si="22"/>
        <v>6.2607555693137584E-2</v>
      </c>
      <c r="P67" s="125">
        <f t="shared" si="22"/>
        <v>5.9726793442265023E-2</v>
      </c>
      <c r="Q67" s="125">
        <f t="shared" si="22"/>
        <v>6.1111323796636877E-2</v>
      </c>
      <c r="R67" s="125">
        <f t="shared" si="22"/>
        <v>5.6869212392726097E-2</v>
      </c>
      <c r="S67" s="125">
        <f t="shared" si="22"/>
        <v>6.0038468322326261E-2</v>
      </c>
      <c r="T67" s="125">
        <f t="shared" si="22"/>
        <v>5.6533843207422288E-2</v>
      </c>
      <c r="U67" s="125">
        <f t="shared" si="22"/>
        <v>5.3799078237337788E-2</v>
      </c>
      <c r="V67" s="125">
        <f t="shared" si="22"/>
        <v>6.3639802826729833E-2</v>
      </c>
      <c r="W67" s="125">
        <f t="shared" ref="W67" si="23">IF(W16=0,0,W16/W$8)</f>
        <v>4.6724750603190646E-2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736.01316741490416</v>
      </c>
      <c r="C4" s="11">
        <f t="shared" si="0"/>
        <v>808.30608506980013</v>
      </c>
      <c r="D4" s="11">
        <f t="shared" ref="D4:V4" si="1">SUM(D5:D7)</f>
        <v>879.88341151619557</v>
      </c>
      <c r="E4" s="11">
        <f t="shared" si="1"/>
        <v>909.492408052217</v>
      </c>
      <c r="F4" s="11">
        <f t="shared" si="1"/>
        <v>982.17330762390134</v>
      </c>
      <c r="G4" s="11">
        <f t="shared" si="1"/>
        <v>988.49389940072183</v>
      </c>
      <c r="H4" s="11">
        <f t="shared" si="1"/>
        <v>966.36476259890628</v>
      </c>
      <c r="I4" s="11">
        <f t="shared" si="1"/>
        <v>1023.1923208420204</v>
      </c>
      <c r="J4" s="11">
        <f t="shared" si="1"/>
        <v>1087.2351535641419</v>
      </c>
      <c r="K4" s="11">
        <f t="shared" si="1"/>
        <v>1024.7811391603941</v>
      </c>
      <c r="L4" s="11">
        <f t="shared" si="1"/>
        <v>1116.0589560824751</v>
      </c>
      <c r="M4" s="11">
        <f t="shared" si="1"/>
        <v>1146.5373272564912</v>
      </c>
      <c r="N4" s="11">
        <f t="shared" si="1"/>
        <v>1047.9977010981856</v>
      </c>
      <c r="O4" s="11">
        <f t="shared" si="1"/>
        <v>1192.0129721517751</v>
      </c>
      <c r="P4" s="11">
        <f t="shared" si="1"/>
        <v>1414.4373563430895</v>
      </c>
      <c r="Q4" s="11">
        <f t="shared" si="1"/>
        <v>1591.091848194734</v>
      </c>
      <c r="R4" s="11">
        <f t="shared" si="1"/>
        <v>1783.7463673207055</v>
      </c>
      <c r="S4" s="11">
        <f t="shared" si="1"/>
        <v>2241.7032273769214</v>
      </c>
      <c r="T4" s="11">
        <f t="shared" si="1"/>
        <v>2594.85995204336</v>
      </c>
      <c r="U4" s="11">
        <f t="shared" si="1"/>
        <v>2886.5635116689109</v>
      </c>
      <c r="V4" s="11">
        <f t="shared" si="1"/>
        <v>1049.9244011391791</v>
      </c>
      <c r="W4" s="11">
        <f t="shared" ref="W4" si="2">SUM(W5:W7)</f>
        <v>1650.3652154533595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629.0223200356703</v>
      </c>
      <c r="C6" s="84">
        <v>688.87827236780697</v>
      </c>
      <c r="D6" s="84">
        <v>747.2107652353078</v>
      </c>
      <c r="E6" s="84">
        <v>768.44667168930255</v>
      </c>
      <c r="F6" s="84">
        <v>824.88959455523968</v>
      </c>
      <c r="G6" s="84">
        <v>796.30821430892911</v>
      </c>
      <c r="H6" s="84">
        <v>755.31635624681348</v>
      </c>
      <c r="I6" s="84">
        <v>705.70033545997467</v>
      </c>
      <c r="J6" s="84">
        <v>671.28273004607513</v>
      </c>
      <c r="K6" s="84">
        <v>575.74959711610472</v>
      </c>
      <c r="L6" s="84">
        <v>602.75480802088327</v>
      </c>
      <c r="M6" s="84">
        <v>725.69373856370601</v>
      </c>
      <c r="N6" s="84">
        <v>733.06758468427347</v>
      </c>
      <c r="O6" s="84">
        <v>860.13736123430465</v>
      </c>
      <c r="P6" s="84">
        <v>991.49241516906602</v>
      </c>
      <c r="Q6" s="84">
        <v>1114.0781855145037</v>
      </c>
      <c r="R6" s="84">
        <v>1326.0068593909753</v>
      </c>
      <c r="S6" s="84">
        <v>1644.4317935979886</v>
      </c>
      <c r="T6" s="84">
        <v>1839.9338048216534</v>
      </c>
      <c r="U6" s="84">
        <v>1989.989967598925</v>
      </c>
      <c r="V6" s="84">
        <v>781.01057791205449</v>
      </c>
      <c r="W6" s="84">
        <v>1175.5282436887985</v>
      </c>
      <c r="DA6" s="171" t="s">
        <v>191</v>
      </c>
    </row>
    <row r="7" spans="1:105" ht="11.45" customHeight="1" x14ac:dyDescent="0.25">
      <c r="A7" s="83" t="s">
        <v>174</v>
      </c>
      <c r="B7" s="84">
        <v>106.99084737923387</v>
      </c>
      <c r="C7" s="84">
        <v>119.42781270199316</v>
      </c>
      <c r="D7" s="84">
        <v>132.6726462808877</v>
      </c>
      <c r="E7" s="84">
        <v>141.04573636291448</v>
      </c>
      <c r="F7" s="84">
        <v>157.28371306866165</v>
      </c>
      <c r="G7" s="84">
        <v>192.18568509179266</v>
      </c>
      <c r="H7" s="84">
        <v>211.04840635209285</v>
      </c>
      <c r="I7" s="84">
        <v>317.49198538204575</v>
      </c>
      <c r="J7" s="84">
        <v>415.95242351806684</v>
      </c>
      <c r="K7" s="84">
        <v>449.03154204428938</v>
      </c>
      <c r="L7" s="84">
        <v>513.30414806159183</v>
      </c>
      <c r="M7" s="84">
        <v>420.84358869278503</v>
      </c>
      <c r="N7" s="84">
        <v>314.93011641391206</v>
      </c>
      <c r="O7" s="84">
        <v>331.87561091747051</v>
      </c>
      <c r="P7" s="84">
        <v>422.94494117402343</v>
      </c>
      <c r="Q7" s="84">
        <v>477.01366268023025</v>
      </c>
      <c r="R7" s="84">
        <v>457.73950792973034</v>
      </c>
      <c r="S7" s="84">
        <v>597.27143377893276</v>
      </c>
      <c r="T7" s="84">
        <v>754.92614722170629</v>
      </c>
      <c r="U7" s="84">
        <v>896.57354406998593</v>
      </c>
      <c r="V7" s="84">
        <v>268.91382322712462</v>
      </c>
      <c r="W7" s="84">
        <v>474.83697176456099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2408.3154047201383</v>
      </c>
      <c r="C8" s="13">
        <f t="shared" si="3"/>
        <v>2602.2168560341502</v>
      </c>
      <c r="D8" s="13">
        <f t="shared" ref="D8:V8" si="4">SUM(D9:D11)</f>
        <v>2631.8682954070296</v>
      </c>
      <c r="E8" s="13">
        <f t="shared" si="4"/>
        <v>2608.7808013977783</v>
      </c>
      <c r="F8" s="13">
        <f t="shared" si="4"/>
        <v>2605.6125573665358</v>
      </c>
      <c r="G8" s="13">
        <f t="shared" si="4"/>
        <v>2697.2193715295516</v>
      </c>
      <c r="H8" s="13">
        <f t="shared" si="4"/>
        <v>2752.1755907662396</v>
      </c>
      <c r="I8" s="13">
        <f t="shared" si="4"/>
        <v>3395.2002671738232</v>
      </c>
      <c r="J8" s="13">
        <f t="shared" si="4"/>
        <v>3788.2963343917781</v>
      </c>
      <c r="K8" s="13">
        <f t="shared" si="4"/>
        <v>3280.1320329179916</v>
      </c>
      <c r="L8" s="13">
        <f t="shared" si="4"/>
        <v>3358.9780559629849</v>
      </c>
      <c r="M8" s="13">
        <f t="shared" si="4"/>
        <v>3492.7014042888236</v>
      </c>
      <c r="N8" s="13">
        <f t="shared" si="4"/>
        <v>3185.8381402770415</v>
      </c>
      <c r="O8" s="13">
        <f t="shared" si="4"/>
        <v>3282.7883779862677</v>
      </c>
      <c r="P8" s="13">
        <f t="shared" si="4"/>
        <v>3494.4857788424615</v>
      </c>
      <c r="Q8" s="13">
        <f t="shared" si="4"/>
        <v>3760.2406387522278</v>
      </c>
      <c r="R8" s="13">
        <f t="shared" si="4"/>
        <v>4096.8471879946937</v>
      </c>
      <c r="S8" s="13">
        <f t="shared" si="4"/>
        <v>4404.5193183943184</v>
      </c>
      <c r="T8" s="13">
        <f t="shared" si="4"/>
        <v>4450.5691687241042</v>
      </c>
      <c r="U8" s="13">
        <f t="shared" si="4"/>
        <v>4463.9333951298941</v>
      </c>
      <c r="V8" s="13">
        <f t="shared" si="4"/>
        <v>5111.0009622539555</v>
      </c>
      <c r="W8" s="13">
        <f t="shared" ref="W8" si="5">SUM(W9:W11)</f>
        <v>5399.9661913097325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40.111255034889076</v>
      </c>
      <c r="C10" s="102">
        <v>21.909549652593988</v>
      </c>
      <c r="D10" s="102">
        <v>18.863621897821933</v>
      </c>
      <c r="E10" s="102">
        <v>31.432939540725886</v>
      </c>
      <c r="F10" s="102">
        <v>25.0297284442915</v>
      </c>
      <c r="G10" s="102">
        <v>30.16824760034935</v>
      </c>
      <c r="H10" s="102">
        <v>16.798266589842179</v>
      </c>
      <c r="I10" s="102">
        <v>22.665264755324841</v>
      </c>
      <c r="J10" s="102">
        <v>30.659725545552892</v>
      </c>
      <c r="K10" s="102">
        <v>24.231399769265046</v>
      </c>
      <c r="L10" s="102">
        <v>26.127956515321674</v>
      </c>
      <c r="M10" s="102">
        <v>20.570915246796083</v>
      </c>
      <c r="N10" s="102">
        <v>22.967240387034202</v>
      </c>
      <c r="O10" s="102">
        <v>25.792777089625403</v>
      </c>
      <c r="P10" s="102">
        <v>29.176474057733902</v>
      </c>
      <c r="Q10" s="102">
        <v>24.838822560830248</v>
      </c>
      <c r="R10" s="102">
        <v>21.791045794798436</v>
      </c>
      <c r="S10" s="102">
        <v>25.276393558596524</v>
      </c>
      <c r="T10" s="102">
        <v>23.177938957216373</v>
      </c>
      <c r="U10" s="102">
        <v>21.806223153175527</v>
      </c>
      <c r="V10" s="102">
        <v>21.801095095921692</v>
      </c>
      <c r="W10" s="102">
        <v>25.742527794905499</v>
      </c>
      <c r="DA10" s="175" t="s">
        <v>195</v>
      </c>
    </row>
    <row r="11" spans="1:105" ht="11.45" customHeight="1" x14ac:dyDescent="0.25">
      <c r="A11" s="85" t="s">
        <v>174</v>
      </c>
      <c r="B11" s="86">
        <v>2368.2041496852494</v>
      </c>
      <c r="C11" s="86">
        <v>2580.3073063815564</v>
      </c>
      <c r="D11" s="86">
        <v>2613.0046735092078</v>
      </c>
      <c r="E11" s="86">
        <v>2577.3478618570525</v>
      </c>
      <c r="F11" s="86">
        <v>2580.5828289222445</v>
      </c>
      <c r="G11" s="86">
        <v>2667.0511239292023</v>
      </c>
      <c r="H11" s="86">
        <v>2735.3773241763975</v>
      </c>
      <c r="I11" s="86">
        <v>3372.5350024184986</v>
      </c>
      <c r="J11" s="86">
        <v>3757.636608846225</v>
      </c>
      <c r="K11" s="86">
        <v>3255.9006331487267</v>
      </c>
      <c r="L11" s="86">
        <v>3332.8500994476631</v>
      </c>
      <c r="M11" s="86">
        <v>3472.1304890420274</v>
      </c>
      <c r="N11" s="86">
        <v>3162.8708998900074</v>
      </c>
      <c r="O11" s="86">
        <v>3256.9956008966424</v>
      </c>
      <c r="P11" s="86">
        <v>3465.3093047847278</v>
      </c>
      <c r="Q11" s="86">
        <v>3735.4018161913978</v>
      </c>
      <c r="R11" s="86">
        <v>4075.056142199895</v>
      </c>
      <c r="S11" s="86">
        <v>4379.2429248357221</v>
      </c>
      <c r="T11" s="86">
        <v>4427.3912297668876</v>
      </c>
      <c r="U11" s="86">
        <v>4442.1271719767183</v>
      </c>
      <c r="V11" s="86">
        <v>5089.1998671580341</v>
      </c>
      <c r="W11" s="86">
        <v>5374.2236635148274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39.528817699542849</v>
      </c>
      <c r="C13" s="54">
        <f t="shared" si="6"/>
        <v>40.380620737039912</v>
      </c>
      <c r="D13" s="54">
        <f t="shared" ref="D13:V13" si="7">SUM(D14,D18)</f>
        <v>43.198246278642181</v>
      </c>
      <c r="E13" s="54">
        <f t="shared" si="7"/>
        <v>46.544177502697224</v>
      </c>
      <c r="F13" s="54">
        <f t="shared" si="7"/>
        <v>48.625121612941925</v>
      </c>
      <c r="G13" s="54">
        <f t="shared" si="7"/>
        <v>51.500041035442337</v>
      </c>
      <c r="H13" s="54">
        <f t="shared" si="7"/>
        <v>53.088131507838654</v>
      </c>
      <c r="I13" s="54">
        <f t="shared" si="7"/>
        <v>62.737369105294235</v>
      </c>
      <c r="J13" s="54">
        <f t="shared" si="7"/>
        <v>69.895107902619429</v>
      </c>
      <c r="K13" s="54">
        <f t="shared" si="7"/>
        <v>56.376094975878793</v>
      </c>
      <c r="L13" s="54">
        <f t="shared" si="7"/>
        <v>57.244386304928426</v>
      </c>
      <c r="M13" s="54">
        <f t="shared" si="7"/>
        <v>57.779650742826568</v>
      </c>
      <c r="N13" s="54">
        <f t="shared" si="7"/>
        <v>50.49745075551288</v>
      </c>
      <c r="O13" s="54">
        <f t="shared" si="7"/>
        <v>53.670679420296644</v>
      </c>
      <c r="P13" s="54">
        <f t="shared" si="7"/>
        <v>53.256302978776745</v>
      </c>
      <c r="Q13" s="54">
        <f t="shared" si="7"/>
        <v>58.976856135841345</v>
      </c>
      <c r="R13" s="54">
        <f t="shared" si="7"/>
        <v>60.612470501234071</v>
      </c>
      <c r="S13" s="54">
        <f t="shared" si="7"/>
        <v>67.967500448178498</v>
      </c>
      <c r="T13" s="54">
        <f t="shared" si="7"/>
        <v>69.743423211823824</v>
      </c>
      <c r="U13" s="54">
        <f t="shared" si="7"/>
        <v>68.46390959168518</v>
      </c>
      <c r="V13" s="54">
        <f t="shared" si="7"/>
        <v>80.554943292104866</v>
      </c>
      <c r="W13" s="54">
        <f t="shared" ref="W13" si="8">SUM(W14,W18)</f>
        <v>94.517542849360609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12.50857304638901</v>
      </c>
      <c r="C14" s="11">
        <f t="shared" si="9"/>
        <v>13.541611005916316</v>
      </c>
      <c r="D14" s="11">
        <f t="shared" ref="D14:V14" si="10">SUM(D15:D17)</f>
        <v>14.684836540024607</v>
      </c>
      <c r="E14" s="11">
        <f t="shared" si="10"/>
        <v>15.312383866793859</v>
      </c>
      <c r="F14" s="11">
        <f t="shared" si="10"/>
        <v>16.676954068502766</v>
      </c>
      <c r="G14" s="11">
        <f t="shared" si="10"/>
        <v>16.274920692171118</v>
      </c>
      <c r="H14" s="11">
        <f t="shared" si="10"/>
        <v>16.245389037178658</v>
      </c>
      <c r="I14" s="11">
        <f t="shared" si="10"/>
        <v>16.50848585281777</v>
      </c>
      <c r="J14" s="11">
        <f t="shared" si="10"/>
        <v>17.163201540172071</v>
      </c>
      <c r="K14" s="11">
        <f t="shared" si="10"/>
        <v>15.829764130862559</v>
      </c>
      <c r="L14" s="11">
        <f t="shared" si="10"/>
        <v>16.285772293345779</v>
      </c>
      <c r="M14" s="11">
        <f t="shared" si="10"/>
        <v>17.33773427732239</v>
      </c>
      <c r="N14" s="11">
        <f t="shared" si="10"/>
        <v>16.245705068376211</v>
      </c>
      <c r="O14" s="11">
        <f t="shared" si="10"/>
        <v>16.605621971126681</v>
      </c>
      <c r="P14" s="11">
        <f t="shared" si="10"/>
        <v>18.484701994203505</v>
      </c>
      <c r="Q14" s="11">
        <f t="shared" si="10"/>
        <v>20.092950636541101</v>
      </c>
      <c r="R14" s="11">
        <f t="shared" si="10"/>
        <v>22.003989982265939</v>
      </c>
      <c r="S14" s="11">
        <f t="shared" si="10"/>
        <v>25.497074652341432</v>
      </c>
      <c r="T14" s="11">
        <f t="shared" si="10"/>
        <v>29.139193474192389</v>
      </c>
      <c r="U14" s="11">
        <f t="shared" si="10"/>
        <v>31.083624108424619</v>
      </c>
      <c r="V14" s="11">
        <f t="shared" si="10"/>
        <v>13.24406252458359</v>
      </c>
      <c r="W14" s="11">
        <f t="shared" ref="W14" si="11">SUM(W15:W17)</f>
        <v>17.865891399498029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10.582351584733585</v>
      </c>
      <c r="C16" s="84">
        <v>11.456060114716553</v>
      </c>
      <c r="D16" s="84">
        <v>12.423309860969903</v>
      </c>
      <c r="E16" s="84">
        <v>12.954546114656383</v>
      </c>
      <c r="F16" s="84">
        <v>14.108658786295532</v>
      </c>
      <c r="G16" s="84">
        <v>13.875281710754745</v>
      </c>
      <c r="H16" s="84">
        <v>13.83713651485311</v>
      </c>
      <c r="I16" s="84">
        <v>13.177405904844969</v>
      </c>
      <c r="J16" s="84">
        <v>13.207401835680834</v>
      </c>
      <c r="K16" s="84">
        <v>11.472778463024113</v>
      </c>
      <c r="L16" s="84">
        <v>11.414761832323771</v>
      </c>
      <c r="M16" s="84">
        <v>12.928749199263187</v>
      </c>
      <c r="N16" s="84">
        <v>12.679657924222631</v>
      </c>
      <c r="O16" s="84">
        <v>13.019741978283639</v>
      </c>
      <c r="P16" s="84">
        <v>14.212820994580412</v>
      </c>
      <c r="Q16" s="84">
        <v>14.809560172706268</v>
      </c>
      <c r="R16" s="84">
        <v>16.620332266215694</v>
      </c>
      <c r="S16" s="84">
        <v>18.656012726642619</v>
      </c>
      <c r="T16" s="84">
        <v>20.327123827337378</v>
      </c>
      <c r="U16" s="84">
        <v>21.154655127513447</v>
      </c>
      <c r="V16" s="84">
        <v>9.8062169291504233</v>
      </c>
      <c r="W16" s="84">
        <v>12.780576047852353</v>
      </c>
      <c r="DA16" s="171" t="s">
        <v>200</v>
      </c>
    </row>
    <row r="17" spans="1:105" ht="11.45" customHeight="1" x14ac:dyDescent="0.25">
      <c r="A17" s="83" t="s">
        <v>174</v>
      </c>
      <c r="B17" s="84">
        <v>1.9262214616554258</v>
      </c>
      <c r="C17" s="84">
        <v>2.0855508911997633</v>
      </c>
      <c r="D17" s="84">
        <v>2.2615266790547035</v>
      </c>
      <c r="E17" s="84">
        <v>2.3578377521374749</v>
      </c>
      <c r="F17" s="84">
        <v>2.5682952822072345</v>
      </c>
      <c r="G17" s="84">
        <v>2.3996389814163739</v>
      </c>
      <c r="H17" s="84">
        <v>2.4082525223255473</v>
      </c>
      <c r="I17" s="84">
        <v>3.3310799479728006</v>
      </c>
      <c r="J17" s="84">
        <v>3.9557997044912367</v>
      </c>
      <c r="K17" s="84">
        <v>4.3569856678384458</v>
      </c>
      <c r="L17" s="84">
        <v>4.8710104610220073</v>
      </c>
      <c r="M17" s="84">
        <v>4.4089850780592048</v>
      </c>
      <c r="N17" s="84">
        <v>3.5660471441535777</v>
      </c>
      <c r="O17" s="84">
        <v>3.5858799928430409</v>
      </c>
      <c r="P17" s="84">
        <v>4.2718809996230949</v>
      </c>
      <c r="Q17" s="84">
        <v>5.2833904638348335</v>
      </c>
      <c r="R17" s="84">
        <v>5.3836577160502452</v>
      </c>
      <c r="S17" s="84">
        <v>6.8410619256988152</v>
      </c>
      <c r="T17" s="84">
        <v>8.8120696468550115</v>
      </c>
      <c r="U17" s="84">
        <v>9.9289689809111721</v>
      </c>
      <c r="V17" s="84">
        <v>3.4378455954331675</v>
      </c>
      <c r="W17" s="84">
        <v>5.0853153516456757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27.020244653153838</v>
      </c>
      <c r="C18" s="13">
        <f t="shared" si="12"/>
        <v>26.839009731123596</v>
      </c>
      <c r="D18" s="13">
        <f t="shared" ref="D18:V18" si="13">SUM(D19:D21)</f>
        <v>28.513409738617572</v>
      </c>
      <c r="E18" s="13">
        <f t="shared" si="13"/>
        <v>31.231793635903369</v>
      </c>
      <c r="F18" s="13">
        <f t="shared" si="13"/>
        <v>31.948167544439162</v>
      </c>
      <c r="G18" s="13">
        <f t="shared" si="13"/>
        <v>35.225120343271222</v>
      </c>
      <c r="H18" s="13">
        <f t="shared" si="13"/>
        <v>36.842742470659992</v>
      </c>
      <c r="I18" s="13">
        <f t="shared" si="13"/>
        <v>46.228883252476464</v>
      </c>
      <c r="J18" s="13">
        <f t="shared" si="13"/>
        <v>52.731906362447354</v>
      </c>
      <c r="K18" s="13">
        <f t="shared" si="13"/>
        <v>40.546330845016236</v>
      </c>
      <c r="L18" s="13">
        <f t="shared" si="13"/>
        <v>40.958614011582647</v>
      </c>
      <c r="M18" s="13">
        <f t="shared" si="13"/>
        <v>40.441916465504178</v>
      </c>
      <c r="N18" s="13">
        <f t="shared" si="13"/>
        <v>34.251745687136669</v>
      </c>
      <c r="O18" s="13">
        <f t="shared" si="13"/>
        <v>37.065057449169963</v>
      </c>
      <c r="P18" s="13">
        <f t="shared" si="13"/>
        <v>34.77160098457324</v>
      </c>
      <c r="Q18" s="13">
        <f t="shared" si="13"/>
        <v>38.883905499300241</v>
      </c>
      <c r="R18" s="13">
        <f t="shared" si="13"/>
        <v>38.608480518968129</v>
      </c>
      <c r="S18" s="13">
        <f t="shared" si="13"/>
        <v>42.470425795837073</v>
      </c>
      <c r="T18" s="13">
        <f t="shared" si="13"/>
        <v>40.604229737631435</v>
      </c>
      <c r="U18" s="13">
        <f t="shared" si="13"/>
        <v>37.380285483260558</v>
      </c>
      <c r="V18" s="13">
        <f t="shared" si="13"/>
        <v>67.310880767521269</v>
      </c>
      <c r="W18" s="13">
        <f t="shared" ref="W18" si="14">SUM(W19:W21)</f>
        <v>76.651651449862584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2.3324108498386602</v>
      </c>
      <c r="C20" s="102">
        <v>1.1615111304641934</v>
      </c>
      <c r="D20" s="102">
        <v>0.98028964293774967</v>
      </c>
      <c r="E20" s="102">
        <v>1.3482196465310092</v>
      </c>
      <c r="F20" s="102">
        <v>1.1233362749839826</v>
      </c>
      <c r="G20" s="102">
        <v>1.3499163140741512</v>
      </c>
      <c r="H20" s="102">
        <v>0.90241858436046363</v>
      </c>
      <c r="I20" s="102">
        <v>1.1663232147037705</v>
      </c>
      <c r="J20" s="102">
        <v>1.4899889200940271</v>
      </c>
      <c r="K20" s="102">
        <v>1.1767903043998884</v>
      </c>
      <c r="L20" s="102">
        <v>1.3187728074224023</v>
      </c>
      <c r="M20" s="102">
        <v>0.9711777115072342</v>
      </c>
      <c r="N20" s="102">
        <v>0.96644679289830826</v>
      </c>
      <c r="O20" s="102">
        <v>1.0801916516697065</v>
      </c>
      <c r="P20" s="102">
        <v>1.0833576231845508</v>
      </c>
      <c r="Q20" s="102">
        <v>0.98023279871295366</v>
      </c>
      <c r="R20" s="102">
        <v>0.75464389528274955</v>
      </c>
      <c r="S20" s="102">
        <v>0.93339176180044681</v>
      </c>
      <c r="T20" s="102">
        <v>0.84471478079546147</v>
      </c>
      <c r="U20" s="102">
        <v>0.77976975173346852</v>
      </c>
      <c r="V20" s="102">
        <v>0.95010645497848345</v>
      </c>
      <c r="W20" s="102">
        <v>1.2040876819489044</v>
      </c>
      <c r="DA20" s="175" t="s">
        <v>204</v>
      </c>
    </row>
    <row r="21" spans="1:105" ht="11.45" customHeight="1" x14ac:dyDescent="0.25">
      <c r="A21" s="85" t="s">
        <v>174</v>
      </c>
      <c r="B21" s="86">
        <v>24.687833803315179</v>
      </c>
      <c r="C21" s="86">
        <v>25.677498600659401</v>
      </c>
      <c r="D21" s="86">
        <v>27.533120095679823</v>
      </c>
      <c r="E21" s="86">
        <v>29.883573989372358</v>
      </c>
      <c r="F21" s="86">
        <v>30.824831269455178</v>
      </c>
      <c r="G21" s="86">
        <v>33.875204029197072</v>
      </c>
      <c r="H21" s="86">
        <v>35.940323886299531</v>
      </c>
      <c r="I21" s="86">
        <v>45.062560037772691</v>
      </c>
      <c r="J21" s="86">
        <v>51.241917442353326</v>
      </c>
      <c r="K21" s="86">
        <v>39.369540540616349</v>
      </c>
      <c r="L21" s="86">
        <v>39.639841204160241</v>
      </c>
      <c r="M21" s="86">
        <v>39.470738753996947</v>
      </c>
      <c r="N21" s="86">
        <v>33.285298894238359</v>
      </c>
      <c r="O21" s="86">
        <v>35.984865797500255</v>
      </c>
      <c r="P21" s="86">
        <v>33.688243361388686</v>
      </c>
      <c r="Q21" s="86">
        <v>37.903672700587286</v>
      </c>
      <c r="R21" s="86">
        <v>37.853836623685382</v>
      </c>
      <c r="S21" s="86">
        <v>41.53703403403663</v>
      </c>
      <c r="T21" s="86">
        <v>39.759514956835972</v>
      </c>
      <c r="U21" s="86">
        <v>36.600515731527089</v>
      </c>
      <c r="V21" s="86">
        <v>66.360774312542787</v>
      </c>
      <c r="W21" s="86">
        <v>75.447563767913678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20906</v>
      </c>
      <c r="C23" s="54">
        <f t="shared" si="15"/>
        <v>21749</v>
      </c>
      <c r="D23" s="54">
        <f t="shared" ref="D23:V23" si="16">SUM(D24,D28)</f>
        <v>23441</v>
      </c>
      <c r="E23" s="54">
        <f t="shared" si="16"/>
        <v>24912</v>
      </c>
      <c r="F23" s="54">
        <f t="shared" si="16"/>
        <v>26489</v>
      </c>
      <c r="G23" s="54">
        <f t="shared" si="16"/>
        <v>27052</v>
      </c>
      <c r="H23" s="54">
        <f t="shared" si="16"/>
        <v>27419</v>
      </c>
      <c r="I23" s="54">
        <f t="shared" si="16"/>
        <v>28209</v>
      </c>
      <c r="J23" s="54">
        <f t="shared" si="16"/>
        <v>29800</v>
      </c>
      <c r="K23" s="54">
        <f t="shared" si="16"/>
        <v>25625</v>
      </c>
      <c r="L23" s="54">
        <f t="shared" si="16"/>
        <v>25702</v>
      </c>
      <c r="M23" s="54">
        <f t="shared" si="16"/>
        <v>27068</v>
      </c>
      <c r="N23" s="54">
        <f t="shared" si="16"/>
        <v>26910</v>
      </c>
      <c r="O23" s="54">
        <f t="shared" si="16"/>
        <v>27815</v>
      </c>
      <c r="P23" s="54">
        <f t="shared" si="16"/>
        <v>27950</v>
      </c>
      <c r="Q23" s="54">
        <f t="shared" si="16"/>
        <v>28428</v>
      </c>
      <c r="R23" s="54">
        <f t="shared" si="16"/>
        <v>29377</v>
      </c>
      <c r="S23" s="54">
        <f t="shared" si="16"/>
        <v>31937</v>
      </c>
      <c r="T23" s="54">
        <f t="shared" si="16"/>
        <v>33964</v>
      </c>
      <c r="U23" s="54">
        <f t="shared" si="16"/>
        <v>34398</v>
      </c>
      <c r="V23" s="54">
        <f t="shared" si="16"/>
        <v>20764</v>
      </c>
      <c r="W23" s="54">
        <f t="shared" ref="W23" si="17">SUM(W24,W28)</f>
        <v>23848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14861</v>
      </c>
      <c r="C24" s="11">
        <f t="shared" si="18"/>
        <v>16089</v>
      </c>
      <c r="D24" s="11">
        <f t="shared" ref="D24:V24" si="19">SUM(D25:D27)</f>
        <v>17448</v>
      </c>
      <c r="E24" s="11">
        <f t="shared" si="19"/>
        <v>18194</v>
      </c>
      <c r="F24" s="11">
        <f t="shared" si="19"/>
        <v>19816</v>
      </c>
      <c r="G24" s="11">
        <f t="shared" si="19"/>
        <v>19659</v>
      </c>
      <c r="H24" s="11">
        <f t="shared" si="19"/>
        <v>19966</v>
      </c>
      <c r="I24" s="11">
        <f t="shared" si="19"/>
        <v>19211</v>
      </c>
      <c r="J24" s="11">
        <f t="shared" si="19"/>
        <v>19624</v>
      </c>
      <c r="K24" s="11">
        <f t="shared" si="19"/>
        <v>17783</v>
      </c>
      <c r="L24" s="11">
        <f t="shared" si="19"/>
        <v>17760</v>
      </c>
      <c r="M24" s="11">
        <f t="shared" si="19"/>
        <v>19665</v>
      </c>
      <c r="N24" s="11">
        <f t="shared" si="19"/>
        <v>20200</v>
      </c>
      <c r="O24" s="11">
        <f t="shared" si="19"/>
        <v>20466</v>
      </c>
      <c r="P24" s="11">
        <f t="shared" si="19"/>
        <v>21051</v>
      </c>
      <c r="Q24" s="11">
        <f t="shared" si="19"/>
        <v>21288</v>
      </c>
      <c r="R24" s="11">
        <f t="shared" si="19"/>
        <v>22683</v>
      </c>
      <c r="S24" s="11">
        <f t="shared" si="19"/>
        <v>24645</v>
      </c>
      <c r="T24" s="11">
        <f t="shared" si="19"/>
        <v>27036</v>
      </c>
      <c r="U24" s="11">
        <f t="shared" si="19"/>
        <v>28030</v>
      </c>
      <c r="V24" s="11">
        <f t="shared" si="19"/>
        <v>10996</v>
      </c>
      <c r="W24" s="11">
        <f t="shared" ref="W24" si="20">SUM(W25:W27)</f>
        <v>12895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13241</v>
      </c>
      <c r="C26" s="84">
        <v>14335</v>
      </c>
      <c r="D26" s="84">
        <v>15546</v>
      </c>
      <c r="E26" s="84">
        <v>16211</v>
      </c>
      <c r="F26" s="84">
        <v>17656</v>
      </c>
      <c r="G26" s="84">
        <v>17717</v>
      </c>
      <c r="H26" s="84">
        <v>17970</v>
      </c>
      <c r="I26" s="84">
        <v>16951</v>
      </c>
      <c r="J26" s="84">
        <v>17311</v>
      </c>
      <c r="K26" s="84">
        <v>15413</v>
      </c>
      <c r="L26" s="84">
        <v>15339</v>
      </c>
      <c r="M26" s="84">
        <v>17124</v>
      </c>
      <c r="N26" s="84">
        <v>17153</v>
      </c>
      <c r="O26" s="84">
        <v>17707</v>
      </c>
      <c r="P26" s="84">
        <v>18156</v>
      </c>
      <c r="Q26" s="84">
        <v>18538</v>
      </c>
      <c r="R26" s="84">
        <v>20336</v>
      </c>
      <c r="S26" s="84">
        <v>22066</v>
      </c>
      <c r="T26" s="84">
        <v>23941</v>
      </c>
      <c r="U26" s="84">
        <v>24731</v>
      </c>
      <c r="V26" s="84">
        <v>10110</v>
      </c>
      <c r="W26" s="84">
        <v>11626</v>
      </c>
      <c r="DA26" s="171" t="s">
        <v>209</v>
      </c>
    </row>
    <row r="27" spans="1:105" ht="11.45" customHeight="1" x14ac:dyDescent="0.25">
      <c r="A27" s="83" t="s">
        <v>174</v>
      </c>
      <c r="B27" s="84">
        <v>1620</v>
      </c>
      <c r="C27" s="84">
        <v>1754</v>
      </c>
      <c r="D27" s="84">
        <v>1902</v>
      </c>
      <c r="E27" s="84">
        <v>1983</v>
      </c>
      <c r="F27" s="84">
        <v>2160</v>
      </c>
      <c r="G27" s="84">
        <v>1942</v>
      </c>
      <c r="H27" s="84">
        <v>1996</v>
      </c>
      <c r="I27" s="84">
        <v>2260</v>
      </c>
      <c r="J27" s="84">
        <v>2313</v>
      </c>
      <c r="K27" s="84">
        <v>2370</v>
      </c>
      <c r="L27" s="84">
        <v>2421</v>
      </c>
      <c r="M27" s="84">
        <v>2541</v>
      </c>
      <c r="N27" s="84">
        <v>3047</v>
      </c>
      <c r="O27" s="84">
        <v>2759</v>
      </c>
      <c r="P27" s="84">
        <v>2895</v>
      </c>
      <c r="Q27" s="84">
        <v>2750</v>
      </c>
      <c r="R27" s="84">
        <v>2347</v>
      </c>
      <c r="S27" s="84">
        <v>2579</v>
      </c>
      <c r="T27" s="84">
        <v>3095</v>
      </c>
      <c r="U27" s="84">
        <v>3299</v>
      </c>
      <c r="V27" s="84">
        <v>886</v>
      </c>
      <c r="W27" s="84">
        <v>1269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6045</v>
      </c>
      <c r="C28" s="13">
        <f t="shared" si="21"/>
        <v>5660</v>
      </c>
      <c r="D28" s="13">
        <f t="shared" ref="D28:V28" si="22">SUM(D29:D31)</f>
        <v>5993</v>
      </c>
      <c r="E28" s="13">
        <f t="shared" si="22"/>
        <v>6718</v>
      </c>
      <c r="F28" s="13">
        <f t="shared" si="22"/>
        <v>6673</v>
      </c>
      <c r="G28" s="13">
        <f t="shared" si="22"/>
        <v>7393</v>
      </c>
      <c r="H28" s="13">
        <f t="shared" si="22"/>
        <v>7453</v>
      </c>
      <c r="I28" s="13">
        <f t="shared" si="22"/>
        <v>8998</v>
      </c>
      <c r="J28" s="13">
        <f t="shared" si="22"/>
        <v>10176</v>
      </c>
      <c r="K28" s="13">
        <f t="shared" si="22"/>
        <v>7842</v>
      </c>
      <c r="L28" s="13">
        <f t="shared" si="22"/>
        <v>7942</v>
      </c>
      <c r="M28" s="13">
        <f t="shared" si="22"/>
        <v>7403</v>
      </c>
      <c r="N28" s="13">
        <f t="shared" si="22"/>
        <v>6710</v>
      </c>
      <c r="O28" s="13">
        <f t="shared" si="22"/>
        <v>7349</v>
      </c>
      <c r="P28" s="13">
        <f t="shared" si="22"/>
        <v>6899</v>
      </c>
      <c r="Q28" s="13">
        <f t="shared" si="22"/>
        <v>7140</v>
      </c>
      <c r="R28" s="13">
        <f t="shared" si="22"/>
        <v>6694</v>
      </c>
      <c r="S28" s="13">
        <f t="shared" si="22"/>
        <v>7292</v>
      </c>
      <c r="T28" s="13">
        <f t="shared" si="22"/>
        <v>6928</v>
      </c>
      <c r="U28" s="13">
        <f t="shared" si="22"/>
        <v>6368</v>
      </c>
      <c r="V28" s="13">
        <f t="shared" si="22"/>
        <v>9768</v>
      </c>
      <c r="W28" s="13">
        <f t="shared" ref="W28" si="23">SUM(W29:W31)</f>
        <v>10953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1455</v>
      </c>
      <c r="C30" s="102">
        <v>886</v>
      </c>
      <c r="D30" s="102">
        <v>874</v>
      </c>
      <c r="E30" s="102">
        <v>1162</v>
      </c>
      <c r="F30" s="102">
        <v>942</v>
      </c>
      <c r="G30" s="102">
        <v>1149</v>
      </c>
      <c r="H30" s="102">
        <v>850</v>
      </c>
      <c r="I30" s="102">
        <v>1171</v>
      </c>
      <c r="J30" s="102">
        <v>1693</v>
      </c>
      <c r="K30" s="102">
        <v>1508</v>
      </c>
      <c r="L30" s="102">
        <v>1783</v>
      </c>
      <c r="M30" s="102">
        <v>1371</v>
      </c>
      <c r="N30" s="102">
        <v>1479</v>
      </c>
      <c r="O30" s="102">
        <v>1613</v>
      </c>
      <c r="P30" s="102">
        <v>1492</v>
      </c>
      <c r="Q30" s="102">
        <v>1270</v>
      </c>
      <c r="R30" s="102">
        <v>968</v>
      </c>
      <c r="S30" s="102">
        <v>1139</v>
      </c>
      <c r="T30" s="102">
        <v>1017</v>
      </c>
      <c r="U30" s="102">
        <v>917</v>
      </c>
      <c r="V30" s="102">
        <v>1019</v>
      </c>
      <c r="W30" s="102">
        <v>1170</v>
      </c>
      <c r="DA30" s="175" t="s">
        <v>213</v>
      </c>
    </row>
    <row r="31" spans="1:105" ht="11.45" customHeight="1" x14ac:dyDescent="0.25">
      <c r="A31" s="85" t="s">
        <v>174</v>
      </c>
      <c r="B31" s="86">
        <v>4590</v>
      </c>
      <c r="C31" s="86">
        <v>4774</v>
      </c>
      <c r="D31" s="86">
        <v>5119</v>
      </c>
      <c r="E31" s="86">
        <v>5556</v>
      </c>
      <c r="F31" s="86">
        <v>5731</v>
      </c>
      <c r="G31" s="86">
        <v>6244</v>
      </c>
      <c r="H31" s="86">
        <v>6603</v>
      </c>
      <c r="I31" s="86">
        <v>7827</v>
      </c>
      <c r="J31" s="86">
        <v>8483</v>
      </c>
      <c r="K31" s="86">
        <v>6334</v>
      </c>
      <c r="L31" s="86">
        <v>6159</v>
      </c>
      <c r="M31" s="86">
        <v>6032</v>
      </c>
      <c r="N31" s="86">
        <v>5231</v>
      </c>
      <c r="O31" s="86">
        <v>5736</v>
      </c>
      <c r="P31" s="86">
        <v>5407</v>
      </c>
      <c r="Q31" s="86">
        <v>5870</v>
      </c>
      <c r="R31" s="86">
        <v>5726</v>
      </c>
      <c r="S31" s="86">
        <v>6153</v>
      </c>
      <c r="T31" s="86">
        <v>5911</v>
      </c>
      <c r="U31" s="86">
        <v>5451</v>
      </c>
      <c r="V31" s="86">
        <v>8749</v>
      </c>
      <c r="W31" s="86">
        <v>9783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544328</v>
      </c>
      <c r="C34" s="11">
        <f t="shared" si="24"/>
        <v>594203</v>
      </c>
      <c r="D34" s="11">
        <f t="shared" ref="D34:V34" si="25">SUM(D35:D37)</f>
        <v>650794</v>
      </c>
      <c r="E34" s="11">
        <f t="shared" si="25"/>
        <v>685224</v>
      </c>
      <c r="F34" s="11">
        <f t="shared" si="25"/>
        <v>757876</v>
      </c>
      <c r="G34" s="11">
        <f t="shared" si="25"/>
        <v>773064</v>
      </c>
      <c r="H34" s="11">
        <f t="shared" si="25"/>
        <v>803112</v>
      </c>
      <c r="I34" s="11">
        <f t="shared" si="25"/>
        <v>822211</v>
      </c>
      <c r="J34" s="11">
        <f t="shared" si="25"/>
        <v>851277</v>
      </c>
      <c r="K34" s="11">
        <f t="shared" si="25"/>
        <v>771759</v>
      </c>
      <c r="L34" s="11">
        <f t="shared" si="25"/>
        <v>809897</v>
      </c>
      <c r="M34" s="11">
        <f t="shared" si="25"/>
        <v>917950</v>
      </c>
      <c r="N34" s="11">
        <f t="shared" si="25"/>
        <v>949976</v>
      </c>
      <c r="O34" s="11">
        <f t="shared" si="25"/>
        <v>1090384</v>
      </c>
      <c r="P34" s="11">
        <f t="shared" si="25"/>
        <v>1224003</v>
      </c>
      <c r="Q34" s="11">
        <f t="shared" si="25"/>
        <v>1332696</v>
      </c>
      <c r="R34" s="11">
        <f t="shared" si="25"/>
        <v>1499673</v>
      </c>
      <c r="S34" s="11">
        <f t="shared" si="25"/>
        <v>1787629</v>
      </c>
      <c r="T34" s="11">
        <f t="shared" si="25"/>
        <v>2004494</v>
      </c>
      <c r="U34" s="11">
        <f t="shared" si="25"/>
        <v>2189318</v>
      </c>
      <c r="V34" s="11">
        <f t="shared" si="25"/>
        <v>709549</v>
      </c>
      <c r="W34" s="11">
        <f t="shared" ref="W34" si="26">SUM(W35:W37)</f>
        <v>1002796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483275</v>
      </c>
      <c r="C36" s="84">
        <v>526053</v>
      </c>
      <c r="D36" s="84">
        <v>575086</v>
      </c>
      <c r="E36" s="84">
        <v>604738</v>
      </c>
      <c r="F36" s="84">
        <v>668124</v>
      </c>
      <c r="G36" s="84">
        <v>667534</v>
      </c>
      <c r="H36" s="84">
        <v>684428</v>
      </c>
      <c r="I36" s="84">
        <v>676058</v>
      </c>
      <c r="J36" s="84">
        <v>686257</v>
      </c>
      <c r="K36" s="84">
        <v>606033</v>
      </c>
      <c r="L36" s="84">
        <v>636795</v>
      </c>
      <c r="M36" s="84">
        <v>753936</v>
      </c>
      <c r="N36" s="84">
        <v>767335</v>
      </c>
      <c r="O36" s="84">
        <v>907088</v>
      </c>
      <c r="P36" s="84">
        <v>1015531</v>
      </c>
      <c r="Q36" s="84">
        <v>1144574</v>
      </c>
      <c r="R36" s="84">
        <v>1349162</v>
      </c>
      <c r="S36" s="84">
        <v>1615161</v>
      </c>
      <c r="T36" s="84">
        <v>1808791</v>
      </c>
      <c r="U36" s="84">
        <v>1978947</v>
      </c>
      <c r="V36" s="84">
        <v>659616</v>
      </c>
      <c r="W36" s="84">
        <v>910476</v>
      </c>
      <c r="DA36" s="171" t="s">
        <v>217</v>
      </c>
    </row>
    <row r="37" spans="1:105" ht="11.45" customHeight="1" x14ac:dyDescent="0.25">
      <c r="A37" s="83" t="s">
        <v>174</v>
      </c>
      <c r="B37" s="84">
        <v>61053</v>
      </c>
      <c r="C37" s="84">
        <v>68150</v>
      </c>
      <c r="D37" s="84">
        <v>75708</v>
      </c>
      <c r="E37" s="84">
        <v>80486</v>
      </c>
      <c r="F37" s="84">
        <v>89752</v>
      </c>
      <c r="G37" s="84">
        <v>105530</v>
      </c>
      <c r="H37" s="84">
        <v>118684</v>
      </c>
      <c r="I37" s="84">
        <v>146153</v>
      </c>
      <c r="J37" s="84">
        <v>165020</v>
      </c>
      <c r="K37" s="84">
        <v>165726</v>
      </c>
      <c r="L37" s="84">
        <v>173102</v>
      </c>
      <c r="M37" s="84">
        <v>164014</v>
      </c>
      <c r="N37" s="84">
        <v>182641</v>
      </c>
      <c r="O37" s="84">
        <v>183296</v>
      </c>
      <c r="P37" s="84">
        <v>208472</v>
      </c>
      <c r="Q37" s="84">
        <v>188122</v>
      </c>
      <c r="R37" s="84">
        <v>150511</v>
      </c>
      <c r="S37" s="84">
        <v>172468</v>
      </c>
      <c r="T37" s="84">
        <v>195703</v>
      </c>
      <c r="U37" s="84">
        <v>210371</v>
      </c>
      <c r="V37" s="84">
        <v>49933</v>
      </c>
      <c r="W37" s="84">
        <v>92320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262663.36822229065</v>
      </c>
      <c r="C38" s="13">
        <f t="shared" si="27"/>
        <v>271425.11520110012</v>
      </c>
      <c r="D38" s="13">
        <f t="shared" ref="D38:V38" si="28">SUM(D39:D41)</f>
        <v>284975.86769627727</v>
      </c>
      <c r="E38" s="13">
        <f t="shared" si="28"/>
        <v>290642.52290035487</v>
      </c>
      <c r="F38" s="13">
        <f t="shared" si="28"/>
        <v>290527.97634019714</v>
      </c>
      <c r="G38" s="13">
        <f t="shared" si="28"/>
        <v>293527.42186196992</v>
      </c>
      <c r="H38" s="13">
        <f t="shared" si="28"/>
        <v>310104.25311146554</v>
      </c>
      <c r="I38" s="13">
        <f t="shared" si="28"/>
        <v>369786.61256847513</v>
      </c>
      <c r="J38" s="13">
        <f t="shared" si="28"/>
        <v>404116.85910701624</v>
      </c>
      <c r="K38" s="13">
        <f t="shared" si="28"/>
        <v>336608.03916516696</v>
      </c>
      <c r="L38" s="13">
        <f t="shared" si="28"/>
        <v>349250.00269803364</v>
      </c>
      <c r="M38" s="13">
        <f t="shared" si="28"/>
        <v>353391.34447341156</v>
      </c>
      <c r="N38" s="13">
        <f t="shared" si="28"/>
        <v>331652.49142531148</v>
      </c>
      <c r="O38" s="13">
        <f t="shared" si="28"/>
        <v>367092.1743670695</v>
      </c>
      <c r="P38" s="13">
        <f t="shared" si="28"/>
        <v>384715.5039617439</v>
      </c>
      <c r="Q38" s="13">
        <f t="shared" si="28"/>
        <v>410131.04025032383</v>
      </c>
      <c r="R38" s="13">
        <f t="shared" si="28"/>
        <v>437983.17582238157</v>
      </c>
      <c r="S38" s="13">
        <f t="shared" si="28"/>
        <v>470195.19411101006</v>
      </c>
      <c r="T38" s="13">
        <f t="shared" si="28"/>
        <v>451528.28013224137</v>
      </c>
      <c r="U38" s="13">
        <f t="shared" si="28"/>
        <v>426239.3165314683</v>
      </c>
      <c r="V38" s="13">
        <f t="shared" si="28"/>
        <v>457329.65162654553</v>
      </c>
      <c r="W38" s="13">
        <f t="shared" ref="W38" si="29">SUM(W39:W41)</f>
        <v>541704.87185699202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23390.689790521919</v>
      </c>
      <c r="C40" s="102">
        <v>14398.598596582047</v>
      </c>
      <c r="D40" s="102">
        <v>14242.611917029481</v>
      </c>
      <c r="E40" s="102">
        <v>19948.64112432129</v>
      </c>
      <c r="F40" s="102">
        <v>15099.396629369941</v>
      </c>
      <c r="G40" s="102">
        <v>17442.994248239975</v>
      </c>
      <c r="H40" s="102">
        <v>11887.48251146899</v>
      </c>
      <c r="I40" s="102">
        <v>16107.848744304094</v>
      </c>
      <c r="J40" s="102">
        <v>23120.666038980569</v>
      </c>
      <c r="K40" s="102">
        <v>20549.154525036643</v>
      </c>
      <c r="L40" s="102">
        <v>25712.262972401877</v>
      </c>
      <c r="M40" s="102">
        <v>21236.3835495192</v>
      </c>
      <c r="N40" s="102">
        <v>24347.034909419399</v>
      </c>
      <c r="O40" s="102">
        <v>26682.315640902569</v>
      </c>
      <c r="P40" s="102">
        <v>27151.047490953391</v>
      </c>
      <c r="Q40" s="102">
        <v>23083.222519034251</v>
      </c>
      <c r="R40" s="102">
        <v>19915.159561297278</v>
      </c>
      <c r="S40" s="102">
        <v>21786.899154907747</v>
      </c>
      <c r="T40" s="102">
        <v>19334.211857576334</v>
      </c>
      <c r="U40" s="102">
        <v>17874.7516649032</v>
      </c>
      <c r="V40" s="102">
        <v>17852.028538011957</v>
      </c>
      <c r="W40" s="102">
        <v>20650.884651994111</v>
      </c>
      <c r="DA40" s="175" t="s">
        <v>221</v>
      </c>
    </row>
    <row r="41" spans="1:105" ht="11.45" customHeight="1" x14ac:dyDescent="0.25">
      <c r="A41" s="85" t="s">
        <v>174</v>
      </c>
      <c r="B41" s="86">
        <v>239272.67843176876</v>
      </c>
      <c r="C41" s="86">
        <v>257026.51660451808</v>
      </c>
      <c r="D41" s="86">
        <v>270733.25577924779</v>
      </c>
      <c r="E41" s="86">
        <v>270693.88177603361</v>
      </c>
      <c r="F41" s="86">
        <v>275428.57971082721</v>
      </c>
      <c r="G41" s="86">
        <v>276084.42761372996</v>
      </c>
      <c r="H41" s="86">
        <v>298216.77059999655</v>
      </c>
      <c r="I41" s="86">
        <v>353678.76382417104</v>
      </c>
      <c r="J41" s="86">
        <v>380996.19306803565</v>
      </c>
      <c r="K41" s="86">
        <v>316058.88464013033</v>
      </c>
      <c r="L41" s="86">
        <v>323537.73972563178</v>
      </c>
      <c r="M41" s="86">
        <v>332154.96092389239</v>
      </c>
      <c r="N41" s="86">
        <v>307305.45651589206</v>
      </c>
      <c r="O41" s="86">
        <v>340409.85872616695</v>
      </c>
      <c r="P41" s="86">
        <v>357564.45647079049</v>
      </c>
      <c r="Q41" s="86">
        <v>387047.8177312896</v>
      </c>
      <c r="R41" s="86">
        <v>418068.0162610843</v>
      </c>
      <c r="S41" s="86">
        <v>448408.29495610233</v>
      </c>
      <c r="T41" s="86">
        <v>432194.06827466504</v>
      </c>
      <c r="U41" s="86">
        <v>408364.56486656511</v>
      </c>
      <c r="V41" s="86">
        <v>439477.62308853358</v>
      </c>
      <c r="W41" s="86">
        <v>521053.98720499792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25.529227041888397</v>
      </c>
      <c r="C43" s="54">
        <f t="shared" si="30"/>
        <v>26.750328281127349</v>
      </c>
      <c r="D43" s="54">
        <f t="shared" ref="D43:V43" si="31">SUM(D44,D48)</f>
        <v>28.675246844514547</v>
      </c>
      <c r="E43" s="54">
        <f t="shared" si="31"/>
        <v>30.683772267838645</v>
      </c>
      <c r="F43" s="54">
        <f t="shared" si="31"/>
        <v>32.16657915921742</v>
      </c>
      <c r="G43" s="54">
        <f t="shared" si="31"/>
        <v>33.656058711651731</v>
      </c>
      <c r="H43" s="54">
        <f t="shared" si="31"/>
        <v>34.744114042988798</v>
      </c>
      <c r="I43" s="54">
        <f t="shared" si="31"/>
        <v>39.395130647225976</v>
      </c>
      <c r="J43" s="54">
        <f t="shared" si="31"/>
        <v>43.540273771462616</v>
      </c>
      <c r="K43" s="54">
        <f t="shared" si="31"/>
        <v>41.359342439717764</v>
      </c>
      <c r="L43" s="54">
        <f t="shared" si="31"/>
        <v>39.974088502440509</v>
      </c>
      <c r="M43" s="54">
        <f t="shared" si="31"/>
        <v>39.37807922143994</v>
      </c>
      <c r="N43" s="54">
        <f t="shared" si="31"/>
        <v>37.695571708507522</v>
      </c>
      <c r="O43" s="54">
        <f t="shared" si="31"/>
        <v>36.429599259517261</v>
      </c>
      <c r="P43" s="54">
        <f t="shared" si="31"/>
        <v>36.029941624796066</v>
      </c>
      <c r="Q43" s="54">
        <f t="shared" si="31"/>
        <v>37.406808784734842</v>
      </c>
      <c r="R43" s="54">
        <f t="shared" si="31"/>
        <v>38.396773832617797</v>
      </c>
      <c r="S43" s="54">
        <f t="shared" si="31"/>
        <v>42.318079107003385</v>
      </c>
      <c r="T43" s="54">
        <f t="shared" si="31"/>
        <v>43.735348465282385</v>
      </c>
      <c r="U43" s="54">
        <f t="shared" si="31"/>
        <v>43.55039033568999</v>
      </c>
      <c r="V43" s="54">
        <f t="shared" si="31"/>
        <v>57.776951169449887</v>
      </c>
      <c r="W43" s="54">
        <f t="shared" ref="W43" si="32">SUM(W44,W48)</f>
        <v>61.636498776051425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10.155775727223675</v>
      </c>
      <c r="C44" s="11">
        <f t="shared" si="33"/>
        <v>10.99481911285447</v>
      </c>
      <c r="D44" s="11">
        <f t="shared" ref="D44:V44" si="34">SUM(D45:D47)</f>
        <v>11.923301617688947</v>
      </c>
      <c r="E44" s="11">
        <f t="shared" si="34"/>
        <v>12.432922060314887</v>
      </c>
      <c r="F44" s="11">
        <f t="shared" si="34"/>
        <v>13.541198092372595</v>
      </c>
      <c r="G44" s="11">
        <f t="shared" si="34"/>
        <v>13.332566940557317</v>
      </c>
      <c r="H44" s="11">
        <f t="shared" si="34"/>
        <v>13.438917317843813</v>
      </c>
      <c r="I44" s="11">
        <f t="shared" si="34"/>
        <v>13.369023274796804</v>
      </c>
      <c r="J44" s="11">
        <f t="shared" si="34"/>
        <v>13.988520400649774</v>
      </c>
      <c r="K44" s="11">
        <f t="shared" si="34"/>
        <v>13.344105316868896</v>
      </c>
      <c r="L44" s="11">
        <f t="shared" si="34"/>
        <v>13.145366802132582</v>
      </c>
      <c r="M44" s="11">
        <f t="shared" si="34"/>
        <v>14.005534101123661</v>
      </c>
      <c r="N44" s="11">
        <f t="shared" si="34"/>
        <v>13.779183949293465</v>
      </c>
      <c r="O44" s="11">
        <f t="shared" si="34"/>
        <v>13.969393501252544</v>
      </c>
      <c r="P44" s="11">
        <f t="shared" si="34"/>
        <v>14.992896340664867</v>
      </c>
      <c r="Q44" s="11">
        <f t="shared" si="34"/>
        <v>15.641884427536548</v>
      </c>
      <c r="R44" s="11">
        <f t="shared" si="34"/>
        <v>16.797822888849225</v>
      </c>
      <c r="S44" s="11">
        <f t="shared" si="34"/>
        <v>18.899432457319151</v>
      </c>
      <c r="T44" s="11">
        <f t="shared" si="34"/>
        <v>21.296013561162539</v>
      </c>
      <c r="U44" s="11">
        <f t="shared" si="34"/>
        <v>22.480900595894699</v>
      </c>
      <c r="V44" s="11">
        <f t="shared" si="34"/>
        <v>21.803848880746454</v>
      </c>
      <c r="W44" s="11">
        <f t="shared" ref="W44" si="35">SUM(W45:W47)</f>
        <v>21.126797165598209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8.5612875382472975</v>
      </c>
      <c r="C46" s="84">
        <v>9.2684411600985648</v>
      </c>
      <c r="D46" s="84">
        <v>10.051254373594459</v>
      </c>
      <c r="E46" s="84">
        <v>10.481150406771579</v>
      </c>
      <c r="F46" s="84">
        <v>11.415213840404091</v>
      </c>
      <c r="G46" s="84">
        <v>11.366031507486451</v>
      </c>
      <c r="H46" s="84">
        <v>11.456792193712731</v>
      </c>
      <c r="I46" s="84">
        <v>10.846701846225375</v>
      </c>
      <c r="J46" s="84">
        <v>11.153961577120363</v>
      </c>
      <c r="K46" s="84">
        <v>10.297832823295632</v>
      </c>
      <c r="L46" s="84">
        <v>9.8379897529522538</v>
      </c>
      <c r="M46" s="84">
        <v>10.857605870840972</v>
      </c>
      <c r="N46" s="84">
        <v>10.790704537908413</v>
      </c>
      <c r="O46" s="84">
        <v>11.11032614373959</v>
      </c>
      <c r="P46" s="84">
        <v>11.758259469156487</v>
      </c>
      <c r="Q46" s="84">
        <v>12.00431828997041</v>
      </c>
      <c r="R46" s="84">
        <v>13.284349834957011</v>
      </c>
      <c r="S46" s="84">
        <v>14.61537930117297</v>
      </c>
      <c r="T46" s="84">
        <v>15.875698324735216</v>
      </c>
      <c r="U46" s="84">
        <v>16.449821985291408</v>
      </c>
      <c r="V46" s="84">
        <v>15.879069482741588</v>
      </c>
      <c r="W46" s="84">
        <v>15.308316980191769</v>
      </c>
      <c r="DA46" s="171" t="s">
        <v>226</v>
      </c>
    </row>
    <row r="47" spans="1:105" ht="11.45" customHeight="1" x14ac:dyDescent="0.25">
      <c r="A47" s="83" t="s">
        <v>174</v>
      </c>
      <c r="B47" s="84">
        <v>1.594488188976378</v>
      </c>
      <c r="C47" s="84">
        <v>1.7263779527559056</v>
      </c>
      <c r="D47" s="84">
        <v>1.8720472440944882</v>
      </c>
      <c r="E47" s="84">
        <v>1.9517716535433072</v>
      </c>
      <c r="F47" s="84">
        <v>2.1259842519685042</v>
      </c>
      <c r="G47" s="84">
        <v>1.9665354330708664</v>
      </c>
      <c r="H47" s="84">
        <v>1.9821251241310824</v>
      </c>
      <c r="I47" s="84">
        <v>2.5223214285714284</v>
      </c>
      <c r="J47" s="84">
        <v>2.8345588235294117</v>
      </c>
      <c r="K47" s="84">
        <v>3.0462724935732646</v>
      </c>
      <c r="L47" s="84">
        <v>3.307377049180328</v>
      </c>
      <c r="M47" s="84">
        <v>3.1479282302826901</v>
      </c>
      <c r="N47" s="84">
        <v>2.9884794113850521</v>
      </c>
      <c r="O47" s="84">
        <v>2.8590673575129535</v>
      </c>
      <c r="P47" s="84">
        <v>3.2346368715083798</v>
      </c>
      <c r="Q47" s="84">
        <v>3.6375661375661377</v>
      </c>
      <c r="R47" s="84">
        <v>3.5134730538922154</v>
      </c>
      <c r="S47" s="84">
        <v>4.2840531561461797</v>
      </c>
      <c r="T47" s="84">
        <v>5.4203152364273208</v>
      </c>
      <c r="U47" s="84">
        <v>6.0310786106032905</v>
      </c>
      <c r="V47" s="84">
        <v>5.9247793980048655</v>
      </c>
      <c r="W47" s="84">
        <v>5.8184801854064405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15.373451314664724</v>
      </c>
      <c r="C48" s="13">
        <f t="shared" si="36"/>
        <v>15.755509168272878</v>
      </c>
      <c r="D48" s="13">
        <f t="shared" ref="D48:V48" si="37">SUM(D49:D51)</f>
        <v>16.751945226825601</v>
      </c>
      <c r="E48" s="13">
        <f t="shared" si="37"/>
        <v>18.250850207523758</v>
      </c>
      <c r="F48" s="13">
        <f t="shared" si="37"/>
        <v>18.625381066844827</v>
      </c>
      <c r="G48" s="13">
        <f t="shared" si="37"/>
        <v>20.323491771094414</v>
      </c>
      <c r="H48" s="13">
        <f t="shared" si="37"/>
        <v>21.305196725144988</v>
      </c>
      <c r="I48" s="13">
        <f t="shared" si="37"/>
        <v>26.026107372429173</v>
      </c>
      <c r="J48" s="13">
        <f t="shared" si="37"/>
        <v>29.55175337081284</v>
      </c>
      <c r="K48" s="13">
        <f t="shared" si="37"/>
        <v>28.015237122848866</v>
      </c>
      <c r="L48" s="13">
        <f t="shared" si="37"/>
        <v>26.828721700307923</v>
      </c>
      <c r="M48" s="13">
        <f t="shared" si="37"/>
        <v>25.372545120316278</v>
      </c>
      <c r="N48" s="13">
        <f t="shared" si="37"/>
        <v>23.916387759214057</v>
      </c>
      <c r="O48" s="13">
        <f t="shared" si="37"/>
        <v>22.460205758264717</v>
      </c>
      <c r="P48" s="13">
        <f t="shared" si="37"/>
        <v>21.037045284131196</v>
      </c>
      <c r="Q48" s="13">
        <f t="shared" si="37"/>
        <v>21.764924357198293</v>
      </c>
      <c r="R48" s="13">
        <f t="shared" si="37"/>
        <v>21.598950943768575</v>
      </c>
      <c r="S48" s="13">
        <f t="shared" si="37"/>
        <v>23.418646649684234</v>
      </c>
      <c r="T48" s="13">
        <f t="shared" si="37"/>
        <v>22.43933490411985</v>
      </c>
      <c r="U48" s="13">
        <f t="shared" si="37"/>
        <v>21.069489739795291</v>
      </c>
      <c r="V48" s="13">
        <f t="shared" si="37"/>
        <v>35.973102288703437</v>
      </c>
      <c r="W48" s="13">
        <f t="shared" ref="W48" si="38">SUM(W49:W51)</f>
        <v>40.50970161045322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1.6719587773512918</v>
      </c>
      <c r="C50" s="102">
        <v>1.5047628996161626</v>
      </c>
      <c r="D50" s="102">
        <v>1.4713482119002275</v>
      </c>
      <c r="E50" s="102">
        <v>1.6657755806580841</v>
      </c>
      <c r="F50" s="102">
        <v>1.5179183802776643</v>
      </c>
      <c r="G50" s="102">
        <v>1.5162628554317632</v>
      </c>
      <c r="H50" s="102">
        <v>1.3565562417613042</v>
      </c>
      <c r="I50" s="102">
        <v>1.3352556374134017</v>
      </c>
      <c r="J50" s="102">
        <v>1.7386386167144798</v>
      </c>
      <c r="K50" s="102">
        <v>1.5722716224818516</v>
      </c>
      <c r="L50" s="102">
        <v>1.7559054536722534</v>
      </c>
      <c r="M50" s="102">
        <v>1.669878127411953</v>
      </c>
      <c r="N50" s="102">
        <v>1.5838700200410754</v>
      </c>
      <c r="O50" s="102">
        <v>1.4978372728230813</v>
      </c>
      <c r="P50" s="102">
        <v>1.4448260524209022</v>
      </c>
      <c r="Q50" s="102">
        <v>1.4535056720771846</v>
      </c>
      <c r="R50" s="102">
        <v>1.3657353960653928</v>
      </c>
      <c r="S50" s="102">
        <v>1.2855531245043792</v>
      </c>
      <c r="T50" s="102">
        <v>1.25295497580444</v>
      </c>
      <c r="U50" s="102">
        <v>1.2532590652112237</v>
      </c>
      <c r="V50" s="102">
        <v>1.2548483204494709</v>
      </c>
      <c r="W50" s="102">
        <v>1.2205449839472013</v>
      </c>
      <c r="DA50" s="175" t="s">
        <v>230</v>
      </c>
    </row>
    <row r="51" spans="1:105" ht="11.45" customHeight="1" x14ac:dyDescent="0.25">
      <c r="A51" s="85" t="s">
        <v>174</v>
      </c>
      <c r="B51" s="86">
        <v>13.701492537313433</v>
      </c>
      <c r="C51" s="86">
        <v>14.250746268656716</v>
      </c>
      <c r="D51" s="86">
        <v>15.280597014925373</v>
      </c>
      <c r="E51" s="86">
        <v>16.585074626865673</v>
      </c>
      <c r="F51" s="86">
        <v>17.107462686567164</v>
      </c>
      <c r="G51" s="86">
        <v>18.807228915662652</v>
      </c>
      <c r="H51" s="86">
        <v>19.948640483383684</v>
      </c>
      <c r="I51" s="86">
        <v>24.690851735015773</v>
      </c>
      <c r="J51" s="86">
        <v>27.813114754098361</v>
      </c>
      <c r="K51" s="86">
        <v>26.442965500367016</v>
      </c>
      <c r="L51" s="86">
        <v>25.072816246635671</v>
      </c>
      <c r="M51" s="86">
        <v>23.702666992904327</v>
      </c>
      <c r="N51" s="86">
        <v>22.332517739172982</v>
      </c>
      <c r="O51" s="86">
        <v>20.962368485441637</v>
      </c>
      <c r="P51" s="86">
        <v>19.592219231710292</v>
      </c>
      <c r="Q51" s="86">
        <v>20.311418685121108</v>
      </c>
      <c r="R51" s="86">
        <v>20.233215547703182</v>
      </c>
      <c r="S51" s="86">
        <v>22.133093525179856</v>
      </c>
      <c r="T51" s="86">
        <v>21.186379928315411</v>
      </c>
      <c r="U51" s="86">
        <v>19.816230674584066</v>
      </c>
      <c r="V51" s="86">
        <v>34.718253968253968</v>
      </c>
      <c r="W51" s="86">
        <v>39.289156626506021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1.5119417557697865</v>
      </c>
      <c r="C53" s="54">
        <f t="shared" si="39"/>
        <v>2.229815963026077</v>
      </c>
      <c r="D53" s="54">
        <f t="shared" ref="D53:V53" si="40">SUM(D54,D58)</f>
        <v>2.8834509455233679</v>
      </c>
      <c r="E53" s="54">
        <f t="shared" si="40"/>
        <v>3.0072100869905967</v>
      </c>
      <c r="F53" s="54">
        <f t="shared" si="40"/>
        <v>2.4814915550452805</v>
      </c>
      <c r="G53" s="54">
        <f t="shared" si="40"/>
        <v>2.6218293976124976</v>
      </c>
      <c r="H53" s="54">
        <f t="shared" si="40"/>
        <v>2.1069140280091614</v>
      </c>
      <c r="I53" s="54">
        <f t="shared" si="40"/>
        <v>5.9403336562847908</v>
      </c>
      <c r="J53" s="54">
        <f t="shared" si="40"/>
        <v>5.2399530940861831</v>
      </c>
      <c r="K53" s="54">
        <f t="shared" si="40"/>
        <v>0.2692596018028528</v>
      </c>
      <c r="L53" s="54">
        <f t="shared" si="40"/>
        <v>0.62827429258205258</v>
      </c>
      <c r="M53" s="54">
        <f t="shared" si="40"/>
        <v>1.3704994222229858</v>
      </c>
      <c r="N53" s="54">
        <f t="shared" si="40"/>
        <v>0.26676818639775524</v>
      </c>
      <c r="O53" s="54">
        <f t="shared" si="40"/>
        <v>0.65326648531437381</v>
      </c>
      <c r="P53" s="54">
        <f t="shared" si="40"/>
        <v>1.5125820979717493</v>
      </c>
      <c r="Q53" s="54">
        <f t="shared" si="40"/>
        <v>2.3461756752110201</v>
      </c>
      <c r="R53" s="54">
        <f t="shared" si="40"/>
        <v>2.0087606338800752</v>
      </c>
      <c r="S53" s="54">
        <f t="shared" si="40"/>
        <v>4.8735537084677771</v>
      </c>
      <c r="T53" s="54">
        <f t="shared" si="40"/>
        <v>2.8779762369750204</v>
      </c>
      <c r="U53" s="54">
        <f t="shared" si="40"/>
        <v>1.6122323409481776</v>
      </c>
      <c r="V53" s="54">
        <f t="shared" si="40"/>
        <v>15.434050028865901</v>
      </c>
      <c r="W53" s="54">
        <f t="shared" ref="W53" si="41">SUM(W54,W58)</f>
        <v>5.076264189934105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7.2315373451811204E-3</v>
      </c>
      <c r="C54" s="11">
        <f t="shared" si="42"/>
        <v>1.2055373560607949</v>
      </c>
      <c r="D54" s="11">
        <f t="shared" ref="D54:V54" si="43">SUM(D55:D57)</f>
        <v>1.2949764752644775</v>
      </c>
      <c r="E54" s="11">
        <f t="shared" si="43"/>
        <v>0.87611441305593918</v>
      </c>
      <c r="F54" s="11">
        <f t="shared" si="43"/>
        <v>1.4747700024877082</v>
      </c>
      <c r="G54" s="11">
        <f t="shared" si="43"/>
        <v>0.29152800012640995</v>
      </c>
      <c r="H54" s="11">
        <f t="shared" si="43"/>
        <v>0.49047758466612762</v>
      </c>
      <c r="I54" s="11">
        <f t="shared" si="43"/>
        <v>0.63741465741506298</v>
      </c>
      <c r="J54" s="11">
        <f t="shared" si="43"/>
        <v>1.0821164024660161</v>
      </c>
      <c r="K54" s="11">
        <f t="shared" si="43"/>
        <v>0.2692596018028528</v>
      </c>
      <c r="L54" s="11">
        <f t="shared" si="43"/>
        <v>0.32880339589571633</v>
      </c>
      <c r="M54" s="11">
        <f t="shared" si="43"/>
        <v>1.3461555833916972</v>
      </c>
      <c r="N54" s="11">
        <f t="shared" si="43"/>
        <v>0.24240512867704389</v>
      </c>
      <c r="O54" s="11">
        <f t="shared" si="43"/>
        <v>0.62892806744077867</v>
      </c>
      <c r="P54" s="11">
        <f t="shared" si="43"/>
        <v>1.4861221160253706</v>
      </c>
      <c r="Q54" s="11">
        <f t="shared" si="43"/>
        <v>1.0830829030812912</v>
      </c>
      <c r="R54" s="11">
        <f t="shared" si="43"/>
        <v>1.5893380065962033</v>
      </c>
      <c r="S54" s="11">
        <f t="shared" si="43"/>
        <v>2.4684619618385266</v>
      </c>
      <c r="T54" s="11">
        <f t="shared" si="43"/>
        <v>2.8503855622343304</v>
      </c>
      <c r="U54" s="11">
        <f t="shared" si="43"/>
        <v>1.5517394281007646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5.7879677909055171E-3</v>
      </c>
      <c r="C56" s="84">
        <v>1.0161016605222675</v>
      </c>
      <c r="D56" s="84">
        <v>1.0917612521668949</v>
      </c>
      <c r="E56" s="84">
        <v>0.73884407184812007</v>
      </c>
      <c r="F56" s="84">
        <v>1.2430114723035113</v>
      </c>
      <c r="G56" s="84">
        <v>0.29152800012640995</v>
      </c>
      <c r="H56" s="84">
        <v>0.41734196184691147</v>
      </c>
      <c r="I56" s="84">
        <v>3.9672421215717138E-2</v>
      </c>
      <c r="J56" s="84">
        <v>0.71233307574903293</v>
      </c>
      <c r="K56" s="84">
        <v>0</v>
      </c>
      <c r="L56" s="84">
        <v>1.0152908529652935E-2</v>
      </c>
      <c r="M56" s="84">
        <v>1.3461555833916972</v>
      </c>
      <c r="N56" s="84">
        <v>0.24240512867704389</v>
      </c>
      <c r="O56" s="84">
        <v>0.62892806744077867</v>
      </c>
      <c r="P56" s="84">
        <v>1.0530066702709444</v>
      </c>
      <c r="Q56" s="84">
        <v>0.62260770526453335</v>
      </c>
      <c r="R56" s="84">
        <v>1.5893380065962033</v>
      </c>
      <c r="S56" s="84">
        <v>1.6403359278255627</v>
      </c>
      <c r="T56" s="84">
        <v>1.6565775501941893</v>
      </c>
      <c r="U56" s="84">
        <v>0.88343012216579497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1.4435695542756033E-3</v>
      </c>
      <c r="C57" s="84">
        <v>0.18943569553852746</v>
      </c>
      <c r="D57" s="84">
        <v>0.20321522309758255</v>
      </c>
      <c r="E57" s="84">
        <v>0.13727034120781911</v>
      </c>
      <c r="F57" s="84">
        <v>0.2317585301841969</v>
      </c>
      <c r="G57" s="84">
        <v>0</v>
      </c>
      <c r="H57" s="84">
        <v>7.3135622819216151E-2</v>
      </c>
      <c r="I57" s="84">
        <v>0.59774223619934586</v>
      </c>
      <c r="J57" s="84">
        <v>0.36978332671698322</v>
      </c>
      <c r="K57" s="84">
        <v>0.2692596018028528</v>
      </c>
      <c r="L57" s="84">
        <v>0.31865048736606338</v>
      </c>
      <c r="M57" s="84">
        <v>0</v>
      </c>
      <c r="N57" s="84">
        <v>0</v>
      </c>
      <c r="O57" s="84">
        <v>0</v>
      </c>
      <c r="P57" s="84">
        <v>0.43311544575442618</v>
      </c>
      <c r="Q57" s="84">
        <v>0.46047519781675783</v>
      </c>
      <c r="R57" s="84">
        <v>0</v>
      </c>
      <c r="S57" s="84">
        <v>0.82812603401296414</v>
      </c>
      <c r="T57" s="84">
        <v>1.1938080120401411</v>
      </c>
      <c r="U57" s="84">
        <v>0.66830930593496962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1.5047102184246053</v>
      </c>
      <c r="C58" s="13">
        <f t="shared" si="45"/>
        <v>1.0242786069652823</v>
      </c>
      <c r="D58" s="13">
        <f t="shared" ref="D58:V58" si="46">SUM(D59:D61)</f>
        <v>1.5884744702588907</v>
      </c>
      <c r="E58" s="13">
        <f t="shared" si="46"/>
        <v>2.1310956739346576</v>
      </c>
      <c r="F58" s="13">
        <f t="shared" si="46"/>
        <v>1.0067215525575723</v>
      </c>
      <c r="G58" s="13">
        <f t="shared" si="46"/>
        <v>2.3303013974860876</v>
      </c>
      <c r="H58" s="13">
        <f t="shared" si="46"/>
        <v>1.6164364433430336</v>
      </c>
      <c r="I58" s="13">
        <f t="shared" si="46"/>
        <v>5.3029189988697274</v>
      </c>
      <c r="J58" s="13">
        <f t="shared" si="46"/>
        <v>4.157836691620167</v>
      </c>
      <c r="K58" s="13">
        <f t="shared" si="46"/>
        <v>0</v>
      </c>
      <c r="L58" s="13">
        <f t="shared" si="46"/>
        <v>0.2994708966863362</v>
      </c>
      <c r="M58" s="13">
        <f t="shared" si="46"/>
        <v>2.4343838831288628E-2</v>
      </c>
      <c r="N58" s="13">
        <f t="shared" si="46"/>
        <v>2.4363057720711373E-2</v>
      </c>
      <c r="O58" s="13">
        <f t="shared" si="46"/>
        <v>2.4338417873595138E-2</v>
      </c>
      <c r="P58" s="13">
        <f t="shared" si="46"/>
        <v>2.6459981946378719E-2</v>
      </c>
      <c r="Q58" s="13">
        <f t="shared" si="46"/>
        <v>1.2630927721297289</v>
      </c>
      <c r="R58" s="13">
        <f t="shared" si="46"/>
        <v>0.41942262728387208</v>
      </c>
      <c r="S58" s="13">
        <f t="shared" si="46"/>
        <v>2.4050917466292505</v>
      </c>
      <c r="T58" s="13">
        <f t="shared" si="46"/>
        <v>2.7590674740690074E-2</v>
      </c>
      <c r="U58" s="13">
        <f t="shared" si="46"/>
        <v>6.0492912847412886E-2</v>
      </c>
      <c r="V58" s="13">
        <f t="shared" si="46"/>
        <v>15.434050028865901</v>
      </c>
      <c r="W58" s="13">
        <f t="shared" ref="W58" si="47">SUM(W59:W61)</f>
        <v>5.076264189934105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0.33117788011603844</v>
      </c>
      <c r="C60" s="102">
        <v>0</v>
      </c>
      <c r="D60" s="102">
        <v>8.3598848368234169E-2</v>
      </c>
      <c r="E60" s="102">
        <v>0.3515931863723567</v>
      </c>
      <c r="F60" s="102">
        <v>9.3086172340801632E-3</v>
      </c>
      <c r="G60" s="102">
        <v>0.15551029276859885</v>
      </c>
      <c r="H60" s="102">
        <v>0</v>
      </c>
      <c r="I60" s="102">
        <v>8.5682871615637979E-2</v>
      </c>
      <c r="J60" s="102">
        <v>0.5605487969155778</v>
      </c>
      <c r="K60" s="102">
        <v>0</v>
      </c>
      <c r="L60" s="102">
        <v>0.2994708966863362</v>
      </c>
      <c r="M60" s="102">
        <v>2.4343838831288628E-2</v>
      </c>
      <c r="N60" s="102">
        <v>2.4363057720711373E-2</v>
      </c>
      <c r="O60" s="102">
        <v>2.4338417873595138E-2</v>
      </c>
      <c r="P60" s="102">
        <v>2.6459981946378719E-2</v>
      </c>
      <c r="Q60" s="102">
        <v>6.8868443096911702E-2</v>
      </c>
      <c r="R60" s="102">
        <v>2.2600889079797213E-2</v>
      </c>
      <c r="S60" s="102">
        <v>3.0188893530575509E-2</v>
      </c>
      <c r="T60" s="102">
        <v>2.7590674740690074E-2</v>
      </c>
      <c r="U60" s="102">
        <v>6.0492912847412886E-2</v>
      </c>
      <c r="V60" s="102">
        <v>5.7001859574000245E-2</v>
      </c>
      <c r="W60" s="102">
        <v>3.0336656060055242E-2</v>
      </c>
      <c r="DA60" s="175" t="s">
        <v>239</v>
      </c>
    </row>
    <row r="61" spans="1:105" ht="11.45" customHeight="1" x14ac:dyDescent="0.25">
      <c r="A61" s="85" t="s">
        <v>174</v>
      </c>
      <c r="B61" s="86">
        <v>1.1735323383085667</v>
      </c>
      <c r="C61" s="86">
        <v>1.0242786069652823</v>
      </c>
      <c r="D61" s="86">
        <v>1.5048756218906565</v>
      </c>
      <c r="E61" s="86">
        <v>1.7795024875623007</v>
      </c>
      <c r="F61" s="86">
        <v>0.99741293532349218</v>
      </c>
      <c r="G61" s="86">
        <v>2.1747911047174888</v>
      </c>
      <c r="H61" s="86">
        <v>1.6164364433430336</v>
      </c>
      <c r="I61" s="86">
        <v>5.2172361272540897</v>
      </c>
      <c r="J61" s="86">
        <v>3.5972878947045892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1.1942243290328172</v>
      </c>
      <c r="R61" s="86">
        <v>0.39682173820407485</v>
      </c>
      <c r="S61" s="86">
        <v>2.3749028530986749</v>
      </c>
      <c r="T61" s="86">
        <v>0</v>
      </c>
      <c r="U61" s="86">
        <v>0</v>
      </c>
      <c r="V61" s="86">
        <v>15.3770481692919</v>
      </c>
      <c r="W61" s="86">
        <v>5.0459275338740497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36.627952358522307</v>
      </c>
      <c r="C66" s="14">
        <f t="shared" si="48"/>
        <v>36.93225184908944</v>
      </c>
      <c r="D66" s="14">
        <f t="shared" ref="D66:V66" si="49">IF(D34=0,0,D34/D24)</f>
        <v>37.299060064190741</v>
      </c>
      <c r="E66" s="14">
        <f t="shared" si="49"/>
        <v>37.662086402110589</v>
      </c>
      <c r="F66" s="14">
        <f t="shared" si="49"/>
        <v>38.245660072668549</v>
      </c>
      <c r="G66" s="14">
        <f t="shared" si="49"/>
        <v>39.323668548756295</v>
      </c>
      <c r="H66" s="14">
        <f t="shared" si="49"/>
        <v>40.223980767304418</v>
      </c>
      <c r="I66" s="14">
        <f t="shared" si="49"/>
        <v>42.798969340482017</v>
      </c>
      <c r="J66" s="14">
        <f t="shared" si="49"/>
        <v>43.379382388911537</v>
      </c>
      <c r="K66" s="14">
        <f t="shared" si="49"/>
        <v>43.398695383231178</v>
      </c>
      <c r="L66" s="14">
        <f t="shared" si="49"/>
        <v>45.602308558558562</v>
      </c>
      <c r="M66" s="14">
        <f t="shared" si="49"/>
        <v>46.679379608441394</v>
      </c>
      <c r="N66" s="14">
        <f t="shared" si="49"/>
        <v>47.028514851485149</v>
      </c>
      <c r="O66" s="14">
        <f t="shared" si="49"/>
        <v>53.277826639304209</v>
      </c>
      <c r="P66" s="14">
        <f t="shared" si="49"/>
        <v>58.14464871027505</v>
      </c>
      <c r="Q66" s="14">
        <f t="shared" si="49"/>
        <v>62.603156708004512</v>
      </c>
      <c r="R66" s="14">
        <f t="shared" si="49"/>
        <v>66.114402856764983</v>
      </c>
      <c r="S66" s="14">
        <f t="shared" si="49"/>
        <v>72.535159261513485</v>
      </c>
      <c r="T66" s="14">
        <f t="shared" si="49"/>
        <v>74.141662967894661</v>
      </c>
      <c r="U66" s="14">
        <f t="shared" si="49"/>
        <v>78.106243310738492</v>
      </c>
      <c r="V66" s="14">
        <f t="shared" si="49"/>
        <v>64.527919243361225</v>
      </c>
      <c r="W66" s="14">
        <f t="shared" ref="W66" si="50">IF(W34=0,0,W34/W24)</f>
        <v>77.76626599457154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36.498376255569823</v>
      </c>
      <c r="C68" s="87">
        <f t="shared" si="48"/>
        <v>36.697104987792116</v>
      </c>
      <c r="D68" s="87">
        <f t="shared" ref="D68:V68" si="53">IF(D36=0,0,D36/D26)</f>
        <v>36.992538273510874</v>
      </c>
      <c r="E68" s="87">
        <f t="shared" si="53"/>
        <v>37.304176176670161</v>
      </c>
      <c r="F68" s="87">
        <f t="shared" si="53"/>
        <v>37.841187131853196</v>
      </c>
      <c r="G68" s="87">
        <f t="shared" si="53"/>
        <v>37.677597787435793</v>
      </c>
      <c r="H68" s="87">
        <f t="shared" si="53"/>
        <v>38.087256538675568</v>
      </c>
      <c r="I68" s="87">
        <f t="shared" si="53"/>
        <v>39.883074744852813</v>
      </c>
      <c r="J68" s="87">
        <f t="shared" si="53"/>
        <v>39.642828259488184</v>
      </c>
      <c r="K68" s="87">
        <f t="shared" si="53"/>
        <v>39.319600337377537</v>
      </c>
      <c r="L68" s="87">
        <f t="shared" si="53"/>
        <v>41.514766282026208</v>
      </c>
      <c r="M68" s="87">
        <f t="shared" si="53"/>
        <v>44.028030833917306</v>
      </c>
      <c r="N68" s="87">
        <f t="shared" si="53"/>
        <v>44.734740278668454</v>
      </c>
      <c r="O68" s="87">
        <f t="shared" si="53"/>
        <v>51.22765008188852</v>
      </c>
      <c r="P68" s="87">
        <f t="shared" si="53"/>
        <v>55.933630755673057</v>
      </c>
      <c r="Q68" s="87">
        <f t="shared" si="53"/>
        <v>61.742043370374368</v>
      </c>
      <c r="R68" s="87">
        <f t="shared" si="53"/>
        <v>66.34352871754524</v>
      </c>
      <c r="S68" s="87">
        <f t="shared" si="53"/>
        <v>73.196818635004078</v>
      </c>
      <c r="T68" s="87">
        <f t="shared" si="53"/>
        <v>75.552023724990605</v>
      </c>
      <c r="U68" s="87">
        <f t="shared" si="53"/>
        <v>80.01888318304961</v>
      </c>
      <c r="V68" s="87">
        <f t="shared" si="53"/>
        <v>65.243916913946592</v>
      </c>
      <c r="W68" s="87">
        <f t="shared" ref="W68" si="54">IF(W36=0,0,W36/W26)</f>
        <v>78.313779459831409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37.687037037037037</v>
      </c>
      <c r="C69" s="87">
        <f t="shared" si="48"/>
        <v>38.854047890535917</v>
      </c>
      <c r="D69" s="87">
        <f t="shared" ref="D69:V69" si="55">IF(D37=0,0,D37/D27)</f>
        <v>39.804416403785488</v>
      </c>
      <c r="E69" s="87">
        <f t="shared" si="55"/>
        <v>40.587997982854262</v>
      </c>
      <c r="F69" s="87">
        <f t="shared" si="55"/>
        <v>41.55185185185185</v>
      </c>
      <c r="G69" s="87">
        <f t="shared" si="55"/>
        <v>54.340885684860972</v>
      </c>
      <c r="H69" s="87">
        <f t="shared" si="55"/>
        <v>59.460921843687373</v>
      </c>
      <c r="I69" s="87">
        <f t="shared" si="55"/>
        <v>64.669469026548668</v>
      </c>
      <c r="J69" s="87">
        <f t="shared" si="55"/>
        <v>71.344574146130569</v>
      </c>
      <c r="K69" s="87">
        <f t="shared" si="55"/>
        <v>69.926582278481007</v>
      </c>
      <c r="L69" s="87">
        <f t="shared" si="55"/>
        <v>71.500206526228837</v>
      </c>
      <c r="M69" s="87">
        <f t="shared" si="55"/>
        <v>64.547028728846911</v>
      </c>
      <c r="N69" s="87">
        <f t="shared" si="55"/>
        <v>59.941253692156216</v>
      </c>
      <c r="O69" s="87">
        <f t="shared" si="55"/>
        <v>66.435665096049291</v>
      </c>
      <c r="P69" s="87">
        <f t="shared" si="55"/>
        <v>72.011053540587213</v>
      </c>
      <c r="Q69" s="87">
        <f t="shared" si="55"/>
        <v>68.408000000000001</v>
      </c>
      <c r="R69" s="87">
        <f t="shared" si="55"/>
        <v>64.129100979974439</v>
      </c>
      <c r="S69" s="87">
        <f t="shared" si="55"/>
        <v>66.873982163629307</v>
      </c>
      <c r="T69" s="87">
        <f t="shared" si="55"/>
        <v>63.23198707592892</v>
      </c>
      <c r="U69" s="87">
        <f t="shared" si="55"/>
        <v>63.768111548954231</v>
      </c>
      <c r="V69" s="87">
        <f t="shared" si="55"/>
        <v>56.357787810383748</v>
      </c>
      <c r="W69" s="87">
        <f t="shared" ref="W69" si="56">IF(W37=0,0,W37/W27)</f>
        <v>72.750197005516156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43.451342964812348</v>
      </c>
      <c r="C70" s="15">
        <f t="shared" si="48"/>
        <v>47.954967350017689</v>
      </c>
      <c r="D70" s="15">
        <f t="shared" ref="D70:V70" si="57">IF(D38=0,0,D38/D28)</f>
        <v>47.551454646467093</v>
      </c>
      <c r="E70" s="15">
        <f t="shared" si="57"/>
        <v>43.263251399278786</v>
      </c>
      <c r="F70" s="15">
        <f t="shared" si="57"/>
        <v>43.537835507297636</v>
      </c>
      <c r="G70" s="15">
        <f t="shared" si="57"/>
        <v>39.703425113211132</v>
      </c>
      <c r="H70" s="15">
        <f t="shared" si="57"/>
        <v>41.607977071174766</v>
      </c>
      <c r="I70" s="15">
        <f t="shared" si="57"/>
        <v>41.09653395959937</v>
      </c>
      <c r="J70" s="15">
        <f t="shared" si="57"/>
        <v>39.712741657529108</v>
      </c>
      <c r="K70" s="15">
        <f t="shared" si="57"/>
        <v>42.923748937154677</v>
      </c>
      <c r="L70" s="15">
        <f t="shared" si="57"/>
        <v>43.975069591794714</v>
      </c>
      <c r="M70" s="15">
        <f t="shared" si="57"/>
        <v>47.736234563475826</v>
      </c>
      <c r="N70" s="15">
        <f t="shared" si="57"/>
        <v>49.426600808541203</v>
      </c>
      <c r="O70" s="15">
        <f t="shared" si="57"/>
        <v>49.951309615875559</v>
      </c>
      <c r="P70" s="15">
        <f t="shared" si="57"/>
        <v>55.763951871538467</v>
      </c>
      <c r="Q70" s="15">
        <f t="shared" si="57"/>
        <v>57.441322163910904</v>
      </c>
      <c r="R70" s="15">
        <f t="shared" si="57"/>
        <v>65.429216585357267</v>
      </c>
      <c r="S70" s="15">
        <f t="shared" si="57"/>
        <v>64.480964633983831</v>
      </c>
      <c r="T70" s="15">
        <f t="shared" si="57"/>
        <v>65.17440533086625</v>
      </c>
      <c r="U70" s="15">
        <f t="shared" si="57"/>
        <v>66.934566038233086</v>
      </c>
      <c r="V70" s="15">
        <f t="shared" si="57"/>
        <v>46.819169904437501</v>
      </c>
      <c r="W70" s="15">
        <f t="shared" ref="W70" si="58">IF(W38=0,0,W38/W28)</f>
        <v>49.457214631333152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16.295894641910159</v>
      </c>
      <c r="E72" s="41">
        <f t="shared" si="61"/>
        <v>17.16750527050025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13.985273542904695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13.626760295117137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18.175765763019093</v>
      </c>
      <c r="R72" s="41">
        <f t="shared" si="61"/>
        <v>20.573511943488924</v>
      </c>
      <c r="S72" s="41">
        <f t="shared" si="61"/>
        <v>19.128094078057725</v>
      </c>
      <c r="T72" s="41">
        <f t="shared" si="61"/>
        <v>19.011024442061291</v>
      </c>
      <c r="U72" s="41">
        <f t="shared" si="61"/>
        <v>19.492640855946785</v>
      </c>
      <c r="V72" s="41">
        <f t="shared" si="61"/>
        <v>17.519164414143237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49.89878191350337</v>
      </c>
      <c r="L73" s="40">
        <f t="shared" si="63"/>
        <v>52.530888086642598</v>
      </c>
      <c r="M73" s="40">
        <f t="shared" si="63"/>
        <v>55.065477606746086</v>
      </c>
      <c r="N73" s="40">
        <f t="shared" si="63"/>
        <v>58.746980790650362</v>
      </c>
      <c r="O73" s="40">
        <f t="shared" si="63"/>
        <v>59.346209680294095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1890.788180404805</v>
      </c>
      <c r="C75" s="62">
        <f t="shared" si="65"/>
        <v>1856.6656277088559</v>
      </c>
      <c r="D75" s="62">
        <f t="shared" ref="D75:V75" si="66">IF(D13=0,0,D13*1000000/D23)</f>
        <v>1842.8499756257061</v>
      </c>
      <c r="E75" s="62">
        <f t="shared" si="66"/>
        <v>1868.3436698256753</v>
      </c>
      <c r="F75" s="62">
        <f t="shared" si="66"/>
        <v>1835.6722266956822</v>
      </c>
      <c r="G75" s="62">
        <f t="shared" si="66"/>
        <v>1903.7424602780695</v>
      </c>
      <c r="H75" s="62">
        <f t="shared" si="66"/>
        <v>1936.1804408562914</v>
      </c>
      <c r="I75" s="62">
        <f t="shared" si="66"/>
        <v>2224.0196074052337</v>
      </c>
      <c r="J75" s="62">
        <f t="shared" si="66"/>
        <v>2345.4734195509877</v>
      </c>
      <c r="K75" s="62">
        <f t="shared" si="66"/>
        <v>2200.0427307660016</v>
      </c>
      <c r="L75" s="62">
        <f t="shared" si="66"/>
        <v>2227.2347017713964</v>
      </c>
      <c r="M75" s="62">
        <f t="shared" si="66"/>
        <v>2134.6110071976714</v>
      </c>
      <c r="N75" s="62">
        <f t="shared" si="66"/>
        <v>1876.53105743266</v>
      </c>
      <c r="O75" s="62">
        <f t="shared" si="66"/>
        <v>1929.5588502713158</v>
      </c>
      <c r="P75" s="62">
        <f t="shared" si="66"/>
        <v>1905.4133445000625</v>
      </c>
      <c r="Q75" s="62">
        <f t="shared" si="66"/>
        <v>2074.6044792402331</v>
      </c>
      <c r="R75" s="62">
        <f t="shared" si="66"/>
        <v>2063.2627736404015</v>
      </c>
      <c r="S75" s="62">
        <f t="shared" si="66"/>
        <v>2128.1742320248773</v>
      </c>
      <c r="T75" s="62">
        <f t="shared" si="66"/>
        <v>2053.4513959434644</v>
      </c>
      <c r="U75" s="62">
        <f t="shared" si="66"/>
        <v>1990.3456477610669</v>
      </c>
      <c r="V75" s="62">
        <f t="shared" si="66"/>
        <v>3879.5484151466417</v>
      </c>
      <c r="W75" s="62">
        <f t="shared" ref="W75" si="67">IF(W13=0,0,W13*1000000/W23)</f>
        <v>3963.3320550721492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841.704666333962</v>
      </c>
      <c r="C76" s="14">
        <f t="shared" si="65"/>
        <v>841.66890458799901</v>
      </c>
      <c r="D76" s="14">
        <f t="shared" ref="D76:V76" si="68">IF(D14=0,0,D14*1000000/D24)</f>
        <v>841.63437299544967</v>
      </c>
      <c r="E76" s="14">
        <f t="shared" si="68"/>
        <v>841.61722913014501</v>
      </c>
      <c r="F76" s="14">
        <f t="shared" si="68"/>
        <v>841.59033450256197</v>
      </c>
      <c r="G76" s="14">
        <f t="shared" si="68"/>
        <v>827.86106578010674</v>
      </c>
      <c r="H76" s="14">
        <f t="shared" si="68"/>
        <v>813.65266138328445</v>
      </c>
      <c r="I76" s="14">
        <f t="shared" si="68"/>
        <v>859.32465008681334</v>
      </c>
      <c r="J76" s="14">
        <f t="shared" si="68"/>
        <v>874.60260600143044</v>
      </c>
      <c r="K76" s="14">
        <f t="shared" si="68"/>
        <v>890.16274705407182</v>
      </c>
      <c r="L76" s="14">
        <f t="shared" si="68"/>
        <v>916.99168318388399</v>
      </c>
      <c r="M76" s="14">
        <f t="shared" si="68"/>
        <v>881.65442549312934</v>
      </c>
      <c r="N76" s="14">
        <f t="shared" si="68"/>
        <v>804.24282516713913</v>
      </c>
      <c r="O76" s="14">
        <f t="shared" si="68"/>
        <v>811.37603689664229</v>
      </c>
      <c r="P76" s="14">
        <f t="shared" si="68"/>
        <v>878.09139680791907</v>
      </c>
      <c r="Q76" s="14">
        <f t="shared" si="68"/>
        <v>943.86276947299427</v>
      </c>
      <c r="R76" s="14">
        <f t="shared" si="68"/>
        <v>970.06524631953175</v>
      </c>
      <c r="S76" s="14">
        <f t="shared" si="68"/>
        <v>1034.5739359846391</v>
      </c>
      <c r="T76" s="14">
        <f t="shared" si="68"/>
        <v>1077.7923314910634</v>
      </c>
      <c r="U76" s="14">
        <f t="shared" si="68"/>
        <v>1108.9412810711601</v>
      </c>
      <c r="V76" s="14">
        <f t="shared" si="68"/>
        <v>1204.4436635670781</v>
      </c>
      <c r="W76" s="14">
        <f t="shared" ref="W76" si="69">IF(W14=0,0,W14*1000000/W24)</f>
        <v>1385.4898332297814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799.21090436776569</v>
      </c>
      <c r="C78" s="39">
        <f t="shared" si="65"/>
        <v>799.16708159864345</v>
      </c>
      <c r="D78" s="39">
        <f t="shared" ref="D78:V78" si="72">IF(D16=0,0,D16*1000000/D26)</f>
        <v>799.1322437263542</v>
      </c>
      <c r="E78" s="39">
        <f t="shared" si="72"/>
        <v>799.12072757117903</v>
      </c>
      <c r="F78" s="39">
        <f t="shared" si="72"/>
        <v>799.08579442090684</v>
      </c>
      <c r="G78" s="39">
        <f t="shared" si="72"/>
        <v>783.16203142488826</v>
      </c>
      <c r="H78" s="39">
        <f t="shared" si="72"/>
        <v>770.01316165014532</v>
      </c>
      <c r="I78" s="39">
        <f t="shared" si="72"/>
        <v>777.38221372455723</v>
      </c>
      <c r="J78" s="39">
        <f t="shared" si="72"/>
        <v>762.94852034433791</v>
      </c>
      <c r="K78" s="39">
        <f t="shared" si="72"/>
        <v>744.35726095011444</v>
      </c>
      <c r="L78" s="39">
        <f t="shared" si="72"/>
        <v>744.16597120566996</v>
      </c>
      <c r="M78" s="39">
        <f t="shared" si="72"/>
        <v>755.00754492310136</v>
      </c>
      <c r="N78" s="39">
        <f t="shared" si="72"/>
        <v>739.20934671617977</v>
      </c>
      <c r="O78" s="39">
        <f t="shared" si="72"/>
        <v>735.28785103538928</v>
      </c>
      <c r="P78" s="39">
        <f t="shared" si="72"/>
        <v>782.81675449330316</v>
      </c>
      <c r="Q78" s="39">
        <f t="shared" si="72"/>
        <v>798.87583195092611</v>
      </c>
      <c r="R78" s="39">
        <f t="shared" si="72"/>
        <v>817.28620506568132</v>
      </c>
      <c r="S78" s="39">
        <f t="shared" si="72"/>
        <v>845.46418592597752</v>
      </c>
      <c r="T78" s="39">
        <f t="shared" si="72"/>
        <v>849.05074254782073</v>
      </c>
      <c r="U78" s="39">
        <f t="shared" si="72"/>
        <v>855.3902036922666</v>
      </c>
      <c r="V78" s="39">
        <f t="shared" si="72"/>
        <v>969.95221851141673</v>
      </c>
      <c r="W78" s="39">
        <f t="shared" ref="W78" si="73">IF(W16=0,0,W16*1000000/W26)</f>
        <v>1099.3098269269183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1189.0255936144604</v>
      </c>
      <c r="C79" s="39">
        <f t="shared" si="65"/>
        <v>1189.0255936144604</v>
      </c>
      <c r="D79" s="39">
        <f t="shared" ref="D79:V79" si="74">IF(D17=0,0,D17*1000000/D27)</f>
        <v>1189.0255936144604</v>
      </c>
      <c r="E79" s="39">
        <f t="shared" si="74"/>
        <v>1189.0255936144604</v>
      </c>
      <c r="F79" s="39">
        <f t="shared" si="74"/>
        <v>1189.0255936144604</v>
      </c>
      <c r="G79" s="39">
        <f t="shared" si="74"/>
        <v>1235.65344048217</v>
      </c>
      <c r="H79" s="39">
        <f t="shared" si="74"/>
        <v>1206.5393398424587</v>
      </c>
      <c r="I79" s="39">
        <f t="shared" si="74"/>
        <v>1473.9291805189382</v>
      </c>
      <c r="J79" s="39">
        <f t="shared" si="74"/>
        <v>1710.2463054436821</v>
      </c>
      <c r="K79" s="39">
        <f t="shared" si="74"/>
        <v>1838.3905771470236</v>
      </c>
      <c r="L79" s="39">
        <f t="shared" si="74"/>
        <v>2011.9828422230514</v>
      </c>
      <c r="M79" s="39">
        <f t="shared" si="74"/>
        <v>1735.1377717667078</v>
      </c>
      <c r="N79" s="39">
        <f t="shared" si="74"/>
        <v>1170.3469458987784</v>
      </c>
      <c r="O79" s="39">
        <f t="shared" si="74"/>
        <v>1299.7027882722148</v>
      </c>
      <c r="P79" s="39">
        <f t="shared" si="74"/>
        <v>1475.6065629095319</v>
      </c>
      <c r="Q79" s="39">
        <f t="shared" si="74"/>
        <v>1921.2328959399395</v>
      </c>
      <c r="R79" s="39">
        <f t="shared" si="74"/>
        <v>2293.846491712929</v>
      </c>
      <c r="S79" s="39">
        <f t="shared" si="74"/>
        <v>2652.6025303213705</v>
      </c>
      <c r="T79" s="39">
        <f t="shared" si="74"/>
        <v>2847.1953624733478</v>
      </c>
      <c r="U79" s="39">
        <f t="shared" si="74"/>
        <v>3009.6905064902007</v>
      </c>
      <c r="V79" s="39">
        <f t="shared" si="74"/>
        <v>3880.1869022947717</v>
      </c>
      <c r="W79" s="39">
        <f t="shared" ref="W79" si="75">IF(W17=0,0,W17*1000000/W27)</f>
        <v>4007.3407026364662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4469.8502321180868</v>
      </c>
      <c r="C80" s="15">
        <f t="shared" si="65"/>
        <v>4741.8745107992218</v>
      </c>
      <c r="D80" s="15">
        <f t="shared" ref="D80:V80" si="76">IF(D18=0,0,D18*1000000/D28)</f>
        <v>4757.7857064270938</v>
      </c>
      <c r="E80" s="15">
        <f t="shared" si="76"/>
        <v>4648.9719612836216</v>
      </c>
      <c r="F80" s="15">
        <f t="shared" si="76"/>
        <v>4787.6768386691392</v>
      </c>
      <c r="G80" s="15">
        <f t="shared" si="76"/>
        <v>4764.6585071379977</v>
      </c>
      <c r="H80" s="15">
        <f t="shared" si="76"/>
        <v>4943.3439515175087</v>
      </c>
      <c r="I80" s="15">
        <f t="shared" si="76"/>
        <v>5137.6842912287684</v>
      </c>
      <c r="J80" s="15">
        <f t="shared" si="76"/>
        <v>5181.9876535423891</v>
      </c>
      <c r="K80" s="15">
        <f t="shared" si="76"/>
        <v>5170.4068917388722</v>
      </c>
      <c r="L80" s="15">
        <f t="shared" si="76"/>
        <v>5157.2165715918727</v>
      </c>
      <c r="M80" s="15">
        <f t="shared" si="76"/>
        <v>5462.9091537895683</v>
      </c>
      <c r="N80" s="15">
        <f t="shared" si="76"/>
        <v>5104.5820696179844</v>
      </c>
      <c r="O80" s="15">
        <f t="shared" si="76"/>
        <v>5043.5511565070028</v>
      </c>
      <c r="P80" s="15">
        <f t="shared" si="76"/>
        <v>5040.0929097801472</v>
      </c>
      <c r="Q80" s="15">
        <f t="shared" si="76"/>
        <v>5445.9251399580171</v>
      </c>
      <c r="R80" s="15">
        <f t="shared" si="76"/>
        <v>5767.6248160992127</v>
      </c>
      <c r="S80" s="15">
        <f t="shared" si="76"/>
        <v>5824.2492863188527</v>
      </c>
      <c r="T80" s="15">
        <f t="shared" si="76"/>
        <v>5860.8876642077703</v>
      </c>
      <c r="U80" s="15">
        <f t="shared" si="76"/>
        <v>5870.0197052858912</v>
      </c>
      <c r="V80" s="15">
        <f t="shared" si="76"/>
        <v>6890.9583095332991</v>
      </c>
      <c r="W80" s="15">
        <f t="shared" ref="W80" si="77">IF(W18=0,0,W18*1000000/W28)</f>
        <v>6998.2334930943653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1603.0315119166048</v>
      </c>
      <c r="C82" s="41">
        <f t="shared" si="65"/>
        <v>1310.9606438647781</v>
      </c>
      <c r="D82" s="41">
        <f t="shared" ref="D82:V82" si="80">IF(D20=0,0,D20*1000000/D30)</f>
        <v>1121.612863773169</v>
      </c>
      <c r="E82" s="41">
        <f t="shared" si="80"/>
        <v>1160.2578713691989</v>
      </c>
      <c r="F82" s="41">
        <f t="shared" si="80"/>
        <v>1192.501353486181</v>
      </c>
      <c r="G82" s="41">
        <f t="shared" si="80"/>
        <v>1174.861892144605</v>
      </c>
      <c r="H82" s="41">
        <f t="shared" si="80"/>
        <v>1061.6689227770162</v>
      </c>
      <c r="I82" s="41">
        <f t="shared" si="80"/>
        <v>996.00616114754109</v>
      </c>
      <c r="J82" s="41">
        <f t="shared" si="80"/>
        <v>880.08796225282163</v>
      </c>
      <c r="K82" s="41">
        <f t="shared" si="80"/>
        <v>780.36492334210118</v>
      </c>
      <c r="L82" s="41">
        <f t="shared" si="80"/>
        <v>739.63702042759519</v>
      </c>
      <c r="M82" s="41">
        <f t="shared" si="80"/>
        <v>708.3717808221985</v>
      </c>
      <c r="N82" s="41">
        <f t="shared" si="80"/>
        <v>653.44610743631392</v>
      </c>
      <c r="O82" s="41">
        <f t="shared" si="80"/>
        <v>669.67864331661906</v>
      </c>
      <c r="P82" s="41">
        <f t="shared" si="80"/>
        <v>726.11100749634772</v>
      </c>
      <c r="Q82" s="41">
        <f t="shared" si="80"/>
        <v>771.83684938027852</v>
      </c>
      <c r="R82" s="41">
        <f t="shared" si="80"/>
        <v>779.59080091193141</v>
      </c>
      <c r="S82" s="41">
        <f t="shared" si="80"/>
        <v>819.48354855175307</v>
      </c>
      <c r="T82" s="41">
        <f t="shared" si="80"/>
        <v>830.59467138196806</v>
      </c>
      <c r="U82" s="41">
        <f t="shared" si="80"/>
        <v>850.3486932753201</v>
      </c>
      <c r="V82" s="41">
        <f t="shared" si="80"/>
        <v>932.39102549409563</v>
      </c>
      <c r="W82" s="41">
        <f t="shared" ref="W82" si="81">IF(W20=0,0,W20*1000000/W30)</f>
        <v>1029.1347708964995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5378.6130290447009</v>
      </c>
      <c r="C83" s="40">
        <f t="shared" si="65"/>
        <v>5378.6130290447009</v>
      </c>
      <c r="D83" s="40">
        <f t="shared" ref="D83:V83" si="82">IF(D21=0,0,D21*1000000/D31)</f>
        <v>5378.6130290447009</v>
      </c>
      <c r="E83" s="40">
        <f t="shared" si="82"/>
        <v>5378.6130290447009</v>
      </c>
      <c r="F83" s="40">
        <f t="shared" si="82"/>
        <v>5378.6130290447009</v>
      </c>
      <c r="G83" s="40">
        <f t="shared" si="82"/>
        <v>5425.2408759124082</v>
      </c>
      <c r="H83" s="40">
        <f t="shared" si="82"/>
        <v>5443.0295148113782</v>
      </c>
      <c r="I83" s="40">
        <f t="shared" si="82"/>
        <v>5757.3220950265359</v>
      </c>
      <c r="J83" s="40">
        <f t="shared" si="82"/>
        <v>6040.5419594899595</v>
      </c>
      <c r="K83" s="40">
        <f t="shared" si="82"/>
        <v>6215.5889707319784</v>
      </c>
      <c r="L83" s="40">
        <f t="shared" si="82"/>
        <v>6436.0839753466871</v>
      </c>
      <c r="M83" s="40">
        <f t="shared" si="82"/>
        <v>6543.5574857421989</v>
      </c>
      <c r="N83" s="40">
        <f t="shared" si="82"/>
        <v>6363.0852407261254</v>
      </c>
      <c r="O83" s="40">
        <f t="shared" si="82"/>
        <v>6273.5121683229172</v>
      </c>
      <c r="P83" s="40">
        <f t="shared" si="82"/>
        <v>6230.487028183592</v>
      </c>
      <c r="Q83" s="40">
        <f t="shared" si="82"/>
        <v>6457.1844464373571</v>
      </c>
      <c r="R83" s="40">
        <f t="shared" si="82"/>
        <v>6610.8691274337025</v>
      </c>
      <c r="S83" s="40">
        <f t="shared" si="82"/>
        <v>6750.6962512655009</v>
      </c>
      <c r="T83" s="40">
        <f t="shared" si="82"/>
        <v>6726.3601686408338</v>
      </c>
      <c r="U83" s="40">
        <f t="shared" si="82"/>
        <v>6714.4589490968792</v>
      </c>
      <c r="V83" s="40">
        <f t="shared" si="82"/>
        <v>7584.9553449014502</v>
      </c>
      <c r="W83" s="40">
        <f t="shared" ref="W83" si="83">IF(W21=0,0,W21*1000000/W31)</f>
        <v>7712.1091452431447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49526.489968030692</v>
      </c>
      <c r="C86" s="11">
        <f t="shared" si="84"/>
        <v>50239.672140580529</v>
      </c>
      <c r="D86" s="11">
        <f t="shared" ref="D86:V86" si="85">IF(D4=0,0,D4*1000000/D24)</f>
        <v>50428.897954848435</v>
      </c>
      <c r="E86" s="11">
        <f t="shared" si="85"/>
        <v>49988.590087513301</v>
      </c>
      <c r="F86" s="11">
        <f t="shared" si="85"/>
        <v>49564.660255546092</v>
      </c>
      <c r="G86" s="11">
        <f t="shared" si="85"/>
        <v>50282.003123288152</v>
      </c>
      <c r="H86" s="11">
        <f t="shared" si="85"/>
        <v>48400.519012266166</v>
      </c>
      <c r="I86" s="11">
        <f t="shared" si="85"/>
        <v>53260.752737599316</v>
      </c>
      <c r="J86" s="11">
        <f t="shared" si="85"/>
        <v>55403.340479216364</v>
      </c>
      <c r="K86" s="11">
        <f t="shared" si="85"/>
        <v>57627.011143248834</v>
      </c>
      <c r="L86" s="11">
        <f t="shared" si="85"/>
        <v>62841.157437076305</v>
      </c>
      <c r="M86" s="11">
        <f t="shared" si="85"/>
        <v>58303.449135850045</v>
      </c>
      <c r="N86" s="11">
        <f t="shared" si="85"/>
        <v>51881.074311791366</v>
      </c>
      <c r="O86" s="11">
        <f t="shared" si="85"/>
        <v>58243.573348567144</v>
      </c>
      <c r="P86" s="11">
        <f t="shared" si="85"/>
        <v>67190.981727380626</v>
      </c>
      <c r="Q86" s="11">
        <f t="shared" si="85"/>
        <v>74741.255552176532</v>
      </c>
      <c r="R86" s="11">
        <f t="shared" si="85"/>
        <v>78638.027038782588</v>
      </c>
      <c r="S86" s="11">
        <f t="shared" si="85"/>
        <v>90959.757653760244</v>
      </c>
      <c r="T86" s="11">
        <f t="shared" si="85"/>
        <v>95977.953545027369</v>
      </c>
      <c r="U86" s="11">
        <f t="shared" si="85"/>
        <v>102981.21696999326</v>
      </c>
      <c r="V86" s="11">
        <f t="shared" si="85"/>
        <v>95482.393701271285</v>
      </c>
      <c r="W86" s="11">
        <f t="shared" ref="W86" si="86">IF(W4=0,0,W4*1000000/W24)</f>
        <v>127984.89456792243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47505.65063331095</v>
      </c>
      <c r="C88" s="36">
        <f t="shared" si="84"/>
        <v>48055.686945783542</v>
      </c>
      <c r="D88" s="36">
        <f t="shared" ref="D88:V88" si="89">IF(D6=0,0,D6*1000000/D26)</f>
        <v>48064.503102747192</v>
      </c>
      <c r="E88" s="36">
        <f t="shared" si="89"/>
        <v>47402.79265247687</v>
      </c>
      <c r="F88" s="36">
        <f t="shared" si="89"/>
        <v>46720.072188221551</v>
      </c>
      <c r="G88" s="36">
        <f t="shared" si="89"/>
        <v>44945.996179315298</v>
      </c>
      <c r="H88" s="36">
        <f t="shared" si="89"/>
        <v>42032.073246901142</v>
      </c>
      <c r="I88" s="36">
        <f t="shared" si="89"/>
        <v>41631.781927908363</v>
      </c>
      <c r="J88" s="36">
        <f t="shared" si="89"/>
        <v>38777.813531631626</v>
      </c>
      <c r="K88" s="36">
        <f t="shared" si="89"/>
        <v>37354.804198800019</v>
      </c>
      <c r="L88" s="36">
        <f t="shared" si="89"/>
        <v>39295.573897964881</v>
      </c>
      <c r="M88" s="36">
        <f t="shared" si="89"/>
        <v>42378.751376063192</v>
      </c>
      <c r="N88" s="36">
        <f t="shared" si="89"/>
        <v>42736.989720997699</v>
      </c>
      <c r="O88" s="36">
        <f t="shared" si="89"/>
        <v>48576.120248167652</v>
      </c>
      <c r="P88" s="36">
        <f t="shared" si="89"/>
        <v>54609.628506778259</v>
      </c>
      <c r="Q88" s="36">
        <f t="shared" si="89"/>
        <v>60096.999973810751</v>
      </c>
      <c r="R88" s="36">
        <f t="shared" si="89"/>
        <v>65204.900638816645</v>
      </c>
      <c r="S88" s="36">
        <f t="shared" si="89"/>
        <v>74523.329719839967</v>
      </c>
      <c r="T88" s="36">
        <f t="shared" si="89"/>
        <v>76852.83842870612</v>
      </c>
      <c r="U88" s="36">
        <f t="shared" si="89"/>
        <v>80465.406477656579</v>
      </c>
      <c r="V88" s="36">
        <f t="shared" si="89"/>
        <v>77251.293562023202</v>
      </c>
      <c r="W88" s="36">
        <f t="shared" ref="W88" si="90">IF(W6=0,0,W6*1000000/W26)</f>
        <v>101112.01132709431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66043.73295014436</v>
      </c>
      <c r="C89" s="36">
        <f t="shared" si="84"/>
        <v>68088.832783348436</v>
      </c>
      <c r="D89" s="36">
        <f t="shared" ref="D89:V89" si="91">IF(D7=0,0,D7*1000000/D27)</f>
        <v>69754.283007827398</v>
      </c>
      <c r="E89" s="36">
        <f t="shared" si="91"/>
        <v>71127.451519371898</v>
      </c>
      <c r="F89" s="36">
        <f t="shared" si="91"/>
        <v>72816.533828084095</v>
      </c>
      <c r="G89" s="36">
        <f t="shared" si="91"/>
        <v>98962.762663127025</v>
      </c>
      <c r="H89" s="36">
        <f t="shared" si="91"/>
        <v>105735.67452509662</v>
      </c>
      <c r="I89" s="36">
        <f t="shared" si="91"/>
        <v>140483.1793725866</v>
      </c>
      <c r="J89" s="36">
        <f t="shared" si="91"/>
        <v>179832.43558930687</v>
      </c>
      <c r="K89" s="36">
        <f t="shared" si="91"/>
        <v>189464.78567269596</v>
      </c>
      <c r="L89" s="36">
        <f t="shared" si="91"/>
        <v>212021.5398850028</v>
      </c>
      <c r="M89" s="36">
        <f t="shared" si="91"/>
        <v>165621.24702588943</v>
      </c>
      <c r="N89" s="36">
        <f t="shared" si="91"/>
        <v>103357.43892809717</v>
      </c>
      <c r="O89" s="36">
        <f t="shared" si="91"/>
        <v>120288.36930680338</v>
      </c>
      <c r="P89" s="36">
        <f t="shared" si="91"/>
        <v>146094.97104456768</v>
      </c>
      <c r="Q89" s="36">
        <f t="shared" si="91"/>
        <v>173459.51370190192</v>
      </c>
      <c r="R89" s="36">
        <f t="shared" si="91"/>
        <v>195031.74602885827</v>
      </c>
      <c r="S89" s="36">
        <f t="shared" si="91"/>
        <v>231590.31941796542</v>
      </c>
      <c r="T89" s="36">
        <f t="shared" si="91"/>
        <v>243917.97971622174</v>
      </c>
      <c r="U89" s="36">
        <f t="shared" si="91"/>
        <v>271771.30769020488</v>
      </c>
      <c r="V89" s="36">
        <f t="shared" si="91"/>
        <v>303514.47316831222</v>
      </c>
      <c r="W89" s="36">
        <f t="shared" ref="W89" si="92">IF(W7=0,0,W7*1000000/W27)</f>
        <v>374182.01084677776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398397.91641358775</v>
      </c>
      <c r="C90" s="13">
        <f t="shared" si="84"/>
        <v>459755.62827458483</v>
      </c>
      <c r="D90" s="13">
        <f t="shared" ref="D90:V90" si="93">IF(D8=0,0,D8*1000000/D28)</f>
        <v>439157.06581128476</v>
      </c>
      <c r="E90" s="13">
        <f t="shared" si="93"/>
        <v>388327.00229201821</v>
      </c>
      <c r="F90" s="13">
        <f t="shared" si="93"/>
        <v>390470.93621557555</v>
      </c>
      <c r="G90" s="13">
        <f t="shared" si="93"/>
        <v>364834.21770993527</v>
      </c>
      <c r="H90" s="13">
        <f t="shared" si="93"/>
        <v>369270.84271652217</v>
      </c>
      <c r="I90" s="13">
        <f t="shared" si="93"/>
        <v>377328.32486928464</v>
      </c>
      <c r="J90" s="13">
        <f t="shared" si="93"/>
        <v>372277.54858409771</v>
      </c>
      <c r="K90" s="13">
        <f t="shared" si="93"/>
        <v>418277.48443228664</v>
      </c>
      <c r="L90" s="13">
        <f t="shared" si="93"/>
        <v>422938.56156673195</v>
      </c>
      <c r="M90" s="13">
        <f t="shared" si="93"/>
        <v>471795.40784665995</v>
      </c>
      <c r="N90" s="13">
        <f t="shared" si="93"/>
        <v>474789.58871490933</v>
      </c>
      <c r="O90" s="13">
        <f t="shared" si="93"/>
        <v>446698.64988246938</v>
      </c>
      <c r="P90" s="13">
        <f t="shared" si="93"/>
        <v>506520.62311095255</v>
      </c>
      <c r="Q90" s="13">
        <f t="shared" si="93"/>
        <v>526644.34716417757</v>
      </c>
      <c r="R90" s="13">
        <f t="shared" si="93"/>
        <v>612017.80519789271</v>
      </c>
      <c r="S90" s="13">
        <f t="shared" si="93"/>
        <v>604020.7512883048</v>
      </c>
      <c r="T90" s="13">
        <f t="shared" si="93"/>
        <v>642403.1710052113</v>
      </c>
      <c r="U90" s="13">
        <f t="shared" si="93"/>
        <v>700994.56581813667</v>
      </c>
      <c r="V90" s="13">
        <f t="shared" si="93"/>
        <v>523239.24674999545</v>
      </c>
      <c r="W90" s="13">
        <f t="shared" ref="W90" si="94">IF(W8=0,0,W8*1000000/W28)</f>
        <v>493012.52545510203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27567.872876212426</v>
      </c>
      <c r="C92" s="34">
        <f t="shared" si="84"/>
        <v>24728.611346042875</v>
      </c>
      <c r="D92" s="34">
        <f t="shared" ref="D92:V92" si="97">IF(D10=0,0,D10*1000000/D30)</f>
        <v>21583.091416272233</v>
      </c>
      <c r="E92" s="34">
        <f t="shared" si="97"/>
        <v>27050.722496321763</v>
      </c>
      <c r="F92" s="34">
        <f t="shared" si="97"/>
        <v>26570.836989693737</v>
      </c>
      <c r="G92" s="34">
        <f t="shared" si="97"/>
        <v>26256.090165665228</v>
      </c>
      <c r="H92" s="34">
        <f t="shared" si="97"/>
        <v>19762.666576284915</v>
      </c>
      <c r="I92" s="34">
        <f t="shared" si="97"/>
        <v>19355.47801479491</v>
      </c>
      <c r="J92" s="34">
        <f t="shared" si="97"/>
        <v>18109.702035175953</v>
      </c>
      <c r="K92" s="34">
        <f t="shared" si="97"/>
        <v>16068.567486250029</v>
      </c>
      <c r="L92" s="34">
        <f t="shared" si="97"/>
        <v>14653.929621604979</v>
      </c>
      <c r="M92" s="34">
        <f t="shared" si="97"/>
        <v>15004.3145490854</v>
      </c>
      <c r="N92" s="34">
        <f t="shared" si="97"/>
        <v>15528.898165675595</v>
      </c>
      <c r="O92" s="34">
        <f t="shared" si="97"/>
        <v>15990.56236182604</v>
      </c>
      <c r="P92" s="34">
        <f t="shared" si="97"/>
        <v>19555.277518588406</v>
      </c>
      <c r="Q92" s="34">
        <f t="shared" si="97"/>
        <v>19558.128000653738</v>
      </c>
      <c r="R92" s="34">
        <f t="shared" si="97"/>
        <v>22511.410945039705</v>
      </c>
      <c r="S92" s="34">
        <f t="shared" si="97"/>
        <v>22191.741491305114</v>
      </c>
      <c r="T92" s="34">
        <f t="shared" si="97"/>
        <v>22790.500449573625</v>
      </c>
      <c r="U92" s="34">
        <f t="shared" si="97"/>
        <v>23779.959818075818</v>
      </c>
      <c r="V92" s="34">
        <f t="shared" si="97"/>
        <v>21394.597738882916</v>
      </c>
      <c r="W92" s="34">
        <f t="shared" ref="W92" si="98">IF(W10=0,0,W10*1000000/W30)</f>
        <v>22002.160508466237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515948.6164891611</v>
      </c>
      <c r="C93" s="35">
        <f t="shared" si="84"/>
        <v>540491.68545906083</v>
      </c>
      <c r="D93" s="35">
        <f t="shared" ref="D93:V93" si="99">IF(D11=0,0,D11*1000000/D31)</f>
        <v>510452.17298480321</v>
      </c>
      <c r="E93" s="35">
        <f t="shared" si="99"/>
        <v>463885.50429392589</v>
      </c>
      <c r="F93" s="35">
        <f t="shared" si="99"/>
        <v>450284.91169468581</v>
      </c>
      <c r="G93" s="35">
        <f t="shared" si="99"/>
        <v>427138.23253190296</v>
      </c>
      <c r="H93" s="35">
        <f t="shared" si="99"/>
        <v>414262.80844712968</v>
      </c>
      <c r="I93" s="35">
        <f t="shared" si="99"/>
        <v>430884.75819835166</v>
      </c>
      <c r="J93" s="35">
        <f t="shared" si="99"/>
        <v>442960.81679196336</v>
      </c>
      <c r="K93" s="35">
        <f t="shared" si="99"/>
        <v>514035.46465878218</v>
      </c>
      <c r="L93" s="35">
        <f t="shared" si="99"/>
        <v>541134.94064745307</v>
      </c>
      <c r="M93" s="35">
        <f t="shared" si="99"/>
        <v>575618.44977487193</v>
      </c>
      <c r="N93" s="35">
        <f t="shared" si="99"/>
        <v>604639.8202810185</v>
      </c>
      <c r="O93" s="35">
        <f t="shared" si="99"/>
        <v>567816.52735297114</v>
      </c>
      <c r="P93" s="35">
        <f t="shared" si="99"/>
        <v>640893.15790359315</v>
      </c>
      <c r="Q93" s="35">
        <f t="shared" si="99"/>
        <v>636354.65352494002</v>
      </c>
      <c r="R93" s="35">
        <f t="shared" si="99"/>
        <v>711675.88931189221</v>
      </c>
      <c r="S93" s="35">
        <f t="shared" si="99"/>
        <v>711724.83745095436</v>
      </c>
      <c r="T93" s="35">
        <f t="shared" si="99"/>
        <v>749008.83602891013</v>
      </c>
      <c r="U93" s="35">
        <f t="shared" si="99"/>
        <v>814919.6793206234</v>
      </c>
      <c r="V93" s="35">
        <f t="shared" si="99"/>
        <v>581689.32074043143</v>
      </c>
      <c r="W93" s="35">
        <f t="shared" ref="W93" si="100">IF(W11=0,0,W11*1000000/W31)</f>
        <v>549343.11187926272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818.90454284798363</v>
      </c>
      <c r="C95" s="62">
        <f t="shared" si="101"/>
        <v>813.03675122911147</v>
      </c>
      <c r="D95" s="62">
        <f t="shared" ref="D95:V95" si="102">IF(D23=0,0,D23/D43)</f>
        <v>817.46462818973657</v>
      </c>
      <c r="E95" s="62">
        <f t="shared" si="102"/>
        <v>811.89495810825201</v>
      </c>
      <c r="F95" s="62">
        <f t="shared" si="102"/>
        <v>823.49446824560778</v>
      </c>
      <c r="G95" s="62">
        <f t="shared" si="102"/>
        <v>803.77801309915696</v>
      </c>
      <c r="H95" s="62">
        <f t="shared" si="102"/>
        <v>789.16964082245829</v>
      </c>
      <c r="I95" s="62">
        <f t="shared" si="102"/>
        <v>716.05296229640373</v>
      </c>
      <c r="J95" s="62">
        <f t="shared" si="102"/>
        <v>684.42380855059446</v>
      </c>
      <c r="K95" s="62">
        <f t="shared" si="102"/>
        <v>619.56981152079618</v>
      </c>
      <c r="L95" s="62">
        <f t="shared" si="102"/>
        <v>642.96650562603406</v>
      </c>
      <c r="M95" s="62">
        <f t="shared" si="102"/>
        <v>687.38751445404307</v>
      </c>
      <c r="N95" s="62">
        <f t="shared" si="102"/>
        <v>713.87695637274749</v>
      </c>
      <c r="O95" s="62">
        <f t="shared" si="102"/>
        <v>763.52747670517704</v>
      </c>
      <c r="P95" s="62">
        <f t="shared" si="102"/>
        <v>775.74369370514353</v>
      </c>
      <c r="Q95" s="62">
        <f t="shared" si="102"/>
        <v>759.96859725711329</v>
      </c>
      <c r="R95" s="62">
        <f t="shared" si="102"/>
        <v>765.09032055824548</v>
      </c>
      <c r="S95" s="62">
        <f t="shared" si="102"/>
        <v>754.68926458702663</v>
      </c>
      <c r="T95" s="62">
        <f t="shared" si="102"/>
        <v>776.58007062550348</v>
      </c>
      <c r="U95" s="62">
        <f t="shared" si="102"/>
        <v>789.84366695355402</v>
      </c>
      <c r="V95" s="62">
        <f t="shared" si="102"/>
        <v>359.38206464205336</v>
      </c>
      <c r="W95" s="62">
        <f t="shared" ref="W95" si="103">IF(W23=0,0,W23/W43)</f>
        <v>386.91360595689821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1463.3052559602565</v>
      </c>
      <c r="C96" s="11">
        <f t="shared" si="104"/>
        <v>1463.3255749691893</v>
      </c>
      <c r="D96" s="11">
        <f t="shared" ref="D96:V96" si="105">IF(D24=0,0,D24/D44)</f>
        <v>1463.3530677538865</v>
      </c>
      <c r="E96" s="11">
        <f t="shared" si="105"/>
        <v>1463.3728026072097</v>
      </c>
      <c r="F96" s="11">
        <f t="shared" si="105"/>
        <v>1463.386021297616</v>
      </c>
      <c r="G96" s="11">
        <f t="shared" si="105"/>
        <v>1474.5097540217735</v>
      </c>
      <c r="H96" s="11">
        <f t="shared" si="105"/>
        <v>1485.6851580960106</v>
      </c>
      <c r="I96" s="11">
        <f t="shared" si="105"/>
        <v>1436.9785739109641</v>
      </c>
      <c r="J96" s="11">
        <f t="shared" si="105"/>
        <v>1402.8645945348483</v>
      </c>
      <c r="K96" s="11">
        <f t="shared" si="105"/>
        <v>1332.6483550395615</v>
      </c>
      <c r="L96" s="11">
        <f t="shared" si="105"/>
        <v>1351.0463623669127</v>
      </c>
      <c r="M96" s="11">
        <f t="shared" si="105"/>
        <v>1404.0878311397121</v>
      </c>
      <c r="N96" s="11">
        <f t="shared" si="105"/>
        <v>1465.979413173867</v>
      </c>
      <c r="O96" s="11">
        <f t="shared" si="105"/>
        <v>1465.0600255598031</v>
      </c>
      <c r="P96" s="11">
        <f t="shared" si="105"/>
        <v>1404.0649332646879</v>
      </c>
      <c r="Q96" s="11">
        <f t="shared" si="105"/>
        <v>1360.9613405993348</v>
      </c>
      <c r="R96" s="11">
        <f t="shared" si="105"/>
        <v>1350.3535636786294</v>
      </c>
      <c r="S96" s="11">
        <f t="shared" si="105"/>
        <v>1304.0074116329231</v>
      </c>
      <c r="T96" s="11">
        <f t="shared" si="105"/>
        <v>1269.5333763923522</v>
      </c>
      <c r="U96" s="11">
        <f t="shared" si="105"/>
        <v>1246.8361701273941</v>
      </c>
      <c r="V96" s="11">
        <f t="shared" si="105"/>
        <v>504.31463087738814</v>
      </c>
      <c r="W96" s="11">
        <f t="shared" ref="W96" si="106">IF(W24=0,0,W24/W44)</f>
        <v>610.36227587764961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1546.6131631306887</v>
      </c>
      <c r="C98" s="36">
        <f t="shared" si="104"/>
        <v>1546.6462755046023</v>
      </c>
      <c r="D98" s="36">
        <f t="shared" ref="D98:V98" si="109">IF(D26=0,0,D26/D46)</f>
        <v>1546.6726263381343</v>
      </c>
      <c r="E98" s="36">
        <f t="shared" si="109"/>
        <v>1546.6813632906674</v>
      </c>
      <c r="F98" s="36">
        <f t="shared" si="109"/>
        <v>1546.7077749789214</v>
      </c>
      <c r="G98" s="36">
        <f t="shared" si="109"/>
        <v>1558.767454439165</v>
      </c>
      <c r="H98" s="36">
        <f t="shared" si="109"/>
        <v>1568.5018717422136</v>
      </c>
      <c r="I98" s="36">
        <f t="shared" si="109"/>
        <v>1562.7791968762288</v>
      </c>
      <c r="J98" s="36">
        <f t="shared" si="109"/>
        <v>1552.0046290556804</v>
      </c>
      <c r="K98" s="36">
        <f t="shared" si="109"/>
        <v>1496.7226856832342</v>
      </c>
      <c r="L98" s="36">
        <f t="shared" si="109"/>
        <v>1559.159989508727</v>
      </c>
      <c r="M98" s="36">
        <f t="shared" si="109"/>
        <v>1577.143267466354</v>
      </c>
      <c r="N98" s="36">
        <f t="shared" si="109"/>
        <v>1589.6089027125568</v>
      </c>
      <c r="O98" s="36">
        <f t="shared" si="109"/>
        <v>1593.7425932340864</v>
      </c>
      <c r="P98" s="36">
        <f t="shared" si="109"/>
        <v>1544.1060853968784</v>
      </c>
      <c r="Q98" s="36">
        <f t="shared" si="109"/>
        <v>1544.2776134558571</v>
      </c>
      <c r="R98" s="36">
        <f t="shared" si="109"/>
        <v>1530.8238831897495</v>
      </c>
      <c r="S98" s="36">
        <f t="shared" si="109"/>
        <v>1509.7794963302167</v>
      </c>
      <c r="T98" s="36">
        <f t="shared" si="109"/>
        <v>1508.0281515993913</v>
      </c>
      <c r="U98" s="36">
        <f t="shared" si="109"/>
        <v>1503.4205246788201</v>
      </c>
      <c r="V98" s="36">
        <f t="shared" si="109"/>
        <v>636.68718188985883</v>
      </c>
      <c r="W98" s="36">
        <f t="shared" ref="W98" si="110">IF(W26=0,0,W26/W46)</f>
        <v>759.45644547623942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1016</v>
      </c>
      <c r="C99" s="36">
        <f t="shared" si="104"/>
        <v>1016</v>
      </c>
      <c r="D99" s="36">
        <f t="shared" ref="D99:V99" si="111">IF(D27=0,0,D27/D47)</f>
        <v>1016</v>
      </c>
      <c r="E99" s="36">
        <f t="shared" si="111"/>
        <v>1016</v>
      </c>
      <c r="F99" s="36">
        <f t="shared" si="111"/>
        <v>1015.9999999999999</v>
      </c>
      <c r="G99" s="36">
        <f t="shared" si="111"/>
        <v>987.52352352352341</v>
      </c>
      <c r="H99" s="36">
        <f t="shared" si="111"/>
        <v>1007</v>
      </c>
      <c r="I99" s="36">
        <f t="shared" si="111"/>
        <v>896.00000000000011</v>
      </c>
      <c r="J99" s="36">
        <f t="shared" si="111"/>
        <v>816</v>
      </c>
      <c r="K99" s="36">
        <f t="shared" si="111"/>
        <v>778</v>
      </c>
      <c r="L99" s="36">
        <f t="shared" si="111"/>
        <v>732</v>
      </c>
      <c r="M99" s="36">
        <f t="shared" si="111"/>
        <v>807.19756427604875</v>
      </c>
      <c r="N99" s="36">
        <f t="shared" si="111"/>
        <v>1019.5820618311791</v>
      </c>
      <c r="O99" s="36">
        <f t="shared" si="111"/>
        <v>965</v>
      </c>
      <c r="P99" s="36">
        <f t="shared" si="111"/>
        <v>895</v>
      </c>
      <c r="Q99" s="36">
        <f t="shared" si="111"/>
        <v>756</v>
      </c>
      <c r="R99" s="36">
        <f t="shared" si="111"/>
        <v>668</v>
      </c>
      <c r="S99" s="36">
        <f t="shared" si="111"/>
        <v>602</v>
      </c>
      <c r="T99" s="36">
        <f t="shared" si="111"/>
        <v>571</v>
      </c>
      <c r="U99" s="36">
        <f t="shared" si="111"/>
        <v>547</v>
      </c>
      <c r="V99" s="36">
        <f t="shared" si="111"/>
        <v>149.54143276597864</v>
      </c>
      <c r="W99" s="36">
        <f t="shared" ref="W99" si="112">IF(W27=0,0,W27/W47)</f>
        <v>218.09819051765939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393.21033880230129</v>
      </c>
      <c r="C100" s="13">
        <f t="shared" si="104"/>
        <v>359.23942156040459</v>
      </c>
      <c r="D100" s="13">
        <f t="shared" ref="D100:V100" si="113">IF(D28=0,0,D28/D48)</f>
        <v>357.74949827337991</v>
      </c>
      <c r="E100" s="13">
        <f t="shared" si="113"/>
        <v>368.09244082396566</v>
      </c>
      <c r="F100" s="13">
        <f t="shared" si="113"/>
        <v>358.27454890996324</v>
      </c>
      <c r="G100" s="13">
        <f t="shared" si="113"/>
        <v>363.7662308853283</v>
      </c>
      <c r="H100" s="13">
        <f t="shared" si="113"/>
        <v>349.82075482099452</v>
      </c>
      <c r="I100" s="13">
        <f t="shared" si="113"/>
        <v>345.72976554811481</v>
      </c>
      <c r="J100" s="13">
        <f t="shared" si="113"/>
        <v>344.3450502686739</v>
      </c>
      <c r="K100" s="13">
        <f t="shared" si="113"/>
        <v>279.9191013665976</v>
      </c>
      <c r="L100" s="13">
        <f t="shared" si="113"/>
        <v>296.0260309349307</v>
      </c>
      <c r="M100" s="13">
        <f t="shared" si="113"/>
        <v>291.77206956949215</v>
      </c>
      <c r="N100" s="13">
        <f t="shared" si="113"/>
        <v>280.56076308659516</v>
      </c>
      <c r="O100" s="13">
        <f t="shared" si="113"/>
        <v>327.20092055682869</v>
      </c>
      <c r="P100" s="13">
        <f t="shared" si="113"/>
        <v>327.94529397168242</v>
      </c>
      <c r="Q100" s="13">
        <f t="shared" si="113"/>
        <v>328.05076106954601</v>
      </c>
      <c r="R100" s="13">
        <f t="shared" si="113"/>
        <v>309.92245954108517</v>
      </c>
      <c r="S100" s="13">
        <f t="shared" si="113"/>
        <v>311.37580702590776</v>
      </c>
      <c r="T100" s="13">
        <f t="shared" si="113"/>
        <v>308.74355365711051</v>
      </c>
      <c r="U100" s="13">
        <f t="shared" si="113"/>
        <v>302.23797911784982</v>
      </c>
      <c r="V100" s="13">
        <f t="shared" si="113"/>
        <v>271.53621396360433</v>
      </c>
      <c r="W100" s="13">
        <f t="shared" ref="W100" si="114">IF(W28=0,0,W28/W48)</f>
        <v>270.37967609155783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870.23676642614555</v>
      </c>
      <c r="C102" s="34">
        <f t="shared" si="104"/>
        <v>588.79707907870556</v>
      </c>
      <c r="D102" s="34">
        <f t="shared" ref="D102:V102" si="117">IF(D30=0,0,D30/D50)</f>
        <v>594.01302351891275</v>
      </c>
      <c r="E102" s="34">
        <f t="shared" si="117"/>
        <v>697.57295850197204</v>
      </c>
      <c r="F102" s="34">
        <f t="shared" si="117"/>
        <v>620.5867273493883</v>
      </c>
      <c r="G102" s="34">
        <f t="shared" si="117"/>
        <v>757.78417698745034</v>
      </c>
      <c r="H102" s="34">
        <f t="shared" si="117"/>
        <v>626.58662710245642</v>
      </c>
      <c r="I102" s="34">
        <f t="shared" si="117"/>
        <v>876.98562521586473</v>
      </c>
      <c r="J102" s="34">
        <f t="shared" si="117"/>
        <v>973.75037211544077</v>
      </c>
      <c r="K102" s="34">
        <f t="shared" si="117"/>
        <v>959.12180722285245</v>
      </c>
      <c r="L102" s="34">
        <f t="shared" si="117"/>
        <v>1015.4305268948746</v>
      </c>
      <c r="M102" s="34">
        <f t="shared" si="117"/>
        <v>821.01799975357073</v>
      </c>
      <c r="N102" s="34">
        <f t="shared" si="117"/>
        <v>933.78874610029197</v>
      </c>
      <c r="O102" s="34">
        <f t="shared" si="117"/>
        <v>1076.886007089317</v>
      </c>
      <c r="P102" s="34">
        <f t="shared" si="117"/>
        <v>1032.6502609086087</v>
      </c>
      <c r="Q102" s="34">
        <f t="shared" si="117"/>
        <v>873.74960029227873</v>
      </c>
      <c r="R102" s="34">
        <f t="shared" si="117"/>
        <v>708.77565507107283</v>
      </c>
      <c r="S102" s="34">
        <f t="shared" si="117"/>
        <v>885.99994686265495</v>
      </c>
      <c r="T102" s="34">
        <f t="shared" si="117"/>
        <v>811.68120135127049</v>
      </c>
      <c r="U102" s="34">
        <f t="shared" si="117"/>
        <v>731.69229368027698</v>
      </c>
      <c r="V102" s="34">
        <f t="shared" si="117"/>
        <v>812.05033580074996</v>
      </c>
      <c r="W102" s="34">
        <f t="shared" ref="W102" si="118">IF(W30=0,0,W30/W50)</f>
        <v>958.58818428490804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335</v>
      </c>
      <c r="C103" s="35">
        <f t="shared" si="104"/>
        <v>335</v>
      </c>
      <c r="D103" s="35">
        <f t="shared" ref="D103:V103" si="119">IF(D31=0,0,D31/D51)</f>
        <v>335</v>
      </c>
      <c r="E103" s="35">
        <f t="shared" si="119"/>
        <v>335</v>
      </c>
      <c r="F103" s="35">
        <f t="shared" si="119"/>
        <v>335</v>
      </c>
      <c r="G103" s="35">
        <f t="shared" si="119"/>
        <v>332</v>
      </c>
      <c r="H103" s="35">
        <f t="shared" si="119"/>
        <v>331</v>
      </c>
      <c r="I103" s="35">
        <f t="shared" si="119"/>
        <v>317</v>
      </c>
      <c r="J103" s="35">
        <f t="shared" si="119"/>
        <v>305</v>
      </c>
      <c r="K103" s="35">
        <f t="shared" si="119"/>
        <v>239.534404713877</v>
      </c>
      <c r="L103" s="35">
        <f t="shared" si="119"/>
        <v>245.64452351165096</v>
      </c>
      <c r="M103" s="35">
        <f t="shared" si="119"/>
        <v>254.48613026566801</v>
      </c>
      <c r="N103" s="35">
        <f t="shared" si="119"/>
        <v>234.23243456443862</v>
      </c>
      <c r="O103" s="35">
        <f t="shared" si="119"/>
        <v>273.63320151459277</v>
      </c>
      <c r="P103" s="35">
        <f t="shared" si="119"/>
        <v>275.97690369086376</v>
      </c>
      <c r="Q103" s="35">
        <f t="shared" si="119"/>
        <v>289</v>
      </c>
      <c r="R103" s="35">
        <f t="shared" si="119"/>
        <v>283</v>
      </c>
      <c r="S103" s="35">
        <f t="shared" si="119"/>
        <v>278</v>
      </c>
      <c r="T103" s="35">
        <f t="shared" si="119"/>
        <v>279</v>
      </c>
      <c r="U103" s="35">
        <f t="shared" si="119"/>
        <v>275.07754070461812</v>
      </c>
      <c r="V103" s="35">
        <f t="shared" si="119"/>
        <v>252</v>
      </c>
      <c r="W103" s="35">
        <f t="shared" ref="W103" si="120">IF(W31=0,0,W31/W51)</f>
        <v>249.00000000000003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0.85463460150445769</v>
      </c>
      <c r="C108" s="43">
        <f t="shared" si="127"/>
        <v>0.85224927176976506</v>
      </c>
      <c r="D108" s="43">
        <f t="shared" ref="D108:V108" si="128">IF(D6=0,0,D6/D$4)</f>
        <v>0.84921565227344242</v>
      </c>
      <c r="E108" s="43">
        <f t="shared" si="128"/>
        <v>0.84491818170865196</v>
      </c>
      <c r="F108" s="43">
        <f t="shared" si="128"/>
        <v>0.83986154801013024</v>
      </c>
      <c r="G108" s="43">
        <f t="shared" si="128"/>
        <v>0.80557726738798685</v>
      </c>
      <c r="H108" s="43">
        <f t="shared" si="128"/>
        <v>0.78160585472455879</v>
      </c>
      <c r="I108" s="43">
        <f t="shared" si="128"/>
        <v>0.68970448769516701</v>
      </c>
      <c r="J108" s="43">
        <f t="shared" si="128"/>
        <v>0.61742184093799402</v>
      </c>
      <c r="K108" s="43">
        <f t="shared" si="128"/>
        <v>0.56182688684904747</v>
      </c>
      <c r="L108" s="43">
        <f t="shared" si="128"/>
        <v>0.54007434350658134</v>
      </c>
      <c r="M108" s="43">
        <f t="shared" si="128"/>
        <v>0.63294383995346493</v>
      </c>
      <c r="N108" s="43">
        <f t="shared" si="128"/>
        <v>0.69949350453354975</v>
      </c>
      <c r="O108" s="43">
        <f t="shared" si="128"/>
        <v>0.72158389323701599</v>
      </c>
      <c r="P108" s="43">
        <f t="shared" si="128"/>
        <v>0.70098008280302171</v>
      </c>
      <c r="Q108" s="43">
        <f t="shared" si="128"/>
        <v>0.70019728074060972</v>
      </c>
      <c r="R108" s="43">
        <f t="shared" si="128"/>
        <v>0.74338307490583289</v>
      </c>
      <c r="S108" s="43">
        <f t="shared" si="128"/>
        <v>0.73356355717174193</v>
      </c>
      <c r="T108" s="43">
        <f t="shared" si="128"/>
        <v>0.70906863523511976</v>
      </c>
      <c r="U108" s="43">
        <f t="shared" si="128"/>
        <v>0.68939760360525781</v>
      </c>
      <c r="V108" s="43">
        <f t="shared" si="128"/>
        <v>0.74387315607166549</v>
      </c>
      <c r="W108" s="43">
        <f t="shared" ref="W108" si="129">IF(W6=0,0,W6/W$4)</f>
        <v>0.71228370101455263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0.14536539849554236</v>
      </c>
      <c r="C109" s="43">
        <f t="shared" si="130"/>
        <v>0.14775072823023488</v>
      </c>
      <c r="D109" s="43">
        <f t="shared" ref="D109:V109" si="131">IF(D7=0,0,D7/D$4)</f>
        <v>0.15078434772655749</v>
      </c>
      <c r="E109" s="43">
        <f t="shared" si="131"/>
        <v>0.15508181829134804</v>
      </c>
      <c r="F109" s="43">
        <f t="shared" si="131"/>
        <v>0.1601384519898697</v>
      </c>
      <c r="G109" s="43">
        <f t="shared" si="131"/>
        <v>0.19442273261201304</v>
      </c>
      <c r="H109" s="43">
        <f t="shared" si="131"/>
        <v>0.21839414527544126</v>
      </c>
      <c r="I109" s="43">
        <f t="shared" si="131"/>
        <v>0.31029551230483299</v>
      </c>
      <c r="J109" s="43">
        <f t="shared" si="131"/>
        <v>0.38257815906200604</v>
      </c>
      <c r="K109" s="43">
        <f t="shared" si="131"/>
        <v>0.43817311315095253</v>
      </c>
      <c r="L109" s="43">
        <f t="shared" si="131"/>
        <v>0.45992565649341866</v>
      </c>
      <c r="M109" s="43">
        <f t="shared" si="131"/>
        <v>0.36705616004653496</v>
      </c>
      <c r="N109" s="43">
        <f t="shared" si="131"/>
        <v>0.30050649546645009</v>
      </c>
      <c r="O109" s="43">
        <f t="shared" si="131"/>
        <v>0.27841610676298401</v>
      </c>
      <c r="P109" s="43">
        <f t="shared" si="131"/>
        <v>0.29901991719697824</v>
      </c>
      <c r="Q109" s="43">
        <f t="shared" si="131"/>
        <v>0.29980271925939028</v>
      </c>
      <c r="R109" s="43">
        <f t="shared" si="131"/>
        <v>0.25661692509416717</v>
      </c>
      <c r="S109" s="43">
        <f t="shared" si="131"/>
        <v>0.26643644282825807</v>
      </c>
      <c r="T109" s="43">
        <f t="shared" si="131"/>
        <v>0.29093136476488018</v>
      </c>
      <c r="U109" s="43">
        <f t="shared" si="131"/>
        <v>0.31060239639474213</v>
      </c>
      <c r="V109" s="43">
        <f t="shared" si="131"/>
        <v>0.25612684392833457</v>
      </c>
      <c r="W109" s="43">
        <f t="shared" ref="W109" si="132">IF(W7=0,0,W7/W$4)</f>
        <v>0.28771629898544732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1.6655316390981712E-2</v>
      </c>
      <c r="C112" s="44">
        <f t="shared" si="139"/>
        <v>8.4195710291358056E-3</v>
      </c>
      <c r="D112" s="44">
        <f t="shared" ref="D112:V112" si="140">IF(D10=0,0,D10/D$8)</f>
        <v>7.1673882506740685E-3</v>
      </c>
      <c r="E112" s="44">
        <f t="shared" si="140"/>
        <v>1.2048900208052818E-2</v>
      </c>
      <c r="F112" s="44">
        <f t="shared" si="140"/>
        <v>9.6060822141526576E-3</v>
      </c>
      <c r="G112" s="44">
        <f t="shared" si="140"/>
        <v>1.1184943990388664E-2</v>
      </c>
      <c r="H112" s="44">
        <f t="shared" si="140"/>
        <v>6.1036318490003518E-3</v>
      </c>
      <c r="I112" s="44">
        <f t="shared" si="140"/>
        <v>6.6756783022379673E-3</v>
      </c>
      <c r="J112" s="44">
        <f t="shared" si="140"/>
        <v>8.0932754038301486E-3</v>
      </c>
      <c r="K112" s="44">
        <f t="shared" si="140"/>
        <v>7.387324511967555E-3</v>
      </c>
      <c r="L112" s="44">
        <f t="shared" si="140"/>
        <v>7.7785433783761513E-3</v>
      </c>
      <c r="M112" s="44">
        <f t="shared" si="140"/>
        <v>5.8896861957727789E-3</v>
      </c>
      <c r="N112" s="44">
        <f t="shared" si="140"/>
        <v>7.2091673762926835E-3</v>
      </c>
      <c r="O112" s="44">
        <f t="shared" si="140"/>
        <v>7.856972219892908E-3</v>
      </c>
      <c r="P112" s="44">
        <f t="shared" si="140"/>
        <v>8.3492896821570489E-3</v>
      </c>
      <c r="Q112" s="44">
        <f t="shared" si="140"/>
        <v>6.6056470707876267E-3</v>
      </c>
      <c r="R112" s="44">
        <f t="shared" si="140"/>
        <v>5.3189793992449641E-3</v>
      </c>
      <c r="S112" s="44">
        <f t="shared" si="140"/>
        <v>5.7387405370289335E-3</v>
      </c>
      <c r="T112" s="44">
        <f t="shared" si="140"/>
        <v>5.2078595070708805E-3</v>
      </c>
      <c r="U112" s="44">
        <f t="shared" si="140"/>
        <v>4.8849795064070389E-3</v>
      </c>
      <c r="V112" s="44">
        <f t="shared" si="140"/>
        <v>4.2655235749177777E-3</v>
      </c>
      <c r="W112" s="44">
        <f t="shared" ref="W112" si="141">IF(W10=0,0,W10/W$8)</f>
        <v>4.7671646234255013E-3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0.98334468360901839</v>
      </c>
      <c r="C113" s="45">
        <f t="shared" si="142"/>
        <v>0.99158042897086429</v>
      </c>
      <c r="D113" s="45">
        <f t="shared" ref="D113:V113" si="143">IF(D11=0,0,D11/D$8)</f>
        <v>0.99283261174932602</v>
      </c>
      <c r="E113" s="45">
        <f t="shared" si="143"/>
        <v>0.98795109979194717</v>
      </c>
      <c r="F113" s="45">
        <f t="shared" si="143"/>
        <v>0.9903939177858474</v>
      </c>
      <c r="G113" s="45">
        <f t="shared" si="143"/>
        <v>0.98881505600961139</v>
      </c>
      <c r="H113" s="45">
        <f t="shared" si="143"/>
        <v>0.99389636815099969</v>
      </c>
      <c r="I113" s="45">
        <f t="shared" si="143"/>
        <v>0.99332432169776208</v>
      </c>
      <c r="J113" s="45">
        <f t="shared" si="143"/>
        <v>0.9919067245961698</v>
      </c>
      <c r="K113" s="45">
        <f t="shared" si="143"/>
        <v>0.99261267548803245</v>
      </c>
      <c r="L113" s="45">
        <f t="shared" si="143"/>
        <v>0.99222145662162387</v>
      </c>
      <c r="M113" s="45">
        <f t="shared" si="143"/>
        <v>0.99411031380422721</v>
      </c>
      <c r="N113" s="45">
        <f t="shared" si="143"/>
        <v>0.99279083262370738</v>
      </c>
      <c r="O113" s="45">
        <f t="shared" si="143"/>
        <v>0.9921430277801071</v>
      </c>
      <c r="P113" s="45">
        <f t="shared" si="143"/>
        <v>0.99165071031784302</v>
      </c>
      <c r="Q113" s="45">
        <f t="shared" si="143"/>
        <v>0.99339435292921241</v>
      </c>
      <c r="R113" s="45">
        <f t="shared" si="143"/>
        <v>0.99468102060075492</v>
      </c>
      <c r="S113" s="45">
        <f t="shared" si="143"/>
        <v>0.99426125946297117</v>
      </c>
      <c r="T113" s="45">
        <f t="shared" si="143"/>
        <v>0.99479214049292908</v>
      </c>
      <c r="U113" s="45">
        <f t="shared" si="143"/>
        <v>0.99511502049359291</v>
      </c>
      <c r="V113" s="45">
        <f t="shared" si="143"/>
        <v>0.99573447642508228</v>
      </c>
      <c r="W113" s="45">
        <f t="shared" ref="W113" si="144">IF(W11=0,0,W11/W$8)</f>
        <v>0.99523283537657459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0.84600789758257122</v>
      </c>
      <c r="C118" s="43">
        <f t="shared" si="151"/>
        <v>0.84598945499995626</v>
      </c>
      <c r="D118" s="43">
        <f t="shared" ref="D118:V118" si="152">IF(D16=0,0,D16/D$14)</f>
        <v>0.84599578804362274</v>
      </c>
      <c r="E118" s="43">
        <f t="shared" si="152"/>
        <v>0.84601759120925402</v>
      </c>
      <c r="F118" s="43">
        <f t="shared" si="152"/>
        <v>0.8459973403022143</v>
      </c>
      <c r="G118" s="43">
        <f t="shared" si="152"/>
        <v>0.85255602612117831</v>
      </c>
      <c r="H118" s="43">
        <f t="shared" si="152"/>
        <v>0.85175778081927733</v>
      </c>
      <c r="I118" s="43">
        <f t="shared" si="152"/>
        <v>0.79822014098257033</v>
      </c>
      <c r="J118" s="43">
        <f t="shared" si="152"/>
        <v>0.769518542608014</v>
      </c>
      <c r="K118" s="43">
        <f t="shared" si="152"/>
        <v>0.72475991228802761</v>
      </c>
      <c r="L118" s="43">
        <f t="shared" si="152"/>
        <v>0.70090393177041654</v>
      </c>
      <c r="M118" s="43">
        <f t="shared" si="152"/>
        <v>0.74570004318118321</v>
      </c>
      <c r="N118" s="43">
        <f t="shared" si="152"/>
        <v>0.78049292849128327</v>
      </c>
      <c r="O118" s="43">
        <f t="shared" si="152"/>
        <v>0.78405626726430033</v>
      </c>
      <c r="P118" s="43">
        <f t="shared" si="152"/>
        <v>0.76889640953028704</v>
      </c>
      <c r="Q118" s="43">
        <f t="shared" si="152"/>
        <v>0.73705253352753264</v>
      </c>
      <c r="R118" s="43">
        <f t="shared" si="152"/>
        <v>0.75533265919548276</v>
      </c>
      <c r="S118" s="43">
        <f t="shared" si="152"/>
        <v>0.73169228160570221</v>
      </c>
      <c r="T118" s="43">
        <f t="shared" si="152"/>
        <v>0.69758704355837553</v>
      </c>
      <c r="U118" s="43">
        <f t="shared" si="152"/>
        <v>0.68057235069252697</v>
      </c>
      <c r="V118" s="43">
        <f t="shared" si="152"/>
        <v>0.74042363594615712</v>
      </c>
      <c r="W118" s="43">
        <f t="shared" ref="W118" si="153">IF(W16=0,0,W16/W$14)</f>
        <v>0.71536178979636267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0.15399210241742881</v>
      </c>
      <c r="C119" s="43">
        <f t="shared" si="154"/>
        <v>0.15401054500004382</v>
      </c>
      <c r="D119" s="43">
        <f t="shared" ref="D119:V119" si="155">IF(D17=0,0,D17/D$14)</f>
        <v>0.15400421195637728</v>
      </c>
      <c r="E119" s="43">
        <f t="shared" si="155"/>
        <v>0.15398240879074593</v>
      </c>
      <c r="F119" s="43">
        <f t="shared" si="155"/>
        <v>0.1540026596977857</v>
      </c>
      <c r="G119" s="43">
        <f t="shared" si="155"/>
        <v>0.14744397387882174</v>
      </c>
      <c r="H119" s="43">
        <f t="shared" si="155"/>
        <v>0.14824221918072264</v>
      </c>
      <c r="I119" s="43">
        <f t="shared" si="155"/>
        <v>0.20177985901742959</v>
      </c>
      <c r="J119" s="43">
        <f t="shared" si="155"/>
        <v>0.23048145739198594</v>
      </c>
      <c r="K119" s="43">
        <f t="shared" si="155"/>
        <v>0.27524008771197245</v>
      </c>
      <c r="L119" s="43">
        <f t="shared" si="155"/>
        <v>0.29909606822958335</v>
      </c>
      <c r="M119" s="43">
        <f t="shared" si="155"/>
        <v>0.25429995681881684</v>
      </c>
      <c r="N119" s="43">
        <f t="shared" si="155"/>
        <v>0.21950707150871668</v>
      </c>
      <c r="O119" s="43">
        <f t="shared" si="155"/>
        <v>0.21594373273569958</v>
      </c>
      <c r="P119" s="43">
        <f t="shared" si="155"/>
        <v>0.23110359046971304</v>
      </c>
      <c r="Q119" s="43">
        <f t="shared" si="155"/>
        <v>0.26294746647246742</v>
      </c>
      <c r="R119" s="43">
        <f t="shared" si="155"/>
        <v>0.24466734080451732</v>
      </c>
      <c r="S119" s="43">
        <f t="shared" si="155"/>
        <v>0.26830771839429784</v>
      </c>
      <c r="T119" s="43">
        <f t="shared" si="155"/>
        <v>0.30241295644162447</v>
      </c>
      <c r="U119" s="43">
        <f t="shared" si="155"/>
        <v>0.31942764930747297</v>
      </c>
      <c r="V119" s="43">
        <f t="shared" si="155"/>
        <v>0.25957636405384288</v>
      </c>
      <c r="W119" s="43">
        <f t="shared" ref="W119" si="156">IF(W17=0,0,W17/W$14)</f>
        <v>0.28463821020363728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8.6320863477689427E-2</v>
      </c>
      <c r="C122" s="44">
        <f t="shared" si="163"/>
        <v>4.3276974154424871E-2</v>
      </c>
      <c r="D122" s="44">
        <f t="shared" ref="D122:V122" si="164">IF(D20=0,0,D20/D$18)</f>
        <v>3.437995146578627E-2</v>
      </c>
      <c r="E122" s="44">
        <f t="shared" si="164"/>
        <v>4.3168178627471659E-2</v>
      </c>
      <c r="F122" s="44">
        <f t="shared" si="164"/>
        <v>3.5161211466086369E-2</v>
      </c>
      <c r="G122" s="44">
        <f t="shared" si="164"/>
        <v>3.8322546549710089E-2</v>
      </c>
      <c r="H122" s="44">
        <f t="shared" si="164"/>
        <v>2.4493795082684514E-2</v>
      </c>
      <c r="I122" s="44">
        <f t="shared" si="164"/>
        <v>2.5229318396768563E-2</v>
      </c>
      <c r="J122" s="44">
        <f t="shared" si="164"/>
        <v>2.8255927442727764E-2</v>
      </c>
      <c r="K122" s="44">
        <f t="shared" si="164"/>
        <v>2.9023348842538581E-2</v>
      </c>
      <c r="L122" s="44">
        <f t="shared" si="164"/>
        <v>3.2197691236560591E-2</v>
      </c>
      <c r="M122" s="44">
        <f t="shared" si="164"/>
        <v>2.4014136727066867E-2</v>
      </c>
      <c r="N122" s="44">
        <f t="shared" si="164"/>
        <v>2.8215986470472361E-2</v>
      </c>
      <c r="O122" s="44">
        <f t="shared" si="164"/>
        <v>2.9143126329995651E-2</v>
      </c>
      <c r="P122" s="44">
        <f t="shared" si="164"/>
        <v>3.1156391782627236E-2</v>
      </c>
      <c r="Q122" s="44">
        <f t="shared" si="164"/>
        <v>2.520921667013603E-2</v>
      </c>
      <c r="R122" s="44">
        <f t="shared" si="164"/>
        <v>1.9546065660677767E-2</v>
      </c>
      <c r="S122" s="44">
        <f t="shared" si="164"/>
        <v>2.1977452410941858E-2</v>
      </c>
      <c r="T122" s="44">
        <f t="shared" si="164"/>
        <v>2.0803615442373274E-2</v>
      </c>
      <c r="U122" s="44">
        <f t="shared" si="164"/>
        <v>2.0860454692960034E-2</v>
      </c>
      <c r="V122" s="44">
        <f t="shared" si="164"/>
        <v>1.4115198674341627E-2</v>
      </c>
      <c r="W122" s="44">
        <f t="shared" ref="W122" si="165">IF(W20=0,0,W20/W$18)</f>
        <v>1.5708568037004284E-2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0.91367913652231059</v>
      </c>
      <c r="C123" s="45">
        <f t="shared" si="166"/>
        <v>0.95672302584557511</v>
      </c>
      <c r="D123" s="45">
        <f t="shared" ref="D123:V123" si="167">IF(D21=0,0,D21/D$18)</f>
        <v>0.96562004853421379</v>
      </c>
      <c r="E123" s="45">
        <f t="shared" si="167"/>
        <v>0.95683182137252831</v>
      </c>
      <c r="F123" s="45">
        <f t="shared" si="167"/>
        <v>0.96483878853391358</v>
      </c>
      <c r="G123" s="45">
        <f t="shared" si="167"/>
        <v>0.96167745345028999</v>
      </c>
      <c r="H123" s="45">
        <f t="shared" si="167"/>
        <v>0.97550620491731554</v>
      </c>
      <c r="I123" s="45">
        <f t="shared" si="167"/>
        <v>0.97477068160323133</v>
      </c>
      <c r="J123" s="45">
        <f t="shared" si="167"/>
        <v>0.97174407255727224</v>
      </c>
      <c r="K123" s="45">
        <f t="shared" si="167"/>
        <v>0.97097665115746146</v>
      </c>
      <c r="L123" s="45">
        <f t="shared" si="167"/>
        <v>0.96780230876343931</v>
      </c>
      <c r="M123" s="45">
        <f t="shared" si="167"/>
        <v>0.97598586327293324</v>
      </c>
      <c r="N123" s="45">
        <f t="shared" si="167"/>
        <v>0.97178401352952759</v>
      </c>
      <c r="O123" s="45">
        <f t="shared" si="167"/>
        <v>0.97085687367000428</v>
      </c>
      <c r="P123" s="45">
        <f t="shared" si="167"/>
        <v>0.9688436082173727</v>
      </c>
      <c r="Q123" s="45">
        <f t="shared" si="167"/>
        <v>0.97479078332986391</v>
      </c>
      <c r="R123" s="45">
        <f t="shared" si="167"/>
        <v>0.98045393433932226</v>
      </c>
      <c r="S123" s="45">
        <f t="shared" si="167"/>
        <v>0.97802254758905827</v>
      </c>
      <c r="T123" s="45">
        <f t="shared" si="167"/>
        <v>0.9791963845576267</v>
      </c>
      <c r="U123" s="45">
        <f t="shared" si="167"/>
        <v>0.97913954530703995</v>
      </c>
      <c r="V123" s="45">
        <f t="shared" si="167"/>
        <v>0.98588480132565837</v>
      </c>
      <c r="W123" s="45">
        <f t="shared" ref="W123" si="168">IF(W21=0,0,W21/W$18)</f>
        <v>0.98429143196299573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320.84230438521058</v>
      </c>
      <c r="C3" s="79">
        <f t="shared" si="0"/>
        <v>347.01951848667238</v>
      </c>
      <c r="D3" s="79">
        <f t="shared" ref="D3" si="1">SUM(D4:D5)</f>
        <v>375.98168529664656</v>
      </c>
      <c r="E3" s="79">
        <f t="shared" ref="E3" si="2">SUM(E4:E5)</f>
        <v>391.67815993121229</v>
      </c>
      <c r="F3" s="79">
        <f t="shared" ref="F3" si="3">SUM(F4:F5)</f>
        <v>426.18538263112646</v>
      </c>
      <c r="G3" s="79">
        <f t="shared" ref="G3" si="4">SUM(G4:G5)</f>
        <v>433.02983662940659</v>
      </c>
      <c r="H3" s="79">
        <f t="shared" ref="H3" si="5">SUM(H4:H5)</f>
        <v>405.24858125537401</v>
      </c>
      <c r="I3" s="79">
        <f t="shared" ref="I3" si="6">SUM(I4:I5)</f>
        <v>435.60060189165938</v>
      </c>
      <c r="J3" s="79">
        <f t="shared" ref="J3" si="7">SUM(J4:J5)</f>
        <v>438.48022355975922</v>
      </c>
      <c r="K3" s="79">
        <f t="shared" ref="K3" si="8">SUM(K4:K5)</f>
        <v>420.18521066208081</v>
      </c>
      <c r="L3" s="79">
        <f t="shared" ref="L3" si="9">SUM(L4:L5)</f>
        <v>431.12003439380902</v>
      </c>
      <c r="M3" s="79">
        <f t="shared" ref="M3" si="10">SUM(M4:M5)</f>
        <v>403.33877901977638</v>
      </c>
      <c r="N3" s="79">
        <f t="shared" ref="N3" si="11">SUM(N4:N5)</f>
        <v>372.1374032674118</v>
      </c>
      <c r="O3" s="79">
        <f t="shared" ref="O3" si="12">SUM(O4:O5)</f>
        <v>373.82476354256232</v>
      </c>
      <c r="P3" s="79">
        <f t="shared" ref="P3" si="13">SUM(P4:P5)</f>
        <v>405.97334479793636</v>
      </c>
      <c r="Q3" s="79">
        <f t="shared" ref="Q3" si="14">SUM(Q4:Q5)</f>
        <v>457.6524505588992</v>
      </c>
      <c r="R3" s="79">
        <f t="shared" ref="R3" si="15">SUM(R4:R5)</f>
        <v>507.83551160791058</v>
      </c>
      <c r="S3" s="79">
        <f t="shared" ref="S3" si="16">SUM(S4:S5)</f>
        <v>574.20928632846085</v>
      </c>
      <c r="T3" s="79">
        <f t="shared" ref="T3" si="17">SUM(T4:T5)</f>
        <v>613.99707652622521</v>
      </c>
      <c r="U3" s="79">
        <f t="shared" ref="U3" si="18">SUM(U4:U5)</f>
        <v>600.63155631986228</v>
      </c>
      <c r="V3" s="79">
        <f t="shared" ref="V3:W3" si="19">SUM(V4:V5)</f>
        <v>546.65141874462586</v>
      </c>
      <c r="W3" s="79">
        <f t="shared" si="19"/>
        <v>623.63258813413574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320.84230438521058</v>
      </c>
      <c r="C5" s="96">
        <f t="shared" si="23"/>
        <v>347.01951848667238</v>
      </c>
      <c r="D5" s="96">
        <f t="shared" ref="D5:V5" si="24">SUM(D8:D9,D12:D13)</f>
        <v>375.98168529664656</v>
      </c>
      <c r="E5" s="96">
        <f t="shared" si="24"/>
        <v>391.67815993121229</v>
      </c>
      <c r="F5" s="96">
        <f t="shared" si="24"/>
        <v>426.18538263112646</v>
      </c>
      <c r="G5" s="96">
        <f t="shared" si="24"/>
        <v>433.02983662940659</v>
      </c>
      <c r="H5" s="96">
        <f t="shared" si="24"/>
        <v>405.24858125537401</v>
      </c>
      <c r="I5" s="96">
        <f t="shared" si="24"/>
        <v>435.60060189165938</v>
      </c>
      <c r="J5" s="96">
        <f t="shared" si="24"/>
        <v>438.48022355975922</v>
      </c>
      <c r="K5" s="96">
        <f t="shared" si="24"/>
        <v>420.18521066208081</v>
      </c>
      <c r="L5" s="96">
        <f t="shared" si="24"/>
        <v>431.12003439380902</v>
      </c>
      <c r="M5" s="96">
        <f t="shared" si="24"/>
        <v>403.33877901977638</v>
      </c>
      <c r="N5" s="96">
        <f t="shared" si="24"/>
        <v>372.1374032674118</v>
      </c>
      <c r="O5" s="96">
        <f t="shared" si="24"/>
        <v>373.82476354256232</v>
      </c>
      <c r="P5" s="96">
        <f t="shared" si="24"/>
        <v>405.97334479793636</v>
      </c>
      <c r="Q5" s="96">
        <f t="shared" si="24"/>
        <v>457.6524505588992</v>
      </c>
      <c r="R5" s="96">
        <f t="shared" si="24"/>
        <v>507.83551160791058</v>
      </c>
      <c r="S5" s="96">
        <f t="shared" si="24"/>
        <v>574.20928632846085</v>
      </c>
      <c r="T5" s="96">
        <f t="shared" si="24"/>
        <v>613.99707652622521</v>
      </c>
      <c r="U5" s="96">
        <f t="shared" si="24"/>
        <v>600.63155631986228</v>
      </c>
      <c r="V5" s="96">
        <f t="shared" si="24"/>
        <v>546.65141874462586</v>
      </c>
      <c r="W5" s="96">
        <f t="shared" ref="W5" si="25">SUM(W8:W9,W12:W13)</f>
        <v>623.63258813413574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58.785203432108212</v>
      </c>
      <c r="C6" s="21">
        <f t="shared" si="26"/>
        <v>67.489914969832142</v>
      </c>
      <c r="D6" s="21">
        <f t="shared" ref="D6:V6" si="27">SUM(D7:D9)</f>
        <v>74.256253639128701</v>
      </c>
      <c r="E6" s="21">
        <f t="shared" si="27"/>
        <v>74.429090220460608</v>
      </c>
      <c r="F6" s="21">
        <f t="shared" si="27"/>
        <v>84.78734999261512</v>
      </c>
      <c r="G6" s="21">
        <f t="shared" si="27"/>
        <v>75.408289695504806</v>
      </c>
      <c r="H6" s="21">
        <f t="shared" si="27"/>
        <v>71.783469805344026</v>
      </c>
      <c r="I6" s="21">
        <f t="shared" si="27"/>
        <v>84.589212426873829</v>
      </c>
      <c r="J6" s="21">
        <f t="shared" si="27"/>
        <v>86.766231266393547</v>
      </c>
      <c r="K6" s="21">
        <f t="shared" si="27"/>
        <v>109.66076492029818</v>
      </c>
      <c r="L6" s="21">
        <f t="shared" si="27"/>
        <v>127.25597486870595</v>
      </c>
      <c r="M6" s="21">
        <f t="shared" si="27"/>
        <v>100.86836861588189</v>
      </c>
      <c r="N6" s="21">
        <f t="shared" si="27"/>
        <v>86.161651175851972</v>
      </c>
      <c r="O6" s="21">
        <f t="shared" si="27"/>
        <v>84.267058182798223</v>
      </c>
      <c r="P6" s="21">
        <f t="shared" si="27"/>
        <v>109.62502296028634</v>
      </c>
      <c r="Q6" s="21">
        <f t="shared" si="27"/>
        <v>135.16269047368559</v>
      </c>
      <c r="R6" s="21">
        <f t="shared" si="27"/>
        <v>165.38030931735801</v>
      </c>
      <c r="S6" s="21">
        <f t="shared" si="27"/>
        <v>223.76608369606674</v>
      </c>
      <c r="T6" s="21">
        <f t="shared" si="27"/>
        <v>291.49663138502552</v>
      </c>
      <c r="U6" s="21">
        <f t="shared" si="27"/>
        <v>310.86741621315917</v>
      </c>
      <c r="V6" s="21">
        <f t="shared" si="27"/>
        <v>102.47899268611255</v>
      </c>
      <c r="W6" s="21">
        <f t="shared" ref="W6" si="28">SUM(W7:W9)</f>
        <v>159.71843667608317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44.312459846826556</v>
      </c>
      <c r="C8" s="96">
        <v>50.871527032259266</v>
      </c>
      <c r="D8" s="96">
        <v>55.971608232111514</v>
      </c>
      <c r="E8" s="96">
        <v>56.103808347973818</v>
      </c>
      <c r="F8" s="96">
        <v>63.908430126725989</v>
      </c>
      <c r="G8" s="96">
        <v>57.049835109557677</v>
      </c>
      <c r="H8" s="96">
        <v>54.399562215753086</v>
      </c>
      <c r="I8" s="96">
        <v>64.433746732181817</v>
      </c>
      <c r="J8" s="96">
        <v>65.026991391341397</v>
      </c>
      <c r="K8" s="96">
        <v>80.885271051915694</v>
      </c>
      <c r="L8" s="96">
        <v>94.390457732000272</v>
      </c>
      <c r="M8" s="96">
        <v>74.443485292497456</v>
      </c>
      <c r="N8" s="96">
        <v>63.717270419469088</v>
      </c>
      <c r="O8" s="96">
        <v>62.686675150726295</v>
      </c>
      <c r="P8" s="96">
        <v>81.542011640334394</v>
      </c>
      <c r="Q8" s="96">
        <v>100.71120837038586</v>
      </c>
      <c r="R8" s="96">
        <v>125.23436696952565</v>
      </c>
      <c r="S8" s="96">
        <v>171.66168221322425</v>
      </c>
      <c r="T8" s="96">
        <v>222.54660951102053</v>
      </c>
      <c r="U8" s="96">
        <v>235.43322467292481</v>
      </c>
      <c r="V8" s="96">
        <v>73.070730392150139</v>
      </c>
      <c r="W8" s="96">
        <v>118.24824724873403</v>
      </c>
      <c r="DA8" s="171" t="s">
        <v>281</v>
      </c>
    </row>
    <row r="9" spans="1:105" ht="11.45" customHeight="1" x14ac:dyDescent="0.25">
      <c r="A9" s="83" t="s">
        <v>174</v>
      </c>
      <c r="B9" s="96">
        <v>14.472743585281657</v>
      </c>
      <c r="C9" s="96">
        <v>16.61838793757288</v>
      </c>
      <c r="D9" s="96">
        <v>18.284645407017184</v>
      </c>
      <c r="E9" s="96">
        <v>18.325281872486791</v>
      </c>
      <c r="F9" s="96">
        <v>20.878919865889131</v>
      </c>
      <c r="G9" s="96">
        <v>18.358454585947133</v>
      </c>
      <c r="H9" s="96">
        <v>17.383907589590944</v>
      </c>
      <c r="I9" s="96">
        <v>20.155465694692015</v>
      </c>
      <c r="J9" s="96">
        <v>21.739239875052149</v>
      </c>
      <c r="K9" s="96">
        <v>28.775493868382483</v>
      </c>
      <c r="L9" s="96">
        <v>32.86551713670567</v>
      </c>
      <c r="M9" s="96">
        <v>26.424883323384432</v>
      </c>
      <c r="N9" s="96">
        <v>22.444380756382888</v>
      </c>
      <c r="O9" s="96">
        <v>21.580383032071932</v>
      </c>
      <c r="P9" s="96">
        <v>28.083011319951943</v>
      </c>
      <c r="Q9" s="96">
        <v>34.451482103299732</v>
      </c>
      <c r="R9" s="96">
        <v>40.14594234783236</v>
      </c>
      <c r="S9" s="96">
        <v>52.104401482842498</v>
      </c>
      <c r="T9" s="96">
        <v>68.950021874004989</v>
      </c>
      <c r="U9" s="96">
        <v>75.434191540234352</v>
      </c>
      <c r="V9" s="96">
        <v>29.408262293962412</v>
      </c>
      <c r="W9" s="96">
        <v>41.47018942734914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262.05710095310241</v>
      </c>
      <c r="C10" s="22">
        <f t="shared" si="29"/>
        <v>279.52960351684021</v>
      </c>
      <c r="D10" s="22">
        <f t="shared" ref="D10:V10" si="30">SUM(D11:D13)</f>
        <v>301.7254316575179</v>
      </c>
      <c r="E10" s="22">
        <f t="shared" si="30"/>
        <v>317.24906971075171</v>
      </c>
      <c r="F10" s="22">
        <f t="shared" si="30"/>
        <v>341.39803263851132</v>
      </c>
      <c r="G10" s="22">
        <f t="shared" si="30"/>
        <v>357.62154693390181</v>
      </c>
      <c r="H10" s="22">
        <f t="shared" si="30"/>
        <v>333.46511145002995</v>
      </c>
      <c r="I10" s="22">
        <f t="shared" si="30"/>
        <v>351.01138946478551</v>
      </c>
      <c r="J10" s="22">
        <f t="shared" si="30"/>
        <v>351.71399229336566</v>
      </c>
      <c r="K10" s="22">
        <f t="shared" si="30"/>
        <v>310.52444574178264</v>
      </c>
      <c r="L10" s="22">
        <f t="shared" si="30"/>
        <v>303.86405952510307</v>
      </c>
      <c r="M10" s="22">
        <f t="shared" si="30"/>
        <v>302.4704104038945</v>
      </c>
      <c r="N10" s="22">
        <f t="shared" si="30"/>
        <v>285.9757520915598</v>
      </c>
      <c r="O10" s="22">
        <f t="shared" si="30"/>
        <v>289.5577053597641</v>
      </c>
      <c r="P10" s="22">
        <f t="shared" si="30"/>
        <v>296.34832183765002</v>
      </c>
      <c r="Q10" s="22">
        <f t="shared" si="30"/>
        <v>322.48976008521367</v>
      </c>
      <c r="R10" s="22">
        <f t="shared" si="30"/>
        <v>342.45520229055262</v>
      </c>
      <c r="S10" s="22">
        <f t="shared" si="30"/>
        <v>350.4432026323941</v>
      </c>
      <c r="T10" s="22">
        <f t="shared" si="30"/>
        <v>322.50044514119969</v>
      </c>
      <c r="U10" s="22">
        <f t="shared" si="30"/>
        <v>289.76414010670317</v>
      </c>
      <c r="V10" s="22">
        <f t="shared" si="30"/>
        <v>444.17242605851328</v>
      </c>
      <c r="W10" s="22">
        <f t="shared" ref="W10" si="31">SUM(W11:W13)</f>
        <v>463.91415145805263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14.06692200333389</v>
      </c>
      <c r="C12" s="97">
        <v>5.9853084367357194</v>
      </c>
      <c r="D12" s="97">
        <v>4.1157175213024182</v>
      </c>
      <c r="E12" s="97">
        <v>6.7386847718545217</v>
      </c>
      <c r="F12" s="97">
        <v>6.3781146305723482</v>
      </c>
      <c r="G12" s="97">
        <v>6.9842784022398305</v>
      </c>
      <c r="H12" s="97">
        <v>3.6620274799512003</v>
      </c>
      <c r="I12" s="97">
        <v>5.981415653123257</v>
      </c>
      <c r="J12" s="97">
        <v>8.1112296637700236</v>
      </c>
      <c r="K12" s="97">
        <v>8.2443198718275337</v>
      </c>
      <c r="L12" s="97">
        <v>9.4982136575920979</v>
      </c>
      <c r="M12" s="97">
        <v>5.1036972015240236</v>
      </c>
      <c r="N12" s="97">
        <v>4.7943026664034676</v>
      </c>
      <c r="O12" s="97">
        <v>5.191188508277496</v>
      </c>
      <c r="P12" s="97">
        <v>6.3857661122464826</v>
      </c>
      <c r="Q12" s="97">
        <v>6.882744610594596</v>
      </c>
      <c r="R12" s="97">
        <v>5.9258513119475253</v>
      </c>
      <c r="S12" s="97">
        <v>9.9145927709539308</v>
      </c>
      <c r="T12" s="97">
        <v>10.068651964773464</v>
      </c>
      <c r="U12" s="97">
        <v>10.660518154029642</v>
      </c>
      <c r="V12" s="97">
        <v>8.419232007173397</v>
      </c>
      <c r="W12" s="97">
        <v>12.153397667850612</v>
      </c>
      <c r="DA12" s="175" t="s">
        <v>285</v>
      </c>
    </row>
    <row r="13" spans="1:105" ht="11.45" customHeight="1" x14ac:dyDescent="0.25">
      <c r="A13" s="85" t="s">
        <v>174</v>
      </c>
      <c r="B13" s="98">
        <v>247.99017894976851</v>
      </c>
      <c r="C13" s="98">
        <v>273.54429508010452</v>
      </c>
      <c r="D13" s="98">
        <v>297.60971413621547</v>
      </c>
      <c r="E13" s="98">
        <v>310.51038493889718</v>
      </c>
      <c r="F13" s="98">
        <v>335.019918007939</v>
      </c>
      <c r="G13" s="98">
        <v>350.63726853166196</v>
      </c>
      <c r="H13" s="98">
        <v>329.80308397007877</v>
      </c>
      <c r="I13" s="98">
        <v>345.02997381166227</v>
      </c>
      <c r="J13" s="98">
        <v>343.60276262959565</v>
      </c>
      <c r="K13" s="98">
        <v>302.2801258699551</v>
      </c>
      <c r="L13" s="98">
        <v>294.36584586751098</v>
      </c>
      <c r="M13" s="98">
        <v>297.36671320237048</v>
      </c>
      <c r="N13" s="98">
        <v>281.18144942515636</v>
      </c>
      <c r="O13" s="98">
        <v>284.36651685148661</v>
      </c>
      <c r="P13" s="98">
        <v>289.96255572540355</v>
      </c>
      <c r="Q13" s="98">
        <v>315.60701547461906</v>
      </c>
      <c r="R13" s="98">
        <v>336.52935097860507</v>
      </c>
      <c r="S13" s="98">
        <v>340.5286098614402</v>
      </c>
      <c r="T13" s="98">
        <v>312.43179317642625</v>
      </c>
      <c r="U13" s="98">
        <v>279.10362195267351</v>
      </c>
      <c r="V13" s="98">
        <v>435.7531940513399</v>
      </c>
      <c r="W13" s="98">
        <v>451.76075379020199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811.6668371513706</v>
      </c>
      <c r="C17" s="62">
        <f>IF(C3=0,0,C3/TrAvia_act!C13*100)</f>
        <v>859.37143152522651</v>
      </c>
      <c r="D17" s="62">
        <f>IF(D3=0,0,D3/TrAvia_act!D13*100)</f>
        <v>870.36330797191908</v>
      </c>
      <c r="E17" s="62">
        <f>IF(E3=0,0,E3/TrAvia_act!E13*100)</f>
        <v>841.51913503792105</v>
      </c>
      <c r="F17" s="62">
        <f>IF(F3=0,0,F3/TrAvia_act!F13*100)</f>
        <v>876.47160252591357</v>
      </c>
      <c r="G17" s="62">
        <f>IF(G3=0,0,G3/TrAvia_act!G13*100)</f>
        <v>840.83396425139813</v>
      </c>
      <c r="H17" s="62">
        <f>IF(H3=0,0,H3/TrAvia_act!H13*100)</f>
        <v>763.35062045937252</v>
      </c>
      <c r="I17" s="62">
        <f>IF(I3=0,0,I3/TrAvia_act!I13*100)</f>
        <v>694.32398601314674</v>
      </c>
      <c r="J17" s="62">
        <f>IF(J3=0,0,J3/TrAvia_act!J13*100)</f>
        <v>627.34036289158723</v>
      </c>
      <c r="K17" s="62">
        <f>IF(K3=0,0,K3/TrAvia_act!K13*100)</f>
        <v>745.32514329320293</v>
      </c>
      <c r="L17" s="62">
        <f>IF(L3=0,0,L3/TrAvia_act!L13*100)</f>
        <v>753.12194299249904</v>
      </c>
      <c r="M17" s="62">
        <f>IF(M3=0,0,M3/TrAvia_act!M13*100)</f>
        <v>698.06371937935512</v>
      </c>
      <c r="N17" s="62">
        <f>IF(N3=0,0,N3/TrAvia_act!N13*100)</f>
        <v>736.94294998997555</v>
      </c>
      <c r="O17" s="62">
        <f>IF(O3=0,0,O3/TrAvia_act!O13*100)</f>
        <v>696.51580263243875</v>
      </c>
      <c r="P17" s="62">
        <f>IF(P3=0,0,P3/TrAvia_act!P13*100)</f>
        <v>762.30102746659202</v>
      </c>
      <c r="Q17" s="62">
        <f>IF(Q3=0,0,Q3/TrAvia_act!Q13*100)</f>
        <v>775.98651495561023</v>
      </c>
      <c r="R17" s="62">
        <f>IF(R3=0,0,R3/TrAvia_act!R13*100)</f>
        <v>837.83998145657335</v>
      </c>
      <c r="S17" s="62">
        <f>IF(S3=0,0,S3/TrAvia_act!S13*100)</f>
        <v>844.82919416208927</v>
      </c>
      <c r="T17" s="62">
        <f>IF(T3=0,0,T3/TrAvia_act!T13*100)</f>
        <v>880.36555742525161</v>
      </c>
      <c r="U17" s="62">
        <f>IF(U3=0,0,U3/TrAvia_act!U13*100)</f>
        <v>877.29660766087466</v>
      </c>
      <c r="V17" s="62">
        <f>IF(V3=0,0,V3/TrAvia_act!V13*100)</f>
        <v>678.60691896012145</v>
      </c>
      <c r="W17" s="62">
        <f>IF(W3=0,0,W3/TrAvia_act!W13*100)</f>
        <v>659.8061791852374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469.95930882042848</v>
      </c>
      <c r="C18" s="14">
        <f>IF(C6=0,0,C6/TrAvia_act!C14*100)</f>
        <v>498.3891129374922</v>
      </c>
      <c r="D18" s="14">
        <f>IF(D6=0,0,D6/TrAvia_act!D14*100)</f>
        <v>505.66619135826124</v>
      </c>
      <c r="E18" s="14">
        <f>IF(E6=0,0,E6/TrAvia_act!E14*100)</f>
        <v>486.07121443621918</v>
      </c>
      <c r="F18" s="14">
        <f>IF(F6=0,0,F6/TrAvia_act!F14*100)</f>
        <v>508.41028670067692</v>
      </c>
      <c r="G18" s="14">
        <f>IF(G6=0,0,G6/TrAvia_act!G14*100)</f>
        <v>463.34044338402941</v>
      </c>
      <c r="H18" s="14">
        <f>IF(H6=0,0,H6/TrAvia_act!H14*100)</f>
        <v>441.86981081870533</v>
      </c>
      <c r="I18" s="14">
        <f>IF(I6=0,0,I6/TrAvia_act!I14*100)</f>
        <v>512.3983700324377</v>
      </c>
      <c r="J18" s="14">
        <f>IF(J6=0,0,J6/TrAvia_act!J14*100)</f>
        <v>505.53640043967965</v>
      </c>
      <c r="K18" s="14">
        <f>IF(K6=0,0,K6/TrAvia_act!K14*100)</f>
        <v>692.7504668657549</v>
      </c>
      <c r="L18" s="14">
        <f>IF(L6=0,0,L6/TrAvia_act!L14*100)</f>
        <v>781.39355368920144</v>
      </c>
      <c r="M18" s="14">
        <f>IF(M6=0,0,M6/TrAvia_act!M14*100)</f>
        <v>581.78518024593825</v>
      </c>
      <c r="N18" s="14">
        <f>IF(N6=0,0,N6/TrAvia_act!N14*100)</f>
        <v>530.36572320627511</v>
      </c>
      <c r="O18" s="14">
        <f>IF(O6=0,0,O6/TrAvia_act!O14*100)</f>
        <v>507.46101729473946</v>
      </c>
      <c r="P18" s="14">
        <f>IF(P6=0,0,P6/TrAvia_act!P14*100)</f>
        <v>593.05810282828975</v>
      </c>
      <c r="Q18" s="14">
        <f>IF(Q6=0,0,Q6/TrAvia_act!Q14*100)</f>
        <v>672.68711757982578</v>
      </c>
      <c r="R18" s="14">
        <f>IF(R6=0,0,R6/TrAvia_act!R14*100)</f>
        <v>751.59236779623086</v>
      </c>
      <c r="S18" s="14">
        <f>IF(S6=0,0,S6/TrAvia_act!S14*100)</f>
        <v>877.61473324751785</v>
      </c>
      <c r="T18" s="14">
        <f>IF(T6=0,0,T6/TrAvia_act!T14*100)</f>
        <v>1000.3592983559903</v>
      </c>
      <c r="U18" s="14">
        <f>IF(U6=0,0,U6/TrAvia_act!U14*100)</f>
        <v>1000.1002943826765</v>
      </c>
      <c r="V18" s="14">
        <f>IF(V6=0,0,V6/TrAvia_act!V14*100)</f>
        <v>773.77309640370049</v>
      </c>
      <c r="W18" s="14">
        <f>IF(W6=0,0,W6/TrAvia_act!W14*100)</f>
        <v>893.98526558025947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418.73925178174034</v>
      </c>
      <c r="C20" s="87">
        <f>IF(C8=0,0,C8/TrAvia_act!C16*100)</f>
        <v>444.05778708257009</v>
      </c>
      <c r="D20" s="87">
        <f>IF(D8=0,0,D8/TrAvia_act!D16*100)</f>
        <v>450.53700550411725</v>
      </c>
      <c r="E20" s="87">
        <f>IF(E8=0,0,E8/TrAvia_act!E16*100)</f>
        <v>433.08200728468336</v>
      </c>
      <c r="F20" s="87">
        <f>IF(F8=0,0,F8/TrAvia_act!F16*100)</f>
        <v>452.97310747073664</v>
      </c>
      <c r="G20" s="87">
        <f>IF(G8=0,0,G8/TrAvia_act!G16*100)</f>
        <v>411.16163476045529</v>
      </c>
      <c r="H20" s="87">
        <f>IF(H8=0,0,H8/TrAvia_act!H16*100)</f>
        <v>393.14176135618311</v>
      </c>
      <c r="I20" s="87">
        <f>IF(I8=0,0,I8/TrAvia_act!I16*100)</f>
        <v>488.97140451969614</v>
      </c>
      <c r="J20" s="87">
        <f>IF(J8=0,0,J8/TrAvia_act!J16*100)</f>
        <v>492.352638318809</v>
      </c>
      <c r="K20" s="87">
        <f>IF(K8=0,0,K8/TrAvia_act!K16*100)</f>
        <v>705.01902666910837</v>
      </c>
      <c r="L20" s="87">
        <f>IF(L8=0,0,L8/TrAvia_act!L16*100)</f>
        <v>826.91570020068161</v>
      </c>
      <c r="M20" s="87">
        <f>IF(M8=0,0,M8/TrAvia_act!M16*100)</f>
        <v>575.79804623899747</v>
      </c>
      <c r="N20" s="87">
        <f>IF(N8=0,0,N8/TrAvia_act!N16*100)</f>
        <v>502.51568930536024</v>
      </c>
      <c r="O20" s="87">
        <f>IF(O8=0,0,O8/TrAvia_act!O16*100)</f>
        <v>481.47402041672507</v>
      </c>
      <c r="P20" s="87">
        <f>IF(P8=0,0,P8/TrAvia_act!P16*100)</f>
        <v>573.72151293137188</v>
      </c>
      <c r="Q20" s="87">
        <f>IF(Q8=0,0,Q8/TrAvia_act!Q16*100)</f>
        <v>680.04185941993512</v>
      </c>
      <c r="R20" s="87">
        <f>IF(R8=0,0,R8/TrAvia_act!R16*100)</f>
        <v>753.50098279377198</v>
      </c>
      <c r="S20" s="87">
        <f>IF(S8=0,0,S8/TrAvia_act!S16*100)</f>
        <v>920.1413224170592</v>
      </c>
      <c r="T20" s="87">
        <f>IF(T8=0,0,T8/TrAvia_act!T16*100)</f>
        <v>1094.8258661745538</v>
      </c>
      <c r="U20" s="87">
        <f>IF(U8=0,0,U8/TrAvia_act!U16*100)</f>
        <v>1112.9145015780648</v>
      </c>
      <c r="V20" s="87">
        <f>IF(V8=0,0,V8/TrAvia_act!V16*100)</f>
        <v>745.14699113922961</v>
      </c>
      <c r="W20" s="87">
        <f>IF(W8=0,0,W8/TrAvia_act!W16*100)</f>
        <v>925.21844716541125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751.35408224781941</v>
      </c>
      <c r="C21" s="87">
        <f>IF(C9=0,0,C9/TrAvia_act!C17*100)</f>
        <v>796.83444828396159</v>
      </c>
      <c r="D21" s="87">
        <f>IF(D9=0,0,D9/TrAvia_act!D17*100)</f>
        <v>808.50894116623863</v>
      </c>
      <c r="E21" s="87">
        <f>IF(E9=0,0,E9/TrAvia_act!E17*100)</f>
        <v>777.20707694472128</v>
      </c>
      <c r="F21" s="87">
        <f>IF(F9=0,0,F9/TrAvia_act!F17*100)</f>
        <v>812.94857373041032</v>
      </c>
      <c r="G21" s="87">
        <f>IF(G9=0,0,G9/TrAvia_act!G17*100)</f>
        <v>765.05069004634834</v>
      </c>
      <c r="H21" s="87">
        <f>IF(H9=0,0,H9/TrAvia_act!H17*100)</f>
        <v>721.84737391260126</v>
      </c>
      <c r="I21" s="87">
        <f>IF(I9=0,0,I9/TrAvia_act!I17*100)</f>
        <v>605.0730096393529</v>
      </c>
      <c r="J21" s="87">
        <f>IF(J9=0,0,J9/TrAvia_act!J17*100)</f>
        <v>549.55360480891886</v>
      </c>
      <c r="K21" s="87">
        <f>IF(K9=0,0,K9/TrAvia_act!K17*100)</f>
        <v>660.44499711788956</v>
      </c>
      <c r="L21" s="87">
        <f>IF(L9=0,0,L9/TrAvia_act!L17*100)</f>
        <v>674.71661988198684</v>
      </c>
      <c r="M21" s="87">
        <f>IF(M9=0,0,M9/TrAvia_act!M17*100)</f>
        <v>599.34163657946476</v>
      </c>
      <c r="N21" s="87">
        <f>IF(N9=0,0,N9/TrAvia_act!N17*100)</f>
        <v>629.39102735026222</v>
      </c>
      <c r="O21" s="87">
        <f>IF(O9=0,0,O9/TrAvia_act!O17*100)</f>
        <v>601.81553970416257</v>
      </c>
      <c r="P21" s="87">
        <f>IF(P9=0,0,P9/TrAvia_act!P17*100)</f>
        <v>657.39217273209829</v>
      </c>
      <c r="Q21" s="87">
        <f>IF(Q9=0,0,Q9/TrAvia_act!Q17*100)</f>
        <v>652.07147454125277</v>
      </c>
      <c r="R21" s="87">
        <f>IF(R9=0,0,R9/TrAvia_act!R17*100)</f>
        <v>745.70012555117796</v>
      </c>
      <c r="S21" s="87">
        <f>IF(S9=0,0,S9/TrAvia_act!S17*100)</f>
        <v>761.64200892714518</v>
      </c>
      <c r="T21" s="87">
        <f>IF(T9=0,0,T9/TrAvia_act!T17*100)</f>
        <v>782.44980619976093</v>
      </c>
      <c r="U21" s="87">
        <f>IF(U9=0,0,U9/TrAvia_act!U17*100)</f>
        <v>759.73841478666623</v>
      </c>
      <c r="V21" s="87">
        <f>IF(V9=0,0,V9/TrAvia_act!V17*100)</f>
        <v>855.42708296813373</v>
      </c>
      <c r="W21" s="87">
        <f>IF(W9=0,0,W9/TrAvia_act!W17*100)</f>
        <v>815.48904167622243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969.85465645113891</v>
      </c>
      <c r="C22" s="15">
        <f>IF(C10=0,0,C10/TrAvia_act!C18*100)</f>
        <v>1041.504907659415</v>
      </c>
      <c r="D22" s="15">
        <f>IF(D10=0,0,D10/TrAvia_act!D18*100)</f>
        <v>1058.1878295981958</v>
      </c>
      <c r="E22" s="15">
        <f>IF(E10=0,0,E10/TrAvia_act!E18*100)</f>
        <v>1015.7888253527947</v>
      </c>
      <c r="F22" s="15">
        <f>IF(F10=0,0,F10/TrAvia_act!F18*100)</f>
        <v>1068.5997316235262</v>
      </c>
      <c r="G22" s="15">
        <f>IF(G10=0,0,G10/TrAvia_act!G18*100)</f>
        <v>1015.2457775838811</v>
      </c>
      <c r="H22" s="15">
        <f>IF(H10=0,0,H10/TrAvia_act!H18*100)</f>
        <v>905.10393387676697</v>
      </c>
      <c r="I22" s="15">
        <f>IF(I10=0,0,I10/TrAvia_act!I18*100)</f>
        <v>759.29022024554729</v>
      </c>
      <c r="J22" s="15">
        <f>IF(J10=0,0,J10/TrAvia_act!J18*100)</f>
        <v>666.98516430620884</v>
      </c>
      <c r="K22" s="15">
        <f>IF(K10=0,0,K10/TrAvia_act!K18*100)</f>
        <v>765.85091491688161</v>
      </c>
      <c r="L22" s="15">
        <f>IF(L10=0,0,L10/TrAvia_act!L18*100)</f>
        <v>741.8807175437471</v>
      </c>
      <c r="M22" s="15">
        <f>IF(M10=0,0,M10/TrAvia_act!M18*100)</f>
        <v>747.91314764198501</v>
      </c>
      <c r="N22" s="15">
        <f>IF(N10=0,0,N10/TrAvia_act!N18*100)</f>
        <v>834.92314436679567</v>
      </c>
      <c r="O22" s="15">
        <f>IF(O10=0,0,O10/TrAvia_act!O18*100)</f>
        <v>781.21477555203001</v>
      </c>
      <c r="P22" s="15">
        <f>IF(P10=0,0,P10/TrAvia_act!P18*100)</f>
        <v>852.27114497583204</v>
      </c>
      <c r="Q22" s="15">
        <f>IF(Q10=0,0,Q10/TrAvia_act!Q18*100)</f>
        <v>829.36566156148399</v>
      </c>
      <c r="R22" s="15">
        <f>IF(R10=0,0,R10/TrAvia_act!R18*100)</f>
        <v>886.99476821499434</v>
      </c>
      <c r="S22" s="15">
        <f>IF(S10=0,0,S10/TrAvia_act!S18*100)</f>
        <v>825.14643087648153</v>
      </c>
      <c r="T22" s="15">
        <f>IF(T10=0,0,T10/TrAvia_act!T18*100)</f>
        <v>794.25332588518677</v>
      </c>
      <c r="U22" s="15">
        <f>IF(U10=0,0,U10/TrAvia_act!U18*100)</f>
        <v>775.17904521211813</v>
      </c>
      <c r="V22" s="15">
        <f>IF(V10=0,0,V10/TrAvia_act!V18*100)</f>
        <v>659.88205917643347</v>
      </c>
      <c r="W22" s="15">
        <f>IF(W10=0,0,W10/TrAvia_act!W18*100)</f>
        <v>605.22394845138626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603.10652406315728</v>
      </c>
      <c r="C24" s="101">
        <f>IF(C12=0,0,C12/TrAvia_act!C20*100)</f>
        <v>515.30357994449128</v>
      </c>
      <c r="D24" s="101">
        <f>IF(D12=0,0,D12/TrAvia_act!D20*100)</f>
        <v>419.84708814920879</v>
      </c>
      <c r="E24" s="101">
        <f>IF(E12=0,0,E12/TrAvia_act!E20*100)</f>
        <v>499.82098904976391</v>
      </c>
      <c r="F24" s="101">
        <f>IF(F12=0,0,F12/TrAvia_act!F20*100)</f>
        <v>567.78319837159108</v>
      </c>
      <c r="G24" s="101">
        <f>IF(G12=0,0,G12/TrAvia_act!G20*100)</f>
        <v>517.38602826131807</v>
      </c>
      <c r="H24" s="101">
        <f>IF(H12=0,0,H12/TrAvia_act!H20*100)</f>
        <v>405.8014255708672</v>
      </c>
      <c r="I24" s="101">
        <f>IF(I12=0,0,I12/TrAvia_act!I20*100)</f>
        <v>512.84374500274794</v>
      </c>
      <c r="J24" s="101">
        <f>IF(J12=0,0,J12/TrAvia_act!J20*100)</f>
        <v>544.38187790404231</v>
      </c>
      <c r="K24" s="101">
        <f>IF(K12=0,0,K12/TrAvia_act!K20*100)</f>
        <v>700.57680123662954</v>
      </c>
      <c r="L24" s="101">
        <f>IF(L12=0,0,L12/TrAvia_act!L20*100)</f>
        <v>720.23123347203079</v>
      </c>
      <c r="M24" s="101">
        <f>IF(M12=0,0,M12/TrAvia_act!M20*100)</f>
        <v>525.5163026345881</v>
      </c>
      <c r="N24" s="101">
        <f>IF(N12=0,0,N12/TrAvia_act!N20*100)</f>
        <v>496.07517988917732</v>
      </c>
      <c r="O24" s="101">
        <f>IF(O12=0,0,O12/TrAvia_act!O20*100)</f>
        <v>480.58032111738828</v>
      </c>
      <c r="P24" s="101">
        <f>IF(P12=0,0,P12/TrAvia_act!P20*100)</f>
        <v>589.44211731998519</v>
      </c>
      <c r="Q24" s="101">
        <f>IF(Q12=0,0,Q12/TrAvia_act!Q20*100)</f>
        <v>702.15408213555429</v>
      </c>
      <c r="R24" s="101">
        <f>IF(R12=0,0,R12/TrAvia_act!R20*100)</f>
        <v>785.25134159168294</v>
      </c>
      <c r="S24" s="101">
        <f>IF(S12=0,0,S12/TrAvia_act!S20*100)</f>
        <v>1062.2113004114565</v>
      </c>
      <c r="T24" s="101">
        <f>IF(T12=0,0,T12/TrAvia_act!T20*100)</f>
        <v>1191.9587763448262</v>
      </c>
      <c r="U24" s="101">
        <f>IF(U12=0,0,U12/TrAvia_act!U20*100)</f>
        <v>1367.1366618582931</v>
      </c>
      <c r="V24" s="101">
        <f>IF(V12=0,0,V12/TrAvia_act!V20*100)</f>
        <v>886.13564964823479</v>
      </c>
      <c r="W24" s="101">
        <f>IF(W12=0,0,W12/TrAvia_act!W20*100)</f>
        <v>1009.3449048643572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1004.503598515263</v>
      </c>
      <c r="C25" s="88">
        <f>IF(C13=0,0,C13/TrAvia_act!C21*100)</f>
        <v>1065.3074091612641</v>
      </c>
      <c r="D25" s="88">
        <f>IF(D13=0,0,D13/TrAvia_act!D21*100)</f>
        <v>1080.9153234431753</v>
      </c>
      <c r="E25" s="88">
        <f>IF(E13=0,0,E13/TrAvia_act!E21*100)</f>
        <v>1039.0670976949596</v>
      </c>
      <c r="F25" s="88">
        <f>IF(F13=0,0,F13/TrAvia_act!F21*100)</f>
        <v>1086.8507765034083</v>
      </c>
      <c r="G25" s="88">
        <f>IF(G13=0,0,G13/TrAvia_act!G21*100)</f>
        <v>1035.0853332999777</v>
      </c>
      <c r="H25" s="88">
        <f>IF(H13=0,0,H13/TrAvia_act!H21*100)</f>
        <v>917.64082319747774</v>
      </c>
      <c r="I25" s="88">
        <f>IF(I13=0,0,I13/TrAvia_act!I21*100)</f>
        <v>765.66882467939809</v>
      </c>
      <c r="J25" s="88">
        <f>IF(J13=0,0,J13/TrAvia_act!J21*100)</f>
        <v>670.55016630895113</v>
      </c>
      <c r="K25" s="88">
        <f>IF(K13=0,0,K13/TrAvia_act!K21*100)</f>
        <v>767.8020157692772</v>
      </c>
      <c r="L25" s="88">
        <f>IF(L13=0,0,L13/TrAvia_act!L21*100)</f>
        <v>742.60097146054409</v>
      </c>
      <c r="M25" s="88">
        <f>IF(M13=0,0,M13/TrAvia_act!M21*100)</f>
        <v>753.38522305275592</v>
      </c>
      <c r="N25" s="88">
        <f>IF(N13=0,0,N13/TrAvia_act!N21*100)</f>
        <v>844.76167787644079</v>
      </c>
      <c r="O25" s="88">
        <f>IF(O13=0,0,O13/TrAvia_act!O21*100)</f>
        <v>790.23920347992669</v>
      </c>
      <c r="P25" s="88">
        <f>IF(P13=0,0,P13/TrAvia_act!P21*100)</f>
        <v>860.72328739390468</v>
      </c>
      <c r="Q25" s="88">
        <f>IF(Q13=0,0,Q13/TrAvia_act!Q21*100)</f>
        <v>832.65550008226251</v>
      </c>
      <c r="R25" s="88">
        <f>IF(R13=0,0,R13/TrAvia_act!R21*100)</f>
        <v>889.02309777507878</v>
      </c>
      <c r="S25" s="88">
        <f>IF(S13=0,0,S13/TrAvia_act!S21*100)</f>
        <v>819.81927159845202</v>
      </c>
      <c r="T25" s="88">
        <f>IF(T13=0,0,T13/TrAvia_act!T21*100)</f>
        <v>785.80383466853368</v>
      </c>
      <c r="U25" s="88">
        <f>IF(U13=0,0,U13/TrAvia_act!U21*100)</f>
        <v>762.56745669913664</v>
      </c>
      <c r="V25" s="88">
        <f>IF(V13=0,0,V13/TrAvia_act!V21*100)</f>
        <v>656.64272089269252</v>
      </c>
      <c r="W25" s="88">
        <f>IF(W13=0,0,W13/TrAvia_act!W21*100)</f>
        <v>598.7744749186013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79.869771404469887</v>
      </c>
      <c r="C28" s="14">
        <f>IF(C6=0,0,C6/TrAvia_act!C4*1000)</f>
        <v>83.495492878794977</v>
      </c>
      <c r="D28" s="14">
        <f>IF(D6=0,0,D6/TrAvia_act!D4*1000)</f>
        <v>84.393287414263185</v>
      </c>
      <c r="E28" s="14">
        <f>IF(E6=0,0,E6/TrAvia_act!E4*1000)</f>
        <v>81.835856529972688</v>
      </c>
      <c r="F28" s="14">
        <f>IF(F6=0,0,F6/TrAvia_act!F4*1000)</f>
        <v>86.326261703990752</v>
      </c>
      <c r="G28" s="14">
        <f>IF(G6=0,0,G6/TrAvia_act!G4*1000)</f>
        <v>76.286044598981704</v>
      </c>
      <c r="H28" s="14">
        <f>IF(H6=0,0,H6/TrAvia_act!H4*1000)</f>
        <v>74.281961205096266</v>
      </c>
      <c r="I28" s="14">
        <f>IF(I6=0,0,I6/TrAvia_act!I4*1000)</f>
        <v>82.671860122310562</v>
      </c>
      <c r="J28" s="14">
        <f>IF(J6=0,0,J6/TrAvia_act!J4*1000)</f>
        <v>79.804475583740171</v>
      </c>
      <c r="K28" s="14">
        <f>IF(K6=0,0,K6/TrAvia_act!K4*1000)</f>
        <v>107.00896096716177</v>
      </c>
      <c r="L28" s="14">
        <f>IF(L6=0,0,L6/TrAvia_act!L4*1000)</f>
        <v>114.02262772514494</v>
      </c>
      <c r="M28" s="14">
        <f>IF(M6=0,0,M6/TrAvia_act!M4*1000)</f>
        <v>87.976523936858015</v>
      </c>
      <c r="N28" s="14">
        <f>IF(N6=0,0,N6/TrAvia_act!N4*1000)</f>
        <v>82.215496356112325</v>
      </c>
      <c r="O28" s="14">
        <f>IF(O6=0,0,O6/TrAvia_act!O4*1000)</f>
        <v>70.693071427471665</v>
      </c>
      <c r="P28" s="14">
        <f>IF(P6=0,0,P6/TrAvia_act!P4*1000)</f>
        <v>77.504332354253393</v>
      </c>
      <c r="Q28" s="14">
        <f>IF(Q6=0,0,Q6/TrAvia_act!Q4*1000)</f>
        <v>84.949646764291003</v>
      </c>
      <c r="R28" s="14">
        <f>IF(R6=0,0,R6/TrAvia_act!R4*1000)</f>
        <v>92.715148491525269</v>
      </c>
      <c r="S28" s="14">
        <f>IF(S6=0,0,S6/TrAvia_act!S4*1000)</f>
        <v>99.819673257062476</v>
      </c>
      <c r="T28" s="14">
        <f>IF(T6=0,0,T6/TrAvia_act!T4*1000)</f>
        <v>112.33617103515829</v>
      </c>
      <c r="U28" s="14">
        <f>IF(U6=0,0,U6/TrAvia_act!U4*1000)</f>
        <v>107.69463930257554</v>
      </c>
      <c r="V28" s="14">
        <f>IF(V6=0,0,V6/TrAvia_act!V4*1000)</f>
        <v>97.606068184453818</v>
      </c>
      <c r="W28" s="14">
        <f>IF(W6=0,0,W6/TrAvia_act!W4*1000)</f>
        <v>96.777631508797953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70.446561966694134</v>
      </c>
      <c r="C30" s="87">
        <f>IF(C8=0,0,C8/TrAvia_act!C6*1000)</f>
        <v>73.846903107284902</v>
      </c>
      <c r="D30" s="87">
        <f>IF(D8=0,0,D8/TrAvia_act!D6*1000)</f>
        <v>74.907390038050664</v>
      </c>
      <c r="E30" s="87">
        <f>IF(E8=0,0,E8/TrAvia_act!E6*1000)</f>
        <v>73.009371261429123</v>
      </c>
      <c r="F30" s="87">
        <f>IF(F8=0,0,F8/TrAvia_act!F6*1000)</f>
        <v>77.475131882568903</v>
      </c>
      <c r="G30" s="87">
        <f>IF(G8=0,0,G8/TrAvia_act!G6*1000)</f>
        <v>71.642906709267095</v>
      </c>
      <c r="H30" s="87">
        <f>IF(H8=0,0,H8/TrAvia_act!H6*1000)</f>
        <v>72.022221901913937</v>
      </c>
      <c r="I30" s="87">
        <f>IF(I8=0,0,I8/TrAvia_act!I6*1000)</f>
        <v>91.304684856333495</v>
      </c>
      <c r="J30" s="87">
        <f>IF(J8=0,0,J8/TrAvia_act!J6*1000)</f>
        <v>96.869751716803606</v>
      </c>
      <c r="K30" s="87">
        <f>IF(K8=0,0,K8/TrAvia_act!K6*1000)</f>
        <v>140.48689127541761</v>
      </c>
      <c r="L30" s="87">
        <f>IF(L8=0,0,L8/TrAvia_act!L6*1000)</f>
        <v>156.59843185975876</v>
      </c>
      <c r="M30" s="87">
        <f>IF(M8=0,0,M8/TrAvia_act!M6*1000)</f>
        <v>102.58251013690169</v>
      </c>
      <c r="N30" s="87">
        <f>IF(N8=0,0,N8/TrAvia_act!N6*1000)</f>
        <v>86.918684921679656</v>
      </c>
      <c r="O30" s="87">
        <f>IF(O8=0,0,O8/TrAvia_act!O6*1000)</f>
        <v>72.879842192612557</v>
      </c>
      <c r="P30" s="87">
        <f>IF(P8=0,0,P8/TrAvia_act!P6*1000)</f>
        <v>82.241689792886731</v>
      </c>
      <c r="Q30" s="87">
        <f>IF(Q8=0,0,Q8/TrAvia_act!Q6*1000)</f>
        <v>90.398689858445977</v>
      </c>
      <c r="R30" s="87">
        <f>IF(R8=0,0,R8/TrAvia_act!R6*1000)</f>
        <v>94.444735396802429</v>
      </c>
      <c r="S30" s="87">
        <f>IF(S8=0,0,S8/TrAvia_act!S6*1000)</f>
        <v>104.38966388361504</v>
      </c>
      <c r="T30" s="87">
        <f>IF(T8=0,0,T8/TrAvia_act!T6*1000)</f>
        <v>120.95359568253174</v>
      </c>
      <c r="U30" s="87">
        <f>IF(U8=0,0,U8/TrAvia_act!U6*1000)</f>
        <v>118.30874954459846</v>
      </c>
      <c r="V30" s="87">
        <f>IF(V8=0,0,V8/TrAvia_act!V6*1000)</f>
        <v>93.559207082056005</v>
      </c>
      <c r="W30" s="87">
        <f>IF(W8=0,0,W8/TrAvia_act!W6*1000)</f>
        <v>100.59158330187964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135.27085671153128</v>
      </c>
      <c r="C31" s="87">
        <f>IF(C9=0,0,C9/TrAvia_act!C7*1000)</f>
        <v>139.15006531217776</v>
      </c>
      <c r="D31" s="87">
        <f>IF(D9=0,0,D9/TrAvia_act!D7*1000)</f>
        <v>137.8177485682005</v>
      </c>
      <c r="E31" s="87">
        <f>IF(E9=0,0,E9/TrAvia_act!E7*1000)</f>
        <v>129.92439434918717</v>
      </c>
      <c r="F31" s="87">
        <f>IF(F9=0,0,F9/TrAvia_act!F7*1000)</f>
        <v>132.74686525727245</v>
      </c>
      <c r="G31" s="87">
        <f>IF(G9=0,0,G9/TrAvia_act!G7*1000)</f>
        <v>95.524568217339805</v>
      </c>
      <c r="H31" s="87">
        <f>IF(H9=0,0,H9/TrAvia_act!H7*1000)</f>
        <v>82.369290960621157</v>
      </c>
      <c r="I31" s="87">
        <f>IF(I9=0,0,I9/TrAvia_act!I7*1000)</f>
        <v>63.48338421972592</v>
      </c>
      <c r="J31" s="87">
        <f>IF(J9=0,0,J9/TrAvia_act!J7*1000)</f>
        <v>52.263765387360237</v>
      </c>
      <c r="K31" s="87">
        <f>IF(K9=0,0,K9/TrAvia_act!K7*1000)</f>
        <v>64.08345778422904</v>
      </c>
      <c r="L31" s="87">
        <f>IF(L9=0,0,L9/TrAvia_act!L7*1000)</f>
        <v>64.027374921509704</v>
      </c>
      <c r="M31" s="87">
        <f>IF(M9=0,0,M9/TrAvia_act!M7*1000)</f>
        <v>62.790271809687809</v>
      </c>
      <c r="N31" s="87">
        <f>IF(N9=0,0,N9/TrAvia_act!N7*1000)</f>
        <v>71.267813354770681</v>
      </c>
      <c r="O31" s="87">
        <f>IF(O9=0,0,O9/TrAvia_act!O7*1000)</f>
        <v>65.025516555473715</v>
      </c>
      <c r="P31" s="87">
        <f>IF(P9=0,0,P9/TrAvia_act!P7*1000)</f>
        <v>66.39874032302707</v>
      </c>
      <c r="Q31" s="87">
        <f>IF(Q9=0,0,Q9/TrAvia_act!Q7*1000)</f>
        <v>72.223260670825994</v>
      </c>
      <c r="R31" s="87">
        <f>IF(R9=0,0,R9/TrAvia_act!R7*1000)</f>
        <v>87.704778924163449</v>
      </c>
      <c r="S31" s="87">
        <f>IF(S9=0,0,S9/TrAvia_act!S7*1000)</f>
        <v>87.237390800993552</v>
      </c>
      <c r="T31" s="87">
        <f>IF(T9=0,0,T9/TrAvia_act!T7*1000)</f>
        <v>91.3334663632412</v>
      </c>
      <c r="U31" s="87">
        <f>IF(U9=0,0,U9/TrAvia_act!U7*1000)</f>
        <v>84.136089046082773</v>
      </c>
      <c r="V31" s="87">
        <f>IF(V9=0,0,V9/TrAvia_act!V7*1000)</f>
        <v>109.35942950438881</v>
      </c>
      <c r="W31" s="87">
        <f>IF(W9=0,0,W9/TrAvia_act!W7*1000)</f>
        <v>87.335637057156873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108.81344712552513</v>
      </c>
      <c r="C32" s="15">
        <f>IF(C10=0,0,C10/TrAvia_act!C8*1000)</f>
        <v>107.41979588236585</v>
      </c>
      <c r="D32" s="15">
        <f>IF(D10=0,0,D10/TrAvia_act!D8*1000)</f>
        <v>114.64305876706297</v>
      </c>
      <c r="E32" s="15">
        <f>IF(E10=0,0,E10/TrAvia_act!E8*1000)</f>
        <v>121.60817403316156</v>
      </c>
      <c r="F32" s="15">
        <f>IF(F10=0,0,F10/TrAvia_act!F8*1000)</f>
        <v>131.02409706819904</v>
      </c>
      <c r="G32" s="15">
        <f>IF(G10=0,0,G10/TrAvia_act!G8*1000)</f>
        <v>132.58897318800589</v>
      </c>
      <c r="H32" s="15">
        <f>IF(H10=0,0,H10/TrAvia_act!H8*1000)</f>
        <v>121.16418464317138</v>
      </c>
      <c r="I32" s="15">
        <f>IF(I10=0,0,I10/TrAvia_act!I8*1000)</f>
        <v>103.38459055228829</v>
      </c>
      <c r="J32" s="15">
        <f>IF(J10=0,0,J10/TrAvia_act!J8*1000)</f>
        <v>92.842259751528744</v>
      </c>
      <c r="K32" s="15">
        <f>IF(K10=0,0,K10/TrAvia_act!K8*1000)</f>
        <v>94.668276345431551</v>
      </c>
      <c r="L32" s="15">
        <f>IF(L10=0,0,L10/TrAvia_act!L8*1000)</f>
        <v>90.463246398907586</v>
      </c>
      <c r="M32" s="15">
        <f>IF(M10=0,0,M10/TrAvia_act!M8*1000)</f>
        <v>86.600706843270189</v>
      </c>
      <c r="N32" s="15">
        <f>IF(N10=0,0,N10/TrAvia_act!N8*1000)</f>
        <v>89.764683420699853</v>
      </c>
      <c r="O32" s="15">
        <f>IF(O10=0,0,O10/TrAvia_act!O8*1000)</f>
        <v>88.204803971368065</v>
      </c>
      <c r="P32" s="15">
        <f>IF(P10=0,0,P10/TrAvia_act!P8*1000)</f>
        <v>84.80455797871771</v>
      </c>
      <c r="Q32" s="15">
        <f>IF(Q10=0,0,Q10/TrAvia_act!Q8*1000)</f>
        <v>85.763064406491395</v>
      </c>
      <c r="R32" s="15">
        <f>IF(R10=0,0,R10/TrAvia_act!R8*1000)</f>
        <v>83.589937963533387</v>
      </c>
      <c r="S32" s="15">
        <f>IF(S10=0,0,S10/TrAvia_act!S8*1000)</f>
        <v>79.564460341645017</v>
      </c>
      <c r="T32" s="15">
        <f>IF(T10=0,0,T10/TrAvia_act!T8*1000)</f>
        <v>72.462741935916156</v>
      </c>
      <c r="U32" s="15">
        <f>IF(U10=0,0,U10/TrAvia_act!U8*1000)</f>
        <v>64.912290228799762</v>
      </c>
      <c r="V32" s="15">
        <f>IF(V10=0,0,V10/TrAvia_act!V8*1000)</f>
        <v>86.905173632100613</v>
      </c>
      <c r="W32" s="15">
        <f>IF(W10=0,0,W10/TrAvia_act!W8*1000)</f>
        <v>85.910565922549381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350.69762816193042</v>
      </c>
      <c r="C34" s="101">
        <f>IF(C12=0,0,C12/TrAvia_act!C10*1000)</f>
        <v>273.18263184962763</v>
      </c>
      <c r="D34" s="101">
        <f>IF(D12=0,0,D12/TrAvia_act!D10*1000)</f>
        <v>218.18278290329999</v>
      </c>
      <c r="E34" s="101">
        <f>IF(E12=0,0,E12/TrAvia_act!E10*1000)</f>
        <v>214.38290119584863</v>
      </c>
      <c r="F34" s="101">
        <f>IF(F12=0,0,F12/TrAvia_act!F10*1000)</f>
        <v>254.82156727221695</v>
      </c>
      <c r="G34" s="101">
        <f>IF(G12=0,0,G12/TrAvia_act!G10*1000)</f>
        <v>231.51090824907416</v>
      </c>
      <c r="H34" s="101">
        <f>IF(H12=0,0,H12/TrAvia_act!H10*1000)</f>
        <v>218.00031928089584</v>
      </c>
      <c r="I34" s="101">
        <f>IF(I12=0,0,I12/TrAvia_act!I10*1000)</f>
        <v>263.90230679824816</v>
      </c>
      <c r="J34" s="101">
        <f>IF(J12=0,0,J12/TrAvia_act!J10*1000)</f>
        <v>264.55649942849982</v>
      </c>
      <c r="K34" s="101">
        <f>IF(K12=0,0,K12/TrAvia_act!K10*1000)</f>
        <v>340.23291887101698</v>
      </c>
      <c r="L34" s="101">
        <f>IF(L12=0,0,L12/TrAvia_act!L10*1000)</f>
        <v>363.52684726883473</v>
      </c>
      <c r="M34" s="101">
        <f>IF(M12=0,0,M12/TrAvia_act!M10*1000)</f>
        <v>248.10258271415142</v>
      </c>
      <c r="N34" s="101">
        <f>IF(N12=0,0,N12/TrAvia_act!N10*1000)</f>
        <v>208.74526436837473</v>
      </c>
      <c r="O34" s="101">
        <f>IF(O12=0,0,O12/TrAvia_act!O10*1000)</f>
        <v>201.26520266658457</v>
      </c>
      <c r="P34" s="101">
        <f>IF(P12=0,0,P12/TrAvia_act!P10*1000)</f>
        <v>218.86695765946354</v>
      </c>
      <c r="Q34" s="101">
        <f>IF(Q12=0,0,Q12/TrAvia_act!Q10*1000)</f>
        <v>277.09625098930366</v>
      </c>
      <c r="R34" s="101">
        <f>IF(R12=0,0,R12/TrAvia_act!R10*1000)</f>
        <v>271.93973927410303</v>
      </c>
      <c r="S34" s="101">
        <f>IF(S12=0,0,S12/TrAvia_act!S10*1000)</f>
        <v>392.24712765963278</v>
      </c>
      <c r="T34" s="101">
        <f>IF(T12=0,0,T12/TrAvia_act!T10*1000)</f>
        <v>434.4066995499021</v>
      </c>
      <c r="U34" s="101">
        <f>IF(U12=0,0,U12/TrAvia_act!U10*1000)</f>
        <v>488.87503714632061</v>
      </c>
      <c r="V34" s="101">
        <f>IF(V12=0,0,V12/TrAvia_act!V10*1000)</f>
        <v>386.18390361263886</v>
      </c>
      <c r="W34" s="101">
        <f>IF(W12=0,0,W12/TrAvia_act!W10*1000)</f>
        <v>472.11360767204047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104.71655451778855</v>
      </c>
      <c r="C35" s="88">
        <f>IF(C13=0,0,C13/TrAvia_act!C11*1000)</f>
        <v>106.01229334334755</v>
      </c>
      <c r="D35" s="88">
        <f>IF(D13=0,0,D13/TrAvia_act!D11*1000)</f>
        <v>113.89559198014452</v>
      </c>
      <c r="E35" s="88">
        <f>IF(E13=0,0,E13/TrAvia_act!E11*1000)</f>
        <v>120.47670767855357</v>
      </c>
      <c r="F35" s="88">
        <f>IF(F13=0,0,F13/TrAvia_act!F11*1000)</f>
        <v>129.82335395444633</v>
      </c>
      <c r="G35" s="88">
        <f>IF(G13=0,0,G13/TrAvia_act!G11*1000)</f>
        <v>131.47002147266289</v>
      </c>
      <c r="H35" s="88">
        <f>IF(H13=0,0,H13/TrAvia_act!H11*1000)</f>
        <v>120.56950280867746</v>
      </c>
      <c r="I35" s="88">
        <f>IF(I13=0,0,I13/TrAvia_act!I11*1000)</f>
        <v>102.30582442116562</v>
      </c>
      <c r="J35" s="88">
        <f>IF(J13=0,0,J13/TrAvia_act!J11*1000)</f>
        <v>91.441189874690465</v>
      </c>
      <c r="K35" s="88">
        <f>IF(K13=0,0,K13/TrAvia_act!K11*1000)</f>
        <v>92.840709815405233</v>
      </c>
      <c r="L35" s="88">
        <f>IF(L13=0,0,L13/TrAvia_act!L11*1000)</f>
        <v>88.322557896106645</v>
      </c>
      <c r="M35" s="88">
        <f>IF(M13=0,0,M13/TrAvia_act!M11*1000)</f>
        <v>85.643876041195369</v>
      </c>
      <c r="N35" s="88">
        <f>IF(N13=0,0,N13/TrAvia_act!N11*1000)</f>
        <v>88.900703925327704</v>
      </c>
      <c r="O35" s="88">
        <f>IF(O13=0,0,O13/TrAvia_act!O11*1000)</f>
        <v>87.309456842128142</v>
      </c>
      <c r="P35" s="88">
        <f>IF(P13=0,0,P13/TrAvia_act!P11*1000)</f>
        <v>83.675807906970263</v>
      </c>
      <c r="Q35" s="88">
        <f>IF(Q13=0,0,Q13/TrAvia_act!Q11*1000)</f>
        <v>84.490780645497154</v>
      </c>
      <c r="R35" s="88">
        <f>IF(R13=0,0,R13/TrAvia_act!R11*1000)</f>
        <v>82.582752049381995</v>
      </c>
      <c r="S35" s="88">
        <f>IF(S13=0,0,S13/TrAvia_act!S11*1000)</f>
        <v>77.7596985840228</v>
      </c>
      <c r="T35" s="88">
        <f>IF(T13=0,0,T13/TrAvia_act!T11*1000)</f>
        <v>70.567920692402083</v>
      </c>
      <c r="U35" s="88">
        <f>IF(U13=0,0,U13/TrAvia_act!U11*1000)</f>
        <v>62.831074200983359</v>
      </c>
      <c r="V35" s="88">
        <f>IF(V13=0,0,V13/TrAvia_act!V11*1000)</f>
        <v>85.623124543284618</v>
      </c>
      <c r="W35" s="88">
        <f>IF(W13=0,0,W13/TrAvia_act!W11*1000)</f>
        <v>84.060653607919122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15346.900621123628</v>
      </c>
      <c r="C37" s="62">
        <f>IF(C3=0,0,C3/TrAvia_act!C23*1000000)</f>
        <v>15955.653983478431</v>
      </c>
      <c r="D37" s="62">
        <f>IF(D3=0,0,D3/TrAvia_act!D23*1000000)</f>
        <v>16039.490008815605</v>
      </c>
      <c r="E37" s="62">
        <f>IF(E3=0,0,E3/TrAvia_act!E23*1000000)</f>
        <v>15722.469489852772</v>
      </c>
      <c r="F37" s="62">
        <f>IF(F3=0,0,F3/TrAvia_act!F23*1000000)</f>
        <v>16089.145782442765</v>
      </c>
      <c r="G37" s="62">
        <f>IF(G3=0,0,G3/TrAvia_act!G23*1000000)</f>
        <v>16007.313197893191</v>
      </c>
      <c r="H37" s="62">
        <f>IF(H3=0,0,H3/TrAvia_act!H23*1000000)</f>
        <v>14779.845408489515</v>
      </c>
      <c r="I37" s="62">
        <f>IF(I3=0,0,I3/TrAvia_act!I23*1000000)</f>
        <v>15441.901587849956</v>
      </c>
      <c r="J37" s="62">
        <f>IF(J3=0,0,J3/TrAvia_act!J23*1000000)</f>
        <v>14714.101461736887</v>
      </c>
      <c r="K37" s="62">
        <f>IF(K3=0,0,K3/TrAvia_act!K23*1000000)</f>
        <v>16397.471635593396</v>
      </c>
      <c r="L37" s="62">
        <f>IF(L3=0,0,L3/TrAvia_act!L23*1000000)</f>
        <v>16773.79326098393</v>
      </c>
      <c r="M37" s="62">
        <f>IF(M3=0,0,M3/TrAvia_act!M23*1000000)</f>
        <v>14900.944991125181</v>
      </c>
      <c r="N37" s="62">
        <f>IF(N3=0,0,N3/TrAvia_act!N23*1000000)</f>
        <v>13828.963332122326</v>
      </c>
      <c r="O37" s="62">
        <f>IF(O3=0,0,O3/TrAvia_act!O23*1000000)</f>
        <v>13439.682313232512</v>
      </c>
      <c r="P37" s="62">
        <f>IF(P3=0,0,P3/TrAvia_act!P23*1000000)</f>
        <v>14524.98550260953</v>
      </c>
      <c r="Q37" s="62">
        <f>IF(Q3=0,0,Q3/TrAvia_act!Q23*1000000)</f>
        <v>16098.65099756927</v>
      </c>
      <c r="R37" s="62">
        <f>IF(R3=0,0,R3/TrAvia_act!R23*1000000)</f>
        <v>17286.840440069122</v>
      </c>
      <c r="S37" s="62">
        <f>IF(S3=0,0,S3/TrAvia_act!S23*1000000)</f>
        <v>17979.437214781003</v>
      </c>
      <c r="T37" s="62">
        <f>IF(T3=0,0,T3/TrAvia_act!T23*1000000)</f>
        <v>18077.878828354293</v>
      </c>
      <c r="U37" s="62">
        <f>IF(U3=0,0,U3/TrAvia_act!U23*1000000)</f>
        <v>17461.234848533702</v>
      </c>
      <c r="V37" s="62">
        <f>IF(V3=0,0,V3/TrAvia_act!V23*1000000)</f>
        <v>26326.883969592847</v>
      </c>
      <c r="W37" s="62">
        <f>IF(W3=0,0,W3/TrAvia_act!W23*1000000)</f>
        <v>26150.309800995296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3955.6694322123826</v>
      </c>
      <c r="C38" s="14">
        <f>IF(C6=0,0,C6/TrAvia_act!C24*1000000)</f>
        <v>4194.7861874468354</v>
      </c>
      <c r="D38" s="14">
        <f>IF(D6=0,0,D6/TrAvia_act!D24*1000000)</f>
        <v>4255.8604790880736</v>
      </c>
      <c r="E38" s="14">
        <f>IF(E6=0,0,E6/TrAvia_act!E24*1000000)</f>
        <v>4090.8590865373535</v>
      </c>
      <c r="F38" s="14">
        <f>IF(F6=0,0,F6/TrAvia_act!F24*1000000)</f>
        <v>4278.7318324896605</v>
      </c>
      <c r="G38" s="14">
        <f>IF(G6=0,0,G6/TrAvia_act!G24*1000000)</f>
        <v>3835.8151327892979</v>
      </c>
      <c r="H38" s="14">
        <f>IF(H6=0,0,H6/TrAvia_act!H24*1000000)</f>
        <v>3595.2854755756803</v>
      </c>
      <c r="I38" s="14">
        <f>IF(I6=0,0,I6/TrAvia_act!I24*1000000)</f>
        <v>4403.1655003317801</v>
      </c>
      <c r="J38" s="14">
        <f>IF(J6=0,0,J6/TrAvia_act!J24*1000000)</f>
        <v>4421.4345325312652</v>
      </c>
      <c r="K38" s="14">
        <f>IF(K6=0,0,K6/TrAvia_act!K24*1000000)</f>
        <v>6166.6065860821109</v>
      </c>
      <c r="L38" s="14">
        <f>IF(L6=0,0,L6/TrAvia_act!L24*1000000)</f>
        <v>7165.313900264975</v>
      </c>
      <c r="M38" s="14">
        <f>IF(M6=0,0,M6/TrAvia_act!M24*1000000)</f>
        <v>5129.3347885014946</v>
      </c>
      <c r="N38" s="14">
        <f>IF(N6=0,0,N6/TrAvia_act!N24*1000000)</f>
        <v>4265.4282760322758</v>
      </c>
      <c r="O38" s="14">
        <f>IF(O6=0,0,O6/TrAvia_act!O24*1000000)</f>
        <v>4117.4170909214417</v>
      </c>
      <c r="P38" s="14">
        <f>IF(P6=0,0,P6/TrAvia_act!P24*1000000)</f>
        <v>5207.5921790074744</v>
      </c>
      <c r="Q38" s="14">
        <f>IF(Q6=0,0,Q6/TrAvia_act!Q24*1000000)</f>
        <v>6349.2432578770004</v>
      </c>
      <c r="R38" s="14">
        <f>IF(R6=0,0,R6/TrAvia_act!R24*1000000)</f>
        <v>7290.9363539813085</v>
      </c>
      <c r="S38" s="14">
        <f>IF(S6=0,0,S6/TrAvia_act!S24*1000000)</f>
        <v>9079.5732885399375</v>
      </c>
      <c r="T38" s="14">
        <f>IF(T6=0,0,T6/TrAvia_act!T24*1000000)</f>
        <v>10781.795805038671</v>
      </c>
      <c r="U38" s="14">
        <f>IF(U6=0,0,U6/TrAvia_act!U24*1000000)</f>
        <v>11090.525016523696</v>
      </c>
      <c r="V38" s="14">
        <f>IF(V6=0,0,V6/TrAvia_act!V24*1000000)</f>
        <v>9319.6610300211487</v>
      </c>
      <c r="W38" s="14">
        <f>IF(W6=0,0,W6/TrAvia_act!W24*1000000)</f>
        <v>12386.074965186752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3346.6097611076621</v>
      </c>
      <c r="C40" s="87">
        <f>IF(C8=0,0,C8/TrAvia_act!C26*1000000)</f>
        <v>3548.7636576392933</v>
      </c>
      <c r="D40" s="87">
        <f>IF(D8=0,0,D8/TrAvia_act!D26*1000000)</f>
        <v>3600.3864809025804</v>
      </c>
      <c r="E40" s="87">
        <f>IF(E8=0,0,E8/TrAvia_act!E26*1000000)</f>
        <v>3460.8480875932282</v>
      </c>
      <c r="F40" s="87">
        <f>IF(F8=0,0,F8/TrAvia_act!F26*1000000)</f>
        <v>3619.6437543456041</v>
      </c>
      <c r="G40" s="87">
        <f>IF(G8=0,0,G8/TrAvia_act!G26*1000000)</f>
        <v>3220.0618112297611</v>
      </c>
      <c r="H40" s="87">
        <f>IF(H8=0,0,H8/TrAvia_act!H26*1000000)</f>
        <v>3027.2433063858143</v>
      </c>
      <c r="I40" s="87">
        <f>IF(I8=0,0,I8/TrAvia_act!I26*1000000)</f>
        <v>3801.1767289352733</v>
      </c>
      <c r="J40" s="87">
        <f>IF(J8=0,0,J8/TrAvia_act!J26*1000000)</f>
        <v>3756.3971689296632</v>
      </c>
      <c r="K40" s="87">
        <f>IF(K8=0,0,K8/TrAvia_act!K26*1000000)</f>
        <v>5247.8603160913317</v>
      </c>
      <c r="L40" s="87">
        <f>IF(L8=0,0,L8/TrAvia_act!L26*1000000)</f>
        <v>6153.6252514505686</v>
      </c>
      <c r="M40" s="87">
        <f>IF(M8=0,0,M8/TrAvia_act!M26*1000000)</f>
        <v>4347.3186926242388</v>
      </c>
      <c r="N40" s="87">
        <f>IF(N8=0,0,N8/TrAvia_act!N26*1000000)</f>
        <v>3714.6429440604611</v>
      </c>
      <c r="O40" s="87">
        <f>IF(O8=0,0,O8/TrAvia_act!O26*1000000)</f>
        <v>3540.2199780158298</v>
      </c>
      <c r="P40" s="87">
        <f>IF(P8=0,0,P8/TrAvia_act!P26*1000000)</f>
        <v>4491.1881273592426</v>
      </c>
      <c r="Q40" s="87">
        <f>IF(Q8=0,0,Q8/TrAvia_act!Q26*1000000)</f>
        <v>5432.6900620555534</v>
      </c>
      <c r="R40" s="87">
        <f>IF(R8=0,0,R8/TrAvia_act!R26*1000000)</f>
        <v>6158.2595874078306</v>
      </c>
      <c r="S40" s="87">
        <f>IF(S8=0,0,S8/TrAvia_act!S26*1000000)</f>
        <v>7779.4653409419125</v>
      </c>
      <c r="T40" s="87">
        <f>IF(T8=0,0,T8/TrAvia_act!T26*1000000)</f>
        <v>9295.627146360659</v>
      </c>
      <c r="U40" s="87">
        <f>IF(U8=0,0,U8/TrAvia_act!U26*1000000)</f>
        <v>9519.7616219693828</v>
      </c>
      <c r="V40" s="87">
        <f>IF(V8=0,0,V8/TrAvia_act!V26*1000000)</f>
        <v>7227.5697717260273</v>
      </c>
      <c r="W40" s="87">
        <f>IF(W8=0,0,W8/TrAvia_act!W26*1000000)</f>
        <v>10171.017310230003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8933.7923365936149</v>
      </c>
      <c r="C41" s="87">
        <f>IF(C9=0,0,C9/TrAvia_act!C27*1000000)</f>
        <v>9474.5655288328853</v>
      </c>
      <c r="D41" s="87">
        <f>IF(D9=0,0,D9/TrAvia_act!D27*1000000)</f>
        <v>9613.3782371278558</v>
      </c>
      <c r="E41" s="87">
        <f>IF(E9=0,0,E9/TrAvia_act!E27*1000000)</f>
        <v>9241.1910602555672</v>
      </c>
      <c r="F41" s="87">
        <f>IF(F9=0,0,F9/TrAvia_act!F27*1000000)</f>
        <v>9666.1666045783004</v>
      </c>
      <c r="G41" s="87">
        <f>IF(G9=0,0,G9/TrAvia_act!G27*1000000)</f>
        <v>9453.3751729902851</v>
      </c>
      <c r="H41" s="87">
        <f>IF(H9=0,0,H9/TrAvia_act!H27*1000000)</f>
        <v>8709.3725398752231</v>
      </c>
      <c r="I41" s="87">
        <f>IF(I9=0,0,I9/TrAvia_act!I27*1000000)</f>
        <v>8918.3476525185906</v>
      </c>
      <c r="J41" s="87">
        <f>IF(J9=0,0,J9/TrAvia_act!J27*1000000)</f>
        <v>9398.7202226771078</v>
      </c>
      <c r="K41" s="87">
        <f>IF(K9=0,0,K9/TrAvia_act!K27*1000000)</f>
        <v>12141.558594254211</v>
      </c>
      <c r="L41" s="87">
        <f>IF(L9=0,0,L9/TrAvia_act!L27*1000000)</f>
        <v>13575.182625652898</v>
      </c>
      <c r="M41" s="87">
        <f>IF(M9=0,0,M9/TrAvia_act!M27*1000000)</f>
        <v>10399.403118215045</v>
      </c>
      <c r="N41" s="87">
        <f>IF(N9=0,0,N9/TrAvia_act!N27*1000000)</f>
        <v>7366.0586663547383</v>
      </c>
      <c r="O41" s="87">
        <f>IF(O9=0,0,O9/TrAvia_act!O27*1000000)</f>
        <v>7821.8133497904801</v>
      </c>
      <c r="P41" s="87">
        <f>IF(P9=0,0,P9/TrAvia_act!P27*1000000)</f>
        <v>9700.5220448884083</v>
      </c>
      <c r="Q41" s="87">
        <f>IF(Q9=0,0,Q9/TrAvia_act!Q27*1000000)</f>
        <v>12527.811673927175</v>
      </c>
      <c r="R41" s="87">
        <f>IF(R9=0,0,R9/TrAvia_act!R27*1000000)</f>
        <v>17105.216168654606</v>
      </c>
      <c r="S41" s="87">
        <f>IF(S9=0,0,S9/TrAvia_act!S27*1000000)</f>
        <v>20203.335200791971</v>
      </c>
      <c r="T41" s="87">
        <f>IF(T9=0,0,T9/TrAvia_act!T27*1000000)</f>
        <v>22277.874595801291</v>
      </c>
      <c r="U41" s="87">
        <f>IF(U9=0,0,U9/TrAvia_act!U27*1000000)</f>
        <v>22865.774943993438</v>
      </c>
      <c r="V41" s="87">
        <f>IF(V9=0,0,V9/TrAvia_act!V27*1000000)</f>
        <v>33192.169632011748</v>
      </c>
      <c r="W41" s="87">
        <f>IF(W9=0,0,W9/TrAvia_act!W27*1000000)</f>
        <v>32679.424292631313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43351.050612589315</v>
      </c>
      <c r="C42" s="15">
        <f>IF(C10=0,0,C10/TrAvia_act!C28*1000000)</f>
        <v>49386.855745024768</v>
      </c>
      <c r="D42" s="15">
        <f>IF(D10=0,0,D10/TrAvia_act!D28*1000000)</f>
        <v>50346.309303774055</v>
      </c>
      <c r="E42" s="15">
        <f>IF(E10=0,0,E10/TrAvia_act!E28*1000000)</f>
        <v>47223.737676503682</v>
      </c>
      <c r="F42" s="15">
        <f>IF(F10=0,0,F10/TrAvia_act!F28*1000000)</f>
        <v>51161.101849020131</v>
      </c>
      <c r="G42" s="15">
        <f>IF(G10=0,0,G10/TrAvia_act!G28*1000000)</f>
        <v>48372.994310009715</v>
      </c>
      <c r="H42" s="15">
        <f>IF(H10=0,0,H10/TrAvia_act!H28*1000000)</f>
        <v>44742.400570244194</v>
      </c>
      <c r="I42" s="15">
        <f>IF(I10=0,0,I10/TrAvia_act!I28*1000000)</f>
        <v>39009.934370391813</v>
      </c>
      <c r="J42" s="15">
        <f>IF(J10=0,0,J10/TrAvia_act!J28*1000000)</f>
        <v>34563.08886530716</v>
      </c>
      <c r="K42" s="15">
        <f>IF(K10=0,0,K10/TrAvia_act!K28*1000000)</f>
        <v>39597.608485307654</v>
      </c>
      <c r="L42" s="15">
        <f>IF(L10=0,0,L10/TrAvia_act!L28*1000000)</f>
        <v>38260.395306610815</v>
      </c>
      <c r="M42" s="15">
        <f>IF(M10=0,0,M10/TrAvia_act!M28*1000000)</f>
        <v>40857.815804929691</v>
      </c>
      <c r="N42" s="15">
        <f>IF(N10=0,0,N10/TrAvia_act!N28*1000000)</f>
        <v>42619.337122438119</v>
      </c>
      <c r="O42" s="15">
        <f>IF(O10=0,0,O10/TrAvia_act!O28*1000000)</f>
        <v>39400.966847157993</v>
      </c>
      <c r="P42" s="15">
        <f>IF(P10=0,0,P10/TrAvia_act!P28*1000000)</f>
        <v>42955.257550028989</v>
      </c>
      <c r="Q42" s="15">
        <f>IF(Q10=0,0,Q10/TrAvia_act!Q28*1000000)</f>
        <v>45166.633065155977</v>
      </c>
      <c r="R42" s="15">
        <f>IF(R10=0,0,R10/TrAvia_act!R28*1000000)</f>
        <v>51158.530369069704</v>
      </c>
      <c r="S42" s="15">
        <f>IF(S10=0,0,S10/TrAvia_act!S28*1000000)</f>
        <v>48058.585111408953</v>
      </c>
      <c r="T42" s="15">
        <f>IF(T10=0,0,T10/TrAvia_act!T28*1000000)</f>
        <v>46550.295199364853</v>
      </c>
      <c r="U42" s="15">
        <f>IF(U10=0,0,U10/TrAvia_act!U28*1000000)</f>
        <v>45503.162705198367</v>
      </c>
      <c r="V42" s="15">
        <f>IF(V10=0,0,V10/TrAvia_act!V28*1000000)</f>
        <v>45472.197589937889</v>
      </c>
      <c r="W42" s="15">
        <f>IF(W10=0,0,W10/TrAvia_act!W28*1000000)</f>
        <v>42354.985068753092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9667.9876311573116</v>
      </c>
      <c r="C44" s="101">
        <f>IF(C12=0,0,C12/TrAvia_act!C30*1000000)</f>
        <v>6755.4271294985547</v>
      </c>
      <c r="D44" s="101">
        <f>IF(D12=0,0,D12/TrAvia_act!D30*1000000)</f>
        <v>4709.058948858602</v>
      </c>
      <c r="E44" s="101">
        <f>IF(E12=0,0,E12/TrAvia_act!E30*1000000)</f>
        <v>5799.2123682052679</v>
      </c>
      <c r="F44" s="101">
        <f>IF(F12=0,0,F12/TrAvia_act!F30*1000000)</f>
        <v>6770.8223254483528</v>
      </c>
      <c r="G44" s="101">
        <f>IF(G12=0,0,G12/TrAvia_act!G30*1000000)</f>
        <v>6078.5712813227419</v>
      </c>
      <c r="H44" s="101">
        <f>IF(H12=0,0,H12/TrAvia_act!H30*1000000)</f>
        <v>4308.2676234720002</v>
      </c>
      <c r="I44" s="101">
        <f>IF(I12=0,0,I12/TrAvia_act!I30*1000000)</f>
        <v>5107.9552972871543</v>
      </c>
      <c r="J44" s="101">
        <f>IF(J12=0,0,J12/TrAvia_act!J30*1000000)</f>
        <v>4791.0393761193291</v>
      </c>
      <c r="K44" s="101">
        <f>IF(K12=0,0,K12/TrAvia_act!K30*1000000)</f>
        <v>5467.0556179227679</v>
      </c>
      <c r="L44" s="101">
        <f>IF(L12=0,0,L12/TrAvia_act!L30*1000000)</f>
        <v>5327.0968354414463</v>
      </c>
      <c r="M44" s="101">
        <f>IF(M12=0,0,M12/TrAvia_act!M30*1000000)</f>
        <v>3722.6091914836061</v>
      </c>
      <c r="N44" s="101">
        <f>IF(N12=0,0,N12/TrAvia_act!N30*1000000)</f>
        <v>3241.5839529435211</v>
      </c>
      <c r="O44" s="101">
        <f>IF(O12=0,0,O12/TrAvia_act!O30*1000000)</f>
        <v>3218.3437745055771</v>
      </c>
      <c r="P44" s="101">
        <f>IF(P12=0,0,P12/TrAvia_act!P30*1000000)</f>
        <v>4280.0040966799479</v>
      </c>
      <c r="Q44" s="101">
        <f>IF(Q12=0,0,Q12/TrAvia_act!Q30*1000000)</f>
        <v>5419.4839453500754</v>
      </c>
      <c r="R44" s="101">
        <f>IF(R12=0,0,R12/TrAvia_act!R30*1000000)</f>
        <v>6121.7472230862868</v>
      </c>
      <c r="S44" s="101">
        <f>IF(S12=0,0,S12/TrAvia_act!S30*1000000)</f>
        <v>8704.6468577295254</v>
      </c>
      <c r="T44" s="101">
        <f>IF(T12=0,0,T12/TrAvia_act!T30*1000000)</f>
        <v>9900.3460813898364</v>
      </c>
      <c r="U44" s="101">
        <f>IF(U12=0,0,U12/TrAvia_act!U30*1000000)</f>
        <v>11625.428739399827</v>
      </c>
      <c r="V44" s="101">
        <f>IF(V12=0,0,V12/TrAvia_act!V30*1000000)</f>
        <v>8262.2492710239421</v>
      </c>
      <c r="W44" s="101">
        <f>IF(W12=0,0,W12/TrAvia_act!W30*1000000)</f>
        <v>10387.519374231293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54028.361426964817</v>
      </c>
      <c r="C45" s="88">
        <f>IF(C13=0,0,C13/TrAvia_act!C31*1000000)</f>
        <v>57298.763108526298</v>
      </c>
      <c r="D45" s="88">
        <f>IF(D13=0,0,D13/TrAvia_act!D31*1000000)</f>
        <v>58138.252419655299</v>
      </c>
      <c r="E45" s="88">
        <f>IF(E13=0,0,E13/TrAvia_act!E31*1000000)</f>
        <v>55887.398297137719</v>
      </c>
      <c r="F45" s="88">
        <f>IF(F13=0,0,F13/TrAvia_act!F31*1000000)</f>
        <v>58457.497471285817</v>
      </c>
      <c r="G45" s="88">
        <f>IF(G13=0,0,G13/TrAvia_act!G31*1000000)</f>
        <v>56155.872602764568</v>
      </c>
      <c r="H45" s="88">
        <f>IF(H13=0,0,H13/TrAvia_act!H31*1000000)</f>
        <v>49947.460846596812</v>
      </c>
      <c r="I45" s="88">
        <f>IF(I13=0,0,I13/TrAvia_act!I31*1000000)</f>
        <v>44082.020417996973</v>
      </c>
      <c r="J45" s="88">
        <f>IF(J13=0,0,J13/TrAvia_act!J31*1000000)</f>
        <v>40504.864155321899</v>
      </c>
      <c r="K45" s="88">
        <f>IF(K13=0,0,K13/TrAvia_act!K31*1000000)</f>
        <v>47723.417409212991</v>
      </c>
      <c r="L45" s="88">
        <f>IF(L13=0,0,L13/TrAvia_act!L31*1000000)</f>
        <v>47794.422124940895</v>
      </c>
      <c r="M45" s="88">
        <f>IF(M13=0,0,M13/TrAvia_act!M31*1000000)</f>
        <v>49298.195159544179</v>
      </c>
      <c r="N45" s="88">
        <f>IF(N13=0,0,N13/TrAvia_act!N31*1000000)</f>
        <v>53752.905644266175</v>
      </c>
      <c r="O45" s="88">
        <f>IF(O13=0,0,O13/TrAvia_act!O31*1000000)</f>
        <v>49575.752589171301</v>
      </c>
      <c r="P45" s="88">
        <f>IF(P13=0,0,P13/TrAvia_act!P31*1000000)</f>
        <v>53627.252769632614</v>
      </c>
      <c r="Q45" s="88">
        <f>IF(Q13=0,0,Q13/TrAvia_act!Q31*1000000)</f>
        <v>53766.101443717045</v>
      </c>
      <c r="R45" s="88">
        <f>IF(R13=0,0,R13/TrAvia_act!R31*1000000)</f>
        <v>58772.153506567418</v>
      </c>
      <c r="S45" s="88">
        <f>IF(S13=0,0,S13/TrAvia_act!S31*1000000)</f>
        <v>55343.508834948836</v>
      </c>
      <c r="T45" s="88">
        <f>IF(T13=0,0,T13/TrAvia_act!T31*1000000)</f>
        <v>52855.996138796523</v>
      </c>
      <c r="U45" s="88">
        <f>IF(U13=0,0,U13/TrAvia_act!U31*1000000)</f>
        <v>51202.278839235645</v>
      </c>
      <c r="V45" s="88">
        <f>IF(V13=0,0,V13/TrAvia_act!V31*1000000)</f>
        <v>49806.057155256596</v>
      </c>
      <c r="W45" s="88">
        <f>IF(W13=0,0,W13/TrAvia_act!W31*1000000)</f>
        <v>46178.141039579059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0.18322148491219337</v>
      </c>
      <c r="C48" s="16">
        <f t="shared" si="35"/>
        <v>0.19448449258459841</v>
      </c>
      <c r="D48" s="16">
        <f t="shared" ref="D48:V48" si="36">IF(D6=0,0,D6/D$3)</f>
        <v>0.1974996563477317</v>
      </c>
      <c r="E48" s="16">
        <f t="shared" si="36"/>
        <v>0.19002614348865424</v>
      </c>
      <c r="F48" s="16">
        <f t="shared" si="36"/>
        <v>0.19894476311966941</v>
      </c>
      <c r="G48" s="16">
        <f t="shared" si="36"/>
        <v>0.17414109448546</v>
      </c>
      <c r="H48" s="16">
        <f t="shared" si="36"/>
        <v>0.17713441360602444</v>
      </c>
      <c r="I48" s="16">
        <f t="shared" si="36"/>
        <v>0.19418984285038357</v>
      </c>
      <c r="J48" s="16">
        <f t="shared" si="36"/>
        <v>0.19787946321042782</v>
      </c>
      <c r="K48" s="16">
        <f t="shared" si="36"/>
        <v>0.26098197208680196</v>
      </c>
      <c r="L48" s="16">
        <f t="shared" si="36"/>
        <v>0.29517527536765609</v>
      </c>
      <c r="M48" s="16">
        <f t="shared" si="36"/>
        <v>0.25008348778418887</v>
      </c>
      <c r="N48" s="16">
        <f t="shared" si="36"/>
        <v>0.23153182243800854</v>
      </c>
      <c r="O48" s="16">
        <f t="shared" si="36"/>
        <v>0.22541860893387253</v>
      </c>
      <c r="P48" s="16">
        <f t="shared" si="36"/>
        <v>0.27003010016544216</v>
      </c>
      <c r="Q48" s="16">
        <f t="shared" si="36"/>
        <v>0.29533916033579799</v>
      </c>
      <c r="R48" s="16">
        <f t="shared" si="36"/>
        <v>0.32565723652079842</v>
      </c>
      <c r="S48" s="16">
        <f t="shared" si="36"/>
        <v>0.38969429618048257</v>
      </c>
      <c r="T48" s="16">
        <f t="shared" si="36"/>
        <v>0.4747524744485897</v>
      </c>
      <c r="U48" s="16">
        <f t="shared" si="36"/>
        <v>0.5175675719036128</v>
      </c>
      <c r="V48" s="16">
        <f t="shared" si="36"/>
        <v>0.18746680091209408</v>
      </c>
      <c r="W48" s="16">
        <f t="shared" ref="W48" si="37">IF(W6=0,0,W6/W$3)</f>
        <v>0.256109830876461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0.13811289608998695</v>
      </c>
      <c r="C50" s="103">
        <f t="shared" si="41"/>
        <v>0.14659557841042026</v>
      </c>
      <c r="D50" s="103">
        <f t="shared" ref="D50:V50" si="42">IF(D8=0,0,D8/D$3)</f>
        <v>0.14886791144613962</v>
      </c>
      <c r="E50" s="103">
        <f t="shared" si="42"/>
        <v>0.14323956270073099</v>
      </c>
      <c r="F50" s="103">
        <f t="shared" si="42"/>
        <v>0.14995453324132482</v>
      </c>
      <c r="G50" s="103">
        <f t="shared" si="42"/>
        <v>0.13174573732290365</v>
      </c>
      <c r="H50" s="103">
        <f t="shared" si="42"/>
        <v>0.1342375142862556</v>
      </c>
      <c r="I50" s="103">
        <f t="shared" si="42"/>
        <v>0.14791932438194264</v>
      </c>
      <c r="J50" s="103">
        <f t="shared" si="42"/>
        <v>0.14830085348758962</v>
      </c>
      <c r="K50" s="103">
        <f t="shared" si="42"/>
        <v>0.19249909087582054</v>
      </c>
      <c r="L50" s="103">
        <f t="shared" si="42"/>
        <v>0.21894240629462089</v>
      </c>
      <c r="M50" s="103">
        <f t="shared" si="42"/>
        <v>0.18456813270822978</v>
      </c>
      <c r="N50" s="103">
        <f t="shared" si="42"/>
        <v>0.17121974265425535</v>
      </c>
      <c r="O50" s="103">
        <f t="shared" si="42"/>
        <v>0.16769000147736071</v>
      </c>
      <c r="P50" s="103">
        <f t="shared" si="42"/>
        <v>0.20085558001577666</v>
      </c>
      <c r="Q50" s="103">
        <f t="shared" si="42"/>
        <v>0.22006045908285699</v>
      </c>
      <c r="R50" s="103">
        <f t="shared" si="42"/>
        <v>0.24660419389145938</v>
      </c>
      <c r="S50" s="103">
        <f t="shared" si="42"/>
        <v>0.29895316272372136</v>
      </c>
      <c r="T50" s="103">
        <f t="shared" si="42"/>
        <v>0.36245548719891185</v>
      </c>
      <c r="U50" s="103">
        <f t="shared" si="42"/>
        <v>0.39197611613257699</v>
      </c>
      <c r="V50" s="103">
        <f t="shared" si="42"/>
        <v>0.13366969861700098</v>
      </c>
      <c r="W50" s="103">
        <f t="shared" ref="W50" si="43">IF(W8=0,0,W8/W$3)</f>
        <v>0.18961204000343274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4.5108588822206412E-2</v>
      </c>
      <c r="C51" s="103">
        <f t="shared" si="44"/>
        <v>4.7888914174178149E-2</v>
      </c>
      <c r="D51" s="103">
        <f t="shared" ref="D51:V51" si="45">IF(D9=0,0,D9/D$3)</f>
        <v>4.8631744901592062E-2</v>
      </c>
      <c r="E51" s="103">
        <f t="shared" si="45"/>
        <v>4.6786580787923263E-2</v>
      </c>
      <c r="F51" s="103">
        <f t="shared" si="45"/>
        <v>4.8990229878344588E-2</v>
      </c>
      <c r="G51" s="103">
        <f t="shared" si="45"/>
        <v>4.239535716255638E-2</v>
      </c>
      <c r="H51" s="103">
        <f t="shared" si="45"/>
        <v>4.2896899319768846E-2</v>
      </c>
      <c r="I51" s="103">
        <f t="shared" si="45"/>
        <v>4.6270518468440942E-2</v>
      </c>
      <c r="J51" s="103">
        <f t="shared" si="45"/>
        <v>4.9578609722838209E-2</v>
      </c>
      <c r="K51" s="103">
        <f t="shared" si="45"/>
        <v>6.8482881210981422E-2</v>
      </c>
      <c r="L51" s="103">
        <f t="shared" si="45"/>
        <v>7.6232869073035184E-2</v>
      </c>
      <c r="M51" s="103">
        <f t="shared" si="45"/>
        <v>6.5515355075959042E-2</v>
      </c>
      <c r="N51" s="103">
        <f t="shared" si="45"/>
        <v>6.031207978375322E-2</v>
      </c>
      <c r="O51" s="103">
        <f t="shared" si="45"/>
        <v>5.7728607456511823E-2</v>
      </c>
      <c r="P51" s="103">
        <f t="shared" si="45"/>
        <v>6.9174520149665492E-2</v>
      </c>
      <c r="Q51" s="103">
        <f t="shared" si="45"/>
        <v>7.5278701252941019E-2</v>
      </c>
      <c r="R51" s="103">
        <f t="shared" si="45"/>
        <v>7.9053042629339043E-2</v>
      </c>
      <c r="S51" s="103">
        <f t="shared" si="45"/>
        <v>9.0741133456761242E-2</v>
      </c>
      <c r="T51" s="103">
        <f t="shared" si="45"/>
        <v>0.11229698724967785</v>
      </c>
      <c r="U51" s="103">
        <f t="shared" si="45"/>
        <v>0.12559145577103575</v>
      </c>
      <c r="V51" s="103">
        <f t="shared" si="45"/>
        <v>5.3797102295093102E-2</v>
      </c>
      <c r="W51" s="103">
        <f t="shared" ref="W51" si="46">IF(W9=0,0,W9/W$3)</f>
        <v>6.649779087302829E-2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0.81677851508780674</v>
      </c>
      <c r="C52" s="17">
        <f t="shared" si="47"/>
        <v>0.80551550741540157</v>
      </c>
      <c r="D52" s="17">
        <f t="shared" ref="D52:V52" si="48">IF(D10=0,0,D10/D$3)</f>
        <v>0.80250034365226841</v>
      </c>
      <c r="E52" s="17">
        <f t="shared" si="48"/>
        <v>0.80997385651134579</v>
      </c>
      <c r="F52" s="17">
        <f t="shared" si="48"/>
        <v>0.80105523688033053</v>
      </c>
      <c r="G52" s="17">
        <f t="shared" si="48"/>
        <v>0.82585890551454</v>
      </c>
      <c r="H52" s="17">
        <f t="shared" si="48"/>
        <v>0.82286558639397545</v>
      </c>
      <c r="I52" s="17">
        <f t="shared" si="48"/>
        <v>0.80581015714961635</v>
      </c>
      <c r="J52" s="17">
        <f t="shared" si="48"/>
        <v>0.80212053678957218</v>
      </c>
      <c r="K52" s="17">
        <f t="shared" si="48"/>
        <v>0.73901802791319804</v>
      </c>
      <c r="L52" s="17">
        <f t="shared" si="48"/>
        <v>0.70482472463234391</v>
      </c>
      <c r="M52" s="17">
        <f t="shared" si="48"/>
        <v>0.74991651221581124</v>
      </c>
      <c r="N52" s="17">
        <f t="shared" si="48"/>
        <v>0.76846817756199137</v>
      </c>
      <c r="O52" s="17">
        <f t="shared" si="48"/>
        <v>0.77458139106612744</v>
      </c>
      <c r="P52" s="17">
        <f t="shared" si="48"/>
        <v>0.72996989983455784</v>
      </c>
      <c r="Q52" s="17">
        <f t="shared" si="48"/>
        <v>0.70466083966420212</v>
      </c>
      <c r="R52" s="17">
        <f t="shared" si="48"/>
        <v>0.67434276347920163</v>
      </c>
      <c r="S52" s="17">
        <f t="shared" si="48"/>
        <v>0.61030570381951743</v>
      </c>
      <c r="T52" s="17">
        <f t="shared" si="48"/>
        <v>0.5252475255514103</v>
      </c>
      <c r="U52" s="17">
        <f t="shared" si="48"/>
        <v>0.48243242809638731</v>
      </c>
      <c r="V52" s="17">
        <f t="shared" si="48"/>
        <v>0.81253319908790589</v>
      </c>
      <c r="W52" s="17">
        <f t="shared" ref="W52" si="49">IF(W10=0,0,W10/W$3)</f>
        <v>0.74389016912353911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4.384372575271378E-2</v>
      </c>
      <c r="C54" s="104">
        <f t="shared" si="53"/>
        <v>1.7247757310128339E-2</v>
      </c>
      <c r="D54" s="104">
        <f t="shared" ref="D54:V54" si="54">IF(D12=0,0,D12/D$3)</f>
        <v>1.0946590438454867E-2</v>
      </c>
      <c r="E54" s="104">
        <f t="shared" si="54"/>
        <v>1.7204647747114596E-2</v>
      </c>
      <c r="F54" s="104">
        <f t="shared" si="54"/>
        <v>1.4965587489641233E-2</v>
      </c>
      <c r="G54" s="104">
        <f t="shared" si="54"/>
        <v>1.6128861827636787E-2</v>
      </c>
      <c r="H54" s="104">
        <f t="shared" si="54"/>
        <v>9.0364967314802615E-3</v>
      </c>
      <c r="I54" s="104">
        <f t="shared" si="54"/>
        <v>1.3731421919868991E-2</v>
      </c>
      <c r="J54" s="104">
        <f t="shared" si="54"/>
        <v>1.8498507407973364E-2</v>
      </c>
      <c r="K54" s="104">
        <f t="shared" si="54"/>
        <v>1.9620680744181971E-2</v>
      </c>
      <c r="L54" s="104">
        <f t="shared" si="54"/>
        <v>2.2031482881437844E-2</v>
      </c>
      <c r="M54" s="104">
        <f t="shared" si="54"/>
        <v>1.2653623869064623E-2</v>
      </c>
      <c r="N54" s="104">
        <f t="shared" si="54"/>
        <v>1.2883151825935543E-2</v>
      </c>
      <c r="O54" s="104">
        <f t="shared" si="54"/>
        <v>1.3886689739553454E-2</v>
      </c>
      <c r="P54" s="104">
        <f t="shared" si="54"/>
        <v>1.5729520654674624E-2</v>
      </c>
      <c r="Q54" s="104">
        <f t="shared" si="54"/>
        <v>1.5039239060534206E-2</v>
      </c>
      <c r="R54" s="104">
        <f t="shared" si="54"/>
        <v>1.1668839961949637E-2</v>
      </c>
      <c r="S54" s="104">
        <f t="shared" si="54"/>
        <v>1.7266514156099099E-2</v>
      </c>
      <c r="T54" s="104">
        <f t="shared" si="54"/>
        <v>1.6398534047976705E-2</v>
      </c>
      <c r="U54" s="104">
        <f t="shared" si="54"/>
        <v>1.7748847928250468E-2</v>
      </c>
      <c r="V54" s="104">
        <f t="shared" si="54"/>
        <v>1.5401463745412014E-2</v>
      </c>
      <c r="W54" s="104">
        <f t="shared" ref="W54" si="55">IF(W12=0,0,W12/W$3)</f>
        <v>1.9488073425111909E-2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0.77293478933509296</v>
      </c>
      <c r="C55" s="105">
        <f t="shared" si="56"/>
        <v>0.78826775010527328</v>
      </c>
      <c r="D55" s="105">
        <f t="shared" ref="D55:V55" si="57">IF(D13=0,0,D13/D$3)</f>
        <v>0.79155375321381349</v>
      </c>
      <c r="E55" s="105">
        <f t="shared" si="57"/>
        <v>0.79276920876423118</v>
      </c>
      <c r="F55" s="105">
        <f t="shared" si="57"/>
        <v>0.78608964939068937</v>
      </c>
      <c r="G55" s="105">
        <f t="shared" si="57"/>
        <v>0.80973004368690327</v>
      </c>
      <c r="H55" s="105">
        <f t="shared" si="57"/>
        <v>0.81382908966249523</v>
      </c>
      <c r="I55" s="105">
        <f t="shared" si="57"/>
        <v>0.79207873522974737</v>
      </c>
      <c r="J55" s="105">
        <f t="shared" si="57"/>
        <v>0.78362202938159875</v>
      </c>
      <c r="K55" s="105">
        <f t="shared" si="57"/>
        <v>0.71939734716901604</v>
      </c>
      <c r="L55" s="105">
        <f t="shared" si="57"/>
        <v>0.68279324175090605</v>
      </c>
      <c r="M55" s="105">
        <f t="shared" si="57"/>
        <v>0.73726288834674658</v>
      </c>
      <c r="N55" s="105">
        <f t="shared" si="57"/>
        <v>0.7555850257360559</v>
      </c>
      <c r="O55" s="105">
        <f t="shared" si="57"/>
        <v>0.76069470132657402</v>
      </c>
      <c r="P55" s="105">
        <f t="shared" si="57"/>
        <v>0.71424037917988326</v>
      </c>
      <c r="Q55" s="105">
        <f t="shared" si="57"/>
        <v>0.68962160060366795</v>
      </c>
      <c r="R55" s="105">
        <f t="shared" si="57"/>
        <v>0.66267392351725196</v>
      </c>
      <c r="S55" s="105">
        <f t="shared" si="57"/>
        <v>0.5930391896634184</v>
      </c>
      <c r="T55" s="105">
        <f t="shared" si="57"/>
        <v>0.50884899150343366</v>
      </c>
      <c r="U55" s="105">
        <f t="shared" si="57"/>
        <v>0.46468358016813682</v>
      </c>
      <c r="V55" s="105">
        <f t="shared" si="57"/>
        <v>0.79713173534249393</v>
      </c>
      <c r="W55" s="105">
        <f t="shared" ref="W55" si="58">IF(W13=0,0,W13/W$3)</f>
        <v>0.72440209569842717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620.33929224752421</v>
      </c>
      <c r="C57" s="62">
        <v>625.97217315461853</v>
      </c>
      <c r="D57" s="62">
        <v>627.11640274717354</v>
      </c>
      <c r="E57" s="62">
        <v>630.59863833853194</v>
      </c>
      <c r="F57" s="62">
        <v>628.20140997267845</v>
      </c>
      <c r="G57" s="62">
        <v>639.16761982208038</v>
      </c>
      <c r="H57" s="62">
        <v>648.23636189311924</v>
      </c>
      <c r="I57" s="62">
        <v>678.50309375413406</v>
      </c>
      <c r="J57" s="62">
        <v>700.10075991515259</v>
      </c>
      <c r="K57" s="62">
        <v>700.77718062498445</v>
      </c>
      <c r="L57" s="62">
        <v>711.91036550925571</v>
      </c>
      <c r="M57" s="62">
        <v>700.74230729931503</v>
      </c>
      <c r="N57" s="62">
        <v>679.02452237000739</v>
      </c>
      <c r="O57" s="62">
        <v>666.24127056796385</v>
      </c>
      <c r="P57" s="62">
        <v>648.25473004980972</v>
      </c>
      <c r="Q57" s="62">
        <v>659.9396483017988</v>
      </c>
      <c r="R57" s="62">
        <v>658.67244449200678</v>
      </c>
      <c r="S57" s="62">
        <v>658.40298502491896</v>
      </c>
      <c r="T57" s="62">
        <v>653.02340277866199</v>
      </c>
      <c r="U57" s="62">
        <v>644.71064358553417</v>
      </c>
      <c r="V57" s="62">
        <v>767.42477184637028</v>
      </c>
      <c r="W57" s="62">
        <v>766.74600886722487</v>
      </c>
      <c r="DA57" s="172" t="s">
        <v>313</v>
      </c>
    </row>
    <row r="58" spans="1:105" ht="11.45" customHeight="1" x14ac:dyDescent="0.25">
      <c r="A58" s="10" t="s">
        <v>33</v>
      </c>
      <c r="B58" s="14">
        <v>406.48308225231705</v>
      </c>
      <c r="C58" s="14">
        <v>406.48925642671878</v>
      </c>
      <c r="D58" s="14">
        <v>406.49179830871668</v>
      </c>
      <c r="E58" s="14">
        <v>406.49042434416612</v>
      </c>
      <c r="F58" s="14">
        <v>406.49609163654776</v>
      </c>
      <c r="G58" s="14">
        <v>407.59441109149816</v>
      </c>
      <c r="H58" s="14">
        <v>415.95054940754335</v>
      </c>
      <c r="I58" s="14">
        <v>425.483953252954</v>
      </c>
      <c r="J58" s="14">
        <v>441.69338484754991</v>
      </c>
      <c r="K58" s="14">
        <v>464.50297565649777</v>
      </c>
      <c r="L58" s="14">
        <v>483.73988585250021</v>
      </c>
      <c r="M58" s="14">
        <v>448.828943316341</v>
      </c>
      <c r="N58" s="14">
        <v>435.14273271542083</v>
      </c>
      <c r="O58" s="14">
        <v>433.26228942148094</v>
      </c>
      <c r="P58" s="14">
        <v>425.67720869449528</v>
      </c>
      <c r="Q58" s="14">
        <v>432.21290413233623</v>
      </c>
      <c r="R58" s="14">
        <v>435.89714606805791</v>
      </c>
      <c r="S58" s="14">
        <v>452.6583763446634</v>
      </c>
      <c r="T58" s="14">
        <v>475.42376411660882</v>
      </c>
      <c r="U58" s="14">
        <v>480.50112794531827</v>
      </c>
      <c r="V58" s="14">
        <v>514.55858213190709</v>
      </c>
      <c r="W58" s="14">
        <v>534.40306467106348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388.02400355714758</v>
      </c>
      <c r="C60" s="87">
        <v>388.0286885524103</v>
      </c>
      <c r="D60" s="87">
        <v>388.03259045852485</v>
      </c>
      <c r="E60" s="87">
        <v>388.03405544002146</v>
      </c>
      <c r="F60" s="87">
        <v>388.03788525554529</v>
      </c>
      <c r="G60" s="87">
        <v>390.97017031360133</v>
      </c>
      <c r="H60" s="87">
        <v>394.85047224207813</v>
      </c>
      <c r="I60" s="87">
        <v>393.23778672068198</v>
      </c>
      <c r="J60" s="87">
        <v>398.54447172364996</v>
      </c>
      <c r="K60" s="87">
        <v>404.42703498342951</v>
      </c>
      <c r="L60" s="87">
        <v>405.11816370853614</v>
      </c>
      <c r="M60" s="87">
        <v>401.86963859508046</v>
      </c>
      <c r="N60" s="87">
        <v>405.50350601259328</v>
      </c>
      <c r="O60" s="87">
        <v>405.03144242369433</v>
      </c>
      <c r="P60" s="87">
        <v>392.74026630757908</v>
      </c>
      <c r="Q60" s="87">
        <v>388.30800571484588</v>
      </c>
      <c r="R60" s="87">
        <v>383.04207978158018</v>
      </c>
      <c r="S60" s="87">
        <v>376.17131006064716</v>
      </c>
      <c r="T60" s="87">
        <v>375.07837468972542</v>
      </c>
      <c r="U60" s="87">
        <v>373.5194612643441</v>
      </c>
      <c r="V60" s="87">
        <v>356.33146299812432</v>
      </c>
      <c r="W60" s="87">
        <v>342.95375676212615</v>
      </c>
      <c r="DA60" s="171" t="s">
        <v>316</v>
      </c>
    </row>
    <row r="61" spans="1:105" ht="11.45" customHeight="1" x14ac:dyDescent="0.25">
      <c r="A61" s="83" t="s">
        <v>174</v>
      </c>
      <c r="B61" s="87">
        <v>507.89429823714426</v>
      </c>
      <c r="C61" s="87">
        <v>507.89429823714426</v>
      </c>
      <c r="D61" s="87">
        <v>507.8942982371442</v>
      </c>
      <c r="E61" s="87">
        <v>507.89429823714426</v>
      </c>
      <c r="F61" s="87">
        <v>507.8942982371442</v>
      </c>
      <c r="G61" s="87">
        <v>503.71971402543591</v>
      </c>
      <c r="H61" s="87">
        <v>537.18561321660775</v>
      </c>
      <c r="I61" s="87">
        <v>553.04643506296634</v>
      </c>
      <c r="J61" s="87">
        <v>585.75655208860292</v>
      </c>
      <c r="K61" s="87">
        <v>622.69444353016456</v>
      </c>
      <c r="L61" s="87">
        <v>667.98260926726152</v>
      </c>
      <c r="M61" s="87">
        <v>586.53071879619881</v>
      </c>
      <c r="N61" s="87">
        <v>540.52980151693009</v>
      </c>
      <c r="O61" s="87">
        <v>535.76386350460291</v>
      </c>
      <c r="P61" s="87">
        <v>535.26052019014526</v>
      </c>
      <c r="Q61" s="87">
        <v>555.28013519184742</v>
      </c>
      <c r="R61" s="87">
        <v>599.07036583185254</v>
      </c>
      <c r="S61" s="87">
        <v>661.24349039804918</v>
      </c>
      <c r="T61" s="87">
        <v>706.89414940919676</v>
      </c>
      <c r="U61" s="87">
        <v>708.4362003535025</v>
      </c>
      <c r="V61" s="87">
        <v>965.89050243733266</v>
      </c>
      <c r="W61" s="87">
        <v>1015.5595456053376</v>
      </c>
      <c r="DA61" s="171" t="s">
        <v>317</v>
      </c>
    </row>
    <row r="62" spans="1:105" ht="11.45" customHeight="1" x14ac:dyDescent="0.25">
      <c r="A62" s="12" t="s">
        <v>34</v>
      </c>
      <c r="B62" s="15">
        <v>719.34046927190502</v>
      </c>
      <c r="C62" s="15">
        <v>736.71218594005734</v>
      </c>
      <c r="D62" s="15">
        <v>740.74140524901065</v>
      </c>
      <c r="E62" s="15">
        <v>740.47484462975149</v>
      </c>
      <c r="F62" s="15">
        <v>743.93165977468925</v>
      </c>
      <c r="G62" s="15">
        <v>746.1604581656901</v>
      </c>
      <c r="H62" s="15">
        <v>750.66015389640006</v>
      </c>
      <c r="I62" s="15">
        <v>768.85705879896523</v>
      </c>
      <c r="J62" s="15">
        <v>784.2072935812771</v>
      </c>
      <c r="K62" s="15">
        <v>793.02140733823717</v>
      </c>
      <c r="L62" s="15">
        <v>802.63444310383898</v>
      </c>
      <c r="M62" s="15">
        <v>808.73933976855153</v>
      </c>
      <c r="N62" s="15">
        <v>794.69838210452372</v>
      </c>
      <c r="O62" s="15">
        <v>770.61884757407688</v>
      </c>
      <c r="P62" s="15">
        <v>766.57770156575464</v>
      </c>
      <c r="Q62" s="15">
        <v>777.61564227569579</v>
      </c>
      <c r="R62" s="15">
        <v>785.63795489090944</v>
      </c>
      <c r="S62" s="15">
        <v>781.92154055000742</v>
      </c>
      <c r="T62" s="15">
        <v>780.4758939442313</v>
      </c>
      <c r="U62" s="15">
        <v>781.25927592470384</v>
      </c>
      <c r="V62" s="15">
        <v>817.17862425098053</v>
      </c>
      <c r="W62" s="15">
        <v>820.90027338641005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347.58454671541523</v>
      </c>
      <c r="C64" s="101">
        <v>344.30580261224827</v>
      </c>
      <c r="D64" s="101">
        <v>355.36008284241075</v>
      </c>
      <c r="E64" s="101">
        <v>430.4348817358794</v>
      </c>
      <c r="F64" s="101">
        <v>454.96010104525976</v>
      </c>
      <c r="G64" s="101">
        <v>468.1780696292152</v>
      </c>
      <c r="H64" s="101">
        <v>427.73763766569942</v>
      </c>
      <c r="I64" s="101">
        <v>431.33642521558147</v>
      </c>
      <c r="J64" s="101">
        <v>442.68976139565785</v>
      </c>
      <c r="K64" s="101">
        <v>414.02263977826942</v>
      </c>
      <c r="L64" s="101">
        <v>374.525144892588</v>
      </c>
      <c r="M64" s="101">
        <v>383.52230975360476</v>
      </c>
      <c r="N64" s="101">
        <v>401.89686906661689</v>
      </c>
      <c r="O64" s="101">
        <v>402.30915415407219</v>
      </c>
      <c r="P64" s="101">
        <v>390.09199674860014</v>
      </c>
      <c r="Q64" s="101">
        <v>382.13682766258012</v>
      </c>
      <c r="R64" s="101">
        <v>387.85663174664126</v>
      </c>
      <c r="S64" s="101">
        <v>385.24167816706762</v>
      </c>
      <c r="T64" s="101">
        <v>388.44710260337831</v>
      </c>
      <c r="U64" s="101">
        <v>367.12056324669322</v>
      </c>
      <c r="V64" s="101">
        <v>353.41448316481188</v>
      </c>
      <c r="W64" s="101">
        <v>342.84984519007918</v>
      </c>
      <c r="DA64" s="175" t="s">
        <v>320</v>
      </c>
    </row>
    <row r="65" spans="1:105" ht="11.45" customHeight="1" x14ac:dyDescent="0.25">
      <c r="A65" s="85" t="s">
        <v>174</v>
      </c>
      <c r="B65" s="88">
        <v>754.46252794139025</v>
      </c>
      <c r="C65" s="88">
        <v>754.46252794139014</v>
      </c>
      <c r="D65" s="88">
        <v>754.46252794139014</v>
      </c>
      <c r="E65" s="88">
        <v>754.46252794139025</v>
      </c>
      <c r="F65" s="88">
        <v>754.46252794139025</v>
      </c>
      <c r="G65" s="88">
        <v>757.23796963948837</v>
      </c>
      <c r="H65" s="88">
        <v>758.76835238890465</v>
      </c>
      <c r="I65" s="88">
        <v>777.59287296619971</v>
      </c>
      <c r="J65" s="88">
        <v>794.137783390658</v>
      </c>
      <c r="K65" s="88">
        <v>804.35001490946206</v>
      </c>
      <c r="L65" s="88">
        <v>816.87715659448838</v>
      </c>
      <c r="M65" s="88">
        <v>819.20180677930637</v>
      </c>
      <c r="N65" s="88">
        <v>806.10347009028328</v>
      </c>
      <c r="O65" s="88">
        <v>781.67474697078808</v>
      </c>
      <c r="P65" s="88">
        <v>778.6848528338777</v>
      </c>
      <c r="Q65" s="88">
        <v>787.84318165801767</v>
      </c>
      <c r="R65" s="88">
        <v>793.56801625173034</v>
      </c>
      <c r="S65" s="88">
        <v>790.83545855669433</v>
      </c>
      <c r="T65" s="88">
        <v>788.80478112765161</v>
      </c>
      <c r="U65" s="88">
        <v>790.08245326834947</v>
      </c>
      <c r="V65" s="88">
        <v>823.81846998210904</v>
      </c>
      <c r="W65" s="88">
        <v>828.52960696850255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1.3084240306794945</v>
      </c>
      <c r="C67" s="59">
        <f t="shared" ref="C67:W67" si="60">IF(C3=0,0,C17/C57)</f>
        <v>1.3728588400253969</v>
      </c>
      <c r="D67" s="59">
        <f t="shared" si="60"/>
        <v>1.3878815865111604</v>
      </c>
      <c r="E67" s="59">
        <f t="shared" si="60"/>
        <v>1.3344766129770138</v>
      </c>
      <c r="F67" s="59">
        <f t="shared" si="60"/>
        <v>1.3952079518000968</v>
      </c>
      <c r="G67" s="59">
        <f t="shared" si="60"/>
        <v>1.3155140188194356</v>
      </c>
      <c r="H67" s="59">
        <f t="shared" si="60"/>
        <v>1.177580687127874</v>
      </c>
      <c r="I67" s="59">
        <f t="shared" si="60"/>
        <v>1.0233173472673149</v>
      </c>
      <c r="J67" s="59">
        <f t="shared" si="60"/>
        <v>0.89607153542815265</v>
      </c>
      <c r="K67" s="59">
        <f t="shared" si="60"/>
        <v>1.0635693682669414</v>
      </c>
      <c r="L67" s="59">
        <f t="shared" si="60"/>
        <v>1.0578887167259647</v>
      </c>
      <c r="M67" s="59">
        <f t="shared" si="60"/>
        <v>0.99617749935738387</v>
      </c>
      <c r="N67" s="59">
        <f t="shared" si="60"/>
        <v>1.0852965183316425</v>
      </c>
      <c r="O67" s="59">
        <f t="shared" si="60"/>
        <v>1.0454407936011922</v>
      </c>
      <c r="P67" s="59">
        <f t="shared" si="60"/>
        <v>1.1759282148361947</v>
      </c>
      <c r="Q67" s="59">
        <f t="shared" si="60"/>
        <v>1.1758446654211958</v>
      </c>
      <c r="R67" s="59">
        <f t="shared" si="60"/>
        <v>1.2720131052434529</v>
      </c>
      <c r="S67" s="59">
        <f t="shared" si="60"/>
        <v>1.2831490946689958</v>
      </c>
      <c r="T67" s="59">
        <f t="shared" si="60"/>
        <v>1.3481378365296439</v>
      </c>
      <c r="U67" s="59">
        <f t="shared" si="60"/>
        <v>1.3607602362229081</v>
      </c>
      <c r="V67" s="59">
        <f t="shared" si="60"/>
        <v>0.88426506917080705</v>
      </c>
      <c r="W67" s="59">
        <f t="shared" si="60"/>
        <v>0.86052769959640452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1.1561595779494451</v>
      </c>
      <c r="C68" s="23">
        <f t="shared" ref="C68:W68" si="62">IF(C6=0,0,C18/C58)</f>
        <v>1.2260818829964353</v>
      </c>
      <c r="D68" s="23">
        <f t="shared" si="62"/>
        <v>1.2439763691719679</v>
      </c>
      <c r="E68" s="23">
        <f t="shared" si="62"/>
        <v>1.1957753130850479</v>
      </c>
      <c r="F68" s="23">
        <f t="shared" si="62"/>
        <v>1.2507138375028994</v>
      </c>
      <c r="G68" s="23">
        <f t="shared" si="62"/>
        <v>1.1367683922437719</v>
      </c>
      <c r="H68" s="23">
        <f t="shared" si="62"/>
        <v>1.0623133241393237</v>
      </c>
      <c r="I68" s="23">
        <f t="shared" si="62"/>
        <v>1.2042719028884559</v>
      </c>
      <c r="J68" s="23">
        <f t="shared" si="62"/>
        <v>1.1445414800906857</v>
      </c>
      <c r="K68" s="23">
        <f t="shared" si="62"/>
        <v>1.491380040971034</v>
      </c>
      <c r="L68" s="23">
        <f t="shared" si="62"/>
        <v>1.6153176046505713</v>
      </c>
      <c r="M68" s="23">
        <f t="shared" si="62"/>
        <v>1.2962291957982928</v>
      </c>
      <c r="N68" s="23">
        <f t="shared" si="62"/>
        <v>1.2188316231242893</v>
      </c>
      <c r="O68" s="23">
        <f t="shared" si="62"/>
        <v>1.1712559105301625</v>
      </c>
      <c r="P68" s="23">
        <f t="shared" si="62"/>
        <v>1.3932108431342451</v>
      </c>
      <c r="Q68" s="23">
        <f t="shared" si="62"/>
        <v>1.5563790695473092</v>
      </c>
      <c r="R68" s="23">
        <f t="shared" si="62"/>
        <v>1.7242424608095106</v>
      </c>
      <c r="S68" s="23">
        <f t="shared" si="62"/>
        <v>1.9388014871932557</v>
      </c>
      <c r="T68" s="23">
        <f t="shared" si="62"/>
        <v>2.1041423964466124</v>
      </c>
      <c r="U68" s="23">
        <f t="shared" si="62"/>
        <v>2.081369295966542</v>
      </c>
      <c r="V68" s="23">
        <f t="shared" si="62"/>
        <v>1.5037609385462427</v>
      </c>
      <c r="W68" s="23">
        <f t="shared" si="62"/>
        <v>1.6728670261846768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1.0791581137842392</v>
      </c>
      <c r="C70" s="91">
        <f t="shared" ref="C70:W70" si="64">IF(C8=0,0,C20/C60)</f>
        <v>1.1443942166729562</v>
      </c>
      <c r="D70" s="91">
        <f t="shared" si="64"/>
        <v>1.1610803231031008</v>
      </c>
      <c r="E70" s="91">
        <f t="shared" si="64"/>
        <v>1.1160927790051278</v>
      </c>
      <c r="F70" s="91">
        <f t="shared" si="64"/>
        <v>1.1673424804189616</v>
      </c>
      <c r="G70" s="91">
        <f t="shared" si="64"/>
        <v>1.0516445140319994</v>
      </c>
      <c r="H70" s="91">
        <f t="shared" si="64"/>
        <v>0.99567251147961799</v>
      </c>
      <c r="I70" s="91">
        <f t="shared" si="64"/>
        <v>1.24344969133654</v>
      </c>
      <c r="J70" s="91">
        <f t="shared" si="64"/>
        <v>1.235376910861294</v>
      </c>
      <c r="K70" s="91">
        <f t="shared" si="64"/>
        <v>1.7432539511063967</v>
      </c>
      <c r="L70" s="91">
        <f t="shared" si="64"/>
        <v>2.0411716241773088</v>
      </c>
      <c r="M70" s="91">
        <f t="shared" si="64"/>
        <v>1.4327980791282553</v>
      </c>
      <c r="N70" s="91">
        <f t="shared" si="64"/>
        <v>1.2392388274190511</v>
      </c>
      <c r="O70" s="91">
        <f t="shared" si="64"/>
        <v>1.188732453795688</v>
      </c>
      <c r="P70" s="91">
        <f t="shared" si="64"/>
        <v>1.4608166316260915</v>
      </c>
      <c r="Q70" s="91">
        <f t="shared" si="64"/>
        <v>1.751294975667651</v>
      </c>
      <c r="R70" s="91">
        <f t="shared" si="64"/>
        <v>1.9671493618232136</v>
      </c>
      <c r="S70" s="91">
        <f t="shared" si="64"/>
        <v>2.4460699096608725</v>
      </c>
      <c r="T70" s="91">
        <f t="shared" si="64"/>
        <v>2.9189255900989286</v>
      </c>
      <c r="U70" s="91">
        <f t="shared" si="64"/>
        <v>2.9795355182054148</v>
      </c>
      <c r="V70" s="91">
        <f t="shared" si="64"/>
        <v>2.0911624948009488</v>
      </c>
      <c r="W70" s="91">
        <f t="shared" si="64"/>
        <v>2.6977935914757913</v>
      </c>
      <c r="DA70" s="171"/>
    </row>
    <row r="71" spans="1:105" ht="11.45" customHeight="1" x14ac:dyDescent="0.25">
      <c r="A71" s="83" t="s">
        <v>174</v>
      </c>
      <c r="B71" s="91">
        <f t="shared" si="61"/>
        <v>1.479351284028394</v>
      </c>
      <c r="C71" s="91">
        <f t="shared" ref="C71:W71" si="65">IF(C9=0,0,C21/C61)</f>
        <v>1.5688981960413866</v>
      </c>
      <c r="D71" s="91">
        <f t="shared" si="65"/>
        <v>1.591884264053566</v>
      </c>
      <c r="E71" s="91">
        <f t="shared" si="65"/>
        <v>1.5302535973377485</v>
      </c>
      <c r="F71" s="91">
        <f t="shared" si="65"/>
        <v>1.6006255170654253</v>
      </c>
      <c r="G71" s="91">
        <f t="shared" si="65"/>
        <v>1.5188023592178015</v>
      </c>
      <c r="H71" s="91">
        <f t="shared" si="65"/>
        <v>1.3437578299803292</v>
      </c>
      <c r="I71" s="91">
        <f t="shared" si="65"/>
        <v>1.0940727057945201</v>
      </c>
      <c r="J71" s="91">
        <f t="shared" si="65"/>
        <v>0.93819455002151153</v>
      </c>
      <c r="K71" s="91">
        <f t="shared" si="65"/>
        <v>1.060624522958179</v>
      </c>
      <c r="L71" s="91">
        <f t="shared" si="65"/>
        <v>1.0100811166657648</v>
      </c>
      <c r="M71" s="91">
        <f t="shared" si="65"/>
        <v>1.0218418530738838</v>
      </c>
      <c r="N71" s="91">
        <f t="shared" si="65"/>
        <v>1.1643965338894435</v>
      </c>
      <c r="O71" s="91">
        <f t="shared" si="65"/>
        <v>1.1232850527982505</v>
      </c>
      <c r="P71" s="91">
        <f t="shared" si="65"/>
        <v>1.228172353340327</v>
      </c>
      <c r="Q71" s="91">
        <f t="shared" si="65"/>
        <v>1.174310826581189</v>
      </c>
      <c r="R71" s="91">
        <f t="shared" si="65"/>
        <v>1.2447621649849419</v>
      </c>
      <c r="S71" s="91">
        <f t="shared" si="65"/>
        <v>1.1518329026856038</v>
      </c>
      <c r="T71" s="91">
        <f t="shared" si="65"/>
        <v>1.1068839752793422</v>
      </c>
      <c r="U71" s="91">
        <f t="shared" si="65"/>
        <v>1.0724161391069011</v>
      </c>
      <c r="V71" s="91">
        <f t="shared" si="65"/>
        <v>0.88563567071996774</v>
      </c>
      <c r="W71" s="91">
        <f t="shared" si="65"/>
        <v>0.80299480735040452</v>
      </c>
      <c r="DA71" s="171"/>
    </row>
    <row r="72" spans="1:105" ht="11.45" customHeight="1" x14ac:dyDescent="0.25">
      <c r="A72" s="12" t="s">
        <v>34</v>
      </c>
      <c r="B72" s="24">
        <f t="shared" si="61"/>
        <v>1.3482553781977495</v>
      </c>
      <c r="C72" s="24">
        <f t="shared" ref="C72:W72" si="66">IF(C10=0,0,C22/C62)</f>
        <v>1.4137202119582657</v>
      </c>
      <c r="D72" s="24">
        <f t="shared" si="66"/>
        <v>1.4285522884230712</v>
      </c>
      <c r="E72" s="24">
        <f t="shared" si="66"/>
        <v>1.3718073378450881</v>
      </c>
      <c r="F72" s="24">
        <f t="shared" si="66"/>
        <v>1.4364219045969457</v>
      </c>
      <c r="G72" s="24">
        <f t="shared" si="66"/>
        <v>1.3606266138515193</v>
      </c>
      <c r="H72" s="24">
        <f t="shared" si="66"/>
        <v>1.2057439430862371</v>
      </c>
      <c r="I72" s="24">
        <f t="shared" si="66"/>
        <v>0.98755706480946881</v>
      </c>
      <c r="J72" s="24">
        <f t="shared" si="66"/>
        <v>0.85052150083972777</v>
      </c>
      <c r="K72" s="24">
        <f t="shared" si="66"/>
        <v>0.96573800887348948</v>
      </c>
      <c r="L72" s="24">
        <f t="shared" si="66"/>
        <v>0.92430710383527359</v>
      </c>
      <c r="M72" s="24">
        <f t="shared" si="66"/>
        <v>0.92478887926488895</v>
      </c>
      <c r="N72" s="24">
        <f t="shared" si="66"/>
        <v>1.0506163887684641</v>
      </c>
      <c r="O72" s="24">
        <f t="shared" si="66"/>
        <v>1.0137498946610368</v>
      </c>
      <c r="P72" s="24">
        <f t="shared" si="66"/>
        <v>1.111787028549156</v>
      </c>
      <c r="Q72" s="24">
        <f t="shared" si="66"/>
        <v>1.0665496120092717</v>
      </c>
      <c r="R72" s="24">
        <f t="shared" si="66"/>
        <v>1.1290121139045006</v>
      </c>
      <c r="S72" s="24">
        <f t="shared" si="66"/>
        <v>1.0552803421888972</v>
      </c>
      <c r="T72" s="24">
        <f t="shared" si="66"/>
        <v>1.0176526040686913</v>
      </c>
      <c r="U72" s="24">
        <f t="shared" si="66"/>
        <v>0.99221739709216361</v>
      </c>
      <c r="V72" s="24">
        <f t="shared" si="66"/>
        <v>0.80751262893259856</v>
      </c>
      <c r="W72" s="24">
        <f t="shared" si="66"/>
        <v>0.73726854293115618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1.7351361841668715</v>
      </c>
      <c r="C74" s="93">
        <f t="shared" ref="C74:W74" si="68">IF(C12=0,0,C24/C64)</f>
        <v>1.4966450638789204</v>
      </c>
      <c r="D74" s="93">
        <f t="shared" si="68"/>
        <v>1.1814694683516147</v>
      </c>
      <c r="E74" s="93">
        <f t="shared" si="68"/>
        <v>1.1612000101712499</v>
      </c>
      <c r="F74" s="93">
        <f t="shared" si="68"/>
        <v>1.2479845970385601</v>
      </c>
      <c r="G74" s="93">
        <f t="shared" si="68"/>
        <v>1.1051052191980593</v>
      </c>
      <c r="H74" s="93">
        <f t="shared" si="68"/>
        <v>0.94871573094538719</v>
      </c>
      <c r="I74" s="93">
        <f t="shared" si="68"/>
        <v>1.188964610967945</v>
      </c>
      <c r="J74" s="93">
        <f t="shared" si="68"/>
        <v>1.229714182202412</v>
      </c>
      <c r="K74" s="93">
        <f t="shared" si="68"/>
        <v>1.692121961281694</v>
      </c>
      <c r="L74" s="93">
        <f t="shared" si="68"/>
        <v>1.9230517451066993</v>
      </c>
      <c r="M74" s="93">
        <f t="shared" si="68"/>
        <v>1.3702365919005022</v>
      </c>
      <c r="N74" s="93">
        <f t="shared" si="68"/>
        <v>1.2343345222899704</v>
      </c>
      <c r="O74" s="93">
        <f t="shared" si="68"/>
        <v>1.1945547749911269</v>
      </c>
      <c r="P74" s="93">
        <f t="shared" si="68"/>
        <v>1.511033608053894</v>
      </c>
      <c r="Q74" s="93">
        <f t="shared" si="68"/>
        <v>1.8374415426809991</v>
      </c>
      <c r="R74" s="93">
        <f t="shared" si="68"/>
        <v>2.0245917623103349</v>
      </c>
      <c r="S74" s="93">
        <f t="shared" si="68"/>
        <v>2.757259560973067</v>
      </c>
      <c r="T74" s="93">
        <f t="shared" si="68"/>
        <v>3.0685227624464195</v>
      </c>
      <c r="U74" s="93">
        <f t="shared" si="68"/>
        <v>3.723944662123492</v>
      </c>
      <c r="V74" s="93">
        <f t="shared" si="68"/>
        <v>2.5073552213053838</v>
      </c>
      <c r="W74" s="93">
        <f t="shared" si="68"/>
        <v>2.9439853015093731</v>
      </c>
      <c r="DA74" s="175"/>
    </row>
    <row r="75" spans="1:105" ht="11.45" customHeight="1" x14ac:dyDescent="0.25">
      <c r="A75" s="85" t="s">
        <v>174</v>
      </c>
      <c r="B75" s="94">
        <f t="shared" si="61"/>
        <v>1.3314161556255542</v>
      </c>
      <c r="C75" s="94">
        <f t="shared" ref="C75:W75" si="69">IF(C13=0,0,C25/C65)</f>
        <v>1.412008376437248</v>
      </c>
      <c r="D75" s="94">
        <f t="shared" si="69"/>
        <v>1.4326958376482091</v>
      </c>
      <c r="E75" s="94">
        <f t="shared" si="69"/>
        <v>1.3772282376039735</v>
      </c>
      <c r="F75" s="94">
        <f t="shared" si="69"/>
        <v>1.440562965358883</v>
      </c>
      <c r="G75" s="94">
        <f t="shared" si="69"/>
        <v>1.3669221232960216</v>
      </c>
      <c r="H75" s="94">
        <f t="shared" si="69"/>
        <v>1.2093820469822962</v>
      </c>
      <c r="I75" s="94">
        <f t="shared" si="69"/>
        <v>0.984665435215068</v>
      </c>
      <c r="J75" s="94">
        <f t="shared" si="69"/>
        <v>0.84437509501936048</v>
      </c>
      <c r="K75" s="94">
        <f t="shared" si="69"/>
        <v>0.95456207066236121</v>
      </c>
      <c r="L75" s="94">
        <f t="shared" si="69"/>
        <v>0.90907300499918831</v>
      </c>
      <c r="M75" s="94">
        <f t="shared" si="69"/>
        <v>0.91965766776649516</v>
      </c>
      <c r="N75" s="94">
        <f t="shared" si="69"/>
        <v>1.0479568805004993</v>
      </c>
      <c r="O75" s="94">
        <f t="shared" si="69"/>
        <v>1.0109565475184255</v>
      </c>
      <c r="P75" s="94">
        <f t="shared" si="69"/>
        <v>1.1053551180062942</v>
      </c>
      <c r="Q75" s="94">
        <f t="shared" si="69"/>
        <v>1.0568797439230702</v>
      </c>
      <c r="R75" s="94">
        <f t="shared" si="69"/>
        <v>1.120285948486448</v>
      </c>
      <c r="S75" s="94">
        <f t="shared" si="69"/>
        <v>1.0366496124170435</v>
      </c>
      <c r="T75" s="94">
        <f t="shared" si="69"/>
        <v>0.99619557775140777</v>
      </c>
      <c r="U75" s="94">
        <f t="shared" si="69"/>
        <v>0.96517452519621083</v>
      </c>
      <c r="V75" s="94">
        <f t="shared" si="69"/>
        <v>0.79707210364797099</v>
      </c>
      <c r="W75" s="94">
        <f t="shared" si="69"/>
        <v>0.72269532661536418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965.83454064</v>
      </c>
      <c r="C3" s="79">
        <f t="shared" si="0"/>
        <v>1044.63604908</v>
      </c>
      <c r="D3" s="79">
        <f t="shared" ref="D3" si="1">SUM(D4:D5)</f>
        <v>1131.8211262800003</v>
      </c>
      <c r="E3" s="79">
        <f t="shared" ref="E3" si="2">SUM(E4:E5)</f>
        <v>1179.0723682799996</v>
      </c>
      <c r="F3" s="79">
        <f t="shared" ref="F3" si="3">SUM(F4:F5)</f>
        <v>1282.9497782400001</v>
      </c>
      <c r="G3" s="79">
        <f t="shared" ref="G3" si="4">SUM(G4:G5)</f>
        <v>1303.5537010799999</v>
      </c>
      <c r="H3" s="79">
        <f t="shared" ref="H3" si="5">SUM(H4:H5)</f>
        <v>1219.9235324400001</v>
      </c>
      <c r="I3" s="79">
        <f t="shared" ref="I3" si="6">SUM(I4:I5)</f>
        <v>1311.2924993999995</v>
      </c>
      <c r="J3" s="79">
        <f t="shared" ref="J3" si="7">SUM(J4:J5)</f>
        <v>1319.9610510000002</v>
      </c>
      <c r="K3" s="79">
        <f t="shared" ref="K3" si="8">SUM(K4:K5)</f>
        <v>1264.8874053600002</v>
      </c>
      <c r="L3" s="79">
        <f t="shared" ref="L3" si="9">SUM(L4:L5)</f>
        <v>1297.80460584</v>
      </c>
      <c r="M3" s="79">
        <f t="shared" ref="M3" si="10">SUM(M4:M5)</f>
        <v>1214.1744372000001</v>
      </c>
      <c r="N3" s="79">
        <f t="shared" ref="N3" si="11">SUM(N4:N5)</f>
        <v>1120.2486487199999</v>
      </c>
      <c r="O3" s="79">
        <f t="shared" ref="O3" si="12">SUM(O4:O5)</f>
        <v>1125.3281248800001</v>
      </c>
      <c r="P3" s="79">
        <f t="shared" ref="P3" si="13">SUM(P4:P5)</f>
        <v>1222.1052948000004</v>
      </c>
      <c r="Q3" s="79">
        <f t="shared" ref="Q3" si="14">SUM(Q4:Q5)</f>
        <v>1377.6753823200002</v>
      </c>
      <c r="R3" s="79">
        <f t="shared" ref="R3" si="15">SUM(R4:R5)</f>
        <v>1528.7419126800003</v>
      </c>
      <c r="S3" s="79">
        <f t="shared" ref="S3" si="16">SUM(S4:S5)</f>
        <v>1728.5474973600003</v>
      </c>
      <c r="T3" s="79">
        <f t="shared" ref="T3" si="17">SUM(T4:T5)</f>
        <v>1848.32104824</v>
      </c>
      <c r="U3" s="79">
        <f t="shared" ref="U3" si="18">SUM(U4:U5)</f>
        <v>1808.0866998000001</v>
      </c>
      <c r="V3" s="79">
        <f t="shared" ref="V3:W3" si="19">SUM(V4:V5)</f>
        <v>1645.5897950399999</v>
      </c>
      <c r="W3" s="79">
        <f t="shared" si="19"/>
        <v>1877.3269174800002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965.83454064</v>
      </c>
      <c r="C5" s="96">
        <f t="shared" si="23"/>
        <v>1044.63604908</v>
      </c>
      <c r="D5" s="96">
        <f t="shared" ref="D5:V5" si="24">SUM(D8:D9,D12:D13)</f>
        <v>1131.8211262800003</v>
      </c>
      <c r="E5" s="96">
        <f t="shared" si="24"/>
        <v>1179.0723682799996</v>
      </c>
      <c r="F5" s="96">
        <f t="shared" si="24"/>
        <v>1282.9497782400001</v>
      </c>
      <c r="G5" s="96">
        <f t="shared" si="24"/>
        <v>1303.5537010799999</v>
      </c>
      <c r="H5" s="96">
        <f t="shared" si="24"/>
        <v>1219.9235324400001</v>
      </c>
      <c r="I5" s="96">
        <f t="shared" si="24"/>
        <v>1311.2924993999995</v>
      </c>
      <c r="J5" s="96">
        <f t="shared" si="24"/>
        <v>1319.9610510000002</v>
      </c>
      <c r="K5" s="96">
        <f t="shared" si="24"/>
        <v>1264.8874053600002</v>
      </c>
      <c r="L5" s="96">
        <f t="shared" si="24"/>
        <v>1297.80460584</v>
      </c>
      <c r="M5" s="96">
        <f t="shared" si="24"/>
        <v>1214.1744372000001</v>
      </c>
      <c r="N5" s="96">
        <f t="shared" si="24"/>
        <v>1120.2486487199999</v>
      </c>
      <c r="O5" s="96">
        <f t="shared" si="24"/>
        <v>1125.3281248800001</v>
      </c>
      <c r="P5" s="96">
        <f t="shared" si="24"/>
        <v>1222.1052948000004</v>
      </c>
      <c r="Q5" s="96">
        <f t="shared" si="24"/>
        <v>1377.6753823200002</v>
      </c>
      <c r="R5" s="96">
        <f t="shared" si="24"/>
        <v>1528.7419126800003</v>
      </c>
      <c r="S5" s="96">
        <f t="shared" si="24"/>
        <v>1728.5474973600003</v>
      </c>
      <c r="T5" s="96">
        <f t="shared" si="24"/>
        <v>1848.32104824</v>
      </c>
      <c r="U5" s="96">
        <f t="shared" si="24"/>
        <v>1808.0866998000001</v>
      </c>
      <c r="V5" s="96">
        <f t="shared" si="24"/>
        <v>1645.5897950399999</v>
      </c>
      <c r="W5" s="96">
        <f t="shared" ref="W5" si="25">SUM(W8:W9,W12:W13)</f>
        <v>1877.3269174800002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176.96163871554694</v>
      </c>
      <c r="C6" s="21">
        <f t="shared" si="26"/>
        <v>203.16551194090343</v>
      </c>
      <c r="D6" s="21">
        <f t="shared" ref="D6:V6" si="27">SUM(D7:D9)</f>
        <v>223.53428348740269</v>
      </c>
      <c r="E6" s="21">
        <f t="shared" si="27"/>
        <v>224.05457503828262</v>
      </c>
      <c r="F6" s="21">
        <f t="shared" si="27"/>
        <v>255.23613972638924</v>
      </c>
      <c r="G6" s="21">
        <f t="shared" si="27"/>
        <v>227.00226822664337</v>
      </c>
      <c r="H6" s="21">
        <f t="shared" si="27"/>
        <v>216.09043956294937</v>
      </c>
      <c r="I6" s="21">
        <f t="shared" si="27"/>
        <v>254.63968438937269</v>
      </c>
      <c r="J6" s="21">
        <f t="shared" si="27"/>
        <v>261.19318423055222</v>
      </c>
      <c r="K6" s="21">
        <f t="shared" si="27"/>
        <v>330.11280951861096</v>
      </c>
      <c r="L6" s="21">
        <f t="shared" si="27"/>
        <v>383.07983190223439</v>
      </c>
      <c r="M6" s="21">
        <f t="shared" si="27"/>
        <v>303.64497803338054</v>
      </c>
      <c r="N6" s="21">
        <f t="shared" si="27"/>
        <v>259.37321122185801</v>
      </c>
      <c r="O6" s="21">
        <f t="shared" si="27"/>
        <v>253.66990050461283</v>
      </c>
      <c r="P6" s="21">
        <f t="shared" si="27"/>
        <v>330.00521516756135</v>
      </c>
      <c r="Q6" s="21">
        <f t="shared" si="27"/>
        <v>406.88149062968824</v>
      </c>
      <c r="R6" s="21">
        <f t="shared" si="27"/>
        <v>497.84586663688856</v>
      </c>
      <c r="S6" s="21">
        <f t="shared" si="27"/>
        <v>673.60510039823987</v>
      </c>
      <c r="T6" s="21">
        <f t="shared" si="27"/>
        <v>877.49499122735108</v>
      </c>
      <c r="U6" s="21">
        <f t="shared" si="27"/>
        <v>935.80704300670243</v>
      </c>
      <c r="V6" s="21">
        <f t="shared" si="27"/>
        <v>308.49345448973736</v>
      </c>
      <c r="W6" s="21">
        <f t="shared" ref="W6" si="28">SUM(W7:W9)</f>
        <v>480.8018793356307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133.39420555153256</v>
      </c>
      <c r="C8" s="96">
        <v>153.13902584325876</v>
      </c>
      <c r="D8" s="96">
        <v>168.4918471999211</v>
      </c>
      <c r="E8" s="96">
        <v>168.8898104249424</v>
      </c>
      <c r="F8" s="96">
        <v>192.38413516804042</v>
      </c>
      <c r="G8" s="96">
        <v>171.73764348878453</v>
      </c>
      <c r="H8" s="96">
        <v>163.75950261405393</v>
      </c>
      <c r="I8" s="96">
        <v>193.96550057835691</v>
      </c>
      <c r="J8" s="96">
        <v>195.75135043367587</v>
      </c>
      <c r="K8" s="96">
        <v>243.48967559207554</v>
      </c>
      <c r="L8" s="96">
        <v>284.14446330285165</v>
      </c>
      <c r="M8" s="96">
        <v>224.09790865606979</v>
      </c>
      <c r="N8" s="96">
        <v>191.80868534261566</v>
      </c>
      <c r="O8" s="96">
        <v>188.70627492364278</v>
      </c>
      <c r="P8" s="96">
        <v>245.46666782740581</v>
      </c>
      <c r="Q8" s="96">
        <v>303.17187710048967</v>
      </c>
      <c r="R8" s="96">
        <v>376.99416704453921</v>
      </c>
      <c r="S8" s="96">
        <v>516.75474125394544</v>
      </c>
      <c r="T8" s="96">
        <v>669.93410603983261</v>
      </c>
      <c r="U8" s="96">
        <v>708.72680221857274</v>
      </c>
      <c r="V8" s="96">
        <v>219.96549195020921</v>
      </c>
      <c r="W8" s="96">
        <v>355.96378657673881</v>
      </c>
      <c r="DA8" s="171" t="s">
        <v>328</v>
      </c>
    </row>
    <row r="9" spans="1:105" ht="11.45" customHeight="1" x14ac:dyDescent="0.25">
      <c r="A9" s="83" t="s">
        <v>174</v>
      </c>
      <c r="B9" s="96">
        <v>43.567433164014361</v>
      </c>
      <c r="C9" s="96">
        <v>50.026486097644671</v>
      </c>
      <c r="D9" s="96">
        <v>55.042436287481593</v>
      </c>
      <c r="E9" s="96">
        <v>55.164764613340218</v>
      </c>
      <c r="F9" s="96">
        <v>62.852004558348817</v>
      </c>
      <c r="G9" s="96">
        <v>55.264624737858853</v>
      </c>
      <c r="H9" s="96">
        <v>52.330936948895449</v>
      </c>
      <c r="I9" s="96">
        <v>60.674183811015773</v>
      </c>
      <c r="J9" s="96">
        <v>65.441833796876352</v>
      </c>
      <c r="K9" s="96">
        <v>86.623133926535402</v>
      </c>
      <c r="L9" s="96">
        <v>98.935368599382755</v>
      </c>
      <c r="M9" s="96">
        <v>79.547069377310734</v>
      </c>
      <c r="N9" s="96">
        <v>67.564525879242368</v>
      </c>
      <c r="O9" s="96">
        <v>64.963625580970046</v>
      </c>
      <c r="P9" s="96">
        <v>84.538547340155517</v>
      </c>
      <c r="Q9" s="96">
        <v>103.70961352919856</v>
      </c>
      <c r="R9" s="96">
        <v>120.85169959234936</v>
      </c>
      <c r="S9" s="96">
        <v>156.85035914429443</v>
      </c>
      <c r="T9" s="96">
        <v>207.56088518751847</v>
      </c>
      <c r="U9" s="96">
        <v>227.08024078812971</v>
      </c>
      <c r="V9" s="96">
        <v>88.527962539528161</v>
      </c>
      <c r="W9" s="96">
        <v>124.83809275889188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788.872901924453</v>
      </c>
      <c r="C10" s="22">
        <f t="shared" si="29"/>
        <v>841.47053713909656</v>
      </c>
      <c r="D10" s="22">
        <f t="shared" ref="D10:V10" si="30">SUM(D11:D13)</f>
        <v>908.28684279259767</v>
      </c>
      <c r="E10" s="22">
        <f t="shared" si="30"/>
        <v>955.01779324171707</v>
      </c>
      <c r="F10" s="22">
        <f t="shared" si="30"/>
        <v>1027.7136385136109</v>
      </c>
      <c r="G10" s="22">
        <f t="shared" si="30"/>
        <v>1076.5514328533566</v>
      </c>
      <c r="H10" s="22">
        <f t="shared" si="30"/>
        <v>1003.8330928770507</v>
      </c>
      <c r="I10" s="22">
        <f t="shared" si="30"/>
        <v>1056.6528150106269</v>
      </c>
      <c r="J10" s="22">
        <f t="shared" si="30"/>
        <v>1058.7678667694479</v>
      </c>
      <c r="K10" s="22">
        <f t="shared" si="30"/>
        <v>934.77459584138933</v>
      </c>
      <c r="L10" s="22">
        <f t="shared" si="30"/>
        <v>914.72477393776569</v>
      </c>
      <c r="M10" s="22">
        <f t="shared" si="30"/>
        <v>910.52945916661952</v>
      </c>
      <c r="N10" s="22">
        <f t="shared" si="30"/>
        <v>860.87543749814188</v>
      </c>
      <c r="O10" s="22">
        <f t="shared" si="30"/>
        <v>871.65822437538725</v>
      </c>
      <c r="P10" s="22">
        <f t="shared" si="30"/>
        <v>892.10007963243902</v>
      </c>
      <c r="Q10" s="22">
        <f t="shared" si="30"/>
        <v>970.79389169031174</v>
      </c>
      <c r="R10" s="22">
        <f t="shared" si="30"/>
        <v>1030.8960460431117</v>
      </c>
      <c r="S10" s="22">
        <f t="shared" si="30"/>
        <v>1054.9423969617606</v>
      </c>
      <c r="T10" s="22">
        <f t="shared" si="30"/>
        <v>970.82605701264902</v>
      </c>
      <c r="U10" s="22">
        <f t="shared" si="30"/>
        <v>872.27965679329782</v>
      </c>
      <c r="V10" s="22">
        <f t="shared" si="30"/>
        <v>1337.0963405502628</v>
      </c>
      <c r="W10" s="22">
        <f t="shared" ref="W10" si="31">SUM(W11:W13)</f>
        <v>1396.5250381443695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42.345784722318442</v>
      </c>
      <c r="C12" s="97">
        <v>18.017629051943157</v>
      </c>
      <c r="D12" s="97">
        <v>12.389582318977869</v>
      </c>
      <c r="E12" s="97">
        <v>20.285524764613566</v>
      </c>
      <c r="F12" s="97">
        <v>19.200097151066537</v>
      </c>
      <c r="G12" s="97">
        <v>21.024837529623866</v>
      </c>
      <c r="H12" s="97">
        <v>11.023835013549917</v>
      </c>
      <c r="I12" s="97">
        <v>18.005910569620951</v>
      </c>
      <c r="J12" s="97">
        <v>24.417309280159813</v>
      </c>
      <c r="K12" s="97">
        <v>24.817951957905247</v>
      </c>
      <c r="L12" s="97">
        <v>28.592559957015155</v>
      </c>
      <c r="M12" s="97">
        <v>15.363706639762025</v>
      </c>
      <c r="N12" s="97">
        <v>14.432333424258889</v>
      </c>
      <c r="O12" s="97">
        <v>15.627082525402026</v>
      </c>
      <c r="P12" s="97">
        <v>19.223130476743822</v>
      </c>
      <c r="Q12" s="97">
        <v>20.719189422523336</v>
      </c>
      <c r="R12" s="97">
        <v>17.838644722187713</v>
      </c>
      <c r="S12" s="97">
        <v>29.845989832656112</v>
      </c>
      <c r="T12" s="97">
        <v>30.309755641155636</v>
      </c>
      <c r="U12" s="97">
        <v>32.091455875842456</v>
      </c>
      <c r="V12" s="97">
        <v>25.34449156812855</v>
      </c>
      <c r="W12" s="97">
        <v>36.585484810789247</v>
      </c>
      <c r="DA12" s="175" t="s">
        <v>332</v>
      </c>
    </row>
    <row r="13" spans="1:105" ht="11.45" customHeight="1" x14ac:dyDescent="0.25">
      <c r="A13" s="85" t="s">
        <v>174</v>
      </c>
      <c r="B13" s="98">
        <v>746.5271172021346</v>
      </c>
      <c r="C13" s="98">
        <v>823.45290808715345</v>
      </c>
      <c r="D13" s="98">
        <v>895.89726047361978</v>
      </c>
      <c r="E13" s="98">
        <v>934.7322684771035</v>
      </c>
      <c r="F13" s="98">
        <v>1008.5135413625444</v>
      </c>
      <c r="G13" s="98">
        <v>1055.5265953237326</v>
      </c>
      <c r="H13" s="98">
        <v>992.80925786350076</v>
      </c>
      <c r="I13" s="98">
        <v>1038.646904441006</v>
      </c>
      <c r="J13" s="98">
        <v>1034.3505574892881</v>
      </c>
      <c r="K13" s="98">
        <v>909.95664388348405</v>
      </c>
      <c r="L13" s="98">
        <v>886.13221398075052</v>
      </c>
      <c r="M13" s="98">
        <v>895.16575252685755</v>
      </c>
      <c r="N13" s="98">
        <v>846.44310407388298</v>
      </c>
      <c r="O13" s="98">
        <v>856.03114184998526</v>
      </c>
      <c r="P13" s="98">
        <v>872.87694915569523</v>
      </c>
      <c r="Q13" s="98">
        <v>950.07470226778844</v>
      </c>
      <c r="R13" s="98">
        <v>1013.057401320924</v>
      </c>
      <c r="S13" s="98">
        <v>1025.0964071291044</v>
      </c>
      <c r="T13" s="98">
        <v>940.51630137149334</v>
      </c>
      <c r="U13" s="98">
        <v>840.18820091745533</v>
      </c>
      <c r="V13" s="98">
        <v>1311.7518489821341</v>
      </c>
      <c r="W13" s="98">
        <v>1359.9395533335803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3.0103092</v>
      </c>
      <c r="D19" s="98">
        <f>IF(D5=0,0,D5/TrAvia_ene!D5)</f>
        <v>3.0103092000000009</v>
      </c>
      <c r="E19" s="98">
        <f>IF(E5=0,0,E5/TrAvia_ene!E5)</f>
        <v>3.0103091999999996</v>
      </c>
      <c r="F19" s="98">
        <f>IF(F5=0,0,F5/TrAvia_ene!F5)</f>
        <v>3.0103092</v>
      </c>
      <c r="G19" s="98">
        <f>IF(G5=0,0,G5/TrAvia_ene!G5)</f>
        <v>3.0103092000000005</v>
      </c>
      <c r="H19" s="98">
        <f>IF(H5=0,0,H5/TrAvia_ene!H5)</f>
        <v>3.0103092000000005</v>
      </c>
      <c r="I19" s="98">
        <f>IF(I5=0,0,I5/TrAvia_ene!I5)</f>
        <v>3.0103091999999996</v>
      </c>
      <c r="J19" s="98">
        <f>IF(J5=0,0,J5/TrAvia_ene!J5)</f>
        <v>3.0103092000000005</v>
      </c>
      <c r="K19" s="98">
        <f>IF(K5=0,0,K5/TrAvia_ene!K5)</f>
        <v>3.0103092000000009</v>
      </c>
      <c r="L19" s="98">
        <f>IF(L5=0,0,L5/TrAvia_ene!L5)</f>
        <v>3.0103092000000009</v>
      </c>
      <c r="M19" s="98">
        <f>IF(M5=0,0,M5/TrAvia_ene!M5)</f>
        <v>3.0103092000000005</v>
      </c>
      <c r="N19" s="98">
        <f>IF(N5=0,0,N5/TrAvia_ene!N5)</f>
        <v>3.0103092000000005</v>
      </c>
      <c r="O19" s="98">
        <f>IF(O5=0,0,O5/TrAvia_ene!O5)</f>
        <v>3.0103092000000005</v>
      </c>
      <c r="P19" s="98">
        <f>IF(P5=0,0,P5/TrAvia_ene!P5)</f>
        <v>3.0103092000000009</v>
      </c>
      <c r="Q19" s="98">
        <f>IF(Q5=0,0,Q5/TrAvia_ene!Q5)</f>
        <v>3.0103092000000018</v>
      </c>
      <c r="R19" s="98">
        <f>IF(R5=0,0,R5/TrAvia_ene!R5)</f>
        <v>3.0103092000000005</v>
      </c>
      <c r="S19" s="98">
        <f>IF(S5=0,0,S5/TrAvia_ene!S5)</f>
        <v>3.0103092000000009</v>
      </c>
      <c r="T19" s="98">
        <f>IF(T5=0,0,T5/TrAvia_ene!T5)</f>
        <v>3.0103092000000005</v>
      </c>
      <c r="U19" s="98">
        <f>IF(U5=0,0,U5/TrAvia_ene!U5)</f>
        <v>3.0103092000000009</v>
      </c>
      <c r="V19" s="98">
        <f>IF(V5=0,0,V5/TrAvia_ene!V5)</f>
        <v>3.0103092000000005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24433.681472116732</v>
      </c>
      <c r="C21" s="54">
        <f>IF(C3=0,0,C3/TrAvia_act!C13*1000)</f>
        <v>25869.737265375599</v>
      </c>
      <c r="D21" s="54">
        <f>IF(D3=0,0,D3/TrAvia_act!D13*1000)</f>
        <v>26200.626733303026</v>
      </c>
      <c r="E21" s="54">
        <f>IF(E3=0,0,E3/TrAvia_act!E13*1000)</f>
        <v>25332.327941806954</v>
      </c>
      <c r="F21" s="54">
        <f>IF(F3=0,0,F3/TrAvia_act!F13*1000)</f>
        <v>26384.505286225009</v>
      </c>
      <c r="G21" s="54">
        <f>IF(G3=0,0,G3/TrAvia_act!G13*1000)</f>
        <v>25311.702182584555</v>
      </c>
      <c r="H21" s="54">
        <f>IF(H3=0,0,H3/TrAvia_act!H13*1000)</f>
        <v>22979.213955945579</v>
      </c>
      <c r="I21" s="54">
        <f>IF(I3=0,0,I3/TrAvia_act!I13*1000)</f>
        <v>20901.298828760468</v>
      </c>
      <c r="J21" s="54">
        <f>IF(J3=0,0,J3/TrAvia_act!J13*1000)</f>
        <v>18884.884659438841</v>
      </c>
      <c r="K21" s="54">
        <f>IF(K3=0,0,K3/TrAvia_act!K13*1000)</f>
        <v>22436.591358468475</v>
      </c>
      <c r="L21" s="54">
        <f>IF(L3=0,0,L3/TrAvia_act!L13*1000)</f>
        <v>22671.299137121958</v>
      </c>
      <c r="M21" s="54">
        <f>IF(M3=0,0,M3/TrAvia_act!M13*1000)</f>
        <v>21013.876366338915</v>
      </c>
      <c r="N21" s="54">
        <f>IF(N3=0,0,N3/TrAvia_act!N13*1000)</f>
        <v>22184.261422299634</v>
      </c>
      <c r="O21" s="54">
        <f>IF(O3=0,0,O3/TrAvia_act!O13*1000)</f>
        <v>20967.27928609815</v>
      </c>
      <c r="P21" s="54">
        <f>IF(P3=0,0,P3/TrAvia_act!P13*1000)</f>
        <v>22947.617961521351</v>
      </c>
      <c r="Q21" s="54">
        <f>IF(Q3=0,0,Q3/TrAvia_act!Q13*1000)</f>
        <v>23359.593450468121</v>
      </c>
      <c r="R21" s="54">
        <f>IF(R3=0,0,R3/TrAvia_act!R13*1000)</f>
        <v>25221.574043065528</v>
      </c>
      <c r="S21" s="54">
        <f>IF(S3=0,0,S3/TrAvia_act!S13*1000)</f>
        <v>25431.970956147245</v>
      </c>
      <c r="T21" s="54">
        <f>IF(T3=0,0,T3/TrAvia_act!T13*1000)</f>
        <v>26501.725368803636</v>
      </c>
      <c r="U21" s="54">
        <f>IF(U3=0,0,U3/TrAvia_act!U13*1000)</f>
        <v>26409.340491703224</v>
      </c>
      <c r="V21" s="54">
        <f>IF(V3=0,0,V3/TrAvia_act!V13*1000)</f>
        <v>20428.166513293083</v>
      </c>
      <c r="W21" s="54">
        <f>IF(W3=0,0,W3/TrAvia_act!W13*1000)</f>
        <v>19862.206114181692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14147.228309677772</v>
      </c>
      <c r="C22" s="11">
        <f>IF(C6=0,0,C6/TrAvia_act!C14*1000)</f>
        <v>15003.053318555718</v>
      </c>
      <c r="D22" s="11">
        <f>IF(D6=0,0,D6/TrAvia_act!D14*1000)</f>
        <v>15222.115879747349</v>
      </c>
      <c r="E22" s="11">
        <f>IF(E6=0,0,E6/TrAvia_act!E14*1000)</f>
        <v>14632.246486725237</v>
      </c>
      <c r="F22" s="11">
        <f>IF(F6=0,0,F6/TrAvia_act!F14*1000)</f>
        <v>15304.721634296853</v>
      </c>
      <c r="G22" s="11">
        <f>IF(G6=0,0,G6/TrAvia_act!G14*1000)</f>
        <v>13947.979994510231</v>
      </c>
      <c r="H22" s="11">
        <f>IF(H6=0,0,H6/TrAvia_act!H14*1000)</f>
        <v>13301.647567098084</v>
      </c>
      <c r="I22" s="11">
        <f>IF(I6=0,0,I6/TrAvia_act!I14*1000)</f>
        <v>15424.775273736521</v>
      </c>
      <c r="J22" s="11">
        <f>IF(J6=0,0,J6/TrAvia_act!J14*1000)</f>
        <v>15218.208771784521</v>
      </c>
      <c r="K22" s="11">
        <f>IF(K6=0,0,K6/TrAvia_act!K14*1000)</f>
        <v>20853.931037102775</v>
      </c>
      <c r="L22" s="11">
        <f>IF(L6=0,0,L6/TrAvia_act!L14*1000)</f>
        <v>23522.362034912978</v>
      </c>
      <c r="M22" s="11">
        <f>IF(M6=0,0,M6/TrAvia_act!M14*1000)</f>
        <v>17513.532805180064</v>
      </c>
      <c r="N22" s="11">
        <f>IF(N6=0,0,N6/TrAvia_act!N14*1000)</f>
        <v>15965.648159325034</v>
      </c>
      <c r="O22" s="11">
        <f>IF(O6=0,0,O6/TrAvia_act!O14*1000)</f>
        <v>15276.145690037136</v>
      </c>
      <c r="P22" s="11">
        <f>IF(P6=0,0,P6/TrAvia_act!P14*1000)</f>
        <v>17852.882630785472</v>
      </c>
      <c r="Q22" s="11">
        <f>IF(Q6=0,0,Q6/TrAvia_act!Q14*1000)</f>
        <v>20249.962187720321</v>
      </c>
      <c r="R22" s="11">
        <f>IF(R6=0,0,R6/TrAvia_act!R14*1000)</f>
        <v>22625.254194267774</v>
      </c>
      <c r="S22" s="11">
        <f>IF(S6=0,0,S6/TrAvia_act!S14*1000)</f>
        <v>26418.917055505492</v>
      </c>
      <c r="T22" s="11">
        <f>IF(T6=0,0,T6/TrAvia_act!T14*1000)</f>
        <v>30113.907991465825</v>
      </c>
      <c r="U22" s="11">
        <f>IF(U6=0,0,U6/TrAvia_act!U14*1000)</f>
        <v>30106.111171028795</v>
      </c>
      <c r="V22" s="11">
        <f>IF(V6=0,0,V6/TrAvia_act!V14*1000)</f>
        <v>23292.962708165469</v>
      </c>
      <c r="W22" s="11">
        <f>IF(W6=0,0,W6/TrAvia_act!W14*1000)</f>
        <v>26911.720696406988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12605.346220396892</v>
      </c>
      <c r="C24" s="84">
        <f>IF(C8=0,0,C8/TrAvia_act!C16*1000)</f>
        <v>13367.512417863018</v>
      </c>
      <c r="D24" s="84">
        <f>IF(D8=0,0,D8/TrAvia_act!D16*1000)</f>
        <v>13562.556926094954</v>
      </c>
      <c r="E24" s="84">
        <f>IF(E8=0,0,E8/TrAvia_act!E16*1000)</f>
        <v>13037.107508835494</v>
      </c>
      <c r="F24" s="84">
        <f>IF(F8=0,0,F8/TrAvia_act!F16*1000)</f>
        <v>13635.891127717474</v>
      </c>
      <c r="G24" s="84">
        <f>IF(G8=0,0,G8/TrAvia_act!G16*1000)</f>
        <v>12377.236518064386</v>
      </c>
      <c r="H24" s="84">
        <f>IF(H8=0,0,H8/TrAvia_act!H16*1000)</f>
        <v>11834.782611147226</v>
      </c>
      <c r="I24" s="84">
        <f>IF(I8=0,0,I8/TrAvia_act!I16*1000)</f>
        <v>14719.551175625633</v>
      </c>
      <c r="J24" s="84">
        <f>IF(J8=0,0,J8/TrAvia_act!J16*1000)</f>
        <v>14821.336767753837</v>
      </c>
      <c r="K24" s="84">
        <f>IF(K8=0,0,K8/TrAvia_act!K16*1000)</f>
        <v>21223.252621570628</v>
      </c>
      <c r="L24" s="84">
        <f>IF(L8=0,0,L8/TrAvia_act!L16*1000)</f>
        <v>24892.719399385547</v>
      </c>
      <c r="M24" s="84">
        <f>IF(M8=0,0,M8/TrAvia_act!M16*1000)</f>
        <v>17333.301559352793</v>
      </c>
      <c r="N24" s="84">
        <f>IF(N8=0,0,N8/TrAvia_act!N16*1000)</f>
        <v>15127.276026602676</v>
      </c>
      <c r="O24" s="84">
        <f>IF(O8=0,0,O8/TrAvia_act!O16*1000)</f>
        <v>14493.856732214557</v>
      </c>
      <c r="P24" s="84">
        <f>IF(P8=0,0,P8/TrAvia_act!P16*1000)</f>
        <v>17270.791486152284</v>
      </c>
      <c r="Q24" s="84">
        <f>IF(Q8=0,0,Q8/TrAvia_act!Q16*1000)</f>
        <v>20471.362657969381</v>
      </c>
      <c r="R24" s="84">
        <f>IF(R8=0,0,R8/TrAvia_act!R16*1000)</f>
        <v>22682.709407131337</v>
      </c>
      <c r="S24" s="84">
        <f>IF(S8=0,0,S8/TrAvia_act!S16*1000)</f>
        <v>27699.098881722402</v>
      </c>
      <c r="T24" s="84">
        <f>IF(T8=0,0,T8/TrAvia_act!T16*1000)</f>
        <v>32957.643773432283</v>
      </c>
      <c r="U24" s="84">
        <f>IF(U8=0,0,U8/TrAvia_act!U16*1000)</f>
        <v>33502.167629138639</v>
      </c>
      <c r="V24" s="84">
        <f>IF(V8=0,0,V8/TrAvia_act!V16*1000)</f>
        <v>22431.228427787417</v>
      </c>
      <c r="W24" s="84">
        <f>IF(W8=0,0,W8/TrAvia_act!W16*1000)</f>
        <v>27851.93603511752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22618.081062481677</v>
      </c>
      <c r="C25" s="84">
        <f>IF(C9=0,0,C9/TrAvia_act!C17*1000)</f>
        <v>23987.180705461342</v>
      </c>
      <c r="D25" s="84">
        <f>IF(D9=0,0,D9/TrAvia_act!D17*1000)</f>
        <v>24338.619038749879</v>
      </c>
      <c r="E25" s="84">
        <f>IF(E9=0,0,E9/TrAvia_act!E17*1000)</f>
        <v>23396.336140318024</v>
      </c>
      <c r="F25" s="84">
        <f>IF(F9=0,0,F9/TrAvia_act!F17*1000)</f>
        <v>24472.265706275328</v>
      </c>
      <c r="G25" s="84">
        <f>IF(G9=0,0,G9/TrAvia_act!G17*1000)</f>
        <v>23030.39130712871</v>
      </c>
      <c r="H25" s="84">
        <f>IF(H9=0,0,H9/TrAvia_act!H17*1000)</f>
        <v>21729.837906849436</v>
      </c>
      <c r="I25" s="84">
        <f>IF(I9=0,0,I9/TrAvia_act!I17*1000)</f>
        <v>18214.568475890326</v>
      </c>
      <c r="J25" s="84">
        <f>IF(J9=0,0,J9/TrAvia_act!J17*1000)</f>
        <v>16543.262724494529</v>
      </c>
      <c r="K25" s="84">
        <f>IF(K9=0,0,K9/TrAvia_act!K17*1000)</f>
        <v>19881.43650917957</v>
      </c>
      <c r="L25" s="84">
        <f>IF(L9=0,0,L9/TrAvia_act!L17*1000)</f>
        <v>20311.056482236479</v>
      </c>
      <c r="M25" s="84">
        <f>IF(M9=0,0,M9/TrAvia_act!M17*1000)</f>
        <v>18042.036425382197</v>
      </c>
      <c r="N25" s="84">
        <f>IF(N9=0,0,N9/TrAvia_act!N17*1000)</f>
        <v>18946.616000299462</v>
      </c>
      <c r="O25" s="84">
        <f>IF(O9=0,0,O9/TrAvia_act!O17*1000)</f>
        <v>18116.508558744063</v>
      </c>
      <c r="P25" s="84">
        <f>IF(P9=0,0,P9/TrAvia_act!P17*1000)</f>
        <v>19789.537055834255</v>
      </c>
      <c r="Q25" s="84">
        <f>IF(Q9=0,0,Q9/TrAvia_act!Q17*1000)</f>
        <v>19629.367588690995</v>
      </c>
      <c r="R25" s="84">
        <f>IF(R9=0,0,R9/TrAvia_act!R17*1000)</f>
        <v>22447.879483878663</v>
      </c>
      <c r="S25" s="84">
        <f>IF(S9=0,0,S9/TrAvia_act!S17*1000)</f>
        <v>22927.779465798674</v>
      </c>
      <c r="T25" s="84">
        <f>IF(T9=0,0,T9/TrAvia_act!T17*1000)</f>
        <v>23554.158501413571</v>
      </c>
      <c r="U25" s="84">
        <f>IF(U9=0,0,U9/TrAvia_act!U17*1000)</f>
        <v>22870.475396257185</v>
      </c>
      <c r="V25" s="84">
        <f>IF(V9=0,0,V9/TrAvia_act!V17*1000)</f>
        <v>25751.000177881368</v>
      </c>
      <c r="W25" s="84">
        <f>IF(W9=0,0,W9/TrAvia_act!W17*1000)</f>
        <v>24548.741646571161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29195.623949777033</v>
      </c>
      <c r="C26" s="13">
        <f>IF(C10=0,0,C10/TrAvia_act!C18*1000)</f>
        <v>31352.518053722877</v>
      </c>
      <c r="D26" s="13">
        <f>IF(D10=0,0,D10/TrAvia_act!D18*1000)</f>
        <v>31854.725587674824</v>
      </c>
      <c r="E26" s="13">
        <f>IF(E10=0,0,E10/TrAvia_act!E18*1000)</f>
        <v>30578.384462167105</v>
      </c>
      <c r="F26" s="13">
        <f>IF(F10=0,0,F10/TrAvia_act!F18*1000)</f>
        <v>32168.156032238316</v>
      </c>
      <c r="G26" s="13">
        <f>IF(G10=0,0,G10/TrAvia_act!G18*1000)</f>
        <v>30562.037045219116</v>
      </c>
      <c r="H26" s="13">
        <f>IF(H10=0,0,H10/TrAvia_act!H18*1000)</f>
        <v>27246.426991054239</v>
      </c>
      <c r="I26" s="13">
        <f>IF(I10=0,0,I10/TrAvia_act!I18*1000)</f>
        <v>22856.983354751974</v>
      </c>
      <c r="J26" s="13">
        <f>IF(J10=0,0,J10/TrAvia_act!J18*1000)</f>
        <v>20078.315763744922</v>
      </c>
      <c r="K26" s="13">
        <f>IF(K10=0,0,K10/TrAvia_act!K18*1000)</f>
        <v>23054.480550027067</v>
      </c>
      <c r="L26" s="13">
        <f>IF(L10=0,0,L10/TrAvia_act!L18*1000)</f>
        <v>22332.903493245438</v>
      </c>
      <c r="M26" s="13">
        <f>IF(M10=0,0,M10/TrAvia_act!M18*1000)</f>
        <v>22514.498291476262</v>
      </c>
      <c r="N26" s="13">
        <f>IF(N10=0,0,N10/TrAvia_act!N18*1000)</f>
        <v>25133.768227802935</v>
      </c>
      <c r="O26" s="13">
        <f>IF(O10=0,0,O10/TrAvia_act!O18*1000)</f>
        <v>23516.980260202112</v>
      </c>
      <c r="P26" s="13">
        <f>IF(P10=0,0,P10/TrAvia_act!P18*1000)</f>
        <v>25655.996686152816</v>
      </c>
      <c r="Q26" s="13">
        <f>IF(Q10=0,0,Q10/TrAvia_act!Q18*1000)</f>
        <v>24966.470811626219</v>
      </c>
      <c r="R26" s="13">
        <f>IF(R10=0,0,R10/TrAvia_act!R18*1000)</f>
        <v>26701.285111094654</v>
      </c>
      <c r="S26" s="13">
        <f>IF(S10=0,0,S10/TrAvia_act!S18*1000)</f>
        <v>24839.458922146372</v>
      </c>
      <c r="T26" s="13">
        <f>IF(T10=0,0,T10/TrAvia_act!T18*1000)</f>
        <v>23909.480940427762</v>
      </c>
      <c r="U26" s="13">
        <f>IF(U10=0,0,U10/TrAvia_act!U18*1000)</f>
        <v>23335.286114492559</v>
      </c>
      <c r="V26" s="13">
        <f>IF(V10=0,0,V10/TrAvia_act!V18*1000)</f>
        <v>19864.490336537627</v>
      </c>
      <c r="W26" s="13">
        <f>IF(W10=0,0,W10/TrAvia_act!W18*1000)</f>
        <v>18219.112200835345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18155.371179673439</v>
      </c>
      <c r="C28" s="102">
        <f>IF(C12=0,0,C12/TrAvia_act!C20*1000)</f>
        <v>15512.231074998379</v>
      </c>
      <c r="D28" s="102">
        <f>IF(D12=0,0,D12/TrAvia_act!D20*1000)</f>
        <v>12638.695520487745</v>
      </c>
      <c r="E28" s="102">
        <f>IF(E12=0,0,E12/TrAvia_act!E20*1000)</f>
        <v>15046.157216896034</v>
      </c>
      <c r="F28" s="102">
        <f>IF(F12=0,0,F12/TrAvia_act!F20*1000)</f>
        <v>17092.029856634254</v>
      </c>
      <c r="G28" s="102">
        <f>IF(G12=0,0,G12/TrAvia_act!G20*1000)</f>
        <v>15574.919208265059</v>
      </c>
      <c r="H28" s="102">
        <f>IF(H12=0,0,H12/TrAvia_act!H20*1000)</f>
        <v>12215.877647690972</v>
      </c>
      <c r="I28" s="102">
        <f>IF(I12=0,0,I12/TrAvia_act!I20*1000)</f>
        <v>15438.182437442263</v>
      </c>
      <c r="J28" s="102">
        <f>IF(J12=0,0,J12/TrAvia_act!J20*1000)</f>
        <v>16387.577753678153</v>
      </c>
      <c r="K28" s="102">
        <f>IF(K12=0,0,K12/TrAvia_act!K20*1000)</f>
        <v>21089.527900691974</v>
      </c>
      <c r="L28" s="102">
        <f>IF(L12=0,0,L12/TrAvia_act!L20*1000)</f>
        <v>21681.187082482033</v>
      </c>
      <c r="M28" s="102">
        <f>IF(M12=0,0,M12/TrAvia_act!M20*1000)</f>
        <v>15819.665605708851</v>
      </c>
      <c r="N28" s="102">
        <f>IF(N12=0,0,N12/TrAvia_act!N20*1000)</f>
        <v>14933.396779120454</v>
      </c>
      <c r="O28" s="102">
        <f>IF(O12=0,0,O12/TrAvia_act!O20*1000)</f>
        <v>14466.953619986285</v>
      </c>
      <c r="P28" s="102">
        <f>IF(P12=0,0,P12/TrAvia_act!P20*1000)</f>
        <v>17744.030286358309</v>
      </c>
      <c r="Q28" s="102">
        <f>IF(Q12=0,0,Q12/TrAvia_act!Q20*1000)</f>
        <v>21137.008932702156</v>
      </c>
      <c r="R28" s="102">
        <f>IF(R12=0,0,R12/TrAvia_act!R20*1000)</f>
        <v>23638.493379057865</v>
      </c>
      <c r="S28" s="102">
        <f>IF(S12=0,0,S12/TrAvia_act!S20*1000)</f>
        <v>31975.844499725717</v>
      </c>
      <c r="T28" s="102">
        <f>IF(T12=0,0,T12/TrAvia_act!T20*1000)</f>
        <v>35881.644704515726</v>
      </c>
      <c r="U28" s="102">
        <f>IF(U12=0,0,U12/TrAvia_act!U20*1000)</f>
        <v>41155.040708493107</v>
      </c>
      <c r="V28" s="102">
        <f>IF(V12=0,0,V12/TrAvia_act!V20*1000)</f>
        <v>26675.422985840585</v>
      </c>
      <c r="W28" s="102">
        <f>IF(W12=0,0,W12/TrAvia_act!W20*1000)</f>
        <v>30384.402530862997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30238.664240436035</v>
      </c>
      <c r="C29" s="86">
        <f>IF(C13=0,0,C13/TrAvia_act!C21*1000)</f>
        <v>32069.046946263177</v>
      </c>
      <c r="D29" s="86">
        <f>IF(D13=0,0,D13/TrAvia_act!D21*1000)</f>
        <v>32538.893425819671</v>
      </c>
      <c r="E29" s="86">
        <f>IF(E13=0,0,E13/TrAvia_act!E21*1000)</f>
        <v>31279.13243608435</v>
      </c>
      <c r="F29" s="86">
        <f>IF(F13=0,0,F13/TrAvia_act!F21*1000)</f>
        <v>32717.568915353539</v>
      </c>
      <c r="G29" s="86">
        <f>IF(G13=0,0,G13/TrAvia_act!G21*1000)</f>
        <v>31159.269016179896</v>
      </c>
      <c r="H29" s="86">
        <f>IF(H13=0,0,H13/TrAvia_act!H21*1000)</f>
        <v>27623.826123669412</v>
      </c>
      <c r="I29" s="86">
        <f>IF(I13=0,0,I13/TrAvia_act!I21*1000)</f>
        <v>23048.999070855789</v>
      </c>
      <c r="J29" s="86">
        <f>IF(J13=0,0,J13/TrAvia_act!J21*1000)</f>
        <v>20185.63334701366</v>
      </c>
      <c r="K29" s="86">
        <f>IF(K13=0,0,K13/TrAvia_act!K21*1000)</f>
        <v>23113.214718488005</v>
      </c>
      <c r="L29" s="86">
        <f>IF(L13=0,0,L13/TrAvia_act!L21*1000)</f>
        <v>22354.585363166138</v>
      </c>
      <c r="M29" s="86">
        <f>IF(M13=0,0,M13/TrAvia_act!M21*1000)</f>
        <v>22679.224680997639</v>
      </c>
      <c r="N29" s="86">
        <f>IF(N13=0,0,N13/TrAvia_act!N21*1000)</f>
        <v>25429.938507188865</v>
      </c>
      <c r="O29" s="86">
        <f>IF(O13=0,0,O13/TrAvia_act!O21*1000)</f>
        <v>23788.643444362959</v>
      </c>
      <c r="P29" s="86">
        <f>IF(P13=0,0,P13/TrAvia_act!P21*1000)</f>
        <v>25910.43230696116</v>
      </c>
      <c r="Q29" s="86">
        <f>IF(Q13=0,0,Q13/TrAvia_act!Q21*1000)</f>
        <v>25065.505123282364</v>
      </c>
      <c r="R29" s="86">
        <f>IF(R13=0,0,R13/TrAvia_act!R21*1000)</f>
        <v>26762.344102448194</v>
      </c>
      <c r="S29" s="86">
        <f>IF(S13=0,0,S13/TrAvia_act!S21*1000)</f>
        <v>24679.094956301193</v>
      </c>
      <c r="T29" s="86">
        <f>IF(T13=0,0,T13/TrAvia_act!T21*1000)</f>
        <v>23655.125128979664</v>
      </c>
      <c r="U29" s="86">
        <f>IF(U13=0,0,U13/TrAvia_act!U21*1000)</f>
        <v>22955.638305220134</v>
      </c>
      <c r="V29" s="86">
        <f>IF(V13=0,0,V13/TrAvia_act!V21*1000)</f>
        <v>19766.97623816305</v>
      </c>
      <c r="W29" s="86">
        <f>IF(W13=0,0,W13/TrAvia_act!W21*1000)</f>
        <v>18024.963105726354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240.43270766077259</v>
      </c>
      <c r="C32" s="14">
        <f>IF(C6=0,0,C6/TrAvia_act!C4*1000)</f>
        <v>251.34725037157102</v>
      </c>
      <c r="D32" s="14">
        <f>IF(D6=0,0,D6/TrAvia_act!D4*1000)</f>
        <v>254.04988952140079</v>
      </c>
      <c r="E32" s="14">
        <f>IF(E6=0,0,E6/TrAvia_act!E4*1000)</f>
        <v>246.3512318020569</v>
      </c>
      <c r="F32" s="14">
        <f>IF(F6=0,0,F6/TrAvia_act!F4*1000)</f>
        <v>259.86873980913106</v>
      </c>
      <c r="G32" s="14">
        <f>IF(G6=0,0,G6/TrAvia_act!G4*1000)</f>
        <v>229.644581887925</v>
      </c>
      <c r="H32" s="14">
        <f>IF(H6=0,0,H6/TrAvia_act!H4*1000)</f>
        <v>223.61167120974443</v>
      </c>
      <c r="I32" s="14">
        <f>IF(I6=0,0,I6/TrAvia_act!I4*1000)</f>
        <v>248.86786110730472</v>
      </c>
      <c r="J32" s="14">
        <f>IF(J6=0,0,J6/TrAvia_act!J4*1000)</f>
        <v>240.23614705090844</v>
      </c>
      <c r="K32" s="14">
        <f>IF(K6=0,0,K6/TrAvia_act!K4*1000)</f>
        <v>322.13005968188804</v>
      </c>
      <c r="L32" s="14">
        <f>IF(L6=0,0,L6/TrAvia_act!L4*1000)</f>
        <v>343.24336524917896</v>
      </c>
      <c r="M32" s="14">
        <f>IF(M6=0,0,M6/TrAvia_act!M4*1000)</f>
        <v>264.8365393911439</v>
      </c>
      <c r="N32" s="14">
        <f>IF(N6=0,0,N6/TrAvia_act!N4*1000)</f>
        <v>247.49406506337141</v>
      </c>
      <c r="O32" s="14">
        <f>IF(O6=0,0,O6/TrAvia_act!O4*1000)</f>
        <v>212.80800329437511</v>
      </c>
      <c r="P32" s="14">
        <f>IF(P6=0,0,P6/TrAvia_act!P4*1000)</f>
        <v>233.31200472586676</v>
      </c>
      <c r="Q32" s="14">
        <f>IF(Q6=0,0,Q6/TrAvia_act!Q4*1000)</f>
        <v>255.72470319129559</v>
      </c>
      <c r="R32" s="14">
        <f>IF(R6=0,0,R6/TrAvia_act!R4*1000)</f>
        <v>279.10126448340469</v>
      </c>
      <c r="S32" s="14">
        <f>IF(S6=0,0,S6/TrAvia_act!S4*1000)</f>
        <v>300.48808074672922</v>
      </c>
      <c r="T32" s="14">
        <f>IF(T6=0,0,T6/TrAvia_act!T4*1000)</f>
        <v>338.16660915991054</v>
      </c>
      <c r="U32" s="14">
        <f>IF(U6=0,0,U6/TrAvia_act!U4*1000)</f>
        <v>324.19416348322483</v>
      </c>
      <c r="V32" s="14">
        <f>IF(V6=0,0,V6/TrAvia_act!V4*1000)</f>
        <v>293.82444503148861</v>
      </c>
      <c r="W32" s="14">
        <f>IF(W6=0,0,W6/TrAvia_act!W4*1000)</f>
        <v>291.33059448514445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212.06593359670941</v>
      </c>
      <c r="C34" s="87">
        <f>IF(C8=0,0,C8/TrAvia_act!C6*1000)</f>
        <v>222.30201181536836</v>
      </c>
      <c r="D34" s="87">
        <f>IF(D8=0,0,D8/TrAvia_act!D6*1000)</f>
        <v>225.4944053795324</v>
      </c>
      <c r="E34" s="87">
        <f>IF(E8=0,0,E8/TrAvia_act!E6*1000)</f>
        <v>219.7807819944957</v>
      </c>
      <c r="F34" s="87">
        <f>IF(F8=0,0,F8/TrAvia_act!F6*1000)</f>
        <v>233.22410227731049</v>
      </c>
      <c r="G34" s="87">
        <f>IF(G8=0,0,G8/TrAvia_act!G6*1000)</f>
        <v>215.6673011816485</v>
      </c>
      <c r="H34" s="87">
        <f>IF(H8=0,0,H8/TrAvia_act!H6*1000)</f>
        <v>216.80915719577308</v>
      </c>
      <c r="I34" s="87">
        <f>IF(I8=0,0,I8/TrAvia_act!I6*1000)</f>
        <v>274.85533282612147</v>
      </c>
      <c r="J34" s="87">
        <f>IF(J8=0,0,J8/TrAvia_act!J6*1000)</f>
        <v>291.60790479480977</v>
      </c>
      <c r="K34" s="87">
        <f>IF(K8=0,0,K8/TrAvia_act!K6*1000)</f>
        <v>422.90898128578948</v>
      </c>
      <c r="L34" s="87">
        <f>IF(L8=0,0,L8/TrAvia_act!L6*1000)</f>
        <v>471.40970013300512</v>
      </c>
      <c r="M34" s="87">
        <f>IF(M8=0,0,M8/TrAvia_act!M6*1000)</f>
        <v>308.80507402420841</v>
      </c>
      <c r="N34" s="87">
        <f>IF(N8=0,0,N8/TrAvia_act!N6*1000)</f>
        <v>261.65211687163361</v>
      </c>
      <c r="O34" s="87">
        <f>IF(O8=0,0,O8/TrAvia_act!O6*1000)</f>
        <v>219.39085944696976</v>
      </c>
      <c r="P34" s="87">
        <f>IF(P8=0,0,P8/TrAvia_act!P6*1000)</f>
        <v>247.57291540707314</v>
      </c>
      <c r="Q34" s="87">
        <f>IF(Q8=0,0,Q8/TrAvia_act!Q6*1000)</f>
        <v>272.12800774882675</v>
      </c>
      <c r="R34" s="87">
        <f>IF(R8=0,0,R8/TrAvia_act!R6*1000)</f>
        <v>284.30785585655997</v>
      </c>
      <c r="S34" s="87">
        <f>IF(S8=0,0,S8/TrAvia_act!S6*1000)</f>
        <v>314.24516557375415</v>
      </c>
      <c r="T34" s="87">
        <f>IF(T8=0,0,T8/TrAvia_act!T6*1000)</f>
        <v>364.10772185620556</v>
      </c>
      <c r="U34" s="87">
        <f>IF(U8=0,0,U8/TrAvia_act!U6*1000)</f>
        <v>356.14591719460066</v>
      </c>
      <c r="V34" s="87">
        <f>IF(V8=0,0,V8/TrAvia_act!V6*1000)</f>
        <v>281.64214182381841</v>
      </c>
      <c r="W34" s="87">
        <f>IF(W8=0,0,W8/TrAvia_act!W6*1000)</f>
        <v>302.81176865621467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407.20710445060445</v>
      </c>
      <c r="C35" s="87">
        <f>IF(C9=0,0,C9/TrAvia_act!C7*1000)</f>
        <v>418.88472178984961</v>
      </c>
      <c r="D35" s="87">
        <f>IF(D9=0,0,D9/TrAvia_act!D7*1000)</f>
        <v>414.87403643814099</v>
      </c>
      <c r="E35" s="87">
        <f>IF(E9=0,0,E9/TrAvia_act!E7*1000)</f>
        <v>391.11259961378619</v>
      </c>
      <c r="F35" s="87">
        <f>IF(F9=0,0,F9/TrAvia_act!F7*1000)</f>
        <v>399.60910975512763</v>
      </c>
      <c r="G35" s="87">
        <f>IF(G9=0,0,G9/TrAvia_act!G7*1000)</f>
        <v>287.55848653068568</v>
      </c>
      <c r="H35" s="87">
        <f>IF(H9=0,0,H9/TrAvia_act!H7*1000)</f>
        <v>247.95703437623476</v>
      </c>
      <c r="I35" s="87">
        <f>IF(I9=0,0,I9/TrAvia_act!I7*1000)</f>
        <v>191.10461556377578</v>
      </c>
      <c r="J35" s="87">
        <f>IF(J9=0,0,J9/TrAvia_act!J7*1000)</f>
        <v>157.33009377221214</v>
      </c>
      <c r="K35" s="87">
        <f>IF(K9=0,0,K9/TrAvia_act!K7*1000)</f>
        <v>192.91102253567632</v>
      </c>
      <c r="L35" s="87">
        <f>IF(L9=0,0,L9/TrAvia_act!L7*1000)</f>
        <v>192.74219577806997</v>
      </c>
      <c r="M35" s="87">
        <f>IF(M9=0,0,M9/TrAvia_act!M7*1000)</f>
        <v>189.01813289920389</v>
      </c>
      <c r="N35" s="87">
        <f>IF(N9=0,0,N9/TrAvia_act!N7*1000)</f>
        <v>214.53815420574907</v>
      </c>
      <c r="O35" s="87">
        <f>IF(O9=0,0,O9/TrAvia_act!O7*1000)</f>
        <v>195.74691072169486</v>
      </c>
      <c r="P35" s="87">
        <f>IF(P9=0,0,P9/TrAvia_act!P7*1000)</f>
        <v>199.88073886281947</v>
      </c>
      <c r="Q35" s="87">
        <f>IF(Q9=0,0,Q9/TrAvia_act!Q7*1000)</f>
        <v>217.41434605138573</v>
      </c>
      <c r="R35" s="87">
        <f>IF(R9=0,0,R9/TrAvia_act!R7*1000)</f>
        <v>264.01850287937532</v>
      </c>
      <c r="S35" s="87">
        <f>IF(S9=0,0,S9/TrAvia_act!S7*1000)</f>
        <v>262.61152011222629</v>
      </c>
      <c r="T35" s="87">
        <f>IF(T9=0,0,T9/TrAvia_act!T7*1000)</f>
        <v>274.94197406115558</v>
      </c>
      <c r="U35" s="87">
        <f>IF(U9=0,0,U9/TrAvia_act!U7*1000)</f>
        <v>253.27564290744226</v>
      </c>
      <c r="V35" s="87">
        <f>IF(V9=0,0,V9/TrAvia_act!V7*1000)</f>
        <v>329.20569674381312</v>
      </c>
      <c r="W35" s="87">
        <f>IF(W9=0,0,W9/TrAvia_act!W7*1000)</f>
        <v>262.90727172102032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327.56212096568186</v>
      </c>
      <c r="C36" s="15">
        <f>IF(C10=0,0,C10/TrAvia_act!C8*1000)</f>
        <v>323.3667998068081</v>
      </c>
      <c r="D36" s="15">
        <f>IF(D10=0,0,D10/TrAvia_act!D8*1000)</f>
        <v>345.11105452263035</v>
      </c>
      <c r="E36" s="15">
        <f>IF(E10=0,0,E10/TrAvia_act!E8*1000)</f>
        <v>366.07820508722727</v>
      </c>
      <c r="F36" s="15">
        <f>IF(F10=0,0,F10/TrAvia_act!F8*1000)</f>
        <v>394.42304482609256</v>
      </c>
      <c r="G36" s="15">
        <f>IF(G10=0,0,G10/TrAvia_act!G8*1000)</f>
        <v>399.13380580640751</v>
      </c>
      <c r="H36" s="15">
        <f>IF(H10=0,0,H10/TrAvia_act!H8*1000)</f>
        <v>364.74165974183762</v>
      </c>
      <c r="I36" s="15">
        <f>IF(I10=0,0,I10/TrAvia_act!I8*1000)</f>
        <v>311.21958407778652</v>
      </c>
      <c r="J36" s="15">
        <f>IF(J10=0,0,J10/TrAvia_act!J8*1000)</f>
        <v>279.4839086788167</v>
      </c>
      <c r="K36" s="15">
        <f>IF(K10=0,0,K10/TrAvia_act!K8*1000)</f>
        <v>284.98078323079505</v>
      </c>
      <c r="L36" s="15">
        <f>IF(L10=0,0,L10/TrAvia_act!L8*1000)</f>
        <v>272.32234289649841</v>
      </c>
      <c r="M36" s="15">
        <f>IF(M10=0,0,M10/TrAvia_act!M8*1000)</f>
        <v>260.69490453679924</v>
      </c>
      <c r="N36" s="15">
        <f>IF(N10=0,0,N10/TrAvia_act!N8*1000)</f>
        <v>270.21945233642032</v>
      </c>
      <c r="O36" s="15">
        <f>IF(O10=0,0,O10/TrAvia_act!O8*1000)</f>
        <v>265.52373287920591</v>
      </c>
      <c r="P36" s="15">
        <f>IF(P10=0,0,P10/TrAvia_act!P8*1000)</f>
        <v>255.28794108526736</v>
      </c>
      <c r="Q36" s="15">
        <f>IF(Q10=0,0,Q10/TrAvia_act!Q8*1000)</f>
        <v>258.17334180305369</v>
      </c>
      <c r="R36" s="15">
        <f>IF(R10=0,0,R10/TrAvia_act!R8*1000)</f>
        <v>251.63155927905385</v>
      </c>
      <c r="S36" s="15">
        <f>IF(S10=0,0,S10/TrAvia_act!S8*1000)</f>
        <v>239.51362695948924</v>
      </c>
      <c r="T36" s="15">
        <f>IF(T10=0,0,T10/TrAvia_act!T8*1000)</f>
        <v>218.1352587069143</v>
      </c>
      <c r="U36" s="15">
        <f>IF(U10=0,0,U10/TrAvia_act!U8*1000)</f>
        <v>195.40606446882609</v>
      </c>
      <c r="V36" s="15">
        <f>IF(V10=0,0,V10/TrAvia_act!V8*1000)</f>
        <v>261.61144371231001</v>
      </c>
      <c r="W36" s="15">
        <f>IF(W10=0,0,W10/TrAvia_act!W8*1000)</f>
        <v>258.61736697385692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1055.7082964740382</v>
      </c>
      <c r="C38" s="101">
        <f>IF(C12=0,0,C12/TrAvia_act!C10*1000)</f>
        <v>822.3641899371471</v>
      </c>
      <c r="D38" s="101">
        <f>IF(D12=0,0,D12/TrAvia_act!D10*1000)</f>
        <v>656.7976386554069</v>
      </c>
      <c r="E38" s="101">
        <f>IF(E12=0,0,E12/TrAvia_act!E10*1000)</f>
        <v>645.35881979255419</v>
      </c>
      <c r="F38" s="101">
        <f>IF(F12=0,0,F12/TrAvia_act!F10*1000)</f>
        <v>767.09170831797337</v>
      </c>
      <c r="G38" s="101">
        <f>IF(G12=0,0,G12/TrAvia_act!G10*1000)</f>
        <v>696.91941700254404</v>
      </c>
      <c r="H38" s="101">
        <f>IF(H12=0,0,H12/TrAvia_act!H10*1000)</f>
        <v>656.24836673421828</v>
      </c>
      <c r="I38" s="101">
        <f>IF(I12=0,0,I12/TrAvia_act!I10*1000)</f>
        <v>794.42754205598897</v>
      </c>
      <c r="J38" s="101">
        <f>IF(J12=0,0,J12/TrAvia_act!J10*1000)</f>
        <v>796.39686414940775</v>
      </c>
      <c r="K38" s="101">
        <f>IF(K12=0,0,K12/TrAvia_act!K10*1000)</f>
        <v>1024.206285820276</v>
      </c>
      <c r="L38" s="101">
        <f>IF(L12=0,0,L12/TrAvia_act!L10*1000)</f>
        <v>1094.3282127803686</v>
      </c>
      <c r="M38" s="101">
        <f>IF(M12=0,0,M12/TrAvia_act!M10*1000)</f>
        <v>746.86548728817115</v>
      </c>
      <c r="N38" s="101">
        <f>IF(N12=0,0,N12/TrAvia_act!N10*1000)</f>
        <v>628.38778978455059</v>
      </c>
      <c r="O38" s="101">
        <f>IF(O12=0,0,O12/TrAvia_act!O10*1000)</f>
        <v>605.87049122708413</v>
      </c>
      <c r="P38" s="101">
        <f>IF(P12=0,0,P12/TrAvia_act!P10*1000)</f>
        <v>658.85721621829373</v>
      </c>
      <c r="Q38" s="101">
        <f>IF(Q12=0,0,Q12/TrAvia_act!Q10*1000)</f>
        <v>834.14539363861002</v>
      </c>
      <c r="R38" s="101">
        <f>IF(R12=0,0,R12/TrAvia_act!R10*1000)</f>
        <v>818.62269898243392</v>
      </c>
      <c r="S38" s="101">
        <f>IF(S12=0,0,S12/TrAvia_act!S10*1000)</f>
        <v>1180.7851370673673</v>
      </c>
      <c r="T38" s="101">
        <f>IF(T12=0,0,T12/TrAvia_act!T10*1000)</f>
        <v>1307.6984841967062</v>
      </c>
      <c r="U38" s="101">
        <f>IF(U12=0,0,U12/TrAvia_act!U10*1000)</f>
        <v>1471.6650219719108</v>
      </c>
      <c r="V38" s="101">
        <f>IF(V12=0,0,V12/TrAvia_act!V10*1000)</f>
        <v>1162.5329579370405</v>
      </c>
      <c r="W38" s="101">
        <f>IF(W12=0,0,W12/TrAvia_act!W10*1000)</f>
        <v>1421.2079366203343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315.22920745720052</v>
      </c>
      <c r="C39" s="88">
        <f>IF(C13=0,0,C13/TrAvia_act!C11*1000)</f>
        <v>319.12978196457794</v>
      </c>
      <c r="D39" s="88">
        <f>IF(D13=0,0,D13/TrAvia_act!D11*1000)</f>
        <v>342.86094837727535</v>
      </c>
      <c r="E39" s="88">
        <f>IF(E13=0,0,E13/TrAvia_act!E11*1000)</f>
        <v>362.67214151046039</v>
      </c>
      <c r="F39" s="88">
        <f>IF(F13=0,0,F13/TrAvia_act!F11*1000)</f>
        <v>390.8084367839262</v>
      </c>
      <c r="G39" s="88">
        <f>IF(G13=0,0,G13/TrAvia_act!G11*1000)</f>
        <v>395.7654151633547</v>
      </c>
      <c r="H39" s="88">
        <f>IF(H13=0,0,H13/TrAvia_act!H11*1000)</f>
        <v>362.9514835443876</v>
      </c>
      <c r="I39" s="88">
        <f>IF(I13=0,0,I13/TrAvia_act!I11*1000)</f>
        <v>307.97216446861955</v>
      </c>
      <c r="J39" s="88">
        <f>IF(J13=0,0,J13/TrAvia_act!J11*1000)</f>
        <v>275.26625513872762</v>
      </c>
      <c r="K39" s="88">
        <f>IF(K13=0,0,K13/TrAvia_act!K11*1000)</f>
        <v>279.47924289184471</v>
      </c>
      <c r="L39" s="88">
        <f>IF(L13=0,0,L13/TrAvia_act!L11*1000)</f>
        <v>265.87820860218255</v>
      </c>
      <c r="M39" s="88">
        <f>IF(M13=0,0,M13/TrAvia_act!M11*1000)</f>
        <v>257.81454797047007</v>
      </c>
      <c r="N39" s="88">
        <f>IF(N13=0,0,N13/TrAvia_act!N11*1000)</f>
        <v>267.61860691289013</v>
      </c>
      <c r="O39" s="88">
        <f>IF(O13=0,0,O13/TrAvia_act!O11*1000)</f>
        <v>262.82846117886135</v>
      </c>
      <c r="P39" s="88">
        <f>IF(P13=0,0,P13/TrAvia_act!P11*1000)</f>
        <v>251.89005435978541</v>
      </c>
      <c r="Q39" s="88">
        <f>IF(Q13=0,0,Q13/TrAvia_act!Q11*1000)</f>
        <v>254.34337429232212</v>
      </c>
      <c r="R39" s="88">
        <f>IF(R13=0,0,R13/TrAvia_act!R11*1000)</f>
        <v>248.59961825557349</v>
      </c>
      <c r="S39" s="88">
        <f>IF(S13=0,0,S13/TrAvia_act!S11*1000)</f>
        <v>234.08073603671087</v>
      </c>
      <c r="T39" s="88">
        <f>IF(T13=0,0,T13/TrAvia_act!T11*1000)</f>
        <v>212.43126088520839</v>
      </c>
      <c r="U39" s="88">
        <f>IF(U13=0,0,U13/TrAvia_act!U11*1000)</f>
        <v>189.14096071310291</v>
      </c>
      <c r="V39" s="88">
        <f>IF(V13=0,0,V13/TrAvia_act!V11*1000)</f>
        <v>257.75207954539559</v>
      </c>
      <c r="W39" s="88">
        <f>IF(W13=0,0,W13/TrAvia_act!W11*1000)</f>
        <v>253.0485589139322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46198.916131254191</v>
      </c>
      <c r="C41" s="54">
        <f>IF(C3=0,0,C3/TrAvia_act!C23*1000000)</f>
        <v>48031.451978481768</v>
      </c>
      <c r="D41" s="54">
        <f>IF(D3=0,0,D3/TrAvia_act!D23*1000000)</f>
        <v>48283.824336845704</v>
      </c>
      <c r="E41" s="54">
        <f>IF(E3=0,0,E3/TrAvia_act!E23*1000000)</f>
        <v>47329.494552023105</v>
      </c>
      <c r="F41" s="54">
        <f>IF(F3=0,0,F3/TrAvia_act!F23*1000000)</f>
        <v>48433.303569028656</v>
      </c>
      <c r="G41" s="54">
        <f>IF(G3=0,0,G3/TrAvia_act!G23*1000000)</f>
        <v>48186.962186899298</v>
      </c>
      <c r="H41" s="54">
        <f>IF(H3=0,0,H3/TrAvia_act!H23*1000000)</f>
        <v>44491.904607753757</v>
      </c>
      <c r="I41" s="54">
        <f>IF(I3=0,0,I3/TrAvia_act!I23*1000000)</f>
        <v>46484.898415399322</v>
      </c>
      <c r="J41" s="54">
        <f>IF(J3=0,0,J3/TrAvia_act!J23*1000000)</f>
        <v>44293.99500000001</v>
      </c>
      <c r="K41" s="54">
        <f>IF(K3=0,0,K3/TrAvia_act!K23*1000000)</f>
        <v>49361.459721365856</v>
      </c>
      <c r="L41" s="54">
        <f>IF(L3=0,0,L3/TrAvia_act!L23*1000000)</f>
        <v>50494.304172437944</v>
      </c>
      <c r="M41" s="54">
        <f>IF(M3=0,0,M3/TrAvia_act!M23*1000000)</f>
        <v>44856.45179547806</v>
      </c>
      <c r="N41" s="54">
        <f>IF(N3=0,0,N3/TrAvia_act!N23*1000000)</f>
        <v>41629.4555451505</v>
      </c>
      <c r="O41" s="54">
        <f>IF(O3=0,0,O3/TrAvia_act!O23*1000000)</f>
        <v>40457.599312601124</v>
      </c>
      <c r="P41" s="54">
        <f>IF(P3=0,0,P3/TrAvia_act!P23*1000000)</f>
        <v>43724.697488372105</v>
      </c>
      <c r="Q41" s="54">
        <f>IF(Q3=0,0,Q3/TrAvia_act!Q23*1000000)</f>
        <v>48461.917205571976</v>
      </c>
      <c r="R41" s="54">
        <f>IF(R3=0,0,R3/TrAvia_act!R23*1000000)</f>
        <v>52038.734815672127</v>
      </c>
      <c r="S41" s="54">
        <f>IF(S3=0,0,S3/TrAvia_act!S23*1000000)</f>
        <v>54123.665258477638</v>
      </c>
      <c r="T41" s="54">
        <f>IF(T3=0,0,T3/TrAvia_act!T23*1000000)</f>
        <v>54420.004953480158</v>
      </c>
      <c r="U41" s="54">
        <f>IF(U3=0,0,U3/TrAvia_act!U23*1000000)</f>
        <v>52563.715907901627</v>
      </c>
      <c r="V41" s="54">
        <f>IF(V3=0,0,V3/TrAvia_act!V23*1000000)</f>
        <v>79252.061020997877</v>
      </c>
      <c r="W41" s="54">
        <f>IF(W3=0,0,W3/TrAvia_act!W23*1000000)</f>
        <v>78720.518176786325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11907.788083947711</v>
      </c>
      <c r="C42" s="11">
        <f>IF(C6=0,0,C6/TrAvia_act!C24*1000000)</f>
        <v>12627.603452104135</v>
      </c>
      <c r="D42" s="11">
        <f>IF(D6=0,0,D6/TrAvia_act!D24*1000000)</f>
        <v>12811.455954115239</v>
      </c>
      <c r="E42" s="11">
        <f>IF(E6=0,0,E6/TrAvia_act!E24*1000000)</f>
        <v>12314.750744106992</v>
      </c>
      <c r="F42" s="11">
        <f>IF(F6=0,0,F6/TrAvia_act!F24*1000000)</f>
        <v>12880.305799676486</v>
      </c>
      <c r="G42" s="11">
        <f>IF(G6=0,0,G6/TrAvia_act!G24*1000000)</f>
        <v>11546.989583734847</v>
      </c>
      <c r="H42" s="11">
        <f>IF(H6=0,0,H6/TrAvia_act!H24*1000000)</f>
        <v>10822.920943751848</v>
      </c>
      <c r="I42" s="11">
        <f>IF(I6=0,0,I6/TrAvia_act!I24*1000000)</f>
        <v>13254.889614771364</v>
      </c>
      <c r="J42" s="11">
        <f>IF(J6=0,0,J6/TrAvia_act!J24*1000000)</f>
        <v>13309.885050476571</v>
      </c>
      <c r="K42" s="11">
        <f>IF(K6=0,0,K6/TrAvia_act!K24*1000000)</f>
        <v>18563.392538863576</v>
      </c>
      <c r="L42" s="11">
        <f>IF(L6=0,0,L6/TrAvia_act!L24*1000000)</f>
        <v>21569.810354855537</v>
      </c>
      <c r="M42" s="11">
        <f>IF(M6=0,0,M6/TrAvia_act!M24*1000000)</f>
        <v>15440.883703706104</v>
      </c>
      <c r="N42" s="11">
        <f>IF(N6=0,0,N6/TrAvia_act!N24*1000000)</f>
        <v>12840.2579812801</v>
      </c>
      <c r="O42" s="11">
        <f>IF(O6=0,0,O6/TrAvia_act!O24*1000000)</f>
        <v>12394.698549038056</v>
      </c>
      <c r="P42" s="11">
        <f>IF(P6=0,0,P6/TrAvia_act!P24*1000000)</f>
        <v>15676.462646314254</v>
      </c>
      <c r="Q42" s="11">
        <f>IF(Q6=0,0,Q6/TrAvia_act!Q24*1000000)</f>
        <v>19113.185392225114</v>
      </c>
      <c r="R42" s="11">
        <f>IF(R6=0,0,R6/TrAvia_act!R24*1000000)</f>
        <v>21947.972783004388</v>
      </c>
      <c r="S42" s="11">
        <f>IF(S6=0,0,S6/TrAvia_act!S24*1000000)</f>
        <v>27332.323002566034</v>
      </c>
      <c r="T42" s="11">
        <f>IF(T6=0,0,T6/TrAvia_act!T24*1000000)</f>
        <v>32456.539104429317</v>
      </c>
      <c r="U42" s="11">
        <f>IF(U6=0,0,U6/TrAvia_act!U24*1000000)</f>
        <v>33385.909490071441</v>
      </c>
      <c r="V42" s="11">
        <f>IF(V6=0,0,V6/TrAvia_act!V24*1000000)</f>
        <v>28055.061339554144</v>
      </c>
      <c r="W42" s="11">
        <f>IF(W6=0,0,W6/TrAvia_act!W24*1000000)</f>
        <v>37285.915419591372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10074.330152672197</v>
      </c>
      <c r="C44" s="84">
        <f>IF(C8=0,0,C8/TrAvia_act!C26*1000000)</f>
        <v>10682.875887217215</v>
      </c>
      <c r="D44" s="84">
        <f>IF(D8=0,0,D8/TrAvia_act!D26*1000000)</f>
        <v>10838.276547016667</v>
      </c>
      <c r="E44" s="84">
        <f>IF(E8=0,0,E8/TrAvia_act!E26*1000000)</f>
        <v>10418.222837884301</v>
      </c>
      <c r="F44" s="84">
        <f>IF(F8=0,0,F8/TrAvia_act!F26*1000000)</f>
        <v>10896.246894429112</v>
      </c>
      <c r="G44" s="84">
        <f>IF(G8=0,0,G8/TrAvia_act!G26*1000000)</f>
        <v>9693.3816949136162</v>
      </c>
      <c r="H44" s="84">
        <f>IF(H8=0,0,H8/TrAvia_act!H26*1000000)</f>
        <v>9112.9383758516378</v>
      </c>
      <c r="I44" s="84">
        <f>IF(I8=0,0,I8/TrAvia_act!I26*1000000)</f>
        <v>11442.717277939762</v>
      </c>
      <c r="J44" s="84">
        <f>IF(J8=0,0,J8/TrAvia_act!J26*1000000)</f>
        <v>11307.916956482923</v>
      </c>
      <c r="K44" s="84">
        <f>IF(K8=0,0,K8/TrAvia_act!K26*1000000)</f>
        <v>15797.682189844647</v>
      </c>
      <c r="L44" s="84">
        <f>IF(L8=0,0,L8/TrAvia_act!L26*1000000)</f>
        <v>18524.314707793965</v>
      </c>
      <c r="M44" s="84">
        <f>IF(M8=0,0,M8/TrAvia_act!M26*1000000)</f>
        <v>13086.773455738718</v>
      </c>
      <c r="N44" s="84">
        <f>IF(N8=0,0,N8/TrAvia_act!N26*1000000)</f>
        <v>11182.223829220291</v>
      </c>
      <c r="O44" s="84">
        <f>IF(O8=0,0,O8/TrAvia_act!O26*1000000)</f>
        <v>10657.156769844853</v>
      </c>
      <c r="P44" s="84">
        <f>IF(P8=0,0,P8/TrAvia_act!P26*1000000)</f>
        <v>13519.864938720302</v>
      </c>
      <c r="Q44" s="84">
        <f>IF(Q8=0,0,Q8/TrAvia_act!Q26*1000000)</f>
        <v>16354.07687455441</v>
      </c>
      <c r="R44" s="84">
        <f>IF(R8=0,0,R8/TrAvia_act!R26*1000000)</f>
        <v>18538.265491962</v>
      </c>
      <c r="S44" s="84">
        <f>IF(S8=0,0,S8/TrAvia_act!S26*1000000)</f>
        <v>23418.596086918584</v>
      </c>
      <c r="T44" s="84">
        <f>IF(T8=0,0,T8/TrAvia_act!T26*1000000)</f>
        <v>27982.711918459237</v>
      </c>
      <c r="U44" s="84">
        <f>IF(U8=0,0,U8/TrAvia_act!U26*1000000)</f>
        <v>28657.425992421366</v>
      </c>
      <c r="V44" s="84">
        <f>IF(V8=0,0,V8/TrAvia_act!V26*1000000)</f>
        <v>21757.219777468763</v>
      </c>
      <c r="W44" s="84">
        <f>IF(W8=0,0,W8/TrAvia_act!W26*1000000)</f>
        <v>30617.906982344644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26893.477261737258</v>
      </c>
      <c r="C45" s="84">
        <f>IF(C9=0,0,C9/TrAvia_act!C27*1000000)</f>
        <v>28521.371777448501</v>
      </c>
      <c r="D45" s="84">
        <f>IF(D9=0,0,D9/TrAvia_act!D27*1000000)</f>
        <v>28939.240950305779</v>
      </c>
      <c r="E45" s="84">
        <f>IF(E9=0,0,E9/TrAvia_act!E27*1000000)</f>
        <v>27818.842467645092</v>
      </c>
      <c r="F45" s="84">
        <f>IF(F9=0,0,F9/TrAvia_act!F27*1000000)</f>
        <v>29098.150258494821</v>
      </c>
      <c r="G45" s="84">
        <f>IF(G9=0,0,G9/TrAvia_act!G27*1000000)</f>
        <v>28457.582254304249</v>
      </c>
      <c r="H45" s="84">
        <f>IF(H9=0,0,H9/TrAvia_act!H27*1000000)</f>
        <v>26217.904283013751</v>
      </c>
      <c r="I45" s="84">
        <f>IF(I9=0,0,I9/TrAvia_act!I27*1000000)</f>
        <v>26846.983987175121</v>
      </c>
      <c r="J45" s="84">
        <f>IF(J9=0,0,J9/TrAvia_act!J27*1000000)</f>
        <v>28293.053954550949</v>
      </c>
      <c r="K45" s="84">
        <f>IF(K9=0,0,K9/TrAvia_act!K27*1000000)</f>
        <v>36549.845538622532</v>
      </c>
      <c r="L45" s="84">
        <f>IF(L9=0,0,L9/TrAvia_act!L27*1000000)</f>
        <v>40865.497149683084</v>
      </c>
      <c r="M45" s="84">
        <f>IF(M9=0,0,M9/TrAvia_act!M27*1000000)</f>
        <v>31305.418881271438</v>
      </c>
      <c r="N45" s="84">
        <f>IF(N9=0,0,N9/TrAvia_act!N27*1000000)</f>
        <v>22174.114171067402</v>
      </c>
      <c r="O45" s="84">
        <f>IF(O9=0,0,O9/TrAvia_act!O27*1000000)</f>
        <v>23546.076687557103</v>
      </c>
      <c r="P45" s="84">
        <f>IF(P9=0,0,P9/TrAvia_act!P27*1000000)</f>
        <v>29201.570756530404</v>
      </c>
      <c r="Q45" s="84">
        <f>IF(Q9=0,0,Q9/TrAvia_act!Q27*1000000)</f>
        <v>37712.586737890386</v>
      </c>
      <c r="R45" s="84">
        <f>IF(R9=0,0,R9/TrAvia_act!R27*1000000)</f>
        <v>51491.989600489716</v>
      </c>
      <c r="S45" s="84">
        <f>IF(S9=0,0,S9/TrAvia_act!S27*1000000)</f>
        <v>60818.285825627929</v>
      </c>
      <c r="T45" s="84">
        <f>IF(T9=0,0,T9/TrAvia_act!T27*1000000)</f>
        <v>67063.290852186896</v>
      </c>
      <c r="U45" s="84">
        <f>IF(U9=0,0,U9/TrAvia_act!U27*1000000)</f>
        <v>68833.05267903296</v>
      </c>
      <c r="V45" s="84">
        <f>IF(V9=0,0,V9/TrAvia_act!V27*1000000)</f>
        <v>99918.693611205599</v>
      </c>
      <c r="W45" s="84">
        <f>IF(W9=0,0,W9/TrAvia_act!W27*1000000)</f>
        <v>98375.171598811561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130500.06648874326</v>
      </c>
      <c r="C46" s="13">
        <f>IF(C10=0,0,C10/TrAvia_act!C28*1000000)</f>
        <v>148669.70620832095</v>
      </c>
      <c r="D46" s="13">
        <f>IF(D10=0,0,D10/TrAvia_act!D28*1000000)</f>
        <v>151557.95808319666</v>
      </c>
      <c r="E46" s="13">
        <f>IF(E10=0,0,E10/TrAvia_act!E28*1000000)</f>
        <v>142158.05198596563</v>
      </c>
      <c r="F46" s="13">
        <f>IF(F10=0,0,F10/TrAvia_act!F28*1000000)</f>
        <v>154010.73557824231</v>
      </c>
      <c r="G46" s="13">
        <f>IF(G10=0,0,G10/TrAvia_act!G28*1000000)</f>
        <v>145617.6698029699</v>
      </c>
      <c r="H46" s="13">
        <f>IF(H10=0,0,H10/TrAvia_act!H28*1000000)</f>
        <v>134688.46006669136</v>
      </c>
      <c r="I46" s="13">
        <f>IF(I10=0,0,I10/TrAvia_act!I28*1000000)</f>
        <v>117431.96432658668</v>
      </c>
      <c r="J46" s="13">
        <f>IF(J10=0,0,J10/TrAvia_act!J28*1000000)</f>
        <v>104045.58439165172</v>
      </c>
      <c r="K46" s="13">
        <f>IF(K10=0,0,K10/TrAvia_act!K28*1000000)</f>
        <v>119201.04512131974</v>
      </c>
      <c r="L46" s="13">
        <f>IF(L10=0,0,L10/TrAvia_act!L28*1000000)</f>
        <v>115175.61998712739</v>
      </c>
      <c r="M46" s="13">
        <f>IF(M10=0,0,M10/TrAvia_act!M28*1000000)</f>
        <v>122994.65880948528</v>
      </c>
      <c r="N46" s="13">
        <f>IF(N10=0,0,N10/TrAvia_act!N28*1000000)</f>
        <v>128297.38263757703</v>
      </c>
      <c r="O46" s="13">
        <f>IF(O10=0,0,O10/TrAvia_act!O28*1000000)</f>
        <v>118609.09298889471</v>
      </c>
      <c r="P46" s="13">
        <f>IF(P10=0,0,P10/TrAvia_act!P28*1000000)</f>
        <v>129308.60699122176</v>
      </c>
      <c r="Q46" s="13">
        <f>IF(Q10=0,0,Q10/TrAvia_act!Q28*1000000)</f>
        <v>135965.53104906328</v>
      </c>
      <c r="R46" s="13">
        <f>IF(R10=0,0,R10/TrAvia_act!R28*1000000)</f>
        <v>154002.99462848995</v>
      </c>
      <c r="S46" s="13">
        <f>IF(S10=0,0,S10/TrAvia_act!S28*1000000)</f>
        <v>144671.20089985747</v>
      </c>
      <c r="T46" s="13">
        <f>IF(T10=0,0,T10/TrAvia_act!T28*1000000)</f>
        <v>140130.78190136389</v>
      </c>
      <c r="U46" s="13">
        <f>IF(U10=0,0,U10/TrAvia_act!U28*1000000)</f>
        <v>136978.58932055556</v>
      </c>
      <c r="V46" s="13">
        <f>IF(V10=0,0,V10/TrAvia_act!V28*1000000)</f>
        <v>136885.3747492079</v>
      </c>
      <c r="W46" s="13">
        <f>IF(W10=0,0,W10/TrAvia_act!W28*1000000)</f>
        <v>127501.60121833009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29103.632111559065</v>
      </c>
      <c r="C48" s="102">
        <f>IF(C12=0,0,C12/TrAvia_act!C30*1000000)</f>
        <v>20335.924437859096</v>
      </c>
      <c r="D48" s="102">
        <f>IF(D12=0,0,D12/TrAvia_act!D30*1000000)</f>
        <v>14175.723477091384</v>
      </c>
      <c r="E48" s="102">
        <f>IF(E12=0,0,E12/TrAvia_act!E30*1000000)</f>
        <v>17457.422344762104</v>
      </c>
      <c r="F48" s="102">
        <f>IF(F12=0,0,F12/TrAvia_act!F30*1000000)</f>
        <v>20382.268737862563</v>
      </c>
      <c r="G48" s="102">
        <f>IF(G12=0,0,G12/TrAvia_act!G30*1000000)</f>
        <v>18298.379051021642</v>
      </c>
      <c r="H48" s="102">
        <f>IF(H12=0,0,H12/TrAvia_act!H30*1000000)</f>
        <v>12969.217662999901</v>
      </c>
      <c r="I48" s="102">
        <f>IF(I12=0,0,I12/TrAvia_act!I30*1000000)</f>
        <v>15376.524824612256</v>
      </c>
      <c r="J48" s="102">
        <f>IF(J12=0,0,J12/TrAvia_act!J30*1000000)</f>
        <v>14422.509911494277</v>
      </c>
      <c r="K48" s="102">
        <f>IF(K12=0,0,K12/TrAvia_act!K30*1000000)</f>
        <v>16457.527823544595</v>
      </c>
      <c r="L48" s="102">
        <f>IF(L12=0,0,L12/TrAvia_act!L30*1000000)</f>
        <v>16036.208613020277</v>
      </c>
      <c r="M48" s="102">
        <f>IF(M12=0,0,M12/TrAvia_act!M30*1000000)</f>
        <v>11206.204697127661</v>
      </c>
      <c r="N48" s="102">
        <f>IF(N12=0,0,N12/TrAvia_act!N30*1000000)</f>
        <v>9758.1699961182476</v>
      </c>
      <c r="O48" s="102">
        <f>IF(O12=0,0,O12/TrAvia_act!O30*1000000)</f>
        <v>9688.2098731568658</v>
      </c>
      <c r="P48" s="102">
        <f>IF(P12=0,0,P12/TrAvia_act!P30*1000000)</f>
        <v>12884.135708273339</v>
      </c>
      <c r="Q48" s="102">
        <f>IF(Q12=0,0,Q12/TrAvia_act!Q30*1000000)</f>
        <v>16314.322379939635</v>
      </c>
      <c r="R48" s="102">
        <f>IF(R12=0,0,R12/TrAvia_act!R30*1000000)</f>
        <v>18428.351985731108</v>
      </c>
      <c r="S48" s="102">
        <f>IF(S12=0,0,S12/TrAvia_act!S30*1000000)</f>
        <v>26203.678518574285</v>
      </c>
      <c r="T48" s="102">
        <f>IF(T12=0,0,T12/TrAvia_act!T30*1000000)</f>
        <v>29803.102891991777</v>
      </c>
      <c r="U48" s="102">
        <f>IF(U12=0,0,U12/TrAvia_act!U30*1000000)</f>
        <v>34996.13508815971</v>
      </c>
      <c r="V48" s="102">
        <f>IF(V12=0,0,V12/TrAvia_act!V30*1000000)</f>
        <v>24871.924993256674</v>
      </c>
      <c r="W48" s="102">
        <f>IF(W12=0,0,W12/TrAvia_act!W30*1000000)</f>
        <v>31269.645137426709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162642.07346451734</v>
      </c>
      <c r="C49" s="86">
        <f>IF(C13=0,0,C13/TrAvia_act!C31*1000000)</f>
        <v>172486.99373421731</v>
      </c>
      <c r="D49" s="86">
        <f>IF(D13=0,0,D13/TrAvia_act!D31*1000000)</f>
        <v>175014.11613081067</v>
      </c>
      <c r="E49" s="86">
        <f>IF(E13=0,0,E13/TrAvia_act!E31*1000000)</f>
        <v>168238.34925793798</v>
      </c>
      <c r="F49" s="86">
        <f>IF(F13=0,0,F13/TrAvia_act!F31*1000000)</f>
        <v>175975.14244678841</v>
      </c>
      <c r="G49" s="86">
        <f>IF(G13=0,0,G13/TrAvia_act!G31*1000000)</f>
        <v>169046.53993013012</v>
      </c>
      <c r="H49" s="86">
        <f>IF(H13=0,0,H13/TrAvia_act!H31*1000000)</f>
        <v>150357.3009031502</v>
      </c>
      <c r="I49" s="86">
        <f>IF(I13=0,0,I13/TrAvia_act!I31*1000000)</f>
        <v>132700.51161888411</v>
      </c>
      <c r="J49" s="86">
        <f>IF(J13=0,0,J13/TrAvia_act!J31*1000000)</f>
        <v>121932.16521151576</v>
      </c>
      <c r="K49" s="86">
        <f>IF(K13=0,0,K13/TrAvia_act!K31*1000000)</f>
        <v>143662.24248239407</v>
      </c>
      <c r="L49" s="86">
        <f>IF(L13=0,0,L13/TrAvia_act!L31*1000000)</f>
        <v>143875.98863139318</v>
      </c>
      <c r="M49" s="86">
        <f>IF(M13=0,0,M13/TrAvia_act!M31*1000000)</f>
        <v>148402.81043217136</v>
      </c>
      <c r="N49" s="86">
        <f>IF(N13=0,0,N13/TrAvia_act!N31*1000000)</f>
        <v>161812.86638766641</v>
      </c>
      <c r="O49" s="86">
        <f>IF(O13=0,0,O13/TrAvia_act!O31*1000000)</f>
        <v>149238.34411610622</v>
      </c>
      <c r="P49" s="86">
        <f>IF(P13=0,0,P13/TrAvia_act!P31*1000000)</f>
        <v>161434.61238315061</v>
      </c>
      <c r="Q49" s="86">
        <f>IF(Q13=0,0,Q13/TrAvia_act!Q31*1000000)</f>
        <v>161852.58982415477</v>
      </c>
      <c r="R49" s="86">
        <f>IF(R13=0,0,R13/TrAvia_act!R31*1000000)</f>
        <v>176922.35440463221</v>
      </c>
      <c r="S49" s="86">
        <f>IF(S13=0,0,S13/TrAvia_act!S31*1000000)</f>
        <v>166601.0738061278</v>
      </c>
      <c r="T49" s="86">
        <f>IF(T13=0,0,T13/TrAvia_act!T31*1000000)</f>
        <v>159112.89145178368</v>
      </c>
      <c r="U49" s="86">
        <f>IF(U13=0,0,U13/TrAvia_act!U31*1000000)</f>
        <v>154134.69105071644</v>
      </c>
      <c r="V49" s="86">
        <f>IF(V13=0,0,V13/TrAvia_act!V31*1000000)</f>
        <v>149931.63207019478</v>
      </c>
      <c r="W49" s="86">
        <f>IF(W13=0,0,W13/TrAvia_act!W31*1000000)</f>
        <v>139010.48281034245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0.18322148491219334</v>
      </c>
      <c r="C52" s="16">
        <f t="shared" si="35"/>
        <v>0.19448449258459841</v>
      </c>
      <c r="D52" s="16">
        <f t="shared" ref="D52:V52" si="36">IF(D6=0,0,D6/D$3)</f>
        <v>0.1974996563477317</v>
      </c>
      <c r="E52" s="16">
        <f t="shared" si="36"/>
        <v>0.19002614348865426</v>
      </c>
      <c r="F52" s="16">
        <f t="shared" si="36"/>
        <v>0.19894476311966941</v>
      </c>
      <c r="G52" s="16">
        <f t="shared" si="36"/>
        <v>0.17414109448546003</v>
      </c>
      <c r="H52" s="16">
        <f t="shared" si="36"/>
        <v>0.17713441360602444</v>
      </c>
      <c r="I52" s="16">
        <f t="shared" si="36"/>
        <v>0.19418984285038363</v>
      </c>
      <c r="J52" s="16">
        <f t="shared" si="36"/>
        <v>0.19787946321042785</v>
      </c>
      <c r="K52" s="16">
        <f t="shared" si="36"/>
        <v>0.26098197208680196</v>
      </c>
      <c r="L52" s="16">
        <f t="shared" si="36"/>
        <v>0.29517527536765609</v>
      </c>
      <c r="M52" s="16">
        <f t="shared" si="36"/>
        <v>0.25008348778418882</v>
      </c>
      <c r="N52" s="16">
        <f t="shared" si="36"/>
        <v>0.23153182243800854</v>
      </c>
      <c r="O52" s="16">
        <f t="shared" si="36"/>
        <v>0.22541860893387253</v>
      </c>
      <c r="P52" s="16">
        <f t="shared" si="36"/>
        <v>0.27003010016544216</v>
      </c>
      <c r="Q52" s="16">
        <f t="shared" si="36"/>
        <v>0.29533916033579793</v>
      </c>
      <c r="R52" s="16">
        <f t="shared" si="36"/>
        <v>0.32565723652079837</v>
      </c>
      <c r="S52" s="16">
        <f t="shared" si="36"/>
        <v>0.38969429618048257</v>
      </c>
      <c r="T52" s="16">
        <f t="shared" si="36"/>
        <v>0.4747524744485897</v>
      </c>
      <c r="U52" s="16">
        <f t="shared" si="36"/>
        <v>0.51756757190361269</v>
      </c>
      <c r="V52" s="16">
        <f t="shared" si="36"/>
        <v>0.18746680091209408</v>
      </c>
      <c r="W52" s="16">
        <f t="shared" ref="W52" si="37">IF(W6=0,0,W6/W$3)</f>
        <v>0.256109830876461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0.13811289608998692</v>
      </c>
      <c r="C54" s="103">
        <f t="shared" si="41"/>
        <v>0.14659557841042026</v>
      </c>
      <c r="D54" s="103">
        <f t="shared" ref="D54:V54" si="42">IF(D8=0,0,D8/D$3)</f>
        <v>0.14886791144613962</v>
      </c>
      <c r="E54" s="103">
        <f t="shared" si="42"/>
        <v>0.14323956270073099</v>
      </c>
      <c r="F54" s="103">
        <f t="shared" si="42"/>
        <v>0.14995453324132482</v>
      </c>
      <c r="G54" s="103">
        <f t="shared" si="42"/>
        <v>0.13174573732290365</v>
      </c>
      <c r="H54" s="103">
        <f t="shared" si="42"/>
        <v>0.1342375142862556</v>
      </c>
      <c r="I54" s="103">
        <f t="shared" si="42"/>
        <v>0.14791932438194269</v>
      </c>
      <c r="J54" s="103">
        <f t="shared" si="42"/>
        <v>0.14830085348758965</v>
      </c>
      <c r="K54" s="103">
        <f t="shared" si="42"/>
        <v>0.19249909087582054</v>
      </c>
      <c r="L54" s="103">
        <f t="shared" si="42"/>
        <v>0.21894240629462092</v>
      </c>
      <c r="M54" s="103">
        <f t="shared" si="42"/>
        <v>0.18456813270822975</v>
      </c>
      <c r="N54" s="103">
        <f t="shared" si="42"/>
        <v>0.17121974265425532</v>
      </c>
      <c r="O54" s="103">
        <f t="shared" si="42"/>
        <v>0.16769000147736071</v>
      </c>
      <c r="P54" s="103">
        <f t="shared" si="42"/>
        <v>0.20085558001577666</v>
      </c>
      <c r="Q54" s="103">
        <f t="shared" si="42"/>
        <v>0.22006045908285693</v>
      </c>
      <c r="R54" s="103">
        <f t="shared" si="42"/>
        <v>0.24660419389145935</v>
      </c>
      <c r="S54" s="103">
        <f t="shared" si="42"/>
        <v>0.29895316272372136</v>
      </c>
      <c r="T54" s="103">
        <f t="shared" si="42"/>
        <v>0.36245548719891185</v>
      </c>
      <c r="U54" s="103">
        <f t="shared" si="42"/>
        <v>0.39197611613257699</v>
      </c>
      <c r="V54" s="103">
        <f t="shared" si="42"/>
        <v>0.13366969861700098</v>
      </c>
      <c r="W54" s="103">
        <f t="shared" ref="W54" si="43">IF(W8=0,0,W8/W$3)</f>
        <v>0.18961204000343271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4.5108588822206405E-2</v>
      </c>
      <c r="C55" s="103">
        <f t="shared" si="44"/>
        <v>4.7888914174178149E-2</v>
      </c>
      <c r="D55" s="103">
        <f t="shared" ref="D55:V55" si="45">IF(D9=0,0,D9/D$3)</f>
        <v>4.8631744901592062E-2</v>
      </c>
      <c r="E55" s="103">
        <f t="shared" si="45"/>
        <v>4.678658078792327E-2</v>
      </c>
      <c r="F55" s="103">
        <f t="shared" si="45"/>
        <v>4.8990229878344588E-2</v>
      </c>
      <c r="G55" s="103">
        <f t="shared" si="45"/>
        <v>4.239535716255638E-2</v>
      </c>
      <c r="H55" s="103">
        <f t="shared" si="45"/>
        <v>4.2896899319768846E-2</v>
      </c>
      <c r="I55" s="103">
        <f t="shared" si="45"/>
        <v>4.6270518468440949E-2</v>
      </c>
      <c r="J55" s="103">
        <f t="shared" si="45"/>
        <v>4.9578609722838209E-2</v>
      </c>
      <c r="K55" s="103">
        <f t="shared" si="45"/>
        <v>6.8482881210981422E-2</v>
      </c>
      <c r="L55" s="103">
        <f t="shared" si="45"/>
        <v>7.6232869073035184E-2</v>
      </c>
      <c r="M55" s="103">
        <f t="shared" si="45"/>
        <v>6.5515355075959042E-2</v>
      </c>
      <c r="N55" s="103">
        <f t="shared" si="45"/>
        <v>6.031207978375322E-2</v>
      </c>
      <c r="O55" s="103">
        <f t="shared" si="45"/>
        <v>5.7728607456511823E-2</v>
      </c>
      <c r="P55" s="103">
        <f t="shared" si="45"/>
        <v>6.9174520149665492E-2</v>
      </c>
      <c r="Q55" s="103">
        <f t="shared" si="45"/>
        <v>7.5278701252940991E-2</v>
      </c>
      <c r="R55" s="103">
        <f t="shared" si="45"/>
        <v>7.9053042629339043E-2</v>
      </c>
      <c r="S55" s="103">
        <f t="shared" si="45"/>
        <v>9.0741133456761242E-2</v>
      </c>
      <c r="T55" s="103">
        <f t="shared" si="45"/>
        <v>0.11229698724967785</v>
      </c>
      <c r="U55" s="103">
        <f t="shared" si="45"/>
        <v>0.12559145577103575</v>
      </c>
      <c r="V55" s="103">
        <f t="shared" si="45"/>
        <v>5.3797102295093102E-2</v>
      </c>
      <c r="W55" s="103">
        <f t="shared" ref="W55" si="46">IF(W9=0,0,W9/W$3)</f>
        <v>6.6497790873028276E-2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0.81677851508780663</v>
      </c>
      <c r="C56" s="17">
        <f t="shared" si="47"/>
        <v>0.80551550741540157</v>
      </c>
      <c r="D56" s="17">
        <f t="shared" ref="D56:V56" si="48">IF(D10=0,0,D10/D$3)</f>
        <v>0.80250034365226841</v>
      </c>
      <c r="E56" s="17">
        <f t="shared" si="48"/>
        <v>0.80997385651134579</v>
      </c>
      <c r="F56" s="17">
        <f t="shared" si="48"/>
        <v>0.80105523688033065</v>
      </c>
      <c r="G56" s="17">
        <f t="shared" si="48"/>
        <v>0.82585890551454</v>
      </c>
      <c r="H56" s="17">
        <f t="shared" si="48"/>
        <v>0.82286558639397556</v>
      </c>
      <c r="I56" s="17">
        <f t="shared" si="48"/>
        <v>0.80581015714961646</v>
      </c>
      <c r="J56" s="17">
        <f t="shared" si="48"/>
        <v>0.80212053678957207</v>
      </c>
      <c r="K56" s="17">
        <f t="shared" si="48"/>
        <v>0.73901802791319804</v>
      </c>
      <c r="L56" s="17">
        <f t="shared" si="48"/>
        <v>0.70482472463234391</v>
      </c>
      <c r="M56" s="17">
        <f t="shared" si="48"/>
        <v>0.74991651221581124</v>
      </c>
      <c r="N56" s="17">
        <f t="shared" si="48"/>
        <v>0.76846817756199148</v>
      </c>
      <c r="O56" s="17">
        <f t="shared" si="48"/>
        <v>0.77458139106612744</v>
      </c>
      <c r="P56" s="17">
        <f t="shared" si="48"/>
        <v>0.72996989983455784</v>
      </c>
      <c r="Q56" s="17">
        <f t="shared" si="48"/>
        <v>0.7046608396642019</v>
      </c>
      <c r="R56" s="17">
        <f t="shared" si="48"/>
        <v>0.67434276347920163</v>
      </c>
      <c r="S56" s="17">
        <f t="shared" si="48"/>
        <v>0.61030570381951754</v>
      </c>
      <c r="T56" s="17">
        <f t="shared" si="48"/>
        <v>0.52524752555141041</v>
      </c>
      <c r="U56" s="17">
        <f t="shared" si="48"/>
        <v>0.48243242809638731</v>
      </c>
      <c r="V56" s="17">
        <f t="shared" si="48"/>
        <v>0.81253319908790611</v>
      </c>
      <c r="W56" s="17">
        <f t="shared" ref="W56" si="49">IF(W10=0,0,W10/W$3)</f>
        <v>0.743890169123539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4.3843725752713766E-2</v>
      </c>
      <c r="C58" s="104">
        <f t="shared" si="53"/>
        <v>1.7247757310128339E-2</v>
      </c>
      <c r="D58" s="104">
        <f t="shared" ref="D58:V58" si="54">IF(D12=0,0,D12/D$3)</f>
        <v>1.0946590438454867E-2</v>
      </c>
      <c r="E58" s="104">
        <f t="shared" si="54"/>
        <v>1.7204647747114596E-2</v>
      </c>
      <c r="F58" s="104">
        <f t="shared" si="54"/>
        <v>1.4965587489641231E-2</v>
      </c>
      <c r="G58" s="104">
        <f t="shared" si="54"/>
        <v>1.6128861827636787E-2</v>
      </c>
      <c r="H58" s="104">
        <f t="shared" si="54"/>
        <v>9.0364967314802615E-3</v>
      </c>
      <c r="I58" s="104">
        <f t="shared" si="54"/>
        <v>1.3731421919868992E-2</v>
      </c>
      <c r="J58" s="104">
        <f t="shared" si="54"/>
        <v>1.8498507407973364E-2</v>
      </c>
      <c r="K58" s="104">
        <f t="shared" si="54"/>
        <v>1.9620680744181968E-2</v>
      </c>
      <c r="L58" s="104">
        <f t="shared" si="54"/>
        <v>2.2031482881437848E-2</v>
      </c>
      <c r="M58" s="104">
        <f t="shared" si="54"/>
        <v>1.2653623869064623E-2</v>
      </c>
      <c r="N58" s="104">
        <f t="shared" si="54"/>
        <v>1.2883151825935541E-2</v>
      </c>
      <c r="O58" s="104">
        <f t="shared" si="54"/>
        <v>1.3886689739553454E-2</v>
      </c>
      <c r="P58" s="104">
        <f t="shared" si="54"/>
        <v>1.572952065467462E-2</v>
      </c>
      <c r="Q58" s="104">
        <f t="shared" si="54"/>
        <v>1.50392390605342E-2</v>
      </c>
      <c r="R58" s="104">
        <f t="shared" si="54"/>
        <v>1.1668839961949638E-2</v>
      </c>
      <c r="S58" s="104">
        <f t="shared" si="54"/>
        <v>1.7266514156099096E-2</v>
      </c>
      <c r="T58" s="104">
        <f t="shared" si="54"/>
        <v>1.6398534047976705E-2</v>
      </c>
      <c r="U58" s="104">
        <f t="shared" si="54"/>
        <v>1.7748847928250468E-2</v>
      </c>
      <c r="V58" s="104">
        <f t="shared" si="54"/>
        <v>1.5401463745412017E-2</v>
      </c>
      <c r="W58" s="104">
        <f t="shared" ref="W58" si="55">IF(W12=0,0,W12/W$3)</f>
        <v>1.9488073425111906E-2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0.77293478933509285</v>
      </c>
      <c r="C59" s="105">
        <f t="shared" si="56"/>
        <v>0.78826775010527328</v>
      </c>
      <c r="D59" s="105">
        <f t="shared" ref="D59:V59" si="57">IF(D13=0,0,D13/D$3)</f>
        <v>0.79155375321381349</v>
      </c>
      <c r="E59" s="105">
        <f t="shared" si="57"/>
        <v>0.79276920876423118</v>
      </c>
      <c r="F59" s="105">
        <f t="shared" si="57"/>
        <v>0.78608964939068937</v>
      </c>
      <c r="G59" s="105">
        <f t="shared" si="57"/>
        <v>0.80973004368690316</v>
      </c>
      <c r="H59" s="105">
        <f t="shared" si="57"/>
        <v>0.81382908966249523</v>
      </c>
      <c r="I59" s="105">
        <f t="shared" si="57"/>
        <v>0.79207873522974748</v>
      </c>
      <c r="J59" s="105">
        <f t="shared" si="57"/>
        <v>0.78362202938159875</v>
      </c>
      <c r="K59" s="105">
        <f t="shared" si="57"/>
        <v>0.71939734716901604</v>
      </c>
      <c r="L59" s="105">
        <f t="shared" si="57"/>
        <v>0.68279324175090605</v>
      </c>
      <c r="M59" s="105">
        <f t="shared" si="57"/>
        <v>0.73726288834674658</v>
      </c>
      <c r="N59" s="105">
        <f t="shared" si="57"/>
        <v>0.7555850257360559</v>
      </c>
      <c r="O59" s="105">
        <f t="shared" si="57"/>
        <v>0.76069470132657402</v>
      </c>
      <c r="P59" s="105">
        <f t="shared" si="57"/>
        <v>0.71424037917988326</v>
      </c>
      <c r="Q59" s="105">
        <f t="shared" si="57"/>
        <v>0.68962160060366773</v>
      </c>
      <c r="R59" s="105">
        <f t="shared" si="57"/>
        <v>0.66267392351725196</v>
      </c>
      <c r="S59" s="105">
        <f t="shared" si="57"/>
        <v>0.5930391896634184</v>
      </c>
      <c r="T59" s="105">
        <f t="shared" si="57"/>
        <v>0.50884899150343366</v>
      </c>
      <c r="U59" s="105">
        <f t="shared" si="57"/>
        <v>0.46468358016813682</v>
      </c>
      <c r="V59" s="105">
        <f t="shared" si="57"/>
        <v>0.79713173534249393</v>
      </c>
      <c r="W59" s="105">
        <f t="shared" ref="W59" si="58">IF(W13=0,0,W13/W$3)</f>
        <v>0.72440209569842706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978269</v>
      </c>
      <c r="C4" s="11">
        <f t="shared" si="0"/>
        <v>1066711</v>
      </c>
      <c r="D4" s="11">
        <f t="shared" ref="D4" si="1">SUM(D5:D7)</f>
        <v>1160183</v>
      </c>
      <c r="E4" s="11">
        <f t="shared" ref="E4" si="2">SUM(E5:E7)</f>
        <v>1216984</v>
      </c>
      <c r="F4" s="11">
        <f t="shared" ref="F4" si="3">SUM(F5:F7)</f>
        <v>1339852</v>
      </c>
      <c r="G4" s="11">
        <f t="shared" ref="G4" si="4">SUM(G5:G7)</f>
        <v>1396051</v>
      </c>
      <c r="H4" s="11">
        <f t="shared" ref="H4" si="5">SUM(H5:H7)</f>
        <v>1409538</v>
      </c>
      <c r="I4" s="11">
        <f t="shared" ref="I4" si="6">SUM(I5:I7)</f>
        <v>1326887</v>
      </c>
      <c r="J4" s="11">
        <f t="shared" ref="J4" si="7">SUM(J5:J7)</f>
        <v>1415385</v>
      </c>
      <c r="K4" s="11">
        <f t="shared" ref="K4" si="8">SUM(K5:K7)</f>
        <v>1258411</v>
      </c>
      <c r="L4" s="11">
        <f t="shared" ref="L4" si="9">SUM(L5:L7)</f>
        <v>1328882</v>
      </c>
      <c r="M4" s="11">
        <f t="shared" ref="M4" si="10">SUM(M5:M7)</f>
        <v>1573467</v>
      </c>
      <c r="N4" s="11">
        <f t="shared" ref="N4" si="11">SUM(N5:N7)</f>
        <v>1539893</v>
      </c>
      <c r="O4" s="11">
        <f t="shared" ref="O4" si="12">SUM(O5:O7)</f>
        <v>1670098</v>
      </c>
      <c r="P4" s="11">
        <f t="shared" ref="P4" si="13">SUM(P5:P7)</f>
        <v>1815872</v>
      </c>
      <c r="Q4" s="11">
        <f t="shared" ref="Q4" si="14">SUM(Q5:Q7)</f>
        <v>1987367</v>
      </c>
      <c r="R4" s="11">
        <f t="shared" ref="R4" si="15">SUM(R5:R7)</f>
        <v>2319879</v>
      </c>
      <c r="S4" s="11">
        <f t="shared" ref="S4" si="16">SUM(S5:S7)</f>
        <v>2707759</v>
      </c>
      <c r="T4" s="11">
        <f t="shared" ref="T4" si="17">SUM(T5:T7)</f>
        <v>3023859</v>
      </c>
      <c r="U4" s="11">
        <f t="shared" ref="U4" si="18">SUM(U5:U7)</f>
        <v>3242291</v>
      </c>
      <c r="V4" s="11">
        <f t="shared" ref="V4:W4" si="19">SUM(V5:V7)</f>
        <v>1328290</v>
      </c>
      <c r="W4" s="11">
        <f t="shared" si="19"/>
        <v>1621393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871320</v>
      </c>
      <c r="C6" s="84">
        <v>948589</v>
      </c>
      <c r="D6" s="84">
        <v>1030454</v>
      </c>
      <c r="E6" s="84">
        <v>1080552</v>
      </c>
      <c r="F6" s="84">
        <v>1189466</v>
      </c>
      <c r="G6" s="84">
        <v>1230338</v>
      </c>
      <c r="H6" s="84">
        <v>1230936</v>
      </c>
      <c r="I6" s="84">
        <v>1111890</v>
      </c>
      <c r="J6" s="84">
        <v>1173239</v>
      </c>
      <c r="K6" s="84">
        <v>1020481</v>
      </c>
      <c r="L6" s="84">
        <v>1079864</v>
      </c>
      <c r="M6" s="84">
        <v>1312969</v>
      </c>
      <c r="N6" s="84">
        <v>1267326</v>
      </c>
      <c r="O6" s="84">
        <v>1406849</v>
      </c>
      <c r="P6" s="84">
        <v>1514817</v>
      </c>
      <c r="Q6" s="84">
        <v>1693586</v>
      </c>
      <c r="R6" s="84">
        <v>2067372</v>
      </c>
      <c r="S6" s="84">
        <v>2421795</v>
      </c>
      <c r="T6" s="84">
        <v>2690021</v>
      </c>
      <c r="U6" s="84">
        <v>2875988</v>
      </c>
      <c r="V6" s="84">
        <v>1226066</v>
      </c>
      <c r="W6" s="84">
        <v>1468601</v>
      </c>
      <c r="DA6" s="171" t="s">
        <v>363</v>
      </c>
    </row>
    <row r="7" spans="1:105" ht="11.45" customHeight="1" x14ac:dyDescent="0.25">
      <c r="A7" s="85" t="s">
        <v>174</v>
      </c>
      <c r="B7" s="86">
        <v>106949</v>
      </c>
      <c r="C7" s="86">
        <v>118122</v>
      </c>
      <c r="D7" s="86">
        <v>129729</v>
      </c>
      <c r="E7" s="86">
        <v>136432</v>
      </c>
      <c r="F7" s="86">
        <v>150386</v>
      </c>
      <c r="G7" s="86">
        <v>165713</v>
      </c>
      <c r="H7" s="86">
        <v>178602</v>
      </c>
      <c r="I7" s="86">
        <v>214997</v>
      </c>
      <c r="J7" s="86">
        <v>242146</v>
      </c>
      <c r="K7" s="86">
        <v>237930</v>
      </c>
      <c r="L7" s="86">
        <v>249018</v>
      </c>
      <c r="M7" s="86">
        <v>260498</v>
      </c>
      <c r="N7" s="86">
        <v>272567</v>
      </c>
      <c r="O7" s="86">
        <v>263249</v>
      </c>
      <c r="P7" s="86">
        <v>301055</v>
      </c>
      <c r="Q7" s="86">
        <v>293781</v>
      </c>
      <c r="R7" s="86">
        <v>252507</v>
      </c>
      <c r="S7" s="86">
        <v>285964</v>
      </c>
      <c r="T7" s="86">
        <v>333838</v>
      </c>
      <c r="U7" s="86">
        <v>366303</v>
      </c>
      <c r="V7" s="86">
        <v>102224</v>
      </c>
      <c r="W7" s="86">
        <v>152792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65.827938900477761</v>
      </c>
      <c r="C12" s="14">
        <f>IF(C4=0,0,C4/TrAvia_act!C24)</f>
        <v>66.300640188948975</v>
      </c>
      <c r="D12" s="14">
        <f>IF(D4=0,0,D4/TrAvia_act!D24)</f>
        <v>66.493752865657953</v>
      </c>
      <c r="E12" s="14">
        <f>IF(E4=0,0,E4/TrAvia_act!E24)</f>
        <v>66.889304166208646</v>
      </c>
      <c r="F12" s="14">
        <f>IF(F4=0,0,F4/TrAvia_act!F24)</f>
        <v>67.614654824384331</v>
      </c>
      <c r="G12" s="14">
        <f>IF(G4=0,0,G4/TrAvia_act!G24)</f>
        <v>71.013327229258863</v>
      </c>
      <c r="H12" s="14">
        <f>IF(H4=0,0,H4/TrAvia_act!H24)</f>
        <v>70.596914755083645</v>
      </c>
      <c r="I12" s="14">
        <f>IF(I4=0,0,I4/TrAvia_act!I24)</f>
        <v>69.069127062620367</v>
      </c>
      <c r="J12" s="14">
        <f>IF(J4=0,0,J4/TrAvia_act!J24)</f>
        <v>72.125203832042402</v>
      </c>
      <c r="K12" s="14">
        <f>IF(K4=0,0,K4/TrAvia_act!K24)</f>
        <v>70.764831580723168</v>
      </c>
      <c r="L12" s="14">
        <f>IF(L4=0,0,L4/TrAvia_act!L24)</f>
        <v>74.824436936936934</v>
      </c>
      <c r="M12" s="14">
        <f>IF(M4=0,0,M4/TrAvia_act!M24)</f>
        <v>80.013577421815413</v>
      </c>
      <c r="N12" s="14">
        <f>IF(N4=0,0,N4/TrAvia_act!N24)</f>
        <v>76.232326732673272</v>
      </c>
      <c r="O12" s="14">
        <f>IF(O4=0,0,O4/TrAvia_act!O24)</f>
        <v>81.603537574513823</v>
      </c>
      <c r="P12" s="14">
        <f>IF(P4=0,0,P4/TrAvia_act!P24)</f>
        <v>86.260605196902759</v>
      </c>
      <c r="Q12" s="14">
        <f>IF(Q4=0,0,Q4/TrAvia_act!Q24)</f>
        <v>93.356210071401733</v>
      </c>
      <c r="R12" s="14">
        <f>IF(R4=0,0,R4/TrAvia_act!R24)</f>
        <v>102.27390556804656</v>
      </c>
      <c r="S12" s="14">
        <f>IF(S4=0,0,S4/TrAvia_act!S24)</f>
        <v>109.8705214039359</v>
      </c>
      <c r="T12" s="14">
        <f>IF(T4=0,0,T4/TrAvia_act!T24)</f>
        <v>111.84565024411896</v>
      </c>
      <c r="U12" s="14">
        <f>IF(U4=0,0,U4/TrAvia_act!U24)</f>
        <v>115.67217267213699</v>
      </c>
      <c r="V12" s="14">
        <f>IF(V4=0,0,V4/TrAvia_act!V24)</f>
        <v>120.79756275009095</v>
      </c>
      <c r="W12" s="14">
        <f>IF(W4=0,0,W4/TrAvia_act!W24)</f>
        <v>125.73811554866228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65.804697530398002</v>
      </c>
      <c r="C14" s="87">
        <f>IF(C6=0,0,C6/TrAvia_act!C26)</f>
        <v>66.172933379839549</v>
      </c>
      <c r="D14" s="87">
        <f>IF(D6=0,0,D6/TrAvia_act!D26)</f>
        <v>66.284188858870451</v>
      </c>
      <c r="E14" s="87">
        <f>IF(E6=0,0,E6/TrAvia_act!E26)</f>
        <v>66.655480846338904</v>
      </c>
      <c r="F14" s="87">
        <f>IF(F6=0,0,F6/TrAvia_act!F26)</f>
        <v>67.368939737199824</v>
      </c>
      <c r="G14" s="87">
        <f>IF(G6=0,0,G6/TrAvia_act!G26)</f>
        <v>69.44392391488401</v>
      </c>
      <c r="H14" s="87">
        <f>IF(H6=0,0,H6/TrAvia_act!H26)</f>
        <v>68.499499165275452</v>
      </c>
      <c r="I14" s="87">
        <f>IF(I6=0,0,I6/TrAvia_act!I26)</f>
        <v>65.594360214736597</v>
      </c>
      <c r="J14" s="87">
        <f>IF(J6=0,0,J6/TrAvia_act!J26)</f>
        <v>67.774189821500784</v>
      </c>
      <c r="K14" s="87">
        <f>IF(K6=0,0,K6/TrAvia_act!K26)</f>
        <v>66.209109193537927</v>
      </c>
      <c r="L14" s="87">
        <f>IF(L6=0,0,L6/TrAvia_act!L26)</f>
        <v>70.399895690723</v>
      </c>
      <c r="M14" s="87">
        <f>IF(M6=0,0,M6/TrAvia_act!M26)</f>
        <v>76.674199953281942</v>
      </c>
      <c r="N14" s="87">
        <f>IF(N6=0,0,N6/TrAvia_act!N26)</f>
        <v>73.883635515653239</v>
      </c>
      <c r="O14" s="87">
        <f>IF(O6=0,0,O6/TrAvia_act!O26)</f>
        <v>79.451572824306766</v>
      </c>
      <c r="P14" s="87">
        <f>IF(P6=0,0,P6/TrAvia_act!P26)</f>
        <v>83.433410442828816</v>
      </c>
      <c r="Q14" s="87">
        <f>IF(Q6=0,0,Q6/TrAvia_act!Q26)</f>
        <v>91.357535872262375</v>
      </c>
      <c r="R14" s="87">
        <f>IF(R6=0,0,R6/TrAvia_act!R26)</f>
        <v>101.66070023603461</v>
      </c>
      <c r="S14" s="87">
        <f>IF(S6=0,0,S6/TrAvia_act!S26)</f>
        <v>109.75233390736881</v>
      </c>
      <c r="T14" s="87">
        <f>IF(T6=0,0,T6/TrAvia_act!T26)</f>
        <v>112.36042771814043</v>
      </c>
      <c r="U14" s="87">
        <f>IF(U6=0,0,U6/TrAvia_act!U26)</f>
        <v>116.29080910598034</v>
      </c>
      <c r="V14" s="87">
        <f>IF(V6=0,0,V6/TrAvia_act!V26)</f>
        <v>121.27260138476755</v>
      </c>
      <c r="W14" s="87">
        <f>IF(W6=0,0,W6/TrAvia_act!W26)</f>
        <v>126.32040254601755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66.017901234567901</v>
      </c>
      <c r="C15" s="88">
        <f>IF(C7=0,0,C7/TrAvia_act!C27)</f>
        <v>67.344355758266815</v>
      </c>
      <c r="D15" s="88">
        <f>IF(D7=0,0,D7/TrAvia_act!D27)</f>
        <v>68.206624605678229</v>
      </c>
      <c r="E15" s="88">
        <f>IF(E7=0,0,E7/TrAvia_act!E27)</f>
        <v>68.800806858295516</v>
      </c>
      <c r="F15" s="88">
        <f>IF(F7=0,0,F7/TrAvia_act!F27)</f>
        <v>69.623148148148147</v>
      </c>
      <c r="G15" s="88">
        <f>IF(G7=0,0,G7/TrAvia_act!G27)</f>
        <v>85.331101956745627</v>
      </c>
      <c r="H15" s="88">
        <f>IF(H7=0,0,H7/TrAvia_act!H27)</f>
        <v>89.479959919839686</v>
      </c>
      <c r="I15" s="88">
        <f>IF(I7=0,0,I7/TrAvia_act!I27)</f>
        <v>95.131415929203541</v>
      </c>
      <c r="J15" s="88">
        <f>IF(J7=0,0,J7/TrAvia_act!J27)</f>
        <v>104.68914829226114</v>
      </c>
      <c r="K15" s="88">
        <f>IF(K7=0,0,K7/TrAvia_act!K27)</f>
        <v>100.39240506329114</v>
      </c>
      <c r="L15" s="88">
        <f>IF(L7=0,0,L7/TrAvia_act!L27)</f>
        <v>102.85749690210656</v>
      </c>
      <c r="M15" s="88">
        <f>IF(M7=0,0,M7/TrAvia_act!M27)</f>
        <v>102.51790633608816</v>
      </c>
      <c r="N15" s="88">
        <f>IF(N7=0,0,N7/TrAvia_act!N27)</f>
        <v>89.454217262881528</v>
      </c>
      <c r="O15" s="88">
        <f>IF(O7=0,0,O7/TrAvia_act!O27)</f>
        <v>95.414642986589342</v>
      </c>
      <c r="P15" s="88">
        <f>IF(P7=0,0,P7/TrAvia_act!P27)</f>
        <v>103.99136442141624</v>
      </c>
      <c r="Q15" s="88">
        <f>IF(Q7=0,0,Q7/TrAvia_act!Q27)</f>
        <v>106.82945454545454</v>
      </c>
      <c r="R15" s="88">
        <f>IF(R7=0,0,R7/TrAvia_act!R27)</f>
        <v>107.58713250958671</v>
      </c>
      <c r="S15" s="88">
        <f>IF(S7=0,0,S7/TrAvia_act!S27)</f>
        <v>110.88173710740597</v>
      </c>
      <c r="T15" s="88">
        <f>IF(T7=0,0,T7/TrAvia_act!T27)</f>
        <v>107.86365105008078</v>
      </c>
      <c r="U15" s="88">
        <f>IF(U7=0,0,U7/TrAvia_act!U27)</f>
        <v>111.03455592603819</v>
      </c>
      <c r="V15" s="88">
        <f>IF(V7=0,0,V7/TrAvia_act!V27)</f>
        <v>115.37697516930022</v>
      </c>
      <c r="W15" s="88">
        <f>IF(W7=0,0,W7/TrAvia_act!W27)</f>
        <v>120.40346729708432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0.55641955331304582</v>
      </c>
      <c r="C18" s="25">
        <f>IF(TrAvia_act!C34=0,0,(TrAvia_act!C34/TrAvia_act!C24)/TrAvia_png!C12)</f>
        <v>0.55704216043520682</v>
      </c>
      <c r="D18" s="25">
        <f>IF(TrAvia_act!D34=0,0,(TrAvia_act!D34/TrAvia_act!D24)/TrAvia_png!D12)</f>
        <v>0.56094081709523413</v>
      </c>
      <c r="E18" s="25">
        <f>IF(TrAvia_act!E34=0,0,(TrAvia_act!E34/TrAvia_act!E24)/TrAvia_png!E12)</f>
        <v>0.56305095219000412</v>
      </c>
      <c r="F18" s="25">
        <f>IF(TrAvia_act!F34=0,0,(TrAvia_act!F34/TrAvia_act!F24)/TrAvia_png!F12)</f>
        <v>0.56564157832357609</v>
      </c>
      <c r="G18" s="25">
        <f>IF(TrAvia_act!G34=0,0,(TrAvia_act!G34/TrAvia_act!G24)/TrAvia_png!G12)</f>
        <v>0.55375054349733643</v>
      </c>
      <c r="H18" s="25">
        <f>IF(TrAvia_act!H34=0,0,(TrAvia_act!H34/TrAvia_act!H24)/TrAvia_png!H12)</f>
        <v>0.56976966921076266</v>
      </c>
      <c r="I18" s="25">
        <f>IF(TrAvia_act!I34=0,0,(TrAvia_act!I34/TrAvia_act!I24)/TrAvia_png!I12)</f>
        <v>0.6196541227700626</v>
      </c>
      <c r="J18" s="25">
        <f>IF(TrAvia_act!J34=0,0,(TrAvia_act!J34/TrAvia_act!J24)/TrAvia_png!J12)</f>
        <v>0.60144554308545017</v>
      </c>
      <c r="K18" s="25">
        <f>IF(TrAvia_act!K34=0,0,(TrAvia_act!K34/TrAvia_act!K24)/TrAvia_png!K12)</f>
        <v>0.61328055778279111</v>
      </c>
      <c r="L18" s="25">
        <f>IF(TrAvia_act!L34=0,0,(TrAvia_act!L34/TrAvia_act!L24)/TrAvia_png!L12)</f>
        <v>0.6094574236087178</v>
      </c>
      <c r="M18" s="25">
        <f>IF(TrAvia_act!M34=0,0,(TrAvia_act!M34/TrAvia_act!M24)/TrAvia_png!M12)</f>
        <v>0.58339323290542477</v>
      </c>
      <c r="N18" s="25">
        <f>IF(TrAvia_act!N34=0,0,(TrAvia_act!N34/TrAvia_act!N24)/TrAvia_png!N12)</f>
        <v>0.61691039572230011</v>
      </c>
      <c r="O18" s="25">
        <f>IF(TrAvia_act!O34=0,0,(TrAvia_act!O34/TrAvia_act!O24)/TrAvia_png!O12)</f>
        <v>0.65288623781358934</v>
      </c>
      <c r="P18" s="25">
        <f>IF(TrAvia_act!P34=0,0,(TrAvia_act!P34/TrAvia_act!P24)/TrAvia_png!P12)</f>
        <v>0.6740579732492159</v>
      </c>
      <c r="Q18" s="25">
        <f>IF(TrAvia_act!Q34=0,0,(TrAvia_act!Q34/TrAvia_act!Q24)/TrAvia_png!Q12)</f>
        <v>0.6705837422076546</v>
      </c>
      <c r="R18" s="25">
        <f>IF(TrAvia_act!R34=0,0,(TrAvia_act!R34/TrAvia_act!R24)/TrAvia_png!R12)</f>
        <v>0.64644449128596793</v>
      </c>
      <c r="S18" s="25">
        <f>IF(TrAvia_act!S34=0,0,(TrAvia_act!S34/TrAvia_act!S24)/TrAvia_png!S12)</f>
        <v>0.66018763117397072</v>
      </c>
      <c r="T18" s="25">
        <f>IF(TrAvia_act!T34=0,0,(TrAvia_act!T34/TrAvia_act!T24)/TrAvia_png!T12)</f>
        <v>0.66289268117329547</v>
      </c>
      <c r="U18" s="25">
        <f>IF(TrAvia_act!U34=0,0,(TrAvia_act!U34/TrAvia_act!U24)/TrAvia_png!U12)</f>
        <v>0.67523797216227655</v>
      </c>
      <c r="V18" s="25">
        <f>IF(TrAvia_act!V34=0,0,(TrAvia_act!V34/TrAvia_act!V24)/TrAvia_png!V12)</f>
        <v>0.53418229452905619</v>
      </c>
      <c r="W18" s="25">
        <f>IF(TrAvia_act!W34=0,0,(TrAvia_act!W34/TrAvia_act!W24)/TrAvia_png!W12)</f>
        <v>0.61847806176540787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0.55464697240967731</v>
      </c>
      <c r="C20" s="89">
        <f>IF(TrAvia_act!C36=0,0,(TrAvia_act!C36/TrAvia_act!C26)/TrAvia_png!C14)</f>
        <v>0.55456367299220211</v>
      </c>
      <c r="D20" s="89">
        <f>IF(TrAvia_act!D36=0,0,(TrAvia_act!D36/TrAvia_act!D26)/TrAvia_png!D14)</f>
        <v>0.55808992929330181</v>
      </c>
      <c r="E20" s="89">
        <f>IF(TrAvia_act!E36=0,0,(TrAvia_act!E36/TrAvia_act!E26)/TrAvia_png!E14)</f>
        <v>0.55965654591357006</v>
      </c>
      <c r="F20" s="89">
        <f>IF(TrAvia_act!F36=0,0,(TrAvia_act!F36/TrAvia_act!F26)/TrAvia_png!F14)</f>
        <v>0.56170079682815643</v>
      </c>
      <c r="G20" s="89">
        <f>IF(TrAvia_act!G36=0,0,(TrAvia_act!G36/TrAvia_act!G26)/TrAvia_png!G14)</f>
        <v>0.54256147497679497</v>
      </c>
      <c r="H20" s="89">
        <f>IF(TrAvia_act!H36=0,0,(TrAvia_act!H36/TrAvia_act!H26)/TrAvia_png!H14)</f>
        <v>0.55602240896358546</v>
      </c>
      <c r="I20" s="89">
        <f>IF(TrAvia_act!I36=0,0,(TrAvia_act!I36/TrAvia_act!I26)/TrAvia_png!I14)</f>
        <v>0.60802597379237155</v>
      </c>
      <c r="J20" s="89">
        <f>IF(TrAvia_act!J36=0,0,(TrAvia_act!J36/TrAvia_act!J26)/TrAvia_png!J14)</f>
        <v>0.58492515165281744</v>
      </c>
      <c r="K20" s="89">
        <f>IF(TrAvia_act!K36=0,0,(TrAvia_act!K36/TrAvia_act!K26)/TrAvia_png!K14)</f>
        <v>0.5938699495630001</v>
      </c>
      <c r="L20" s="89">
        <f>IF(TrAvia_act!L36=0,0,(TrAvia_act!L36/TrAvia_act!L26)/TrAvia_png!L14)</f>
        <v>0.58969925842513493</v>
      </c>
      <c r="M20" s="89">
        <f>IF(TrAvia_act!M36=0,0,(TrAvia_act!M36/TrAvia_act!M26)/TrAvia_png!M14)</f>
        <v>0.57422223982439791</v>
      </c>
      <c r="N20" s="89">
        <f>IF(TrAvia_act!N36=0,0,(TrAvia_act!N36/TrAvia_act!N26)/TrAvia_png!N14)</f>
        <v>0.6054756234780948</v>
      </c>
      <c r="O20" s="89">
        <f>IF(TrAvia_act!O36=0,0,(TrAvia_act!O36/TrAvia_act!O26)/TrAvia_png!O14)</f>
        <v>0.64476571401763805</v>
      </c>
      <c r="P20" s="89">
        <f>IF(TrAvia_act!P36=0,0,(TrAvia_act!P36/TrAvia_act!P26)/TrAvia_png!P14)</f>
        <v>0.67039847057433344</v>
      </c>
      <c r="Q20" s="89">
        <f>IF(TrAvia_act!Q36=0,0,(TrAvia_act!Q36/TrAvia_act!Q26)/TrAvia_png!Q14)</f>
        <v>0.67582868540481567</v>
      </c>
      <c r="R20" s="89">
        <f>IF(TrAvia_act!R36=0,0,(TrAvia_act!R36/TrAvia_act!R26)/TrAvia_png!R14)</f>
        <v>0.65259759733613498</v>
      </c>
      <c r="S20" s="89">
        <f>IF(TrAvia_act!S36=0,0,(TrAvia_act!S36/TrAvia_act!S26)/TrAvia_png!S14)</f>
        <v>0.66692721720872328</v>
      </c>
      <c r="T20" s="89">
        <f>IF(TrAvia_act!T36=0,0,(TrAvia_act!T36/TrAvia_act!T26)/TrAvia_png!T14)</f>
        <v>0.67240776187249096</v>
      </c>
      <c r="U20" s="89">
        <f>IF(TrAvia_act!U36=0,0,(TrAvia_act!U36/TrAvia_act!U26)/TrAvia_png!U14)</f>
        <v>0.68809292667424204</v>
      </c>
      <c r="V20" s="89">
        <f>IF(TrAvia_act!V36=0,0,(TrAvia_act!V36/TrAvia_act!V26)/TrAvia_png!V14)</f>
        <v>0.53799387634923412</v>
      </c>
      <c r="W20" s="89">
        <f>IF(TrAvia_act!W36=0,0,(TrAvia_act!W36/TrAvia_act!W26)/TrAvia_png!W14)</f>
        <v>0.61996144630161631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0.57086087761456394</v>
      </c>
      <c r="C21" s="90">
        <f>IF(TrAvia_act!C37=0,0,(TrAvia_act!C37/TrAvia_act!C27)/TrAvia_png!C15)</f>
        <v>0.57694586952472871</v>
      </c>
      <c r="D21" s="90">
        <f>IF(TrAvia_act!D37=0,0,(TrAvia_act!D37/TrAvia_act!D27)/TrAvia_png!D15)</f>
        <v>0.58358578267002759</v>
      </c>
      <c r="E21" s="90">
        <f>IF(TrAvia_act!E37=0,0,(TrAvia_act!E37/TrAvia_act!E27)/TrAvia_png!E15)</f>
        <v>0.58993491263046793</v>
      </c>
      <c r="F21" s="90">
        <f>IF(TrAvia_act!F37=0,0,(TrAvia_act!F37/TrAvia_act!F27)/TrAvia_png!F15)</f>
        <v>0.59681087335257266</v>
      </c>
      <c r="G21" s="90">
        <f>IF(TrAvia_act!G37=0,0,(TrAvia_act!G37/TrAvia_act!G27)/TrAvia_png!G15)</f>
        <v>0.63682390639237718</v>
      </c>
      <c r="H21" s="90">
        <f>IF(TrAvia_act!H37=0,0,(TrAvia_act!H37/TrAvia_act!H27)/TrAvia_png!H15)</f>
        <v>0.66451663475213041</v>
      </c>
      <c r="I21" s="90">
        <f>IF(TrAvia_act!I37=0,0,(TrAvia_act!I37/TrAvia_act!I27)/TrAvia_png!I15)</f>
        <v>0.67979088080298788</v>
      </c>
      <c r="J21" s="90">
        <f>IF(TrAvia_act!J37=0,0,(TrAvia_act!J37/TrAvia_act!J27)/TrAvia_png!J15)</f>
        <v>0.68148967977996744</v>
      </c>
      <c r="K21" s="90">
        <f>IF(TrAvia_act!K37=0,0,(TrAvia_act!K37/TrAvia_act!K27)/TrAvia_png!K15)</f>
        <v>0.69653259361997222</v>
      </c>
      <c r="L21" s="90">
        <f>IF(TrAvia_act!L37=0,0,(TrAvia_act!L37/TrAvia_act!L27)/TrAvia_png!L15)</f>
        <v>0.69513850404388444</v>
      </c>
      <c r="M21" s="90">
        <f>IF(TrAvia_act!M37=0,0,(TrAvia_act!M37/TrAvia_act!M27)/TrAvia_png!M15)</f>
        <v>0.62961711798171194</v>
      </c>
      <c r="N21" s="90">
        <f>IF(TrAvia_act!N37=0,0,(TrAvia_act!N37/TrAvia_act!N27)/TrAvia_png!N15)</f>
        <v>0.67007744884743925</v>
      </c>
      <c r="O21" s="90">
        <f>IF(TrAvia_act!O37=0,0,(TrAvia_act!O37/TrAvia_act!O27)/TrAvia_png!O15)</f>
        <v>0.69628374656693848</v>
      </c>
      <c r="P21" s="90">
        <f>IF(TrAvia_act!P37=0,0,(TrAvia_act!P37/TrAvia_act!P27)/TrAvia_png!P15)</f>
        <v>0.69247147531182007</v>
      </c>
      <c r="Q21" s="90">
        <f>IF(TrAvia_act!Q37=0,0,(TrAvia_act!Q37/TrAvia_act!Q27)/TrAvia_png!Q15)</f>
        <v>0.64034774202552247</v>
      </c>
      <c r="R21" s="90">
        <f>IF(TrAvia_act!R37=0,0,(TrAvia_act!R37/TrAvia_act!R27)/TrAvia_png!R15)</f>
        <v>0.59606664369700646</v>
      </c>
      <c r="S21" s="90">
        <f>IF(TrAvia_act!S37=0,0,(TrAvia_act!S37/TrAvia_act!S27)/TrAvia_png!S15)</f>
        <v>0.60311088108992739</v>
      </c>
      <c r="T21" s="90">
        <f>IF(TrAvia_act!T37=0,0,(TrAvia_act!T37/TrAvia_act!T27)/TrAvia_png!T15)</f>
        <v>0.58622146070848735</v>
      </c>
      <c r="U21" s="90">
        <f>IF(TrAvia_act!U37=0,0,(TrAvia_act!U37/TrAvia_act!U27)/TrAvia_png!U15)</f>
        <v>0.57430870072044182</v>
      </c>
      <c r="V21" s="90">
        <f>IF(TrAvia_act!V37=0,0,(TrAvia_act!V37/TrAvia_act!V27)/TrAvia_png!V15)</f>
        <v>0.48846650493034904</v>
      </c>
      <c r="W21" s="90">
        <f>IF(TrAvia_act!W37=0,0,(TrAvia_act!W37/TrAvia_act!W27)/TrAvia_png!W15)</f>
        <v>0.60422011623645222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7.1392074044873008E-2</v>
      </c>
      <c r="C24" s="23">
        <f>IF(TrAvia_ene!C6=0,0,TrAvia_ene!C6/(C12*TrAvia_act!C14))</f>
        <v>7.5171086058466743E-2</v>
      </c>
      <c r="D24" s="23">
        <f>IF(TrAvia_ene!D6=0,0,TrAvia_ene!D6/(D12*TrAvia_act!D14))</f>
        <v>7.6047172789283607E-2</v>
      </c>
      <c r="E24" s="23">
        <f>IF(TrAvia_ene!E6=0,0,TrAvia_ene!E6/(E12*TrAvia_act!E14))</f>
        <v>7.2668002828735381E-2</v>
      </c>
      <c r="F24" s="23">
        <f>IF(TrAvia_ene!F6=0,0,TrAvia_ene!F6/(F12*TrAvia_act!F14))</f>
        <v>7.5192321549399602E-2</v>
      </c>
      <c r="G24" s="23">
        <f>IF(TrAvia_ene!G6=0,0,TrAvia_ene!G6/(G12*TrAvia_act!G14))</f>
        <v>6.5246970035382906E-2</v>
      </c>
      <c r="H24" s="23">
        <f>IF(TrAvia_ene!H6=0,0,TrAvia_ene!H6/(H12*TrAvia_act!H14))</f>
        <v>6.2590527128791623E-2</v>
      </c>
      <c r="I24" s="23">
        <f>IF(TrAvia_ene!I6=0,0,TrAvia_ene!I6/(I12*TrAvia_act!I14))</f>
        <v>7.4186310414475098E-2</v>
      </c>
      <c r="J24" s="23">
        <f>IF(TrAvia_ene!J6=0,0,TrAvia_ene!J6/(J12*TrAvia_act!J14))</f>
        <v>7.0091503882182396E-2</v>
      </c>
      <c r="K24" s="23">
        <f>IF(TrAvia_ene!K6=0,0,TrAvia_ene!K6/(K12*TrAvia_act!K14))</f>
        <v>9.7894738303095877E-2</v>
      </c>
      <c r="L24" s="23">
        <f>IF(TrAvia_ene!L6=0,0,TrAvia_ene!L6/(L12*TrAvia_act!L14))</f>
        <v>0.10443026178035535</v>
      </c>
      <c r="M24" s="23">
        <f>IF(TrAvia_ene!M6=0,0,TrAvia_ene!M6/(M12*TrAvia_act!M14))</f>
        <v>7.2710807214491163E-2</v>
      </c>
      <c r="N24" s="23">
        <f>IF(TrAvia_ene!N6=0,0,TrAvia_ene!N6/(N12*TrAvia_act!N14))</f>
        <v>6.9572285923546348E-2</v>
      </c>
      <c r="O24" s="23">
        <f>IF(TrAvia_ene!O6=0,0,TrAvia_ene!O6/(O12*TrAvia_act!O14))</f>
        <v>6.218615422540557E-2</v>
      </c>
      <c r="P24" s="23">
        <f>IF(TrAvia_ene!P6=0,0,TrAvia_ene!P6/(P12*TrAvia_act!P14))</f>
        <v>6.8751906096015183E-2</v>
      </c>
      <c r="Q24" s="23">
        <f>IF(TrAvia_ene!Q6=0,0,TrAvia_ene!Q6/(Q12*TrAvia_act!Q14))</f>
        <v>7.2055958255517624E-2</v>
      </c>
      <c r="R24" s="23">
        <f>IF(TrAvia_ene!R6=0,0,TrAvia_ene!R6/(R12*TrAvia_act!R14))</f>
        <v>7.3488184852407851E-2</v>
      </c>
      <c r="S24" s="23">
        <f>IF(TrAvia_ene!S6=0,0,TrAvia_ene!S6/(S12*TrAvia_act!S14))</f>
        <v>7.9877179250018471E-2</v>
      </c>
      <c r="T24" s="23">
        <f>IF(TrAvia_ene!T6=0,0,TrAvia_ene!T6/(T12*TrAvia_act!T14))</f>
        <v>8.9441055255395682E-2</v>
      </c>
      <c r="U24" s="23">
        <f>IF(TrAvia_ene!U6=0,0,TrAvia_ene!U6/(U12*TrAvia_act!U14))</f>
        <v>8.6459886702169614E-2</v>
      </c>
      <c r="V24" s="23">
        <f>IF(TrAvia_ene!V6=0,0,TrAvia_ene!V6/(V12*TrAvia_act!V14))</f>
        <v>6.4055356646930184E-2</v>
      </c>
      <c r="W24" s="23">
        <f>IF(TrAvia_ene!W6=0,0,TrAvia_ene!W6/(W12*TrAvia_act!W14))</f>
        <v>7.1098987103419373E-2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6.3633641289560949E-2</v>
      </c>
      <c r="C26" s="93">
        <f>IF(TrAvia_ene!C8=0,0,TrAvia_ene!C8/(C14*TrAvia_act!C16))</f>
        <v>6.7105652477823824E-2</v>
      </c>
      <c r="D26" s="93">
        <f>IF(TrAvia_ene!D8=0,0,TrAvia_ene!D8/(D14*TrAvia_act!D16))</f>
        <v>6.7970508994744133E-2</v>
      </c>
      <c r="E26" s="93">
        <f>IF(TrAvia_ene!E8=0,0,TrAvia_ene!E8/(E14*TrAvia_act!E16))</f>
        <v>6.4973202771287278E-2</v>
      </c>
      <c r="F26" s="93">
        <f>IF(TrAvia_ene!F8=0,0,TrAvia_ene!F8/(F14*TrAvia_act!F16))</f>
        <v>6.7237677962239575E-2</v>
      </c>
      <c r="G26" s="93">
        <f>IF(TrAvia_ene!G8=0,0,TrAvia_ene!G8/(G14*TrAvia_act!G16))</f>
        <v>5.9207719204405505E-2</v>
      </c>
      <c r="H26" s="93">
        <f>IF(TrAvia_ene!H8=0,0,TrAvia_ene!H8/(H14*TrAvia_act!H16))</f>
        <v>5.7393377491361135E-2</v>
      </c>
      <c r="I26" s="93">
        <f>IF(TrAvia_ene!I8=0,0,TrAvia_ene!I8/(I14*TrAvia_act!I16))</f>
        <v>7.4544732644536496E-2</v>
      </c>
      <c r="J26" s="93">
        <f>IF(TrAvia_ene!J8=0,0,TrAvia_ene!J8/(J14*TrAvia_act!J16))</f>
        <v>7.2646038206511221E-2</v>
      </c>
      <c r="K26" s="93">
        <f>IF(TrAvia_ene!K8=0,0,TrAvia_ene!K8/(K14*TrAvia_act!K16))</f>
        <v>0.1064836901230985</v>
      </c>
      <c r="L26" s="93">
        <f>IF(TrAvia_ene!L8=0,0,TrAvia_ene!L8/(L14*TrAvia_act!L16))</f>
        <v>0.11745979054194097</v>
      </c>
      <c r="M26" s="93">
        <f>IF(TrAvia_ene!M8=0,0,TrAvia_ene!M8/(M14*TrAvia_act!M16))</f>
        <v>7.5096713965041001E-2</v>
      </c>
      <c r="N26" s="93">
        <f>IF(TrAvia_ene!N8=0,0,TrAvia_ene!N8/(N14*TrAvia_act!N16))</f>
        <v>6.8014477874318399E-2</v>
      </c>
      <c r="O26" s="93">
        <f>IF(TrAvia_ene!O8=0,0,TrAvia_ene!O8/(O14*TrAvia_act!O16))</f>
        <v>6.059968397119344E-2</v>
      </c>
      <c r="P26" s="93">
        <f>IF(TrAvia_ene!P8=0,0,TrAvia_ene!P8/(P14*TrAvia_act!P16))</f>
        <v>6.8764001122128868E-2</v>
      </c>
      <c r="Q26" s="93">
        <f>IF(TrAvia_ene!Q8=0,0,TrAvia_ene!Q8/(Q14*TrAvia_act!Q16))</f>
        <v>7.4437412625793786E-2</v>
      </c>
      <c r="R26" s="93">
        <f>IF(TrAvia_ene!R8=0,0,TrAvia_ene!R8/(R14*TrAvia_act!R16))</f>
        <v>7.4119200541045094E-2</v>
      </c>
      <c r="S26" s="93">
        <f>IF(TrAvia_ene!S8=0,0,TrAvia_ene!S8/(S14*TrAvia_act!S16))</f>
        <v>8.383797315815264E-2</v>
      </c>
      <c r="T26" s="93">
        <f>IF(TrAvia_ene!T8=0,0,TrAvia_ene!T8/(T14*TrAvia_act!T16))</f>
        <v>9.7438741415345781E-2</v>
      </c>
      <c r="U26" s="93">
        <f>IF(TrAvia_ene!U8=0,0,TrAvia_ene!U8/(U14*TrAvia_act!U16))</f>
        <v>9.5700985325832807E-2</v>
      </c>
      <c r="V26" s="93">
        <f>IF(TrAvia_ene!V8=0,0,TrAvia_ene!V8/(V14*TrAvia_act!V16))</f>
        <v>6.1443968598897704E-2</v>
      </c>
      <c r="W26" s="93">
        <f>IF(TrAvia_ene!W8=0,0,TrAvia_ene!W8/(W14*TrAvia_act!W16))</f>
        <v>7.324378552612365E-2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0.11381065865426207</v>
      </c>
      <c r="C27" s="94">
        <f>IF(TrAvia_ene!C9=0,0,TrAvia_ene!C9/(C15*TrAvia_act!C17))</f>
        <v>0.1183223804448002</v>
      </c>
      <c r="D27" s="94">
        <f>IF(TrAvia_ene!D9=0,0,TrAvia_ene!D9/(D15*TrAvia_act!D17))</f>
        <v>0.11853818391401968</v>
      </c>
      <c r="E27" s="94">
        <f>IF(TrAvia_ene!E9=0,0,TrAvia_ene!E9/(E15*TrAvia_act!E17))</f>
        <v>0.11296482009949149</v>
      </c>
      <c r="F27" s="94">
        <f>IF(TrAvia_ene!F9=0,0,TrAvia_ene!F9/(F15*TrAvia_act!F17))</f>
        <v>0.11676412161090038</v>
      </c>
      <c r="G27" s="94">
        <f>IF(TrAvia_ene!G9=0,0,TrAvia_ene!G9/(G15*TrAvia_act!G17))</f>
        <v>8.9656722168448374E-2</v>
      </c>
      <c r="H27" s="94">
        <f>IF(TrAvia_ene!H9=0,0,TrAvia_ene!H9/(H15*TrAvia_act!H17))</f>
        <v>8.0671401122582725E-2</v>
      </c>
      <c r="I27" s="94">
        <f>IF(TrAvia_ene!I9=0,0,TrAvia_ene!I9/(I15*TrAvia_act!I17))</f>
        <v>6.3603910835264565E-2</v>
      </c>
      <c r="J27" s="94">
        <f>IF(TrAvia_ene!J9=0,0,TrAvia_ene!J9/(J15*TrAvia_act!J17))</f>
        <v>5.2493846188788135E-2</v>
      </c>
      <c r="K27" s="94">
        <f>IF(TrAvia_ene!K9=0,0,TrAvia_ene!K9/(K15*TrAvia_act!K17))</f>
        <v>6.5786350740528646E-2</v>
      </c>
      <c r="L27" s="94">
        <f>IF(TrAvia_ene!L9=0,0,TrAvia_ene!L9/(L15*TrAvia_act!L17))</f>
        <v>6.5597223362740459E-2</v>
      </c>
      <c r="M27" s="94">
        <f>IF(TrAvia_ene!M9=0,0,TrAvia_ene!M9/(M15*TrAvia_act!M17))</f>
        <v>5.8462141688167275E-2</v>
      </c>
      <c r="N27" s="94">
        <f>IF(TrAvia_ene!N9=0,0,TrAvia_ene!N9/(N15*TrAvia_act!N17))</f>
        <v>7.0359011191239162E-2</v>
      </c>
      <c r="O27" s="94">
        <f>IF(TrAvia_ene!O9=0,0,TrAvia_ene!O9/(O15*TrAvia_act!O17))</f>
        <v>6.3073708695713354E-2</v>
      </c>
      <c r="P27" s="94">
        <f>IF(TrAvia_ene!P9=0,0,TrAvia_ene!P9/(P15*TrAvia_act!P17))</f>
        <v>6.3216034945754909E-2</v>
      </c>
      <c r="Q27" s="94">
        <f>IF(TrAvia_ene!Q9=0,0,TrAvia_ene!Q9/(Q15*TrAvia_act!Q17))</f>
        <v>6.1038547591179999E-2</v>
      </c>
      <c r="R27" s="94">
        <f>IF(TrAvia_ene!R9=0,0,TrAvia_ene!R9/(R15*TrAvia_act!R17))</f>
        <v>6.9311274327785555E-2</v>
      </c>
      <c r="S27" s="94">
        <f>IF(TrAvia_ene!S9=0,0,TrAvia_ene!S9/(S15*TrAvia_act!S17))</f>
        <v>6.8689581241803424E-2</v>
      </c>
      <c r="T27" s="94">
        <f>IF(TrAvia_ene!T9=0,0,TrAvia_ene!T9/(T15*TrAvia_act!T17))</f>
        <v>7.2540637979746456E-2</v>
      </c>
      <c r="U27" s="94">
        <f>IF(TrAvia_ene!U9=0,0,TrAvia_ene!U9/(U15*TrAvia_act!U17))</f>
        <v>6.842360096371615E-2</v>
      </c>
      <c r="V27" s="94">
        <f>IF(TrAvia_ene!V9=0,0,TrAvia_ene!V9/(V15*TrAvia_act!V17))</f>
        <v>7.4141923179465344E-2</v>
      </c>
      <c r="W27" s="94">
        <f>IF(TrAvia_ene!W9=0,0,TrAvia_ene!W9/(W15*TrAvia_act!W17))</f>
        <v>6.7729697489863752E-2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378</v>
      </c>
      <c r="C3" s="54">
        <f t="shared" si="0"/>
        <v>371</v>
      </c>
      <c r="D3" s="54">
        <f t="shared" si="0"/>
        <v>370</v>
      </c>
      <c r="E3" s="54">
        <f t="shared" si="0"/>
        <v>316</v>
      </c>
      <c r="F3" s="54">
        <f t="shared" si="0"/>
        <v>370</v>
      </c>
      <c r="G3" s="54">
        <f t="shared" si="0"/>
        <v>342</v>
      </c>
      <c r="H3" s="54">
        <f t="shared" si="0"/>
        <v>381</v>
      </c>
      <c r="I3" s="54">
        <f t="shared" si="0"/>
        <v>345</v>
      </c>
      <c r="J3" s="54">
        <f t="shared" si="0"/>
        <v>367</v>
      </c>
      <c r="K3" s="54">
        <f t="shared" si="0"/>
        <v>279</v>
      </c>
      <c r="L3" s="54">
        <f t="shared" si="0"/>
        <v>359</v>
      </c>
      <c r="M3" s="54">
        <f t="shared" si="0"/>
        <v>305</v>
      </c>
      <c r="N3" s="54">
        <f t="shared" si="0"/>
        <v>290</v>
      </c>
      <c r="O3" s="54">
        <f t="shared" si="0"/>
        <v>313</v>
      </c>
      <c r="P3" s="54">
        <f t="shared" si="0"/>
        <v>285</v>
      </c>
      <c r="Q3" s="54">
        <f t="shared" si="0"/>
        <v>235</v>
      </c>
      <c r="R3" s="54">
        <f t="shared" ref="R3:V3" si="1">SUM(R4:R5)</f>
        <v>190</v>
      </c>
      <c r="S3" s="54">
        <f t="shared" si="1"/>
        <v>195</v>
      </c>
      <c r="T3" s="54">
        <f t="shared" si="1"/>
        <v>205</v>
      </c>
      <c r="U3" s="54">
        <f t="shared" si="1"/>
        <v>228</v>
      </c>
      <c r="V3" s="54">
        <f t="shared" si="1"/>
        <v>201</v>
      </c>
      <c r="W3" s="54">
        <f t="shared" ref="W3" si="2">SUM(W4:W5)</f>
        <v>217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378</v>
      </c>
      <c r="C5" s="58">
        <v>371</v>
      </c>
      <c r="D5" s="58">
        <v>370</v>
      </c>
      <c r="E5" s="58">
        <v>316</v>
      </c>
      <c r="F5" s="58">
        <v>370</v>
      </c>
      <c r="G5" s="58">
        <v>342</v>
      </c>
      <c r="H5" s="58">
        <v>381</v>
      </c>
      <c r="I5" s="58">
        <v>345</v>
      </c>
      <c r="J5" s="58">
        <v>367</v>
      </c>
      <c r="K5" s="58">
        <v>279</v>
      </c>
      <c r="L5" s="58">
        <v>359</v>
      </c>
      <c r="M5" s="58">
        <v>305</v>
      </c>
      <c r="N5" s="58">
        <v>290</v>
      </c>
      <c r="O5" s="58">
        <v>313</v>
      </c>
      <c r="P5" s="58">
        <v>285</v>
      </c>
      <c r="Q5" s="58">
        <v>235</v>
      </c>
      <c r="R5" s="58">
        <v>190</v>
      </c>
      <c r="S5" s="58">
        <v>195</v>
      </c>
      <c r="T5" s="58">
        <v>205</v>
      </c>
      <c r="U5" s="58">
        <v>228</v>
      </c>
      <c r="V5" s="58">
        <v>201</v>
      </c>
      <c r="W5" s="58">
        <v>217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0.26900000000000002</v>
      </c>
      <c r="C7" s="59">
        <f t="shared" si="3"/>
        <v>0.26400000000000001</v>
      </c>
      <c r="D7" s="59">
        <f t="shared" si="3"/>
        <v>0.26400000000000001</v>
      </c>
      <c r="E7" s="59">
        <f t="shared" si="3"/>
        <v>0.22900000000000001</v>
      </c>
      <c r="F7" s="59">
        <f t="shared" si="3"/>
        <v>0.26400000000000001</v>
      </c>
      <c r="G7" s="59">
        <f t="shared" si="3"/>
        <v>0.245</v>
      </c>
      <c r="H7" s="59">
        <f t="shared" si="3"/>
        <v>0.27100000000000002</v>
      </c>
      <c r="I7" s="59">
        <f t="shared" si="3"/>
        <v>0.247</v>
      </c>
      <c r="J7" s="59">
        <f t="shared" si="3"/>
        <v>0.26400000000000001</v>
      </c>
      <c r="K7" s="59">
        <f t="shared" si="3"/>
        <v>0.17899999999999999</v>
      </c>
      <c r="L7" s="59">
        <f t="shared" si="3"/>
        <v>0.20699999999999999</v>
      </c>
      <c r="M7" s="59">
        <f t="shared" si="3"/>
        <v>0.17899999999999999</v>
      </c>
      <c r="N7" s="59">
        <f t="shared" si="3"/>
        <v>0.215</v>
      </c>
      <c r="O7" s="59">
        <f t="shared" si="3"/>
        <v>0.25800000000000001</v>
      </c>
      <c r="P7" s="59">
        <f t="shared" si="3"/>
        <v>0.25</v>
      </c>
      <c r="Q7" s="59">
        <f t="shared" si="3"/>
        <v>0.218</v>
      </c>
      <c r="R7" s="59">
        <f t="shared" ref="R7:V7" si="4">SUM(R8:R9)</f>
        <v>0.19</v>
      </c>
      <c r="S7" s="59">
        <f t="shared" si="4"/>
        <v>0.19500000000000001</v>
      </c>
      <c r="T7" s="59">
        <f t="shared" si="4"/>
        <v>0.2</v>
      </c>
      <c r="U7" s="59">
        <f t="shared" si="4"/>
        <v>0.20699999999999999</v>
      </c>
      <c r="V7" s="59">
        <f t="shared" si="4"/>
        <v>0.151</v>
      </c>
      <c r="W7" s="59">
        <f t="shared" ref="W7" si="5">SUM(W8:W9)</f>
        <v>0.14599999999999999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0.26900000000000002</v>
      </c>
      <c r="C9" s="61">
        <v>0.26400000000000001</v>
      </c>
      <c r="D9" s="61">
        <v>0.26400000000000001</v>
      </c>
      <c r="E9" s="61">
        <v>0.22900000000000001</v>
      </c>
      <c r="F9" s="61">
        <v>0.26400000000000001</v>
      </c>
      <c r="G9" s="61">
        <v>0.245</v>
      </c>
      <c r="H9" s="61">
        <v>0.27100000000000002</v>
      </c>
      <c r="I9" s="61">
        <v>0.247</v>
      </c>
      <c r="J9" s="61">
        <v>0.26400000000000001</v>
      </c>
      <c r="K9" s="61">
        <v>0.17899999999999999</v>
      </c>
      <c r="L9" s="61">
        <v>0.20699999999999999</v>
      </c>
      <c r="M9" s="61">
        <v>0.17899999999999999</v>
      </c>
      <c r="N9" s="61">
        <v>0.215</v>
      </c>
      <c r="O9" s="61">
        <v>0.25800000000000001</v>
      </c>
      <c r="P9" s="61">
        <v>0.25</v>
      </c>
      <c r="Q9" s="61">
        <v>0.218</v>
      </c>
      <c r="R9" s="61">
        <v>0.19</v>
      </c>
      <c r="S9" s="61">
        <v>0.19500000000000001</v>
      </c>
      <c r="T9" s="61">
        <v>0.2</v>
      </c>
      <c r="U9" s="61">
        <v>0.20699999999999999</v>
      </c>
      <c r="V9" s="61">
        <v>0.151</v>
      </c>
      <c r="W9" s="61">
        <v>0.14599999999999999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1405.2044609665427</v>
      </c>
      <c r="C13" s="62">
        <f t="shared" si="6"/>
        <v>1405.3030303030303</v>
      </c>
      <c r="D13" s="62">
        <f t="shared" si="6"/>
        <v>1401.5151515151515</v>
      </c>
      <c r="E13" s="62">
        <f t="shared" si="6"/>
        <v>1379.9126637554584</v>
      </c>
      <c r="F13" s="62">
        <f t="shared" ref="F13:V13" si="7">IF(F3=0,0,F3/F7)</f>
        <v>1401.5151515151515</v>
      </c>
      <c r="G13" s="62">
        <f t="shared" si="7"/>
        <v>1395.9183673469388</v>
      </c>
      <c r="H13" s="62">
        <f t="shared" si="7"/>
        <v>1405.9040590405903</v>
      </c>
      <c r="I13" s="62">
        <f t="shared" si="7"/>
        <v>1396.7611336032389</v>
      </c>
      <c r="J13" s="62">
        <f t="shared" si="7"/>
        <v>1390.151515151515</v>
      </c>
      <c r="K13" s="62">
        <f t="shared" si="7"/>
        <v>1558.659217877095</v>
      </c>
      <c r="L13" s="62">
        <f t="shared" si="7"/>
        <v>1734.2995169082126</v>
      </c>
      <c r="M13" s="62">
        <f t="shared" si="7"/>
        <v>1703.9106145251396</v>
      </c>
      <c r="N13" s="62">
        <f t="shared" si="7"/>
        <v>1348.8372093023256</v>
      </c>
      <c r="O13" s="62">
        <f t="shared" si="7"/>
        <v>1213.1782945736434</v>
      </c>
      <c r="P13" s="62">
        <f t="shared" si="7"/>
        <v>1140</v>
      </c>
      <c r="Q13" s="62">
        <f t="shared" si="7"/>
        <v>1077.9816513761468</v>
      </c>
      <c r="R13" s="62">
        <f t="shared" si="7"/>
        <v>1000</v>
      </c>
      <c r="S13" s="62">
        <f t="shared" si="7"/>
        <v>1000</v>
      </c>
      <c r="T13" s="62">
        <f t="shared" si="7"/>
        <v>1025</v>
      </c>
      <c r="U13" s="62">
        <f t="shared" si="7"/>
        <v>1101.449275362319</v>
      </c>
      <c r="V13" s="62">
        <f t="shared" si="7"/>
        <v>1331.1258278145697</v>
      </c>
      <c r="W13" s="62">
        <f t="shared" ref="W13" si="8">IF(W3=0,0,W3/W7)</f>
        <v>1486.3013698630139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1405.2044609665427</v>
      </c>
      <c r="C15" s="64">
        <f t="shared" si="6"/>
        <v>1405.3030303030303</v>
      </c>
      <c r="D15" s="64">
        <f t="shared" si="6"/>
        <v>1401.5151515151515</v>
      </c>
      <c r="E15" s="64">
        <f t="shared" si="6"/>
        <v>1379.9126637554584</v>
      </c>
      <c r="F15" s="64">
        <f t="shared" ref="F15:V15" si="11">IF(F5=0,0,F5/F9)</f>
        <v>1401.5151515151515</v>
      </c>
      <c r="G15" s="64">
        <f t="shared" si="11"/>
        <v>1395.9183673469388</v>
      </c>
      <c r="H15" s="64">
        <f t="shared" si="11"/>
        <v>1405.9040590405903</v>
      </c>
      <c r="I15" s="64">
        <f t="shared" si="11"/>
        <v>1396.7611336032389</v>
      </c>
      <c r="J15" s="64">
        <f t="shared" si="11"/>
        <v>1390.151515151515</v>
      </c>
      <c r="K15" s="64">
        <f t="shared" si="11"/>
        <v>1558.659217877095</v>
      </c>
      <c r="L15" s="64">
        <f t="shared" si="11"/>
        <v>1734.2995169082126</v>
      </c>
      <c r="M15" s="64">
        <f t="shared" si="11"/>
        <v>1703.9106145251396</v>
      </c>
      <c r="N15" s="64">
        <f t="shared" si="11"/>
        <v>1348.8372093023256</v>
      </c>
      <c r="O15" s="64">
        <f t="shared" si="11"/>
        <v>1213.1782945736434</v>
      </c>
      <c r="P15" s="64">
        <f t="shared" si="11"/>
        <v>1140</v>
      </c>
      <c r="Q15" s="64">
        <f t="shared" si="11"/>
        <v>1077.9816513761468</v>
      </c>
      <c r="R15" s="64">
        <f t="shared" si="11"/>
        <v>1000</v>
      </c>
      <c r="S15" s="64">
        <f t="shared" si="11"/>
        <v>1000</v>
      </c>
      <c r="T15" s="64">
        <f t="shared" si="11"/>
        <v>1025</v>
      </c>
      <c r="U15" s="64">
        <f t="shared" si="11"/>
        <v>1101.449275362319</v>
      </c>
      <c r="V15" s="64">
        <f t="shared" si="11"/>
        <v>1331.1258278145697</v>
      </c>
      <c r="W15" s="64">
        <f t="shared" ref="W15" si="12">IF(W5=0,0,W5/W9)</f>
        <v>1486.3013698630139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0.45900000000000002</v>
      </c>
      <c r="C3" s="62">
        <f t="shared" ref="C3:V3" si="0">SUM(C4,C10)</f>
        <v>0.45200000000000001</v>
      </c>
      <c r="D3" s="62">
        <f t="shared" si="0"/>
        <v>0.45100000000000001</v>
      </c>
      <c r="E3" s="62">
        <f t="shared" si="0"/>
        <v>0.39700000000000002</v>
      </c>
      <c r="F3" s="62">
        <f t="shared" si="0"/>
        <v>0.45100000000000001</v>
      </c>
      <c r="G3" s="62">
        <f t="shared" si="0"/>
        <v>0.42299999999999999</v>
      </c>
      <c r="H3" s="62">
        <f t="shared" si="0"/>
        <v>0.46200000000000002</v>
      </c>
      <c r="I3" s="62">
        <f t="shared" si="0"/>
        <v>0.42599999999999999</v>
      </c>
      <c r="J3" s="62">
        <f t="shared" si="0"/>
        <v>0.44800000000000001</v>
      </c>
      <c r="K3" s="62">
        <f t="shared" si="0"/>
        <v>0.35899999999999999</v>
      </c>
      <c r="L3" s="62">
        <f t="shared" si="0"/>
        <v>0.44</v>
      </c>
      <c r="M3" s="62">
        <f t="shared" si="0"/>
        <v>0.38600000000000001</v>
      </c>
      <c r="N3" s="62">
        <f t="shared" si="0"/>
        <v>0.37093723129836631</v>
      </c>
      <c r="O3" s="62">
        <f t="shared" si="0"/>
        <v>0.34342218400687879</v>
      </c>
      <c r="P3" s="62">
        <f t="shared" si="0"/>
        <v>0.35296646603611348</v>
      </c>
      <c r="Q3" s="62">
        <f t="shared" si="0"/>
        <v>0.32519346517626824</v>
      </c>
      <c r="R3" s="62">
        <f t="shared" si="0"/>
        <v>0.30670679277730006</v>
      </c>
      <c r="S3" s="62">
        <f t="shared" si="0"/>
        <v>0.31650902837489248</v>
      </c>
      <c r="T3" s="62">
        <f t="shared" si="0"/>
        <v>0.31539122957867594</v>
      </c>
      <c r="U3" s="62">
        <f t="shared" si="0"/>
        <v>0.30275150472914875</v>
      </c>
      <c r="V3" s="62">
        <f t="shared" si="0"/>
        <v>0.10343938091143594</v>
      </c>
      <c r="W3" s="62">
        <f t="shared" ref="W3" si="1">SUM(W4,W10)</f>
        <v>8.9423903697334467E-2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0.45900000000000002</v>
      </c>
      <c r="C10" s="71">
        <f t="shared" ref="C10:V10" si="4">SUM(C11:C15)</f>
        <v>0.45200000000000001</v>
      </c>
      <c r="D10" s="71">
        <f t="shared" si="4"/>
        <v>0.45100000000000001</v>
      </c>
      <c r="E10" s="71">
        <f t="shared" si="4"/>
        <v>0.39700000000000002</v>
      </c>
      <c r="F10" s="71">
        <f t="shared" si="4"/>
        <v>0.45100000000000001</v>
      </c>
      <c r="G10" s="71">
        <f t="shared" si="4"/>
        <v>0.42299999999999999</v>
      </c>
      <c r="H10" s="71">
        <f t="shared" si="4"/>
        <v>0.46200000000000002</v>
      </c>
      <c r="I10" s="71">
        <f t="shared" si="4"/>
        <v>0.42599999999999999</v>
      </c>
      <c r="J10" s="71">
        <f t="shared" si="4"/>
        <v>0.44800000000000001</v>
      </c>
      <c r="K10" s="71">
        <f t="shared" si="4"/>
        <v>0.35899999999999999</v>
      </c>
      <c r="L10" s="71">
        <f t="shared" si="4"/>
        <v>0.44</v>
      </c>
      <c r="M10" s="71">
        <f t="shared" si="4"/>
        <v>0.38600000000000001</v>
      </c>
      <c r="N10" s="71">
        <f t="shared" si="4"/>
        <v>0.37093723129836631</v>
      </c>
      <c r="O10" s="71">
        <f t="shared" si="4"/>
        <v>0.34342218400687879</v>
      </c>
      <c r="P10" s="71">
        <f t="shared" si="4"/>
        <v>0.35296646603611348</v>
      </c>
      <c r="Q10" s="71">
        <f t="shared" si="4"/>
        <v>0.32519346517626824</v>
      </c>
      <c r="R10" s="71">
        <f t="shared" si="4"/>
        <v>0.30670679277730006</v>
      </c>
      <c r="S10" s="71">
        <f t="shared" si="4"/>
        <v>0.31650902837489248</v>
      </c>
      <c r="T10" s="71">
        <f t="shared" si="4"/>
        <v>0.31539122957867594</v>
      </c>
      <c r="U10" s="71">
        <f t="shared" si="4"/>
        <v>0.30275150472914875</v>
      </c>
      <c r="V10" s="71">
        <f t="shared" si="4"/>
        <v>0.10343938091143594</v>
      </c>
      <c r="W10" s="71">
        <f t="shared" ref="W10" si="5">SUM(W11:W15)</f>
        <v>8.9423903697334467E-2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0.45900000000000002</v>
      </c>
      <c r="C11" s="73">
        <v>0.45200000000000001</v>
      </c>
      <c r="D11" s="73">
        <v>0.45100000000000001</v>
      </c>
      <c r="E11" s="73">
        <v>0.39700000000000002</v>
      </c>
      <c r="F11" s="73">
        <v>0.45100000000000001</v>
      </c>
      <c r="G11" s="73">
        <v>0.42299999999999999</v>
      </c>
      <c r="H11" s="73">
        <v>0.46200000000000002</v>
      </c>
      <c r="I11" s="73">
        <v>0.42599999999999999</v>
      </c>
      <c r="J11" s="73">
        <v>0.44800000000000001</v>
      </c>
      <c r="K11" s="73">
        <v>0.35899999999999999</v>
      </c>
      <c r="L11" s="73">
        <v>0.44</v>
      </c>
      <c r="M11" s="73">
        <v>0.38600000000000001</v>
      </c>
      <c r="N11" s="73">
        <v>0.32373172828890801</v>
      </c>
      <c r="O11" s="73">
        <v>0.2942390369733448</v>
      </c>
      <c r="P11" s="73">
        <v>0.29836629406706788</v>
      </c>
      <c r="Q11" s="73">
        <v>0.26285468615649182</v>
      </c>
      <c r="R11" s="73">
        <v>0.25270851246775577</v>
      </c>
      <c r="S11" s="73">
        <v>0.25270851246775577</v>
      </c>
      <c r="T11" s="73">
        <v>0.25674978503869311</v>
      </c>
      <c r="U11" s="73">
        <v>0.24153052450558901</v>
      </c>
      <c r="V11" s="73">
        <v>9.4411006018916596E-2</v>
      </c>
      <c r="W11" s="73">
        <v>8.2201203783318993E-2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3.9036973344797943E-2</v>
      </c>
      <c r="O12" s="73">
        <v>4.0068787618228741E-2</v>
      </c>
      <c r="P12" s="73">
        <v>4.2132416165090281E-2</v>
      </c>
      <c r="Q12" s="73">
        <v>4.8323301805674956E-2</v>
      </c>
      <c r="R12" s="73">
        <v>3.9036973344797943E-2</v>
      </c>
      <c r="S12" s="73">
        <v>4.5227858985382619E-2</v>
      </c>
      <c r="T12" s="73">
        <v>4.0068787618228741E-2</v>
      </c>
      <c r="U12" s="73">
        <v>4.3164230438521051E-2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8.1685296646603605E-3</v>
      </c>
      <c r="O13" s="73">
        <v>9.114359415305244E-3</v>
      </c>
      <c r="P13" s="73">
        <v>1.2467755803955288E-2</v>
      </c>
      <c r="Q13" s="73">
        <v>1.4015477214101459E-2</v>
      </c>
      <c r="R13" s="73">
        <v>1.4961306964746348E-2</v>
      </c>
      <c r="S13" s="73">
        <v>1.8572656921754086E-2</v>
      </c>
      <c r="T13" s="73">
        <v>1.8572656921754086E-2</v>
      </c>
      <c r="U13" s="73">
        <v>1.8056749785038687E-2</v>
      </c>
      <c r="V13" s="73">
        <v>9.0283748925193454E-3</v>
      </c>
      <c r="W13" s="73">
        <v>7.222699914015477E-3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170.63197026022306</v>
      </c>
      <c r="C19" s="62">
        <f>IF(C3=0,0,C3/TrNavi_act!C7*100)</f>
        <v>171.21212121212122</v>
      </c>
      <c r="D19" s="62">
        <f>IF(D3=0,0,D3/TrNavi_act!D7*100)</f>
        <v>170.83333333333331</v>
      </c>
      <c r="E19" s="62">
        <f>IF(E3=0,0,E3/TrNavi_act!E7*100)</f>
        <v>173.36244541484714</v>
      </c>
      <c r="F19" s="62">
        <f>IF(F3=0,0,F3/TrNavi_act!F7*100)</f>
        <v>170.83333333333331</v>
      </c>
      <c r="G19" s="62">
        <f>IF(G3=0,0,G3/TrNavi_act!G7*100)</f>
        <v>172.65306122448979</v>
      </c>
      <c r="H19" s="62">
        <f>IF(H3=0,0,H3/TrNavi_act!H7*100)</f>
        <v>170.47970479704796</v>
      </c>
      <c r="I19" s="62">
        <f>IF(I3=0,0,I3/TrNavi_act!I7*100)</f>
        <v>172.46963562753038</v>
      </c>
      <c r="J19" s="62">
        <f>IF(J3=0,0,J3/TrNavi_act!J7*100)</f>
        <v>169.69696969696969</v>
      </c>
      <c r="K19" s="62">
        <f>IF(K3=0,0,K3/TrNavi_act!K7*100)</f>
        <v>200.55865921787711</v>
      </c>
      <c r="L19" s="62">
        <f>IF(L3=0,0,L3/TrNavi_act!L7*100)</f>
        <v>212.56038647342996</v>
      </c>
      <c r="M19" s="62">
        <f>IF(M3=0,0,M3/TrNavi_act!M7*100)</f>
        <v>215.64245810055866</v>
      </c>
      <c r="N19" s="62">
        <f>IF(N3=0,0,N3/TrNavi_act!N7*100)</f>
        <v>172.52894478993781</v>
      </c>
      <c r="O19" s="62">
        <f>IF(O3=0,0,O3/TrNavi_act!O7*100)</f>
        <v>133.10937364607705</v>
      </c>
      <c r="P19" s="62">
        <f>IF(P3=0,0,P3/TrNavi_act!P7*100)</f>
        <v>141.1865864144454</v>
      </c>
      <c r="Q19" s="62">
        <f>IF(Q3=0,0,Q3/TrNavi_act!Q7*100)</f>
        <v>149.17131430104047</v>
      </c>
      <c r="R19" s="62">
        <f>IF(R3=0,0,R3/TrNavi_act!R7*100)</f>
        <v>161.42462777752635</v>
      </c>
      <c r="S19" s="62">
        <f>IF(S3=0,0,S3/TrNavi_act!S7*100)</f>
        <v>162.3123222435346</v>
      </c>
      <c r="T19" s="62">
        <f>IF(T3=0,0,T3/TrNavi_act!T7*100)</f>
        <v>157.69561478933795</v>
      </c>
      <c r="U19" s="62">
        <f>IF(U3=0,0,U3/TrNavi_act!U7*100)</f>
        <v>146.25676556963708</v>
      </c>
      <c r="V19" s="62">
        <f>IF(V3=0,0,V3/TrNavi_act!V7*100)</f>
        <v>68.502901265851619</v>
      </c>
      <c r="W19" s="62">
        <f>IF(W3=0,0,W3/TrNavi_act!W7*100)</f>
        <v>61.24924910776334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170.63197026022306</v>
      </c>
      <c r="C21" s="64">
        <f>IF(C10=0,0,C10/TrNavi_act!C9*100)</f>
        <v>171.21212121212122</v>
      </c>
      <c r="D21" s="64">
        <f>IF(D10=0,0,D10/TrNavi_act!D9*100)</f>
        <v>170.83333333333331</v>
      </c>
      <c r="E21" s="64">
        <f>IF(E10=0,0,E10/TrNavi_act!E9*100)</f>
        <v>173.36244541484714</v>
      </c>
      <c r="F21" s="64">
        <f>IF(F10=0,0,F10/TrNavi_act!F9*100)</f>
        <v>170.83333333333331</v>
      </c>
      <c r="G21" s="64">
        <f>IF(G10=0,0,G10/TrNavi_act!G9*100)</f>
        <v>172.65306122448979</v>
      </c>
      <c r="H21" s="64">
        <f>IF(H10=0,0,H10/TrNavi_act!H9*100)</f>
        <v>170.47970479704796</v>
      </c>
      <c r="I21" s="64">
        <f>IF(I10=0,0,I10/TrNavi_act!I9*100)</f>
        <v>172.46963562753038</v>
      </c>
      <c r="J21" s="64">
        <f>IF(J10=0,0,J10/TrNavi_act!J9*100)</f>
        <v>169.69696969696969</v>
      </c>
      <c r="K21" s="64">
        <f>IF(K10=0,0,K10/TrNavi_act!K9*100)</f>
        <v>200.55865921787711</v>
      </c>
      <c r="L21" s="64">
        <f>IF(L10=0,0,L10/TrNavi_act!L9*100)</f>
        <v>212.56038647342996</v>
      </c>
      <c r="M21" s="64">
        <f>IF(M10=0,0,M10/TrNavi_act!M9*100)</f>
        <v>215.64245810055866</v>
      </c>
      <c r="N21" s="64">
        <f>IF(N10=0,0,N10/TrNavi_act!N9*100)</f>
        <v>172.52894478993781</v>
      </c>
      <c r="O21" s="64">
        <f>IF(O10=0,0,O10/TrNavi_act!O9*100)</f>
        <v>133.10937364607705</v>
      </c>
      <c r="P21" s="64">
        <f>IF(P10=0,0,P10/TrNavi_act!P9*100)</f>
        <v>141.1865864144454</v>
      </c>
      <c r="Q21" s="64">
        <f>IF(Q10=0,0,Q10/TrNavi_act!Q9*100)</f>
        <v>149.17131430104047</v>
      </c>
      <c r="R21" s="64">
        <f>IF(R10=0,0,R10/TrNavi_act!R9*100)</f>
        <v>161.42462777752635</v>
      </c>
      <c r="S21" s="64">
        <f>IF(S10=0,0,S10/TrNavi_act!S9*100)</f>
        <v>162.3123222435346</v>
      </c>
      <c r="T21" s="64">
        <f>IF(T10=0,0,T10/TrNavi_act!T9*100)</f>
        <v>157.69561478933795</v>
      </c>
      <c r="U21" s="64">
        <f>IF(U10=0,0,U10/TrNavi_act!U9*100)</f>
        <v>146.25676556963708</v>
      </c>
      <c r="V21" s="64">
        <f>IF(V10=0,0,V10/TrNavi_act!V9*100)</f>
        <v>68.502901265851619</v>
      </c>
      <c r="W21" s="64">
        <f>IF(W10=0,0,W10/TrNavi_act!W9*100)</f>
        <v>61.24924910776334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1.2142857142857144</v>
      </c>
      <c r="C23" s="62">
        <f>IF(C3=0,0,C3/TrNavi_act!C3*1000)</f>
        <v>1.2183288409703505</v>
      </c>
      <c r="D23" s="62">
        <f>IF(D3=0,0,D3/TrNavi_act!D3*1000)</f>
        <v>1.2189189189189189</v>
      </c>
      <c r="E23" s="62">
        <f>IF(E3=0,0,E3/TrNavi_act!E3*1000)</f>
        <v>1.2563291139240509</v>
      </c>
      <c r="F23" s="62">
        <f>IF(F3=0,0,F3/TrNavi_act!F3*1000)</f>
        <v>1.2189189189189189</v>
      </c>
      <c r="G23" s="62">
        <f>IF(G3=0,0,G3/TrNavi_act!G3*1000)</f>
        <v>1.236842105263158</v>
      </c>
      <c r="H23" s="62">
        <f>IF(H3=0,0,H3/TrNavi_act!H3*1000)</f>
        <v>1.2125984251968505</v>
      </c>
      <c r="I23" s="62">
        <f>IF(I3=0,0,I3/TrNavi_act!I3*1000)</f>
        <v>1.2347826086956522</v>
      </c>
      <c r="J23" s="62">
        <f>IF(J3=0,0,J3/TrNavi_act!J3*1000)</f>
        <v>1.2207084468664851</v>
      </c>
      <c r="K23" s="62">
        <f>IF(K3=0,0,K3/TrNavi_act!K3*1000)</f>
        <v>1.2867383512544803</v>
      </c>
      <c r="L23" s="62">
        <f>IF(L3=0,0,L3/TrNavi_act!L3*1000)</f>
        <v>1.2256267409470751</v>
      </c>
      <c r="M23" s="62">
        <f>IF(M3=0,0,M3/TrNavi_act!M3*1000)</f>
        <v>1.2655737704918033</v>
      </c>
      <c r="N23" s="62">
        <f>IF(N3=0,0,N3/TrNavi_act!N3*1000)</f>
        <v>1.2790939010288493</v>
      </c>
      <c r="O23" s="62">
        <f>IF(O3=0,0,O3/TrNavi_act!O3*1000)</f>
        <v>1.0971954760603155</v>
      </c>
      <c r="P23" s="62">
        <f>IF(P3=0,0,P3/TrNavi_act!P3*1000)</f>
        <v>1.2384788281968895</v>
      </c>
      <c r="Q23" s="62">
        <f>IF(Q3=0,0,Q3/TrNavi_act!Q3*1000)</f>
        <v>1.3838019794734819</v>
      </c>
      <c r="R23" s="62">
        <f>IF(R3=0,0,R3/TrNavi_act!R3*1000)</f>
        <v>1.6142462777752635</v>
      </c>
      <c r="S23" s="62">
        <f>IF(S3=0,0,S3/TrNavi_act!S3*1000)</f>
        <v>1.623123222435346</v>
      </c>
      <c r="T23" s="62">
        <f>IF(T3=0,0,T3/TrNavi_act!T3*1000)</f>
        <v>1.5384938028228095</v>
      </c>
      <c r="U23" s="62">
        <f>IF(U3=0,0,U3/TrNavi_act!U3*1000)</f>
        <v>1.3278574768822313</v>
      </c>
      <c r="V23" s="62">
        <f>IF(V3=0,0,V3/TrNavi_act!V3*1000)</f>
        <v>0.51462378562903455</v>
      </c>
      <c r="W23" s="62">
        <f>IF(W3=0,0,W3/TrNavi_act!W3*1000)</f>
        <v>0.41209172210753209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1.2142857142857144</v>
      </c>
      <c r="C25" s="64">
        <f>IF(C10=0,0,C10/TrNavi_act!C5*1000)</f>
        <v>1.2183288409703505</v>
      </c>
      <c r="D25" s="64">
        <f>IF(D10=0,0,D10/TrNavi_act!D5*1000)</f>
        <v>1.2189189189189189</v>
      </c>
      <c r="E25" s="64">
        <f>IF(E10=0,0,E10/TrNavi_act!E5*1000)</f>
        <v>1.2563291139240509</v>
      </c>
      <c r="F25" s="64">
        <f>IF(F10=0,0,F10/TrNavi_act!F5*1000)</f>
        <v>1.2189189189189189</v>
      </c>
      <c r="G25" s="64">
        <f>IF(G10=0,0,G10/TrNavi_act!G5*1000)</f>
        <v>1.236842105263158</v>
      </c>
      <c r="H25" s="64">
        <f>IF(H10=0,0,H10/TrNavi_act!H5*1000)</f>
        <v>1.2125984251968505</v>
      </c>
      <c r="I25" s="64">
        <f>IF(I10=0,0,I10/TrNavi_act!I5*1000)</f>
        <v>1.2347826086956522</v>
      </c>
      <c r="J25" s="64">
        <f>IF(J10=0,0,J10/TrNavi_act!J5*1000)</f>
        <v>1.2207084468664851</v>
      </c>
      <c r="K25" s="64">
        <f>IF(K10=0,0,K10/TrNavi_act!K5*1000)</f>
        <v>1.2867383512544803</v>
      </c>
      <c r="L25" s="64">
        <f>IF(L10=0,0,L10/TrNavi_act!L5*1000)</f>
        <v>1.2256267409470751</v>
      </c>
      <c r="M25" s="64">
        <f>IF(M10=0,0,M10/TrNavi_act!M5*1000)</f>
        <v>1.2655737704918033</v>
      </c>
      <c r="N25" s="64">
        <f>IF(N10=0,0,N10/TrNavi_act!N5*1000)</f>
        <v>1.2790939010288493</v>
      </c>
      <c r="O25" s="64">
        <f>IF(O10=0,0,O10/TrNavi_act!O5*1000)</f>
        <v>1.0971954760603155</v>
      </c>
      <c r="P25" s="64">
        <f>IF(P10=0,0,P10/TrNavi_act!P5*1000)</f>
        <v>1.2384788281968895</v>
      </c>
      <c r="Q25" s="64">
        <f>IF(Q10=0,0,Q10/TrNavi_act!Q5*1000)</f>
        <v>1.3838019794734819</v>
      </c>
      <c r="R25" s="64">
        <f>IF(R10=0,0,R10/TrNavi_act!R5*1000)</f>
        <v>1.6142462777752635</v>
      </c>
      <c r="S25" s="64">
        <f>IF(S10=0,0,S10/TrNavi_act!S5*1000)</f>
        <v>1.623123222435346</v>
      </c>
      <c r="T25" s="64">
        <f>IF(T10=0,0,T10/TrNavi_act!T5*1000)</f>
        <v>1.5384938028228095</v>
      </c>
      <c r="U25" s="64">
        <f>IF(U10=0,0,U10/TrNavi_act!U5*1000)</f>
        <v>1.3278574768822313</v>
      </c>
      <c r="V25" s="64">
        <f>IF(V10=0,0,V10/TrNavi_act!V5*1000)</f>
        <v>0.51462378562903455</v>
      </c>
      <c r="W25" s="64">
        <f>IF(W10=0,0,W10/TrNavi_act!W5*1000)</f>
        <v>0.41209172210753209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1.4240102292000001</v>
      </c>
      <c r="C3" s="54">
        <f t="shared" ref="C3:V3" si="1">SUM(C4:C5)</f>
        <v>1.4022932976000002</v>
      </c>
      <c r="D3" s="54">
        <f t="shared" si="1"/>
        <v>1.3991908788</v>
      </c>
      <c r="E3" s="54">
        <f t="shared" si="1"/>
        <v>1.2316602636</v>
      </c>
      <c r="F3" s="54">
        <f t="shared" si="1"/>
        <v>1.3991908788</v>
      </c>
      <c r="G3" s="54">
        <f t="shared" si="1"/>
        <v>1.3123231524000001</v>
      </c>
      <c r="H3" s="54">
        <f t="shared" si="1"/>
        <v>1.4333174856000002</v>
      </c>
      <c r="I3" s="54">
        <f t="shared" si="1"/>
        <v>1.3216304087999999</v>
      </c>
      <c r="J3" s="54">
        <f t="shared" si="1"/>
        <v>1.3898836224000002</v>
      </c>
      <c r="K3" s="54">
        <f t="shared" si="1"/>
        <v>1.1137683491999999</v>
      </c>
      <c r="L3" s="54">
        <f t="shared" si="1"/>
        <v>1.3650642720000001</v>
      </c>
      <c r="M3" s="54">
        <f t="shared" si="1"/>
        <v>1.1975336568000001</v>
      </c>
      <c r="N3" s="54">
        <f t="shared" si="1"/>
        <v>1.1176153200000001</v>
      </c>
      <c r="O3" s="54">
        <f t="shared" si="1"/>
        <v>1.0291104</v>
      </c>
      <c r="P3" s="54">
        <f t="shared" si="1"/>
        <v>1.0479023999999999</v>
      </c>
      <c r="Q3" s="54">
        <f t="shared" si="1"/>
        <v>0.95569307999999997</v>
      </c>
      <c r="R3" s="54">
        <f t="shared" si="1"/>
        <v>0.89727155999999986</v>
      </c>
      <c r="S3" s="54">
        <f t="shared" si="1"/>
        <v>0.91523411999999993</v>
      </c>
      <c r="T3" s="54">
        <f t="shared" si="1"/>
        <v>0.91280304000000034</v>
      </c>
      <c r="U3" s="54">
        <f t="shared" si="1"/>
        <v>0.87456780000000012</v>
      </c>
      <c r="V3" s="54">
        <f t="shared" si="1"/>
        <v>0.29290248000000002</v>
      </c>
      <c r="W3" s="54">
        <f t="shared" ref="W3" si="2">SUM(W4:W5)</f>
        <v>0.25502256000000001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1.4240102292000001</v>
      </c>
      <c r="C5" s="58">
        <v>1.4022932976000002</v>
      </c>
      <c r="D5" s="58">
        <v>1.3991908788</v>
      </c>
      <c r="E5" s="58">
        <v>1.2316602636</v>
      </c>
      <c r="F5" s="58">
        <v>1.3991908788</v>
      </c>
      <c r="G5" s="58">
        <v>1.3123231524000001</v>
      </c>
      <c r="H5" s="58">
        <v>1.4333174856000002</v>
      </c>
      <c r="I5" s="58">
        <v>1.3216304087999999</v>
      </c>
      <c r="J5" s="58">
        <v>1.3898836224000002</v>
      </c>
      <c r="K5" s="58">
        <v>1.1137683491999999</v>
      </c>
      <c r="L5" s="58">
        <v>1.3650642720000001</v>
      </c>
      <c r="M5" s="58">
        <v>1.1975336568000001</v>
      </c>
      <c r="N5" s="58">
        <v>1.1176153200000001</v>
      </c>
      <c r="O5" s="58">
        <v>1.0291104</v>
      </c>
      <c r="P5" s="58">
        <v>1.0479023999999999</v>
      </c>
      <c r="Q5" s="58">
        <v>0.95569307999999997</v>
      </c>
      <c r="R5" s="58">
        <v>0.89727155999999986</v>
      </c>
      <c r="S5" s="58">
        <v>0.91523411999999993</v>
      </c>
      <c r="T5" s="58">
        <v>0.91280304000000034</v>
      </c>
      <c r="U5" s="58">
        <v>0.87456780000000012</v>
      </c>
      <c r="V5" s="58">
        <v>0.29290248000000002</v>
      </c>
      <c r="W5" s="58">
        <v>0.25502256000000001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3.1024188000000006</v>
      </c>
      <c r="D9" s="79">
        <f>IF(D3=0,0,D3/TrNavi_ene!D3)</f>
        <v>3.1024188000000001</v>
      </c>
      <c r="E9" s="79">
        <f>IF(E3=0,0,E3/TrNavi_ene!E3)</f>
        <v>3.1024187999999997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3.1024187999999997</v>
      </c>
      <c r="J9" s="79">
        <f>IF(J3=0,0,J3/TrNavi_ene!J3)</f>
        <v>3.1024188000000001</v>
      </c>
      <c r="K9" s="79">
        <f>IF(K3=0,0,K3/TrNavi_ene!K3)</f>
        <v>3.1024187999999997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3.0129499702364395</v>
      </c>
      <c r="O9" s="79">
        <f>IF(O3=0,0,O3/TrNavi_ene!O3)</f>
        <v>2.9966334381572355</v>
      </c>
      <c r="P9" s="79">
        <f>IF(P3=0,0,P3/TrNavi_ene!P3)</f>
        <v>2.9688440711327648</v>
      </c>
      <c r="Q9" s="79">
        <f>IF(Q3=0,0,Q3/TrNavi_ene!Q3)</f>
        <v>2.9388446643046011</v>
      </c>
      <c r="R9" s="79">
        <f>IF(R3=0,0,R3/TrNavi_ene!R3)</f>
        <v>2.9255027313708997</v>
      </c>
      <c r="S9" s="79">
        <f>IF(S3=0,0,S3/TrNavi_ene!S3)</f>
        <v>2.8916524899755505</v>
      </c>
      <c r="T9" s="79">
        <f>IF(T3=0,0,T3/TrNavi_ene!T3)</f>
        <v>2.8941928449291168</v>
      </c>
      <c r="U9" s="79">
        <f>IF(U3=0,0,U3/TrNavi_ene!U3)</f>
        <v>2.8887314723090034</v>
      </c>
      <c r="V9" s="79">
        <f>IF(V3=0,0,V3/TrNavi_ene!V3)</f>
        <v>2.8316341167082295</v>
      </c>
      <c r="W9" s="79">
        <f>IF(W3=0,0,W3/TrNavi_ene!W3)</f>
        <v>2.8518388200000007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3.1024188000000006</v>
      </c>
      <c r="D11" s="81">
        <f>IF(D5=0,0,D5/TrNavi_ene!D10)</f>
        <v>3.1024188000000001</v>
      </c>
      <c r="E11" s="81">
        <f>IF(E5=0,0,E5/TrNavi_ene!E10)</f>
        <v>3.1024187999999997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3.1024187999999997</v>
      </c>
      <c r="J11" s="81">
        <f>IF(J5=0,0,J5/TrNavi_ene!J10)</f>
        <v>3.1024188000000001</v>
      </c>
      <c r="K11" s="81">
        <f>IF(K5=0,0,K5/TrNavi_ene!K10)</f>
        <v>3.1024187999999997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3.0129499702364395</v>
      </c>
      <c r="O11" s="81">
        <f>IF(O5=0,0,O5/TrNavi_ene!O10)</f>
        <v>2.9966334381572355</v>
      </c>
      <c r="P11" s="81">
        <f>IF(P5=0,0,P5/TrNavi_ene!P10)</f>
        <v>2.9688440711327648</v>
      </c>
      <c r="Q11" s="81">
        <f>IF(Q5=0,0,Q5/TrNavi_ene!Q10)</f>
        <v>2.9388446643046011</v>
      </c>
      <c r="R11" s="81">
        <f>IF(R5=0,0,R5/TrNavi_ene!R10)</f>
        <v>2.9255027313708997</v>
      </c>
      <c r="S11" s="81">
        <f>IF(S5=0,0,S5/TrNavi_ene!S10)</f>
        <v>2.8916524899755505</v>
      </c>
      <c r="T11" s="81">
        <f>IF(T5=0,0,T5/TrNavi_ene!T10)</f>
        <v>2.8941928449291168</v>
      </c>
      <c r="U11" s="81">
        <f>IF(U5=0,0,U5/TrNavi_ene!U10)</f>
        <v>2.8887314723090034</v>
      </c>
      <c r="V11" s="81">
        <f>IF(V5=0,0,V5/TrNavi_ene!V10)</f>
        <v>2.8316341167082295</v>
      </c>
      <c r="W11" s="81">
        <f>IF(W5=0,0,W5/TrNavi_ene!W10)</f>
        <v>2.8518388200000007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5293.7183241635694</v>
      </c>
      <c r="C13" s="54">
        <f>IF(C3=0,0,C3/TrNavi_act!C7*1000)</f>
        <v>5311.7170363636369</v>
      </c>
      <c r="D13" s="54">
        <f>IF(D3=0,0,D3/TrNavi_act!D7*1000)</f>
        <v>5299.9654500000006</v>
      </c>
      <c r="E13" s="54">
        <f>IF(E3=0,0,E3/TrNavi_act!E7*1000)</f>
        <v>5378.4290986899559</v>
      </c>
      <c r="F13" s="54">
        <f>IF(F3=0,0,F3/TrNavi_act!F7*1000)</f>
        <v>5299.9654500000006</v>
      </c>
      <c r="G13" s="54">
        <f>IF(G3=0,0,G3/TrNavi_act!G7*1000)</f>
        <v>5356.4210302040819</v>
      </c>
      <c r="H13" s="54">
        <f>IF(H3=0,0,H3/TrNavi_act!H7*1000)</f>
        <v>5288.9944118081185</v>
      </c>
      <c r="I13" s="54">
        <f>IF(I3=0,0,I3/TrNavi_act!I7*1000)</f>
        <v>5350.7303999999995</v>
      </c>
      <c r="J13" s="54">
        <f>IF(J3=0,0,J3/TrNavi_act!J7*1000)</f>
        <v>5264.7106909090917</v>
      </c>
      <c r="K13" s="54">
        <f>IF(K3=0,0,K3/TrNavi_act!K7*1000)</f>
        <v>6222.1695486033514</v>
      </c>
      <c r="L13" s="54">
        <f>IF(L3=0,0,L3/TrNavi_act!L7*1000)</f>
        <v>6594.5133913043492</v>
      </c>
      <c r="M13" s="54">
        <f>IF(M3=0,0,M3/TrNavi_act!M7*1000)</f>
        <v>6690.1321608938561</v>
      </c>
      <c r="N13" s="54">
        <f>IF(N3=0,0,N3/TrNavi_act!N7*1000)</f>
        <v>5198.2107906976753</v>
      </c>
      <c r="O13" s="54">
        <f>IF(O3=0,0,O3/TrNavi_act!O7*1000)</f>
        <v>3988.7999999999997</v>
      </c>
      <c r="P13" s="54">
        <f>IF(P3=0,0,P3/TrNavi_act!P7*1000)</f>
        <v>4191.6095999999998</v>
      </c>
      <c r="Q13" s="54">
        <f>IF(Q3=0,0,Q3/TrNavi_act!Q7*1000)</f>
        <v>4383.9132110091741</v>
      </c>
      <c r="R13" s="54">
        <f>IF(R3=0,0,R3/TrNavi_act!R7*1000)</f>
        <v>4722.4818947368412</v>
      </c>
      <c r="S13" s="54">
        <f>IF(S3=0,0,S3/TrNavi_act!S7*1000)</f>
        <v>4693.5083076923065</v>
      </c>
      <c r="T13" s="54">
        <f>IF(T3=0,0,T3/TrNavi_act!T7*1000)</f>
        <v>4564.0152000000016</v>
      </c>
      <c r="U13" s="54">
        <f>IF(U3=0,0,U3/TrNavi_act!U7*1000)</f>
        <v>4224.9652173913055</v>
      </c>
      <c r="V13" s="54">
        <f>IF(V3=0,0,V3/TrNavi_act!V7*1000)</f>
        <v>1939.7515231788082</v>
      </c>
      <c r="W13" s="54">
        <f>IF(W3=0,0,W3/TrNavi_act!W7*1000)</f>
        <v>1746.7298630136986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5293.7183241635694</v>
      </c>
      <c r="C15" s="58">
        <f>IF(C5=0,0,C5/TrNavi_act!C9*1000)</f>
        <v>5311.7170363636369</v>
      </c>
      <c r="D15" s="58">
        <f>IF(D5=0,0,D5/TrNavi_act!D9*1000)</f>
        <v>5299.9654500000006</v>
      </c>
      <c r="E15" s="58">
        <f>IF(E5=0,0,E5/TrNavi_act!E9*1000)</f>
        <v>5378.4290986899559</v>
      </c>
      <c r="F15" s="58">
        <f>IF(F5=0,0,F5/TrNavi_act!F9*1000)</f>
        <v>5299.9654500000006</v>
      </c>
      <c r="G15" s="58">
        <f>IF(G5=0,0,G5/TrNavi_act!G9*1000)</f>
        <v>5356.4210302040819</v>
      </c>
      <c r="H15" s="58">
        <f>IF(H5=0,0,H5/TrNavi_act!H9*1000)</f>
        <v>5288.9944118081185</v>
      </c>
      <c r="I15" s="58">
        <f>IF(I5=0,0,I5/TrNavi_act!I9*1000)</f>
        <v>5350.7303999999995</v>
      </c>
      <c r="J15" s="58">
        <f>IF(J5=0,0,J5/TrNavi_act!J9*1000)</f>
        <v>5264.7106909090917</v>
      </c>
      <c r="K15" s="58">
        <f>IF(K5=0,0,K5/TrNavi_act!K9*1000)</f>
        <v>6222.1695486033514</v>
      </c>
      <c r="L15" s="58">
        <f>IF(L5=0,0,L5/TrNavi_act!L9*1000)</f>
        <v>6594.5133913043492</v>
      </c>
      <c r="M15" s="58">
        <f>IF(M5=0,0,M5/TrNavi_act!M9*1000)</f>
        <v>6690.1321608938561</v>
      </c>
      <c r="N15" s="58">
        <f>IF(N5=0,0,N5/TrNavi_act!N9*1000)</f>
        <v>5198.2107906976753</v>
      </c>
      <c r="O15" s="58">
        <f>IF(O5=0,0,O5/TrNavi_act!O9*1000)</f>
        <v>3988.7999999999997</v>
      </c>
      <c r="P15" s="58">
        <f>IF(P5=0,0,P5/TrNavi_act!P9*1000)</f>
        <v>4191.6095999999998</v>
      </c>
      <c r="Q15" s="58">
        <f>IF(Q5=0,0,Q5/TrNavi_act!Q9*1000)</f>
        <v>4383.9132110091741</v>
      </c>
      <c r="R15" s="58">
        <f>IF(R5=0,0,R5/TrNavi_act!R9*1000)</f>
        <v>4722.4818947368412</v>
      </c>
      <c r="S15" s="58">
        <f>IF(S5=0,0,S5/TrNavi_act!S9*1000)</f>
        <v>4693.5083076923065</v>
      </c>
      <c r="T15" s="58">
        <f>IF(T5=0,0,T5/TrNavi_act!T9*1000)</f>
        <v>4564.0152000000016</v>
      </c>
      <c r="U15" s="58">
        <f>IF(U5=0,0,U5/TrNavi_act!U9*1000)</f>
        <v>4224.9652173913055</v>
      </c>
      <c r="V15" s="58">
        <f>IF(V5=0,0,V5/TrNavi_act!V9*1000)</f>
        <v>1939.7515231788082</v>
      </c>
      <c r="W15" s="58">
        <f>IF(W5=0,0,W5/TrNavi_act!W9*1000)</f>
        <v>1746.7298630136986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3.7672228285714286</v>
      </c>
      <c r="C17" s="62">
        <f>IF(C3=0,0,C3/TrNavi_act!C3*1000)</f>
        <v>3.779766300808626</v>
      </c>
      <c r="D17" s="62">
        <f>IF(D3=0,0,D3/TrNavi_act!D3*1000)</f>
        <v>3.7815969697297298</v>
      </c>
      <c r="E17" s="62">
        <f>IF(E3=0,0,E3/TrNavi_act!E3*1000)</f>
        <v>3.8976590620253169</v>
      </c>
      <c r="F17" s="62">
        <f>IF(F3=0,0,F3/TrNavi_act!F3*1000)</f>
        <v>3.7815969697297298</v>
      </c>
      <c r="G17" s="62">
        <f>IF(G3=0,0,G3/TrNavi_act!G3*1000)</f>
        <v>3.8372022000000001</v>
      </c>
      <c r="H17" s="62">
        <f>IF(H3=0,0,H3/TrNavi_act!H3*1000)</f>
        <v>3.7619881511811029</v>
      </c>
      <c r="I17" s="62">
        <f>IF(I3=0,0,I3/TrNavi_act!I3*1000)</f>
        <v>3.8308127791304343</v>
      </c>
      <c r="J17" s="62">
        <f>IF(J3=0,0,J3/TrNavi_act!J3*1000)</f>
        <v>3.7871488348773847</v>
      </c>
      <c r="K17" s="62">
        <f>IF(K3=0,0,K3/TrNavi_act!K3*1000)</f>
        <v>3.9920012516129026</v>
      </c>
      <c r="L17" s="62">
        <f>IF(L3=0,0,L3/TrNavi_act!L3*1000)</f>
        <v>3.8024074428969366</v>
      </c>
      <c r="M17" s="62">
        <f>IF(M3=0,0,M3/TrNavi_act!M3*1000)</f>
        <v>3.9263398583606559</v>
      </c>
      <c r="N17" s="62">
        <f>IF(N3=0,0,N3/TrNavi_act!N3*1000)</f>
        <v>3.853845931034483</v>
      </c>
      <c r="O17" s="62">
        <f>IF(O3=0,0,O3/TrNavi_act!O3*1000)</f>
        <v>3.2878926517571885</v>
      </c>
      <c r="P17" s="62">
        <f>IF(P3=0,0,P3/TrNavi_act!P3*1000)</f>
        <v>3.6768505263157891</v>
      </c>
      <c r="Q17" s="62">
        <f>IF(Q3=0,0,Q3/TrNavi_act!Q3*1000)</f>
        <v>4.0667790638297872</v>
      </c>
      <c r="R17" s="62">
        <f>IF(R3=0,0,R3/TrNavi_act!R3*1000)</f>
        <v>4.7224818947368412</v>
      </c>
      <c r="S17" s="62">
        <f>IF(S3=0,0,S3/TrNavi_act!S3*1000)</f>
        <v>4.6935083076923076</v>
      </c>
      <c r="T17" s="62">
        <f>IF(T3=0,0,T3/TrNavi_act!T3*1000)</f>
        <v>4.452697756097562</v>
      </c>
      <c r="U17" s="62">
        <f>IF(U3=0,0,U3/TrNavi_act!U3*1000)</f>
        <v>3.8358236842105269</v>
      </c>
      <c r="V17" s="62">
        <f>IF(V3=0,0,V3/TrNavi_act!V3*1000)</f>
        <v>1.4572262686567166</v>
      </c>
      <c r="W17" s="62">
        <f>IF(W3=0,0,W3/TrNavi_act!W3*1000)</f>
        <v>1.1752191705069126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3.7672228285714286</v>
      </c>
      <c r="C19" s="64">
        <f>IF(C5=0,0,C5/TrNavi_act!C5*1000)</f>
        <v>3.779766300808626</v>
      </c>
      <c r="D19" s="64">
        <f>IF(D5=0,0,D5/TrNavi_act!D5*1000)</f>
        <v>3.7815969697297298</v>
      </c>
      <c r="E19" s="64">
        <f>IF(E5=0,0,E5/TrNavi_act!E5*1000)</f>
        <v>3.8976590620253169</v>
      </c>
      <c r="F19" s="64">
        <f>IF(F5=0,0,F5/TrNavi_act!F5*1000)</f>
        <v>3.7815969697297298</v>
      </c>
      <c r="G19" s="64">
        <f>IF(G5=0,0,G5/TrNavi_act!G5*1000)</f>
        <v>3.8372022000000001</v>
      </c>
      <c r="H19" s="64">
        <f>IF(H5=0,0,H5/TrNavi_act!H5*1000)</f>
        <v>3.7619881511811029</v>
      </c>
      <c r="I19" s="64">
        <f>IF(I5=0,0,I5/TrNavi_act!I5*1000)</f>
        <v>3.8308127791304343</v>
      </c>
      <c r="J19" s="64">
        <f>IF(J5=0,0,J5/TrNavi_act!J5*1000)</f>
        <v>3.7871488348773847</v>
      </c>
      <c r="K19" s="64">
        <f>IF(K5=0,0,K5/TrNavi_act!K5*1000)</f>
        <v>3.9920012516129026</v>
      </c>
      <c r="L19" s="64">
        <f>IF(L5=0,0,L5/TrNavi_act!L5*1000)</f>
        <v>3.8024074428969366</v>
      </c>
      <c r="M19" s="64">
        <f>IF(M5=0,0,M5/TrNavi_act!M5*1000)</f>
        <v>3.9263398583606559</v>
      </c>
      <c r="N19" s="64">
        <f>IF(N5=0,0,N5/TrNavi_act!N5*1000)</f>
        <v>3.853845931034483</v>
      </c>
      <c r="O19" s="64">
        <f>IF(O5=0,0,O5/TrNavi_act!O5*1000)</f>
        <v>3.2878926517571885</v>
      </c>
      <c r="P19" s="64">
        <f>IF(P5=0,0,P5/TrNavi_act!P5*1000)</f>
        <v>3.6768505263157891</v>
      </c>
      <c r="Q19" s="64">
        <f>IF(Q5=0,0,Q5/TrNavi_act!Q5*1000)</f>
        <v>4.0667790638297872</v>
      </c>
      <c r="R19" s="64">
        <f>IF(R5=0,0,R5/TrNavi_act!R5*1000)</f>
        <v>4.7224818947368412</v>
      </c>
      <c r="S19" s="64">
        <f>IF(S5=0,0,S5/TrNavi_act!S5*1000)</f>
        <v>4.6935083076923076</v>
      </c>
      <c r="T19" s="64">
        <f>IF(T5=0,0,T5/TrNavi_act!T5*1000)</f>
        <v>4.452697756097562</v>
      </c>
      <c r="U19" s="64">
        <f>IF(U5=0,0,U5/TrNavi_act!U5*1000)</f>
        <v>3.8358236842105269</v>
      </c>
      <c r="V19" s="64">
        <f>IF(V5=0,0,V5/TrNavi_act!V5*1000)</f>
        <v>1.4572262686567166</v>
      </c>
      <c r="W19" s="64">
        <f>IF(W5=0,0,W5/TrNavi_act!W5*1000)</f>
        <v>1.1752191705069126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0</v>
      </c>
      <c r="J7" s="59">
        <f t="shared" si="2"/>
        <v>0</v>
      </c>
      <c r="K7" s="59">
        <f t="shared" si="2"/>
        <v>0</v>
      </c>
      <c r="L7" s="59">
        <f t="shared" si="2"/>
        <v>0</v>
      </c>
      <c r="M7" s="59">
        <f t="shared" si="2"/>
        <v>0</v>
      </c>
      <c r="N7" s="59">
        <f t="shared" si="2"/>
        <v>0</v>
      </c>
      <c r="O7" s="59">
        <f t="shared" si="2"/>
        <v>0</v>
      </c>
      <c r="P7" s="59">
        <f t="shared" si="2"/>
        <v>0</v>
      </c>
      <c r="Q7" s="59">
        <f t="shared" si="2"/>
        <v>0</v>
      </c>
      <c r="R7" s="59">
        <f t="shared" si="2"/>
        <v>0</v>
      </c>
      <c r="S7" s="59">
        <f t="shared" si="2"/>
        <v>0</v>
      </c>
      <c r="T7" s="59">
        <f t="shared" si="2"/>
        <v>0</v>
      </c>
      <c r="U7" s="59">
        <f t="shared" si="2"/>
        <v>0</v>
      </c>
      <c r="V7" s="59">
        <f t="shared" si="2"/>
        <v>0</v>
      </c>
      <c r="W7" s="59">
        <f t="shared" si="2"/>
        <v>0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0</v>
      </c>
      <c r="J13" s="62">
        <f t="shared" si="3"/>
        <v>0</v>
      </c>
      <c r="K13" s="62">
        <f t="shared" si="3"/>
        <v>0</v>
      </c>
      <c r="L13" s="62">
        <f t="shared" si="3"/>
        <v>0</v>
      </c>
      <c r="M13" s="62">
        <f t="shared" si="3"/>
        <v>0</v>
      </c>
      <c r="N13" s="62">
        <f t="shared" si="3"/>
        <v>0</v>
      </c>
      <c r="O13" s="62">
        <f t="shared" si="3"/>
        <v>0</v>
      </c>
      <c r="P13" s="62">
        <f t="shared" si="3"/>
        <v>0</v>
      </c>
      <c r="Q13" s="62">
        <f t="shared" si="3"/>
        <v>0</v>
      </c>
      <c r="R13" s="62">
        <f t="shared" si="3"/>
        <v>0</v>
      </c>
      <c r="S13" s="62">
        <f t="shared" si="3"/>
        <v>0</v>
      </c>
      <c r="T13" s="62">
        <f t="shared" si="3"/>
        <v>0</v>
      </c>
      <c r="U13" s="62">
        <f t="shared" si="3"/>
        <v>0</v>
      </c>
      <c r="V13" s="62">
        <f t="shared" si="3"/>
        <v>0</v>
      </c>
      <c r="W13" s="62">
        <f t="shared" si="3"/>
        <v>0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  <c r="Q14" s="63">
        <f t="shared" si="3"/>
        <v>0</v>
      </c>
      <c r="R14" s="63">
        <f t="shared" si="3"/>
        <v>0</v>
      </c>
      <c r="S14" s="63">
        <f t="shared" si="3"/>
        <v>0</v>
      </c>
      <c r="T14" s="63">
        <f t="shared" si="3"/>
        <v>0</v>
      </c>
      <c r="U14" s="63">
        <f t="shared" si="3"/>
        <v>0</v>
      </c>
      <c r="V14" s="63">
        <f t="shared" si="3"/>
        <v>0</v>
      </c>
      <c r="W14" s="63">
        <f t="shared" si="3"/>
        <v>0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0</v>
      </c>
      <c r="J15" s="64">
        <f t="shared" si="3"/>
        <v>0</v>
      </c>
      <c r="K15" s="64">
        <f t="shared" si="3"/>
        <v>0</v>
      </c>
      <c r="L15" s="64">
        <f t="shared" si="3"/>
        <v>0</v>
      </c>
      <c r="M15" s="64">
        <f t="shared" si="3"/>
        <v>0</v>
      </c>
      <c r="N15" s="64">
        <f t="shared" si="3"/>
        <v>0</v>
      </c>
      <c r="O15" s="64">
        <f t="shared" si="3"/>
        <v>0</v>
      </c>
      <c r="P15" s="64">
        <f t="shared" si="3"/>
        <v>0</v>
      </c>
      <c r="Q15" s="64">
        <f t="shared" si="3"/>
        <v>0</v>
      </c>
      <c r="R15" s="64">
        <f t="shared" si="3"/>
        <v>0</v>
      </c>
      <c r="S15" s="64">
        <f t="shared" si="3"/>
        <v>0</v>
      </c>
      <c r="T15" s="64">
        <f t="shared" si="3"/>
        <v>0</v>
      </c>
      <c r="U15" s="64">
        <f t="shared" si="3"/>
        <v>0</v>
      </c>
      <c r="V15" s="64">
        <f t="shared" si="3"/>
        <v>0</v>
      </c>
      <c r="W15" s="64">
        <f t="shared" si="3"/>
        <v>0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0</v>
      </c>
      <c r="J17" s="65">
        <f t="shared" si="4"/>
        <v>0</v>
      </c>
      <c r="K17" s="65">
        <f t="shared" si="4"/>
        <v>0</v>
      </c>
      <c r="L17" s="65">
        <f t="shared" si="4"/>
        <v>0</v>
      </c>
      <c r="M17" s="65">
        <f t="shared" si="4"/>
        <v>0</v>
      </c>
      <c r="N17" s="65">
        <f t="shared" si="4"/>
        <v>0</v>
      </c>
      <c r="O17" s="65">
        <f t="shared" si="4"/>
        <v>0</v>
      </c>
      <c r="P17" s="65">
        <f t="shared" si="4"/>
        <v>0</v>
      </c>
      <c r="Q17" s="65">
        <f t="shared" si="4"/>
        <v>0</v>
      </c>
      <c r="R17" s="65">
        <f t="shared" si="4"/>
        <v>0</v>
      </c>
      <c r="S17" s="65">
        <f t="shared" si="4"/>
        <v>0</v>
      </c>
      <c r="T17" s="65">
        <f t="shared" si="4"/>
        <v>0</v>
      </c>
      <c r="U17" s="65">
        <f t="shared" si="4"/>
        <v>0</v>
      </c>
      <c r="V17" s="65">
        <f t="shared" si="4"/>
        <v>0</v>
      </c>
      <c r="W17" s="65">
        <f t="shared" si="4"/>
        <v>0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</v>
      </c>
      <c r="J18" s="66">
        <f t="shared" si="4"/>
        <v>0</v>
      </c>
      <c r="K18" s="66">
        <f t="shared" si="4"/>
        <v>0</v>
      </c>
      <c r="L18" s="66">
        <f t="shared" si="4"/>
        <v>0</v>
      </c>
      <c r="M18" s="66">
        <f t="shared" si="4"/>
        <v>0</v>
      </c>
      <c r="N18" s="66">
        <f t="shared" si="4"/>
        <v>0</v>
      </c>
      <c r="O18" s="66">
        <f t="shared" si="4"/>
        <v>0</v>
      </c>
      <c r="P18" s="66">
        <f t="shared" si="4"/>
        <v>0</v>
      </c>
      <c r="Q18" s="66">
        <f t="shared" si="4"/>
        <v>0</v>
      </c>
      <c r="R18" s="66">
        <f t="shared" si="4"/>
        <v>0</v>
      </c>
      <c r="S18" s="66">
        <f t="shared" si="4"/>
        <v>0</v>
      </c>
      <c r="T18" s="66">
        <f t="shared" si="4"/>
        <v>0</v>
      </c>
      <c r="U18" s="66">
        <f t="shared" si="4"/>
        <v>0</v>
      </c>
      <c r="V18" s="66">
        <f t="shared" si="4"/>
        <v>0</v>
      </c>
      <c r="W18" s="66">
        <f t="shared" si="4"/>
        <v>0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</v>
      </c>
      <c r="J19" s="67">
        <f t="shared" si="4"/>
        <v>0</v>
      </c>
      <c r="K19" s="67">
        <f t="shared" si="4"/>
        <v>0</v>
      </c>
      <c r="L19" s="67">
        <f t="shared" si="4"/>
        <v>0</v>
      </c>
      <c r="M19" s="67">
        <f t="shared" si="4"/>
        <v>0</v>
      </c>
      <c r="N19" s="67">
        <f t="shared" si="4"/>
        <v>0</v>
      </c>
      <c r="O19" s="67">
        <f t="shared" si="4"/>
        <v>0</v>
      </c>
      <c r="P19" s="67">
        <f t="shared" si="4"/>
        <v>0</v>
      </c>
      <c r="Q19" s="67">
        <f t="shared" si="4"/>
        <v>0</v>
      </c>
      <c r="R19" s="67">
        <f t="shared" si="4"/>
        <v>0</v>
      </c>
      <c r="S19" s="67">
        <f t="shared" si="4"/>
        <v>0</v>
      </c>
      <c r="T19" s="67">
        <f t="shared" si="4"/>
        <v>0</v>
      </c>
      <c r="U19" s="67">
        <f t="shared" si="4"/>
        <v>0</v>
      </c>
      <c r="V19" s="67">
        <f t="shared" si="4"/>
        <v>0</v>
      </c>
      <c r="W19" s="67">
        <f t="shared" si="4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0</v>
      </c>
      <c r="J21" s="65">
        <f t="shared" si="5"/>
        <v>0</v>
      </c>
      <c r="K21" s="65">
        <f t="shared" si="5"/>
        <v>0</v>
      </c>
      <c r="L21" s="65">
        <f t="shared" si="5"/>
        <v>0</v>
      </c>
      <c r="M21" s="65">
        <f t="shared" si="5"/>
        <v>0</v>
      </c>
      <c r="N21" s="65">
        <f t="shared" si="5"/>
        <v>0</v>
      </c>
      <c r="O21" s="65">
        <f t="shared" si="5"/>
        <v>0</v>
      </c>
      <c r="P21" s="65">
        <f t="shared" si="5"/>
        <v>0</v>
      </c>
      <c r="Q21" s="65">
        <f t="shared" si="5"/>
        <v>0</v>
      </c>
      <c r="R21" s="65">
        <f t="shared" si="5"/>
        <v>0</v>
      </c>
      <c r="S21" s="65">
        <f t="shared" si="5"/>
        <v>0</v>
      </c>
      <c r="T21" s="65">
        <f t="shared" si="5"/>
        <v>0</v>
      </c>
      <c r="U21" s="65">
        <f t="shared" si="5"/>
        <v>0</v>
      </c>
      <c r="V21" s="65">
        <f t="shared" si="5"/>
        <v>0</v>
      </c>
      <c r="W21" s="65">
        <f t="shared" si="5"/>
        <v>0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</v>
      </c>
      <c r="J22" s="66">
        <f t="shared" si="5"/>
        <v>0</v>
      </c>
      <c r="K22" s="66">
        <f t="shared" si="5"/>
        <v>0</v>
      </c>
      <c r="L22" s="66">
        <f t="shared" si="5"/>
        <v>0</v>
      </c>
      <c r="M22" s="66">
        <f t="shared" si="5"/>
        <v>0</v>
      </c>
      <c r="N22" s="66">
        <f t="shared" si="5"/>
        <v>0</v>
      </c>
      <c r="O22" s="66">
        <f t="shared" si="5"/>
        <v>0</v>
      </c>
      <c r="P22" s="66">
        <f t="shared" si="5"/>
        <v>0</v>
      </c>
      <c r="Q22" s="66">
        <f t="shared" si="5"/>
        <v>0</v>
      </c>
      <c r="R22" s="66">
        <f t="shared" si="5"/>
        <v>0</v>
      </c>
      <c r="S22" s="66">
        <f t="shared" si="5"/>
        <v>0</v>
      </c>
      <c r="T22" s="66">
        <f t="shared" si="5"/>
        <v>0</v>
      </c>
      <c r="U22" s="66">
        <f t="shared" si="5"/>
        <v>0</v>
      </c>
      <c r="V22" s="66">
        <f t="shared" si="5"/>
        <v>0</v>
      </c>
      <c r="W22" s="66">
        <f t="shared" si="5"/>
        <v>0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</v>
      </c>
      <c r="J23" s="67">
        <f t="shared" si="5"/>
        <v>0</v>
      </c>
      <c r="K23" s="67">
        <f t="shared" si="5"/>
        <v>0</v>
      </c>
      <c r="L23" s="67">
        <f t="shared" si="5"/>
        <v>0</v>
      </c>
      <c r="M23" s="67">
        <f t="shared" si="5"/>
        <v>0</v>
      </c>
      <c r="N23" s="67">
        <f t="shared" si="5"/>
        <v>0</v>
      </c>
      <c r="O23" s="67">
        <f t="shared" si="5"/>
        <v>0</v>
      </c>
      <c r="P23" s="67">
        <f t="shared" si="5"/>
        <v>0</v>
      </c>
      <c r="Q23" s="67">
        <f t="shared" si="5"/>
        <v>0</v>
      </c>
      <c r="R23" s="67">
        <f t="shared" si="5"/>
        <v>0</v>
      </c>
      <c r="S23" s="67">
        <f t="shared" si="5"/>
        <v>0</v>
      </c>
      <c r="T23" s="67">
        <f t="shared" si="5"/>
        <v>0</v>
      </c>
      <c r="U23" s="67">
        <f t="shared" si="5"/>
        <v>0</v>
      </c>
      <c r="V23" s="67">
        <f t="shared" si="5"/>
        <v>0</v>
      </c>
      <c r="W23" s="67">
        <f t="shared" si="5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0</v>
      </c>
      <c r="J4" s="71">
        <f t="shared" si="1"/>
        <v>0</v>
      </c>
      <c r="K4" s="71">
        <f t="shared" si="1"/>
        <v>0</v>
      </c>
      <c r="L4" s="71">
        <f t="shared" si="1"/>
        <v>0</v>
      </c>
      <c r="M4" s="71">
        <f t="shared" si="1"/>
        <v>0</v>
      </c>
      <c r="N4" s="71">
        <f t="shared" si="1"/>
        <v>0</v>
      </c>
      <c r="O4" s="71">
        <f t="shared" si="1"/>
        <v>0</v>
      </c>
      <c r="P4" s="71">
        <f t="shared" si="1"/>
        <v>0</v>
      </c>
      <c r="Q4" s="71">
        <f t="shared" si="1"/>
        <v>0</v>
      </c>
      <c r="R4" s="71">
        <f t="shared" si="1"/>
        <v>0</v>
      </c>
      <c r="S4" s="71">
        <f t="shared" si="1"/>
        <v>0</v>
      </c>
      <c r="T4" s="71">
        <f t="shared" si="1"/>
        <v>0</v>
      </c>
      <c r="U4" s="71">
        <f t="shared" si="1"/>
        <v>0</v>
      </c>
      <c r="V4" s="71">
        <f t="shared" si="1"/>
        <v>0</v>
      </c>
      <c r="W4" s="71">
        <f t="shared" si="1"/>
        <v>0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0</v>
      </c>
      <c r="J10" s="71">
        <f t="shared" si="2"/>
        <v>0</v>
      </c>
      <c r="K10" s="71">
        <f t="shared" si="2"/>
        <v>0</v>
      </c>
      <c r="L10" s="71">
        <f t="shared" si="2"/>
        <v>0</v>
      </c>
      <c r="M10" s="71">
        <f t="shared" si="2"/>
        <v>0</v>
      </c>
      <c r="N10" s="71">
        <f t="shared" si="2"/>
        <v>0</v>
      </c>
      <c r="O10" s="71">
        <f t="shared" si="2"/>
        <v>0</v>
      </c>
      <c r="P10" s="71">
        <f t="shared" si="2"/>
        <v>0</v>
      </c>
      <c r="Q10" s="71">
        <f t="shared" si="2"/>
        <v>0</v>
      </c>
      <c r="R10" s="71">
        <f t="shared" si="2"/>
        <v>0</v>
      </c>
      <c r="S10" s="71">
        <f t="shared" si="2"/>
        <v>0</v>
      </c>
      <c r="T10" s="71">
        <f t="shared" si="2"/>
        <v>0</v>
      </c>
      <c r="U10" s="71">
        <f t="shared" si="2"/>
        <v>0</v>
      </c>
      <c r="V10" s="71">
        <f t="shared" si="2"/>
        <v>0</v>
      </c>
      <c r="W10" s="71">
        <f t="shared" si="2"/>
        <v>0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0</v>
      </c>
      <c r="J27" s="76">
        <f t="shared" si="3"/>
        <v>0</v>
      </c>
      <c r="K27" s="76">
        <f t="shared" si="3"/>
        <v>0</v>
      </c>
      <c r="L27" s="76">
        <f t="shared" si="3"/>
        <v>0</v>
      </c>
      <c r="M27" s="76">
        <f t="shared" si="3"/>
        <v>0</v>
      </c>
      <c r="N27" s="76">
        <f t="shared" si="3"/>
        <v>0</v>
      </c>
      <c r="O27" s="76">
        <f t="shared" si="3"/>
        <v>0</v>
      </c>
      <c r="P27" s="76">
        <f t="shared" si="3"/>
        <v>0</v>
      </c>
      <c r="Q27" s="76">
        <f t="shared" si="3"/>
        <v>0</v>
      </c>
      <c r="R27" s="76">
        <f t="shared" si="3"/>
        <v>0</v>
      </c>
      <c r="S27" s="76">
        <f t="shared" si="3"/>
        <v>0</v>
      </c>
      <c r="T27" s="76">
        <f t="shared" si="3"/>
        <v>0</v>
      </c>
      <c r="U27" s="76">
        <f t="shared" si="3"/>
        <v>0</v>
      </c>
      <c r="V27" s="76">
        <f t="shared" si="3"/>
        <v>0</v>
      </c>
      <c r="W27" s="76">
        <f t="shared" si="3"/>
        <v>0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</v>
      </c>
      <c r="J28" s="77">
        <f t="shared" si="3"/>
        <v>0</v>
      </c>
      <c r="K28" s="77">
        <f t="shared" si="3"/>
        <v>0</v>
      </c>
      <c r="L28" s="77">
        <f t="shared" si="3"/>
        <v>0</v>
      </c>
      <c r="M28" s="77">
        <f t="shared" si="3"/>
        <v>0</v>
      </c>
      <c r="N28" s="77">
        <f t="shared" si="3"/>
        <v>0</v>
      </c>
      <c r="O28" s="77">
        <f t="shared" si="3"/>
        <v>0</v>
      </c>
      <c r="P28" s="77">
        <f t="shared" si="3"/>
        <v>0</v>
      </c>
      <c r="Q28" s="77">
        <f t="shared" si="3"/>
        <v>0</v>
      </c>
      <c r="R28" s="77">
        <f t="shared" si="3"/>
        <v>0</v>
      </c>
      <c r="S28" s="77">
        <f t="shared" si="3"/>
        <v>0</v>
      </c>
      <c r="T28" s="77">
        <f t="shared" si="3"/>
        <v>0</v>
      </c>
      <c r="U28" s="77">
        <f t="shared" si="3"/>
        <v>0</v>
      </c>
      <c r="V28" s="77">
        <f t="shared" si="3"/>
        <v>0</v>
      </c>
      <c r="W28" s="77">
        <f t="shared" si="3"/>
        <v>0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</v>
      </c>
      <c r="J29" s="78">
        <f t="shared" si="4"/>
        <v>0</v>
      </c>
      <c r="K29" s="78">
        <f t="shared" si="4"/>
        <v>0</v>
      </c>
      <c r="L29" s="78">
        <f t="shared" si="4"/>
        <v>0</v>
      </c>
      <c r="M29" s="78">
        <f t="shared" si="4"/>
        <v>0</v>
      </c>
      <c r="N29" s="78">
        <f t="shared" si="4"/>
        <v>0</v>
      </c>
      <c r="O29" s="78">
        <f t="shared" si="4"/>
        <v>0</v>
      </c>
      <c r="P29" s="78">
        <f t="shared" si="4"/>
        <v>0</v>
      </c>
      <c r="Q29" s="78">
        <f t="shared" si="4"/>
        <v>0</v>
      </c>
      <c r="R29" s="78">
        <f t="shared" si="4"/>
        <v>0</v>
      </c>
      <c r="S29" s="78">
        <f t="shared" si="4"/>
        <v>0</v>
      </c>
      <c r="T29" s="78">
        <f t="shared" si="4"/>
        <v>0</v>
      </c>
      <c r="U29" s="78">
        <f t="shared" si="4"/>
        <v>0</v>
      </c>
      <c r="V29" s="78">
        <f t="shared" si="4"/>
        <v>0</v>
      </c>
      <c r="W29" s="78">
        <f t="shared" si="4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0</v>
      </c>
      <c r="J21" s="76">
        <f t="shared" si="2"/>
        <v>0</v>
      </c>
      <c r="K21" s="76">
        <f t="shared" si="2"/>
        <v>0</v>
      </c>
      <c r="L21" s="76">
        <f t="shared" si="2"/>
        <v>0</v>
      </c>
      <c r="M21" s="76">
        <f t="shared" si="2"/>
        <v>0</v>
      </c>
      <c r="N21" s="76">
        <f t="shared" si="2"/>
        <v>0</v>
      </c>
      <c r="O21" s="76">
        <f t="shared" si="2"/>
        <v>0</v>
      </c>
      <c r="P21" s="76">
        <f t="shared" si="2"/>
        <v>0</v>
      </c>
      <c r="Q21" s="76">
        <f t="shared" si="2"/>
        <v>0</v>
      </c>
      <c r="R21" s="76">
        <f t="shared" si="2"/>
        <v>0</v>
      </c>
      <c r="S21" s="76">
        <f t="shared" si="2"/>
        <v>0</v>
      </c>
      <c r="T21" s="76">
        <f t="shared" si="2"/>
        <v>0</v>
      </c>
      <c r="U21" s="76">
        <f t="shared" si="2"/>
        <v>0</v>
      </c>
      <c r="V21" s="76">
        <f t="shared" si="2"/>
        <v>0</v>
      </c>
      <c r="W21" s="76">
        <f t="shared" si="2"/>
        <v>0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</v>
      </c>
      <c r="J22" s="77">
        <f t="shared" si="2"/>
        <v>0</v>
      </c>
      <c r="K22" s="77">
        <f t="shared" si="2"/>
        <v>0</v>
      </c>
      <c r="L22" s="77">
        <f t="shared" si="2"/>
        <v>0</v>
      </c>
      <c r="M22" s="77">
        <f t="shared" si="2"/>
        <v>0</v>
      </c>
      <c r="N22" s="77">
        <f t="shared" si="2"/>
        <v>0</v>
      </c>
      <c r="O22" s="77">
        <f t="shared" si="2"/>
        <v>0</v>
      </c>
      <c r="P22" s="77">
        <f t="shared" si="2"/>
        <v>0</v>
      </c>
      <c r="Q22" s="77">
        <f t="shared" si="2"/>
        <v>0</v>
      </c>
      <c r="R22" s="77">
        <f t="shared" si="2"/>
        <v>0</v>
      </c>
      <c r="S22" s="77">
        <f t="shared" si="2"/>
        <v>0</v>
      </c>
      <c r="T22" s="77">
        <f t="shared" si="2"/>
        <v>0</v>
      </c>
      <c r="U22" s="77">
        <f t="shared" si="2"/>
        <v>0</v>
      </c>
      <c r="V22" s="77">
        <f t="shared" si="2"/>
        <v>0</v>
      </c>
      <c r="W22" s="77">
        <f t="shared" si="2"/>
        <v>0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</v>
      </c>
      <c r="J23" s="78">
        <f t="shared" si="2"/>
        <v>0</v>
      </c>
      <c r="K23" s="78">
        <f t="shared" si="2"/>
        <v>0</v>
      </c>
      <c r="L23" s="78">
        <f t="shared" si="2"/>
        <v>0</v>
      </c>
      <c r="M23" s="78">
        <f t="shared" si="2"/>
        <v>0</v>
      </c>
      <c r="N23" s="78">
        <f t="shared" si="2"/>
        <v>0</v>
      </c>
      <c r="O23" s="78">
        <f t="shared" si="2"/>
        <v>0</v>
      </c>
      <c r="P23" s="78">
        <f t="shared" si="2"/>
        <v>0</v>
      </c>
      <c r="Q23" s="78">
        <f t="shared" si="2"/>
        <v>0</v>
      </c>
      <c r="R23" s="78">
        <f t="shared" si="2"/>
        <v>0</v>
      </c>
      <c r="S23" s="78">
        <f t="shared" si="2"/>
        <v>0</v>
      </c>
      <c r="T23" s="78">
        <f t="shared" si="2"/>
        <v>0</v>
      </c>
      <c r="U23" s="78">
        <f t="shared" si="2"/>
        <v>0</v>
      </c>
      <c r="V23" s="78">
        <f t="shared" si="2"/>
        <v>0</v>
      </c>
      <c r="W23" s="78">
        <f t="shared" si="2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68B2B6-49A8-4F04-ACA2-B4D61B3D6C78}"/>
</file>

<file path=customXml/itemProps2.xml><?xml version="1.0" encoding="utf-8"?>
<ds:datastoreItem xmlns:ds="http://schemas.openxmlformats.org/officeDocument/2006/customXml" ds:itemID="{7B213B14-5D4D-4604-8593-4B28335713A0}"/>
</file>

<file path=customXml/itemProps3.xml><?xml version="1.0" encoding="utf-8"?>
<ds:datastoreItem xmlns:ds="http://schemas.openxmlformats.org/officeDocument/2006/customXml" ds:itemID="{8830F020-E086-477D-A548-7C8F144D3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2024-05-20T16:53:07Z</dcterms:created>
  <dcterms:modified xsi:type="dcterms:W3CDTF">2024-05-20T16:53:07Z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