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I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P9" i="59"/>
  <c r="H9" i="59"/>
  <c r="Y21" i="59"/>
  <c r="W21" i="59"/>
  <c r="W20" i="59"/>
  <c r="V20" i="59"/>
  <c r="T119" i="59"/>
  <c r="Y118" i="59"/>
  <c r="W117" i="59"/>
  <c r="X112" i="59"/>
  <c r="W111" i="59"/>
  <c r="U110" i="59"/>
  <c r="Y75" i="59"/>
  <c r="Y107" i="59"/>
  <c r="T106" i="59"/>
  <c r="O106" i="59"/>
  <c r="M106" i="59"/>
  <c r="L106" i="59"/>
  <c r="G106" i="59"/>
  <c r="W72" i="59"/>
  <c r="W104" i="59"/>
  <c r="U104" i="59"/>
  <c r="Y71" i="59"/>
  <c r="V103" i="59"/>
  <c r="U103" i="59"/>
  <c r="V101" i="59"/>
  <c r="U101" i="59"/>
  <c r="U100" i="59"/>
  <c r="Y67" i="59"/>
  <c r="W75" i="59"/>
  <c r="T90" i="59"/>
  <c r="X122" i="59"/>
  <c r="U115" i="59"/>
  <c r="V113" i="59"/>
  <c r="T112" i="59"/>
  <c r="V111" i="59"/>
  <c r="X110" i="59"/>
  <c r="Y93" i="59"/>
  <c r="W90" i="59"/>
  <c r="T80" i="59"/>
  <c r="W78" i="59"/>
  <c r="Y122" i="59"/>
  <c r="W122" i="59"/>
  <c r="U121" i="59"/>
  <c r="Y120" i="59"/>
  <c r="W87" i="59"/>
  <c r="T118" i="59"/>
  <c r="W85" i="59"/>
  <c r="U116" i="59"/>
  <c r="V115" i="59"/>
  <c r="T83" i="59"/>
  <c r="Y114" i="59"/>
  <c r="W81" i="59"/>
  <c r="W113" i="59"/>
  <c r="U113" i="59"/>
  <c r="Y111" i="59"/>
  <c r="W110" i="59"/>
  <c r="Y77" i="59"/>
  <c r="U109" i="59"/>
  <c r="U108" i="59"/>
  <c r="W74" i="59"/>
  <c r="Y73" i="59"/>
  <c r="W73" i="59"/>
  <c r="W105" i="59"/>
  <c r="T71" i="59"/>
  <c r="Y102" i="59"/>
  <c r="W69" i="59"/>
  <c r="W101" i="59"/>
  <c r="Y99" i="59"/>
  <c r="W67" i="59"/>
  <c r="W98" i="59"/>
  <c r="Y20" i="59"/>
  <c r="U94" i="59"/>
  <c r="X20" i="59"/>
  <c r="U20" i="59"/>
  <c r="U13" i="59"/>
  <c r="Y10" i="59"/>
  <c r="T10" i="59"/>
  <c r="W5" i="59"/>
  <c r="T5" i="59"/>
  <c r="Y5" i="59"/>
  <c r="X21" i="59"/>
  <c r="U5" i="59"/>
  <c r="Y80" i="59" l="1"/>
  <c r="Y89" i="59"/>
  <c r="U71" i="59"/>
  <c r="Y69" i="59"/>
  <c r="V94" i="59"/>
  <c r="Y70" i="59"/>
  <c r="W80" i="59"/>
  <c r="W65" i="59"/>
  <c r="W84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Y65" i="59"/>
  <c r="Y72" i="59"/>
  <c r="Y84" i="59"/>
  <c r="Y97" i="59"/>
  <c r="T98" i="59"/>
  <c r="Y68" i="59"/>
  <c r="X102" i="59"/>
  <c r="Y105" i="59"/>
  <c r="Y82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4" i="4"/>
  <c r="B7" i="4"/>
  <c r="B6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F95" i="59" l="1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<sst xmlns="http://schemas.openxmlformats.org/spreadsheetml/2006/main" count="722" uniqueCount="281">
  <si>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</si>
  <si>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</si>
  <si>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</si>
  <si>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</si>
  <si>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</si>
  <si>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</si>
  <si>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</si>
  <si>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</si>
  <si>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</si>
  <si>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</si>
  <si>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</si>
  <si>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</si>
  <si>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</si>
  <si>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</si>
  <si>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</si>
  <si>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</si>
  <si>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</si>
  <si>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</si>
  <si>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</si>
  <si>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</si>
  <si>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</si>
  <si>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</si>
  <si>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</si>
  <si>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</si>
  <si>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</si>
  <si>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</si>
  <si>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</si>
  <si>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</si>
  <si>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</si>
  <si>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</si>
  <si>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</si>
  <si>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</si>
  <si>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</si>
  <si>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</si>
  <si>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</si>
  <si>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</si>
  <si>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</si>
  <si>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</si>
  <si>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</si>
  <si>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</si>
  <si>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</si>
  <si>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</si>
  <si>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</si>
  <si>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</si>
  <si>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</si>
  <si>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</si>
  <si>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</si>
  <si>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</si>
  <si>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</si>
  <si>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</si>
  <si>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</si>
  <si>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</si>
  <si>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</si>
  <si>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</si>
  <si>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</si>
  <si>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</si>
  <si>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</si>
  <si>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</si>
  <si>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</si>
  <si>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</si>
  <si>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</si>
  <si>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</si>
  <si>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</si>
  <si>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</si>
  <si>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</si>
  <si>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</si>
  <si>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</si>
  <si>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</si>
  <si>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</si>
  <si>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</si>
  <si>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</si>
  <si>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</si>
  <si>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</si>
  <si>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</si>
  <si>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</si>
  <si>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</si>
  <si>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</si>
  <si>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</si>
  <si>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</si>
  <si>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</si>
  <si>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</si>
  <si>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</si>
  <si>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</si>
  <si>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</si>
  <si>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</si>
  <si>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</si>
  <si>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</si>
  <si>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</si>
  <si>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</si>
  <si>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</si>
  <si>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</si>
  <si>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</si>
  <si>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</si>
  <si>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</si>
  <si>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</si>
  <si>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</si>
  <si>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</si>
  <si>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</si>
  <si>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</si>
  <si>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</si>
  <si>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</si>
  <si>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</si>
  <si>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</si>
  <si>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</si>
  <si>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</si>
  <si>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</si>
  <si>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</si>
  <si>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</si>
  <si>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</si>
  <si>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</si>
  <si>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</si>
  <si>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</si>
  <si>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</si>
  <si>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</si>
  <si>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</si>
  <si>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</si>
  <si>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</si>
  <si>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</si>
  <si>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</si>
  <si>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</si>
  <si>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</si>
  <si>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</si>
  <si>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</si>
  <si>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</si>
  <si>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</si>
  <si>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</si>
  <si>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</si>
  <si>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</si>
  <si>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</si>
  <si>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</si>
  <si>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</si>
  <si>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</si>
  <si>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</si>
  <si>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</si>
  <si>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</si>
  <si>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</si>
  <si>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</si>
  <si>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</si>
  <si>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</si>
  <si>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</si>
  <si>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</si>
  <si>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</si>
  <si>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</si>
  <si>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</si>
  <si>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</si>
  <si>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</si>
  <si>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</si>
  <si>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</si>
  <si>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</si>
  <si>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</si>
  <si>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</si>
  <si>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</si>
  <si>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</si>
  <si>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</si>
  <si>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</si>
  <si>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</si>
  <si>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</si>
  <si>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</si>
  <si>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</si>
  <si>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</si>
  <si>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</si>
  <si>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</si>
  <si>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</si>
  <si>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</si>
  <si>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</si>
  <si>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</si>
  <si>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</si>
  <si>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</si>
  <si>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</si>
  <si>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</si>
  <si>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</si>
  <si>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</si>
  <si>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</si>
  <si>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</si>
  <si>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</si>
  <si>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</si>
  <si>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</si>
  <si>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</si>
  <si>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</si>
  <si>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</si>
  <si>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</si>
  <si>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</si>
  <si>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</si>
  <si>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</si>
  <si>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</si>
  <si>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</si>
  <si>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</si>
  <si>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</si>
  <si>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</si>
  <si>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</si>
  <si>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</si>
  <si>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</si>
  <si>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</si>
  <si>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</si>
  <si>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</si>
  <si>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</si>
  <si>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</si>
  <si>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</si>
  <si>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</si>
  <si>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</si>
  <si>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</si>
  <si>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</si>
  <si>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</si>
  <si>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</si>
  <si>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</si>
  <si>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</si>
  <si>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</si>
  <si>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</si>
  <si>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</si>
  <si>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</si>
  <si>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</si>
  <si>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</si>
  <si>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</si>
  <si>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</si>
  <si>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</si>
  <si>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</si>
  <si>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</si>
  <si>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</si>
  <si>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</si>
  <si>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</si>
  <si>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</si>
  <si>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</si>
  <si>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</si>
  <si>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</si>
  <si>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</si>
  <si>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</si>
  <si>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</si>
  <si>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</si>
  <si>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</si>
  <si>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</si>
  <si>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</si>
  <si>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</si>
  <si>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</si>
  <si>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</si>
  <si>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</si>
  <si>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</si>
  <si>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</si>
  <si>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</si>
  <si>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</si>
  <si>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</si>
  <si>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</si>
  <si>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</si>
  <si>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</si>
  <si>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</si>
  <si>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</si>
  <si>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</si>
  <si>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</si>
  <si>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</si>
  <si>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</si>
  <si>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</si>
  <si>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</si>
  <si>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</si>
  <si>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</si>
  <si>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</si>
  <si>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</si>
  <si>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</si>
  <si>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</si>
  <si>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</si>
  <si>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</si>
  <si>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</si>
  <si>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</si>
  <si>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</si>
  <si>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</si>
  <si>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</si>
  <si>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</si>
  <si>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</si>
  <si>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</si>
  <si>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</si>
  <si>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</si>
  <si>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</si>
  <si>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</si>
  <si>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</si>
  <si>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</si>
  <si>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</si>
  <si>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</si>
  <si>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</si>
  <si>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</si>
  <si>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</si>
  <si>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</si>
  <si>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FI</t>
  </si>
  <si>
    <t>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</si>
</sst>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45432.784675925926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152718.25557656935</v>
      </c>
      <c r="E2" s="19">
        <v>161878.39230585966</v>
      </c>
      <c r="F2" s="19">
        <v>166196.89627586893</v>
      </c>
      <c r="G2" s="19">
        <v>169850.73244972355</v>
      </c>
      <c r="H2" s="19">
        <v>177693.67892927126</v>
      </c>
      <c r="I2" s="19">
        <v>184332.24022516911</v>
      </c>
      <c r="J2" s="19">
        <v>193521.71593988966</v>
      </c>
      <c r="K2" s="19">
        <v>209386.53252319721</v>
      </c>
      <c r="L2" s="19">
        <v>217438.35485640497</v>
      </c>
      <c r="M2" s="19">
        <v>203426.84258042779</v>
      </c>
      <c r="N2" s="19">
        <v>210585.0486327972</v>
      </c>
      <c r="O2" s="19">
        <v>221616.44237460053</v>
      </c>
      <c r="P2" s="19">
        <v>225017.32806575295</v>
      </c>
      <c r="Q2" s="19">
        <v>228692.90872569173</v>
      </c>
      <c r="R2" s="19">
        <v>231575.20002235568</v>
      </c>
      <c r="S2" s="19">
        <v>236599.00280000002</v>
      </c>
      <c r="T2" s="19">
        <v>243464.90021681134</v>
      </c>
      <c r="U2" s="19">
        <v>253296.00665959745</v>
      </c>
      <c r="V2" s="19">
        <v>261311.3149125108</v>
      </c>
      <c r="W2" s="19">
        <v>268468.39301987214</v>
      </c>
      <c r="X2" s="19">
        <v>266432.17254532612</v>
      </c>
      <c r="Y2" s="19">
        <v>280562.37155313551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72203.931329126324</v>
      </c>
      <c r="E3" s="23">
        <v>76138.674215340769</v>
      </c>
      <c r="F3" s="23">
        <v>79321.514645137067</v>
      </c>
      <c r="G3" s="23">
        <v>83417.504573284081</v>
      </c>
      <c r="H3" s="23">
        <v>86789.446972599515</v>
      </c>
      <c r="I3" s="23">
        <v>90499.894490981344</v>
      </c>
      <c r="J3" s="23">
        <v>95357.819692693636</v>
      </c>
      <c r="K3" s="23">
        <v>100601.7256785858</v>
      </c>
      <c r="L3" s="23">
        <v>106076.03745194071</v>
      </c>
      <c r="M3" s="23">
        <v>104922.65048347427</v>
      </c>
      <c r="N3" s="23">
        <v>109623.92197238922</v>
      </c>
      <c r="O3" s="23">
        <v>116531.81444094388</v>
      </c>
      <c r="P3" s="23">
        <v>120279.46977592494</v>
      </c>
      <c r="Q3" s="23">
        <v>122563.33601261638</v>
      </c>
      <c r="R3" s="23">
        <v>124883.24813895783</v>
      </c>
      <c r="S3" s="23">
        <v>127474.77096000001</v>
      </c>
      <c r="T3" s="23">
        <v>130837.31079907787</v>
      </c>
      <c r="U3" s="23">
        <v>133184.91803230107</v>
      </c>
      <c r="V3" s="23">
        <v>137208.42528208776</v>
      </c>
      <c r="W3" s="23">
        <v>139582.1559943991</v>
      </c>
      <c r="X3" s="23">
        <v>134791.78999133865</v>
      </c>
      <c r="Y3" s="23">
        <v>142261.40362438222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119381</v>
      </c>
      <c r="E4" s="27">
        <v>127302</v>
      </c>
      <c r="F4" s="27">
        <v>130218</v>
      </c>
      <c r="G4" s="27">
        <v>132423</v>
      </c>
      <c r="H4" s="27">
        <v>139033</v>
      </c>
      <c r="I4" s="27">
        <v>143921.00000000003</v>
      </c>
      <c r="J4" s="27">
        <v>150758</v>
      </c>
      <c r="K4" s="27">
        <v>164142</v>
      </c>
      <c r="L4" s="27">
        <v>170940</v>
      </c>
      <c r="M4" s="27">
        <v>159066</v>
      </c>
      <c r="N4" s="27">
        <v>164663</v>
      </c>
      <c r="O4" s="27">
        <v>171583</v>
      </c>
      <c r="P4" s="27">
        <v>173661</v>
      </c>
      <c r="Q4" s="27">
        <v>175985</v>
      </c>
      <c r="R4" s="27">
        <v>178410</v>
      </c>
      <c r="S4" s="27">
        <v>182599</v>
      </c>
      <c r="T4" s="27">
        <v>187394</v>
      </c>
      <c r="U4" s="27">
        <v>195707</v>
      </c>
      <c r="V4" s="27">
        <v>201308</v>
      </c>
      <c r="W4" s="27">
        <v>207291</v>
      </c>
      <c r="X4" s="27">
        <v>206158</v>
      </c>
      <c r="Y4" s="27">
        <v>217207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4030</v>
      </c>
      <c r="E6" s="19">
        <v>3998</v>
      </c>
      <c r="F6" s="19">
        <v>3968</v>
      </c>
      <c r="G6" s="19">
        <v>3848</v>
      </c>
      <c r="H6" s="19">
        <v>3778</v>
      </c>
      <c r="I6" s="19">
        <v>3752</v>
      </c>
      <c r="J6" s="19">
        <v>3460</v>
      </c>
      <c r="K6" s="19">
        <v>4453</v>
      </c>
      <c r="L6" s="19">
        <v>4284</v>
      </c>
      <c r="M6" s="19">
        <v>4096</v>
      </c>
      <c r="N6" s="19">
        <v>4551</v>
      </c>
      <c r="O6" s="19">
        <v>4596</v>
      </c>
      <c r="P6" s="19">
        <v>4653.0000000000009</v>
      </c>
      <c r="Q6" s="19">
        <v>4837</v>
      </c>
      <c r="R6" s="19">
        <v>4962.0000000000009</v>
      </c>
      <c r="S6" s="19">
        <v>4764</v>
      </c>
      <c r="T6" s="19">
        <v>5026</v>
      </c>
      <c r="U6" s="19">
        <v>5241.0000000000009</v>
      </c>
      <c r="V6" s="19">
        <v>5572</v>
      </c>
      <c r="W6" s="19">
        <v>5635</v>
      </c>
      <c r="X6" s="19">
        <v>5837</v>
      </c>
      <c r="Y6" s="19">
        <v>6108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35757.999999999993</v>
      </c>
      <c r="E7" s="23">
        <v>37293.000000000007</v>
      </c>
      <c r="F7" s="23">
        <v>37455.000000000007</v>
      </c>
      <c r="G7" s="23">
        <v>37158</v>
      </c>
      <c r="H7" s="23">
        <v>38302.999999999993</v>
      </c>
      <c r="I7" s="23">
        <v>38918</v>
      </c>
      <c r="J7" s="23">
        <v>42381.999999999993</v>
      </c>
      <c r="K7" s="23">
        <v>46335</v>
      </c>
      <c r="L7" s="23">
        <v>45607.000000000022</v>
      </c>
      <c r="M7" s="23">
        <v>35903.999999999993</v>
      </c>
      <c r="N7" s="23">
        <v>38486.000000000015</v>
      </c>
      <c r="O7" s="23">
        <v>38385.000000000022</v>
      </c>
      <c r="P7" s="23">
        <v>35304.000000000007</v>
      </c>
      <c r="Q7" s="23">
        <v>35984.000000000007</v>
      </c>
      <c r="R7" s="23">
        <v>36310.000000000015</v>
      </c>
      <c r="S7" s="23">
        <v>37366</v>
      </c>
      <c r="T7" s="23">
        <v>37991</v>
      </c>
      <c r="U7" s="23">
        <v>41204.999999999971</v>
      </c>
      <c r="V7" s="23">
        <v>41046.999999999985</v>
      </c>
      <c r="W7" s="23">
        <v>41902.999999999978</v>
      </c>
      <c r="X7" s="23">
        <v>41340.000000000007</v>
      </c>
      <c r="Y7" s="23">
        <v>44755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7344</v>
      </c>
      <c r="E8" s="23">
        <v>7464</v>
      </c>
      <c r="F8" s="23">
        <v>7254</v>
      </c>
      <c r="G8" s="23">
        <v>7652.0000000000009</v>
      </c>
      <c r="H8" s="23">
        <v>8329</v>
      </c>
      <c r="I8" s="23">
        <v>9256</v>
      </c>
      <c r="J8" s="23">
        <v>9904</v>
      </c>
      <c r="K8" s="23">
        <v>11040</v>
      </c>
      <c r="L8" s="23">
        <v>11824</v>
      </c>
      <c r="M8" s="23">
        <v>10733</v>
      </c>
      <c r="N8" s="23">
        <v>10729</v>
      </c>
      <c r="O8" s="23">
        <v>11176</v>
      </c>
      <c r="P8" s="23">
        <v>11696</v>
      </c>
      <c r="Q8" s="23">
        <v>11667</v>
      </c>
      <c r="R8" s="23">
        <v>11478</v>
      </c>
      <c r="S8" s="23">
        <v>11899</v>
      </c>
      <c r="T8" s="23">
        <v>13120</v>
      </c>
      <c r="U8" s="23">
        <v>14014</v>
      </c>
      <c r="V8" s="23">
        <v>14975</v>
      </c>
      <c r="W8" s="23">
        <v>15371</v>
      </c>
      <c r="X8" s="23">
        <v>15876</v>
      </c>
      <c r="Y8" s="23">
        <v>15381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19924</v>
      </c>
      <c r="E9" s="23">
        <v>21798</v>
      </c>
      <c r="F9" s="23">
        <v>22442</v>
      </c>
      <c r="G9" s="23">
        <v>22611</v>
      </c>
      <c r="H9" s="23">
        <v>23796</v>
      </c>
      <c r="I9" s="23">
        <v>24591</v>
      </c>
      <c r="J9" s="23">
        <v>24548</v>
      </c>
      <c r="K9" s="23">
        <v>26545</v>
      </c>
      <c r="L9" s="23">
        <v>28227</v>
      </c>
      <c r="M9" s="23">
        <v>26021</v>
      </c>
      <c r="N9" s="23">
        <v>26554</v>
      </c>
      <c r="O9" s="23">
        <v>28446</v>
      </c>
      <c r="P9" s="23">
        <v>29550</v>
      </c>
      <c r="Q9" s="23">
        <v>29052</v>
      </c>
      <c r="R9" s="23">
        <v>28607</v>
      </c>
      <c r="S9" s="23">
        <v>28964</v>
      </c>
      <c r="T9" s="23">
        <v>29156</v>
      </c>
      <c r="U9" s="23">
        <v>30534</v>
      </c>
      <c r="V9" s="23">
        <v>31053</v>
      </c>
      <c r="W9" s="23">
        <v>31944</v>
      </c>
      <c r="X9" s="23">
        <v>29435</v>
      </c>
      <c r="Y9" s="23">
        <v>30571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5735</v>
      </c>
      <c r="E10" s="23">
        <v>6858</v>
      </c>
      <c r="F10" s="23">
        <v>7324</v>
      </c>
      <c r="G10" s="23">
        <v>7196</v>
      </c>
      <c r="H10" s="23">
        <v>7811</v>
      </c>
      <c r="I10" s="23">
        <v>7190</v>
      </c>
      <c r="J10" s="23">
        <v>7139</v>
      </c>
      <c r="K10" s="23">
        <v>7932.9999999999991</v>
      </c>
      <c r="L10" s="23">
        <v>8219</v>
      </c>
      <c r="M10" s="23">
        <v>8087</v>
      </c>
      <c r="N10" s="23">
        <v>8258.9999999999982</v>
      </c>
      <c r="O10" s="23">
        <v>8620</v>
      </c>
      <c r="P10" s="23">
        <v>9012.0000000000018</v>
      </c>
      <c r="Q10" s="23">
        <v>9342</v>
      </c>
      <c r="R10" s="23">
        <v>9863</v>
      </c>
      <c r="S10" s="23">
        <v>10345</v>
      </c>
      <c r="T10" s="23">
        <v>10769</v>
      </c>
      <c r="U10" s="23">
        <v>11402</v>
      </c>
      <c r="V10" s="23">
        <v>11850</v>
      </c>
      <c r="W10" s="23">
        <v>12495</v>
      </c>
      <c r="X10" s="23">
        <v>12819</v>
      </c>
      <c r="Y10" s="23">
        <v>14040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3936.0000000000005</v>
      </c>
      <c r="E11" s="23">
        <v>4214</v>
      </c>
      <c r="F11" s="23">
        <v>3726</v>
      </c>
      <c r="G11" s="23">
        <v>3503</v>
      </c>
      <c r="H11" s="23">
        <v>3769</v>
      </c>
      <c r="I11" s="23">
        <v>4127.0000000000009</v>
      </c>
      <c r="J11" s="23">
        <v>4499</v>
      </c>
      <c r="K11" s="23">
        <v>5174</v>
      </c>
      <c r="L11" s="23">
        <v>4939</v>
      </c>
      <c r="M11" s="23">
        <v>4911</v>
      </c>
      <c r="N11" s="23">
        <v>4668</v>
      </c>
      <c r="O11" s="23">
        <v>4888</v>
      </c>
      <c r="P11" s="23">
        <v>4975.0000000000009</v>
      </c>
      <c r="Q11" s="23">
        <v>4855</v>
      </c>
      <c r="R11" s="23">
        <v>5752</v>
      </c>
      <c r="S11" s="23">
        <v>5822</v>
      </c>
      <c r="T11" s="23">
        <v>6161</v>
      </c>
      <c r="U11" s="23">
        <v>6509</v>
      </c>
      <c r="V11" s="23">
        <v>6525</v>
      </c>
      <c r="W11" s="23">
        <v>6017</v>
      </c>
      <c r="X11" s="23">
        <v>6168</v>
      </c>
      <c r="Y11" s="23">
        <v>7049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11275</v>
      </c>
      <c r="E12" s="23">
        <v>11989</v>
      </c>
      <c r="F12" s="23">
        <v>12778</v>
      </c>
      <c r="G12" s="23">
        <v>13500</v>
      </c>
      <c r="H12" s="23">
        <v>14138</v>
      </c>
      <c r="I12" s="23">
        <v>14680.000000000002</v>
      </c>
      <c r="J12" s="23">
        <v>15288</v>
      </c>
      <c r="K12" s="23">
        <v>16097</v>
      </c>
      <c r="L12" s="23">
        <v>17461.999999999996</v>
      </c>
      <c r="M12" s="23">
        <v>17904</v>
      </c>
      <c r="N12" s="23">
        <v>18458</v>
      </c>
      <c r="O12" s="23">
        <v>19688</v>
      </c>
      <c r="P12" s="23">
        <v>20355</v>
      </c>
      <c r="Q12" s="23">
        <v>21131</v>
      </c>
      <c r="R12" s="23">
        <v>21949</v>
      </c>
      <c r="S12" s="23">
        <v>23174</v>
      </c>
      <c r="T12" s="23">
        <v>24027</v>
      </c>
      <c r="U12" s="23">
        <v>24748</v>
      </c>
      <c r="V12" s="23">
        <v>25814</v>
      </c>
      <c r="W12" s="23">
        <v>26676</v>
      </c>
      <c r="X12" s="23">
        <v>27499</v>
      </c>
      <c r="Y12" s="23">
        <v>28410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6615</v>
      </c>
      <c r="E13" s="23">
        <v>7368</v>
      </c>
      <c r="F13" s="23">
        <v>7669</v>
      </c>
      <c r="G13" s="23">
        <v>8044</v>
      </c>
      <c r="H13" s="23">
        <v>8762</v>
      </c>
      <c r="I13" s="23">
        <v>9454</v>
      </c>
      <c r="J13" s="23">
        <v>10277</v>
      </c>
      <c r="K13" s="23">
        <v>11575</v>
      </c>
      <c r="L13" s="23">
        <v>12947</v>
      </c>
      <c r="M13" s="23">
        <v>12554</v>
      </c>
      <c r="N13" s="23">
        <v>12972</v>
      </c>
      <c r="O13" s="23">
        <v>13944</v>
      </c>
      <c r="P13" s="23">
        <v>14551</v>
      </c>
      <c r="Q13" s="23">
        <v>14769</v>
      </c>
      <c r="R13" s="23">
        <v>14847</v>
      </c>
      <c r="S13" s="23">
        <v>15092</v>
      </c>
      <c r="T13" s="23">
        <v>15653</v>
      </c>
      <c r="U13" s="23">
        <v>16803.000000000004</v>
      </c>
      <c r="V13" s="23">
        <v>18054</v>
      </c>
      <c r="W13" s="23">
        <v>19105.000000000004</v>
      </c>
      <c r="X13" s="23">
        <v>18647.000000000004</v>
      </c>
      <c r="Y13" s="23">
        <v>19620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21834</v>
      </c>
      <c r="E14" s="23">
        <v>23172</v>
      </c>
      <c r="F14" s="23">
        <v>24313</v>
      </c>
      <c r="G14" s="23">
        <v>25472</v>
      </c>
      <c r="H14" s="23">
        <v>26706.999999999996</v>
      </c>
      <c r="I14" s="23">
        <v>28101.999999999996</v>
      </c>
      <c r="J14" s="23">
        <v>29140</v>
      </c>
      <c r="K14" s="23">
        <v>30629</v>
      </c>
      <c r="L14" s="23">
        <v>32732</v>
      </c>
      <c r="M14" s="23">
        <v>33927.999999999993</v>
      </c>
      <c r="N14" s="23">
        <v>34891</v>
      </c>
      <c r="O14" s="23">
        <v>36454</v>
      </c>
      <c r="P14" s="23">
        <v>38054.999999999993</v>
      </c>
      <c r="Q14" s="23">
        <v>38717</v>
      </c>
      <c r="R14" s="23">
        <v>38971</v>
      </c>
      <c r="S14" s="23">
        <v>39411</v>
      </c>
      <c r="T14" s="23">
        <v>39554.000000000007</v>
      </c>
      <c r="U14" s="23">
        <v>39188.999999999993</v>
      </c>
      <c r="V14" s="23">
        <v>40370</v>
      </c>
      <c r="W14" s="23">
        <v>41659.000000000007</v>
      </c>
      <c r="X14" s="23">
        <v>42392</v>
      </c>
      <c r="Y14" s="23">
        <v>44863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2930</v>
      </c>
      <c r="E15" s="23">
        <v>3148</v>
      </c>
      <c r="F15" s="23">
        <v>3289</v>
      </c>
      <c r="G15" s="23">
        <v>3439</v>
      </c>
      <c r="H15" s="23">
        <v>3640</v>
      </c>
      <c r="I15" s="23">
        <v>3851</v>
      </c>
      <c r="J15" s="23">
        <v>4121</v>
      </c>
      <c r="K15" s="23">
        <v>4361</v>
      </c>
      <c r="L15" s="23">
        <v>4699</v>
      </c>
      <c r="M15" s="23">
        <v>4928</v>
      </c>
      <c r="N15" s="23">
        <v>5095</v>
      </c>
      <c r="O15" s="23">
        <v>5386</v>
      </c>
      <c r="P15" s="23">
        <v>5510</v>
      </c>
      <c r="Q15" s="23">
        <v>5631</v>
      </c>
      <c r="R15" s="23">
        <v>5671</v>
      </c>
      <c r="S15" s="23">
        <v>5762</v>
      </c>
      <c r="T15" s="23">
        <v>5937</v>
      </c>
      <c r="U15" s="23">
        <v>6062</v>
      </c>
      <c r="V15" s="23">
        <v>6048</v>
      </c>
      <c r="W15" s="23">
        <v>6486</v>
      </c>
      <c r="X15" s="23">
        <v>6145</v>
      </c>
      <c r="Y15" s="23">
        <v>6410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119381</v>
      </c>
      <c r="E16" s="30">
        <f t="shared" ref="E16:S16" si="0">SUM(E6:E15)</f>
        <v>127302</v>
      </c>
      <c r="F16" s="30">
        <f t="shared" si="0"/>
        <v>130218</v>
      </c>
      <c r="G16" s="30">
        <f t="shared" si="0"/>
        <v>132423</v>
      </c>
      <c r="H16" s="30">
        <f t="shared" si="0"/>
        <v>139033</v>
      </c>
      <c r="I16" s="30">
        <f t="shared" si="0"/>
        <v>143921</v>
      </c>
      <c r="J16" s="30">
        <f t="shared" si="0"/>
        <v>150758</v>
      </c>
      <c r="K16" s="30">
        <f t="shared" si="0"/>
        <v>164142</v>
      </c>
      <c r="L16" s="30">
        <f t="shared" si="0"/>
        <v>170940.00000000003</v>
      </c>
      <c r="M16" s="30">
        <f t="shared" si="0"/>
        <v>159066</v>
      </c>
      <c r="N16" s="30">
        <f t="shared" si="0"/>
        <v>164663</v>
      </c>
      <c r="O16" s="30">
        <f t="shared" si="0"/>
        <v>171583.00000000003</v>
      </c>
      <c r="P16" s="30">
        <f t="shared" si="0"/>
        <v>173661</v>
      </c>
      <c r="Q16" s="30">
        <f t="shared" si="0"/>
        <v>175985</v>
      </c>
      <c r="R16" s="30">
        <f t="shared" si="0"/>
        <v>178410</v>
      </c>
      <c r="S16" s="30">
        <f t="shared" si="0"/>
        <v>182599</v>
      </c>
      <c r="T16" s="30">
        <f t="shared" ref="T16:Y16" si="1">SUM(T6:T15)</f>
        <v>187394</v>
      </c>
      <c r="U16" s="30">
        <f t="shared" si="1"/>
        <v>195706.99999999997</v>
      </c>
      <c r="V16" s="30">
        <f t="shared" si="1"/>
        <v>201308</v>
      </c>
      <c r="W16" s="30">
        <f t="shared" si="1"/>
        <v>207290.99999999997</v>
      </c>
      <c r="X16" s="30">
        <f t="shared" si="1"/>
        <v>206158</v>
      </c>
      <c r="Y16" s="30">
        <f t="shared" si="1"/>
        <v>217207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4030</v>
      </c>
      <c r="E18" s="19">
        <v>3998</v>
      </c>
      <c r="F18" s="19">
        <v>3968</v>
      </c>
      <c r="G18" s="19">
        <v>3848</v>
      </c>
      <c r="H18" s="19">
        <v>3778</v>
      </c>
      <c r="I18" s="19">
        <v>3752</v>
      </c>
      <c r="J18" s="19">
        <v>3460</v>
      </c>
      <c r="K18" s="19">
        <v>4453</v>
      </c>
      <c r="L18" s="19">
        <v>4284</v>
      </c>
      <c r="M18" s="19">
        <v>4096</v>
      </c>
      <c r="N18" s="19">
        <v>4551</v>
      </c>
      <c r="O18" s="19">
        <v>4596</v>
      </c>
      <c r="P18" s="19">
        <v>4653.0000000000009</v>
      </c>
      <c r="Q18" s="19">
        <v>4837</v>
      </c>
      <c r="R18" s="19">
        <v>4962.0000000000009</v>
      </c>
      <c r="S18" s="19">
        <v>4764</v>
      </c>
      <c r="T18" s="19">
        <v>5026</v>
      </c>
      <c r="U18" s="19">
        <v>5241.0000000000009</v>
      </c>
      <c r="V18" s="19">
        <v>5572</v>
      </c>
      <c r="W18" s="19">
        <v>5635</v>
      </c>
      <c r="X18" s="19">
        <v>5837</v>
      </c>
      <c r="Y18" s="19">
        <v>6108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283</v>
      </c>
      <c r="E19" s="23">
        <v>330</v>
      </c>
      <c r="F19" s="23">
        <v>350</v>
      </c>
      <c r="G19" s="23">
        <v>375</v>
      </c>
      <c r="H19" s="23">
        <v>388</v>
      </c>
      <c r="I19" s="23">
        <v>385</v>
      </c>
      <c r="J19" s="23">
        <v>523.00000000000011</v>
      </c>
      <c r="K19" s="23">
        <v>564</v>
      </c>
      <c r="L19" s="23">
        <v>669</v>
      </c>
      <c r="M19" s="23">
        <v>623</v>
      </c>
      <c r="N19" s="23">
        <v>822</v>
      </c>
      <c r="O19" s="23">
        <v>821</v>
      </c>
      <c r="P19" s="23">
        <v>815</v>
      </c>
      <c r="Q19" s="23">
        <v>594</v>
      </c>
      <c r="R19" s="23">
        <v>544</v>
      </c>
      <c r="S19" s="23">
        <v>641</v>
      </c>
      <c r="T19" s="23">
        <v>674</v>
      </c>
      <c r="U19" s="23">
        <v>940</v>
      </c>
      <c r="V19" s="23">
        <v>991</v>
      </c>
      <c r="W19" s="23">
        <v>860</v>
      </c>
      <c r="X19" s="23">
        <v>985</v>
      </c>
      <c r="Y19" s="23">
        <v>1064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32950.999999999993</v>
      </c>
      <c r="E20" s="23">
        <v>34135</v>
      </c>
      <c r="F20" s="23">
        <v>33955.000000000007</v>
      </c>
      <c r="G20" s="23">
        <v>33305</v>
      </c>
      <c r="H20" s="23">
        <v>34200.999999999993</v>
      </c>
      <c r="I20" s="23">
        <v>34939</v>
      </c>
      <c r="J20" s="23">
        <v>37709.999999999985</v>
      </c>
      <c r="K20" s="23">
        <v>41398.999999999993</v>
      </c>
      <c r="L20" s="23">
        <v>40386.000000000022</v>
      </c>
      <c r="M20" s="23">
        <v>30294.999999999985</v>
      </c>
      <c r="N20" s="23">
        <v>31926.000000000015</v>
      </c>
      <c r="O20" s="23">
        <v>32196.000000000015</v>
      </c>
      <c r="P20" s="23">
        <v>29071.000000000004</v>
      </c>
      <c r="Q20" s="23">
        <v>29636.000000000011</v>
      </c>
      <c r="R20" s="23">
        <v>29907.000000000015</v>
      </c>
      <c r="S20" s="23">
        <v>31041</v>
      </c>
      <c r="T20" s="23">
        <v>31682.999999999996</v>
      </c>
      <c r="U20" s="23">
        <v>34399.999999999971</v>
      </c>
      <c r="V20" s="23">
        <v>34071.999999999978</v>
      </c>
      <c r="W20" s="23">
        <v>34568.999999999985</v>
      </c>
      <c r="X20" s="23">
        <v>33952.000000000007</v>
      </c>
      <c r="Y20" s="23">
        <v>36739.000000000007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1741</v>
      </c>
      <c r="E21" s="23">
        <v>2013.0000000000002</v>
      </c>
      <c r="F21" s="23">
        <v>2349</v>
      </c>
      <c r="G21" s="23">
        <v>2625</v>
      </c>
      <c r="H21" s="23">
        <v>2825</v>
      </c>
      <c r="I21" s="23">
        <v>2653</v>
      </c>
      <c r="J21" s="23">
        <v>3100</v>
      </c>
      <c r="K21" s="23">
        <v>3271</v>
      </c>
      <c r="L21" s="23">
        <v>3337</v>
      </c>
      <c r="M21" s="23">
        <v>3693.0000000000005</v>
      </c>
      <c r="N21" s="23">
        <v>4208</v>
      </c>
      <c r="O21" s="23">
        <v>3812</v>
      </c>
      <c r="P21" s="23">
        <v>3828</v>
      </c>
      <c r="Q21" s="23">
        <v>4105.9999999999991</v>
      </c>
      <c r="R21" s="23">
        <v>4133</v>
      </c>
      <c r="S21" s="23">
        <v>3919</v>
      </c>
      <c r="T21" s="23">
        <v>3821</v>
      </c>
      <c r="U21" s="23">
        <v>4068</v>
      </c>
      <c r="V21" s="23">
        <v>4140</v>
      </c>
      <c r="W21" s="23">
        <v>4621.9999999999991</v>
      </c>
      <c r="X21" s="23">
        <v>4508.0000000000009</v>
      </c>
      <c r="Y21" s="23">
        <v>4804.9999999999991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783</v>
      </c>
      <c r="E22" s="23">
        <v>815</v>
      </c>
      <c r="F22" s="23">
        <v>801</v>
      </c>
      <c r="G22" s="23">
        <v>853</v>
      </c>
      <c r="H22" s="23">
        <v>889</v>
      </c>
      <c r="I22" s="23">
        <v>941</v>
      </c>
      <c r="J22" s="23">
        <v>1049</v>
      </c>
      <c r="K22" s="23">
        <v>1101</v>
      </c>
      <c r="L22" s="23">
        <v>1214.9999999999998</v>
      </c>
      <c r="M22" s="23">
        <v>1293</v>
      </c>
      <c r="N22" s="23">
        <v>1530</v>
      </c>
      <c r="O22" s="23">
        <v>1556</v>
      </c>
      <c r="P22" s="23">
        <v>1590</v>
      </c>
      <c r="Q22" s="23">
        <v>1648</v>
      </c>
      <c r="R22" s="23">
        <v>1726</v>
      </c>
      <c r="S22" s="23">
        <v>1765</v>
      </c>
      <c r="T22" s="23">
        <v>1813</v>
      </c>
      <c r="U22" s="23">
        <v>1797</v>
      </c>
      <c r="V22" s="23">
        <v>1844</v>
      </c>
      <c r="W22" s="23">
        <v>1852</v>
      </c>
      <c r="X22" s="23">
        <v>1895</v>
      </c>
      <c r="Y22" s="23">
        <v>2147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7344</v>
      </c>
      <c r="E23" s="23">
        <v>7464</v>
      </c>
      <c r="F23" s="23">
        <v>7254</v>
      </c>
      <c r="G23" s="23">
        <v>7652.0000000000009</v>
      </c>
      <c r="H23" s="23">
        <v>8329</v>
      </c>
      <c r="I23" s="23">
        <v>9256</v>
      </c>
      <c r="J23" s="23">
        <v>9904</v>
      </c>
      <c r="K23" s="23">
        <v>11040</v>
      </c>
      <c r="L23" s="23">
        <v>11824</v>
      </c>
      <c r="M23" s="23">
        <v>10733</v>
      </c>
      <c r="N23" s="23">
        <v>10729</v>
      </c>
      <c r="O23" s="23">
        <v>11176</v>
      </c>
      <c r="P23" s="23">
        <v>11696</v>
      </c>
      <c r="Q23" s="23">
        <v>11667</v>
      </c>
      <c r="R23" s="23">
        <v>11478</v>
      </c>
      <c r="S23" s="23">
        <v>11899</v>
      </c>
      <c r="T23" s="23">
        <v>13120</v>
      </c>
      <c r="U23" s="23">
        <v>14014</v>
      </c>
      <c r="V23" s="23">
        <v>14975</v>
      </c>
      <c r="W23" s="23">
        <v>15371</v>
      </c>
      <c r="X23" s="23">
        <v>15876</v>
      </c>
      <c r="Y23" s="23">
        <v>15381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11034</v>
      </c>
      <c r="E24" s="23">
        <v>12018</v>
      </c>
      <c r="F24" s="23">
        <v>12562.999999999998</v>
      </c>
      <c r="G24" s="23">
        <v>12735</v>
      </c>
      <c r="H24" s="23">
        <v>13618</v>
      </c>
      <c r="I24" s="23">
        <v>14126.999999999998</v>
      </c>
      <c r="J24" s="23">
        <v>14100</v>
      </c>
      <c r="K24" s="23">
        <v>15319</v>
      </c>
      <c r="L24" s="23">
        <v>16696</v>
      </c>
      <c r="M24" s="23">
        <v>15290.999999999995</v>
      </c>
      <c r="N24" s="23">
        <v>15491</v>
      </c>
      <c r="O24" s="23">
        <v>16894.000000000004</v>
      </c>
      <c r="P24" s="23">
        <v>17614</v>
      </c>
      <c r="Q24" s="23">
        <v>17386.999999999996</v>
      </c>
      <c r="R24" s="23">
        <v>16919.999999999996</v>
      </c>
      <c r="S24" s="23">
        <v>17010</v>
      </c>
      <c r="T24" s="23">
        <v>17034.000000000004</v>
      </c>
      <c r="U24" s="23">
        <v>17819.000000000004</v>
      </c>
      <c r="V24" s="23">
        <v>18043.000000000004</v>
      </c>
      <c r="W24" s="23">
        <v>18320</v>
      </c>
      <c r="X24" s="23">
        <v>18811.000000000004</v>
      </c>
      <c r="Y24" s="23">
        <v>19482.999999999996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7356</v>
      </c>
      <c r="E25" s="23">
        <v>7949</v>
      </c>
      <c r="F25" s="23">
        <v>7997</v>
      </c>
      <c r="G25" s="23">
        <v>7949</v>
      </c>
      <c r="H25" s="23">
        <v>8026</v>
      </c>
      <c r="I25" s="23">
        <v>8193</v>
      </c>
      <c r="J25" s="23">
        <v>8056.9999999999991</v>
      </c>
      <c r="K25" s="23">
        <v>8649.0000000000018</v>
      </c>
      <c r="L25" s="23">
        <v>8835</v>
      </c>
      <c r="M25" s="23">
        <v>8136</v>
      </c>
      <c r="N25" s="23">
        <v>8362</v>
      </c>
      <c r="O25" s="23">
        <v>8698</v>
      </c>
      <c r="P25" s="23">
        <v>8918.9999999999982</v>
      </c>
      <c r="Q25" s="23">
        <v>8823</v>
      </c>
      <c r="R25" s="23">
        <v>8778.9999999999982</v>
      </c>
      <c r="S25" s="23">
        <v>8903</v>
      </c>
      <c r="T25" s="23">
        <v>8871.0000000000018</v>
      </c>
      <c r="U25" s="23">
        <v>9208</v>
      </c>
      <c r="V25" s="23">
        <v>9355</v>
      </c>
      <c r="W25" s="23">
        <v>9744.9999999999982</v>
      </c>
      <c r="X25" s="23">
        <v>7877</v>
      </c>
      <c r="Y25" s="23">
        <v>8306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1534</v>
      </c>
      <c r="E26" s="23">
        <v>1831</v>
      </c>
      <c r="F26" s="23">
        <v>1882.0000000000002</v>
      </c>
      <c r="G26" s="23">
        <v>1927</v>
      </c>
      <c r="H26" s="23">
        <v>2152.0000000000005</v>
      </c>
      <c r="I26" s="23">
        <v>2271</v>
      </c>
      <c r="J26" s="23">
        <v>2391</v>
      </c>
      <c r="K26" s="23">
        <v>2577</v>
      </c>
      <c r="L26" s="23">
        <v>2696</v>
      </c>
      <c r="M26" s="23">
        <v>2593.9999999999995</v>
      </c>
      <c r="N26" s="23">
        <v>2701</v>
      </c>
      <c r="O26" s="23">
        <v>2854</v>
      </c>
      <c r="P26" s="23">
        <v>3017</v>
      </c>
      <c r="Q26" s="23">
        <v>2842</v>
      </c>
      <c r="R26" s="23">
        <v>2908</v>
      </c>
      <c r="S26" s="23">
        <v>3051</v>
      </c>
      <c r="T26" s="23">
        <v>3251</v>
      </c>
      <c r="U26" s="23">
        <v>3507</v>
      </c>
      <c r="V26" s="23">
        <v>3655</v>
      </c>
      <c r="W26" s="23">
        <v>3879</v>
      </c>
      <c r="X26" s="23">
        <v>2747</v>
      </c>
      <c r="Y26" s="23">
        <v>2782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5735</v>
      </c>
      <c r="E27" s="23">
        <v>6858</v>
      </c>
      <c r="F27" s="23">
        <v>7324</v>
      </c>
      <c r="G27" s="23">
        <v>7196</v>
      </c>
      <c r="H27" s="23">
        <v>7811</v>
      </c>
      <c r="I27" s="23">
        <v>7190</v>
      </c>
      <c r="J27" s="23">
        <v>7139</v>
      </c>
      <c r="K27" s="23">
        <v>7932.9999999999991</v>
      </c>
      <c r="L27" s="23">
        <v>8219</v>
      </c>
      <c r="M27" s="23">
        <v>8087</v>
      </c>
      <c r="N27" s="23">
        <v>8258.9999999999982</v>
      </c>
      <c r="O27" s="23">
        <v>8620</v>
      </c>
      <c r="P27" s="23">
        <v>9012.0000000000018</v>
      </c>
      <c r="Q27" s="23">
        <v>9342</v>
      </c>
      <c r="R27" s="23">
        <v>9863</v>
      </c>
      <c r="S27" s="23">
        <v>10345</v>
      </c>
      <c r="T27" s="23">
        <v>10769</v>
      </c>
      <c r="U27" s="23">
        <v>11402</v>
      </c>
      <c r="V27" s="23">
        <v>11850</v>
      </c>
      <c r="W27" s="23">
        <v>12495</v>
      </c>
      <c r="X27" s="23">
        <v>12819</v>
      </c>
      <c r="Y27" s="23">
        <v>14040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3936.0000000000005</v>
      </c>
      <c r="E28" s="23">
        <v>4214</v>
      </c>
      <c r="F28" s="23">
        <v>3726</v>
      </c>
      <c r="G28" s="23">
        <v>3503</v>
      </c>
      <c r="H28" s="23">
        <v>3769</v>
      </c>
      <c r="I28" s="23">
        <v>4127.0000000000009</v>
      </c>
      <c r="J28" s="23">
        <v>4499</v>
      </c>
      <c r="K28" s="23">
        <v>5174</v>
      </c>
      <c r="L28" s="23">
        <v>4939</v>
      </c>
      <c r="M28" s="23">
        <v>4911</v>
      </c>
      <c r="N28" s="23">
        <v>4668</v>
      </c>
      <c r="O28" s="23">
        <v>4888</v>
      </c>
      <c r="P28" s="23">
        <v>4975.0000000000009</v>
      </c>
      <c r="Q28" s="23">
        <v>4855</v>
      </c>
      <c r="R28" s="23">
        <v>5752</v>
      </c>
      <c r="S28" s="23">
        <v>5822</v>
      </c>
      <c r="T28" s="23">
        <v>6161</v>
      </c>
      <c r="U28" s="23">
        <v>6509</v>
      </c>
      <c r="V28" s="23">
        <v>6525</v>
      </c>
      <c r="W28" s="23">
        <v>6017</v>
      </c>
      <c r="X28" s="23">
        <v>6168</v>
      </c>
      <c r="Y28" s="23">
        <v>7049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11275</v>
      </c>
      <c r="E29" s="23">
        <v>11989</v>
      </c>
      <c r="F29" s="23">
        <v>12778</v>
      </c>
      <c r="G29" s="23">
        <v>13500</v>
      </c>
      <c r="H29" s="23">
        <v>14138</v>
      </c>
      <c r="I29" s="23">
        <v>14680.000000000002</v>
      </c>
      <c r="J29" s="23">
        <v>15288</v>
      </c>
      <c r="K29" s="23">
        <v>16097</v>
      </c>
      <c r="L29" s="23">
        <v>17461.999999999996</v>
      </c>
      <c r="M29" s="23">
        <v>17904</v>
      </c>
      <c r="N29" s="23">
        <v>18458</v>
      </c>
      <c r="O29" s="23">
        <v>19688</v>
      </c>
      <c r="P29" s="23">
        <v>20355</v>
      </c>
      <c r="Q29" s="23">
        <v>21131</v>
      </c>
      <c r="R29" s="23">
        <v>21949</v>
      </c>
      <c r="S29" s="23">
        <v>23174</v>
      </c>
      <c r="T29" s="23">
        <v>24027</v>
      </c>
      <c r="U29" s="23">
        <v>24748</v>
      </c>
      <c r="V29" s="23">
        <v>25814</v>
      </c>
      <c r="W29" s="23">
        <v>26676</v>
      </c>
      <c r="X29" s="23">
        <v>27499</v>
      </c>
      <c r="Y29" s="23">
        <v>28410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4455.9999999999991</v>
      </c>
      <c r="E30" s="23">
        <v>4950.0000000000009</v>
      </c>
      <c r="F30" s="23">
        <v>5023.0000000000009</v>
      </c>
      <c r="G30" s="23">
        <v>5248</v>
      </c>
      <c r="H30" s="23">
        <v>5640</v>
      </c>
      <c r="I30" s="23">
        <v>5947.0000000000009</v>
      </c>
      <c r="J30" s="23">
        <v>6370</v>
      </c>
      <c r="K30" s="23">
        <v>7142.0000000000009</v>
      </c>
      <c r="L30" s="23">
        <v>7654</v>
      </c>
      <c r="M30" s="23">
        <v>7522</v>
      </c>
      <c r="N30" s="23">
        <v>7692.0000000000009</v>
      </c>
      <c r="O30" s="23">
        <v>8338</v>
      </c>
      <c r="P30" s="23">
        <v>8763.9999999999982</v>
      </c>
      <c r="Q30" s="23">
        <v>8959.9999999999982</v>
      </c>
      <c r="R30" s="23">
        <v>8916</v>
      </c>
      <c r="S30" s="23">
        <v>9198</v>
      </c>
      <c r="T30" s="23">
        <v>9326</v>
      </c>
      <c r="U30" s="23">
        <v>9862.0000000000018</v>
      </c>
      <c r="V30" s="23">
        <v>10524</v>
      </c>
      <c r="W30" s="23">
        <v>11004.000000000002</v>
      </c>
      <c r="X30" s="23">
        <v>11162.000000000002</v>
      </c>
      <c r="Y30" s="23">
        <v>11905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2159</v>
      </c>
      <c r="E31" s="23">
        <v>2418</v>
      </c>
      <c r="F31" s="23">
        <v>2646</v>
      </c>
      <c r="G31" s="23">
        <v>2796</v>
      </c>
      <c r="H31" s="23">
        <v>3122</v>
      </c>
      <c r="I31" s="23">
        <v>3507</v>
      </c>
      <c r="J31" s="23">
        <v>3907</v>
      </c>
      <c r="K31" s="23">
        <v>4433</v>
      </c>
      <c r="L31" s="23">
        <v>5293</v>
      </c>
      <c r="M31" s="23">
        <v>5032</v>
      </c>
      <c r="N31" s="23">
        <v>5280</v>
      </c>
      <c r="O31" s="23">
        <v>5606</v>
      </c>
      <c r="P31" s="23">
        <v>5787</v>
      </c>
      <c r="Q31" s="23">
        <v>5809</v>
      </c>
      <c r="R31" s="23">
        <v>5931</v>
      </c>
      <c r="S31" s="23">
        <v>5894</v>
      </c>
      <c r="T31" s="23">
        <v>6327</v>
      </c>
      <c r="U31" s="23">
        <v>6941</v>
      </c>
      <c r="V31" s="23">
        <v>7530</v>
      </c>
      <c r="W31" s="23">
        <v>8101</v>
      </c>
      <c r="X31" s="23">
        <v>7485</v>
      </c>
      <c r="Y31" s="23">
        <v>7715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7044.9999999999991</v>
      </c>
      <c r="E32" s="23">
        <v>7368.9999999999991</v>
      </c>
      <c r="F32" s="23">
        <v>7611.0000000000027</v>
      </c>
      <c r="G32" s="23">
        <v>7946.9999999999991</v>
      </c>
      <c r="H32" s="23">
        <v>8281.9999999999982</v>
      </c>
      <c r="I32" s="23">
        <v>8640.9999999999982</v>
      </c>
      <c r="J32" s="23">
        <v>8958.9999999999982</v>
      </c>
      <c r="K32" s="23">
        <v>9346.9999999999982</v>
      </c>
      <c r="L32" s="23">
        <v>9888.9999999999982</v>
      </c>
      <c r="M32" s="23">
        <v>10078.999999999993</v>
      </c>
      <c r="N32" s="23">
        <v>10220.999999999998</v>
      </c>
      <c r="O32" s="23">
        <v>10557.000000000002</v>
      </c>
      <c r="P32" s="23">
        <v>10839.999999999998</v>
      </c>
      <c r="Q32" s="23">
        <v>11055.000000000002</v>
      </c>
      <c r="R32" s="23">
        <v>11065.999999999998</v>
      </c>
      <c r="S32" s="23">
        <v>11183</v>
      </c>
      <c r="T32" s="23">
        <v>10993.000000000002</v>
      </c>
      <c r="U32" s="23">
        <v>10996.999999999998</v>
      </c>
      <c r="V32" s="23">
        <v>11357.999999999998</v>
      </c>
      <c r="W32" s="23">
        <v>11507.000000000007</v>
      </c>
      <c r="X32" s="23">
        <v>11698.999999999998</v>
      </c>
      <c r="Y32" s="23">
        <v>12233.999999999998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5998</v>
      </c>
      <c r="E33" s="23">
        <v>6342</v>
      </c>
      <c r="F33" s="23">
        <v>6698</v>
      </c>
      <c r="G33" s="23">
        <v>7000.0000000000009</v>
      </c>
      <c r="H33" s="23">
        <v>7332</v>
      </c>
      <c r="I33" s="23">
        <v>7665</v>
      </c>
      <c r="J33" s="23">
        <v>7851</v>
      </c>
      <c r="K33" s="23">
        <v>8207</v>
      </c>
      <c r="L33" s="23">
        <v>8707</v>
      </c>
      <c r="M33" s="23">
        <v>9047.0000000000018</v>
      </c>
      <c r="N33" s="23">
        <v>9407</v>
      </c>
      <c r="O33" s="23">
        <v>9745</v>
      </c>
      <c r="P33" s="23">
        <v>10102</v>
      </c>
      <c r="Q33" s="23">
        <v>10201</v>
      </c>
      <c r="R33" s="23">
        <v>10248.999999999998</v>
      </c>
      <c r="S33" s="23">
        <v>10249</v>
      </c>
      <c r="T33" s="23">
        <v>10176</v>
      </c>
      <c r="U33" s="23">
        <v>9991.0000000000018</v>
      </c>
      <c r="V33" s="23">
        <v>10180</v>
      </c>
      <c r="W33" s="23">
        <v>10555</v>
      </c>
      <c r="X33" s="23">
        <v>10742</v>
      </c>
      <c r="Y33" s="23">
        <v>11272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8791</v>
      </c>
      <c r="E34" s="23">
        <v>9461</v>
      </c>
      <c r="F34" s="23">
        <v>10004</v>
      </c>
      <c r="G34" s="23">
        <v>10525</v>
      </c>
      <c r="H34" s="23">
        <v>11093</v>
      </c>
      <c r="I34" s="23">
        <v>11796</v>
      </c>
      <c r="J34" s="23">
        <v>12330</v>
      </c>
      <c r="K34" s="23">
        <v>13075</v>
      </c>
      <c r="L34" s="23">
        <v>14136</v>
      </c>
      <c r="M34" s="23">
        <v>14802.000000000002</v>
      </c>
      <c r="N34" s="23">
        <v>15263</v>
      </c>
      <c r="O34" s="23">
        <v>16151.999999999998</v>
      </c>
      <c r="P34" s="23">
        <v>17113</v>
      </c>
      <c r="Q34" s="23">
        <v>17460.999999999996</v>
      </c>
      <c r="R34" s="23">
        <v>17656</v>
      </c>
      <c r="S34" s="23">
        <v>17979</v>
      </c>
      <c r="T34" s="23">
        <v>18385</v>
      </c>
      <c r="U34" s="23">
        <v>18201</v>
      </c>
      <c r="V34" s="23">
        <v>18832.000000000004</v>
      </c>
      <c r="W34" s="23">
        <v>19596.999999999996</v>
      </c>
      <c r="X34" s="23">
        <v>19950.999999999996</v>
      </c>
      <c r="Y34" s="23">
        <v>21357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1245</v>
      </c>
      <c r="E35" s="23">
        <v>1341</v>
      </c>
      <c r="F35" s="23">
        <v>1408.0000000000002</v>
      </c>
      <c r="G35" s="23">
        <v>1474.9999999999998</v>
      </c>
      <c r="H35" s="23">
        <v>1512</v>
      </c>
      <c r="I35" s="23">
        <v>1585</v>
      </c>
      <c r="J35" s="23">
        <v>1673.9999999999998</v>
      </c>
      <c r="K35" s="23">
        <v>1787.0000000000002</v>
      </c>
      <c r="L35" s="23">
        <v>1990.0000000000002</v>
      </c>
      <c r="M35" s="23">
        <v>2011</v>
      </c>
      <c r="N35" s="23">
        <v>2087.0000000000005</v>
      </c>
      <c r="O35" s="23">
        <v>2255.9999999999995</v>
      </c>
      <c r="P35" s="23">
        <v>2298.0000000000005</v>
      </c>
      <c r="Q35" s="23">
        <v>2336.0000000000005</v>
      </c>
      <c r="R35" s="23">
        <v>2280</v>
      </c>
      <c r="S35" s="23">
        <v>2320</v>
      </c>
      <c r="T35" s="23">
        <v>2458.9999999999995</v>
      </c>
      <c r="U35" s="23">
        <v>2501.0000000000005</v>
      </c>
      <c r="V35" s="23">
        <v>2508.9999999999995</v>
      </c>
      <c r="W35" s="23">
        <v>2686.9999999999995</v>
      </c>
      <c r="X35" s="23">
        <v>2427.9999999999995</v>
      </c>
      <c r="Y35" s="23">
        <v>2560.0000000000005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1629</v>
      </c>
      <c r="E36" s="23">
        <v>1754</v>
      </c>
      <c r="F36" s="23">
        <v>1823</v>
      </c>
      <c r="G36" s="23">
        <v>1886</v>
      </c>
      <c r="H36" s="23">
        <v>2019</v>
      </c>
      <c r="I36" s="23">
        <v>2143</v>
      </c>
      <c r="J36" s="23">
        <v>2322</v>
      </c>
      <c r="K36" s="23">
        <v>2445</v>
      </c>
      <c r="L36" s="23">
        <v>2561</v>
      </c>
      <c r="M36" s="23">
        <v>2756</v>
      </c>
      <c r="N36" s="23">
        <v>2877</v>
      </c>
      <c r="O36" s="23">
        <v>2933</v>
      </c>
      <c r="P36" s="23">
        <v>2993</v>
      </c>
      <c r="Q36" s="23">
        <v>3027</v>
      </c>
      <c r="R36" s="23">
        <v>3069</v>
      </c>
      <c r="S36" s="23">
        <v>3112</v>
      </c>
      <c r="T36" s="23">
        <v>3152</v>
      </c>
      <c r="U36" s="23">
        <v>3211</v>
      </c>
      <c r="V36" s="23">
        <v>3205</v>
      </c>
      <c r="W36" s="23">
        <v>3443</v>
      </c>
      <c r="X36" s="23">
        <v>3309</v>
      </c>
      <c r="Y36" s="23">
        <v>3481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56</v>
      </c>
      <c r="E37" s="23">
        <v>53</v>
      </c>
      <c r="F37" s="23">
        <v>58</v>
      </c>
      <c r="G37" s="23">
        <v>78.000000000000014</v>
      </c>
      <c r="H37" s="23">
        <v>109</v>
      </c>
      <c r="I37" s="23">
        <v>123</v>
      </c>
      <c r="J37" s="23">
        <v>125</v>
      </c>
      <c r="K37" s="23">
        <v>129</v>
      </c>
      <c r="L37" s="23">
        <v>148</v>
      </c>
      <c r="M37" s="23">
        <v>161</v>
      </c>
      <c r="N37" s="23">
        <v>131.00000000000003</v>
      </c>
      <c r="O37" s="23">
        <v>197</v>
      </c>
      <c r="P37" s="23">
        <v>219</v>
      </c>
      <c r="Q37" s="23">
        <v>268.00000000000006</v>
      </c>
      <c r="R37" s="23">
        <v>322</v>
      </c>
      <c r="S37" s="23">
        <v>330</v>
      </c>
      <c r="T37" s="23">
        <v>326</v>
      </c>
      <c r="U37" s="23">
        <v>350</v>
      </c>
      <c r="V37" s="23">
        <v>334</v>
      </c>
      <c r="W37" s="23">
        <v>356</v>
      </c>
      <c r="X37" s="23">
        <v>408</v>
      </c>
      <c r="Y37" s="23">
        <v>369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119381</v>
      </c>
      <c r="E39" s="30">
        <f t="shared" ref="E39:S39" si="2">SUM(E18:E38)</f>
        <v>127302</v>
      </c>
      <c r="F39" s="30">
        <f t="shared" si="2"/>
        <v>130218</v>
      </c>
      <c r="G39" s="30">
        <f t="shared" si="2"/>
        <v>132423</v>
      </c>
      <c r="H39" s="30">
        <f t="shared" si="2"/>
        <v>139033</v>
      </c>
      <c r="I39" s="30">
        <f t="shared" si="2"/>
        <v>143921</v>
      </c>
      <c r="J39" s="30">
        <f t="shared" si="2"/>
        <v>150758</v>
      </c>
      <c r="K39" s="30">
        <f t="shared" si="2"/>
        <v>164142</v>
      </c>
      <c r="L39" s="30">
        <f t="shared" si="2"/>
        <v>170940.00000000003</v>
      </c>
      <c r="M39" s="30">
        <f t="shared" si="2"/>
        <v>159065.99999999997</v>
      </c>
      <c r="N39" s="30">
        <f t="shared" si="2"/>
        <v>164663</v>
      </c>
      <c r="O39" s="30">
        <f t="shared" si="2"/>
        <v>171583.00000000003</v>
      </c>
      <c r="P39" s="30">
        <f t="shared" si="2"/>
        <v>173661</v>
      </c>
      <c r="Q39" s="30">
        <f t="shared" si="2"/>
        <v>175985</v>
      </c>
      <c r="R39" s="30">
        <f t="shared" si="2"/>
        <v>178410</v>
      </c>
      <c r="S39" s="30">
        <f t="shared" si="2"/>
        <v>182599</v>
      </c>
      <c r="T39" s="30">
        <f t="shared" ref="T39:Y39" si="3">SUM(T18:T38)</f>
        <v>187394</v>
      </c>
      <c r="U39" s="30">
        <f t="shared" si="3"/>
        <v>195706.99999999997</v>
      </c>
      <c r="V39" s="30">
        <f t="shared" si="3"/>
        <v>201308</v>
      </c>
      <c r="W39" s="30">
        <f t="shared" si="3"/>
        <v>207291</v>
      </c>
      <c r="X39" s="30">
        <f t="shared" si="3"/>
        <v>206158</v>
      </c>
      <c r="Y39" s="30">
        <f t="shared" si="3"/>
        <v>217207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1899</v>
      </c>
      <c r="E41" s="19">
        <v>2293</v>
      </c>
      <c r="F41" s="19">
        <v>2450</v>
      </c>
      <c r="G41" s="19">
        <v>2450</v>
      </c>
      <c r="H41" s="19">
        <v>2377</v>
      </c>
      <c r="I41" s="19">
        <v>2413.9999999999995</v>
      </c>
      <c r="J41" s="19">
        <v>2340</v>
      </c>
      <c r="K41" s="19">
        <v>2499</v>
      </c>
      <c r="L41" s="19">
        <v>2549.0000000000005</v>
      </c>
      <c r="M41" s="19">
        <v>2815</v>
      </c>
      <c r="N41" s="19">
        <v>2617</v>
      </c>
      <c r="O41" s="19">
        <v>2589</v>
      </c>
      <c r="P41" s="19">
        <v>2684</v>
      </c>
      <c r="Q41" s="19">
        <v>2688</v>
      </c>
      <c r="R41" s="19">
        <v>2644</v>
      </c>
      <c r="S41" s="19">
        <v>2614</v>
      </c>
      <c r="T41" s="19">
        <v>2578</v>
      </c>
      <c r="U41" s="19">
        <v>2713</v>
      </c>
      <c r="V41" s="19">
        <v>2737</v>
      </c>
      <c r="W41" s="19">
        <v>2855</v>
      </c>
      <c r="X41" s="19">
        <v>2948</v>
      </c>
      <c r="Y41" s="19">
        <v>2921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577</v>
      </c>
      <c r="E42" s="23">
        <v>581</v>
      </c>
      <c r="F42" s="23">
        <v>591</v>
      </c>
      <c r="G42" s="23">
        <v>552</v>
      </c>
      <c r="H42" s="23">
        <v>546</v>
      </c>
      <c r="I42" s="23">
        <v>550</v>
      </c>
      <c r="J42" s="23">
        <v>570</v>
      </c>
      <c r="K42" s="23">
        <v>531</v>
      </c>
      <c r="L42" s="23">
        <v>550</v>
      </c>
      <c r="M42" s="23">
        <v>471</v>
      </c>
      <c r="N42" s="23">
        <v>462</v>
      </c>
      <c r="O42" s="23">
        <v>459</v>
      </c>
      <c r="P42" s="23">
        <v>449</v>
      </c>
      <c r="Q42" s="23">
        <v>403</v>
      </c>
      <c r="R42" s="23">
        <v>376</v>
      </c>
      <c r="S42" s="23">
        <v>382</v>
      </c>
      <c r="T42" s="23">
        <v>408</v>
      </c>
      <c r="U42" s="23">
        <v>411</v>
      </c>
      <c r="V42" s="23">
        <v>408</v>
      </c>
      <c r="W42" s="23">
        <v>396</v>
      </c>
      <c r="X42" s="23">
        <v>420</v>
      </c>
      <c r="Y42" s="23">
        <v>447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7852</v>
      </c>
      <c r="E43" s="23">
        <v>8113</v>
      </c>
      <c r="F43" s="23">
        <v>7281</v>
      </c>
      <c r="G43" s="23">
        <v>6507</v>
      </c>
      <c r="H43" s="23">
        <v>6438</v>
      </c>
      <c r="I43" s="23">
        <v>5818</v>
      </c>
      <c r="J43" s="23">
        <v>6337</v>
      </c>
      <c r="K43" s="23">
        <v>6440</v>
      </c>
      <c r="L43" s="23">
        <v>5332</v>
      </c>
      <c r="M43" s="23">
        <v>3662.0000000000005</v>
      </c>
      <c r="N43" s="23">
        <v>4946</v>
      </c>
      <c r="O43" s="23">
        <v>4816</v>
      </c>
      <c r="P43" s="23">
        <v>4493</v>
      </c>
      <c r="Q43" s="23">
        <v>4446</v>
      </c>
      <c r="R43" s="23">
        <v>4579</v>
      </c>
      <c r="S43" s="23">
        <v>4821</v>
      </c>
      <c r="T43" s="23">
        <v>4776</v>
      </c>
      <c r="U43" s="23">
        <v>5034.9999999999991</v>
      </c>
      <c r="V43" s="23">
        <v>5398</v>
      </c>
      <c r="W43" s="23">
        <v>4974</v>
      </c>
      <c r="X43" s="23">
        <v>4143</v>
      </c>
      <c r="Y43" s="23">
        <v>5836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425.99999999999994</v>
      </c>
      <c r="E44" s="23">
        <v>518</v>
      </c>
      <c r="F44" s="23">
        <v>712</v>
      </c>
      <c r="G44" s="23">
        <v>630</v>
      </c>
      <c r="H44" s="23">
        <v>986</v>
      </c>
      <c r="I44" s="23">
        <v>706</v>
      </c>
      <c r="J44" s="23">
        <v>755</v>
      </c>
      <c r="K44" s="23">
        <v>831</v>
      </c>
      <c r="L44" s="23">
        <v>666</v>
      </c>
      <c r="M44" s="23">
        <v>619.99999999999989</v>
      </c>
      <c r="N44" s="23">
        <v>524.00000000000011</v>
      </c>
      <c r="O44" s="23">
        <v>664</v>
      </c>
      <c r="P44" s="23">
        <v>785</v>
      </c>
      <c r="Q44" s="23">
        <v>642</v>
      </c>
      <c r="R44" s="23">
        <v>419</v>
      </c>
      <c r="S44" s="23">
        <v>596</v>
      </c>
      <c r="T44" s="23">
        <v>609</v>
      </c>
      <c r="U44" s="23">
        <v>1022</v>
      </c>
      <c r="V44" s="23">
        <v>716</v>
      </c>
      <c r="W44" s="23">
        <v>810</v>
      </c>
      <c r="X44" s="23">
        <v>516</v>
      </c>
      <c r="Y44" s="23">
        <v>297.00000000000006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1390</v>
      </c>
      <c r="E45" s="23">
        <v>1552</v>
      </c>
      <c r="F45" s="23">
        <v>1447</v>
      </c>
      <c r="G45" s="23">
        <v>1434</v>
      </c>
      <c r="H45" s="23">
        <v>1643</v>
      </c>
      <c r="I45" s="23">
        <v>1603</v>
      </c>
      <c r="J45" s="23">
        <v>1619</v>
      </c>
      <c r="K45" s="23">
        <v>1860</v>
      </c>
      <c r="L45" s="23">
        <v>1804</v>
      </c>
      <c r="M45" s="23">
        <v>1545</v>
      </c>
      <c r="N45" s="23">
        <v>1693</v>
      </c>
      <c r="O45" s="23">
        <v>2023</v>
      </c>
      <c r="P45" s="23">
        <v>1622</v>
      </c>
      <c r="Q45" s="23">
        <v>1798</v>
      </c>
      <c r="R45" s="23">
        <v>1776</v>
      </c>
      <c r="S45" s="23">
        <v>2022</v>
      </c>
      <c r="T45" s="23">
        <v>2075</v>
      </c>
      <c r="U45" s="23">
        <v>2223</v>
      </c>
      <c r="V45" s="23">
        <v>2451</v>
      </c>
      <c r="W45" s="23">
        <v>2880</v>
      </c>
      <c r="X45" s="23">
        <v>2815</v>
      </c>
      <c r="Y45" s="23">
        <v>2740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444.00000000000006</v>
      </c>
      <c r="E46" s="23">
        <v>542</v>
      </c>
      <c r="F46" s="23">
        <v>559</v>
      </c>
      <c r="G46" s="23">
        <v>532</v>
      </c>
      <c r="H46" s="23">
        <v>593.00000000000011</v>
      </c>
      <c r="I46" s="23">
        <v>681</v>
      </c>
      <c r="J46" s="23">
        <v>758</v>
      </c>
      <c r="K46" s="23">
        <v>800</v>
      </c>
      <c r="L46" s="23">
        <v>868</v>
      </c>
      <c r="M46" s="23">
        <v>918</v>
      </c>
      <c r="N46" s="23">
        <v>982</v>
      </c>
      <c r="O46" s="23">
        <v>1027</v>
      </c>
      <c r="P46" s="23">
        <v>1231</v>
      </c>
      <c r="Q46" s="23">
        <v>1153</v>
      </c>
      <c r="R46" s="23">
        <v>1316</v>
      </c>
      <c r="S46" s="23">
        <v>1315</v>
      </c>
      <c r="T46" s="23">
        <v>1535</v>
      </c>
      <c r="U46" s="23">
        <v>1583</v>
      </c>
      <c r="V46" s="23">
        <v>1559</v>
      </c>
      <c r="W46" s="23">
        <v>1594</v>
      </c>
      <c r="X46" s="23">
        <v>1529</v>
      </c>
      <c r="Y46" s="23">
        <v>1500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1954.0000000000002</v>
      </c>
      <c r="E47" s="23">
        <v>2008</v>
      </c>
      <c r="F47" s="23">
        <v>2018</v>
      </c>
      <c r="G47" s="23">
        <v>1958</v>
      </c>
      <c r="H47" s="23">
        <v>2103</v>
      </c>
      <c r="I47" s="23">
        <v>2165</v>
      </c>
      <c r="J47" s="23">
        <v>2344.9999999999995</v>
      </c>
      <c r="K47" s="23">
        <v>2533</v>
      </c>
      <c r="L47" s="23">
        <v>2485.9999999999995</v>
      </c>
      <c r="M47" s="23">
        <v>1922</v>
      </c>
      <c r="N47" s="23">
        <v>1976.0000000000002</v>
      </c>
      <c r="O47" s="23">
        <v>2214</v>
      </c>
      <c r="P47" s="23">
        <v>2175.9999999999995</v>
      </c>
      <c r="Q47" s="23">
        <v>2042.0000000000002</v>
      </c>
      <c r="R47" s="23">
        <v>2019</v>
      </c>
      <c r="S47" s="23">
        <v>2025</v>
      </c>
      <c r="T47" s="23">
        <v>2110.0000000000005</v>
      </c>
      <c r="U47" s="23">
        <v>2192.0000000000005</v>
      </c>
      <c r="V47" s="23">
        <v>2253.0000000000005</v>
      </c>
      <c r="W47" s="23">
        <v>2237</v>
      </c>
      <c r="X47" s="23">
        <v>2168</v>
      </c>
      <c r="Y47" s="23">
        <v>2146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3256</v>
      </c>
      <c r="E48" s="23">
        <v>3526.0000000000005</v>
      </c>
      <c r="F48" s="23">
        <v>3325</v>
      </c>
      <c r="G48" s="23">
        <v>3477</v>
      </c>
      <c r="H48" s="23">
        <v>3719</v>
      </c>
      <c r="I48" s="23">
        <v>4227</v>
      </c>
      <c r="J48" s="23">
        <v>5024</v>
      </c>
      <c r="K48" s="23">
        <v>5599</v>
      </c>
      <c r="L48" s="23">
        <v>5632</v>
      </c>
      <c r="M48" s="23">
        <v>3266</v>
      </c>
      <c r="N48" s="23">
        <v>3502</v>
      </c>
      <c r="O48" s="23">
        <v>3843.0000000000005</v>
      </c>
      <c r="P48" s="23">
        <v>3744</v>
      </c>
      <c r="Q48" s="23">
        <v>3744</v>
      </c>
      <c r="R48" s="23">
        <v>3665</v>
      </c>
      <c r="S48" s="23">
        <v>4068</v>
      </c>
      <c r="T48" s="23">
        <v>3907</v>
      </c>
      <c r="U48" s="23">
        <v>4584.9999999999991</v>
      </c>
      <c r="V48" s="23">
        <v>4519.9999999999991</v>
      </c>
      <c r="W48" s="23">
        <v>4289</v>
      </c>
      <c r="X48" s="23">
        <v>4212</v>
      </c>
      <c r="Y48" s="23">
        <v>4656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8595</v>
      </c>
      <c r="E49" s="23">
        <v>7626</v>
      </c>
      <c r="F49" s="23">
        <v>8670</v>
      </c>
      <c r="G49" s="23">
        <v>8881</v>
      </c>
      <c r="H49" s="23">
        <v>8826.0000000000018</v>
      </c>
      <c r="I49" s="23">
        <v>9204.0000000000018</v>
      </c>
      <c r="J49" s="23">
        <v>9793</v>
      </c>
      <c r="K49" s="23">
        <v>11193</v>
      </c>
      <c r="L49" s="23">
        <v>10584</v>
      </c>
      <c r="M49" s="23">
        <v>6852</v>
      </c>
      <c r="N49" s="23">
        <v>6601</v>
      </c>
      <c r="O49" s="23">
        <v>5406</v>
      </c>
      <c r="P49" s="23">
        <v>2632</v>
      </c>
      <c r="Q49" s="23">
        <v>3959</v>
      </c>
      <c r="R49" s="23">
        <v>4184</v>
      </c>
      <c r="S49" s="23">
        <v>3882</v>
      </c>
      <c r="T49" s="23">
        <v>4185</v>
      </c>
      <c r="U49" s="23">
        <v>4550</v>
      </c>
      <c r="V49" s="23">
        <v>3426</v>
      </c>
      <c r="W49" s="23">
        <v>3734</v>
      </c>
      <c r="X49" s="23">
        <v>4691</v>
      </c>
      <c r="Y49" s="23">
        <v>4683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1022.9999999999999</v>
      </c>
      <c r="E50" s="23">
        <v>1087</v>
      </c>
      <c r="F50" s="23">
        <v>940</v>
      </c>
      <c r="G50" s="23">
        <v>945.00000000000011</v>
      </c>
      <c r="H50" s="23">
        <v>1028</v>
      </c>
      <c r="I50" s="23">
        <v>1211</v>
      </c>
      <c r="J50" s="23">
        <v>1316</v>
      </c>
      <c r="K50" s="23">
        <v>1469</v>
      </c>
      <c r="L50" s="23">
        <v>1836</v>
      </c>
      <c r="M50" s="23">
        <v>1455</v>
      </c>
      <c r="N50" s="23">
        <v>1644</v>
      </c>
      <c r="O50" s="23">
        <v>1642</v>
      </c>
      <c r="P50" s="23">
        <v>1763</v>
      </c>
      <c r="Q50" s="23">
        <v>1616</v>
      </c>
      <c r="R50" s="23">
        <v>1772</v>
      </c>
      <c r="S50" s="23">
        <v>1812</v>
      </c>
      <c r="T50" s="23">
        <v>1787</v>
      </c>
      <c r="U50" s="23">
        <v>1854</v>
      </c>
      <c r="V50" s="23">
        <v>1750</v>
      </c>
      <c r="W50" s="23">
        <v>1778</v>
      </c>
      <c r="X50" s="23">
        <v>1770</v>
      </c>
      <c r="Y50" s="23">
        <v>1803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2791</v>
      </c>
      <c r="E51" s="23">
        <v>3197</v>
      </c>
      <c r="F51" s="23">
        <v>2861</v>
      </c>
      <c r="G51" s="23">
        <v>2844</v>
      </c>
      <c r="H51" s="23">
        <v>3038</v>
      </c>
      <c r="I51" s="23">
        <v>3272</v>
      </c>
      <c r="J51" s="23">
        <v>3819</v>
      </c>
      <c r="K51" s="23">
        <v>4347.0000000000009</v>
      </c>
      <c r="L51" s="23">
        <v>4719</v>
      </c>
      <c r="M51" s="23">
        <v>3972</v>
      </c>
      <c r="N51" s="23">
        <v>4252</v>
      </c>
      <c r="O51" s="23">
        <v>4608.0000000000009</v>
      </c>
      <c r="P51" s="23">
        <v>4571</v>
      </c>
      <c r="Q51" s="23">
        <v>4293.9999999999991</v>
      </c>
      <c r="R51" s="23">
        <v>4360</v>
      </c>
      <c r="S51" s="23">
        <v>4654</v>
      </c>
      <c r="T51" s="23">
        <v>4624</v>
      </c>
      <c r="U51" s="23">
        <v>5036</v>
      </c>
      <c r="V51" s="23">
        <v>5439</v>
      </c>
      <c r="W51" s="23">
        <v>5611</v>
      </c>
      <c r="X51" s="23">
        <v>5380</v>
      </c>
      <c r="Y51" s="23">
        <v>6169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806.00000000000011</v>
      </c>
      <c r="E52" s="23">
        <v>966.99999999999989</v>
      </c>
      <c r="F52" s="23">
        <v>1088.0000000000002</v>
      </c>
      <c r="G52" s="23">
        <v>1055</v>
      </c>
      <c r="H52" s="23">
        <v>878</v>
      </c>
      <c r="I52" s="23">
        <v>988</v>
      </c>
      <c r="J52" s="23">
        <v>1052</v>
      </c>
      <c r="K52" s="23">
        <v>1039</v>
      </c>
      <c r="L52" s="23">
        <v>1092</v>
      </c>
      <c r="M52" s="23">
        <v>779</v>
      </c>
      <c r="N52" s="23">
        <v>774</v>
      </c>
      <c r="O52" s="23">
        <v>895</v>
      </c>
      <c r="P52" s="23">
        <v>875</v>
      </c>
      <c r="Q52" s="23">
        <v>911</v>
      </c>
      <c r="R52" s="23">
        <v>875</v>
      </c>
      <c r="S52" s="23">
        <v>876</v>
      </c>
      <c r="T52" s="23">
        <v>1056</v>
      </c>
      <c r="U52" s="23">
        <v>1066.0000000000002</v>
      </c>
      <c r="V52" s="23">
        <v>1178.0000000000002</v>
      </c>
      <c r="W52" s="23">
        <v>1096</v>
      </c>
      <c r="X52" s="23">
        <v>1100.9999999999998</v>
      </c>
      <c r="Y52" s="23">
        <v>1175.9999999999998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1937.9999999999945</v>
      </c>
      <c r="E53" s="23">
        <v>2125.0000000000068</v>
      </c>
      <c r="F53" s="23">
        <v>2013.0000000000091</v>
      </c>
      <c r="G53" s="23">
        <v>2039.9999999999925</v>
      </c>
      <c r="H53" s="23">
        <v>2025.999999999993</v>
      </c>
      <c r="I53" s="23">
        <v>2099.9999999999973</v>
      </c>
      <c r="J53" s="23">
        <v>1981.9999999999864</v>
      </c>
      <c r="K53" s="23">
        <v>2257.9999999999927</v>
      </c>
      <c r="L53" s="23">
        <v>2268.0000000000159</v>
      </c>
      <c r="M53" s="23">
        <v>2017.9999999999886</v>
      </c>
      <c r="N53" s="23">
        <v>1953.0000000000134</v>
      </c>
      <c r="O53" s="23">
        <v>2010.0000000000132</v>
      </c>
      <c r="P53" s="23">
        <v>2046.0000000000018</v>
      </c>
      <c r="Q53" s="23">
        <v>1940.0000000000039</v>
      </c>
      <c r="R53" s="23">
        <v>1922.0000000000073</v>
      </c>
      <c r="S53" s="23">
        <v>1974</v>
      </c>
      <c r="T53" s="23">
        <v>2032.9999999999959</v>
      </c>
      <c r="U53" s="23">
        <v>2129.9999999999695</v>
      </c>
      <c r="V53" s="23">
        <v>2236.9999999999791</v>
      </c>
      <c r="W53" s="23">
        <v>2314.9999999999882</v>
      </c>
      <c r="X53" s="23">
        <v>2259.0000000000064</v>
      </c>
      <c r="Y53" s="23">
        <v>2365.0000000000109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32950.999999999993</v>
      </c>
      <c r="E54" s="30">
        <f t="shared" ref="E54:S54" si="4">SUM(E41:E53)</f>
        <v>34135.000000000007</v>
      </c>
      <c r="F54" s="30">
        <f t="shared" si="4"/>
        <v>33955.000000000007</v>
      </c>
      <c r="G54" s="30">
        <f t="shared" si="4"/>
        <v>33304.999999999993</v>
      </c>
      <c r="H54" s="30">
        <f t="shared" si="4"/>
        <v>34200.999999999993</v>
      </c>
      <c r="I54" s="30">
        <f t="shared" si="4"/>
        <v>34939</v>
      </c>
      <c r="J54" s="30">
        <f t="shared" si="4"/>
        <v>37709.999999999985</v>
      </c>
      <c r="K54" s="30">
        <f t="shared" si="4"/>
        <v>41398.999999999993</v>
      </c>
      <c r="L54" s="30">
        <f t="shared" si="4"/>
        <v>40386.000000000015</v>
      </c>
      <c r="M54" s="30">
        <f t="shared" si="4"/>
        <v>30294.999999999989</v>
      </c>
      <c r="N54" s="30">
        <f t="shared" si="4"/>
        <v>31926.000000000015</v>
      </c>
      <c r="O54" s="30">
        <f t="shared" si="4"/>
        <v>32196.000000000015</v>
      </c>
      <c r="P54" s="30">
        <f t="shared" si="4"/>
        <v>29071</v>
      </c>
      <c r="Q54" s="30">
        <f t="shared" si="4"/>
        <v>29636.000000000004</v>
      </c>
      <c r="R54" s="30">
        <f t="shared" si="4"/>
        <v>29907.000000000007</v>
      </c>
      <c r="S54" s="30">
        <f t="shared" si="4"/>
        <v>31041</v>
      </c>
      <c r="T54" s="30">
        <f t="shared" ref="T54:Y54" si="5">SUM(T41:T53)</f>
        <v>31682.999999999996</v>
      </c>
      <c r="U54" s="30">
        <f t="shared" si="5"/>
        <v>34399.999999999971</v>
      </c>
      <c r="V54" s="30">
        <f t="shared" si="5"/>
        <v>34071.999999999978</v>
      </c>
      <c r="W54" s="30">
        <f t="shared" si="5"/>
        <v>34568.999999999985</v>
      </c>
      <c r="X54" s="30">
        <f t="shared" si="5"/>
        <v>33952.000000000007</v>
      </c>
      <c r="Y54" s="30">
        <f t="shared" si="5"/>
        <v>36739.000000000015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1899</v>
      </c>
      <c r="E56" s="19">
        <v>2293</v>
      </c>
      <c r="F56" s="19">
        <v>2450</v>
      </c>
      <c r="G56" s="19">
        <v>2450</v>
      </c>
      <c r="H56" s="19">
        <v>2377</v>
      </c>
      <c r="I56" s="19">
        <v>2413.9999999999995</v>
      </c>
      <c r="J56" s="19">
        <v>2340</v>
      </c>
      <c r="K56" s="19">
        <v>2499</v>
      </c>
      <c r="L56" s="19">
        <v>2549.0000000000005</v>
      </c>
      <c r="M56" s="19">
        <v>2815</v>
      </c>
      <c r="N56" s="19">
        <v>2617</v>
      </c>
      <c r="O56" s="19">
        <v>2589</v>
      </c>
      <c r="P56" s="19">
        <v>2684</v>
      </c>
      <c r="Q56" s="19">
        <v>2688</v>
      </c>
      <c r="R56" s="19">
        <v>2644</v>
      </c>
      <c r="S56" s="19">
        <v>2614</v>
      </c>
      <c r="T56" s="19">
        <v>2578</v>
      </c>
      <c r="U56" s="19">
        <v>2713</v>
      </c>
      <c r="V56" s="19">
        <v>2737</v>
      </c>
      <c r="W56" s="19">
        <v>2855</v>
      </c>
      <c r="X56" s="19">
        <v>2948</v>
      </c>
      <c r="Y56" s="19">
        <v>2921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577</v>
      </c>
      <c r="E57" s="23">
        <v>581</v>
      </c>
      <c r="F57" s="23">
        <v>591</v>
      </c>
      <c r="G57" s="23">
        <v>552</v>
      </c>
      <c r="H57" s="23">
        <v>546</v>
      </c>
      <c r="I57" s="23">
        <v>550</v>
      </c>
      <c r="J57" s="23">
        <v>570</v>
      </c>
      <c r="K57" s="23">
        <v>531</v>
      </c>
      <c r="L57" s="23">
        <v>550</v>
      </c>
      <c r="M57" s="23">
        <v>471</v>
      </c>
      <c r="N57" s="23">
        <v>462</v>
      </c>
      <c r="O57" s="23">
        <v>459</v>
      </c>
      <c r="P57" s="23">
        <v>449</v>
      </c>
      <c r="Q57" s="23">
        <v>403</v>
      </c>
      <c r="R57" s="23">
        <v>376</v>
      </c>
      <c r="S57" s="23">
        <v>382</v>
      </c>
      <c r="T57" s="23">
        <v>408</v>
      </c>
      <c r="U57" s="23">
        <v>411</v>
      </c>
      <c r="V57" s="23">
        <v>408</v>
      </c>
      <c r="W57" s="23">
        <v>396</v>
      </c>
      <c r="X57" s="23">
        <v>420</v>
      </c>
      <c r="Y57" s="23">
        <v>447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1411</v>
      </c>
      <c r="E58" s="23">
        <v>1471</v>
      </c>
      <c r="F58" s="23">
        <v>1460</v>
      </c>
      <c r="G58" s="23">
        <v>1446</v>
      </c>
      <c r="H58" s="23">
        <v>1390</v>
      </c>
      <c r="I58" s="23">
        <v>1375</v>
      </c>
      <c r="J58" s="23">
        <v>1541</v>
      </c>
      <c r="K58" s="23">
        <v>1785</v>
      </c>
      <c r="L58" s="23">
        <v>1302</v>
      </c>
      <c r="M58" s="23">
        <v>883</v>
      </c>
      <c r="N58" s="23">
        <v>1235.0000000000002</v>
      </c>
      <c r="O58" s="23">
        <v>1151</v>
      </c>
      <c r="P58" s="23">
        <v>1075</v>
      </c>
      <c r="Q58" s="23">
        <v>1162.0000000000002</v>
      </c>
      <c r="R58" s="23">
        <v>1199</v>
      </c>
      <c r="S58" s="23">
        <v>1195</v>
      </c>
      <c r="T58" s="23">
        <v>1220.9999999999998</v>
      </c>
      <c r="U58" s="23">
        <v>1328</v>
      </c>
      <c r="V58" s="23">
        <v>1376</v>
      </c>
      <c r="W58" s="23">
        <v>1234</v>
      </c>
      <c r="X58" s="23">
        <v>1188</v>
      </c>
      <c r="Y58" s="23">
        <v>2220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5615</v>
      </c>
      <c r="E59" s="23">
        <v>5737</v>
      </c>
      <c r="F59" s="23">
        <v>4976</v>
      </c>
      <c r="G59" s="23">
        <v>4326.0000000000009</v>
      </c>
      <c r="H59" s="23">
        <v>4332</v>
      </c>
      <c r="I59" s="23">
        <v>3679</v>
      </c>
      <c r="J59" s="23">
        <v>4034</v>
      </c>
      <c r="K59" s="23">
        <v>3890</v>
      </c>
      <c r="L59" s="23">
        <v>3270</v>
      </c>
      <c r="M59" s="23">
        <v>2122</v>
      </c>
      <c r="N59" s="23">
        <v>3063</v>
      </c>
      <c r="O59" s="23">
        <v>3064</v>
      </c>
      <c r="P59" s="23">
        <v>2814</v>
      </c>
      <c r="Q59" s="23">
        <v>2751</v>
      </c>
      <c r="R59" s="23">
        <v>2877</v>
      </c>
      <c r="S59" s="23">
        <v>3124</v>
      </c>
      <c r="T59" s="23">
        <v>3108</v>
      </c>
      <c r="U59" s="23">
        <v>3282</v>
      </c>
      <c r="V59" s="23">
        <v>3624</v>
      </c>
      <c r="W59" s="23">
        <v>3355</v>
      </c>
      <c r="X59" s="23">
        <v>2611.0000000000005</v>
      </c>
      <c r="Y59" s="23">
        <v>3274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826</v>
      </c>
      <c r="E60" s="23">
        <v>904.99999999999989</v>
      </c>
      <c r="F60" s="23">
        <v>845.00000000000057</v>
      </c>
      <c r="G60" s="23">
        <v>734.99999999999966</v>
      </c>
      <c r="H60" s="23">
        <v>716</v>
      </c>
      <c r="I60" s="23">
        <v>764.00000000000045</v>
      </c>
      <c r="J60" s="23">
        <v>761.99999999999955</v>
      </c>
      <c r="K60" s="23">
        <v>765</v>
      </c>
      <c r="L60" s="23">
        <v>759.99999999999955</v>
      </c>
      <c r="M60" s="23">
        <v>657.00000000000045</v>
      </c>
      <c r="N60" s="23">
        <v>648.00000000000023</v>
      </c>
      <c r="O60" s="23">
        <v>601</v>
      </c>
      <c r="P60" s="23">
        <v>603.99999999999955</v>
      </c>
      <c r="Q60" s="23">
        <v>533.00000000000034</v>
      </c>
      <c r="R60" s="23">
        <v>503.00000000000006</v>
      </c>
      <c r="S60" s="23">
        <v>502</v>
      </c>
      <c r="T60" s="23">
        <v>446.99999999999983</v>
      </c>
      <c r="U60" s="23">
        <v>424.99999999999977</v>
      </c>
      <c r="V60" s="23">
        <v>397.99999999999977</v>
      </c>
      <c r="W60" s="23">
        <v>384.99999999999955</v>
      </c>
      <c r="X60" s="23">
        <v>344.00000000000017</v>
      </c>
      <c r="Y60" s="23">
        <v>342.00000000000028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425.99999999999994</v>
      </c>
      <c r="E61" s="23">
        <v>518</v>
      </c>
      <c r="F61" s="23">
        <v>712</v>
      </c>
      <c r="G61" s="23">
        <v>630</v>
      </c>
      <c r="H61" s="23">
        <v>986</v>
      </c>
      <c r="I61" s="23">
        <v>706</v>
      </c>
      <c r="J61" s="23">
        <v>755</v>
      </c>
      <c r="K61" s="23">
        <v>831</v>
      </c>
      <c r="L61" s="23">
        <v>666</v>
      </c>
      <c r="M61" s="23">
        <v>619.99999999999989</v>
      </c>
      <c r="N61" s="23">
        <v>524.00000000000011</v>
      </c>
      <c r="O61" s="23">
        <v>664</v>
      </c>
      <c r="P61" s="23">
        <v>785</v>
      </c>
      <c r="Q61" s="23">
        <v>642</v>
      </c>
      <c r="R61" s="23">
        <v>419</v>
      </c>
      <c r="S61" s="23">
        <v>596</v>
      </c>
      <c r="T61" s="23">
        <v>609</v>
      </c>
      <c r="U61" s="23">
        <v>1022</v>
      </c>
      <c r="V61" s="23">
        <v>716</v>
      </c>
      <c r="W61" s="23">
        <v>810</v>
      </c>
      <c r="X61" s="23">
        <v>516</v>
      </c>
      <c r="Y61" s="23">
        <v>297.00000000000006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1390</v>
      </c>
      <c r="E62" s="23">
        <v>1552</v>
      </c>
      <c r="F62" s="23">
        <v>1447</v>
      </c>
      <c r="G62" s="23">
        <v>1434</v>
      </c>
      <c r="H62" s="23">
        <v>1643</v>
      </c>
      <c r="I62" s="23">
        <v>1603</v>
      </c>
      <c r="J62" s="23">
        <v>1619</v>
      </c>
      <c r="K62" s="23">
        <v>1860</v>
      </c>
      <c r="L62" s="23">
        <v>1804</v>
      </c>
      <c r="M62" s="23">
        <v>1545</v>
      </c>
      <c r="N62" s="23">
        <v>1693</v>
      </c>
      <c r="O62" s="23">
        <v>2023</v>
      </c>
      <c r="P62" s="23">
        <v>1622</v>
      </c>
      <c r="Q62" s="23">
        <v>1798</v>
      </c>
      <c r="R62" s="23">
        <v>1776</v>
      </c>
      <c r="S62" s="23">
        <v>2022</v>
      </c>
      <c r="T62" s="23">
        <v>2075</v>
      </c>
      <c r="U62" s="23">
        <v>2223</v>
      </c>
      <c r="V62" s="23">
        <v>2451</v>
      </c>
      <c r="W62" s="23">
        <v>2880</v>
      </c>
      <c r="X62" s="23">
        <v>2815</v>
      </c>
      <c r="Y62" s="23">
        <v>2740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444.00000000000006</v>
      </c>
      <c r="E63" s="23">
        <v>542</v>
      </c>
      <c r="F63" s="23">
        <v>559</v>
      </c>
      <c r="G63" s="23">
        <v>532</v>
      </c>
      <c r="H63" s="23">
        <v>593.00000000000011</v>
      </c>
      <c r="I63" s="23">
        <v>681</v>
      </c>
      <c r="J63" s="23">
        <v>758</v>
      </c>
      <c r="K63" s="23">
        <v>800</v>
      </c>
      <c r="L63" s="23">
        <v>868</v>
      </c>
      <c r="M63" s="23">
        <v>918</v>
      </c>
      <c r="N63" s="23">
        <v>982</v>
      </c>
      <c r="O63" s="23">
        <v>1027</v>
      </c>
      <c r="P63" s="23">
        <v>1231</v>
      </c>
      <c r="Q63" s="23">
        <v>1153</v>
      </c>
      <c r="R63" s="23">
        <v>1316</v>
      </c>
      <c r="S63" s="23">
        <v>1315</v>
      </c>
      <c r="T63" s="23">
        <v>1535</v>
      </c>
      <c r="U63" s="23">
        <v>1583</v>
      </c>
      <c r="V63" s="23">
        <v>1559</v>
      </c>
      <c r="W63" s="23">
        <v>1594</v>
      </c>
      <c r="X63" s="23">
        <v>1529</v>
      </c>
      <c r="Y63" s="23">
        <v>1500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979</v>
      </c>
      <c r="E64" s="23">
        <v>1010</v>
      </c>
      <c r="F64" s="23">
        <v>1046.0000000000002</v>
      </c>
      <c r="G64" s="23">
        <v>984</v>
      </c>
      <c r="H64" s="23">
        <v>1073.0000000000002</v>
      </c>
      <c r="I64" s="23">
        <v>1020</v>
      </c>
      <c r="J64" s="23">
        <v>1114</v>
      </c>
      <c r="K64" s="23">
        <v>1200</v>
      </c>
      <c r="L64" s="23">
        <v>1175</v>
      </c>
      <c r="M64" s="23">
        <v>953.99999999999989</v>
      </c>
      <c r="N64" s="23">
        <v>953</v>
      </c>
      <c r="O64" s="23">
        <v>1055</v>
      </c>
      <c r="P64" s="23">
        <v>1069</v>
      </c>
      <c r="Q64" s="23">
        <v>953</v>
      </c>
      <c r="R64" s="23">
        <v>992</v>
      </c>
      <c r="S64" s="23">
        <v>1018</v>
      </c>
      <c r="T64" s="23">
        <v>1057</v>
      </c>
      <c r="U64" s="23">
        <v>1066.0000000000002</v>
      </c>
      <c r="V64" s="23">
        <v>1073.0000000000002</v>
      </c>
      <c r="W64" s="23">
        <v>1068</v>
      </c>
      <c r="X64" s="23">
        <v>1052</v>
      </c>
      <c r="Y64" s="23">
        <v>1114.9999999999998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975.00000000000011</v>
      </c>
      <c r="E65" s="23">
        <v>998.00000000000011</v>
      </c>
      <c r="F65" s="23">
        <v>971.99999999999989</v>
      </c>
      <c r="G65" s="23">
        <v>974</v>
      </c>
      <c r="H65" s="23">
        <v>1030</v>
      </c>
      <c r="I65" s="23">
        <v>1145</v>
      </c>
      <c r="J65" s="23">
        <v>1230.9999999999998</v>
      </c>
      <c r="K65" s="23">
        <v>1333</v>
      </c>
      <c r="L65" s="23">
        <v>1310.9999999999998</v>
      </c>
      <c r="M65" s="23">
        <v>968.00000000000011</v>
      </c>
      <c r="N65" s="23">
        <v>1023.0000000000003</v>
      </c>
      <c r="O65" s="23">
        <v>1158.9999999999998</v>
      </c>
      <c r="P65" s="23">
        <v>1106.9999999999998</v>
      </c>
      <c r="Q65" s="23">
        <v>1089.0000000000002</v>
      </c>
      <c r="R65" s="23">
        <v>1027</v>
      </c>
      <c r="S65" s="23">
        <v>1007</v>
      </c>
      <c r="T65" s="23">
        <v>1053.0000000000002</v>
      </c>
      <c r="U65" s="23">
        <v>1126.0000000000002</v>
      </c>
      <c r="V65" s="23">
        <v>1180.0000000000002</v>
      </c>
      <c r="W65" s="23">
        <v>1169</v>
      </c>
      <c r="X65" s="23">
        <v>1116</v>
      </c>
      <c r="Y65" s="23">
        <v>1031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1369</v>
      </c>
      <c r="E66" s="23">
        <v>1349</v>
      </c>
      <c r="F66" s="23">
        <v>1188</v>
      </c>
      <c r="G66" s="23">
        <v>1302</v>
      </c>
      <c r="H66" s="23">
        <v>1541</v>
      </c>
      <c r="I66" s="23">
        <v>1820</v>
      </c>
      <c r="J66" s="23">
        <v>2354</v>
      </c>
      <c r="K66" s="23">
        <v>2439</v>
      </c>
      <c r="L66" s="23">
        <v>2274.9999999999995</v>
      </c>
      <c r="M66" s="23">
        <v>808</v>
      </c>
      <c r="N66" s="23">
        <v>1228.0000000000002</v>
      </c>
      <c r="O66" s="23">
        <v>1290</v>
      </c>
      <c r="P66" s="23">
        <v>1113</v>
      </c>
      <c r="Q66" s="23">
        <v>1266.9999999999998</v>
      </c>
      <c r="R66" s="23">
        <v>1277.0000000000002</v>
      </c>
      <c r="S66" s="23">
        <v>1562</v>
      </c>
      <c r="T66" s="23">
        <v>1405</v>
      </c>
      <c r="U66" s="23">
        <v>1898</v>
      </c>
      <c r="V66" s="23">
        <v>1726</v>
      </c>
      <c r="W66" s="23">
        <v>1434</v>
      </c>
      <c r="X66" s="23">
        <v>1307</v>
      </c>
      <c r="Y66" s="23">
        <v>1709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1887.0000000000002</v>
      </c>
      <c r="E67" s="23">
        <v>2177.0000000000005</v>
      </c>
      <c r="F67" s="23">
        <v>2136.9999999999995</v>
      </c>
      <c r="G67" s="23">
        <v>2175</v>
      </c>
      <c r="H67" s="23">
        <v>2178.0000000000005</v>
      </c>
      <c r="I67" s="23">
        <v>2406.9999999999995</v>
      </c>
      <c r="J67" s="23">
        <v>2670</v>
      </c>
      <c r="K67" s="23">
        <v>3160</v>
      </c>
      <c r="L67" s="23">
        <v>3357.0000000000005</v>
      </c>
      <c r="M67" s="23">
        <v>2458</v>
      </c>
      <c r="N67" s="23">
        <v>2274</v>
      </c>
      <c r="O67" s="23">
        <v>2553.0000000000005</v>
      </c>
      <c r="P67" s="23">
        <v>2631</v>
      </c>
      <c r="Q67" s="23">
        <v>2477.0000000000005</v>
      </c>
      <c r="R67" s="23">
        <v>2387.9999999999995</v>
      </c>
      <c r="S67" s="23">
        <v>2506</v>
      </c>
      <c r="T67" s="23">
        <v>2502.0000000000005</v>
      </c>
      <c r="U67" s="23">
        <v>2686.9999999999995</v>
      </c>
      <c r="V67" s="23">
        <v>2793.9999999999995</v>
      </c>
      <c r="W67" s="23">
        <v>2855</v>
      </c>
      <c r="X67" s="23">
        <v>2905</v>
      </c>
      <c r="Y67" s="23">
        <v>2947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8595</v>
      </c>
      <c r="E68" s="23">
        <v>7626</v>
      </c>
      <c r="F68" s="23">
        <v>8670</v>
      </c>
      <c r="G68" s="23">
        <v>8881</v>
      </c>
      <c r="H68" s="23">
        <v>8826.0000000000018</v>
      </c>
      <c r="I68" s="23">
        <v>9204.0000000000018</v>
      </c>
      <c r="J68" s="23">
        <v>9793</v>
      </c>
      <c r="K68" s="23">
        <v>11193</v>
      </c>
      <c r="L68" s="23">
        <v>10584</v>
      </c>
      <c r="M68" s="23">
        <v>6852</v>
      </c>
      <c r="N68" s="23">
        <v>6601</v>
      </c>
      <c r="O68" s="23">
        <v>5406</v>
      </c>
      <c r="P68" s="23">
        <v>2632</v>
      </c>
      <c r="Q68" s="23">
        <v>3959</v>
      </c>
      <c r="R68" s="23">
        <v>4184</v>
      </c>
      <c r="S68" s="23">
        <v>3882</v>
      </c>
      <c r="T68" s="23">
        <v>4185</v>
      </c>
      <c r="U68" s="23">
        <v>4550</v>
      </c>
      <c r="V68" s="23">
        <v>3426</v>
      </c>
      <c r="W68" s="23">
        <v>3734</v>
      </c>
      <c r="X68" s="23">
        <v>4691</v>
      </c>
      <c r="Y68" s="23">
        <v>4683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1022.9999999999999</v>
      </c>
      <c r="E69" s="23">
        <v>1087</v>
      </c>
      <c r="F69" s="23">
        <v>940</v>
      </c>
      <c r="G69" s="23">
        <v>945.00000000000011</v>
      </c>
      <c r="H69" s="23">
        <v>1028</v>
      </c>
      <c r="I69" s="23">
        <v>1211</v>
      </c>
      <c r="J69" s="23">
        <v>1316</v>
      </c>
      <c r="K69" s="23">
        <v>1469</v>
      </c>
      <c r="L69" s="23">
        <v>1836</v>
      </c>
      <c r="M69" s="23">
        <v>1455</v>
      </c>
      <c r="N69" s="23">
        <v>1644</v>
      </c>
      <c r="O69" s="23">
        <v>1642</v>
      </c>
      <c r="P69" s="23">
        <v>1763</v>
      </c>
      <c r="Q69" s="23">
        <v>1616</v>
      </c>
      <c r="R69" s="23">
        <v>1772</v>
      </c>
      <c r="S69" s="23">
        <v>1812</v>
      </c>
      <c r="T69" s="23">
        <v>1787</v>
      </c>
      <c r="U69" s="23">
        <v>1854</v>
      </c>
      <c r="V69" s="23">
        <v>1750</v>
      </c>
      <c r="W69" s="23">
        <v>1778</v>
      </c>
      <c r="X69" s="23">
        <v>1770</v>
      </c>
      <c r="Y69" s="23">
        <v>1803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2791</v>
      </c>
      <c r="E70" s="23">
        <v>3197</v>
      </c>
      <c r="F70" s="23">
        <v>2861</v>
      </c>
      <c r="G70" s="23">
        <v>2844</v>
      </c>
      <c r="H70" s="23">
        <v>3038</v>
      </c>
      <c r="I70" s="23">
        <v>3272</v>
      </c>
      <c r="J70" s="23">
        <v>3819</v>
      </c>
      <c r="K70" s="23">
        <v>4347.0000000000009</v>
      </c>
      <c r="L70" s="23">
        <v>4719</v>
      </c>
      <c r="M70" s="23">
        <v>3972</v>
      </c>
      <c r="N70" s="23">
        <v>4252</v>
      </c>
      <c r="O70" s="23">
        <v>4608.0000000000009</v>
      </c>
      <c r="P70" s="23">
        <v>4571</v>
      </c>
      <c r="Q70" s="23">
        <v>4293.9999999999991</v>
      </c>
      <c r="R70" s="23">
        <v>4360</v>
      </c>
      <c r="S70" s="23">
        <v>4654</v>
      </c>
      <c r="T70" s="23">
        <v>4624</v>
      </c>
      <c r="U70" s="23">
        <v>5036</v>
      </c>
      <c r="V70" s="23">
        <v>5439</v>
      </c>
      <c r="W70" s="23">
        <v>5611</v>
      </c>
      <c r="X70" s="23">
        <v>5380</v>
      </c>
      <c r="Y70" s="23">
        <v>6169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401</v>
      </c>
      <c r="E71" s="23">
        <v>407</v>
      </c>
      <c r="F71" s="23">
        <v>429</v>
      </c>
      <c r="G71" s="23">
        <v>389</v>
      </c>
      <c r="H71" s="23">
        <v>379</v>
      </c>
      <c r="I71" s="23">
        <v>449</v>
      </c>
      <c r="J71" s="23">
        <v>476</v>
      </c>
      <c r="K71" s="23">
        <v>542</v>
      </c>
      <c r="L71" s="23">
        <v>517</v>
      </c>
      <c r="M71" s="23">
        <v>353</v>
      </c>
      <c r="N71" s="23">
        <v>383</v>
      </c>
      <c r="O71" s="23">
        <v>463</v>
      </c>
      <c r="P71" s="23">
        <v>414</v>
      </c>
      <c r="Q71" s="23">
        <v>412</v>
      </c>
      <c r="R71" s="23">
        <v>451</v>
      </c>
      <c r="S71" s="23">
        <v>488</v>
      </c>
      <c r="T71" s="23">
        <v>499</v>
      </c>
      <c r="U71" s="23">
        <v>616.99999999999989</v>
      </c>
      <c r="V71" s="23">
        <v>737</v>
      </c>
      <c r="W71" s="23">
        <v>761</v>
      </c>
      <c r="X71" s="23">
        <v>661</v>
      </c>
      <c r="Y71" s="23">
        <v>713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405.00000000000017</v>
      </c>
      <c r="E72" s="23">
        <v>559.99999999999989</v>
      </c>
      <c r="F72" s="23">
        <v>659.00000000000011</v>
      </c>
      <c r="G72" s="23">
        <v>666</v>
      </c>
      <c r="H72" s="23">
        <v>499</v>
      </c>
      <c r="I72" s="23">
        <v>539.00000000000011</v>
      </c>
      <c r="J72" s="23">
        <v>576</v>
      </c>
      <c r="K72" s="23">
        <v>496.99999999999994</v>
      </c>
      <c r="L72" s="23">
        <v>575</v>
      </c>
      <c r="M72" s="23">
        <v>426.00000000000006</v>
      </c>
      <c r="N72" s="23">
        <v>391</v>
      </c>
      <c r="O72" s="23">
        <v>432</v>
      </c>
      <c r="P72" s="23">
        <v>461.00000000000006</v>
      </c>
      <c r="Q72" s="23">
        <v>499.00000000000006</v>
      </c>
      <c r="R72" s="23">
        <v>424</v>
      </c>
      <c r="S72" s="23">
        <v>388</v>
      </c>
      <c r="T72" s="23">
        <v>557.00000000000011</v>
      </c>
      <c r="U72" s="23">
        <v>449.00000000000017</v>
      </c>
      <c r="V72" s="23">
        <v>441.00000000000017</v>
      </c>
      <c r="W72" s="23">
        <v>335.00000000000006</v>
      </c>
      <c r="X72" s="23">
        <v>439.99999999999994</v>
      </c>
      <c r="Y72" s="23">
        <v>462.99999999999983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1001</v>
      </c>
      <c r="E73" s="23">
        <v>1052</v>
      </c>
      <c r="F73" s="23">
        <v>966</v>
      </c>
      <c r="G73" s="23">
        <v>954</v>
      </c>
      <c r="H73" s="23">
        <v>1029</v>
      </c>
      <c r="I73" s="23">
        <v>920.99999999999989</v>
      </c>
      <c r="J73" s="23">
        <v>927</v>
      </c>
      <c r="K73" s="23">
        <v>928</v>
      </c>
      <c r="L73" s="23">
        <v>801</v>
      </c>
      <c r="M73" s="23">
        <v>667</v>
      </c>
      <c r="N73" s="23">
        <v>661</v>
      </c>
      <c r="O73" s="23">
        <v>680</v>
      </c>
      <c r="P73" s="23">
        <v>669</v>
      </c>
      <c r="Q73" s="23">
        <v>618</v>
      </c>
      <c r="R73" s="23">
        <v>595</v>
      </c>
      <c r="S73" s="23">
        <v>588</v>
      </c>
      <c r="T73" s="23">
        <v>607</v>
      </c>
      <c r="U73" s="23">
        <v>606</v>
      </c>
      <c r="V73" s="23">
        <v>669</v>
      </c>
      <c r="W73" s="23">
        <v>681</v>
      </c>
      <c r="X73" s="23">
        <v>646</v>
      </c>
      <c r="Y73" s="23">
        <v>695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936.99999999999443</v>
      </c>
      <c r="E74" s="23">
        <v>1073.000000000007</v>
      </c>
      <c r="F74" s="23">
        <v>1047.0000000000089</v>
      </c>
      <c r="G74" s="23">
        <v>1085.9999999999925</v>
      </c>
      <c r="H74" s="23">
        <v>996.99999999999284</v>
      </c>
      <c r="I74" s="23">
        <v>1178.9999999999975</v>
      </c>
      <c r="J74" s="23">
        <v>1054.9999999999861</v>
      </c>
      <c r="K74" s="23">
        <v>1329.9999999999925</v>
      </c>
      <c r="L74" s="23">
        <v>1467.0000000000164</v>
      </c>
      <c r="M74" s="23">
        <v>1350.9999999999886</v>
      </c>
      <c r="N74" s="23">
        <v>1292.0000000000134</v>
      </c>
      <c r="O74" s="23">
        <v>1330.0000000000127</v>
      </c>
      <c r="P74" s="23">
        <v>1377.0000000000014</v>
      </c>
      <c r="Q74" s="23">
        <v>1322.0000000000039</v>
      </c>
      <c r="R74" s="23">
        <v>1327.0000000000073</v>
      </c>
      <c r="S74" s="23">
        <v>1386</v>
      </c>
      <c r="T74" s="23">
        <v>1425.9999999999959</v>
      </c>
      <c r="U74" s="23">
        <v>1523.9999999999691</v>
      </c>
      <c r="V74" s="23">
        <v>1567.9999999999791</v>
      </c>
      <c r="W74" s="23">
        <v>1633.9999999999882</v>
      </c>
      <c r="X74" s="23">
        <v>1613.0000000000064</v>
      </c>
      <c r="Y74" s="23">
        <v>1670.0000000000107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32950.999999999993</v>
      </c>
      <c r="E75" s="30">
        <f t="shared" ref="E75:S75" si="6">SUM(E56:E74)</f>
        <v>34135.000000000007</v>
      </c>
      <c r="F75" s="30">
        <f t="shared" si="6"/>
        <v>33955.000000000007</v>
      </c>
      <c r="G75" s="30">
        <f t="shared" si="6"/>
        <v>33304.999999999993</v>
      </c>
      <c r="H75" s="30">
        <f t="shared" si="6"/>
        <v>34200.999999999993</v>
      </c>
      <c r="I75" s="30">
        <f t="shared" si="6"/>
        <v>34939</v>
      </c>
      <c r="J75" s="30">
        <f t="shared" si="6"/>
        <v>37709.999999999985</v>
      </c>
      <c r="K75" s="30">
        <f t="shared" si="6"/>
        <v>41398.999999999993</v>
      </c>
      <c r="L75" s="30">
        <f t="shared" si="6"/>
        <v>40386.000000000015</v>
      </c>
      <c r="M75" s="30">
        <f t="shared" si="6"/>
        <v>30294.999999999989</v>
      </c>
      <c r="N75" s="30">
        <f t="shared" si="6"/>
        <v>31926.000000000015</v>
      </c>
      <c r="O75" s="30">
        <f t="shared" si="6"/>
        <v>32196.000000000015</v>
      </c>
      <c r="P75" s="30">
        <f t="shared" si="6"/>
        <v>29071</v>
      </c>
      <c r="Q75" s="30">
        <f t="shared" si="6"/>
        <v>29636.000000000004</v>
      </c>
      <c r="R75" s="30">
        <f t="shared" si="6"/>
        <v>29907.000000000007</v>
      </c>
      <c r="S75" s="30">
        <f t="shared" si="6"/>
        <v>31041</v>
      </c>
      <c r="T75" s="30">
        <f t="shared" ref="T75:Y75" si="7">SUM(T56:T74)</f>
        <v>31682.999999999996</v>
      </c>
      <c r="U75" s="30">
        <f t="shared" si="7"/>
        <v>34399.999999999971</v>
      </c>
      <c r="V75" s="30">
        <f t="shared" si="7"/>
        <v>34071.999999999978</v>
      </c>
      <c r="W75" s="30">
        <f t="shared" si="7"/>
        <v>34568.999999999985</v>
      </c>
      <c r="X75" s="30">
        <f t="shared" si="7"/>
        <v>33952.000000000007</v>
      </c>
      <c r="Y75" s="30">
        <f t="shared" si="7"/>
        <v>36739.000000000007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176742.92080105704</v>
      </c>
      <c r="E2" s="19">
        <v>181353.99816925605</v>
      </c>
      <c r="F2" s="19">
        <v>184450.07577451493</v>
      </c>
      <c r="G2" s="19">
        <v>188148.13896396957</v>
      </c>
      <c r="H2" s="19">
        <v>195656.94285256526</v>
      </c>
      <c r="I2" s="19">
        <v>201097.76051969617</v>
      </c>
      <c r="J2" s="19">
        <v>209196.83476914142</v>
      </c>
      <c r="K2" s="19">
        <v>220281.66360510571</v>
      </c>
      <c r="L2" s="19">
        <v>222009.53110179081</v>
      </c>
      <c r="M2" s="19">
        <v>204083.9930380102</v>
      </c>
      <c r="N2" s="19">
        <v>210585.0486327972</v>
      </c>
      <c r="O2" s="19">
        <v>215949.91656396218</v>
      </c>
      <c r="P2" s="19">
        <v>212931.34492765903</v>
      </c>
      <c r="Q2" s="19">
        <v>211012.19675923538</v>
      </c>
      <c r="R2" s="19">
        <v>210241.94941519576</v>
      </c>
      <c r="S2" s="19">
        <v>211385</v>
      </c>
      <c r="T2" s="19">
        <v>217328.92383626243</v>
      </c>
      <c r="U2" s="19">
        <v>224266.89922403797</v>
      </c>
      <c r="V2" s="19">
        <v>226822.89389567362</v>
      </c>
      <c r="W2" s="19">
        <v>229599.49458207298</v>
      </c>
      <c r="X2" s="19">
        <v>224194.01930774664</v>
      </c>
      <c r="Y2" s="19">
        <v>230554.99346958299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85211.460823893693</v>
      </c>
      <c r="E3" s="23">
        <v>87497.614534166234</v>
      </c>
      <c r="F3" s="23">
        <v>89684.566278633123</v>
      </c>
      <c r="G3" s="23">
        <v>93385.469598195472</v>
      </c>
      <c r="H3" s="23">
        <v>96889.17452509547</v>
      </c>
      <c r="I3" s="23">
        <v>99964.536838887187</v>
      </c>
      <c r="J3" s="23">
        <v>103883.54198325975</v>
      </c>
      <c r="K3" s="23">
        <v>107521.8307026055</v>
      </c>
      <c r="L3" s="23">
        <v>109638.18198462103</v>
      </c>
      <c r="M3" s="23">
        <v>106435.09315723863</v>
      </c>
      <c r="N3" s="23">
        <v>109623.92197238922</v>
      </c>
      <c r="O3" s="23">
        <v>112797.10238110548</v>
      </c>
      <c r="P3" s="23">
        <v>113230.84940072954</v>
      </c>
      <c r="Q3" s="23">
        <v>112639.77209136695</v>
      </c>
      <c r="R3" s="23">
        <v>113323.15327352549</v>
      </c>
      <c r="S3" s="23">
        <v>115144</v>
      </c>
      <c r="T3" s="23">
        <v>117941.57859545122</v>
      </c>
      <c r="U3" s="23">
        <v>118833.40741838297</v>
      </c>
      <c r="V3" s="23">
        <v>120867.18224285393</v>
      </c>
      <c r="W3" s="23">
        <v>121752.6918062865</v>
      </c>
      <c r="X3" s="23">
        <v>117172.55317101338</v>
      </c>
      <c r="Y3" s="23">
        <v>120970.58131325018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156890.34326867477</v>
      </c>
      <c r="E4" s="27">
        <v>161196.86475124411</v>
      </c>
      <c r="F4" s="27">
        <v>163352.40102363392</v>
      </c>
      <c r="G4" s="27">
        <v>165264.32707667732</v>
      </c>
      <c r="H4" s="27">
        <v>171649.91728190819</v>
      </c>
      <c r="I4" s="27">
        <v>176082.46161375177</v>
      </c>
      <c r="J4" s="27">
        <v>182770.20064254108</v>
      </c>
      <c r="K4" s="27">
        <v>193741.885224617</v>
      </c>
      <c r="L4" s="27">
        <v>195516.4131305044</v>
      </c>
      <c r="M4" s="27">
        <v>178659.59812653734</v>
      </c>
      <c r="N4" s="27">
        <v>184438.49548600998</v>
      </c>
      <c r="O4" s="27">
        <v>187957.89150819386</v>
      </c>
      <c r="P4" s="27">
        <v>184380.90586711399</v>
      </c>
      <c r="Q4" s="27">
        <v>182437.82590215938</v>
      </c>
      <c r="R4" s="27">
        <v>181876.56737415135</v>
      </c>
      <c r="S4" s="27">
        <v>182599</v>
      </c>
      <c r="T4" s="27">
        <v>187362.1484347661</v>
      </c>
      <c r="U4" s="27">
        <v>194144.13967561131</v>
      </c>
      <c r="V4" s="27">
        <v>195575.67690977451</v>
      </c>
      <c r="W4" s="27">
        <v>198459.55002393489</v>
      </c>
      <c r="X4" s="27">
        <v>193952.56507954426</v>
      </c>
      <c r="Y4" s="27">
        <v>199629.61260971462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5296.2203648215318</v>
      </c>
      <c r="E6" s="19">
        <v>5062.4897116736101</v>
      </c>
      <c r="F6" s="19">
        <v>4977.6707310953889</v>
      </c>
      <c r="G6" s="19">
        <v>4802.3162939297126</v>
      </c>
      <c r="H6" s="19">
        <v>4664.3126990789897</v>
      </c>
      <c r="I6" s="19">
        <v>4590.4447299198628</v>
      </c>
      <c r="J6" s="19">
        <v>4194.7020670424927</v>
      </c>
      <c r="K6" s="19">
        <v>5256.0137862656693</v>
      </c>
      <c r="L6" s="19">
        <v>4899.9199359487584</v>
      </c>
      <c r="M6" s="19">
        <v>4600.5413723001584</v>
      </c>
      <c r="N6" s="19">
        <v>5097.5604292210846</v>
      </c>
      <c r="O6" s="19">
        <v>5034.6157216720712</v>
      </c>
      <c r="P6" s="19">
        <v>4940.2246618393392</v>
      </c>
      <c r="Q6" s="19">
        <v>5014.3578366834954</v>
      </c>
      <c r="R6" s="19">
        <v>5058.4133586152066</v>
      </c>
      <c r="S6" s="19">
        <v>4764</v>
      </c>
      <c r="T6" s="19">
        <v>5025.1457252267119</v>
      </c>
      <c r="U6" s="19">
        <v>5199.1468677148951</v>
      </c>
      <c r="V6" s="19">
        <v>5413.3351468459459</v>
      </c>
      <c r="W6" s="19">
        <v>5394.9258018190521</v>
      </c>
      <c r="X6" s="19">
        <v>5491.424646966404</v>
      </c>
      <c r="Y6" s="19">
        <v>5613.7126051192499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46993.113599327116</v>
      </c>
      <c r="E7" s="23">
        <v>47222.468438580283</v>
      </c>
      <c r="F7" s="23">
        <v>46985.548697877472</v>
      </c>
      <c r="G7" s="23">
        <v>46373.302715654951</v>
      </c>
      <c r="H7" s="23">
        <v>47288.82194622088</v>
      </c>
      <c r="I7" s="23">
        <v>47614.85287820395</v>
      </c>
      <c r="J7" s="23">
        <v>51381.463296356902</v>
      </c>
      <c r="K7" s="23">
        <v>54690.635254125256</v>
      </c>
      <c r="L7" s="23">
        <v>52164.016927827994</v>
      </c>
      <c r="M7" s="23">
        <v>40326.620466568565</v>
      </c>
      <c r="N7" s="23">
        <v>43108.04453504784</v>
      </c>
      <c r="O7" s="23">
        <v>42048.242923494894</v>
      </c>
      <c r="P7" s="23">
        <v>37483.277769519889</v>
      </c>
      <c r="Q7" s="23">
        <v>37303.422037465149</v>
      </c>
      <c r="R7" s="23">
        <v>37015.515729810199</v>
      </c>
      <c r="S7" s="23">
        <v>37366</v>
      </c>
      <c r="T7" s="23">
        <v>37984.542627753282</v>
      </c>
      <c r="U7" s="23">
        <v>40875.948613660003</v>
      </c>
      <c r="V7" s="23">
        <v>39878.170813457546</v>
      </c>
      <c r="W7" s="23">
        <v>40117.759693633299</v>
      </c>
      <c r="X7" s="23">
        <v>38892.495272501488</v>
      </c>
      <c r="Y7" s="23">
        <v>41133.219980699418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9651.4745308310994</v>
      </c>
      <c r="E8" s="23">
        <v>9451.3314677168146</v>
      </c>
      <c r="F8" s="23">
        <v>9099.8043052837584</v>
      </c>
      <c r="G8" s="23">
        <v>9549.7204472843459</v>
      </c>
      <c r="H8" s="23">
        <v>10282.969949875305</v>
      </c>
      <c r="I8" s="23">
        <v>11324.402030953692</v>
      </c>
      <c r="J8" s="23">
        <v>12007.031581499667</v>
      </c>
      <c r="K8" s="23">
        <v>13030.853851419939</v>
      </c>
      <c r="L8" s="23">
        <v>13523.962026764268</v>
      </c>
      <c r="M8" s="23">
        <v>12055.080700414454</v>
      </c>
      <c r="N8" s="23">
        <v>12017.518313582294</v>
      </c>
      <c r="O8" s="23">
        <v>12242.572955919726</v>
      </c>
      <c r="P8" s="23">
        <v>12417.981440978489</v>
      </c>
      <c r="Q8" s="23">
        <v>12094.792822118327</v>
      </c>
      <c r="R8" s="23">
        <v>11701.021469203009</v>
      </c>
      <c r="S8" s="23">
        <v>11899</v>
      </c>
      <c r="T8" s="23">
        <v>13117.769979103552</v>
      </c>
      <c r="U8" s="23">
        <v>13902.088190069937</v>
      </c>
      <c r="V8" s="23">
        <v>14548.581088301873</v>
      </c>
      <c r="W8" s="23">
        <v>14716.132120631881</v>
      </c>
      <c r="X8" s="23">
        <v>14936.072930484603</v>
      </c>
      <c r="Y8" s="23">
        <v>14136.298883323376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26184.092940125112</v>
      </c>
      <c r="E9" s="23">
        <v>27601.83860306687</v>
      </c>
      <c r="F9" s="23">
        <v>28152.441166139797</v>
      </c>
      <c r="G9" s="23">
        <v>28218.600239616615</v>
      </c>
      <c r="H9" s="23">
        <v>29378.503172917848</v>
      </c>
      <c r="I9" s="23">
        <v>30086.254358597907</v>
      </c>
      <c r="J9" s="23">
        <v>29760.562526519974</v>
      </c>
      <c r="K9" s="23">
        <v>31331.885460683177</v>
      </c>
      <c r="L9" s="23">
        <v>32285.256776850048</v>
      </c>
      <c r="M9" s="23">
        <v>29226.241955230082</v>
      </c>
      <c r="N9" s="23">
        <v>29743.049799502674</v>
      </c>
      <c r="O9" s="23">
        <v>31160.722110244504</v>
      </c>
      <c r="P9" s="23">
        <v>31374.089567451636</v>
      </c>
      <c r="Q9" s="23">
        <v>30117.24702735764</v>
      </c>
      <c r="R9" s="23">
        <v>29162.843802882951</v>
      </c>
      <c r="S9" s="23">
        <v>28964</v>
      </c>
      <c r="T9" s="23">
        <v>29151.044322465183</v>
      </c>
      <c r="U9" s="23">
        <v>30290.164178364168</v>
      </c>
      <c r="V9" s="23">
        <v>30168.753825378168</v>
      </c>
      <c r="W9" s="23">
        <v>30583.054092867398</v>
      </c>
      <c r="X9" s="23">
        <v>27692.322166088077</v>
      </c>
      <c r="Y9" s="23">
        <v>28097.054363310508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7536.9289807075647</v>
      </c>
      <c r="E10" s="23">
        <v>8683.9806009648873</v>
      </c>
      <c r="F10" s="23">
        <v>9187.6160369311056</v>
      </c>
      <c r="G10" s="23">
        <v>8980.630990415335</v>
      </c>
      <c r="H10" s="23">
        <v>9643.4479863700326</v>
      </c>
      <c r="I10" s="23">
        <v>8796.7211109071995</v>
      </c>
      <c r="J10" s="23">
        <v>8654.9069527792926</v>
      </c>
      <c r="K10" s="23">
        <v>9363.5655437784753</v>
      </c>
      <c r="L10" s="23">
        <v>9400.6633878531393</v>
      </c>
      <c r="M10" s="23">
        <v>9083.1489447732856</v>
      </c>
      <c r="N10" s="23">
        <v>9250.8792759694425</v>
      </c>
      <c r="O10" s="23">
        <v>9442.643063710455</v>
      </c>
      <c r="P10" s="23">
        <v>9568.3010213832204</v>
      </c>
      <c r="Q10" s="23">
        <v>9684.5422597265278</v>
      </c>
      <c r="R10" s="23">
        <v>10054.641466348605</v>
      </c>
      <c r="S10" s="23">
        <v>10345</v>
      </c>
      <c r="T10" s="23">
        <v>10767.169581171202</v>
      </c>
      <c r="U10" s="23">
        <v>11310.946877635037</v>
      </c>
      <c r="V10" s="23">
        <v>11512.566670876608</v>
      </c>
      <c r="W10" s="23">
        <v>11962.661560555289</v>
      </c>
      <c r="X10" s="23">
        <v>12060.060399085545</v>
      </c>
      <c r="Y10" s="23">
        <v>12903.81875832912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5172.6856962624197</v>
      </c>
      <c r="E11" s="23">
        <v>5336.0009117039999</v>
      </c>
      <c r="F11" s="23">
        <v>4674.0930302574143</v>
      </c>
      <c r="G11" s="23">
        <v>4371.7551916932907</v>
      </c>
      <c r="H11" s="23">
        <v>4653.2013136126816</v>
      </c>
      <c r="I11" s="23">
        <v>5049.2445096959691</v>
      </c>
      <c r="J11" s="23">
        <v>5454.3250287931141</v>
      </c>
      <c r="K11" s="23">
        <v>6107.0324118882936</v>
      </c>
      <c r="L11" s="23">
        <v>5649.0907011323343</v>
      </c>
      <c r="M11" s="23">
        <v>5515.9322947671089</v>
      </c>
      <c r="N11" s="23">
        <v>5228.6117520553771</v>
      </c>
      <c r="O11" s="23">
        <v>5354.4825168696871</v>
      </c>
      <c r="P11" s="23">
        <v>5282.1013738772217</v>
      </c>
      <c r="Q11" s="23">
        <v>5033.0178410374965</v>
      </c>
      <c r="R11" s="23">
        <v>5863.763329051726</v>
      </c>
      <c r="S11" s="23">
        <v>5822</v>
      </c>
      <c r="T11" s="23">
        <v>6159.9528080226364</v>
      </c>
      <c r="U11" s="23">
        <v>6457.0209811021277</v>
      </c>
      <c r="V11" s="23">
        <v>6339.1981035839544</v>
      </c>
      <c r="W11" s="23">
        <v>5760.6510292005742</v>
      </c>
      <c r="X11" s="23">
        <v>5802.8280319494224</v>
      </c>
      <c r="Y11" s="23">
        <v>6478.5625660585447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14817.589234085055</v>
      </c>
      <c r="E12" s="23">
        <v>15181.137857242349</v>
      </c>
      <c r="F12" s="23">
        <v>16029.404385568771</v>
      </c>
      <c r="G12" s="23">
        <v>16848.043130990416</v>
      </c>
      <c r="H12" s="23">
        <v>17454.751969184425</v>
      </c>
      <c r="I12" s="23">
        <v>17960.482045635286</v>
      </c>
      <c r="J12" s="23">
        <v>18534.278959810876</v>
      </c>
      <c r="K12" s="23">
        <v>18999.787540426336</v>
      </c>
      <c r="L12" s="23">
        <v>19972.549468145942</v>
      </c>
      <c r="M12" s="23">
        <v>20109.397639077644</v>
      </c>
      <c r="N12" s="23">
        <v>20674.746298080154</v>
      </c>
      <c r="O12" s="23">
        <v>21566.909122776269</v>
      </c>
      <c r="P12" s="23">
        <v>21611.492153823285</v>
      </c>
      <c r="Q12" s="23">
        <v>21905.808444688639</v>
      </c>
      <c r="R12" s="23">
        <v>22375.476583685038</v>
      </c>
      <c r="S12" s="23">
        <v>23174</v>
      </c>
      <c r="T12" s="23">
        <v>24022.916104262276</v>
      </c>
      <c r="U12" s="23">
        <v>24550.369525321163</v>
      </c>
      <c r="V12" s="23">
        <v>25078.936374853056</v>
      </c>
      <c r="W12" s="23">
        <v>25539.492580181904</v>
      </c>
      <c r="X12" s="23">
        <v>25870.941642441176</v>
      </c>
      <c r="Y12" s="23">
        <v>26110.932402003582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8693.4237501971293</v>
      </c>
      <c r="E13" s="23">
        <v>9329.7709343699753</v>
      </c>
      <c r="F13" s="23">
        <v>9620.4024286216081</v>
      </c>
      <c r="G13" s="23">
        <v>10038.937699680511</v>
      </c>
      <c r="H13" s="23">
        <v>10817.551050643226</v>
      </c>
      <c r="I13" s="23">
        <v>11566.648314675476</v>
      </c>
      <c r="J13" s="23">
        <v>12459.235012426501</v>
      </c>
      <c r="K13" s="23">
        <v>13662.330917589294</v>
      </c>
      <c r="L13" s="23">
        <v>14808.418163101909</v>
      </c>
      <c r="M13" s="23">
        <v>14100.389743128952</v>
      </c>
      <c r="N13" s="23">
        <v>14529.895382961087</v>
      </c>
      <c r="O13" s="23">
        <v>15274.734904916309</v>
      </c>
      <c r="P13" s="23">
        <v>15449.217505786421</v>
      </c>
      <c r="Q13" s="23">
        <v>15310.533572457834</v>
      </c>
      <c r="R13" s="23">
        <v>15135.482292494955</v>
      </c>
      <c r="S13" s="23">
        <v>15092</v>
      </c>
      <c r="T13" s="23">
        <v>15650.339442294811</v>
      </c>
      <c r="U13" s="23">
        <v>16668.816030950846</v>
      </c>
      <c r="V13" s="23">
        <v>17539.905373502639</v>
      </c>
      <c r="W13" s="23">
        <v>18291.048348492102</v>
      </c>
      <c r="X13" s="23">
        <v>17543.017884526733</v>
      </c>
      <c r="Y13" s="23">
        <v>18032.259546895821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28694.212269358144</v>
      </c>
      <c r="E14" s="23">
        <v>29341.673736593519</v>
      </c>
      <c r="F14" s="23">
        <v>30499.523307742489</v>
      </c>
      <c r="G14" s="23">
        <v>31789.137380191693</v>
      </c>
      <c r="H14" s="23">
        <v>32972.419072075849</v>
      </c>
      <c r="I14" s="23">
        <v>34381.843763381657</v>
      </c>
      <c r="J14" s="23">
        <v>35327.635327635326</v>
      </c>
      <c r="K14" s="23">
        <v>36152.357120936715</v>
      </c>
      <c r="L14" s="23">
        <v>37437.950360288225</v>
      </c>
      <c r="M14" s="23">
        <v>38107.218671728457</v>
      </c>
      <c r="N14" s="23">
        <v>39081.296624028313</v>
      </c>
      <c r="O14" s="23">
        <v>39932.959425116118</v>
      </c>
      <c r="P14" s="23">
        <v>40404.094026713094</v>
      </c>
      <c r="Q14" s="23">
        <v>40136.632698547633</v>
      </c>
      <c r="R14" s="23">
        <v>39728.219870736233</v>
      </c>
      <c r="S14" s="23">
        <v>39411</v>
      </c>
      <c r="T14" s="23">
        <v>39547.276962916309</v>
      </c>
      <c r="U14" s="23">
        <v>38876.047815088532</v>
      </c>
      <c r="V14" s="23">
        <v>39220.448650066552</v>
      </c>
      <c r="W14" s="23">
        <v>39884.15509813308</v>
      </c>
      <c r="X14" s="23">
        <v>39882.212375226962</v>
      </c>
      <c r="Y14" s="23">
        <v>41232.480124994254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3850.6019029595755</v>
      </c>
      <c r="E15" s="23">
        <v>3986.1724893317969</v>
      </c>
      <c r="F15" s="23">
        <v>4125.8969341161128</v>
      </c>
      <c r="G15" s="23">
        <v>4291.8829872204469</v>
      </c>
      <c r="H15" s="23">
        <v>4493.9381219289362</v>
      </c>
      <c r="I15" s="23">
        <v>4711.567871780755</v>
      </c>
      <c r="J15" s="23">
        <v>4996.0598896769106</v>
      </c>
      <c r="K15" s="23">
        <v>5147.4233375038366</v>
      </c>
      <c r="L15" s="23">
        <v>5374.5853825917875</v>
      </c>
      <c r="M15" s="23">
        <v>5535.0263385486278</v>
      </c>
      <c r="N15" s="23">
        <v>5706.8930755617284</v>
      </c>
      <c r="O15" s="23">
        <v>5900.0087634738411</v>
      </c>
      <c r="P15" s="23">
        <v>5850.1263457414052</v>
      </c>
      <c r="Q15" s="23">
        <v>5837.4713620766515</v>
      </c>
      <c r="R15" s="23">
        <v>5781.1894713234251</v>
      </c>
      <c r="S15" s="23">
        <v>5762</v>
      </c>
      <c r="T15" s="23">
        <v>5935.9908815501367</v>
      </c>
      <c r="U15" s="23">
        <v>6013.5905957045779</v>
      </c>
      <c r="V15" s="23">
        <v>5875.7808629081619</v>
      </c>
      <c r="W15" s="23">
        <v>6209.6696984202963</v>
      </c>
      <c r="X15" s="23">
        <v>5781.1897302738653</v>
      </c>
      <c r="Y15" s="23">
        <v>5891.2733789807453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156890.34326867474</v>
      </c>
      <c r="E16" s="30">
        <f t="shared" ref="E16:S16" si="0">SUM(E6:E15)</f>
        <v>161196.86475124411</v>
      </c>
      <c r="F16" s="30">
        <f t="shared" si="0"/>
        <v>163352.40102363392</v>
      </c>
      <c r="G16" s="30">
        <f t="shared" si="0"/>
        <v>165264.32707667732</v>
      </c>
      <c r="H16" s="30">
        <f t="shared" si="0"/>
        <v>171649.91728190816</v>
      </c>
      <c r="I16" s="30">
        <f t="shared" si="0"/>
        <v>176082.46161375174</v>
      </c>
      <c r="J16" s="30">
        <f t="shared" si="0"/>
        <v>182770.20064254108</v>
      </c>
      <c r="K16" s="30">
        <f t="shared" si="0"/>
        <v>193741.88522461697</v>
      </c>
      <c r="L16" s="30">
        <f t="shared" si="0"/>
        <v>195516.41313050443</v>
      </c>
      <c r="M16" s="30">
        <f t="shared" si="0"/>
        <v>178659.59812653734</v>
      </c>
      <c r="N16" s="30">
        <f t="shared" si="0"/>
        <v>184438.49548600998</v>
      </c>
      <c r="O16" s="30">
        <f t="shared" si="0"/>
        <v>187957.89150819386</v>
      </c>
      <c r="P16" s="30">
        <f t="shared" si="0"/>
        <v>184380.90586711399</v>
      </c>
      <c r="Q16" s="30">
        <f t="shared" si="0"/>
        <v>182437.82590215938</v>
      </c>
      <c r="R16" s="30">
        <f t="shared" si="0"/>
        <v>181876.56737415135</v>
      </c>
      <c r="S16" s="30">
        <f t="shared" si="0"/>
        <v>182599</v>
      </c>
      <c r="T16" s="30">
        <f t="shared" ref="T16:Y16" si="1">SUM(T6:T15)</f>
        <v>187362.14843476607</v>
      </c>
      <c r="U16" s="30">
        <f t="shared" si="1"/>
        <v>194144.13967561131</v>
      </c>
      <c r="V16" s="30">
        <f t="shared" si="1"/>
        <v>195575.67690977448</v>
      </c>
      <c r="W16" s="30">
        <f t="shared" si="1"/>
        <v>198459.55002393486</v>
      </c>
      <c r="X16" s="30">
        <f t="shared" si="1"/>
        <v>193952.56507954426</v>
      </c>
      <c r="Y16" s="30">
        <f t="shared" si="1"/>
        <v>199629.61260971462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5296.2203648215318</v>
      </c>
      <c r="E18" s="19">
        <v>5062.4897116736101</v>
      </c>
      <c r="F18" s="19">
        <v>4977.6707310953889</v>
      </c>
      <c r="G18" s="19">
        <v>4802.3162939297126</v>
      </c>
      <c r="H18" s="19">
        <v>4664.3126990789897</v>
      </c>
      <c r="I18" s="19">
        <v>4590.4447299198628</v>
      </c>
      <c r="J18" s="19">
        <v>4194.7020670424927</v>
      </c>
      <c r="K18" s="19">
        <v>5256.0137862656693</v>
      </c>
      <c r="L18" s="19">
        <v>4899.9199359487584</v>
      </c>
      <c r="M18" s="19">
        <v>4600.5413723001584</v>
      </c>
      <c r="N18" s="19">
        <v>5097.5604292210846</v>
      </c>
      <c r="O18" s="19">
        <v>5034.6157216720712</v>
      </c>
      <c r="P18" s="19">
        <v>4940.2246618393392</v>
      </c>
      <c r="Q18" s="19">
        <v>5014.3578366834954</v>
      </c>
      <c r="R18" s="19">
        <v>5058.4133586152066</v>
      </c>
      <c r="S18" s="19">
        <v>4764</v>
      </c>
      <c r="T18" s="19">
        <v>5025.1457252267119</v>
      </c>
      <c r="U18" s="19">
        <v>5199.1468677148951</v>
      </c>
      <c r="V18" s="19">
        <v>5413.3351468459459</v>
      </c>
      <c r="W18" s="19">
        <v>5394.9258018190521</v>
      </c>
      <c r="X18" s="19">
        <v>5491.424646966404</v>
      </c>
      <c r="Y18" s="19">
        <v>5613.7126051192499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371.91820427903065</v>
      </c>
      <c r="E19" s="23">
        <v>417.86433337976268</v>
      </c>
      <c r="F19" s="23">
        <v>439.05865823674048</v>
      </c>
      <c r="G19" s="23">
        <v>468.0011980830671</v>
      </c>
      <c r="H19" s="23">
        <v>479.02417343638109</v>
      </c>
      <c r="I19" s="23">
        <v>471.03444057013519</v>
      </c>
      <c r="J19" s="23">
        <v>634.05467660786815</v>
      </c>
      <c r="K19" s="23">
        <v>665.70666414862728</v>
      </c>
      <c r="L19" s="23">
        <v>765.18357543177387</v>
      </c>
      <c r="M19" s="23">
        <v>699.74054564038056</v>
      </c>
      <c r="N19" s="23">
        <v>920.71955016913455</v>
      </c>
      <c r="O19" s="23">
        <v>899.35150293576373</v>
      </c>
      <c r="P19" s="23">
        <v>865.30906928842921</v>
      </c>
      <c r="Q19" s="23">
        <v>615.78014368203355</v>
      </c>
      <c r="R19" s="23">
        <v>554.57010622464168</v>
      </c>
      <c r="S19" s="23">
        <v>641</v>
      </c>
      <c r="T19" s="23">
        <v>673.88543947528922</v>
      </c>
      <c r="U19" s="23">
        <v>932.49342790536173</v>
      </c>
      <c r="V19" s="23">
        <v>962.78089205390017</v>
      </c>
      <c r="W19" s="23">
        <v>823.36045955002396</v>
      </c>
      <c r="X19" s="23">
        <v>926.68378914886205</v>
      </c>
      <c r="Y19" s="23">
        <v>977.89623638619548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43304.158124375746</v>
      </c>
      <c r="E20" s="23">
        <v>43223.633393691518</v>
      </c>
      <c r="F20" s="23">
        <v>42594.962115510069</v>
      </c>
      <c r="G20" s="23">
        <v>41564.746405750797</v>
      </c>
      <c r="H20" s="23">
        <v>42224.49937035481</v>
      </c>
      <c r="I20" s="23">
        <v>42746.681348259619</v>
      </c>
      <c r="J20" s="23">
        <v>45717.403164211661</v>
      </c>
      <c r="K20" s="23">
        <v>48864.521611859956</v>
      </c>
      <c r="L20" s="23">
        <v>46192.382477410516</v>
      </c>
      <c r="M20" s="23">
        <v>34026.709197713193</v>
      </c>
      <c r="N20" s="23">
        <v>35760.209682116547</v>
      </c>
      <c r="O20" s="23">
        <v>35268.600473227605</v>
      </c>
      <c r="P20" s="23">
        <v>30865.521415072308</v>
      </c>
      <c r="Q20" s="23">
        <v>30722.660501954128</v>
      </c>
      <c r="R20" s="23">
        <v>30488.103247905085</v>
      </c>
      <c r="S20" s="23">
        <v>31041</v>
      </c>
      <c r="T20" s="23">
        <v>31677.614805483066</v>
      </c>
      <c r="U20" s="23">
        <v>34125.291404196185</v>
      </c>
      <c r="V20" s="23">
        <v>33101.78663376435</v>
      </c>
      <c r="W20" s="23">
        <v>33096.218286261355</v>
      </c>
      <c r="X20" s="23">
        <v>31941.89645602251</v>
      </c>
      <c r="Y20" s="23">
        <v>33765.911493038009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2288.0197655469697</v>
      </c>
      <c r="E21" s="23">
        <v>2548.9724336165527</v>
      </c>
      <c r="F21" s="23">
        <v>2946.7108234231523</v>
      </c>
      <c r="G21" s="23">
        <v>3276.0083865814695</v>
      </c>
      <c r="H21" s="23">
        <v>3487.7404380355069</v>
      </c>
      <c r="I21" s="23">
        <v>3245.8555086560227</v>
      </c>
      <c r="J21" s="23">
        <v>3758.2590774080136</v>
      </c>
      <c r="K21" s="23">
        <v>3860.862585869078</v>
      </c>
      <c r="L21" s="23">
        <v>3816.7676998741849</v>
      </c>
      <c r="M21" s="23">
        <v>4147.9002167735562</v>
      </c>
      <c r="N21" s="23">
        <v>4713.3672349290973</v>
      </c>
      <c r="O21" s="23">
        <v>4175.7952852510734</v>
      </c>
      <c r="P21" s="23">
        <v>4064.2983033571863</v>
      </c>
      <c r="Q21" s="23">
        <v>4256.5543265293427</v>
      </c>
      <c r="R21" s="23">
        <v>4213.3056048280223</v>
      </c>
      <c r="S21" s="23">
        <v>3919</v>
      </c>
      <c r="T21" s="23">
        <v>3820.3505404081307</v>
      </c>
      <c r="U21" s="23">
        <v>4035.514111403204</v>
      </c>
      <c r="V21" s="23">
        <v>4022.1119002049918</v>
      </c>
      <c r="W21" s="23">
        <v>4425.0837721397793</v>
      </c>
      <c r="X21" s="23">
        <v>4241.1071284092086</v>
      </c>
      <c r="Y21" s="23">
        <v>4416.1573457102149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1029.0175051253746</v>
      </c>
      <c r="E22" s="23">
        <v>1031.9982778924443</v>
      </c>
      <c r="F22" s="23">
        <v>1004.8171007075117</v>
      </c>
      <c r="G22" s="23">
        <v>1064.5467252396165</v>
      </c>
      <c r="H22" s="23">
        <v>1097.5579643941826</v>
      </c>
      <c r="I22" s="23">
        <v>1151.2815807181746</v>
      </c>
      <c r="J22" s="23">
        <v>1271.7463781293568</v>
      </c>
      <c r="K22" s="23">
        <v>1299.5443922475863</v>
      </c>
      <c r="L22" s="23">
        <v>1389.6831751115176</v>
      </c>
      <c r="M22" s="23">
        <v>1452.2705064414317</v>
      </c>
      <c r="N22" s="23">
        <v>1713.7480678330608</v>
      </c>
      <c r="O22" s="23">
        <v>1704.4956620804487</v>
      </c>
      <c r="P22" s="23">
        <v>1688.1489818019661</v>
      </c>
      <c r="Q22" s="23">
        <v>1708.4270652996486</v>
      </c>
      <c r="R22" s="23">
        <v>1759.5367708524477</v>
      </c>
      <c r="S22" s="23">
        <v>1765</v>
      </c>
      <c r="T22" s="23">
        <v>1812.6918423867944</v>
      </c>
      <c r="U22" s="23">
        <v>1782.6496701552501</v>
      </c>
      <c r="V22" s="23">
        <v>1791.4913874343008</v>
      </c>
      <c r="W22" s="23">
        <v>1773.0971756821446</v>
      </c>
      <c r="X22" s="23">
        <v>1782.8078989209073</v>
      </c>
      <c r="Y22" s="23">
        <v>1973.2549055650015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9651.4745308310994</v>
      </c>
      <c r="E23" s="23">
        <v>9451.3314677168146</v>
      </c>
      <c r="F23" s="23">
        <v>9099.8043052837584</v>
      </c>
      <c r="G23" s="23">
        <v>9549.7204472843459</v>
      </c>
      <c r="H23" s="23">
        <v>10282.969949875305</v>
      </c>
      <c r="I23" s="23">
        <v>11324.402030953692</v>
      </c>
      <c r="J23" s="23">
        <v>12007.031581499667</v>
      </c>
      <c r="K23" s="23">
        <v>13030.853851419939</v>
      </c>
      <c r="L23" s="23">
        <v>13523.962026764268</v>
      </c>
      <c r="M23" s="23">
        <v>12055.080700414454</v>
      </c>
      <c r="N23" s="23">
        <v>12017.518313582294</v>
      </c>
      <c r="O23" s="23">
        <v>12242.572955919726</v>
      </c>
      <c r="P23" s="23">
        <v>12417.981440978489</v>
      </c>
      <c r="Q23" s="23">
        <v>12094.792822118327</v>
      </c>
      <c r="R23" s="23">
        <v>11701.021469203009</v>
      </c>
      <c r="S23" s="23">
        <v>11899</v>
      </c>
      <c r="T23" s="23">
        <v>13117.769979103552</v>
      </c>
      <c r="U23" s="23">
        <v>13902.088190069937</v>
      </c>
      <c r="V23" s="23">
        <v>14548.581088301873</v>
      </c>
      <c r="W23" s="23">
        <v>14716.132120631881</v>
      </c>
      <c r="X23" s="23">
        <v>14936.072930484603</v>
      </c>
      <c r="Y23" s="23">
        <v>14136.298883323376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14500.867371077118</v>
      </c>
      <c r="E24" s="23">
        <v>15217.859268357539</v>
      </c>
      <c r="F24" s="23">
        <v>15759.696924080485</v>
      </c>
      <c r="G24" s="23">
        <v>15893.320686900959</v>
      </c>
      <c r="H24" s="23">
        <v>16812.760808908861</v>
      </c>
      <c r="I24" s="23">
        <v>17283.905303725453</v>
      </c>
      <c r="J24" s="23">
        <v>17094.017094017094</v>
      </c>
      <c r="K24" s="23">
        <v>18081.490049809967</v>
      </c>
      <c r="L24" s="23">
        <v>19096.419993137366</v>
      </c>
      <c r="M24" s="23">
        <v>17174.530791953541</v>
      </c>
      <c r="N24" s="23">
        <v>17351.41916261565</v>
      </c>
      <c r="O24" s="23">
        <v>18506.265883796339</v>
      </c>
      <c r="P24" s="23">
        <v>18701.293185823793</v>
      </c>
      <c r="Q24" s="23">
        <v>18024.527539056424</v>
      </c>
      <c r="R24" s="23">
        <v>17248.761392134074</v>
      </c>
      <c r="S24" s="23">
        <v>17010</v>
      </c>
      <c r="T24" s="23">
        <v>17031.104712198929</v>
      </c>
      <c r="U24" s="23">
        <v>17676.702544516644</v>
      </c>
      <c r="V24" s="23">
        <v>17529.218602753303</v>
      </c>
      <c r="W24" s="23">
        <v>17539.492580181904</v>
      </c>
      <c r="X24" s="23">
        <v>17697.308383430707</v>
      </c>
      <c r="Y24" s="23">
        <v>17906.346215706995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9667.2449140514109</v>
      </c>
      <c r="E25" s="23">
        <v>10065.465412229496</v>
      </c>
      <c r="F25" s="23">
        <v>10031.863114054895</v>
      </c>
      <c r="G25" s="23">
        <v>9920.3773961661336</v>
      </c>
      <c r="H25" s="23">
        <v>9908.8866391762749</v>
      </c>
      <c r="I25" s="23">
        <v>10023.857588548357</v>
      </c>
      <c r="J25" s="23">
        <v>9767.8365763472138</v>
      </c>
      <c r="K25" s="23">
        <v>10208.682514577089</v>
      </c>
      <c r="L25" s="23">
        <v>10105.227038773875</v>
      </c>
      <c r="M25" s="23">
        <v>9138.184718025901</v>
      </c>
      <c r="N25" s="23">
        <v>9366.2492439346752</v>
      </c>
      <c r="O25" s="23">
        <v>9528.0869336605028</v>
      </c>
      <c r="P25" s="23">
        <v>9469.5602318815945</v>
      </c>
      <c r="Q25" s="23">
        <v>9146.512134186165</v>
      </c>
      <c r="R25" s="23">
        <v>8949.5789752686196</v>
      </c>
      <c r="S25" s="23">
        <v>8903</v>
      </c>
      <c r="T25" s="23">
        <v>8869.4921863283253</v>
      </c>
      <c r="U25" s="23">
        <v>9134.4675363325223</v>
      </c>
      <c r="V25" s="23">
        <v>9088.6127600042746</v>
      </c>
      <c r="W25" s="23">
        <v>9329.8228817616073</v>
      </c>
      <c r="X25" s="23">
        <v>7410.6479260158239</v>
      </c>
      <c r="Y25" s="23">
        <v>7633.8403566012585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2015.9806549965831</v>
      </c>
      <c r="E26" s="23">
        <v>2318.5139224798349</v>
      </c>
      <c r="F26" s="23">
        <v>2360.881128004416</v>
      </c>
      <c r="G26" s="23">
        <v>2404.9021565495209</v>
      </c>
      <c r="H26" s="23">
        <v>2656.855724832712</v>
      </c>
      <c r="I26" s="23">
        <v>2778.4914663240961</v>
      </c>
      <c r="J26" s="23">
        <v>2898.7088561556648</v>
      </c>
      <c r="K26" s="23">
        <v>3041.7128962961215</v>
      </c>
      <c r="L26" s="23">
        <v>3083.609744938808</v>
      </c>
      <c r="M26" s="23">
        <v>2913.5264452506372</v>
      </c>
      <c r="N26" s="23">
        <v>3025.3813929523508</v>
      </c>
      <c r="O26" s="23">
        <v>3126.3692927876609</v>
      </c>
      <c r="P26" s="23">
        <v>3203.2361497462466</v>
      </c>
      <c r="Q26" s="23">
        <v>2946.2073541150494</v>
      </c>
      <c r="R26" s="23">
        <v>2964.5034354802538</v>
      </c>
      <c r="S26" s="23">
        <v>3051</v>
      </c>
      <c r="T26" s="23">
        <v>3250.4474239379306</v>
      </c>
      <c r="U26" s="23">
        <v>3478.9940975150039</v>
      </c>
      <c r="V26" s="23">
        <v>3550.9224626205905</v>
      </c>
      <c r="W26" s="23">
        <v>3713.7386309238868</v>
      </c>
      <c r="X26" s="23">
        <v>2584.3658566415475</v>
      </c>
      <c r="Y26" s="23">
        <v>2556.8677910022516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7536.9289807075647</v>
      </c>
      <c r="E27" s="23">
        <v>8683.9806009648873</v>
      </c>
      <c r="F27" s="23">
        <v>9187.6160369311056</v>
      </c>
      <c r="G27" s="23">
        <v>8980.630990415335</v>
      </c>
      <c r="H27" s="23">
        <v>9643.4479863700326</v>
      </c>
      <c r="I27" s="23">
        <v>8796.7211109071995</v>
      </c>
      <c r="J27" s="23">
        <v>8654.9069527792926</v>
      </c>
      <c r="K27" s="23">
        <v>9363.5655437784753</v>
      </c>
      <c r="L27" s="23">
        <v>9400.6633878531393</v>
      </c>
      <c r="M27" s="23">
        <v>9083.1489447732856</v>
      </c>
      <c r="N27" s="23">
        <v>9250.8792759694425</v>
      </c>
      <c r="O27" s="23">
        <v>9442.643063710455</v>
      </c>
      <c r="P27" s="23">
        <v>9568.3010213832204</v>
      </c>
      <c r="Q27" s="23">
        <v>9684.5422597265278</v>
      </c>
      <c r="R27" s="23">
        <v>10054.641466348605</v>
      </c>
      <c r="S27" s="23">
        <v>10345</v>
      </c>
      <c r="T27" s="23">
        <v>10767.169581171202</v>
      </c>
      <c r="U27" s="23">
        <v>11310.946877635037</v>
      </c>
      <c r="V27" s="23">
        <v>11512.566670876608</v>
      </c>
      <c r="W27" s="23">
        <v>11962.661560555289</v>
      </c>
      <c r="X27" s="23">
        <v>12060.060399085545</v>
      </c>
      <c r="Y27" s="23">
        <v>12903.81875832912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5172.6856962624197</v>
      </c>
      <c r="E28" s="23">
        <v>5336.0009117039999</v>
      </c>
      <c r="F28" s="23">
        <v>4674.0930302574143</v>
      </c>
      <c r="G28" s="23">
        <v>4371.7551916932907</v>
      </c>
      <c r="H28" s="23">
        <v>4653.2013136126816</v>
      </c>
      <c r="I28" s="23">
        <v>5049.2445096959691</v>
      </c>
      <c r="J28" s="23">
        <v>5454.3250287931141</v>
      </c>
      <c r="K28" s="23">
        <v>6107.0324118882936</v>
      </c>
      <c r="L28" s="23">
        <v>5649.0907011323343</v>
      </c>
      <c r="M28" s="23">
        <v>5515.9322947671089</v>
      </c>
      <c r="N28" s="23">
        <v>5228.6117520553771</v>
      </c>
      <c r="O28" s="23">
        <v>5354.4825168696871</v>
      </c>
      <c r="P28" s="23">
        <v>5282.1013738772217</v>
      </c>
      <c r="Q28" s="23">
        <v>5033.0178410374965</v>
      </c>
      <c r="R28" s="23">
        <v>5863.763329051726</v>
      </c>
      <c r="S28" s="23">
        <v>5822</v>
      </c>
      <c r="T28" s="23">
        <v>6159.9528080226364</v>
      </c>
      <c r="U28" s="23">
        <v>6457.0209811021277</v>
      </c>
      <c r="V28" s="23">
        <v>6339.1981035839544</v>
      </c>
      <c r="W28" s="23">
        <v>5760.6510292005742</v>
      </c>
      <c r="X28" s="23">
        <v>5802.8280319494224</v>
      </c>
      <c r="Y28" s="23">
        <v>6478.5625660585447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14817.589234085055</v>
      </c>
      <c r="E29" s="23">
        <v>15181.137857242349</v>
      </c>
      <c r="F29" s="23">
        <v>16029.404385568771</v>
      </c>
      <c r="G29" s="23">
        <v>16848.043130990416</v>
      </c>
      <c r="H29" s="23">
        <v>17454.751969184425</v>
      </c>
      <c r="I29" s="23">
        <v>17960.482045635286</v>
      </c>
      <c r="J29" s="23">
        <v>18534.278959810876</v>
      </c>
      <c r="K29" s="23">
        <v>18999.787540426336</v>
      </c>
      <c r="L29" s="23">
        <v>19972.549468145942</v>
      </c>
      <c r="M29" s="23">
        <v>20109.397639077644</v>
      </c>
      <c r="N29" s="23">
        <v>20674.746298080154</v>
      </c>
      <c r="O29" s="23">
        <v>21566.909122776269</v>
      </c>
      <c r="P29" s="23">
        <v>21611.492153823285</v>
      </c>
      <c r="Q29" s="23">
        <v>21905.808444688639</v>
      </c>
      <c r="R29" s="23">
        <v>22375.476583685038</v>
      </c>
      <c r="S29" s="23">
        <v>23174</v>
      </c>
      <c r="T29" s="23">
        <v>24022.916104262276</v>
      </c>
      <c r="U29" s="23">
        <v>24550.369525321163</v>
      </c>
      <c r="V29" s="23">
        <v>25078.936374853056</v>
      </c>
      <c r="W29" s="23">
        <v>25539.492580181904</v>
      </c>
      <c r="X29" s="23">
        <v>25870.941642441176</v>
      </c>
      <c r="Y29" s="23">
        <v>26110.932402003582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5856.068969142616</v>
      </c>
      <c r="E30" s="23">
        <v>6267.9650006964412</v>
      </c>
      <c r="F30" s="23">
        <v>6301.1189723518501</v>
      </c>
      <c r="G30" s="23">
        <v>6549.5207667731629</v>
      </c>
      <c r="H30" s="23">
        <v>6963.1348922195612</v>
      </c>
      <c r="I30" s="23">
        <v>7275.952774209336</v>
      </c>
      <c r="J30" s="23">
        <v>7722.6162332545309</v>
      </c>
      <c r="K30" s="23">
        <v>8429.923750619675</v>
      </c>
      <c r="L30" s="23">
        <v>8754.4321171222691</v>
      </c>
      <c r="M30" s="23">
        <v>8448.5527837992649</v>
      </c>
      <c r="N30" s="23">
        <v>8615.7844037724863</v>
      </c>
      <c r="O30" s="23">
        <v>9133.7306108141274</v>
      </c>
      <c r="P30" s="23">
        <v>9304.9922493788872</v>
      </c>
      <c r="Q30" s="23">
        <v>9288.5355006582831</v>
      </c>
      <c r="R30" s="23">
        <v>9089.2409321671057</v>
      </c>
      <c r="S30" s="23">
        <v>9198</v>
      </c>
      <c r="T30" s="23">
        <v>9324.41484947559</v>
      </c>
      <c r="U30" s="23">
        <v>9783.2448787262547</v>
      </c>
      <c r="V30" s="23">
        <v>10224.325033274719</v>
      </c>
      <c r="W30" s="23">
        <v>10535.184298707518</v>
      </c>
      <c r="X30" s="23">
        <v>10501.161882720406</v>
      </c>
      <c r="Y30" s="23">
        <v>10941.592757685767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2837.3547810545128</v>
      </c>
      <c r="E31" s="23">
        <v>3061.8059336735341</v>
      </c>
      <c r="F31" s="23">
        <v>3319.2834562697581</v>
      </c>
      <c r="G31" s="23">
        <v>3489.4169329073484</v>
      </c>
      <c r="H31" s="23">
        <v>3854.4161584236645</v>
      </c>
      <c r="I31" s="23">
        <v>4290.6955404661403</v>
      </c>
      <c r="J31" s="23">
        <v>4736.6187791719703</v>
      </c>
      <c r="K31" s="23">
        <v>5232.4071669696186</v>
      </c>
      <c r="L31" s="23">
        <v>6053.98604597964</v>
      </c>
      <c r="M31" s="23">
        <v>5651.8369593296866</v>
      </c>
      <c r="N31" s="23">
        <v>5914.110979188602</v>
      </c>
      <c r="O31" s="23">
        <v>6141.004294102182</v>
      </c>
      <c r="P31" s="23">
        <v>6144.2252564075334</v>
      </c>
      <c r="Q31" s="23">
        <v>6021.9980717995504</v>
      </c>
      <c r="R31" s="23">
        <v>6046.2413603278492</v>
      </c>
      <c r="S31" s="23">
        <v>5894</v>
      </c>
      <c r="T31" s="23">
        <v>6325.9245928192213</v>
      </c>
      <c r="U31" s="23">
        <v>6885.571152224592</v>
      </c>
      <c r="V31" s="23">
        <v>7315.5803402279198</v>
      </c>
      <c r="W31" s="23">
        <v>7755.8640497845854</v>
      </c>
      <c r="X31" s="23">
        <v>7041.8560018063272</v>
      </c>
      <c r="Y31" s="23">
        <v>7090.666789210054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9258.5291489249848</v>
      </c>
      <c r="E32" s="23">
        <v>9331.0371899256697</v>
      </c>
      <c r="F32" s="23">
        <v>9547.6441366852359</v>
      </c>
      <c r="G32" s="23">
        <v>9917.8813897763557</v>
      </c>
      <c r="H32" s="23">
        <v>10224.943825773473</v>
      </c>
      <c r="I32" s="23">
        <v>10571.970392120877</v>
      </c>
      <c r="J32" s="23">
        <v>10861.368733709158</v>
      </c>
      <c r="K32" s="23">
        <v>11032.553528009254</v>
      </c>
      <c r="L32" s="23">
        <v>11310.762896031109</v>
      </c>
      <c r="M32" s="23">
        <v>11320.521604348942</v>
      </c>
      <c r="N32" s="23">
        <v>11448.509151190661</v>
      </c>
      <c r="O32" s="23">
        <v>11564.499167469989</v>
      </c>
      <c r="P32" s="23">
        <v>11509.141485995791</v>
      </c>
      <c r="Q32" s="23">
        <v>11460.352674082293</v>
      </c>
      <c r="R32" s="23">
        <v>11281.016168165228</v>
      </c>
      <c r="S32" s="23">
        <v>11183</v>
      </c>
      <c r="T32" s="23">
        <v>10991.131507643702</v>
      </c>
      <c r="U32" s="23">
        <v>10909.181092207724</v>
      </c>
      <c r="V32" s="23">
        <v>11034.576560997171</v>
      </c>
      <c r="W32" s="23">
        <v>11016.754427955966</v>
      </c>
      <c r="X32" s="23">
        <v>11006.369187058412</v>
      </c>
      <c r="Y32" s="23">
        <v>11243.96856762097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7882.5632129527412</v>
      </c>
      <c r="E33" s="23">
        <v>8030.5927342256218</v>
      </c>
      <c r="F33" s="23">
        <v>8402.3282653419647</v>
      </c>
      <c r="G33" s="23">
        <v>8736.0223642172532</v>
      </c>
      <c r="H33" s="23">
        <v>9052.075359885428</v>
      </c>
      <c r="I33" s="23">
        <v>9377.8674986236001</v>
      </c>
      <c r="J33" s="23">
        <v>9518.0941989452622</v>
      </c>
      <c r="K33" s="23">
        <v>9686.9762281343701</v>
      </c>
      <c r="L33" s="23">
        <v>9958.824202218917</v>
      </c>
      <c r="M33" s="23">
        <v>10161.400828906137</v>
      </c>
      <c r="N33" s="23">
        <v>10536.750375232419</v>
      </c>
      <c r="O33" s="23">
        <v>10675.006572605382</v>
      </c>
      <c r="P33" s="23">
        <v>10725.585543499034</v>
      </c>
      <c r="Q33" s="23">
        <v>10575.039134175799</v>
      </c>
      <c r="R33" s="23">
        <v>10448.141578485942</v>
      </c>
      <c r="S33" s="23">
        <v>10249</v>
      </c>
      <c r="T33" s="23">
        <v>10174.270374036414</v>
      </c>
      <c r="U33" s="23">
        <v>9911.2147214919896</v>
      </c>
      <c r="V33" s="23">
        <v>9890.120566204545</v>
      </c>
      <c r="W33" s="23">
        <v>10105.313547151747</v>
      </c>
      <c r="X33" s="23">
        <v>10106.02767821023</v>
      </c>
      <c r="Y33" s="23">
        <v>10359.818023068792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11553.119907480419</v>
      </c>
      <c r="E34" s="23">
        <v>11980.043812442227</v>
      </c>
      <c r="F34" s="23">
        <v>12549.55090571529</v>
      </c>
      <c r="G34" s="23">
        <v>13135.233626198084</v>
      </c>
      <c r="H34" s="23">
        <v>13695.399886416948</v>
      </c>
      <c r="I34" s="23">
        <v>14432.005872637181</v>
      </c>
      <c r="J34" s="23">
        <v>14948.172394980906</v>
      </c>
      <c r="K34" s="23">
        <v>15432.827364793089</v>
      </c>
      <c r="L34" s="23">
        <v>16168.363262038201</v>
      </c>
      <c r="M34" s="23">
        <v>16625.296238473376</v>
      </c>
      <c r="N34" s="23">
        <v>17096.037097605233</v>
      </c>
      <c r="O34" s="23">
        <v>17693.453685040749</v>
      </c>
      <c r="P34" s="23">
        <v>18169.366997218269</v>
      </c>
      <c r="Q34" s="23">
        <v>18101.24089028954</v>
      </c>
      <c r="R34" s="23">
        <v>17999.062124085063</v>
      </c>
      <c r="S34" s="23">
        <v>17979</v>
      </c>
      <c r="T34" s="23">
        <v>18381.87508123619</v>
      </c>
      <c r="U34" s="23">
        <v>18055.652001388818</v>
      </c>
      <c r="V34" s="23">
        <v>18295.751522864834</v>
      </c>
      <c r="W34" s="23">
        <v>18762.087123025369</v>
      </c>
      <c r="X34" s="23">
        <v>18769.81550995832</v>
      </c>
      <c r="Y34" s="23">
        <v>19628.69353430449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1636.1772591073964</v>
      </c>
      <c r="E35" s="23">
        <v>1698.048700188672</v>
      </c>
      <c r="F35" s="23">
        <v>1766.2702594209447</v>
      </c>
      <c r="G35" s="23">
        <v>1840.8047124600637</v>
      </c>
      <c r="H35" s="23">
        <v>1866.7127583397119</v>
      </c>
      <c r="I35" s="23">
        <v>1939.1937358536734</v>
      </c>
      <c r="J35" s="23">
        <v>2029.4599018003269</v>
      </c>
      <c r="K35" s="23">
        <v>2109.2514341021229</v>
      </c>
      <c r="L35" s="23">
        <v>2276.1065995653667</v>
      </c>
      <c r="M35" s="23">
        <v>2258.7130614491257</v>
      </c>
      <c r="N35" s="23">
        <v>2337.6419722664041</v>
      </c>
      <c r="O35" s="23">
        <v>2471.2996231706247</v>
      </c>
      <c r="P35" s="23">
        <v>2439.853056717559</v>
      </c>
      <c r="Q35" s="23">
        <v>2421.65389838591</v>
      </c>
      <c r="R35" s="23">
        <v>2324.3011805003366</v>
      </c>
      <c r="S35" s="23">
        <v>2320</v>
      </c>
      <c r="T35" s="23">
        <v>2458.5820410530209</v>
      </c>
      <c r="U35" s="23">
        <v>2481.027726799266</v>
      </c>
      <c r="V35" s="23">
        <v>2437.5552554623969</v>
      </c>
      <c r="W35" s="23">
        <v>2572.5227381522254</v>
      </c>
      <c r="X35" s="23">
        <v>2284.2520203588192</v>
      </c>
      <c r="Y35" s="23">
        <v>2352.8330499517488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2140.8295221573885</v>
      </c>
      <c r="E36" s="23">
        <v>2221.0122446912237</v>
      </c>
      <c r="F36" s="23">
        <v>2286.8683827587938</v>
      </c>
      <c r="G36" s="23">
        <v>2353.7340255591052</v>
      </c>
      <c r="H36" s="23">
        <v>2492.6541396083853</v>
      </c>
      <c r="I36" s="23">
        <v>2621.8878081605189</v>
      </c>
      <c r="J36" s="23">
        <v>2815.0572831423897</v>
      </c>
      <c r="K36" s="23">
        <v>2885.9092089421874</v>
      </c>
      <c r="L36" s="23">
        <v>2929.2005032597503</v>
      </c>
      <c r="M36" s="23">
        <v>3095.4814506980556</v>
      </c>
      <c r="N36" s="23">
        <v>3222.5184255919708</v>
      </c>
      <c r="O36" s="23">
        <v>3212.9085969678381</v>
      </c>
      <c r="P36" s="23">
        <v>3177.7546556813113</v>
      </c>
      <c r="Q36" s="23">
        <v>3137.9907321978376</v>
      </c>
      <c r="R36" s="23">
        <v>3128.631720594532</v>
      </c>
      <c r="S36" s="23">
        <v>3112</v>
      </c>
      <c r="T36" s="23">
        <v>3151.4642510773169</v>
      </c>
      <c r="U36" s="23">
        <v>3185.3578691533157</v>
      </c>
      <c r="V36" s="23">
        <v>3113.7363865113525</v>
      </c>
      <c r="W36" s="23">
        <v>3296.3140258496887</v>
      </c>
      <c r="X36" s="23">
        <v>3113.0930541051621</v>
      </c>
      <c r="Y36" s="23">
        <v>3199.3015026882954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73.595121694790521</v>
      </c>
      <c r="E37" s="23">
        <v>67.111544451901281</v>
      </c>
      <c r="F37" s="23">
        <v>72.758291936374135</v>
      </c>
      <c r="G37" s="23">
        <v>97.344249201277961</v>
      </c>
      <c r="H37" s="23">
        <v>134.57122398083902</v>
      </c>
      <c r="I37" s="23">
        <v>150.48632776656268</v>
      </c>
      <c r="J37" s="23">
        <v>151.5427047341941</v>
      </c>
      <c r="K37" s="23">
        <v>152.26269445952647</v>
      </c>
      <c r="L37" s="23">
        <v>169.27827976667047</v>
      </c>
      <c r="M37" s="23">
        <v>180.83182640144665</v>
      </c>
      <c r="N37" s="23">
        <v>146.73267770335357</v>
      </c>
      <c r="O37" s="23">
        <v>215.80054333537817</v>
      </c>
      <c r="P37" s="23">
        <v>232.51863334253497</v>
      </c>
      <c r="Q37" s="23">
        <v>277.82673149290406</v>
      </c>
      <c r="R37" s="23">
        <v>328.25657022855631</v>
      </c>
      <c r="S37" s="23">
        <v>330</v>
      </c>
      <c r="T37" s="23">
        <v>325.94458941979866</v>
      </c>
      <c r="U37" s="23">
        <v>347.20499975199641</v>
      </c>
      <c r="V37" s="23">
        <v>324.4892209344124</v>
      </c>
      <c r="W37" s="23">
        <v>340.83293441838197</v>
      </c>
      <c r="X37" s="23">
        <v>383.84465580988399</v>
      </c>
      <c r="Y37" s="23">
        <v>339.13882634070126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156890.34326867474</v>
      </c>
      <c r="E39" s="30">
        <f t="shared" ref="E39:S39" si="2">SUM(E18:E38)</f>
        <v>161196.86475124411</v>
      </c>
      <c r="F39" s="30">
        <f t="shared" si="2"/>
        <v>163352.40102363389</v>
      </c>
      <c r="G39" s="30">
        <f t="shared" si="2"/>
        <v>165264.32707667729</v>
      </c>
      <c r="H39" s="30">
        <f t="shared" si="2"/>
        <v>171649.91728190813</v>
      </c>
      <c r="I39" s="30">
        <f t="shared" si="2"/>
        <v>176082.46161375177</v>
      </c>
      <c r="J39" s="30">
        <f t="shared" si="2"/>
        <v>182770.20064254102</v>
      </c>
      <c r="K39" s="30">
        <f t="shared" si="2"/>
        <v>193741.88522461691</v>
      </c>
      <c r="L39" s="30">
        <f t="shared" si="2"/>
        <v>195516.4131305044</v>
      </c>
      <c r="M39" s="30">
        <f t="shared" si="2"/>
        <v>178659.59812653731</v>
      </c>
      <c r="N39" s="30">
        <f t="shared" si="2"/>
        <v>184438.49548601001</v>
      </c>
      <c r="O39" s="30">
        <f t="shared" si="2"/>
        <v>187957.89150819389</v>
      </c>
      <c r="P39" s="30">
        <f t="shared" si="2"/>
        <v>184380.90586711396</v>
      </c>
      <c r="Q39" s="30">
        <f t="shared" si="2"/>
        <v>182437.82590215941</v>
      </c>
      <c r="R39" s="30">
        <f t="shared" si="2"/>
        <v>181876.56737415132</v>
      </c>
      <c r="S39" s="30">
        <f t="shared" si="2"/>
        <v>182599</v>
      </c>
      <c r="T39" s="30">
        <f t="shared" ref="T39:Y39" si="3">SUM(T18:T38)</f>
        <v>187362.14843476607</v>
      </c>
      <c r="U39" s="30">
        <f t="shared" si="3"/>
        <v>194144.13967561131</v>
      </c>
      <c r="V39" s="30">
        <f t="shared" si="3"/>
        <v>195575.67690977451</v>
      </c>
      <c r="W39" s="30">
        <f t="shared" si="3"/>
        <v>198459.55002393486</v>
      </c>
      <c r="X39" s="30">
        <f t="shared" si="3"/>
        <v>193952.56507954426</v>
      </c>
      <c r="Y39" s="30">
        <f t="shared" si="3"/>
        <v>199629.61260971462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2495.6631446144143</v>
      </c>
      <c r="E41" s="19">
        <v>2903.5239892115028</v>
      </c>
      <c r="F41" s="19">
        <v>3073.4106076571834</v>
      </c>
      <c r="G41" s="19">
        <v>3057.6078274760384</v>
      </c>
      <c r="H41" s="19">
        <v>2934.640361490407</v>
      </c>
      <c r="I41" s="19">
        <v>2953.4471156787176</v>
      </c>
      <c r="J41" s="19">
        <v>2836.8794326241136</v>
      </c>
      <c r="K41" s="19">
        <v>2949.6470810415244</v>
      </c>
      <c r="L41" s="19">
        <v>2915.4752373327233</v>
      </c>
      <c r="M41" s="19">
        <v>3161.7490144103872</v>
      </c>
      <c r="N41" s="19">
        <v>2931.2932637379868</v>
      </c>
      <c r="O41" s="19">
        <v>2836.0792218035231</v>
      </c>
      <c r="P41" s="19">
        <v>2849.6804195952686</v>
      </c>
      <c r="Q41" s="19">
        <v>2786.5606501974853</v>
      </c>
      <c r="R41" s="19">
        <v>2695.3738251065306</v>
      </c>
      <c r="S41" s="19">
        <v>2614</v>
      </c>
      <c r="T41" s="19">
        <v>2577.5618144915366</v>
      </c>
      <c r="U41" s="19">
        <v>2691.334755220475</v>
      </c>
      <c r="V41" s="19">
        <v>2659.0628673577444</v>
      </c>
      <c r="W41" s="19">
        <v>2733.3652465294399</v>
      </c>
      <c r="X41" s="19">
        <v>2773.4657973714166</v>
      </c>
      <c r="Y41" s="19">
        <v>2684.6192730113503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758.29259317668084</v>
      </c>
      <c r="E42" s="23">
        <v>735.69447785952161</v>
      </c>
      <c r="F42" s="23">
        <v>741.38190576546742</v>
      </c>
      <c r="G42" s="23">
        <v>688.89776357827475</v>
      </c>
      <c r="H42" s="23">
        <v>674.09071828934043</v>
      </c>
      <c r="I42" s="23">
        <v>672.9063436716217</v>
      </c>
      <c r="J42" s="23">
        <v>691.03473358792507</v>
      </c>
      <c r="K42" s="23">
        <v>626.75574231014377</v>
      </c>
      <c r="L42" s="23">
        <v>629.07468832208622</v>
      </c>
      <c r="M42" s="23">
        <v>529.01733065267933</v>
      </c>
      <c r="N42" s="23">
        <v>517.48471067900266</v>
      </c>
      <c r="O42" s="23">
        <v>502.80431162912981</v>
      </c>
      <c r="P42" s="23">
        <v>476.7162847981653</v>
      </c>
      <c r="Q42" s="23">
        <v>417.77676414791165</v>
      </c>
      <c r="R42" s="23">
        <v>383.30580871409057</v>
      </c>
      <c r="S42" s="23">
        <v>382</v>
      </c>
      <c r="T42" s="23">
        <v>407.93065178919585</v>
      </c>
      <c r="U42" s="23">
        <v>407.71787113734433</v>
      </c>
      <c r="V42" s="23">
        <v>396.3820423390427</v>
      </c>
      <c r="W42" s="23">
        <v>379.12876974629006</v>
      </c>
      <c r="X42" s="23">
        <v>395.1342045101747</v>
      </c>
      <c r="Y42" s="23">
        <v>410.82670833141856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10319.087420490985</v>
      </c>
      <c r="E43" s="23">
        <v>10273.131323363681</v>
      </c>
      <c r="F43" s="23">
        <v>9133.6745446334498</v>
      </c>
      <c r="G43" s="23">
        <v>8120.7567891373801</v>
      </c>
      <c r="H43" s="23">
        <v>7948.3444035655193</v>
      </c>
      <c r="I43" s="23">
        <v>7118.125649966355</v>
      </c>
      <c r="J43" s="23">
        <v>7682.6089592047038</v>
      </c>
      <c r="K43" s="23">
        <v>7601.3314133282975</v>
      </c>
      <c r="L43" s="23">
        <v>6098.5931602424789</v>
      </c>
      <c r="M43" s="23">
        <v>4113.0816663484329</v>
      </c>
      <c r="N43" s="23">
        <v>5539.9986558838682</v>
      </c>
      <c r="O43" s="23">
        <v>5275.6112523004122</v>
      </c>
      <c r="P43" s="23">
        <v>4770.3480347397699</v>
      </c>
      <c r="Q43" s="23">
        <v>4609.0210754382515</v>
      </c>
      <c r="R43" s="23">
        <v>4667.9715375048427</v>
      </c>
      <c r="S43" s="23">
        <v>4821</v>
      </c>
      <c r="T43" s="23">
        <v>4775.1882180029397</v>
      </c>
      <c r="U43" s="23">
        <v>4994.7919250037194</v>
      </c>
      <c r="V43" s="23">
        <v>5244.2898640837066</v>
      </c>
      <c r="W43" s="23">
        <v>4762.0871230253706</v>
      </c>
      <c r="X43" s="23">
        <v>3897.716688775366</v>
      </c>
      <c r="Y43" s="23">
        <v>5363.7240935618765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559.84860432108496</v>
      </c>
      <c r="E44" s="23">
        <v>655.92037785065781</v>
      </c>
      <c r="F44" s="23">
        <v>893.17075618445483</v>
      </c>
      <c r="G44" s="23">
        <v>786.24201277955274</v>
      </c>
      <c r="H44" s="23">
        <v>1217.3140077532778</v>
      </c>
      <c r="I44" s="23">
        <v>863.76705205848168</v>
      </c>
      <c r="J44" s="23">
        <v>915.3179365945324</v>
      </c>
      <c r="K44" s="23">
        <v>980.85503175090298</v>
      </c>
      <c r="L44" s="23">
        <v>761.75225895001711</v>
      </c>
      <c r="M44" s="23">
        <v>696.37100850246532</v>
      </c>
      <c r="N44" s="23">
        <v>586.93071081341429</v>
      </c>
      <c r="O44" s="23">
        <v>727.36832880553857</v>
      </c>
      <c r="P44" s="23">
        <v>833.45720170726008</v>
      </c>
      <c r="Q44" s="23">
        <v>665.54015529270293</v>
      </c>
      <c r="R44" s="23">
        <v>427.14131343405307</v>
      </c>
      <c r="S44" s="23">
        <v>596</v>
      </c>
      <c r="T44" s="23">
        <v>608.89648759710849</v>
      </c>
      <c r="U44" s="23">
        <v>1013.8385992758296</v>
      </c>
      <c r="V44" s="23">
        <v>695.61162332047684</v>
      </c>
      <c r="W44" s="23">
        <v>775.49066539013882</v>
      </c>
      <c r="X44" s="23">
        <v>485.45059411250031</v>
      </c>
      <c r="Y44" s="23">
        <v>272.96539681080833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1826.7360563528362</v>
      </c>
      <c r="E45" s="23">
        <v>1965.2286224405809</v>
      </c>
      <c r="F45" s="23">
        <v>1815.1939384816098</v>
      </c>
      <c r="G45" s="23">
        <v>1789.6365814696485</v>
      </c>
      <c r="H45" s="23">
        <v>2028.4451467937479</v>
      </c>
      <c r="I45" s="23">
        <v>1961.2161252829264</v>
      </c>
      <c r="J45" s="23">
        <v>1962.7811117172819</v>
      </c>
      <c r="K45" s="23">
        <v>2195.415594532707</v>
      </c>
      <c r="L45" s="23">
        <v>2063.3649776964426</v>
      </c>
      <c r="M45" s="23">
        <v>1735.3116260263048</v>
      </c>
      <c r="N45" s="23">
        <v>1896.3238423799814</v>
      </c>
      <c r="O45" s="23">
        <v>2216.063447550609</v>
      </c>
      <c r="P45" s="23">
        <v>1722.1243072218799</v>
      </c>
      <c r="Q45" s="23">
        <v>1863.9271015829904</v>
      </c>
      <c r="R45" s="23">
        <v>1810.5082879686831</v>
      </c>
      <c r="S45" s="23">
        <v>2022</v>
      </c>
      <c r="T45" s="23">
        <v>2074.6473099573072</v>
      </c>
      <c r="U45" s="23">
        <v>2205.2477555676801</v>
      </c>
      <c r="V45" s="23">
        <v>2381.2068278749844</v>
      </c>
      <c r="W45" s="23">
        <v>2757.3001436093823</v>
      </c>
      <c r="X45" s="23">
        <v>2648.3399659431948</v>
      </c>
      <c r="Y45" s="23">
        <v>2518.2666237764806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583.50417915155344</v>
      </c>
      <c r="E46" s="23">
        <v>686.31051118736787</v>
      </c>
      <c r="F46" s="23">
        <v>701.2393998695369</v>
      </c>
      <c r="G46" s="23">
        <v>663.93769968051117</v>
      </c>
      <c r="H46" s="23">
        <v>732.11684239117017</v>
      </c>
      <c r="I46" s="23">
        <v>833.18040007340801</v>
      </c>
      <c r="J46" s="23">
        <v>918.95496150815302</v>
      </c>
      <c r="K46" s="23">
        <v>944.26477184202452</v>
      </c>
      <c r="L46" s="23">
        <v>992.79423538831054</v>
      </c>
      <c r="M46" s="23">
        <v>1031.0783642020374</v>
      </c>
      <c r="N46" s="23">
        <v>1099.935034386971</v>
      </c>
      <c r="O46" s="23">
        <v>1125.0109543423014</v>
      </c>
      <c r="P46" s="23">
        <v>1306.9882997473085</v>
      </c>
      <c r="Q46" s="23">
        <v>1195.2769455646207</v>
      </c>
      <c r="R46" s="23">
        <v>1341.5703304993172</v>
      </c>
      <c r="S46" s="23">
        <v>1315</v>
      </c>
      <c r="T46" s="23">
        <v>1534.7390943539599</v>
      </c>
      <c r="U46" s="23">
        <v>1570.3586131640295</v>
      </c>
      <c r="V46" s="23">
        <v>1514.6068725651164</v>
      </c>
      <c r="W46" s="23">
        <v>1526.0890378171373</v>
      </c>
      <c r="X46" s="23">
        <v>1438.4766635620406</v>
      </c>
      <c r="Y46" s="23">
        <v>1378.6131152061025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2567.9440677075122</v>
      </c>
      <c r="E47" s="23">
        <v>2542.6411558380714</v>
      </c>
      <c r="F47" s="23">
        <v>2531.4867780621207</v>
      </c>
      <c r="G47" s="23">
        <v>2443.5902555910543</v>
      </c>
      <c r="H47" s="23">
        <v>2596.3604039605916</v>
      </c>
      <c r="I47" s="23">
        <v>2648.8040619073836</v>
      </c>
      <c r="J47" s="23">
        <v>2842.9411408134811</v>
      </c>
      <c r="K47" s="23">
        <v>2989.7783338448103</v>
      </c>
      <c r="L47" s="23">
        <v>2843.4175912158294</v>
      </c>
      <c r="M47" s="23">
        <v>2158.7501263576428</v>
      </c>
      <c r="N47" s="23">
        <v>2213.3112300902799</v>
      </c>
      <c r="O47" s="23">
        <v>2425.2913855052143</v>
      </c>
      <c r="P47" s="23">
        <v>2310.3221285541372</v>
      </c>
      <c r="Q47" s="23">
        <v>2116.87382727056</v>
      </c>
      <c r="R47" s="23">
        <v>2058.2298611535875</v>
      </c>
      <c r="S47" s="23">
        <v>2025</v>
      </c>
      <c r="T47" s="23">
        <v>2109.6413609686356</v>
      </c>
      <c r="U47" s="23">
        <v>2174.4953127325034</v>
      </c>
      <c r="V47" s="23">
        <v>2188.8449543869197</v>
      </c>
      <c r="W47" s="23">
        <v>2141.6945907132599</v>
      </c>
      <c r="X47" s="23">
        <v>2039.6451318525208</v>
      </c>
      <c r="Y47" s="23">
        <v>1972.335830154864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4279.0306471113918</v>
      </c>
      <c r="E48" s="23">
        <v>4464.8170893849801</v>
      </c>
      <c r="F48" s="23">
        <v>4171.0572532490341</v>
      </c>
      <c r="G48" s="23">
        <v>4339.307108626198</v>
      </c>
      <c r="H48" s="23">
        <v>4591.4713943554161</v>
      </c>
      <c r="I48" s="23">
        <v>5171.5911176362633</v>
      </c>
      <c r="J48" s="23">
        <v>6090.8043886767291</v>
      </c>
      <c r="K48" s="23">
        <v>6608.6730719293691</v>
      </c>
      <c r="L48" s="23">
        <v>6441.7248084181629</v>
      </c>
      <c r="M48" s="23">
        <v>3668.302764143632</v>
      </c>
      <c r="N48" s="23">
        <v>3922.5789108178942</v>
      </c>
      <c r="O48" s="23">
        <v>4209.7537463850676</v>
      </c>
      <c r="P48" s="23">
        <v>3975.113074129913</v>
      </c>
      <c r="Q48" s="23">
        <v>3881.2809056322117</v>
      </c>
      <c r="R48" s="23">
        <v>3736.2122046200584</v>
      </c>
      <c r="S48" s="23">
        <v>4068</v>
      </c>
      <c r="T48" s="23">
        <v>3906.3359228931085</v>
      </c>
      <c r="U48" s="23">
        <v>4548.3854967511525</v>
      </c>
      <c r="V48" s="23">
        <v>4391.2912533639037</v>
      </c>
      <c r="W48" s="23">
        <v>4106.270943034945</v>
      </c>
      <c r="X48" s="23">
        <v>3962.6315938020375</v>
      </c>
      <c r="Y48" s="23">
        <v>4279.2151095997424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11295.536981548652</v>
      </c>
      <c r="E49" s="23">
        <v>9656.4648677396071</v>
      </c>
      <c r="F49" s="23">
        <v>10876.110191178685</v>
      </c>
      <c r="G49" s="23">
        <v>11083.516373801916</v>
      </c>
      <c r="H49" s="23">
        <v>10896.565347292526</v>
      </c>
      <c r="I49" s="23">
        <v>11260.781794824739</v>
      </c>
      <c r="J49" s="23">
        <v>11872.461659695702</v>
      </c>
      <c r="K49" s="23">
        <v>13211.444489034726</v>
      </c>
      <c r="L49" s="23">
        <v>12105.68454763811</v>
      </c>
      <c r="M49" s="23">
        <v>7696.022822998214</v>
      </c>
      <c r="N49" s="23">
        <v>7393.7588207621129</v>
      </c>
      <c r="O49" s="23">
        <v>5921.9174480764177</v>
      </c>
      <c r="P49" s="23">
        <v>2794.4705157879089</v>
      </c>
      <c r="Q49" s="23">
        <v>4104.1642909716684</v>
      </c>
      <c r="R49" s="23">
        <v>4265.2965522865825</v>
      </c>
      <c r="S49" s="23">
        <v>3882</v>
      </c>
      <c r="T49" s="23">
        <v>4184.2886709259428</v>
      </c>
      <c r="U49" s="23">
        <v>4513.6649967759531</v>
      </c>
      <c r="V49" s="23">
        <v>3328.4433261116669</v>
      </c>
      <c r="W49" s="23">
        <v>3574.9162278602203</v>
      </c>
      <c r="X49" s="23">
        <v>4413.2727460886417</v>
      </c>
      <c r="Y49" s="23">
        <v>4304.0301456734524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1344.4251695316195</v>
      </c>
      <c r="E50" s="23">
        <v>1376.4197890418245</v>
      </c>
      <c r="F50" s="23">
        <v>1179.18611069296</v>
      </c>
      <c r="G50" s="23">
        <v>1179.3630191693292</v>
      </c>
      <c r="H50" s="23">
        <v>1269.1671399293809</v>
      </c>
      <c r="I50" s="23">
        <v>1481.6174221569706</v>
      </c>
      <c r="J50" s="23">
        <v>1595.4415954415954</v>
      </c>
      <c r="K50" s="23">
        <v>1733.9061872949176</v>
      </c>
      <c r="L50" s="23">
        <v>2099.9656868351822</v>
      </c>
      <c r="M50" s="23">
        <v>1634.2255118888502</v>
      </c>
      <c r="N50" s="23">
        <v>1841.4391003382691</v>
      </c>
      <c r="O50" s="23">
        <v>1798.7030058715275</v>
      </c>
      <c r="P50" s="23">
        <v>1871.828084853375</v>
      </c>
      <c r="Q50" s="23">
        <v>1675.2537242258691</v>
      </c>
      <c r="R50" s="23">
        <v>1806.4305665993843</v>
      </c>
      <c r="S50" s="23">
        <v>1812</v>
      </c>
      <c r="T50" s="23">
        <v>1786.696261635522</v>
      </c>
      <c r="U50" s="23">
        <v>1839.1944844005752</v>
      </c>
      <c r="V50" s="23">
        <v>1700.1680737581487</v>
      </c>
      <c r="W50" s="23">
        <v>1702.2498803255146</v>
      </c>
      <c r="X50" s="23">
        <v>1665.2084332928789</v>
      </c>
      <c r="Y50" s="23">
        <v>1657.0929644777352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3667.9282973242916</v>
      </c>
      <c r="E51" s="23">
        <v>4048.2190115609133</v>
      </c>
      <c r="F51" s="23">
        <v>3588.9909177580412</v>
      </c>
      <c r="G51" s="23">
        <v>3549.3210862619808</v>
      </c>
      <c r="H51" s="23">
        <v>3750.7098940714582</v>
      </c>
      <c r="I51" s="23">
        <v>4003.1810118064477</v>
      </c>
      <c r="J51" s="23">
        <v>4629.9327150390982</v>
      </c>
      <c r="K51" s="23">
        <v>5130.8987039966014</v>
      </c>
      <c r="L51" s="23">
        <v>5397.4608258034996</v>
      </c>
      <c r="M51" s="23">
        <v>4461.2671705996654</v>
      </c>
      <c r="N51" s="23">
        <v>4762.6514930890025</v>
      </c>
      <c r="O51" s="23">
        <v>5047.7609324336172</v>
      </c>
      <c r="P51" s="23">
        <v>4853.1628904508098</v>
      </c>
      <c r="Q51" s="23">
        <v>4451.4477053377977</v>
      </c>
      <c r="R51" s="23">
        <v>4444.7162925357316</v>
      </c>
      <c r="S51" s="23">
        <v>4654</v>
      </c>
      <c r="T51" s="23">
        <v>4623.2140536108864</v>
      </c>
      <c r="U51" s="23">
        <v>4995.7839392887254</v>
      </c>
      <c r="V51" s="23">
        <v>5284.1223732403259</v>
      </c>
      <c r="W51" s="23">
        <v>5371.9483006223072</v>
      </c>
      <c r="X51" s="23">
        <v>5061.4810006303333</v>
      </c>
      <c r="Y51" s="23">
        <v>5669.7762051376312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1059.2440729643065</v>
      </c>
      <c r="E52" s="23">
        <v>1224.4691223582743</v>
      </c>
      <c r="F52" s="23">
        <v>1364.845200461639</v>
      </c>
      <c r="G52" s="23">
        <v>1316.6433706070288</v>
      </c>
      <c r="H52" s="23">
        <v>1083.9773821575841</v>
      </c>
      <c r="I52" s="23">
        <v>1208.7844864501133</v>
      </c>
      <c r="J52" s="23">
        <v>1275.3834030429775</v>
      </c>
      <c r="K52" s="23">
        <v>1226.3638724298294</v>
      </c>
      <c r="L52" s="23">
        <v>1248.9991993594874</v>
      </c>
      <c r="M52" s="23">
        <v>874.95647681196863</v>
      </c>
      <c r="N52" s="23">
        <v>866.95490490378359</v>
      </c>
      <c r="O52" s="23">
        <v>980.41363596529663</v>
      </c>
      <c r="P52" s="23">
        <v>929.01280445076759</v>
      </c>
      <c r="Q52" s="23">
        <v>944.40355369416261</v>
      </c>
      <c r="R52" s="23">
        <v>892.00154953412039</v>
      </c>
      <c r="S52" s="23">
        <v>876</v>
      </c>
      <c r="T52" s="23">
        <v>1055.8205105132129</v>
      </c>
      <c r="U52" s="23">
        <v>1057.4872278160806</v>
      </c>
      <c r="V52" s="23">
        <v>1144.4559947926282</v>
      </c>
      <c r="W52" s="23">
        <v>1049.3058879846817</v>
      </c>
      <c r="X52" s="23">
        <v>1035.8160932516721</v>
      </c>
      <c r="Y52" s="23">
        <v>1080.8326823215843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2546.9168900804216</v>
      </c>
      <c r="E53" s="23">
        <v>2690.7930558545413</v>
      </c>
      <c r="F53" s="23">
        <v>2525.2145115158928</v>
      </c>
      <c r="G53" s="23">
        <v>2545.9265175718756</v>
      </c>
      <c r="H53" s="23">
        <v>2501.2963283043937</v>
      </c>
      <c r="I53" s="23">
        <v>2569.2787667461889</v>
      </c>
      <c r="J53" s="23">
        <v>2402.8611262653649</v>
      </c>
      <c r="K53" s="23">
        <v>2665.1873185241056</v>
      </c>
      <c r="L53" s="23">
        <v>2594.0752602081848</v>
      </c>
      <c r="M53" s="23">
        <v>2266.5753147709147</v>
      </c>
      <c r="N53" s="23">
        <v>2187.5490042339807</v>
      </c>
      <c r="O53" s="23">
        <v>2201.8228025589488</v>
      </c>
      <c r="P53" s="23">
        <v>2172.2973690357394</v>
      </c>
      <c r="Q53" s="23">
        <v>2011.1338025978912</v>
      </c>
      <c r="R53" s="23">
        <v>1959.345117948098</v>
      </c>
      <c r="S53" s="23">
        <v>1974</v>
      </c>
      <c r="T53" s="23">
        <v>2032.6544487437095</v>
      </c>
      <c r="U53" s="23">
        <v>2112.9904270621191</v>
      </c>
      <c r="V53" s="23">
        <v>2173.3005605696817</v>
      </c>
      <c r="W53" s="23">
        <v>2216.3714696026691</v>
      </c>
      <c r="X53" s="23">
        <v>2125.2575428297314</v>
      </c>
      <c r="Y53" s="23">
        <v>2173.613344974965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43304.158124375746</v>
      </c>
      <c r="E54" s="30">
        <f t="shared" ref="E54:S54" si="4">SUM(E41:E53)</f>
        <v>43223.633393691518</v>
      </c>
      <c r="F54" s="30">
        <f t="shared" si="4"/>
        <v>42594.962115510069</v>
      </c>
      <c r="G54" s="30">
        <f t="shared" si="4"/>
        <v>41564.746405750797</v>
      </c>
      <c r="H54" s="30">
        <f t="shared" si="4"/>
        <v>42224.49937035481</v>
      </c>
      <c r="I54" s="30">
        <f t="shared" si="4"/>
        <v>42746.681348259619</v>
      </c>
      <c r="J54" s="30">
        <f t="shared" si="4"/>
        <v>45717.403164211661</v>
      </c>
      <c r="K54" s="30">
        <f t="shared" si="4"/>
        <v>48864.521611859956</v>
      </c>
      <c r="L54" s="30">
        <f t="shared" si="4"/>
        <v>46192.382477410516</v>
      </c>
      <c r="M54" s="30">
        <f t="shared" si="4"/>
        <v>34026.709197713193</v>
      </c>
      <c r="N54" s="30">
        <f t="shared" si="4"/>
        <v>35760.209682116547</v>
      </c>
      <c r="O54" s="30">
        <f t="shared" si="4"/>
        <v>35268.600473227605</v>
      </c>
      <c r="P54" s="30">
        <f t="shared" si="4"/>
        <v>30865.521415072308</v>
      </c>
      <c r="Q54" s="30">
        <f t="shared" si="4"/>
        <v>30722.660501954128</v>
      </c>
      <c r="R54" s="30">
        <f t="shared" si="4"/>
        <v>30488.103247905085</v>
      </c>
      <c r="S54" s="30">
        <f t="shared" si="4"/>
        <v>31041</v>
      </c>
      <c r="T54" s="30">
        <f t="shared" ref="T54:Y54" si="5">SUM(T41:T53)</f>
        <v>31677.614805483066</v>
      </c>
      <c r="U54" s="30">
        <f t="shared" si="5"/>
        <v>34125.291404196185</v>
      </c>
      <c r="V54" s="30">
        <f t="shared" si="5"/>
        <v>33101.78663376435</v>
      </c>
      <c r="W54" s="30">
        <f t="shared" si="5"/>
        <v>33096.218286261355</v>
      </c>
      <c r="X54" s="30">
        <f t="shared" si="5"/>
        <v>31941.89645602251</v>
      </c>
      <c r="Y54" s="30">
        <f t="shared" si="5"/>
        <v>33765.911493038009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2495.6631446144143</v>
      </c>
      <c r="E56" s="19">
        <v>2903.5239892115028</v>
      </c>
      <c r="F56" s="19">
        <v>3073.4106076571834</v>
      </c>
      <c r="G56" s="19">
        <v>3057.6078274760384</v>
      </c>
      <c r="H56" s="19">
        <v>2934.640361490407</v>
      </c>
      <c r="I56" s="19">
        <v>2953.4471156787176</v>
      </c>
      <c r="J56" s="19">
        <v>2836.8794326241136</v>
      </c>
      <c r="K56" s="19">
        <v>2949.6470810415244</v>
      </c>
      <c r="L56" s="19">
        <v>2915.4752373327233</v>
      </c>
      <c r="M56" s="19">
        <v>3161.7490144103872</v>
      </c>
      <c r="N56" s="19">
        <v>2931.2932637379868</v>
      </c>
      <c r="O56" s="19">
        <v>2836.0792218035231</v>
      </c>
      <c r="P56" s="19">
        <v>2849.6804195952686</v>
      </c>
      <c r="Q56" s="19">
        <v>2786.5606501974853</v>
      </c>
      <c r="R56" s="19">
        <v>2695.3738251065306</v>
      </c>
      <c r="S56" s="19">
        <v>2614</v>
      </c>
      <c r="T56" s="19">
        <v>2577.5618144915366</v>
      </c>
      <c r="U56" s="19">
        <v>2691.334755220475</v>
      </c>
      <c r="V56" s="19">
        <v>2659.0628673577444</v>
      </c>
      <c r="W56" s="19">
        <v>2733.3652465294399</v>
      </c>
      <c r="X56" s="19">
        <v>2773.4657973714166</v>
      </c>
      <c r="Y56" s="19">
        <v>2684.6192730113503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758.29259317668084</v>
      </c>
      <c r="E57" s="23">
        <v>735.69447785952161</v>
      </c>
      <c r="F57" s="23">
        <v>741.38190576546742</v>
      </c>
      <c r="G57" s="23">
        <v>688.89776357827475</v>
      </c>
      <c r="H57" s="23">
        <v>674.09071828934043</v>
      </c>
      <c r="I57" s="23">
        <v>672.9063436716217</v>
      </c>
      <c r="J57" s="23">
        <v>691.03473358792507</v>
      </c>
      <c r="K57" s="23">
        <v>626.75574231014377</v>
      </c>
      <c r="L57" s="23">
        <v>629.07468832208622</v>
      </c>
      <c r="M57" s="23">
        <v>529.01733065267933</v>
      </c>
      <c r="N57" s="23">
        <v>517.48471067900266</v>
      </c>
      <c r="O57" s="23">
        <v>502.80431162912981</v>
      </c>
      <c r="P57" s="23">
        <v>476.7162847981653</v>
      </c>
      <c r="Q57" s="23">
        <v>417.77676414791165</v>
      </c>
      <c r="R57" s="23">
        <v>383.30580871409057</v>
      </c>
      <c r="S57" s="23">
        <v>382</v>
      </c>
      <c r="T57" s="23">
        <v>407.93065178919585</v>
      </c>
      <c r="U57" s="23">
        <v>407.71787113734433</v>
      </c>
      <c r="V57" s="23">
        <v>396.3820423390427</v>
      </c>
      <c r="W57" s="23">
        <v>379.12876974629006</v>
      </c>
      <c r="X57" s="23">
        <v>395.1342045101747</v>
      </c>
      <c r="Y57" s="23">
        <v>410.82670833141856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1854.3342269883826</v>
      </c>
      <c r="E58" s="23">
        <v>1862.6619224291846</v>
      </c>
      <c r="F58" s="23">
        <v>1831.5018315018317</v>
      </c>
      <c r="G58" s="23">
        <v>1804.6126198083068</v>
      </c>
      <c r="H58" s="23">
        <v>1716.0917553519839</v>
      </c>
      <c r="I58" s="23">
        <v>1682.2658591790544</v>
      </c>
      <c r="J58" s="23">
        <v>1868.2184639631448</v>
      </c>
      <c r="K58" s="23">
        <v>2106.8907721725172</v>
      </c>
      <c r="L58" s="23">
        <v>1489.1913530824659</v>
      </c>
      <c r="M58" s="23">
        <v>991.7670975930273</v>
      </c>
      <c r="N58" s="23">
        <v>1383.3195188064249</v>
      </c>
      <c r="O58" s="23">
        <v>1260.8447988782755</v>
      </c>
      <c r="P58" s="23">
        <v>1141.3585883252288</v>
      </c>
      <c r="Q58" s="23">
        <v>1204.6069477416213</v>
      </c>
      <c r="R58" s="23">
        <v>1222.2969804473262</v>
      </c>
      <c r="S58" s="23">
        <v>1195</v>
      </c>
      <c r="T58" s="23">
        <v>1220.7924652809022</v>
      </c>
      <c r="U58" s="23">
        <v>1317.3949704875749</v>
      </c>
      <c r="V58" s="23">
        <v>1336.8178682806929</v>
      </c>
      <c r="W58" s="23">
        <v>1181.4265198659646</v>
      </c>
      <c r="X58" s="23">
        <v>1117.6653213287798</v>
      </c>
      <c r="Y58" s="23">
        <v>2040.3474105050318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7379.2251485044417</v>
      </c>
      <c r="E59" s="23">
        <v>7264.5081230293899</v>
      </c>
      <c r="F59" s="23">
        <v>6242.1596668172015</v>
      </c>
      <c r="G59" s="23">
        <v>5398.8618210862624</v>
      </c>
      <c r="H59" s="23">
        <v>5348.280204449492</v>
      </c>
      <c r="I59" s="23">
        <v>4501.1317061234477</v>
      </c>
      <c r="J59" s="23">
        <v>4890.5861671819121</v>
      </c>
      <c r="K59" s="23">
        <v>4591.4874530818443</v>
      </c>
      <c r="L59" s="23">
        <v>3740.134965114949</v>
      </c>
      <c r="M59" s="23">
        <v>2383.3859355519862</v>
      </c>
      <c r="N59" s="23">
        <v>3430.8564259952059</v>
      </c>
      <c r="O59" s="23">
        <v>3356.410481114714</v>
      </c>
      <c r="P59" s="23">
        <v>2987.7051791136687</v>
      </c>
      <c r="Q59" s="23">
        <v>2851.8706654364887</v>
      </c>
      <c r="R59" s="23">
        <v>2932.901094868188</v>
      </c>
      <c r="S59" s="23">
        <v>3124</v>
      </c>
      <c r="T59" s="23">
        <v>3107.4717298059331</v>
      </c>
      <c r="U59" s="23">
        <v>3255.7908833887204</v>
      </c>
      <c r="V59" s="23">
        <v>3520.8051995997321</v>
      </c>
      <c r="W59" s="23">
        <v>3212.0631881282911</v>
      </c>
      <c r="X59" s="23">
        <v>2456.4176380382528</v>
      </c>
      <c r="Y59" s="23">
        <v>3009.0528927898531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1085.5280449981601</v>
      </c>
      <c r="E60" s="23">
        <v>1145.9612779051067</v>
      </c>
      <c r="F60" s="23">
        <v>1060.0130463144169</v>
      </c>
      <c r="G60" s="23">
        <v>917.28234824281117</v>
      </c>
      <c r="H60" s="23">
        <v>883.97244376404342</v>
      </c>
      <c r="I60" s="23">
        <v>934.72808466385322</v>
      </c>
      <c r="J60" s="23">
        <v>923.80432805964665</v>
      </c>
      <c r="K60" s="23">
        <v>902.95318807393596</v>
      </c>
      <c r="L60" s="23">
        <v>869.2668420450641</v>
      </c>
      <c r="M60" s="23">
        <v>737.92863320341939</v>
      </c>
      <c r="N60" s="23">
        <v>725.82271108223767</v>
      </c>
      <c r="O60" s="23">
        <v>658.35597230742269</v>
      </c>
      <c r="P60" s="23">
        <v>641.28426730087222</v>
      </c>
      <c r="Q60" s="23">
        <v>552.5434622601415</v>
      </c>
      <c r="R60" s="23">
        <v>512.77346218932871</v>
      </c>
      <c r="S60" s="23">
        <v>502</v>
      </c>
      <c r="T60" s="23">
        <v>446.92402291610415</v>
      </c>
      <c r="U60" s="23">
        <v>421.606071127424</v>
      </c>
      <c r="V60" s="23">
        <v>386.66679620328159</v>
      </c>
      <c r="W60" s="23">
        <v>368.59741503111491</v>
      </c>
      <c r="X60" s="23">
        <v>323.63372940833369</v>
      </c>
      <c r="Y60" s="23">
        <v>314.32379026699164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559.84860432108496</v>
      </c>
      <c r="E61" s="23">
        <v>655.92037785065781</v>
      </c>
      <c r="F61" s="23">
        <v>893.17075618445483</v>
      </c>
      <c r="G61" s="23">
        <v>786.24201277955274</v>
      </c>
      <c r="H61" s="23">
        <v>1217.3140077532778</v>
      </c>
      <c r="I61" s="23">
        <v>863.76705205848168</v>
      </c>
      <c r="J61" s="23">
        <v>915.3179365945324</v>
      </c>
      <c r="K61" s="23">
        <v>980.85503175090298</v>
      </c>
      <c r="L61" s="23">
        <v>761.75225895001711</v>
      </c>
      <c r="M61" s="23">
        <v>696.37100850246532</v>
      </c>
      <c r="N61" s="23">
        <v>586.93071081341429</v>
      </c>
      <c r="O61" s="23">
        <v>727.36832880553857</v>
      </c>
      <c r="P61" s="23">
        <v>833.45720170726008</v>
      </c>
      <c r="Q61" s="23">
        <v>665.54015529270293</v>
      </c>
      <c r="R61" s="23">
        <v>427.14131343405307</v>
      </c>
      <c r="S61" s="23">
        <v>596</v>
      </c>
      <c r="T61" s="23">
        <v>608.89648759710849</v>
      </c>
      <c r="U61" s="23">
        <v>1013.8385992758296</v>
      </c>
      <c r="V61" s="23">
        <v>695.61162332047684</v>
      </c>
      <c r="W61" s="23">
        <v>775.49066539013882</v>
      </c>
      <c r="X61" s="23">
        <v>485.45059411250031</v>
      </c>
      <c r="Y61" s="23">
        <v>272.96539681080833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1826.7360563528362</v>
      </c>
      <c r="E62" s="23">
        <v>1965.2286224405809</v>
      </c>
      <c r="F62" s="23">
        <v>1815.1939384816098</v>
      </c>
      <c r="G62" s="23">
        <v>1789.6365814696485</v>
      </c>
      <c r="H62" s="23">
        <v>2028.4451467937479</v>
      </c>
      <c r="I62" s="23">
        <v>1961.2161252829264</v>
      </c>
      <c r="J62" s="23">
        <v>1962.7811117172819</v>
      </c>
      <c r="K62" s="23">
        <v>2195.415594532707</v>
      </c>
      <c r="L62" s="23">
        <v>2063.3649776964426</v>
      </c>
      <c r="M62" s="23">
        <v>1735.3116260263048</v>
      </c>
      <c r="N62" s="23">
        <v>1896.3238423799814</v>
      </c>
      <c r="O62" s="23">
        <v>2216.063447550609</v>
      </c>
      <c r="P62" s="23">
        <v>1722.1243072218799</v>
      </c>
      <c r="Q62" s="23">
        <v>1863.9271015829904</v>
      </c>
      <c r="R62" s="23">
        <v>1810.5082879686831</v>
      </c>
      <c r="S62" s="23">
        <v>2022</v>
      </c>
      <c r="T62" s="23">
        <v>2074.6473099573072</v>
      </c>
      <c r="U62" s="23">
        <v>2205.2477555676801</v>
      </c>
      <c r="V62" s="23">
        <v>2381.2068278749844</v>
      </c>
      <c r="W62" s="23">
        <v>2757.3001436093823</v>
      </c>
      <c r="X62" s="23">
        <v>2648.3399659431948</v>
      </c>
      <c r="Y62" s="23">
        <v>2518.2666237764806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583.50417915155344</v>
      </c>
      <c r="E63" s="23">
        <v>686.31051118736787</v>
      </c>
      <c r="F63" s="23">
        <v>701.2393998695369</v>
      </c>
      <c r="G63" s="23">
        <v>663.93769968051117</v>
      </c>
      <c r="H63" s="23">
        <v>732.11684239117017</v>
      </c>
      <c r="I63" s="23">
        <v>833.18040007340801</v>
      </c>
      <c r="J63" s="23">
        <v>918.95496150815302</v>
      </c>
      <c r="K63" s="23">
        <v>944.26477184202452</v>
      </c>
      <c r="L63" s="23">
        <v>992.79423538831054</v>
      </c>
      <c r="M63" s="23">
        <v>1031.0783642020374</v>
      </c>
      <c r="N63" s="23">
        <v>1099.935034386971</v>
      </c>
      <c r="O63" s="23">
        <v>1125.0109543423014</v>
      </c>
      <c r="P63" s="23">
        <v>1306.9882997473085</v>
      </c>
      <c r="Q63" s="23">
        <v>1195.2769455646207</v>
      </c>
      <c r="R63" s="23">
        <v>1341.5703304993172</v>
      </c>
      <c r="S63" s="23">
        <v>1315</v>
      </c>
      <c r="T63" s="23">
        <v>1534.7390943539599</v>
      </c>
      <c r="U63" s="23">
        <v>1570.3586131640295</v>
      </c>
      <c r="V63" s="23">
        <v>1514.6068725651164</v>
      </c>
      <c r="W63" s="23">
        <v>1526.0890378171373</v>
      </c>
      <c r="X63" s="23">
        <v>1438.4766635620406</v>
      </c>
      <c r="Y63" s="23">
        <v>1378.6131152061025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1286.6004310571413</v>
      </c>
      <c r="E64" s="23">
        <v>1278.9181112532131</v>
      </c>
      <c r="F64" s="23">
        <v>1312.1581614732302</v>
      </c>
      <c r="G64" s="23">
        <v>1228.035143769968</v>
      </c>
      <c r="H64" s="23">
        <v>1324.72406726092</v>
      </c>
      <c r="I64" s="23">
        <v>1247.9354009910076</v>
      </c>
      <c r="J64" s="23">
        <v>1350.5485845911378</v>
      </c>
      <c r="K64" s="23">
        <v>1416.3971577630368</v>
      </c>
      <c r="L64" s="23">
        <v>1343.9322886880932</v>
      </c>
      <c r="M64" s="23">
        <v>1071.5128098570192</v>
      </c>
      <c r="N64" s="23">
        <v>1067.452227872488</v>
      </c>
      <c r="O64" s="23">
        <v>1155.6831127859084</v>
      </c>
      <c r="P64" s="23">
        <v>1134.9882148089948</v>
      </c>
      <c r="Q64" s="23">
        <v>987.94356385349829</v>
      </c>
      <c r="R64" s="23">
        <v>1011.2748995861114</v>
      </c>
      <c r="S64" s="23">
        <v>1018</v>
      </c>
      <c r="T64" s="23">
        <v>1056.8203405421079</v>
      </c>
      <c r="U64" s="23">
        <v>1057.4872278160806</v>
      </c>
      <c r="V64" s="23">
        <v>1042.4459103671393</v>
      </c>
      <c r="W64" s="23">
        <v>1022.498803255146</v>
      </c>
      <c r="X64" s="23">
        <v>989.71710272548512</v>
      </c>
      <c r="Y64" s="23">
        <v>1024.7690823032028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1281.3436366503709</v>
      </c>
      <c r="E65" s="23">
        <v>1263.7230445848584</v>
      </c>
      <c r="F65" s="23">
        <v>1219.3286165888906</v>
      </c>
      <c r="G65" s="23">
        <v>1215.5551118210863</v>
      </c>
      <c r="H65" s="23">
        <v>1271.6363366996716</v>
      </c>
      <c r="I65" s="23">
        <v>1400.868660916376</v>
      </c>
      <c r="J65" s="23">
        <v>1492.3925562223433</v>
      </c>
      <c r="K65" s="23">
        <v>1573.3811760817734</v>
      </c>
      <c r="L65" s="23">
        <v>1499.4853025277362</v>
      </c>
      <c r="M65" s="23">
        <v>1087.2373165006236</v>
      </c>
      <c r="N65" s="23">
        <v>1145.8590022177918</v>
      </c>
      <c r="O65" s="23">
        <v>1269.6082727193059</v>
      </c>
      <c r="P65" s="23">
        <v>1175.3339137451424</v>
      </c>
      <c r="Q65" s="23">
        <v>1128.9302634170617</v>
      </c>
      <c r="R65" s="23">
        <v>1046.9549615674762</v>
      </c>
      <c r="S65" s="23">
        <v>1007</v>
      </c>
      <c r="T65" s="23">
        <v>1052.8210204265276</v>
      </c>
      <c r="U65" s="23">
        <v>1117.0080849164228</v>
      </c>
      <c r="V65" s="23">
        <v>1146.3990440197804</v>
      </c>
      <c r="W65" s="23">
        <v>1119.195787458114</v>
      </c>
      <c r="X65" s="23">
        <v>1049.9280291270356</v>
      </c>
      <c r="Y65" s="23">
        <v>947.56674785166115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1799.1378857172897</v>
      </c>
      <c r="E66" s="23">
        <v>1708.1787446342421</v>
      </c>
      <c r="F66" s="23">
        <v>1490.2905313864219</v>
      </c>
      <c r="G66" s="23">
        <v>1624.9001597444089</v>
      </c>
      <c r="H66" s="23">
        <v>1902.5161115089261</v>
      </c>
      <c r="I66" s="23">
        <v>2226.7082645133664</v>
      </c>
      <c r="J66" s="23">
        <v>2853.8522155543433</v>
      </c>
      <c r="K66" s="23">
        <v>2878.8272231533724</v>
      </c>
      <c r="L66" s="23">
        <v>2602.0816653322654</v>
      </c>
      <c r="M66" s="23">
        <v>907.52866914514846</v>
      </c>
      <c r="N66" s="23">
        <v>1375.4788413718945</v>
      </c>
      <c r="O66" s="23">
        <v>1413.1101568661818</v>
      </c>
      <c r="P66" s="23">
        <v>1181.7042872613763</v>
      </c>
      <c r="Q66" s="23">
        <v>1313.4569731399604</v>
      </c>
      <c r="R66" s="23">
        <v>1301.8125471486535</v>
      </c>
      <c r="S66" s="23">
        <v>1562</v>
      </c>
      <c r="T66" s="23">
        <v>1404.7611905975984</v>
      </c>
      <c r="U66" s="23">
        <v>1882.8431129408261</v>
      </c>
      <c r="V66" s="23">
        <v>1676.8514830323227</v>
      </c>
      <c r="W66" s="23">
        <v>1372.9056965055049</v>
      </c>
      <c r="X66" s="23">
        <v>1229.6200126066626</v>
      </c>
      <c r="Y66" s="23">
        <v>1570.6998759248195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2479.8927613941023</v>
      </c>
      <c r="E67" s="23">
        <v>2756.6383447507378</v>
      </c>
      <c r="F67" s="23">
        <v>2680.766721862612</v>
      </c>
      <c r="G67" s="23">
        <v>2714.406948881789</v>
      </c>
      <c r="H67" s="23">
        <v>2688.9552828464903</v>
      </c>
      <c r="I67" s="23">
        <v>2944.8828531228969</v>
      </c>
      <c r="J67" s="23">
        <v>3236.9521731223858</v>
      </c>
      <c r="K67" s="23">
        <v>3729.8458487759967</v>
      </c>
      <c r="L67" s="23">
        <v>3839.6431430858975</v>
      </c>
      <c r="M67" s="23">
        <v>2760.7740949984836</v>
      </c>
      <c r="N67" s="23">
        <v>2547.1000694459999</v>
      </c>
      <c r="O67" s="23">
        <v>2796.6435895188861</v>
      </c>
      <c r="P67" s="23">
        <v>2793.4087868685365</v>
      </c>
      <c r="Q67" s="23">
        <v>2567.8239324922515</v>
      </c>
      <c r="R67" s="23">
        <v>2434.3996574714047</v>
      </c>
      <c r="S67" s="23">
        <v>2506</v>
      </c>
      <c r="T67" s="23">
        <v>2501.5747322955103</v>
      </c>
      <c r="U67" s="23">
        <v>2665.5423838103261</v>
      </c>
      <c r="V67" s="23">
        <v>2714.4397703315808</v>
      </c>
      <c r="W67" s="23">
        <v>2733.3652465294399</v>
      </c>
      <c r="X67" s="23">
        <v>2733.0115811953747</v>
      </c>
      <c r="Y67" s="23">
        <v>2708.5152336749229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11295.536981548652</v>
      </c>
      <c r="E68" s="23">
        <v>9656.4648677396071</v>
      </c>
      <c r="F68" s="23">
        <v>10876.110191178685</v>
      </c>
      <c r="G68" s="23">
        <v>11083.516373801916</v>
      </c>
      <c r="H68" s="23">
        <v>10896.565347292526</v>
      </c>
      <c r="I68" s="23">
        <v>11260.781794824739</v>
      </c>
      <c r="J68" s="23">
        <v>11872.461659695702</v>
      </c>
      <c r="K68" s="23">
        <v>13211.444489034726</v>
      </c>
      <c r="L68" s="23">
        <v>12105.68454763811</v>
      </c>
      <c r="M68" s="23">
        <v>7696.022822998214</v>
      </c>
      <c r="N68" s="23">
        <v>7393.7588207621129</v>
      </c>
      <c r="O68" s="23">
        <v>5921.9174480764177</v>
      </c>
      <c r="P68" s="23">
        <v>2794.4705157879089</v>
      </c>
      <c r="Q68" s="23">
        <v>4104.1642909716684</v>
      </c>
      <c r="R68" s="23">
        <v>4265.2965522865825</v>
      </c>
      <c r="S68" s="23">
        <v>3882</v>
      </c>
      <c r="T68" s="23">
        <v>4184.2886709259428</v>
      </c>
      <c r="U68" s="23">
        <v>4513.6649967759531</v>
      </c>
      <c r="V68" s="23">
        <v>3328.4433261116669</v>
      </c>
      <c r="W68" s="23">
        <v>3574.9162278602203</v>
      </c>
      <c r="X68" s="23">
        <v>4413.2727460886417</v>
      </c>
      <c r="Y68" s="23">
        <v>4304.0301456734524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1344.4251695316195</v>
      </c>
      <c r="E69" s="23">
        <v>1376.4197890418245</v>
      </c>
      <c r="F69" s="23">
        <v>1179.18611069296</v>
      </c>
      <c r="G69" s="23">
        <v>1179.3630191693292</v>
      </c>
      <c r="H69" s="23">
        <v>1269.1671399293809</v>
      </c>
      <c r="I69" s="23">
        <v>1481.6174221569706</v>
      </c>
      <c r="J69" s="23">
        <v>1595.4415954415954</v>
      </c>
      <c r="K69" s="23">
        <v>1733.9061872949176</v>
      </c>
      <c r="L69" s="23">
        <v>2099.9656868351822</v>
      </c>
      <c r="M69" s="23">
        <v>1634.2255118888502</v>
      </c>
      <c r="N69" s="23">
        <v>1841.4391003382691</v>
      </c>
      <c r="O69" s="23">
        <v>1798.7030058715275</v>
      </c>
      <c r="P69" s="23">
        <v>1871.828084853375</v>
      </c>
      <c r="Q69" s="23">
        <v>1675.2537242258691</v>
      </c>
      <c r="R69" s="23">
        <v>1806.4305665993843</v>
      </c>
      <c r="S69" s="23">
        <v>1812</v>
      </c>
      <c r="T69" s="23">
        <v>1786.696261635522</v>
      </c>
      <c r="U69" s="23">
        <v>1839.1944844005752</v>
      </c>
      <c r="V69" s="23">
        <v>1700.1680737581487</v>
      </c>
      <c r="W69" s="23">
        <v>1702.2498803255146</v>
      </c>
      <c r="X69" s="23">
        <v>1665.2084332928789</v>
      </c>
      <c r="Y69" s="23">
        <v>1657.0929644777352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3667.9282973242916</v>
      </c>
      <c r="E70" s="23">
        <v>4048.2190115609133</v>
      </c>
      <c r="F70" s="23">
        <v>3588.9909177580412</v>
      </c>
      <c r="G70" s="23">
        <v>3549.3210862619808</v>
      </c>
      <c r="H70" s="23">
        <v>3750.7098940714582</v>
      </c>
      <c r="I70" s="23">
        <v>4003.1810118064477</v>
      </c>
      <c r="J70" s="23">
        <v>4629.9327150390982</v>
      </c>
      <c r="K70" s="23">
        <v>5130.8987039966014</v>
      </c>
      <c r="L70" s="23">
        <v>5397.4608258034996</v>
      </c>
      <c r="M70" s="23">
        <v>4461.2671705996654</v>
      </c>
      <c r="N70" s="23">
        <v>4762.6514930890025</v>
      </c>
      <c r="O70" s="23">
        <v>5047.7609324336172</v>
      </c>
      <c r="P70" s="23">
        <v>4853.1628904508098</v>
      </c>
      <c r="Q70" s="23">
        <v>4451.4477053377977</v>
      </c>
      <c r="R70" s="23">
        <v>4444.7162925357316</v>
      </c>
      <c r="S70" s="23">
        <v>4654</v>
      </c>
      <c r="T70" s="23">
        <v>4623.2140536108864</v>
      </c>
      <c r="U70" s="23">
        <v>4995.7839392887254</v>
      </c>
      <c r="V70" s="23">
        <v>5284.1223732403259</v>
      </c>
      <c r="W70" s="23">
        <v>5371.9483006223072</v>
      </c>
      <c r="X70" s="23">
        <v>5061.4810006303333</v>
      </c>
      <c r="Y70" s="23">
        <v>5669.7762051376312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526.99363927876777</v>
      </c>
      <c r="E71" s="23">
        <v>515.36601116837403</v>
      </c>
      <c r="F71" s="23">
        <v>538.16046966731903</v>
      </c>
      <c r="G71" s="23">
        <v>485.47324281150162</v>
      </c>
      <c r="H71" s="23">
        <v>467.91278797007328</v>
      </c>
      <c r="I71" s="23">
        <v>549.33626965192389</v>
      </c>
      <c r="J71" s="23">
        <v>577.0746196278111</v>
      </c>
      <c r="K71" s="23">
        <v>639.73938292297169</v>
      </c>
      <c r="L71" s="23">
        <v>591.33020702276099</v>
      </c>
      <c r="M71" s="23">
        <v>396.48220322801654</v>
      </c>
      <c r="N71" s="23">
        <v>428.99706534644588</v>
      </c>
      <c r="O71" s="23">
        <v>507.18604854964508</v>
      </c>
      <c r="P71" s="23">
        <v>439.55577262013458</v>
      </c>
      <c r="Q71" s="23">
        <v>427.10676632491214</v>
      </c>
      <c r="R71" s="23">
        <v>459.76308438844376</v>
      </c>
      <c r="S71" s="23">
        <v>488</v>
      </c>
      <c r="T71" s="23">
        <v>498.91518441864883</v>
      </c>
      <c r="U71" s="23">
        <v>612.07281384851933</v>
      </c>
      <c r="V71" s="23">
        <v>716.01364020557457</v>
      </c>
      <c r="W71" s="23">
        <v>728.57826711345137</v>
      </c>
      <c r="X71" s="23">
        <v>621.86597424101296</v>
      </c>
      <c r="Y71" s="23">
        <v>655.30076742796746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532.25043368553872</v>
      </c>
      <c r="E72" s="23">
        <v>709.10311118990023</v>
      </c>
      <c r="F72" s="23">
        <v>826.68473079431999</v>
      </c>
      <c r="G72" s="23">
        <v>831.17012779552715</v>
      </c>
      <c r="H72" s="23">
        <v>616.06459418751081</v>
      </c>
      <c r="I72" s="23">
        <v>659.44821679818938</v>
      </c>
      <c r="J72" s="23">
        <v>698.30878341516643</v>
      </c>
      <c r="K72" s="23">
        <v>586.62448950685769</v>
      </c>
      <c r="L72" s="23">
        <v>657.66899233672643</v>
      </c>
      <c r="M72" s="23">
        <v>478.47427358395208</v>
      </c>
      <c r="N72" s="23">
        <v>437.95783955733771</v>
      </c>
      <c r="O72" s="23">
        <v>473.22758741565156</v>
      </c>
      <c r="P72" s="23">
        <v>489.45703183063301</v>
      </c>
      <c r="Q72" s="23">
        <v>517.29678736925052</v>
      </c>
      <c r="R72" s="23">
        <v>432.23846514567663</v>
      </c>
      <c r="S72" s="23">
        <v>388</v>
      </c>
      <c r="T72" s="23">
        <v>556.90532609456409</v>
      </c>
      <c r="U72" s="23">
        <v>445.41441396756125</v>
      </c>
      <c r="V72" s="23">
        <v>428.44235458705361</v>
      </c>
      <c r="W72" s="23">
        <v>320.72762087123033</v>
      </c>
      <c r="X72" s="23">
        <v>413.95011901065914</v>
      </c>
      <c r="Y72" s="23">
        <v>425.53191489361689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1315.5128002943804</v>
      </c>
      <c r="E73" s="23">
        <v>1332.1008445924556</v>
      </c>
      <c r="F73" s="23">
        <v>1211.8018967334037</v>
      </c>
      <c r="G73" s="23">
        <v>1190.5950479233227</v>
      </c>
      <c r="H73" s="23">
        <v>1270.4017383145263</v>
      </c>
      <c r="I73" s="23">
        <v>1126.8122591301155</v>
      </c>
      <c r="J73" s="23">
        <v>1123.8406983087834</v>
      </c>
      <c r="K73" s="23">
        <v>1095.3471353367486</v>
      </c>
      <c r="L73" s="23">
        <v>916.16150062907457</v>
      </c>
      <c r="M73" s="23">
        <v>749.16042366313616</v>
      </c>
      <c r="N73" s="23">
        <v>740.38396917493662</v>
      </c>
      <c r="O73" s="23">
        <v>744.89527648759974</v>
      </c>
      <c r="P73" s="23">
        <v>710.29664706007259</v>
      </c>
      <c r="Q73" s="23">
        <v>640.66014948736824</v>
      </c>
      <c r="R73" s="23">
        <v>606.56105368320186</v>
      </c>
      <c r="S73" s="23">
        <v>588</v>
      </c>
      <c r="T73" s="23">
        <v>606.89682753931834</v>
      </c>
      <c r="U73" s="23">
        <v>601.16065671345666</v>
      </c>
      <c r="V73" s="23">
        <v>649.9499664824009</v>
      </c>
      <c r="W73" s="23">
        <v>651.98659645763519</v>
      </c>
      <c r="X73" s="23">
        <v>607.75403836564965</v>
      </c>
      <c r="Y73" s="23">
        <v>638.75741004549423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1231.4040897860411</v>
      </c>
      <c r="E74" s="23">
        <v>1358.6922112620857</v>
      </c>
      <c r="F74" s="23">
        <v>1313.4126147824891</v>
      </c>
      <c r="G74" s="23">
        <v>1355.3314696485529</v>
      </c>
      <c r="H74" s="23">
        <v>1230.8945899898674</v>
      </c>
      <c r="I74" s="23">
        <v>1442.4665076160734</v>
      </c>
      <c r="J74" s="23">
        <v>1279.0204279565814</v>
      </c>
      <c r="K74" s="23">
        <v>1569.8401831873571</v>
      </c>
      <c r="L74" s="23">
        <v>1677.9137595791103</v>
      </c>
      <c r="M74" s="23">
        <v>1517.4148911077787</v>
      </c>
      <c r="N74" s="23">
        <v>1447.1650350590439</v>
      </c>
      <c r="O74" s="23">
        <v>1456.9275260713489</v>
      </c>
      <c r="P74" s="23">
        <v>1462.0007219756667</v>
      </c>
      <c r="Q74" s="23">
        <v>1370.4736531105229</v>
      </c>
      <c r="R74" s="23">
        <v>1352.7840642648962</v>
      </c>
      <c r="S74" s="23">
        <v>1386</v>
      </c>
      <c r="T74" s="23">
        <v>1425.7576212043912</v>
      </c>
      <c r="U74" s="23">
        <v>1511.8297703486624</v>
      </c>
      <c r="V74" s="23">
        <v>1523.3505940872808</v>
      </c>
      <c r="W74" s="23">
        <v>1564.3848731450339</v>
      </c>
      <c r="X74" s="23">
        <v>1517.5035044640817</v>
      </c>
      <c r="Y74" s="23">
        <v>1534.8559349294708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43304.158124375754</v>
      </c>
      <c r="E75" s="30">
        <f t="shared" ref="E75:S75" si="6">SUM(E56:E74)</f>
        <v>43223.633393691511</v>
      </c>
      <c r="F75" s="30">
        <f t="shared" si="6"/>
        <v>42594.962115510061</v>
      </c>
      <c r="G75" s="30">
        <f t="shared" si="6"/>
        <v>41564.74640575079</v>
      </c>
      <c r="H75" s="30">
        <f t="shared" si="6"/>
        <v>42224.49937035481</v>
      </c>
      <c r="I75" s="30">
        <f t="shared" si="6"/>
        <v>42746.681348259619</v>
      </c>
      <c r="J75" s="30">
        <f t="shared" si="6"/>
        <v>45717.403164211661</v>
      </c>
      <c r="K75" s="30">
        <f t="shared" si="6"/>
        <v>48864.521611859956</v>
      </c>
      <c r="L75" s="30">
        <f t="shared" si="6"/>
        <v>46192.382477410509</v>
      </c>
      <c r="M75" s="30">
        <f t="shared" si="6"/>
        <v>34026.709197713193</v>
      </c>
      <c r="N75" s="30">
        <f t="shared" si="6"/>
        <v>35760.209682116554</v>
      </c>
      <c r="O75" s="30">
        <f t="shared" si="6"/>
        <v>35268.600473227612</v>
      </c>
      <c r="P75" s="30">
        <f t="shared" si="6"/>
        <v>30865.521415072304</v>
      </c>
      <c r="Q75" s="30">
        <f t="shared" si="6"/>
        <v>30722.660501954128</v>
      </c>
      <c r="R75" s="30">
        <f t="shared" si="6"/>
        <v>30488.103247905077</v>
      </c>
      <c r="S75" s="30">
        <f t="shared" si="6"/>
        <v>31041</v>
      </c>
      <c r="T75" s="30">
        <f t="shared" ref="T75:Y75" si="7">SUM(T56:T74)</f>
        <v>31677.61480548307</v>
      </c>
      <c r="U75" s="30">
        <f t="shared" si="7"/>
        <v>34125.291404196185</v>
      </c>
      <c r="V75" s="30">
        <f t="shared" si="7"/>
        <v>33101.786633764343</v>
      </c>
      <c r="W75" s="30">
        <f t="shared" si="7"/>
        <v>33096.218286261355</v>
      </c>
      <c r="X75" s="30">
        <f t="shared" si="7"/>
        <v>31941.896456022507</v>
      </c>
      <c r="Y75" s="30">
        <f t="shared" si="7"/>
        <v>33765.911493038016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5171302</v>
      </c>
      <c r="E3" s="42">
        <v>5181115</v>
      </c>
      <c r="F3" s="42">
        <v>5194901</v>
      </c>
      <c r="G3" s="42">
        <v>5206295</v>
      </c>
      <c r="H3" s="42">
        <v>5219732</v>
      </c>
      <c r="I3" s="42">
        <v>5236611</v>
      </c>
      <c r="J3" s="42">
        <v>5255580</v>
      </c>
      <c r="K3" s="42">
        <v>5276955</v>
      </c>
      <c r="L3" s="42">
        <v>5300484</v>
      </c>
      <c r="M3" s="42">
        <v>5326314</v>
      </c>
      <c r="N3" s="42">
        <v>5351427</v>
      </c>
      <c r="O3" s="42">
        <v>5375276</v>
      </c>
      <c r="P3" s="42">
        <v>5401267</v>
      </c>
      <c r="Q3" s="42">
        <v>5426674</v>
      </c>
      <c r="R3" s="42">
        <v>5451270</v>
      </c>
      <c r="S3" s="42">
        <v>5471753</v>
      </c>
      <c r="T3" s="42">
        <v>5487308</v>
      </c>
      <c r="U3" s="42">
        <v>5503297</v>
      </c>
      <c r="V3" s="42">
        <v>5513130</v>
      </c>
      <c r="W3" s="42">
        <v>5517919</v>
      </c>
      <c r="X3" s="42">
        <v>5525292</v>
      </c>
      <c r="Y3" s="42">
        <v>5533793</v>
      </c>
    </row>
    <row r="4" spans="1:25" x14ac:dyDescent="0.25">
      <c r="A4" s="43" t="s">
        <v>239</v>
      </c>
      <c r="B4" s="44"/>
      <c r="C4" s="44"/>
      <c r="D4" s="45">
        <v>2275572</v>
      </c>
      <c r="E4" s="45">
        <v>2316466</v>
      </c>
      <c r="F4" s="45">
        <v>2360499</v>
      </c>
      <c r="G4" s="45">
        <v>2404886</v>
      </c>
      <c r="H4" s="45">
        <v>2451729</v>
      </c>
      <c r="I4" s="45">
        <v>2465448</v>
      </c>
      <c r="J4" s="45">
        <v>2484908</v>
      </c>
      <c r="K4" s="45">
        <v>2506867</v>
      </c>
      <c r="L4" s="45">
        <v>2536117</v>
      </c>
      <c r="M4" s="45">
        <v>2558268</v>
      </c>
      <c r="N4" s="45">
        <v>2582735</v>
      </c>
      <c r="O4" s="45">
        <v>2601779</v>
      </c>
      <c r="P4" s="45">
        <v>2625798</v>
      </c>
      <c r="Q4" s="45">
        <v>2648450</v>
      </c>
      <c r="R4" s="45">
        <v>2666962</v>
      </c>
      <c r="S4" s="45">
        <v>2699434</v>
      </c>
      <c r="T4" s="45">
        <v>2707108</v>
      </c>
      <c r="U4" s="45">
        <v>2737959</v>
      </c>
      <c r="V4" s="45">
        <v>2764860</v>
      </c>
      <c r="W4" s="45">
        <v>2818140</v>
      </c>
      <c r="X4" s="45">
        <v>2839307</v>
      </c>
      <c r="Y4" s="45">
        <v>2889709</v>
      </c>
    </row>
    <row r="5" spans="1:25" x14ac:dyDescent="0.25">
      <c r="A5" s="46" t="s">
        <v>240</v>
      </c>
      <c r="B5" s="47"/>
      <c r="C5" s="47"/>
      <c r="D5" s="48">
        <f>D3/D4</f>
        <v>2.2725284016502223</v>
      </c>
      <c r="E5" s="48">
        <f t="shared" ref="E5:S5" si="0">E3/E4</f>
        <v>2.2366462533877036</v>
      </c>
      <c r="F5" s="48">
        <f t="shared" si="0"/>
        <v>2.2007639062757494</v>
      </c>
      <c r="G5" s="48">
        <f t="shared" si="0"/>
        <v>2.1648822438984632</v>
      </c>
      <c r="H5" s="48">
        <f t="shared" si="0"/>
        <v>2.1290003911525295</v>
      </c>
      <c r="I5" s="48">
        <f t="shared" si="0"/>
        <v>2.1239997761056002</v>
      </c>
      <c r="J5" s="48">
        <f t="shared" si="0"/>
        <v>2.114999830979658</v>
      </c>
      <c r="K5" s="48">
        <f t="shared" si="0"/>
        <v>2.1049999860383499</v>
      </c>
      <c r="L5" s="48">
        <f t="shared" si="0"/>
        <v>2.089999791019105</v>
      </c>
      <c r="M5" s="48">
        <f t="shared" si="0"/>
        <v>2.0820000093813471</v>
      </c>
      <c r="N5" s="48">
        <f t="shared" si="0"/>
        <v>2.072000030974916</v>
      </c>
      <c r="O5" s="48">
        <f t="shared" si="0"/>
        <v>2.0660002252305056</v>
      </c>
      <c r="P5" s="48">
        <f t="shared" si="0"/>
        <v>2.0570001957500157</v>
      </c>
      <c r="Q5" s="48">
        <f t="shared" si="0"/>
        <v>2.0489999811210331</v>
      </c>
      <c r="R5" s="48">
        <f t="shared" si="0"/>
        <v>2.0439998770136207</v>
      </c>
      <c r="S5" s="48">
        <f t="shared" si="0"/>
        <v>2.0270001044663437</v>
      </c>
      <c r="T5" s="48">
        <f t="shared" ref="T5:Y5" si="1">T3/T4</f>
        <v>2.0270000310294232</v>
      </c>
      <c r="U5" s="48">
        <f t="shared" si="1"/>
        <v>2.0099997845110171</v>
      </c>
      <c r="V5" s="48">
        <f t="shared" si="1"/>
        <v>1.9939996961871487</v>
      </c>
      <c r="W5" s="48">
        <f t="shared" si="1"/>
        <v>1.9580003122626981</v>
      </c>
      <c r="X5" s="48">
        <f t="shared" si="1"/>
        <v>1.9460002035708008</v>
      </c>
      <c r="Y5" s="48">
        <f t="shared" si="1"/>
        <v>1.9150000917047356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5211.6899999999996</v>
      </c>
      <c r="E8" s="42">
        <v>5766.64</v>
      </c>
      <c r="F8" s="42">
        <v>5736.48</v>
      </c>
      <c r="G8" s="42">
        <v>5665.7</v>
      </c>
      <c r="H8" s="42">
        <v>5561.61</v>
      </c>
      <c r="I8" s="42">
        <v>5295.38</v>
      </c>
      <c r="J8" s="42">
        <v>5442.56</v>
      </c>
      <c r="K8" s="42">
        <v>5321.96</v>
      </c>
      <c r="L8" s="42">
        <v>5332.63</v>
      </c>
      <c r="M8" s="42">
        <v>5608.3</v>
      </c>
      <c r="N8" s="42">
        <v>6179.75</v>
      </c>
      <c r="O8" s="42">
        <v>5239.13</v>
      </c>
      <c r="P8" s="42">
        <v>5839.92</v>
      </c>
      <c r="Q8" s="42">
        <v>5238.58</v>
      </c>
      <c r="R8" s="42">
        <v>5237.1400000000003</v>
      </c>
      <c r="S8" s="42">
        <v>5014.74</v>
      </c>
      <c r="T8" s="42">
        <v>5325.9</v>
      </c>
      <c r="U8" s="42">
        <v>5508.23</v>
      </c>
      <c r="V8" s="42">
        <v>5349.59</v>
      </c>
      <c r="W8" s="42">
        <v>5482.97</v>
      </c>
      <c r="X8" s="42">
        <v>4871.03</v>
      </c>
      <c r="Y8" s="42">
        <v>5623.37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5439.5204761904761</v>
      </c>
      <c r="E9" s="45">
        <f t="shared" si="2"/>
        <v>5439.5204761904761</v>
      </c>
      <c r="F9" s="45">
        <f t="shared" si="2"/>
        <v>5439.5204761904761</v>
      </c>
      <c r="G9" s="45">
        <f t="shared" si="2"/>
        <v>5439.5204761904761</v>
      </c>
      <c r="H9" s="45">
        <f t="shared" si="2"/>
        <v>5439.5204761904761</v>
      </c>
      <c r="I9" s="45">
        <f t="shared" si="2"/>
        <v>5439.5204761904761</v>
      </c>
      <c r="J9" s="45">
        <f t="shared" si="2"/>
        <v>5439.5204761904761</v>
      </c>
      <c r="K9" s="45">
        <f t="shared" si="2"/>
        <v>5439.5204761904761</v>
      </c>
      <c r="L9" s="45">
        <f t="shared" si="2"/>
        <v>5439.5204761904761</v>
      </c>
      <c r="M9" s="45">
        <f t="shared" si="2"/>
        <v>5439.5204761904761</v>
      </c>
      <c r="N9" s="45">
        <f t="shared" si="2"/>
        <v>5439.5204761904761</v>
      </c>
      <c r="O9" s="45">
        <f t="shared" si="2"/>
        <v>5439.5204761904761</v>
      </c>
      <c r="P9" s="45">
        <f t="shared" si="2"/>
        <v>5439.5204761904761</v>
      </c>
      <c r="Q9" s="45">
        <f t="shared" si="2"/>
        <v>5439.5204761904761</v>
      </c>
      <c r="R9" s="45">
        <f t="shared" si="2"/>
        <v>5439.5204761904761</v>
      </c>
      <c r="S9" s="45">
        <f t="shared" si="2"/>
        <v>5439.5204761904761</v>
      </c>
      <c r="T9" s="45">
        <f t="shared" si="2"/>
        <v>5439.5204761904761</v>
      </c>
      <c r="U9" s="45">
        <f t="shared" si="2"/>
        <v>5439.5204761904761</v>
      </c>
      <c r="V9" s="45">
        <f t="shared" si="2"/>
        <v>5439.5204761904761</v>
      </c>
      <c r="W9" s="45">
        <f t="shared" si="2"/>
        <v>5439.5204761904761</v>
      </c>
      <c r="X9" s="45">
        <f>AVERAGE($D8:$X8)</f>
        <v>5439.5204761904761</v>
      </c>
      <c r="Y9" s="45">
        <f t="shared" ref="Y9" si="3">AVERAGE($D8:$X8)</f>
        <v>5439.5204761904761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0.958115705752424</v>
      </c>
      <c r="E10" s="53">
        <f t="shared" si="4"/>
        <v>1.0601375663978785</v>
      </c>
      <c r="F10" s="53">
        <f t="shared" si="4"/>
        <v>1.054592960006191</v>
      </c>
      <c r="G10" s="53">
        <f t="shared" si="4"/>
        <v>1.0415807836002351</v>
      </c>
      <c r="H10" s="53">
        <f t="shared" si="4"/>
        <v>1.0224449056390037</v>
      </c>
      <c r="I10" s="53">
        <f t="shared" si="4"/>
        <v>0.97350125313041869</v>
      </c>
      <c r="J10" s="53">
        <f t="shared" si="4"/>
        <v>1.0005587852500655</v>
      </c>
      <c r="K10" s="53">
        <f t="shared" si="4"/>
        <v>0.9783877132726948</v>
      </c>
      <c r="L10" s="53">
        <f t="shared" si="4"/>
        <v>0.98034928323951531</v>
      </c>
      <c r="M10" s="53">
        <f t="shared" si="4"/>
        <v>1.0310283828415199</v>
      </c>
      <c r="N10" s="53">
        <f t="shared" si="4"/>
        <v>1.1360835991057685</v>
      </c>
      <c r="O10" s="53">
        <f t="shared" si="4"/>
        <v>0.96316026806634658</v>
      </c>
      <c r="P10" s="53">
        <f t="shared" si="4"/>
        <v>1.0736093421400152</v>
      </c>
      <c r="Q10" s="53">
        <f t="shared" si="4"/>
        <v>0.96305915621238669</v>
      </c>
      <c r="R10" s="53">
        <f t="shared" si="4"/>
        <v>0.9627944269947466</v>
      </c>
      <c r="S10" s="53">
        <f t="shared" si="4"/>
        <v>0.92190847004808629</v>
      </c>
      <c r="T10" s="53">
        <f t="shared" ref="T10:Y10" si="5">IF(T8=0,0,T8/T9)</f>
        <v>0.97911204182651601</v>
      </c>
      <c r="U10" s="53">
        <f t="shared" si="5"/>
        <v>1.0126315406128674</v>
      </c>
      <c r="V10" s="53">
        <f t="shared" si="5"/>
        <v>0.98346720513616703</v>
      </c>
      <c r="W10" s="53">
        <f t="shared" si="5"/>
        <v>1.0079877489200948</v>
      </c>
      <c r="X10" s="53">
        <f t="shared" si="5"/>
        <v>0.89548886180705878</v>
      </c>
      <c r="Y10" s="53">
        <f t="shared" si="5"/>
        <v>1.0337988476400186</v>
      </c>
    </row>
    <row r="11" spans="1:25" x14ac:dyDescent="0.25">
      <c r="A11" s="43" t="s">
        <v>251</v>
      </c>
      <c r="B11" s="44"/>
      <c r="C11" s="44"/>
      <c r="D11" s="45">
        <v>0.8</v>
      </c>
      <c r="E11" s="45">
        <v>0.33</v>
      </c>
      <c r="F11" s="45">
        <v>0.05</v>
      </c>
      <c r="G11" s="45">
        <v>4.38</v>
      </c>
      <c r="H11" s="45">
        <v>0</v>
      </c>
      <c r="I11" s="45">
        <v>0.01</v>
      </c>
      <c r="J11" s="45">
        <v>0.71</v>
      </c>
      <c r="K11" s="45">
        <v>0</v>
      </c>
      <c r="L11" s="45">
        <v>0</v>
      </c>
      <c r="M11" s="45">
        <v>0</v>
      </c>
      <c r="N11" s="45">
        <v>16.13</v>
      </c>
      <c r="O11" s="45">
        <v>2.11</v>
      </c>
      <c r="P11" s="45">
        <v>0.41</v>
      </c>
      <c r="Q11" s="45">
        <v>1.21</v>
      </c>
      <c r="R11" s="45">
        <v>2.36</v>
      </c>
      <c r="S11" s="45">
        <v>0</v>
      </c>
      <c r="T11" s="45">
        <v>0</v>
      </c>
      <c r="U11" s="45">
        <v>0</v>
      </c>
      <c r="V11" s="45">
        <v>9.2200000000000006</v>
      </c>
      <c r="W11" s="45">
        <v>0.96</v>
      </c>
      <c r="X11" s="45">
        <v>0.42</v>
      </c>
      <c r="Y11" s="45">
        <v>8.0399999999999991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1.861904761904762</v>
      </c>
      <c r="E12" s="45">
        <f t="shared" ref="E12" si="7">AVERAGE($D11:$X11)</f>
        <v>1.861904761904762</v>
      </c>
      <c r="F12" s="45">
        <f t="shared" ref="F12" si="8">AVERAGE($D11:$X11)</f>
        <v>1.861904761904762</v>
      </c>
      <c r="G12" s="45">
        <f t="shared" ref="G12" si="9">AVERAGE($D11:$X11)</f>
        <v>1.861904761904762</v>
      </c>
      <c r="H12" s="45">
        <f t="shared" ref="H12" si="10">AVERAGE($D11:$X11)</f>
        <v>1.861904761904762</v>
      </c>
      <c r="I12" s="45">
        <f t="shared" ref="I12" si="11">AVERAGE($D11:$X11)</f>
        <v>1.861904761904762</v>
      </c>
      <c r="J12" s="45">
        <f t="shared" ref="J12" si="12">AVERAGE($D11:$X11)</f>
        <v>1.861904761904762</v>
      </c>
      <c r="K12" s="45">
        <f t="shared" ref="K12" si="13">AVERAGE($D11:$X11)</f>
        <v>1.861904761904762</v>
      </c>
      <c r="L12" s="45">
        <f t="shared" ref="L12" si="14">AVERAGE($D11:$X11)</f>
        <v>1.861904761904762</v>
      </c>
      <c r="M12" s="45">
        <f t="shared" ref="M12" si="15">AVERAGE($D11:$X11)</f>
        <v>1.861904761904762</v>
      </c>
      <c r="N12" s="45">
        <f t="shared" ref="N12" si="16">AVERAGE($D11:$X11)</f>
        <v>1.861904761904762</v>
      </c>
      <c r="O12" s="45">
        <f t="shared" ref="O12" si="17">AVERAGE($D11:$X11)</f>
        <v>1.861904761904762</v>
      </c>
      <c r="P12" s="45">
        <f t="shared" ref="P12" si="18">AVERAGE($D11:$X11)</f>
        <v>1.861904761904762</v>
      </c>
      <c r="Q12" s="45">
        <f t="shared" ref="Q12" si="19">AVERAGE($D11:$X11)</f>
        <v>1.861904761904762</v>
      </c>
      <c r="R12" s="45">
        <f t="shared" ref="R12" si="20">AVERAGE($D11:$X11)</f>
        <v>1.861904761904762</v>
      </c>
      <c r="S12" s="45">
        <f t="shared" ref="S12" si="21">AVERAGE($D11:$X11)</f>
        <v>1.861904761904762</v>
      </c>
      <c r="T12" s="45">
        <f t="shared" ref="T12" si="22">AVERAGE($D11:$X11)</f>
        <v>1.861904761904762</v>
      </c>
      <c r="U12" s="45">
        <f t="shared" ref="U12" si="23">AVERAGE($D11:$X11)</f>
        <v>1.861904761904762</v>
      </c>
      <c r="V12" s="45">
        <f t="shared" ref="V12" si="24">AVERAGE($D11:$X11)</f>
        <v>1.861904761904762</v>
      </c>
      <c r="W12" s="45">
        <f t="shared" ref="W12" si="25">AVERAGE($D11:$X11)</f>
        <v>1.861904761904762</v>
      </c>
      <c r="X12" s="45">
        <f>AVERAGE($D11:$X11)</f>
        <v>1.861904761904762</v>
      </c>
      <c r="Y12" s="45">
        <f t="shared" ref="Y12" si="26">AVERAGE($D11:$X11)</f>
        <v>1.861904761904762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0.42966751918158569</v>
      </c>
      <c r="E13" s="55">
        <f t="shared" si="27"/>
        <v>0.17723785166240411</v>
      </c>
      <c r="F13" s="55">
        <f t="shared" ref="F13" si="28">IF(F11=0,0,F11/F12)</f>
        <v>2.6854219948849106E-2</v>
      </c>
      <c r="G13" s="55">
        <f t="shared" ref="G13" si="29">IF(G11=0,0,G11/G12)</f>
        <v>2.3524296675191816</v>
      </c>
      <c r="H13" s="55">
        <f t="shared" ref="H13" si="30">IF(H11=0,0,H11/H12)</f>
        <v>0</v>
      </c>
      <c r="I13" s="55">
        <f t="shared" ref="I13" si="31">IF(I11=0,0,I11/I12)</f>
        <v>5.3708439897698209E-3</v>
      </c>
      <c r="J13" s="55">
        <f t="shared" ref="J13" si="32">IF(J11=0,0,J11/J12)</f>
        <v>0.38132992327365728</v>
      </c>
      <c r="K13" s="55">
        <f t="shared" ref="K13" si="33">IF(K11=0,0,K11/K12)</f>
        <v>0</v>
      </c>
      <c r="L13" s="55">
        <f t="shared" ref="L13" si="34">IF(L11=0,0,L11/L12)</f>
        <v>0</v>
      </c>
      <c r="M13" s="55">
        <f t="shared" ref="M13" si="35">IF(M11=0,0,M11/M12)</f>
        <v>0</v>
      </c>
      <c r="N13" s="55">
        <f t="shared" ref="N13" si="36">IF(N11=0,0,N11/N12)</f>
        <v>8.6631713554987204</v>
      </c>
      <c r="O13" s="55">
        <f t="shared" ref="O13" si="37">IF(O11=0,0,O11/O12)</f>
        <v>1.1332480818414321</v>
      </c>
      <c r="P13" s="55">
        <f t="shared" ref="P13" si="38">IF(P11=0,0,P11/P12)</f>
        <v>0.22020460358056265</v>
      </c>
      <c r="Q13" s="55">
        <f t="shared" ref="Q13" si="39">IF(Q11=0,0,Q11/Q12)</f>
        <v>0.64987212276214834</v>
      </c>
      <c r="R13" s="55">
        <f t="shared" ref="R13" si="40">IF(R11=0,0,R11/R12)</f>
        <v>1.2675191815856777</v>
      </c>
      <c r="S13" s="55">
        <f t="shared" ref="S13:Y13" si="41">IF(S11=0,0,S11/S12)</f>
        <v>0</v>
      </c>
      <c r="T13" s="55">
        <f t="shared" si="41"/>
        <v>0</v>
      </c>
      <c r="U13" s="55">
        <f t="shared" si="41"/>
        <v>0</v>
      </c>
      <c r="V13" s="55">
        <f t="shared" si="41"/>
        <v>4.951918158567775</v>
      </c>
      <c r="W13" s="55">
        <f t="shared" si="41"/>
        <v>0.51560102301790278</v>
      </c>
      <c r="X13" s="55">
        <f t="shared" si="41"/>
        <v>0.22557544757033246</v>
      </c>
      <c r="Y13" s="55">
        <f t="shared" si="41"/>
        <v>4.3181585677749359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176742.92080105704</v>
      </c>
      <c r="E16" s="42">
        <v>181353.99816925605</v>
      </c>
      <c r="F16" s="42">
        <v>184450.07577451493</v>
      </c>
      <c r="G16" s="42">
        <v>188148.13896396957</v>
      </c>
      <c r="H16" s="42">
        <v>195656.94285256526</v>
      </c>
      <c r="I16" s="42">
        <v>201097.76051969617</v>
      </c>
      <c r="J16" s="42">
        <v>209196.83476914142</v>
      </c>
      <c r="K16" s="42">
        <v>220281.66360510571</v>
      </c>
      <c r="L16" s="42">
        <v>222009.53110179081</v>
      </c>
      <c r="M16" s="42">
        <v>204083.9930380102</v>
      </c>
      <c r="N16" s="42">
        <v>210585.0486327972</v>
      </c>
      <c r="O16" s="42">
        <v>215949.91656396218</v>
      </c>
      <c r="P16" s="42">
        <v>212931.34492765903</v>
      </c>
      <c r="Q16" s="42">
        <v>211012.19675923538</v>
      </c>
      <c r="R16" s="42">
        <v>210241.94941519576</v>
      </c>
      <c r="S16" s="42">
        <v>211385</v>
      </c>
      <c r="T16" s="42">
        <v>217328.92383626243</v>
      </c>
      <c r="U16" s="42">
        <v>224266.89922403797</v>
      </c>
      <c r="V16" s="42">
        <v>226822.89389567362</v>
      </c>
      <c r="W16" s="42">
        <v>229599.49458207298</v>
      </c>
      <c r="X16" s="42">
        <v>224194.01930774664</v>
      </c>
      <c r="Y16" s="42">
        <v>230554.99346958299</v>
      </c>
    </row>
    <row r="17" spans="1:25" x14ac:dyDescent="0.25">
      <c r="A17" s="46" t="s">
        <v>141</v>
      </c>
      <c r="B17" s="47"/>
      <c r="C17" s="47"/>
      <c r="D17" s="57">
        <v>85211.460823893693</v>
      </c>
      <c r="E17" s="57">
        <v>87497.614534166234</v>
      </c>
      <c r="F17" s="57">
        <v>89684.566278633123</v>
      </c>
      <c r="G17" s="57">
        <v>93385.469598195472</v>
      </c>
      <c r="H17" s="57">
        <v>96889.17452509547</v>
      </c>
      <c r="I17" s="57">
        <v>99964.536838887187</v>
      </c>
      <c r="J17" s="57">
        <v>103883.54198325975</v>
      </c>
      <c r="K17" s="57">
        <v>107521.8307026055</v>
      </c>
      <c r="L17" s="57">
        <v>109638.18198462103</v>
      </c>
      <c r="M17" s="57">
        <v>106435.09315723863</v>
      </c>
      <c r="N17" s="57">
        <v>109623.92197238922</v>
      </c>
      <c r="O17" s="57">
        <v>112797.10238110548</v>
      </c>
      <c r="P17" s="57">
        <v>113230.84940072954</v>
      </c>
      <c r="Q17" s="57">
        <v>112639.77209136695</v>
      </c>
      <c r="R17" s="57">
        <v>113323.15327352549</v>
      </c>
      <c r="S17" s="57">
        <v>115144</v>
      </c>
      <c r="T17" s="57">
        <v>117941.57859545122</v>
      </c>
      <c r="U17" s="57">
        <v>118833.40741838297</v>
      </c>
      <c r="V17" s="57">
        <v>120867.18224285393</v>
      </c>
      <c r="W17" s="57">
        <v>121752.6918062865</v>
      </c>
      <c r="X17" s="57">
        <v>117172.55317101338</v>
      </c>
      <c r="Y17" s="57">
        <v>120970.58131325018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34177.644392274335</v>
      </c>
      <c r="E20" s="42">
        <f t="shared" ref="E20:S20" si="42">1000000*E16/E$3</f>
        <v>35002.889951150675</v>
      </c>
      <c r="F20" s="42">
        <f t="shared" si="42"/>
        <v>35505.98476747005</v>
      </c>
      <c r="G20" s="42">
        <f t="shared" si="42"/>
        <v>36138.585878051395</v>
      </c>
      <c r="H20" s="42">
        <f t="shared" si="42"/>
        <v>37484.09743116414</v>
      </c>
      <c r="I20" s="42">
        <f t="shared" si="42"/>
        <v>38402.27210302544</v>
      </c>
      <c r="J20" s="42">
        <f t="shared" si="42"/>
        <v>39804.709426769536</v>
      </c>
      <c r="K20" s="42">
        <f t="shared" si="42"/>
        <v>41744.086050592756</v>
      </c>
      <c r="L20" s="42">
        <f t="shared" si="42"/>
        <v>41884.765825496463</v>
      </c>
      <c r="M20" s="42">
        <f t="shared" si="42"/>
        <v>38316.177573836278</v>
      </c>
      <c r="N20" s="42">
        <f t="shared" si="42"/>
        <v>39351.195229384088</v>
      </c>
      <c r="O20" s="42">
        <f t="shared" si="42"/>
        <v>40174.665740691678</v>
      </c>
      <c r="P20" s="42">
        <f t="shared" si="42"/>
        <v>39422.480860075797</v>
      </c>
      <c r="Q20" s="42">
        <f t="shared" si="42"/>
        <v>38884.258895823739</v>
      </c>
      <c r="R20" s="42">
        <f t="shared" si="42"/>
        <v>38567.517186856596</v>
      </c>
      <c r="S20" s="42">
        <f t="shared" si="42"/>
        <v>38632.043515122117</v>
      </c>
      <c r="T20" s="42">
        <f t="shared" ref="T20:Y20" si="43">1000000*T16/T$3</f>
        <v>39605.745446813344</v>
      </c>
      <c r="U20" s="42">
        <f t="shared" si="43"/>
        <v>40751.371264178175</v>
      </c>
      <c r="V20" s="42">
        <f t="shared" si="43"/>
        <v>41142.308252421695</v>
      </c>
      <c r="W20" s="42">
        <f t="shared" si="43"/>
        <v>41609.797929631255</v>
      </c>
      <c r="X20" s="42">
        <f t="shared" si="43"/>
        <v>40575.958575175151</v>
      </c>
      <c r="Y20" s="42">
        <f t="shared" si="43"/>
        <v>41663.104035438802</v>
      </c>
    </row>
    <row r="21" spans="1:25" x14ac:dyDescent="0.25">
      <c r="A21" s="46" t="s">
        <v>141</v>
      </c>
      <c r="B21" s="47"/>
      <c r="C21" s="47"/>
      <c r="D21" s="57">
        <f>1000000*D17/D$3</f>
        <v>16477.75759835602</v>
      </c>
      <c r="E21" s="57">
        <f t="shared" ref="E21:S21" si="44">1000000*E17/E$3</f>
        <v>16887.796262805638</v>
      </c>
      <c r="F21" s="57">
        <f t="shared" si="44"/>
        <v>17263.960618043177</v>
      </c>
      <c r="G21" s="57">
        <f t="shared" si="44"/>
        <v>17937.029998913906</v>
      </c>
      <c r="H21" s="57">
        <f t="shared" si="44"/>
        <v>18562.097541616211</v>
      </c>
      <c r="I21" s="57">
        <f t="shared" si="44"/>
        <v>19089.547961245775</v>
      </c>
      <c r="J21" s="57">
        <f t="shared" si="44"/>
        <v>19766.332542413918</v>
      </c>
      <c r="K21" s="57">
        <f t="shared" si="44"/>
        <v>20375.733865952145</v>
      </c>
      <c r="L21" s="57">
        <f t="shared" si="44"/>
        <v>20684.560501384596</v>
      </c>
      <c r="M21" s="57">
        <f t="shared" si="44"/>
        <v>19982.879934836481</v>
      </c>
      <c r="N21" s="57">
        <f t="shared" si="44"/>
        <v>20484.988765125494</v>
      </c>
      <c r="O21" s="57">
        <f t="shared" si="44"/>
        <v>20984.429893666016</v>
      </c>
      <c r="P21" s="57">
        <f t="shared" si="44"/>
        <v>20963.757096386744</v>
      </c>
      <c r="Q21" s="57">
        <f t="shared" si="44"/>
        <v>20756.686709274767</v>
      </c>
      <c r="R21" s="57">
        <f t="shared" si="44"/>
        <v>20788.394864595863</v>
      </c>
      <c r="S21" s="57">
        <f t="shared" si="44"/>
        <v>21043.347534144908</v>
      </c>
      <c r="T21" s="57">
        <f t="shared" ref="T21:Y21" si="45">1000000*T17/T$3</f>
        <v>21493.522615360976</v>
      </c>
      <c r="U21" s="57">
        <f t="shared" si="45"/>
        <v>21593.129976154833</v>
      </c>
      <c r="V21" s="57">
        <f t="shared" si="45"/>
        <v>21923.513910039113</v>
      </c>
      <c r="W21" s="57">
        <f t="shared" si="45"/>
        <v>22064.965398420401</v>
      </c>
      <c r="X21" s="57">
        <f t="shared" si="45"/>
        <v>21206.581149197795</v>
      </c>
      <c r="Y21" s="57">
        <f t="shared" si="45"/>
        <v>21860.337261124547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156890.34326867477</v>
      </c>
      <c r="E23" s="60">
        <v>161196.86475124411</v>
      </c>
      <c r="F23" s="60">
        <v>163352.40102363392</v>
      </c>
      <c r="G23" s="60">
        <v>165264.32707667732</v>
      </c>
      <c r="H23" s="60">
        <v>171649.91728190819</v>
      </c>
      <c r="I23" s="60">
        <v>176082.46161375177</v>
      </c>
      <c r="J23" s="60">
        <v>182770.20064254108</v>
      </c>
      <c r="K23" s="60">
        <v>193741.885224617</v>
      </c>
      <c r="L23" s="60">
        <v>195516.4131305044</v>
      </c>
      <c r="M23" s="60">
        <v>178659.59812653734</v>
      </c>
      <c r="N23" s="60">
        <v>184438.49548600998</v>
      </c>
      <c r="O23" s="60">
        <v>187957.89150819386</v>
      </c>
      <c r="P23" s="60">
        <v>184380.90586711399</v>
      </c>
      <c r="Q23" s="60">
        <v>182437.82590215938</v>
      </c>
      <c r="R23" s="60">
        <v>181876.56737415135</v>
      </c>
      <c r="S23" s="60">
        <v>182599</v>
      </c>
      <c r="T23" s="60">
        <v>187362.1484347661</v>
      </c>
      <c r="U23" s="60">
        <v>194144.13967561131</v>
      </c>
      <c r="V23" s="60">
        <v>195575.67690977451</v>
      </c>
      <c r="W23" s="60">
        <v>198459.55002393489</v>
      </c>
      <c r="X23" s="60">
        <v>193952.56507954426</v>
      </c>
      <c r="Y23" s="60">
        <v>199629.61260971462</v>
      </c>
    </row>
    <row r="24" spans="1:25" x14ac:dyDescent="0.25">
      <c r="A24" s="61" t="s">
        <v>33</v>
      </c>
      <c r="B24" s="62"/>
      <c r="C24" s="62"/>
      <c r="D24" s="63">
        <v>5296.2203648215318</v>
      </c>
      <c r="E24" s="63">
        <v>5062.4897116736101</v>
      </c>
      <c r="F24" s="63">
        <v>4977.6707310953889</v>
      </c>
      <c r="G24" s="63">
        <v>4802.3162939297126</v>
      </c>
      <c r="H24" s="63">
        <v>4664.3126990789897</v>
      </c>
      <c r="I24" s="63">
        <v>4590.4447299198628</v>
      </c>
      <c r="J24" s="63">
        <v>4194.7020670424927</v>
      </c>
      <c r="K24" s="63">
        <v>5256.0137862656693</v>
      </c>
      <c r="L24" s="63">
        <v>4899.9199359487584</v>
      </c>
      <c r="M24" s="63">
        <v>4600.5413723001584</v>
      </c>
      <c r="N24" s="63">
        <v>5097.5604292210846</v>
      </c>
      <c r="O24" s="63">
        <v>5034.6157216720712</v>
      </c>
      <c r="P24" s="63">
        <v>4940.2246618393392</v>
      </c>
      <c r="Q24" s="63">
        <v>5014.3578366834954</v>
      </c>
      <c r="R24" s="63">
        <v>5058.4133586152066</v>
      </c>
      <c r="S24" s="63">
        <v>4764</v>
      </c>
      <c r="T24" s="63">
        <v>5025.1457252267119</v>
      </c>
      <c r="U24" s="63">
        <v>5199.1468677148951</v>
      </c>
      <c r="V24" s="63">
        <v>5413.3351468459459</v>
      </c>
      <c r="W24" s="63">
        <v>5394.9258018190521</v>
      </c>
      <c r="X24" s="63">
        <v>5491.424646966404</v>
      </c>
      <c r="Y24" s="63">
        <v>5613.7126051192499</v>
      </c>
    </row>
    <row r="25" spans="1:25" x14ac:dyDescent="0.25">
      <c r="A25" s="64" t="s">
        <v>56</v>
      </c>
      <c r="B25" s="65"/>
      <c r="C25" s="65"/>
      <c r="D25" s="66">
        <v>371.91820427903065</v>
      </c>
      <c r="E25" s="66">
        <v>417.86433337976268</v>
      </c>
      <c r="F25" s="66">
        <v>439.05865823674048</v>
      </c>
      <c r="G25" s="66">
        <v>468.0011980830671</v>
      </c>
      <c r="H25" s="66">
        <v>479.02417343638109</v>
      </c>
      <c r="I25" s="66">
        <v>471.03444057013519</v>
      </c>
      <c r="J25" s="66">
        <v>634.05467660786815</v>
      </c>
      <c r="K25" s="66">
        <v>665.70666414862728</v>
      </c>
      <c r="L25" s="66">
        <v>765.18357543177387</v>
      </c>
      <c r="M25" s="66">
        <v>699.74054564038056</v>
      </c>
      <c r="N25" s="66">
        <v>920.71955016913455</v>
      </c>
      <c r="O25" s="66">
        <v>899.35150293576373</v>
      </c>
      <c r="P25" s="66">
        <v>865.30906928842921</v>
      </c>
      <c r="Q25" s="66">
        <v>615.78014368203355</v>
      </c>
      <c r="R25" s="66">
        <v>554.57010622464168</v>
      </c>
      <c r="S25" s="66">
        <v>641</v>
      </c>
      <c r="T25" s="66">
        <v>673.88543947528922</v>
      </c>
      <c r="U25" s="66">
        <v>932.49342790536173</v>
      </c>
      <c r="V25" s="66">
        <v>962.78089205390017</v>
      </c>
      <c r="W25" s="66">
        <v>823.36045955002396</v>
      </c>
      <c r="X25" s="66">
        <v>926.68378914886205</v>
      </c>
      <c r="Y25" s="66">
        <v>977.89623638619548</v>
      </c>
    </row>
    <row r="26" spans="1:25" x14ac:dyDescent="0.25">
      <c r="A26" s="67" t="s">
        <v>146</v>
      </c>
      <c r="B26" s="44"/>
      <c r="C26" s="44"/>
      <c r="D26" s="45">
        <v>97209.956368606421</v>
      </c>
      <c r="E26" s="45">
        <v>101851.26562242793</v>
      </c>
      <c r="F26" s="45">
        <v>104607.6070048673</v>
      </c>
      <c r="G26" s="45">
        <v>106958.86581469647</v>
      </c>
      <c r="H26" s="45">
        <v>111742.26524111706</v>
      </c>
      <c r="I26" s="45">
        <v>115146.51006300851</v>
      </c>
      <c r="J26" s="45">
        <v>117737.77050372794</v>
      </c>
      <c r="K26" s="45">
        <v>123633.76690824107</v>
      </c>
      <c r="L26" s="45">
        <v>127996.11117465404</v>
      </c>
      <c r="M26" s="45">
        <v>124647.04098480337</v>
      </c>
      <c r="N26" s="45">
        <v>127376.28531105089</v>
      </c>
      <c r="O26" s="45">
        <v>131793.88309525899</v>
      </c>
      <c r="P26" s="45">
        <v>132689.57169855392</v>
      </c>
      <c r="Q26" s="45">
        <v>131104.15392430261</v>
      </c>
      <c r="R26" s="45">
        <v>131213.93765164027</v>
      </c>
      <c r="S26" s="45">
        <v>131721</v>
      </c>
      <c r="T26" s="45">
        <v>134473.13956627372</v>
      </c>
      <c r="U26" s="45">
        <v>137461.43544467038</v>
      </c>
      <c r="V26" s="45">
        <v>139050.43184269071</v>
      </c>
      <c r="W26" s="45">
        <v>141568.21445667782</v>
      </c>
      <c r="X26" s="45">
        <v>137932.88363297677</v>
      </c>
      <c r="Y26" s="45">
        <v>142254.49198106705</v>
      </c>
    </row>
    <row r="27" spans="1:25" x14ac:dyDescent="0.25">
      <c r="A27" s="68" t="s">
        <v>148</v>
      </c>
      <c r="B27" s="69"/>
      <c r="C27" s="69"/>
      <c r="D27" s="70">
        <v>42013.615097513539</v>
      </c>
      <c r="E27" s="70">
        <v>43423.70177149152</v>
      </c>
      <c r="F27" s="70">
        <v>44658.537809222747</v>
      </c>
      <c r="G27" s="70">
        <v>45955.221645367412</v>
      </c>
      <c r="H27" s="70">
        <v>47404.874194424541</v>
      </c>
      <c r="I27" s="70">
        <v>49123.386554107783</v>
      </c>
      <c r="J27" s="70">
        <v>50023.640661938531</v>
      </c>
      <c r="K27" s="70">
        <v>51512.003965912052</v>
      </c>
      <c r="L27" s="70">
        <v>52902.893743566274</v>
      </c>
      <c r="M27" s="70">
        <v>52417.642896454119</v>
      </c>
      <c r="N27" s="70">
        <v>53810.569233181748</v>
      </c>
      <c r="O27" s="70">
        <v>55058.71527473491</v>
      </c>
      <c r="P27" s="70">
        <v>55516.743465058491</v>
      </c>
      <c r="Q27" s="70">
        <v>54651.006085234752</v>
      </c>
      <c r="R27" s="70">
        <v>53966.603461985433</v>
      </c>
      <c r="S27" s="70">
        <v>53685</v>
      </c>
      <c r="T27" s="70">
        <v>54125.798614235588</v>
      </c>
      <c r="U27" s="70">
        <v>53970.537175735328</v>
      </c>
      <c r="V27" s="70">
        <v>54297.53912815381</v>
      </c>
      <c r="W27" s="70">
        <v>55500.239348970805</v>
      </c>
      <c r="X27" s="70">
        <v>52161.478178243153</v>
      </c>
      <c r="Y27" s="70">
        <v>53776.02132254951</v>
      </c>
    </row>
    <row r="28" spans="1:25" x14ac:dyDescent="0.25">
      <c r="A28" s="68" t="s">
        <v>150</v>
      </c>
      <c r="B28" s="71"/>
      <c r="C28" s="71"/>
      <c r="D28" s="70">
        <v>38435.052305104342</v>
      </c>
      <c r="E28" s="70">
        <v>40819.014093424332</v>
      </c>
      <c r="F28" s="70">
        <v>41871.142556074075</v>
      </c>
      <c r="G28" s="70">
        <v>42690.445287539929</v>
      </c>
      <c r="H28" s="70">
        <v>45196.17768339959</v>
      </c>
      <c r="I28" s="70">
        <v>46145.470116841017</v>
      </c>
      <c r="J28" s="70">
        <v>48069.34594168637</v>
      </c>
      <c r="K28" s="70">
        <v>51170.888317084115</v>
      </c>
      <c r="L28" s="70">
        <v>52929.200503259752</v>
      </c>
      <c r="M28" s="70">
        <v>52085.181898846495</v>
      </c>
      <c r="N28" s="70">
        <v>53053.38381236139</v>
      </c>
      <c r="O28" s="70">
        <v>55067.478748575937</v>
      </c>
      <c r="P28" s="70">
        <v>55321.385343893991</v>
      </c>
      <c r="Q28" s="70">
        <v>55349.719581601239</v>
      </c>
      <c r="R28" s="70">
        <v>56886.25196240341</v>
      </c>
      <c r="S28" s="70">
        <v>57875</v>
      </c>
      <c r="T28" s="70">
        <v>60077.786776248053</v>
      </c>
      <c r="U28" s="70">
        <v>62519.71628391448</v>
      </c>
      <c r="V28" s="70">
        <v>63908.832130262024</v>
      </c>
      <c r="W28" s="70">
        <v>65191.000478697941</v>
      </c>
      <c r="X28" s="70">
        <v>64773.785667917924</v>
      </c>
      <c r="Y28" s="70">
        <v>67064.013602316059</v>
      </c>
    </row>
    <row r="29" spans="1:25" x14ac:dyDescent="0.25">
      <c r="A29" s="68" t="s">
        <v>152</v>
      </c>
      <c r="B29" s="71"/>
      <c r="C29" s="71"/>
      <c r="D29" s="70">
        <v>16761.288965988533</v>
      </c>
      <c r="E29" s="70">
        <v>17608.549757512068</v>
      </c>
      <c r="F29" s="70">
        <v>18077.926639570487</v>
      </c>
      <c r="G29" s="70">
        <v>18313.198881789129</v>
      </c>
      <c r="H29" s="70">
        <v>19141.213363292911</v>
      </c>
      <c r="I29" s="70">
        <v>19877.653392059703</v>
      </c>
      <c r="J29" s="70">
        <v>19644.78390010303</v>
      </c>
      <c r="K29" s="70">
        <v>20950.874625244909</v>
      </c>
      <c r="L29" s="70">
        <v>22164.016927827994</v>
      </c>
      <c r="M29" s="70">
        <v>20144.216189502753</v>
      </c>
      <c r="N29" s="70">
        <v>20512.332265507754</v>
      </c>
      <c r="O29" s="70">
        <v>21667.689071948134</v>
      </c>
      <c r="P29" s="70">
        <v>21851.442889601425</v>
      </c>
      <c r="Q29" s="70">
        <v>21103.428257466596</v>
      </c>
      <c r="R29" s="70">
        <v>20361.082227251416</v>
      </c>
      <c r="S29" s="70">
        <v>20161</v>
      </c>
      <c r="T29" s="70">
        <v>20269.554175790112</v>
      </c>
      <c r="U29" s="70">
        <v>20971.181985020557</v>
      </c>
      <c r="V29" s="70">
        <v>20844.060584274885</v>
      </c>
      <c r="W29" s="70">
        <v>20876.974629009084</v>
      </c>
      <c r="X29" s="70">
        <v>20997.619786815696</v>
      </c>
      <c r="Y29" s="70">
        <v>21414.457056201467</v>
      </c>
    </row>
    <row r="30" spans="1:25" x14ac:dyDescent="0.25">
      <c r="A30" s="64" t="s">
        <v>154</v>
      </c>
      <c r="B30" s="65"/>
      <c r="C30" s="65"/>
      <c r="D30" s="66">
        <v>2847.8683698680547</v>
      </c>
      <c r="E30" s="66">
        <v>3204.8928114672108</v>
      </c>
      <c r="F30" s="66">
        <v>3839.8815796076069</v>
      </c>
      <c r="G30" s="66">
        <v>4062.2503993610221</v>
      </c>
      <c r="H30" s="66">
        <v>4705.0544457887845</v>
      </c>
      <c r="I30" s="66">
        <v>4109.6225607145043</v>
      </c>
      <c r="J30" s="66">
        <v>4673.5770140025461</v>
      </c>
      <c r="K30" s="66">
        <v>4841.717617619981</v>
      </c>
      <c r="L30" s="66">
        <v>4578.5199588242021</v>
      </c>
      <c r="M30" s="66">
        <v>4844.2712252760211</v>
      </c>
      <c r="N30" s="66">
        <v>5300.2979457425117</v>
      </c>
      <c r="O30" s="66">
        <v>4903.1636140566116</v>
      </c>
      <c r="P30" s="66">
        <v>4897.755505064446</v>
      </c>
      <c r="Q30" s="66">
        <v>4922.094481822046</v>
      </c>
      <c r="R30" s="66">
        <v>4640.4469182620751</v>
      </c>
      <c r="S30" s="66">
        <v>4515</v>
      </c>
      <c r="T30" s="66">
        <v>4429.2470280052394</v>
      </c>
      <c r="U30" s="66">
        <v>5049.3527106790334</v>
      </c>
      <c r="V30" s="66">
        <v>4717.7235235254684</v>
      </c>
      <c r="W30" s="66">
        <v>5200.5744375299182</v>
      </c>
      <c r="X30" s="66">
        <v>4726.5577225217094</v>
      </c>
      <c r="Y30" s="66">
        <v>4689.1227425210236</v>
      </c>
    </row>
    <row r="31" spans="1:25" x14ac:dyDescent="0.25">
      <c r="A31" s="64" t="s">
        <v>37</v>
      </c>
      <c r="B31" s="65"/>
      <c r="C31" s="65"/>
      <c r="D31" s="66">
        <v>9651.4745308310994</v>
      </c>
      <c r="E31" s="66">
        <v>9451.3314677168146</v>
      </c>
      <c r="F31" s="66">
        <v>9099.8043052837584</v>
      </c>
      <c r="G31" s="66">
        <v>9549.7204472843459</v>
      </c>
      <c r="H31" s="66">
        <v>10282.969949875305</v>
      </c>
      <c r="I31" s="66">
        <v>11324.402030953692</v>
      </c>
      <c r="J31" s="66">
        <v>12007.031581499667</v>
      </c>
      <c r="K31" s="66">
        <v>13030.853851419939</v>
      </c>
      <c r="L31" s="66">
        <v>13523.962026764268</v>
      </c>
      <c r="M31" s="66">
        <v>12055.080700414454</v>
      </c>
      <c r="N31" s="66">
        <v>12017.518313582294</v>
      </c>
      <c r="O31" s="66">
        <v>12242.572955919726</v>
      </c>
      <c r="P31" s="66">
        <v>12417.981440978489</v>
      </c>
      <c r="Q31" s="66">
        <v>12094.792822118327</v>
      </c>
      <c r="R31" s="66">
        <v>11701.021469203009</v>
      </c>
      <c r="S31" s="66">
        <v>11899</v>
      </c>
      <c r="T31" s="66">
        <v>13117.769979103552</v>
      </c>
      <c r="U31" s="66">
        <v>13902.088190069937</v>
      </c>
      <c r="V31" s="66">
        <v>14548.581088301873</v>
      </c>
      <c r="W31" s="66">
        <v>14716.132120631881</v>
      </c>
      <c r="X31" s="66">
        <v>14936.072930484603</v>
      </c>
      <c r="Y31" s="66">
        <v>14136.298883323376</v>
      </c>
    </row>
    <row r="32" spans="1:25" x14ac:dyDescent="0.25">
      <c r="A32" s="64" t="s">
        <v>58</v>
      </c>
      <c r="B32" s="65"/>
      <c r="C32" s="65"/>
      <c r="D32" s="66">
        <v>41512.90543026862</v>
      </c>
      <c r="E32" s="66">
        <v>41209.020804578773</v>
      </c>
      <c r="F32" s="66">
        <v>40388.37874454313</v>
      </c>
      <c r="G32" s="66">
        <v>39423.172923322687</v>
      </c>
      <c r="H32" s="66">
        <v>39776.290772611661</v>
      </c>
      <c r="I32" s="66">
        <v>40440.447788585065</v>
      </c>
      <c r="J32" s="66">
        <v>43523.064799660548</v>
      </c>
      <c r="K32" s="66">
        <v>46313.826396921701</v>
      </c>
      <c r="L32" s="66">
        <v>43752.71645888139</v>
      </c>
      <c r="M32" s="66">
        <v>31812.923298102949</v>
      </c>
      <c r="N32" s="66">
        <v>33726.113936244088</v>
      </c>
      <c r="O32" s="66">
        <v>33084.304618350718</v>
      </c>
      <c r="P32" s="66">
        <v>28570.063491389381</v>
      </c>
      <c r="Q32" s="66">
        <v>28686.646693550902</v>
      </c>
      <c r="R32" s="66">
        <v>28708.177870206135</v>
      </c>
      <c r="S32" s="66">
        <v>29059</v>
      </c>
      <c r="T32" s="66">
        <v>29642.96069668157</v>
      </c>
      <c r="U32" s="66">
        <v>31599.623034571694</v>
      </c>
      <c r="V32" s="66">
        <v>30882.824416356591</v>
      </c>
      <c r="W32" s="66">
        <v>30756.342747726183</v>
      </c>
      <c r="X32" s="66">
        <v>29938.942357445929</v>
      </c>
      <c r="Y32" s="66">
        <v>31958.090161297732</v>
      </c>
    </row>
    <row r="33" spans="1:25" x14ac:dyDescent="0.25">
      <c r="A33" s="72" t="s">
        <v>158</v>
      </c>
      <c r="B33" s="65"/>
      <c r="C33" s="65"/>
      <c r="D33" s="66">
        <v>1799.1378857172897</v>
      </c>
      <c r="E33" s="66">
        <v>1708.1787446342421</v>
      </c>
      <c r="F33" s="66">
        <v>1490.2905313864219</v>
      </c>
      <c r="G33" s="66">
        <v>1624.9001597444089</v>
      </c>
      <c r="H33" s="66">
        <v>1902.5161115089261</v>
      </c>
      <c r="I33" s="66">
        <v>2226.7082645133664</v>
      </c>
      <c r="J33" s="66">
        <v>2853.8522155543433</v>
      </c>
      <c r="K33" s="66">
        <v>2878.8272231533724</v>
      </c>
      <c r="L33" s="66">
        <v>2602.0816653322654</v>
      </c>
      <c r="M33" s="66">
        <v>907.52866914514846</v>
      </c>
      <c r="N33" s="66">
        <v>1375.4788413718945</v>
      </c>
      <c r="O33" s="66">
        <v>1413.1101568661818</v>
      </c>
      <c r="P33" s="66">
        <v>1181.7042872613763</v>
      </c>
      <c r="Q33" s="66">
        <v>1313.4569731399604</v>
      </c>
      <c r="R33" s="66">
        <v>1301.8125471486535</v>
      </c>
      <c r="S33" s="66">
        <v>1562</v>
      </c>
      <c r="T33" s="66">
        <v>1404.7611905975984</v>
      </c>
      <c r="U33" s="66">
        <v>1882.8431129408261</v>
      </c>
      <c r="V33" s="66">
        <v>1676.8514830323227</v>
      </c>
      <c r="W33" s="66">
        <v>1372.9056965055049</v>
      </c>
      <c r="X33" s="66">
        <v>1229.6200126066626</v>
      </c>
      <c r="Y33" s="66">
        <v>1570.6998759248195</v>
      </c>
    </row>
    <row r="34" spans="1:25" x14ac:dyDescent="0.25">
      <c r="A34" s="73" t="s">
        <v>5</v>
      </c>
      <c r="B34" s="65"/>
      <c r="C34" s="65"/>
      <c r="D34" s="66">
        <v>1534.1630108415991</v>
      </c>
      <c r="E34" s="66">
        <v>1460.3979949289437</v>
      </c>
      <c r="F34" s="66">
        <v>1278.4778896326018</v>
      </c>
      <c r="G34" s="66">
        <v>1380.8717708635684</v>
      </c>
      <c r="H34" s="66">
        <v>1616.7952081493054</v>
      </c>
      <c r="I34" s="66">
        <v>1904.004025376584</v>
      </c>
      <c r="J34" s="66">
        <v>2421.0348562164218</v>
      </c>
      <c r="K34" s="66">
        <v>2250.5593824634407</v>
      </c>
      <c r="L34" s="66">
        <v>2016.1326896809605</v>
      </c>
      <c r="M34" s="66">
        <v>583.69487265714815</v>
      </c>
      <c r="N34" s="66">
        <v>853.19765411128969</v>
      </c>
      <c r="O34" s="66">
        <v>865.74129958648518</v>
      </c>
      <c r="P34" s="66">
        <v>716.77922020157962</v>
      </c>
      <c r="Q34" s="66">
        <v>869.14661601699083</v>
      </c>
      <c r="R34" s="66">
        <v>763.46332315988593</v>
      </c>
      <c r="S34" s="66">
        <v>902.59303127354985</v>
      </c>
      <c r="T34" s="66">
        <v>871.83479814800114</v>
      </c>
      <c r="U34" s="66">
        <v>1289.8867460554056</v>
      </c>
      <c r="V34" s="66">
        <v>1059.2616835915014</v>
      </c>
      <c r="W34" s="66">
        <v>696.39714248485757</v>
      </c>
      <c r="X34" s="66">
        <v>994.35538337992784</v>
      </c>
      <c r="Y34" s="66">
        <v>892.71178371696658</v>
      </c>
    </row>
    <row r="35" spans="1:25" x14ac:dyDescent="0.25">
      <c r="A35" s="74" t="s">
        <v>270</v>
      </c>
      <c r="B35" s="44"/>
      <c r="C35" s="44"/>
      <c r="D35" s="45">
        <v>1217.5309595186422</v>
      </c>
      <c r="E35" s="45">
        <v>1182.9549086352497</v>
      </c>
      <c r="F35" s="45">
        <v>1028.3011306094909</v>
      </c>
      <c r="G35" s="45">
        <v>1037.4591262048596</v>
      </c>
      <c r="H35" s="45">
        <v>1173.3075660691547</v>
      </c>
      <c r="I35" s="45">
        <v>1393.6250694719577</v>
      </c>
      <c r="J35" s="45">
        <v>1727.8680605680854</v>
      </c>
      <c r="K35" s="45">
        <v>1646.9642493562653</v>
      </c>
      <c r="L35" s="45">
        <v>1497.0380642565765</v>
      </c>
      <c r="M35" s="45">
        <v>447.21878112124085</v>
      </c>
      <c r="N35" s="45">
        <v>621.16238625909796</v>
      </c>
      <c r="O35" s="45">
        <v>622.7652205564832</v>
      </c>
      <c r="P35" s="45">
        <v>470.81010829427066</v>
      </c>
      <c r="Q35" s="45">
        <v>583.8354183914056</v>
      </c>
      <c r="R35" s="45">
        <v>542.84439437207595</v>
      </c>
      <c r="S35" s="45">
        <v>631.47172968072505</v>
      </c>
      <c r="T35" s="45">
        <v>621.77248564907109</v>
      </c>
      <c r="U35" s="45">
        <v>917.78119058062896</v>
      </c>
      <c r="V35" s="45">
        <v>756.32485392994397</v>
      </c>
      <c r="W35" s="45">
        <v>494.96421075832791</v>
      </c>
      <c r="X35" s="45">
        <v>714.76012780991505</v>
      </c>
      <c r="Y35" s="45">
        <v>645.86288518461947</v>
      </c>
    </row>
    <row r="36" spans="1:25" x14ac:dyDescent="0.25">
      <c r="A36" s="74" t="s">
        <v>15</v>
      </c>
      <c r="B36" s="44"/>
      <c r="C36" s="44"/>
      <c r="D36" s="45">
        <v>316.63205132295684</v>
      </c>
      <c r="E36" s="45">
        <v>277.44308629369402</v>
      </c>
      <c r="F36" s="45">
        <v>250.17675902311089</v>
      </c>
      <c r="G36" s="45">
        <v>343.41264465870881</v>
      </c>
      <c r="H36" s="45">
        <v>443.48764208015064</v>
      </c>
      <c r="I36" s="45">
        <v>510.37895590462631</v>
      </c>
      <c r="J36" s="45">
        <v>693.16679564833635</v>
      </c>
      <c r="K36" s="45">
        <v>603.59513310717534</v>
      </c>
      <c r="L36" s="45">
        <v>519.09462542438405</v>
      </c>
      <c r="M36" s="45">
        <v>136.4760915359073</v>
      </c>
      <c r="N36" s="45">
        <v>232.03526785219174</v>
      </c>
      <c r="O36" s="45">
        <v>242.97607903000198</v>
      </c>
      <c r="P36" s="45">
        <v>245.96911190730896</v>
      </c>
      <c r="Q36" s="45">
        <v>285.31119762558524</v>
      </c>
      <c r="R36" s="45">
        <v>220.61892878780998</v>
      </c>
      <c r="S36" s="45">
        <v>271.12130159282481</v>
      </c>
      <c r="T36" s="45">
        <v>250.06231249893005</v>
      </c>
      <c r="U36" s="45">
        <v>372.10555547477668</v>
      </c>
      <c r="V36" s="45">
        <v>302.93682966155745</v>
      </c>
      <c r="W36" s="45">
        <v>201.43293172652966</v>
      </c>
      <c r="X36" s="45">
        <v>279.5952555700128</v>
      </c>
      <c r="Y36" s="45">
        <v>246.84889853234711</v>
      </c>
    </row>
    <row r="37" spans="1:25" x14ac:dyDescent="0.25">
      <c r="A37" s="73" t="s">
        <v>269</v>
      </c>
      <c r="B37" s="65"/>
      <c r="C37" s="65"/>
      <c r="D37" s="66">
        <v>264.9748748756906</v>
      </c>
      <c r="E37" s="66">
        <v>247.78074970529838</v>
      </c>
      <c r="F37" s="66">
        <v>211.81264175382012</v>
      </c>
      <c r="G37" s="66">
        <v>244.02838888084057</v>
      </c>
      <c r="H37" s="66">
        <v>285.72090335962071</v>
      </c>
      <c r="I37" s="66">
        <v>322.70423913678269</v>
      </c>
      <c r="J37" s="66">
        <v>432.81735933792152</v>
      </c>
      <c r="K37" s="66">
        <v>628.26784068993175</v>
      </c>
      <c r="L37" s="66">
        <v>585.94897565130509</v>
      </c>
      <c r="M37" s="66">
        <v>323.8337964880003</v>
      </c>
      <c r="N37" s="66">
        <v>522.28118726060484</v>
      </c>
      <c r="O37" s="66">
        <v>547.36885727969673</v>
      </c>
      <c r="P37" s="66">
        <v>464.92506705979667</v>
      </c>
      <c r="Q37" s="66">
        <v>444.31035712296966</v>
      </c>
      <c r="R37" s="66">
        <v>538.34922398876768</v>
      </c>
      <c r="S37" s="66">
        <v>659.40696872645026</v>
      </c>
      <c r="T37" s="66">
        <v>532.9263924495973</v>
      </c>
      <c r="U37" s="66">
        <v>592.95636688542049</v>
      </c>
      <c r="V37" s="66">
        <v>617.58979944082125</v>
      </c>
      <c r="W37" s="66">
        <v>676.50855402064735</v>
      </c>
      <c r="X37" s="66">
        <v>235.26462922673477</v>
      </c>
      <c r="Y37" s="66">
        <v>677.9880922078529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44.811993018044369</v>
      </c>
      <c r="E39" s="45">
        <v>36.293496627102712</v>
      </c>
      <c r="F39" s="45">
        <v>30.17025643116904</v>
      </c>
      <c r="G39" s="45">
        <v>33.606920820205374</v>
      </c>
      <c r="H39" s="45">
        <v>39.348699632537809</v>
      </c>
      <c r="I39" s="45">
        <v>43.312504585032265</v>
      </c>
      <c r="J39" s="45">
        <v>54.067934866501588</v>
      </c>
      <c r="K39" s="45">
        <v>78.483785264766766</v>
      </c>
      <c r="L39" s="45">
        <v>73.197274478709517</v>
      </c>
      <c r="M39" s="45">
        <v>38.188968538643344</v>
      </c>
      <c r="N39" s="45">
        <v>43.733954106087296</v>
      </c>
      <c r="O39" s="45">
        <v>40.025354401546295</v>
      </c>
      <c r="P39" s="45">
        <v>46.352156104326951</v>
      </c>
      <c r="Q39" s="45">
        <v>47.713552117848948</v>
      </c>
      <c r="R39" s="45">
        <v>51.544615720429775</v>
      </c>
      <c r="S39" s="45">
        <v>33.252811196035225</v>
      </c>
      <c r="T39" s="45">
        <v>47.170324134412787</v>
      </c>
      <c r="U39" s="45">
        <v>54.464998065134267</v>
      </c>
      <c r="V39" s="45">
        <v>49.53531138698844</v>
      </c>
      <c r="W39" s="45">
        <v>46.570134360504881</v>
      </c>
      <c r="X39" s="45">
        <v>51.772452071279076</v>
      </c>
      <c r="Y39" s="45">
        <v>53.525418552844599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44.811993018044369</v>
      </c>
      <c r="E41" s="45">
        <v>36.293496627102712</v>
      </c>
      <c r="F41" s="45">
        <v>30.17025643116904</v>
      </c>
      <c r="G41" s="45">
        <v>33.606920820205374</v>
      </c>
      <c r="H41" s="45">
        <v>39.348699632537809</v>
      </c>
      <c r="I41" s="45">
        <v>43.312504585032265</v>
      </c>
      <c r="J41" s="45">
        <v>54.067934866501588</v>
      </c>
      <c r="K41" s="45">
        <v>78.483785264766766</v>
      </c>
      <c r="L41" s="45">
        <v>73.197274478709517</v>
      </c>
      <c r="M41" s="45">
        <v>38.188968538643344</v>
      </c>
      <c r="N41" s="45">
        <v>43.733954106087296</v>
      </c>
      <c r="O41" s="45">
        <v>40.025354401546295</v>
      </c>
      <c r="P41" s="45">
        <v>46.352156104326951</v>
      </c>
      <c r="Q41" s="45">
        <v>47.713552117848948</v>
      </c>
      <c r="R41" s="45">
        <v>51.544615720429775</v>
      </c>
      <c r="S41" s="45">
        <v>33.252811196035225</v>
      </c>
      <c r="T41" s="45">
        <v>47.170324134412787</v>
      </c>
      <c r="U41" s="45">
        <v>54.464998065134267</v>
      </c>
      <c r="V41" s="45">
        <v>49.53531138698844</v>
      </c>
      <c r="W41" s="45">
        <v>46.570134360504881</v>
      </c>
      <c r="X41" s="45">
        <v>51.772452071279076</v>
      </c>
      <c r="Y41" s="45">
        <v>53.525418552844599</v>
      </c>
    </row>
    <row r="42" spans="1:25" x14ac:dyDescent="0.25">
      <c r="A42" s="74" t="s">
        <v>13</v>
      </c>
      <c r="B42" s="44"/>
      <c r="C42" s="44"/>
      <c r="D42" s="45">
        <v>220.16288185764623</v>
      </c>
      <c r="E42" s="45">
        <v>211.48725307819566</v>
      </c>
      <c r="F42" s="45">
        <v>181.64238532265108</v>
      </c>
      <c r="G42" s="45">
        <v>210.42146806063519</v>
      </c>
      <c r="H42" s="45">
        <v>246.3722037270829</v>
      </c>
      <c r="I42" s="45">
        <v>279.3917345517504</v>
      </c>
      <c r="J42" s="45">
        <v>378.74942447141996</v>
      </c>
      <c r="K42" s="45">
        <v>549.78405542516498</v>
      </c>
      <c r="L42" s="45">
        <v>512.75170117259563</v>
      </c>
      <c r="M42" s="45">
        <v>285.64482794935697</v>
      </c>
      <c r="N42" s="45">
        <v>478.54723315451753</v>
      </c>
      <c r="O42" s="45">
        <v>507.34350287815039</v>
      </c>
      <c r="P42" s="45">
        <v>418.57291095546975</v>
      </c>
      <c r="Q42" s="45">
        <v>396.5968050051207</v>
      </c>
      <c r="R42" s="45">
        <v>486.80460826833786</v>
      </c>
      <c r="S42" s="45">
        <v>626.15415753041498</v>
      </c>
      <c r="T42" s="45">
        <v>485.75606831518451</v>
      </c>
      <c r="U42" s="45">
        <v>538.4913688202862</v>
      </c>
      <c r="V42" s="45">
        <v>568.05448805383276</v>
      </c>
      <c r="W42" s="45">
        <v>629.93841966014247</v>
      </c>
      <c r="X42" s="45">
        <v>183.49217715545569</v>
      </c>
      <c r="Y42" s="45">
        <v>624.4626736550083</v>
      </c>
    </row>
    <row r="43" spans="1:25" x14ac:dyDescent="0.25">
      <c r="A43" s="72" t="s">
        <v>271</v>
      </c>
      <c r="B43" s="65"/>
      <c r="C43" s="65"/>
      <c r="D43" s="66">
        <v>2410.2402355043896</v>
      </c>
      <c r="E43" s="66">
        <v>2651.539133627949</v>
      </c>
      <c r="F43" s="66">
        <v>2516.4333383511466</v>
      </c>
      <c r="G43" s="66">
        <v>2453.5742811501595</v>
      </c>
      <c r="H43" s="66">
        <v>2760.5619891849183</v>
      </c>
      <c r="I43" s="66">
        <v>2794.3965253563347</v>
      </c>
      <c r="J43" s="66">
        <v>2881.7360732254347</v>
      </c>
      <c r="K43" s="66">
        <v>3139.6803663747314</v>
      </c>
      <c r="L43" s="66">
        <v>3056.159213084753</v>
      </c>
      <c r="M43" s="66">
        <v>2766.389990228342</v>
      </c>
      <c r="N43" s="66">
        <v>2996.2588767669522</v>
      </c>
      <c r="O43" s="66">
        <v>3341.0744018929104</v>
      </c>
      <c r="P43" s="66">
        <v>3029.1126069691882</v>
      </c>
      <c r="Q43" s="66">
        <v>3059.2040471476112</v>
      </c>
      <c r="R43" s="66">
        <v>3152.0786184680001</v>
      </c>
      <c r="S43" s="66">
        <v>3337</v>
      </c>
      <c r="T43" s="66">
        <v>3609.3864043112671</v>
      </c>
      <c r="U43" s="66">
        <v>3775.6063687317096</v>
      </c>
      <c r="V43" s="66">
        <v>3895.8137004401005</v>
      </c>
      <c r="W43" s="66">
        <v>4283.3891814265198</v>
      </c>
      <c r="X43" s="66">
        <v>4086.8166295052351</v>
      </c>
      <c r="Y43" s="66">
        <v>3896.8797389825831</v>
      </c>
    </row>
    <row r="44" spans="1:25" x14ac:dyDescent="0.25">
      <c r="A44" s="73" t="s">
        <v>272</v>
      </c>
      <c r="B44" s="65"/>
      <c r="C44" s="65"/>
      <c r="D44" s="66">
        <v>1826.7360563528362</v>
      </c>
      <c r="E44" s="66">
        <v>1965.2286224405809</v>
      </c>
      <c r="F44" s="66">
        <v>1815.1939384816098</v>
      </c>
      <c r="G44" s="66">
        <v>1789.6365814696485</v>
      </c>
      <c r="H44" s="66">
        <v>2028.4451467937479</v>
      </c>
      <c r="I44" s="66">
        <v>1961.2161252829264</v>
      </c>
      <c r="J44" s="66">
        <v>1962.7811117172819</v>
      </c>
      <c r="K44" s="66">
        <v>2195.415594532707</v>
      </c>
      <c r="L44" s="66">
        <v>2063.3649776964426</v>
      </c>
      <c r="M44" s="66">
        <v>1735.3116260263048</v>
      </c>
      <c r="N44" s="66">
        <v>1896.3238423799814</v>
      </c>
      <c r="O44" s="66">
        <v>2216.063447550609</v>
      </c>
      <c r="P44" s="66">
        <v>1722.1243072218799</v>
      </c>
      <c r="Q44" s="66">
        <v>1863.9271015829904</v>
      </c>
      <c r="R44" s="66">
        <v>1810.5082879686831</v>
      </c>
      <c r="S44" s="66">
        <v>2022</v>
      </c>
      <c r="T44" s="66">
        <v>2074.6473099573072</v>
      </c>
      <c r="U44" s="66">
        <v>2205.2477555676801</v>
      </c>
      <c r="V44" s="66">
        <v>2381.2068278749844</v>
      </c>
      <c r="W44" s="66">
        <v>2757.3001436093823</v>
      </c>
      <c r="X44" s="66">
        <v>2648.3399659431948</v>
      </c>
      <c r="Y44" s="66">
        <v>2518.2666237764806</v>
      </c>
    </row>
    <row r="45" spans="1:25" x14ac:dyDescent="0.25">
      <c r="A45" s="74" t="s">
        <v>20</v>
      </c>
      <c r="B45" s="44"/>
      <c r="C45" s="44"/>
      <c r="D45" s="45">
        <v>780.56412136311178</v>
      </c>
      <c r="E45" s="45">
        <v>899.56948606735921</v>
      </c>
      <c r="F45" s="45">
        <v>785.95377865537364</v>
      </c>
      <c r="G45" s="45">
        <v>780.4011742297115</v>
      </c>
      <c r="H45" s="45">
        <v>830.83947752132849</v>
      </c>
      <c r="I45" s="45">
        <v>816.95515522751657</v>
      </c>
      <c r="J45" s="45">
        <v>817.2810419988906</v>
      </c>
      <c r="K45" s="45">
        <v>864.35841079498164</v>
      </c>
      <c r="L45" s="45">
        <v>985.83581454700106</v>
      </c>
      <c r="M45" s="45">
        <v>878.8652370714218</v>
      </c>
      <c r="N45" s="45">
        <v>1098.709702677354</v>
      </c>
      <c r="O45" s="45">
        <v>1365.2679808297867</v>
      </c>
      <c r="P45" s="45">
        <v>1105.800789992559</v>
      </c>
      <c r="Q45" s="45">
        <v>1053.6047581847392</v>
      </c>
      <c r="R45" s="45">
        <v>940.8992890137614</v>
      </c>
      <c r="S45" s="45">
        <v>1109.8057205954628</v>
      </c>
      <c r="T45" s="45">
        <v>1041.1238226400369</v>
      </c>
      <c r="U45" s="45">
        <v>1050.6460132158772</v>
      </c>
      <c r="V45" s="45">
        <v>964.19450241868265</v>
      </c>
      <c r="W45" s="45">
        <v>1188.3090033918402</v>
      </c>
      <c r="X45" s="45">
        <v>1542.5291535835079</v>
      </c>
      <c r="Y45" s="45">
        <v>1365.4124766621164</v>
      </c>
    </row>
    <row r="46" spans="1:25" x14ac:dyDescent="0.25">
      <c r="A46" s="74" t="s">
        <v>12</v>
      </c>
      <c r="B46" s="44"/>
      <c r="C46" s="44"/>
      <c r="D46" s="45">
        <v>1046.1719349897244</v>
      </c>
      <c r="E46" s="45">
        <v>1065.6591363732218</v>
      </c>
      <c r="F46" s="45">
        <v>1029.2401598262363</v>
      </c>
      <c r="G46" s="45">
        <v>1009.235407239937</v>
      </c>
      <c r="H46" s="45">
        <v>1197.6056692724194</v>
      </c>
      <c r="I46" s="45">
        <v>1144.2609700554099</v>
      </c>
      <c r="J46" s="45">
        <v>1145.5000697183914</v>
      </c>
      <c r="K46" s="45">
        <v>1331.0571837377254</v>
      </c>
      <c r="L46" s="45">
        <v>1077.5291631494415</v>
      </c>
      <c r="M46" s="45">
        <v>856.44638895488299</v>
      </c>
      <c r="N46" s="45">
        <v>797.61413970262743</v>
      </c>
      <c r="O46" s="45">
        <v>850.79546672082233</v>
      </c>
      <c r="P46" s="45">
        <v>616.32351722932094</v>
      </c>
      <c r="Q46" s="45">
        <v>810.32234339825118</v>
      </c>
      <c r="R46" s="45">
        <v>869.60899895492173</v>
      </c>
      <c r="S46" s="45">
        <v>912.19427940453716</v>
      </c>
      <c r="T46" s="45">
        <v>1033.5234873172703</v>
      </c>
      <c r="U46" s="45">
        <v>1154.6017423518028</v>
      </c>
      <c r="V46" s="45">
        <v>1417.0123254563018</v>
      </c>
      <c r="W46" s="45">
        <v>1568.9911402175421</v>
      </c>
      <c r="X46" s="45">
        <v>1105.8108123596869</v>
      </c>
      <c r="Y46" s="45">
        <v>1152.8541471143642</v>
      </c>
    </row>
    <row r="47" spans="1:25" x14ac:dyDescent="0.25">
      <c r="A47" s="73" t="s">
        <v>11</v>
      </c>
      <c r="B47" s="65"/>
      <c r="C47" s="65"/>
      <c r="D47" s="66">
        <v>583.50417915155344</v>
      </c>
      <c r="E47" s="66">
        <v>686.31051118736787</v>
      </c>
      <c r="F47" s="66">
        <v>701.2393998695369</v>
      </c>
      <c r="G47" s="66">
        <v>663.93769968051117</v>
      </c>
      <c r="H47" s="66">
        <v>732.11684239117017</v>
      </c>
      <c r="I47" s="66">
        <v>833.18040007340801</v>
      </c>
      <c r="J47" s="66">
        <v>918.95496150815302</v>
      </c>
      <c r="K47" s="66">
        <v>944.26477184202452</v>
      </c>
      <c r="L47" s="66">
        <v>992.79423538831054</v>
      </c>
      <c r="M47" s="66">
        <v>1031.0783642020374</v>
      </c>
      <c r="N47" s="66">
        <v>1099.935034386971</v>
      </c>
      <c r="O47" s="66">
        <v>1125.0109543423014</v>
      </c>
      <c r="P47" s="66">
        <v>1306.9882997473085</v>
      </c>
      <c r="Q47" s="66">
        <v>1195.2769455646207</v>
      </c>
      <c r="R47" s="66">
        <v>1341.5703304993172</v>
      </c>
      <c r="S47" s="66">
        <v>1315</v>
      </c>
      <c r="T47" s="66">
        <v>1534.7390943539599</v>
      </c>
      <c r="U47" s="66">
        <v>1570.3586131640295</v>
      </c>
      <c r="V47" s="66">
        <v>1514.6068725651164</v>
      </c>
      <c r="W47" s="66">
        <v>1526.0890378171373</v>
      </c>
      <c r="X47" s="66">
        <v>1438.4766635620406</v>
      </c>
      <c r="Y47" s="66">
        <v>1378.6131152061025</v>
      </c>
    </row>
    <row r="48" spans="1:25" x14ac:dyDescent="0.25">
      <c r="A48" s="72" t="s">
        <v>4</v>
      </c>
      <c r="B48" s="65"/>
      <c r="C48" s="65"/>
      <c r="D48" s="66">
        <v>1281.3436366503709</v>
      </c>
      <c r="E48" s="66">
        <v>1263.7230445848584</v>
      </c>
      <c r="F48" s="66">
        <v>1219.3286165888906</v>
      </c>
      <c r="G48" s="66">
        <v>1215.5551118210863</v>
      </c>
      <c r="H48" s="66">
        <v>1271.6363366996716</v>
      </c>
      <c r="I48" s="66">
        <v>1400.868660916376</v>
      </c>
      <c r="J48" s="66">
        <v>1492.3925562223433</v>
      </c>
      <c r="K48" s="66">
        <v>1573.3811760817734</v>
      </c>
      <c r="L48" s="66">
        <v>1499.4853025277362</v>
      </c>
      <c r="M48" s="66">
        <v>1087.2373165006236</v>
      </c>
      <c r="N48" s="66">
        <v>1145.8590022177918</v>
      </c>
      <c r="O48" s="66">
        <v>1269.6082727193059</v>
      </c>
      <c r="P48" s="66">
        <v>1175.3339137451424</v>
      </c>
      <c r="Q48" s="66">
        <v>1128.9302634170617</v>
      </c>
      <c r="R48" s="66">
        <v>1046.9549615674762</v>
      </c>
      <c r="S48" s="66">
        <v>1007</v>
      </c>
      <c r="T48" s="66">
        <v>1052.8210204265276</v>
      </c>
      <c r="U48" s="66">
        <v>1117.0080849164228</v>
      </c>
      <c r="V48" s="66">
        <v>1146.3990440197804</v>
      </c>
      <c r="W48" s="66">
        <v>1119.195787458114</v>
      </c>
      <c r="X48" s="66">
        <v>1049.9280291270356</v>
      </c>
      <c r="Y48" s="66">
        <v>947.56674785166115</v>
      </c>
    </row>
    <row r="49" spans="1:25" x14ac:dyDescent="0.25">
      <c r="A49" s="77" t="s">
        <v>10</v>
      </c>
      <c r="B49" s="44"/>
      <c r="C49" s="44"/>
      <c r="D49" s="45">
        <v>642.57577238699582</v>
      </c>
      <c r="E49" s="45">
        <v>586.23664127287475</v>
      </c>
      <c r="F49" s="45">
        <v>539.54599321776141</v>
      </c>
      <c r="G49" s="45">
        <v>581.66699461108976</v>
      </c>
      <c r="H49" s="45">
        <v>550.29874979966735</v>
      </c>
      <c r="I49" s="45">
        <v>634.45983989829074</v>
      </c>
      <c r="J49" s="45">
        <v>751.85864103873644</v>
      </c>
      <c r="K49" s="45">
        <v>785.73268403810619</v>
      </c>
      <c r="L49" s="45">
        <v>764.14299531576523</v>
      </c>
      <c r="M49" s="45">
        <v>525.88803114430914</v>
      </c>
      <c r="N49" s="45">
        <v>583.93370595891679</v>
      </c>
      <c r="O49" s="45">
        <v>727.410890601446</v>
      </c>
      <c r="P49" s="45">
        <v>675.30035267852031</v>
      </c>
      <c r="Q49" s="45">
        <v>613.08207111591923</v>
      </c>
      <c r="R49" s="45">
        <v>558.40614072743733</v>
      </c>
      <c r="S49" s="45">
        <v>451.87082938536628</v>
      </c>
      <c r="T49" s="45">
        <v>539.96282381391927</v>
      </c>
      <c r="U49" s="45">
        <v>701.16189145820056</v>
      </c>
      <c r="V49" s="45">
        <v>638.41656707623895</v>
      </c>
      <c r="W49" s="45">
        <v>637.67572572613869</v>
      </c>
      <c r="X49" s="45">
        <v>599.90978760926237</v>
      </c>
      <c r="Y49" s="45">
        <v>607.80596525435101</v>
      </c>
    </row>
    <row r="50" spans="1:25" x14ac:dyDescent="0.25">
      <c r="A50" s="77" t="s">
        <v>18</v>
      </c>
      <c r="B50" s="44"/>
      <c r="C50" s="44"/>
      <c r="D50" s="45">
        <v>522.61102646081576</v>
      </c>
      <c r="E50" s="45">
        <v>563.26505330517125</v>
      </c>
      <c r="F50" s="45">
        <v>536.26858423318527</v>
      </c>
      <c r="G50" s="45">
        <v>482.79166262029429</v>
      </c>
      <c r="H50" s="45">
        <v>541.11100974160183</v>
      </c>
      <c r="I50" s="45">
        <v>581.37369453286044</v>
      </c>
      <c r="J50" s="45">
        <v>577.5546195968077</v>
      </c>
      <c r="K50" s="45">
        <v>615.56728444781493</v>
      </c>
      <c r="L50" s="45">
        <v>537.42206738111952</v>
      </c>
      <c r="M50" s="45">
        <v>320.78250697238104</v>
      </c>
      <c r="N50" s="45">
        <v>326.42930728467911</v>
      </c>
      <c r="O50" s="45">
        <v>419.40493167250395</v>
      </c>
      <c r="P50" s="45">
        <v>384.53695556774392</v>
      </c>
      <c r="Q50" s="45">
        <v>356.8326471374582</v>
      </c>
      <c r="R50" s="45">
        <v>256.23317069726943</v>
      </c>
      <c r="S50" s="45">
        <v>282.31705975518418</v>
      </c>
      <c r="T50" s="45">
        <v>234.64700977144653</v>
      </c>
      <c r="U50" s="45">
        <v>140.72630309303779</v>
      </c>
      <c r="V50" s="45">
        <v>224.03175336065971</v>
      </c>
      <c r="W50" s="45">
        <v>179.65017605124507</v>
      </c>
      <c r="X50" s="45">
        <v>171.92498983867347</v>
      </c>
      <c r="Y50" s="45">
        <v>174.23725727059741</v>
      </c>
    </row>
    <row r="51" spans="1:25" x14ac:dyDescent="0.25">
      <c r="A51" s="77" t="s">
        <v>9</v>
      </c>
      <c r="B51" s="44"/>
      <c r="C51" s="44"/>
      <c r="D51" s="45">
        <v>116.15683780255927</v>
      </c>
      <c r="E51" s="45">
        <v>114.22135000681237</v>
      </c>
      <c r="F51" s="45">
        <v>143.51403913794388</v>
      </c>
      <c r="G51" s="45">
        <v>151.0964545897022</v>
      </c>
      <c r="H51" s="45">
        <v>180.22657715840239</v>
      </c>
      <c r="I51" s="45">
        <v>185.03512648522485</v>
      </c>
      <c r="J51" s="45">
        <v>162.97929558679914</v>
      </c>
      <c r="K51" s="45">
        <v>172.08120759585233</v>
      </c>
      <c r="L51" s="45">
        <v>197.92023983085141</v>
      </c>
      <c r="M51" s="45">
        <v>240.56677838393341</v>
      </c>
      <c r="N51" s="45">
        <v>235.49598897419594</v>
      </c>
      <c r="O51" s="45">
        <v>122.79245044535594</v>
      </c>
      <c r="P51" s="45">
        <v>115.49660549887813</v>
      </c>
      <c r="Q51" s="45">
        <v>159.01554516368429</v>
      </c>
      <c r="R51" s="45">
        <v>232.31565014276941</v>
      </c>
      <c r="S51" s="45">
        <v>272.81211085944955</v>
      </c>
      <c r="T51" s="45">
        <v>278.21118684116186</v>
      </c>
      <c r="U51" s="45">
        <v>275.11989036518446</v>
      </c>
      <c r="V51" s="45">
        <v>283.95072358288172</v>
      </c>
      <c r="W51" s="45">
        <v>301.86988568073019</v>
      </c>
      <c r="X51" s="45">
        <v>278.09325167909981</v>
      </c>
      <c r="Y51" s="45">
        <v>165.52352532671273</v>
      </c>
    </row>
    <row r="52" spans="1:25" x14ac:dyDescent="0.25">
      <c r="A52" s="72" t="s">
        <v>3</v>
      </c>
      <c r="B52" s="65"/>
      <c r="C52" s="65"/>
      <c r="D52" s="66">
        <v>8464.7531935026018</v>
      </c>
      <c r="E52" s="66">
        <v>8410.4694009344967</v>
      </c>
      <c r="F52" s="66">
        <v>7302.1727131316184</v>
      </c>
      <c r="G52" s="66">
        <v>6316.1441693290735</v>
      </c>
      <c r="H52" s="66">
        <v>6232.2526482135354</v>
      </c>
      <c r="I52" s="66">
        <v>5435.8597907873009</v>
      </c>
      <c r="J52" s="66">
        <v>5814.3904952415587</v>
      </c>
      <c r="K52" s="66">
        <v>5494.4406411557802</v>
      </c>
      <c r="L52" s="66">
        <v>4609.401807160013</v>
      </c>
      <c r="M52" s="66">
        <v>3121.3145687554056</v>
      </c>
      <c r="N52" s="66">
        <v>4156.6791370774436</v>
      </c>
      <c r="O52" s="66">
        <v>4014.7664534221367</v>
      </c>
      <c r="P52" s="66">
        <v>3628.9894464145409</v>
      </c>
      <c r="Q52" s="66">
        <v>3404.4141276966302</v>
      </c>
      <c r="R52" s="66">
        <v>3445.6745570575167</v>
      </c>
      <c r="S52" s="66">
        <v>3626</v>
      </c>
      <c r="T52" s="66">
        <v>3554.3957527220373</v>
      </c>
      <c r="U52" s="66">
        <v>3677.3969545161444</v>
      </c>
      <c r="V52" s="66">
        <v>3907.4719958030137</v>
      </c>
      <c r="W52" s="66">
        <v>3580.660603159406</v>
      </c>
      <c r="X52" s="66">
        <v>2780.0513674465865</v>
      </c>
      <c r="Y52" s="66">
        <v>3323.3766830568447</v>
      </c>
    </row>
    <row r="53" spans="1:25" x14ac:dyDescent="0.25">
      <c r="A53" s="73" t="s">
        <v>21</v>
      </c>
      <c r="B53" s="65"/>
      <c r="C53" s="65"/>
      <c r="D53" s="66">
        <v>7379.2251485044417</v>
      </c>
      <c r="E53" s="66">
        <v>7264.5081230293899</v>
      </c>
      <c r="F53" s="66">
        <v>6242.1596668172015</v>
      </c>
      <c r="G53" s="66">
        <v>5398.8618210862624</v>
      </c>
      <c r="H53" s="66">
        <v>5348.280204449492</v>
      </c>
      <c r="I53" s="66">
        <v>4501.1317061234477</v>
      </c>
      <c r="J53" s="66">
        <v>4890.5861671819121</v>
      </c>
      <c r="K53" s="66">
        <v>4591.4874530818443</v>
      </c>
      <c r="L53" s="66">
        <v>3740.134965114949</v>
      </c>
      <c r="M53" s="66">
        <v>2383.3859355519862</v>
      </c>
      <c r="N53" s="66">
        <v>3430.8564259952059</v>
      </c>
      <c r="O53" s="66">
        <v>3356.410481114714</v>
      </c>
      <c r="P53" s="66">
        <v>2987.7051791136687</v>
      </c>
      <c r="Q53" s="66">
        <v>2851.8706654364887</v>
      </c>
      <c r="R53" s="66">
        <v>2932.901094868188</v>
      </c>
      <c r="S53" s="66">
        <v>3124</v>
      </c>
      <c r="T53" s="66">
        <v>3107.4717298059331</v>
      </c>
      <c r="U53" s="66">
        <v>3255.7908833887204</v>
      </c>
      <c r="V53" s="66">
        <v>3520.8051995997321</v>
      </c>
      <c r="W53" s="66">
        <v>3212.0631881282911</v>
      </c>
      <c r="X53" s="66">
        <v>2456.4176380382528</v>
      </c>
      <c r="Y53" s="66">
        <v>3009.0528927898531</v>
      </c>
    </row>
    <row r="54" spans="1:25" x14ac:dyDescent="0.25">
      <c r="A54" s="74" t="s">
        <v>8</v>
      </c>
      <c r="B54" s="44"/>
      <c r="C54" s="44"/>
      <c r="D54" s="45">
        <v>799.10567718200673</v>
      </c>
      <c r="E54" s="45">
        <v>790.51831454192313</v>
      </c>
      <c r="F54" s="45">
        <v>697.37935047451197</v>
      </c>
      <c r="G54" s="45">
        <v>601.77005598128039</v>
      </c>
      <c r="H54" s="45">
        <v>585.50880602228187</v>
      </c>
      <c r="I54" s="45">
        <v>492.6930004806685</v>
      </c>
      <c r="J54" s="45">
        <v>550.65072360498198</v>
      </c>
      <c r="K54" s="45">
        <v>501.65099396067967</v>
      </c>
      <c r="L54" s="45">
        <v>403.478397459657</v>
      </c>
      <c r="M54" s="45">
        <v>294.5757897873242</v>
      </c>
      <c r="N54" s="45">
        <v>402.50270919496825</v>
      </c>
      <c r="O54" s="45">
        <v>393.76882739334627</v>
      </c>
      <c r="P54" s="45">
        <v>338.27830711775385</v>
      </c>
      <c r="Q54" s="45">
        <v>395.44379297471409</v>
      </c>
      <c r="R54" s="45">
        <v>409.22657408714963</v>
      </c>
      <c r="S54" s="45">
        <v>416.67432759185374</v>
      </c>
      <c r="T54" s="45">
        <v>416.97013625387001</v>
      </c>
      <c r="U54" s="45">
        <v>414.43677695749597</v>
      </c>
      <c r="V54" s="45">
        <v>410.5035766120422</v>
      </c>
      <c r="W54" s="45">
        <v>415.15620245046642</v>
      </c>
      <c r="X54" s="45">
        <v>432.34616718778852</v>
      </c>
      <c r="Y54" s="45">
        <v>418.80820331321962</v>
      </c>
    </row>
    <row r="55" spans="1:25" x14ac:dyDescent="0.25">
      <c r="A55" s="74" t="s">
        <v>17</v>
      </c>
      <c r="B55" s="44"/>
      <c r="C55" s="44"/>
      <c r="D55" s="45">
        <v>6580.1194713224349</v>
      </c>
      <c r="E55" s="45">
        <v>6473.9898084874667</v>
      </c>
      <c r="F55" s="45">
        <v>5544.7803163426897</v>
      </c>
      <c r="G55" s="45">
        <v>4797.0917651049822</v>
      </c>
      <c r="H55" s="45">
        <v>4762.7713984272104</v>
      </c>
      <c r="I55" s="45">
        <v>4008.438705642779</v>
      </c>
      <c r="J55" s="45">
        <v>4339.9354435769301</v>
      </c>
      <c r="K55" s="45">
        <v>4089.8364591211648</v>
      </c>
      <c r="L55" s="45">
        <v>3336.6565676552918</v>
      </c>
      <c r="M55" s="45">
        <v>2088.8101457646621</v>
      </c>
      <c r="N55" s="45">
        <v>3028.3537168002376</v>
      </c>
      <c r="O55" s="45">
        <v>2962.6416537213677</v>
      </c>
      <c r="P55" s="45">
        <v>2649.426871995915</v>
      </c>
      <c r="Q55" s="45">
        <v>2456.4268724617746</v>
      </c>
      <c r="R55" s="45">
        <v>2523.6745207810382</v>
      </c>
      <c r="S55" s="45">
        <v>2707.3256724081461</v>
      </c>
      <c r="T55" s="45">
        <v>2690.5015935520632</v>
      </c>
      <c r="U55" s="45">
        <v>2841.3541064312244</v>
      </c>
      <c r="V55" s="45">
        <v>3110.3016229876898</v>
      </c>
      <c r="W55" s="45">
        <v>2796.9069856778247</v>
      </c>
      <c r="X55" s="45">
        <v>2024.0714708504643</v>
      </c>
      <c r="Y55" s="45">
        <v>2590.2446894766335</v>
      </c>
    </row>
    <row r="56" spans="1:25" x14ac:dyDescent="0.25">
      <c r="A56" s="73" t="s">
        <v>16</v>
      </c>
      <c r="B56" s="65"/>
      <c r="C56" s="65"/>
      <c r="D56" s="66">
        <v>1085.5280449981601</v>
      </c>
      <c r="E56" s="66">
        <v>1145.9612779051067</v>
      </c>
      <c r="F56" s="66">
        <v>1060.0130463144169</v>
      </c>
      <c r="G56" s="66">
        <v>917.28234824281117</v>
      </c>
      <c r="H56" s="66">
        <v>883.97244376404342</v>
      </c>
      <c r="I56" s="66">
        <v>934.72808466385322</v>
      </c>
      <c r="J56" s="66">
        <v>923.80432805964665</v>
      </c>
      <c r="K56" s="66">
        <v>902.95318807393596</v>
      </c>
      <c r="L56" s="66">
        <v>869.2668420450641</v>
      </c>
      <c r="M56" s="66">
        <v>737.92863320341939</v>
      </c>
      <c r="N56" s="66">
        <v>725.82271108223767</v>
      </c>
      <c r="O56" s="66">
        <v>658.35597230742269</v>
      </c>
      <c r="P56" s="66">
        <v>641.28426730087222</v>
      </c>
      <c r="Q56" s="66">
        <v>552.5434622601415</v>
      </c>
      <c r="R56" s="66">
        <v>512.77346218932871</v>
      </c>
      <c r="S56" s="66">
        <v>502</v>
      </c>
      <c r="T56" s="66">
        <v>446.92402291610415</v>
      </c>
      <c r="U56" s="66">
        <v>421.606071127424</v>
      </c>
      <c r="V56" s="66">
        <v>386.66679620328159</v>
      </c>
      <c r="W56" s="66">
        <v>368.59741503111491</v>
      </c>
      <c r="X56" s="66">
        <v>323.63372940833369</v>
      </c>
      <c r="Y56" s="66">
        <v>314.32379026699164</v>
      </c>
    </row>
    <row r="57" spans="1:25" x14ac:dyDescent="0.25">
      <c r="A57" s="72" t="s">
        <v>2</v>
      </c>
      <c r="B57" s="65"/>
      <c r="C57" s="65"/>
      <c r="D57" s="66">
        <v>2495.6631446144143</v>
      </c>
      <c r="E57" s="66">
        <v>2903.5239892115028</v>
      </c>
      <c r="F57" s="66">
        <v>3073.4106076571834</v>
      </c>
      <c r="G57" s="66">
        <v>3057.6078274760384</v>
      </c>
      <c r="H57" s="66">
        <v>2934.640361490407</v>
      </c>
      <c r="I57" s="66">
        <v>2953.4471156787176</v>
      </c>
      <c r="J57" s="66">
        <v>2836.8794326241136</v>
      </c>
      <c r="K57" s="66">
        <v>2949.6470810415244</v>
      </c>
      <c r="L57" s="66">
        <v>2915.4752373327233</v>
      </c>
      <c r="M57" s="66">
        <v>3161.7490144103872</v>
      </c>
      <c r="N57" s="66">
        <v>2931.2932637379868</v>
      </c>
      <c r="O57" s="66">
        <v>2836.0792218035231</v>
      </c>
      <c r="P57" s="66">
        <v>2849.6804195952686</v>
      </c>
      <c r="Q57" s="66">
        <v>2786.5606501974853</v>
      </c>
      <c r="R57" s="66">
        <v>2695.3738251065306</v>
      </c>
      <c r="S57" s="66">
        <v>2614</v>
      </c>
      <c r="T57" s="66">
        <v>2577.5618144915366</v>
      </c>
      <c r="U57" s="66">
        <v>2691.334755220475</v>
      </c>
      <c r="V57" s="66">
        <v>2659.0628673577444</v>
      </c>
      <c r="W57" s="66">
        <v>2733.3652465294399</v>
      </c>
      <c r="X57" s="66">
        <v>2773.4657973714166</v>
      </c>
      <c r="Y57" s="66">
        <v>2684.6192730113503</v>
      </c>
    </row>
    <row r="58" spans="1:25" x14ac:dyDescent="0.25">
      <c r="A58" s="72" t="s">
        <v>275</v>
      </c>
      <c r="B58" s="65"/>
      <c r="C58" s="65"/>
      <c r="D58" s="66">
        <v>1059.2440729643065</v>
      </c>
      <c r="E58" s="66">
        <v>1224.4691223582743</v>
      </c>
      <c r="F58" s="66">
        <v>1364.845200461639</v>
      </c>
      <c r="G58" s="66">
        <v>1316.6433706070288</v>
      </c>
      <c r="H58" s="66">
        <v>1083.9773821575841</v>
      </c>
      <c r="I58" s="66">
        <v>1208.7844864501133</v>
      </c>
      <c r="J58" s="66">
        <v>1275.3834030429775</v>
      </c>
      <c r="K58" s="66">
        <v>1226.3638724298294</v>
      </c>
      <c r="L58" s="66">
        <v>1248.9991993594874</v>
      </c>
      <c r="M58" s="66">
        <v>874.95647681196863</v>
      </c>
      <c r="N58" s="66">
        <v>866.95490490378359</v>
      </c>
      <c r="O58" s="66">
        <v>980.41363596529663</v>
      </c>
      <c r="P58" s="66">
        <v>929.01280445076759</v>
      </c>
      <c r="Q58" s="66">
        <v>944.40355369416261</v>
      </c>
      <c r="R58" s="66">
        <v>892.00154953412039</v>
      </c>
      <c r="S58" s="66">
        <v>876</v>
      </c>
      <c r="T58" s="66">
        <v>1055.8205105132129</v>
      </c>
      <c r="U58" s="66">
        <v>1057.4872278160806</v>
      </c>
      <c r="V58" s="66">
        <v>1144.4559947926282</v>
      </c>
      <c r="W58" s="66">
        <v>1049.3058879846817</v>
      </c>
      <c r="X58" s="66">
        <v>1035.8160932516721</v>
      </c>
      <c r="Y58" s="66">
        <v>1080.8326823215843</v>
      </c>
    </row>
    <row r="59" spans="1:25" x14ac:dyDescent="0.25">
      <c r="A59" s="72" t="s">
        <v>276</v>
      </c>
      <c r="B59" s="65"/>
      <c r="C59" s="65"/>
      <c r="D59" s="66">
        <v>18787.783209798665</v>
      </c>
      <c r="E59" s="66">
        <v>17837.742013093084</v>
      </c>
      <c r="F59" s="66">
        <v>18325.053941492297</v>
      </c>
      <c r="G59" s="66">
        <v>18526.607428115014</v>
      </c>
      <c r="H59" s="66">
        <v>18605.397664139855</v>
      </c>
      <c r="I59" s="66">
        <v>19690.463081911057</v>
      </c>
      <c r="J59" s="66">
        <v>21334.788143298785</v>
      </c>
      <c r="K59" s="66">
        <v>23806.09522910224</v>
      </c>
      <c r="L59" s="66">
        <v>23442.754203362689</v>
      </c>
      <c r="M59" s="66">
        <v>16552.289600485215</v>
      </c>
      <c r="N59" s="66">
        <v>16544.949483635384</v>
      </c>
      <c r="O59" s="66">
        <v>15565.024975900449</v>
      </c>
      <c r="P59" s="66">
        <v>12312.87027796063</v>
      </c>
      <c r="Q59" s="66">
        <v>12798.689653027588</v>
      </c>
      <c r="R59" s="66">
        <v>12950.843068893104</v>
      </c>
      <c r="S59" s="66">
        <v>12854</v>
      </c>
      <c r="T59" s="66">
        <v>13095.773718467863</v>
      </c>
      <c r="U59" s="66">
        <v>14014.185804275581</v>
      </c>
      <c r="V59" s="66">
        <v>13027.173543441722</v>
      </c>
      <c r="W59" s="66">
        <v>13382.479655337482</v>
      </c>
      <c r="X59" s="66">
        <v>13872.973761207229</v>
      </c>
      <c r="Y59" s="66">
        <v>14339.414548963741</v>
      </c>
    </row>
    <row r="60" spans="1:25" x14ac:dyDescent="0.25">
      <c r="A60" s="72" t="s">
        <v>1</v>
      </c>
      <c r="B60" s="65"/>
      <c r="C60" s="65"/>
      <c r="D60" s="66">
        <v>758.29259317668084</v>
      </c>
      <c r="E60" s="66">
        <v>735.69447785952161</v>
      </c>
      <c r="F60" s="66">
        <v>741.38190576546742</v>
      </c>
      <c r="G60" s="66">
        <v>688.89776357827475</v>
      </c>
      <c r="H60" s="66">
        <v>674.09071828934043</v>
      </c>
      <c r="I60" s="66">
        <v>672.9063436716217</v>
      </c>
      <c r="J60" s="66">
        <v>691.03473358792507</v>
      </c>
      <c r="K60" s="66">
        <v>626.75574231014377</v>
      </c>
      <c r="L60" s="66">
        <v>629.07468832208622</v>
      </c>
      <c r="M60" s="66">
        <v>529.01733065267933</v>
      </c>
      <c r="N60" s="66">
        <v>517.48471067900266</v>
      </c>
      <c r="O60" s="66">
        <v>502.80431162912981</v>
      </c>
      <c r="P60" s="66">
        <v>476.7162847981653</v>
      </c>
      <c r="Q60" s="66">
        <v>417.77676414791165</v>
      </c>
      <c r="R60" s="66">
        <v>383.30580871409057</v>
      </c>
      <c r="S60" s="66">
        <v>382</v>
      </c>
      <c r="T60" s="66">
        <v>407.93065178919585</v>
      </c>
      <c r="U60" s="66">
        <v>407.71787113734433</v>
      </c>
      <c r="V60" s="66">
        <v>396.3820423390427</v>
      </c>
      <c r="W60" s="66">
        <v>379.12876974629006</v>
      </c>
      <c r="X60" s="66">
        <v>395.1342045101747</v>
      </c>
      <c r="Y60" s="66">
        <v>410.82670833141856</v>
      </c>
    </row>
    <row r="61" spans="1:25" x14ac:dyDescent="0.25">
      <c r="A61" s="72" t="s">
        <v>0</v>
      </c>
      <c r="B61" s="65"/>
      <c r="C61" s="65"/>
      <c r="D61" s="66">
        <v>1854.3342269883826</v>
      </c>
      <c r="E61" s="66">
        <v>1862.6619224291846</v>
      </c>
      <c r="F61" s="66">
        <v>1831.5018315018317</v>
      </c>
      <c r="G61" s="66">
        <v>1804.6126198083068</v>
      </c>
      <c r="H61" s="66">
        <v>1716.0917553519839</v>
      </c>
      <c r="I61" s="66">
        <v>1682.2658591790544</v>
      </c>
      <c r="J61" s="66">
        <v>1868.2184639631448</v>
      </c>
      <c r="K61" s="66">
        <v>2106.8907721725172</v>
      </c>
      <c r="L61" s="66">
        <v>1489.1913530824659</v>
      </c>
      <c r="M61" s="66">
        <v>991.7670975930273</v>
      </c>
      <c r="N61" s="66">
        <v>1383.3195188064249</v>
      </c>
      <c r="O61" s="66">
        <v>1260.8447988782755</v>
      </c>
      <c r="P61" s="66">
        <v>1141.3585883252288</v>
      </c>
      <c r="Q61" s="66">
        <v>1204.6069477416213</v>
      </c>
      <c r="R61" s="66">
        <v>1222.2969804473262</v>
      </c>
      <c r="S61" s="66">
        <v>1195</v>
      </c>
      <c r="T61" s="66">
        <v>1220.7924652809022</v>
      </c>
      <c r="U61" s="66">
        <v>1317.3949704875749</v>
      </c>
      <c r="V61" s="66">
        <v>1336.8178682806929</v>
      </c>
      <c r="W61" s="66">
        <v>1181.4265198659646</v>
      </c>
      <c r="X61" s="66">
        <v>1117.6653213287798</v>
      </c>
      <c r="Y61" s="66">
        <v>2040.3474105050318</v>
      </c>
    </row>
    <row r="62" spans="1:25" x14ac:dyDescent="0.25">
      <c r="A62" s="78" t="s">
        <v>277</v>
      </c>
      <c r="B62" s="79"/>
      <c r="C62" s="79"/>
      <c r="D62" s="80">
        <v>2602.1132313515218</v>
      </c>
      <c r="E62" s="80">
        <v>2611.0189558456686</v>
      </c>
      <c r="F62" s="80">
        <v>2523.9600582066341</v>
      </c>
      <c r="G62" s="80">
        <v>2418.6301916932907</v>
      </c>
      <c r="H62" s="80">
        <v>2595.1258055754461</v>
      </c>
      <c r="I62" s="80">
        <v>2374.7476601211229</v>
      </c>
      <c r="J62" s="80">
        <v>2474.3892828999215</v>
      </c>
      <c r="K62" s="80">
        <v>2511.7442930997854</v>
      </c>
      <c r="L62" s="80">
        <v>2260.0937893171676</v>
      </c>
      <c r="M62" s="80">
        <v>1820.6732335201555</v>
      </c>
      <c r="N62" s="80">
        <v>1807.8361970474248</v>
      </c>
      <c r="O62" s="80">
        <v>1900.578389273508</v>
      </c>
      <c r="P62" s="80">
        <v>1845.2848618690673</v>
      </c>
      <c r="Q62" s="80">
        <v>1628.6037133408665</v>
      </c>
      <c r="R62" s="80">
        <v>1617.8359532693132</v>
      </c>
      <c r="S62" s="80">
        <v>1606</v>
      </c>
      <c r="T62" s="80">
        <v>1663.7171680814263</v>
      </c>
      <c r="U62" s="80">
        <v>1658.6478845295374</v>
      </c>
      <c r="V62" s="80">
        <v>1692.3958768495402</v>
      </c>
      <c r="W62" s="80">
        <v>1674.4853997127811</v>
      </c>
      <c r="X62" s="80">
        <v>1597.4711410911348</v>
      </c>
      <c r="Y62" s="80">
        <v>1663.526492348697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3.3757465593352375E-2</v>
      </c>
      <c r="E66" s="83">
        <f t="shared" ref="E66:S66" si="49">E24/E$23</f>
        <v>3.1405633847072317E-2</v>
      </c>
      <c r="F66" s="83">
        <f t="shared" si="49"/>
        <v>3.0471977760371066E-2</v>
      </c>
      <c r="G66" s="83">
        <f t="shared" si="49"/>
        <v>2.9058396200055882E-2</v>
      </c>
      <c r="H66" s="83">
        <f t="shared" si="49"/>
        <v>2.7173404875101597E-2</v>
      </c>
      <c r="I66" s="83">
        <f t="shared" si="49"/>
        <v>2.6069857769192819E-2</v>
      </c>
      <c r="J66" s="83">
        <f t="shared" si="49"/>
        <v>2.2950689183990236E-2</v>
      </c>
      <c r="K66" s="83">
        <f t="shared" si="49"/>
        <v>2.7128949324365489E-2</v>
      </c>
      <c r="L66" s="83">
        <f t="shared" si="49"/>
        <v>2.5061425061425058E-2</v>
      </c>
      <c r="M66" s="83">
        <f t="shared" si="49"/>
        <v>2.5750317478279459E-2</v>
      </c>
      <c r="N66" s="83">
        <f t="shared" si="49"/>
        <v>2.7638267248865866E-2</v>
      </c>
      <c r="O66" s="83">
        <f t="shared" si="49"/>
        <v>2.6785870395085759E-2</v>
      </c>
      <c r="P66" s="83">
        <f t="shared" si="49"/>
        <v>2.6793580596679741E-2</v>
      </c>
      <c r="Q66" s="83">
        <f t="shared" si="49"/>
        <v>2.7485297042361564E-2</v>
      </c>
      <c r="R66" s="83">
        <f t="shared" si="49"/>
        <v>2.7812342357491172E-2</v>
      </c>
      <c r="S66" s="83">
        <f t="shared" si="49"/>
        <v>2.6089956681033304E-2</v>
      </c>
      <c r="T66" s="83">
        <f t="shared" ref="T66:Y66" si="50">T24/T$23</f>
        <v>2.6820495853655934E-2</v>
      </c>
      <c r="U66" s="83">
        <f t="shared" si="50"/>
        <v>2.6779829030131781E-2</v>
      </c>
      <c r="V66" s="83">
        <f t="shared" si="50"/>
        <v>2.7678979474238481E-2</v>
      </c>
      <c r="W66" s="83">
        <f t="shared" si="50"/>
        <v>2.7184007023942188E-2</v>
      </c>
      <c r="X66" s="83">
        <f t="shared" si="50"/>
        <v>2.8313235479583622E-2</v>
      </c>
      <c r="Y66" s="83">
        <f t="shared" si="50"/>
        <v>2.8120640679167801E-2</v>
      </c>
    </row>
    <row r="67" spans="1:25" x14ac:dyDescent="0.25">
      <c r="A67" s="64" t="s">
        <v>56</v>
      </c>
      <c r="B67" s="65"/>
      <c r="C67" s="65"/>
      <c r="D67" s="83">
        <f t="shared" si="46"/>
        <v>2.3705614796324373E-3</v>
      </c>
      <c r="E67" s="83">
        <f t="shared" ref="E67:S67" si="51">E25/E$23</f>
        <v>2.5922609228448881E-3</v>
      </c>
      <c r="F67" s="83">
        <f t="shared" si="51"/>
        <v>2.6878004576940209E-3</v>
      </c>
      <c r="G67" s="83">
        <f t="shared" si="51"/>
        <v>2.8318343490179197E-3</v>
      </c>
      <c r="H67" s="83">
        <f t="shared" si="51"/>
        <v>2.7907043651507193E-3</v>
      </c>
      <c r="I67" s="83">
        <f t="shared" si="51"/>
        <v>2.6750786890029944E-3</v>
      </c>
      <c r="J67" s="83">
        <f t="shared" si="51"/>
        <v>3.4691359662505474E-3</v>
      </c>
      <c r="K67" s="83">
        <f t="shared" si="51"/>
        <v>3.4360492744087436E-3</v>
      </c>
      <c r="L67" s="83">
        <f t="shared" si="51"/>
        <v>3.9136539136539134E-3</v>
      </c>
      <c r="M67" s="83">
        <f t="shared" si="51"/>
        <v>3.9166132297285411E-3</v>
      </c>
      <c r="N67" s="83">
        <f t="shared" si="51"/>
        <v>4.9920139922144018E-3</v>
      </c>
      <c r="O67" s="83">
        <f t="shared" si="51"/>
        <v>4.7848563086086617E-3</v>
      </c>
      <c r="P67" s="83">
        <f t="shared" si="51"/>
        <v>4.6930514047483314E-3</v>
      </c>
      <c r="Q67" s="83">
        <f t="shared" si="51"/>
        <v>3.3752876665624912E-3</v>
      </c>
      <c r="R67" s="83">
        <f t="shared" si="51"/>
        <v>3.049156437419427E-3</v>
      </c>
      <c r="S67" s="83">
        <f t="shared" si="51"/>
        <v>3.5104244820617857E-3</v>
      </c>
      <c r="T67" s="83">
        <f t="shared" ref="T67:Y67" si="52">T25/T$23</f>
        <v>3.59670000106727E-3</v>
      </c>
      <c r="U67" s="83">
        <f t="shared" si="52"/>
        <v>4.803098509506558E-3</v>
      </c>
      <c r="V67" s="83">
        <f t="shared" si="52"/>
        <v>4.9228048562401892E-3</v>
      </c>
      <c r="W67" s="83">
        <f t="shared" si="52"/>
        <v>4.1487570613292423E-3</v>
      </c>
      <c r="X67" s="83">
        <f t="shared" si="52"/>
        <v>4.7778888037330594E-3</v>
      </c>
      <c r="Y67" s="83">
        <f t="shared" si="52"/>
        <v>4.8985529932276586E-3</v>
      </c>
    </row>
    <row r="68" spans="1:25" x14ac:dyDescent="0.25">
      <c r="A68" s="64" t="s">
        <v>146</v>
      </c>
      <c r="B68" s="65"/>
      <c r="C68" s="65"/>
      <c r="D68" s="83">
        <f t="shared" si="46"/>
        <v>0.61960445967113686</v>
      </c>
      <c r="E68" s="83">
        <f t="shared" ref="E68:S68" si="53">E26/E$23</f>
        <v>0.63184396160311707</v>
      </c>
      <c r="F68" s="83">
        <f t="shared" si="53"/>
        <v>0.64037997819041914</v>
      </c>
      <c r="G68" s="83">
        <f t="shared" si="53"/>
        <v>0.64719874946195144</v>
      </c>
      <c r="H68" s="83">
        <f t="shared" si="53"/>
        <v>0.65098933346759402</v>
      </c>
      <c r="I68" s="83">
        <f t="shared" si="53"/>
        <v>0.65393514497536842</v>
      </c>
      <c r="J68" s="83">
        <f t="shared" si="53"/>
        <v>0.64418471988219517</v>
      </c>
      <c r="K68" s="83">
        <f t="shared" si="53"/>
        <v>0.63813649157436847</v>
      </c>
      <c r="L68" s="83">
        <f t="shared" si="53"/>
        <v>0.6546566046566048</v>
      </c>
      <c r="M68" s="83">
        <f t="shared" si="53"/>
        <v>0.69767895087573706</v>
      </c>
      <c r="N68" s="83">
        <f t="shared" si="53"/>
        <v>0.69061659267716502</v>
      </c>
      <c r="O68" s="83">
        <f t="shared" si="53"/>
        <v>0.70118834616482995</v>
      </c>
      <c r="P68" s="83">
        <f t="shared" si="53"/>
        <v>0.71964920160542667</v>
      </c>
      <c r="Q68" s="83">
        <f t="shared" si="53"/>
        <v>0.71862374634201787</v>
      </c>
      <c r="R68" s="83">
        <f t="shared" si="53"/>
        <v>0.7214449862675858</v>
      </c>
      <c r="S68" s="83">
        <f t="shared" si="53"/>
        <v>0.72136758689806624</v>
      </c>
      <c r="T68" s="83">
        <f t="shared" ref="T68:Y68" si="54">T26/T$23</f>
        <v>0.71771774976786862</v>
      </c>
      <c r="U68" s="83">
        <f t="shared" si="54"/>
        <v>0.70803803645245178</v>
      </c>
      <c r="V68" s="83">
        <f t="shared" si="54"/>
        <v>0.71098018956027564</v>
      </c>
      <c r="W68" s="83">
        <f t="shared" si="54"/>
        <v>0.71333535947050275</v>
      </c>
      <c r="X68" s="83">
        <f t="shared" si="54"/>
        <v>0.71116813317940608</v>
      </c>
      <c r="Y68" s="83">
        <f t="shared" si="54"/>
        <v>0.7125921356125724</v>
      </c>
    </row>
    <row r="69" spans="1:25" x14ac:dyDescent="0.25">
      <c r="A69" s="68" t="s">
        <v>148</v>
      </c>
      <c r="B69" s="69"/>
      <c r="C69" s="69"/>
      <c r="D69" s="84">
        <f t="shared" si="46"/>
        <v>0.26778968177515683</v>
      </c>
      <c r="E69" s="84">
        <f t="shared" ref="E69:S69" si="55">E27/E$23</f>
        <v>0.26938304190036289</v>
      </c>
      <c r="F69" s="84">
        <f t="shared" si="55"/>
        <v>0.27338770369687754</v>
      </c>
      <c r="G69" s="84">
        <f t="shared" si="55"/>
        <v>0.27807102995703165</v>
      </c>
      <c r="H69" s="84">
        <f t="shared" si="55"/>
        <v>0.27617184409456741</v>
      </c>
      <c r="I69" s="84">
        <f t="shared" si="55"/>
        <v>0.27897944010950448</v>
      </c>
      <c r="J69" s="84">
        <f t="shared" si="55"/>
        <v>0.27369691823982806</v>
      </c>
      <c r="K69" s="84">
        <f t="shared" si="55"/>
        <v>0.26587954332224539</v>
      </c>
      <c r="L69" s="84">
        <f t="shared" si="55"/>
        <v>0.27058032058032055</v>
      </c>
      <c r="M69" s="84">
        <f t="shared" si="55"/>
        <v>0.29339393710786715</v>
      </c>
      <c r="N69" s="84">
        <f t="shared" si="55"/>
        <v>0.29175346009728964</v>
      </c>
      <c r="O69" s="84">
        <f t="shared" si="55"/>
        <v>0.29293111788463894</v>
      </c>
      <c r="P69" s="84">
        <f t="shared" si="55"/>
        <v>0.30109811644525825</v>
      </c>
      <c r="Q69" s="84">
        <f t="shared" si="55"/>
        <v>0.29955962155865556</v>
      </c>
      <c r="R69" s="84">
        <f t="shared" si="55"/>
        <v>0.29672103581637793</v>
      </c>
      <c r="S69" s="84">
        <f t="shared" si="55"/>
        <v>0.29400489597423862</v>
      </c>
      <c r="T69" s="84">
        <f t="shared" ref="T69:Y69" si="56">T27/T$23</f>
        <v>0.28888331536762119</v>
      </c>
      <c r="U69" s="84">
        <f t="shared" si="56"/>
        <v>0.27799210043585565</v>
      </c>
      <c r="V69" s="84">
        <f t="shared" si="56"/>
        <v>0.27762930434955391</v>
      </c>
      <c r="W69" s="84">
        <f t="shared" si="56"/>
        <v>0.27965517075029794</v>
      </c>
      <c r="X69" s="84">
        <f t="shared" si="56"/>
        <v>0.26893935719205658</v>
      </c>
      <c r="Y69" s="84">
        <f t="shared" si="56"/>
        <v>0.26937897949881906</v>
      </c>
    </row>
    <row r="70" spans="1:25" x14ac:dyDescent="0.25">
      <c r="A70" s="68" t="s">
        <v>150</v>
      </c>
      <c r="B70" s="71"/>
      <c r="C70" s="71"/>
      <c r="D70" s="84">
        <f t="shared" si="46"/>
        <v>0.24498035700823409</v>
      </c>
      <c r="E70" s="84">
        <f t="shared" ref="E70:S70" si="57">E28/E$23</f>
        <v>0.25322461548129638</v>
      </c>
      <c r="F70" s="84">
        <f t="shared" si="57"/>
        <v>0.25632401050546011</v>
      </c>
      <c r="G70" s="84">
        <f t="shared" si="57"/>
        <v>0.25831615353828258</v>
      </c>
      <c r="H70" s="84">
        <f t="shared" si="57"/>
        <v>0.26330439535937511</v>
      </c>
      <c r="I70" s="84">
        <f t="shared" si="57"/>
        <v>0.26206738418993758</v>
      </c>
      <c r="J70" s="84">
        <f t="shared" si="57"/>
        <v>0.26300428501306727</v>
      </c>
      <c r="K70" s="84">
        <f t="shared" si="57"/>
        <v>0.26411887268340828</v>
      </c>
      <c r="L70" s="84">
        <f t="shared" si="57"/>
        <v>0.27071487071487071</v>
      </c>
      <c r="M70" s="84">
        <f t="shared" si="57"/>
        <v>0.29153307432135089</v>
      </c>
      <c r="N70" s="84">
        <f t="shared" si="57"/>
        <v>0.28764810552461695</v>
      </c>
      <c r="O70" s="84">
        <f t="shared" si="57"/>
        <v>0.29297774255025266</v>
      </c>
      <c r="P70" s="84">
        <f t="shared" si="57"/>
        <v>0.3000385809133887</v>
      </c>
      <c r="Q70" s="84">
        <f t="shared" si="57"/>
        <v>0.30338949342273491</v>
      </c>
      <c r="R70" s="84">
        <f t="shared" si="57"/>
        <v>0.31277394764867439</v>
      </c>
      <c r="S70" s="84">
        <f t="shared" si="57"/>
        <v>0.31695135241704497</v>
      </c>
      <c r="T70" s="84">
        <f t="shared" ref="T70:Y70" si="58">T28/T$23</f>
        <v>0.32065060781028215</v>
      </c>
      <c r="U70" s="84">
        <f t="shared" si="58"/>
        <v>0.32202731634535298</v>
      </c>
      <c r="V70" s="84">
        <f t="shared" si="58"/>
        <v>0.32677290519999208</v>
      </c>
      <c r="W70" s="84">
        <f t="shared" si="58"/>
        <v>0.32848507653491954</v>
      </c>
      <c r="X70" s="84">
        <f t="shared" si="58"/>
        <v>0.33396715140814331</v>
      </c>
      <c r="Y70" s="84">
        <f t="shared" si="58"/>
        <v>0.3359422118071701</v>
      </c>
    </row>
    <row r="71" spans="1:25" x14ac:dyDescent="0.25">
      <c r="A71" s="68" t="s">
        <v>152</v>
      </c>
      <c r="B71" s="71"/>
      <c r="C71" s="71"/>
      <c r="D71" s="84">
        <f t="shared" si="46"/>
        <v>0.1068344208877459</v>
      </c>
      <c r="E71" s="84">
        <f t="shared" ref="E71:S71" si="59">E29/E$23</f>
        <v>0.10923630422145766</v>
      </c>
      <c r="F71" s="84">
        <f t="shared" si="59"/>
        <v>0.11066826398808158</v>
      </c>
      <c r="G71" s="84">
        <f t="shared" si="59"/>
        <v>0.11081156596663716</v>
      </c>
      <c r="H71" s="84">
        <f t="shared" si="59"/>
        <v>0.11151309401365138</v>
      </c>
      <c r="I71" s="84">
        <f t="shared" si="59"/>
        <v>0.11288832067592636</v>
      </c>
      <c r="J71" s="84">
        <f t="shared" si="59"/>
        <v>0.10748351662929982</v>
      </c>
      <c r="K71" s="84">
        <f t="shared" si="59"/>
        <v>0.10813807556871484</v>
      </c>
      <c r="L71" s="84">
        <f t="shared" si="59"/>
        <v>0.11336141336141345</v>
      </c>
      <c r="M71" s="84">
        <f t="shared" si="59"/>
        <v>0.11275193944651897</v>
      </c>
      <c r="N71" s="84">
        <f t="shared" si="59"/>
        <v>0.11121502705525839</v>
      </c>
      <c r="O71" s="84">
        <f t="shared" si="59"/>
        <v>0.11527948572993835</v>
      </c>
      <c r="P71" s="84">
        <f t="shared" si="59"/>
        <v>0.11851250424677964</v>
      </c>
      <c r="Q71" s="84">
        <f t="shared" si="59"/>
        <v>0.11567463136062733</v>
      </c>
      <c r="R71" s="84">
        <f t="shared" si="59"/>
        <v>0.1119500028025335</v>
      </c>
      <c r="S71" s="84">
        <f t="shared" si="59"/>
        <v>0.11041133850678263</v>
      </c>
      <c r="T71" s="84">
        <f t="shared" ref="T71:Y71" si="60">T29/T$23</f>
        <v>0.1081838265899655</v>
      </c>
      <c r="U71" s="84">
        <f t="shared" si="60"/>
        <v>0.10801861967124311</v>
      </c>
      <c r="V71" s="84">
        <f t="shared" si="60"/>
        <v>0.10657798001072974</v>
      </c>
      <c r="W71" s="84">
        <f t="shared" si="60"/>
        <v>0.10519511218528536</v>
      </c>
      <c r="X71" s="84">
        <f t="shared" si="60"/>
        <v>0.10826162457920628</v>
      </c>
      <c r="Y71" s="84">
        <f t="shared" si="60"/>
        <v>0.10727094430658315</v>
      </c>
    </row>
    <row r="72" spans="1:25" x14ac:dyDescent="0.25">
      <c r="A72" s="64" t="s">
        <v>154</v>
      </c>
      <c r="B72" s="65"/>
      <c r="C72" s="65"/>
      <c r="D72" s="83">
        <f t="shared" si="46"/>
        <v>1.8151967230966404E-2</v>
      </c>
      <c r="E72" s="83">
        <f t="shared" ref="E72:S72" si="61">E30/E$23</f>
        <v>1.9881855744607314E-2</v>
      </c>
      <c r="F72" s="83">
        <f t="shared" si="61"/>
        <v>2.350673486000399E-2</v>
      </c>
      <c r="G72" s="83">
        <f t="shared" si="61"/>
        <v>2.4580322149475541E-2</v>
      </c>
      <c r="H72" s="83">
        <f t="shared" si="61"/>
        <v>2.7410758596879876E-2</v>
      </c>
      <c r="I72" s="83">
        <f t="shared" si="61"/>
        <v>2.3339193029509243E-2</v>
      </c>
      <c r="J72" s="83">
        <f t="shared" si="61"/>
        <v>2.5570782313376405E-2</v>
      </c>
      <c r="K72" s="83">
        <f t="shared" si="61"/>
        <v>2.4990556956781321E-2</v>
      </c>
      <c r="L72" s="83">
        <f t="shared" si="61"/>
        <v>2.3417573417573417E-2</v>
      </c>
      <c r="M72" s="83">
        <f t="shared" si="61"/>
        <v>2.7114531075151195E-2</v>
      </c>
      <c r="N72" s="83">
        <f t="shared" si="61"/>
        <v>2.8737482008708695E-2</v>
      </c>
      <c r="O72" s="83">
        <f t="shared" si="61"/>
        <v>2.608650041087986E-2</v>
      </c>
      <c r="P72" s="83">
        <f t="shared" si="61"/>
        <v>2.6563246785403744E-2</v>
      </c>
      <c r="Q72" s="83">
        <f t="shared" si="61"/>
        <v>2.6979572122624088E-2</v>
      </c>
      <c r="R72" s="83">
        <f t="shared" si="61"/>
        <v>2.5514264895465499E-2</v>
      </c>
      <c r="S72" s="83">
        <f t="shared" si="61"/>
        <v>2.4726312849467962E-2</v>
      </c>
      <c r="T72" s="83">
        <f t="shared" ref="T72:Y72" si="62">T30/T$23</f>
        <v>2.3640031164284876E-2</v>
      </c>
      <c r="U72" s="83">
        <f t="shared" si="62"/>
        <v>2.6008267461051469E-2</v>
      </c>
      <c r="V72" s="83">
        <f t="shared" si="62"/>
        <v>2.412224054682377E-2</v>
      </c>
      <c r="W72" s="83">
        <f t="shared" si="62"/>
        <v>2.6204707392023772E-2</v>
      </c>
      <c r="X72" s="83">
        <f t="shared" si="62"/>
        <v>2.4369658223304461E-2</v>
      </c>
      <c r="Y72" s="83">
        <f t="shared" si="62"/>
        <v>2.3489114070909315E-2</v>
      </c>
    </row>
    <row r="73" spans="1:25" x14ac:dyDescent="0.25">
      <c r="A73" s="64" t="s">
        <v>37</v>
      </c>
      <c r="B73" s="65"/>
      <c r="C73" s="65"/>
      <c r="D73" s="83">
        <f t="shared" si="46"/>
        <v>6.1517326877811376E-2</v>
      </c>
      <c r="E73" s="83">
        <f t="shared" ref="E73:S73" si="63">E31/E$23</f>
        <v>5.8632228873073476E-2</v>
      </c>
      <c r="F73" s="83">
        <f t="shared" si="63"/>
        <v>5.5706584343178364E-2</v>
      </c>
      <c r="G73" s="83">
        <f t="shared" si="63"/>
        <v>5.7784523836493663E-2</v>
      </c>
      <c r="H73" s="83">
        <f t="shared" si="63"/>
        <v>5.9906640869433876E-2</v>
      </c>
      <c r="I73" s="83">
        <f t="shared" si="63"/>
        <v>6.4313060637433028E-2</v>
      </c>
      <c r="J73" s="83">
        <f t="shared" si="63"/>
        <v>6.569468950238129E-2</v>
      </c>
      <c r="K73" s="83">
        <f t="shared" si="63"/>
        <v>6.7258836860766891E-2</v>
      </c>
      <c r="L73" s="83">
        <f t="shared" si="63"/>
        <v>6.9170469170469165E-2</v>
      </c>
      <c r="M73" s="83">
        <f t="shared" si="63"/>
        <v>6.7475136107024769E-2</v>
      </c>
      <c r="N73" s="83">
        <f t="shared" si="63"/>
        <v>6.5157321316871436E-2</v>
      </c>
      <c r="O73" s="83">
        <f t="shared" si="63"/>
        <v>6.5134657862375642E-2</v>
      </c>
      <c r="P73" s="83">
        <f t="shared" si="63"/>
        <v>6.7349606417099986E-2</v>
      </c>
      <c r="Q73" s="83">
        <f t="shared" si="63"/>
        <v>6.6295422905361251E-2</v>
      </c>
      <c r="R73" s="83">
        <f t="shared" si="63"/>
        <v>6.4334958802757691E-2</v>
      </c>
      <c r="S73" s="83">
        <f t="shared" si="63"/>
        <v>6.516465040881933E-2</v>
      </c>
      <c r="T73" s="83">
        <f t="shared" ref="T73:Y73" si="64">T31/T$23</f>
        <v>7.001291396736288E-2</v>
      </c>
      <c r="U73" s="83">
        <f t="shared" si="64"/>
        <v>7.1607045225771188E-2</v>
      </c>
      <c r="V73" s="83">
        <f t="shared" si="64"/>
        <v>7.4388499215133033E-2</v>
      </c>
      <c r="W73" s="83">
        <f t="shared" si="64"/>
        <v>7.4151796267083472E-2</v>
      </c>
      <c r="X73" s="83">
        <f t="shared" si="64"/>
        <v>7.7008896089407156E-2</v>
      </c>
      <c r="Y73" s="83">
        <f t="shared" si="64"/>
        <v>7.0812634951912229E-2</v>
      </c>
    </row>
    <row r="74" spans="1:25" x14ac:dyDescent="0.25">
      <c r="A74" s="64" t="s">
        <v>58</v>
      </c>
      <c r="B74" s="65"/>
      <c r="C74" s="65"/>
      <c r="D74" s="83">
        <f t="shared" si="46"/>
        <v>0.26459821914710041</v>
      </c>
      <c r="E74" s="83">
        <f t="shared" ref="E74:S74" si="65">E32/E$23</f>
        <v>0.25564405900928494</v>
      </c>
      <c r="F74" s="83">
        <f t="shared" si="65"/>
        <v>0.24724692438833337</v>
      </c>
      <c r="G74" s="83">
        <f t="shared" si="65"/>
        <v>0.23854617400300554</v>
      </c>
      <c r="H74" s="83">
        <f t="shared" si="65"/>
        <v>0.23172915782583986</v>
      </c>
      <c r="I74" s="83">
        <f t="shared" si="65"/>
        <v>0.22966766489949347</v>
      </c>
      <c r="J74" s="83">
        <f t="shared" si="65"/>
        <v>0.2381299831518062</v>
      </c>
      <c r="K74" s="83">
        <f t="shared" si="65"/>
        <v>0.239049116009309</v>
      </c>
      <c r="L74" s="83">
        <f t="shared" si="65"/>
        <v>0.22378027378027379</v>
      </c>
      <c r="M74" s="83">
        <f t="shared" si="65"/>
        <v>0.17806445123407894</v>
      </c>
      <c r="N74" s="83">
        <f t="shared" si="65"/>
        <v>0.18285832275617472</v>
      </c>
      <c r="O74" s="83">
        <f t="shared" si="65"/>
        <v>0.17601976885822024</v>
      </c>
      <c r="P74" s="83">
        <f t="shared" si="65"/>
        <v>0.15495131319064157</v>
      </c>
      <c r="Q74" s="83">
        <f t="shared" si="65"/>
        <v>0.15724067392107285</v>
      </c>
      <c r="R74" s="83">
        <f t="shared" si="65"/>
        <v>0.15784429123928032</v>
      </c>
      <c r="S74" s="83">
        <f t="shared" si="65"/>
        <v>0.15914106868055136</v>
      </c>
      <c r="T74" s="83">
        <f t="shared" ref="T74:Y74" si="66">T32/T$23</f>
        <v>0.15821210924576029</v>
      </c>
      <c r="U74" s="83">
        <f t="shared" si="66"/>
        <v>0.16276372332108713</v>
      </c>
      <c r="V74" s="83">
        <f t="shared" si="66"/>
        <v>0.15790728634728873</v>
      </c>
      <c r="W74" s="83">
        <f t="shared" si="66"/>
        <v>0.1549753727851185</v>
      </c>
      <c r="X74" s="83">
        <f t="shared" si="66"/>
        <v>0.15436218822456566</v>
      </c>
      <c r="Y74" s="83">
        <f t="shared" si="66"/>
        <v>0.16008692169221064</v>
      </c>
    </row>
    <row r="75" spans="1:25" x14ac:dyDescent="0.25">
      <c r="A75" s="85" t="s">
        <v>158</v>
      </c>
      <c r="B75" s="86"/>
      <c r="C75" s="86"/>
      <c r="D75" s="87">
        <f t="shared" si="46"/>
        <v>1.146748645094278E-2</v>
      </c>
      <c r="E75" s="87">
        <f t="shared" ref="E75:S75" si="67">E33/E$23</f>
        <v>1.0596848439144711E-2</v>
      </c>
      <c r="F75" s="87">
        <f t="shared" si="67"/>
        <v>9.1231626964014181E-3</v>
      </c>
      <c r="G75" s="87">
        <f t="shared" si="67"/>
        <v>9.8321288597902172E-3</v>
      </c>
      <c r="H75" s="87">
        <f t="shared" si="67"/>
        <v>1.1083699553343452E-2</v>
      </c>
      <c r="I75" s="87">
        <f t="shared" si="67"/>
        <v>1.2645826529832338E-2</v>
      </c>
      <c r="J75" s="87">
        <f t="shared" si="67"/>
        <v>1.5614428421708963E-2</v>
      </c>
      <c r="K75" s="87">
        <f t="shared" si="67"/>
        <v>1.4859085426033557E-2</v>
      </c>
      <c r="L75" s="87">
        <f t="shared" si="67"/>
        <v>1.3308763308763306E-2</v>
      </c>
      <c r="M75" s="87">
        <f t="shared" si="67"/>
        <v>5.0796524713012216E-3</v>
      </c>
      <c r="N75" s="87">
        <f t="shared" si="67"/>
        <v>7.4576559397071598E-3</v>
      </c>
      <c r="O75" s="87">
        <f t="shared" si="67"/>
        <v>7.5182273302133659E-3</v>
      </c>
      <c r="P75" s="87">
        <f t="shared" si="67"/>
        <v>6.4090382987544697E-3</v>
      </c>
      <c r="Q75" s="87">
        <f t="shared" si="67"/>
        <v>7.1994772281728549E-3</v>
      </c>
      <c r="R75" s="87">
        <f t="shared" si="67"/>
        <v>7.1576705341628837E-3</v>
      </c>
      <c r="S75" s="87">
        <f t="shared" si="67"/>
        <v>8.554263714478174E-3</v>
      </c>
      <c r="T75" s="87">
        <f t="shared" ref="T75:Y75" si="68">T33/T$23</f>
        <v>7.4975719606817717E-3</v>
      </c>
      <c r="U75" s="87">
        <f t="shared" si="68"/>
        <v>9.6981712457909017E-3</v>
      </c>
      <c r="V75" s="87">
        <f t="shared" si="68"/>
        <v>8.5739265205555665E-3</v>
      </c>
      <c r="W75" s="87">
        <f t="shared" si="68"/>
        <v>6.91781119296062E-3</v>
      </c>
      <c r="X75" s="87">
        <f t="shared" si="68"/>
        <v>6.3397976309432572E-3</v>
      </c>
      <c r="Y75" s="87">
        <f t="shared" si="68"/>
        <v>7.8680705502124689E-3</v>
      </c>
    </row>
    <row r="76" spans="1:25" x14ac:dyDescent="0.25">
      <c r="A76" s="88" t="s">
        <v>5</v>
      </c>
      <c r="B76" s="44"/>
      <c r="C76" s="44"/>
      <c r="D76" s="89">
        <f t="shared" si="46"/>
        <v>9.7785687689799002E-3</v>
      </c>
      <c r="E76" s="89">
        <f t="shared" ref="E76:S76" si="69">E34/E$23</f>
        <v>9.0597171178397398E-3</v>
      </c>
      <c r="F76" s="89">
        <f t="shared" si="69"/>
        <v>7.8265019774495445E-3</v>
      </c>
      <c r="G76" s="89">
        <f t="shared" si="69"/>
        <v>8.3555344053341182E-3</v>
      </c>
      <c r="H76" s="89">
        <f t="shared" si="69"/>
        <v>9.419143532087882E-3</v>
      </c>
      <c r="I76" s="89">
        <f t="shared" si="69"/>
        <v>1.0813138389404956E-2</v>
      </c>
      <c r="J76" s="89">
        <f t="shared" si="69"/>
        <v>1.3246332540562461E-2</v>
      </c>
      <c r="K76" s="89">
        <f t="shared" si="69"/>
        <v>1.1616276882276785E-2</v>
      </c>
      <c r="L76" s="89">
        <f t="shared" si="69"/>
        <v>1.0311833453773627E-2</v>
      </c>
      <c r="M76" s="89">
        <f t="shared" si="69"/>
        <v>3.2670781686396761E-3</v>
      </c>
      <c r="N76" s="89">
        <f t="shared" si="69"/>
        <v>4.6259196154417037E-3</v>
      </c>
      <c r="O76" s="89">
        <f t="shared" si="69"/>
        <v>4.6060385793843823E-3</v>
      </c>
      <c r="P76" s="89">
        <f t="shared" si="69"/>
        <v>3.8874915861307939E-3</v>
      </c>
      <c r="Q76" s="89">
        <f t="shared" si="69"/>
        <v>4.7640702344431051E-3</v>
      </c>
      <c r="R76" s="89">
        <f t="shared" si="69"/>
        <v>4.1977003095143685E-3</v>
      </c>
      <c r="S76" s="89">
        <f t="shared" si="69"/>
        <v>4.9430338132933358E-3</v>
      </c>
      <c r="T76" s="89">
        <f t="shared" ref="T76:Y76" si="70">T34/T$23</f>
        <v>4.6532066665084595E-3</v>
      </c>
      <c r="U76" s="89">
        <f t="shared" si="70"/>
        <v>6.6439643669421724E-3</v>
      </c>
      <c r="V76" s="89">
        <f t="shared" si="70"/>
        <v>5.4161217812385412E-3</v>
      </c>
      <c r="W76" s="89">
        <f t="shared" si="70"/>
        <v>3.5090130074409104E-3</v>
      </c>
      <c r="X76" s="89">
        <f t="shared" si="70"/>
        <v>5.126796765859325E-3</v>
      </c>
      <c r="Y76" s="89">
        <f t="shared" si="70"/>
        <v>4.4718404852202992E-3</v>
      </c>
    </row>
    <row r="77" spans="1:25" x14ac:dyDescent="0.25">
      <c r="A77" s="88" t="s">
        <v>269</v>
      </c>
      <c r="B77" s="44"/>
      <c r="C77" s="44"/>
      <c r="D77" s="89">
        <f>D37/D$23</f>
        <v>1.6889176819628792E-3</v>
      </c>
      <c r="E77" s="89">
        <f t="shared" ref="E77:S77" si="71">E37/E$23</f>
        <v>1.5371313213049698E-3</v>
      </c>
      <c r="F77" s="89">
        <f t="shared" si="71"/>
        <v>1.2966607189518746E-3</v>
      </c>
      <c r="G77" s="89">
        <f t="shared" si="71"/>
        <v>1.4765944544560985E-3</v>
      </c>
      <c r="H77" s="89">
        <f t="shared" si="71"/>
        <v>1.6645560212555695E-3</v>
      </c>
      <c r="I77" s="89">
        <f t="shared" si="71"/>
        <v>1.8326881404273825E-3</v>
      </c>
      <c r="J77" s="89">
        <f t="shared" si="71"/>
        <v>2.3680958811465032E-3</v>
      </c>
      <c r="K77" s="89">
        <f t="shared" si="71"/>
        <v>3.2428085437567712E-3</v>
      </c>
      <c r="L77" s="89">
        <f t="shared" si="71"/>
        <v>2.9969298549896808E-3</v>
      </c>
      <c r="M77" s="89">
        <f t="shared" si="71"/>
        <v>1.8125743026615451E-3</v>
      </c>
      <c r="N77" s="89">
        <f t="shared" si="71"/>
        <v>2.8317363242654561E-3</v>
      </c>
      <c r="O77" s="89">
        <f t="shared" si="71"/>
        <v>2.9121887508289836E-3</v>
      </c>
      <c r="P77" s="89">
        <f t="shared" si="71"/>
        <v>2.5215467126236757E-3</v>
      </c>
      <c r="Q77" s="89">
        <f t="shared" si="71"/>
        <v>2.435406993729751E-3</v>
      </c>
      <c r="R77" s="89">
        <f t="shared" si="71"/>
        <v>2.9599702246485156E-3</v>
      </c>
      <c r="S77" s="89">
        <f t="shared" si="71"/>
        <v>3.6112299011848382E-3</v>
      </c>
      <c r="T77" s="89">
        <f t="shared" ref="T77:Y77" si="72">T37/T$23</f>
        <v>2.8443652941733122E-3</v>
      </c>
      <c r="U77" s="89">
        <f t="shared" si="72"/>
        <v>3.0542068788487289E-3</v>
      </c>
      <c r="V77" s="89">
        <f t="shared" si="72"/>
        <v>3.1578047393170253E-3</v>
      </c>
      <c r="W77" s="89">
        <f t="shared" si="72"/>
        <v>3.40879818551971E-3</v>
      </c>
      <c r="X77" s="89">
        <f t="shared" si="72"/>
        <v>1.2130008650839317E-3</v>
      </c>
      <c r="Y77" s="89">
        <f t="shared" si="72"/>
        <v>3.3962300649921706E-3</v>
      </c>
    </row>
    <row r="78" spans="1:25" x14ac:dyDescent="0.25">
      <c r="A78" s="68" t="s">
        <v>271</v>
      </c>
      <c r="B78" s="44"/>
      <c r="C78" s="44"/>
      <c r="D78" s="89">
        <f>D43/D$23</f>
        <v>1.5362578634791131E-2</v>
      </c>
      <c r="E78" s="89">
        <f t="shared" ref="E78:S78" si="73">E43/E$23</f>
        <v>1.6449073855870293E-2</v>
      </c>
      <c r="F78" s="89">
        <f t="shared" si="73"/>
        <v>1.54049363375263E-2</v>
      </c>
      <c r="G78" s="89">
        <f t="shared" si="73"/>
        <v>1.4846363547117946E-2</v>
      </c>
      <c r="H78" s="89">
        <f t="shared" si="73"/>
        <v>1.6082512784734562E-2</v>
      </c>
      <c r="I78" s="89">
        <f t="shared" si="73"/>
        <v>1.5869817469306078E-2</v>
      </c>
      <c r="J78" s="89">
        <f t="shared" si="73"/>
        <v>1.576699080645803E-2</v>
      </c>
      <c r="K78" s="89">
        <f t="shared" si="73"/>
        <v>1.62054806204384E-2</v>
      </c>
      <c r="L78" s="89">
        <f t="shared" si="73"/>
        <v>1.5631215631215629E-2</v>
      </c>
      <c r="M78" s="89">
        <f t="shared" si="73"/>
        <v>1.5484138659424388E-2</v>
      </c>
      <c r="N78" s="89">
        <f t="shared" si="73"/>
        <v>1.6245301008726912E-2</v>
      </c>
      <c r="O78" s="89">
        <f t="shared" si="73"/>
        <v>1.777565376523315E-2</v>
      </c>
      <c r="P78" s="89">
        <f t="shared" si="73"/>
        <v>1.6428559089260109E-2</v>
      </c>
      <c r="Q78" s="89">
        <f t="shared" si="73"/>
        <v>1.6768474585902207E-2</v>
      </c>
      <c r="R78" s="89">
        <f t="shared" si="73"/>
        <v>1.7330867103861888E-2</v>
      </c>
      <c r="S78" s="89">
        <f t="shared" si="73"/>
        <v>1.8275017935476097E-2</v>
      </c>
      <c r="T78" s="89">
        <f t="shared" ref="T78:Y78" si="74">T43/T$23</f>
        <v>1.9264224041324694E-2</v>
      </c>
      <c r="U78" s="89">
        <f t="shared" si="74"/>
        <v>1.9447439284236128E-2</v>
      </c>
      <c r="V78" s="89">
        <f t="shared" si="74"/>
        <v>1.9919724998509747E-2</v>
      </c>
      <c r="W78" s="89">
        <f t="shared" si="74"/>
        <v>2.1583184991147711E-2</v>
      </c>
      <c r="X78" s="89">
        <f t="shared" si="74"/>
        <v>2.1071217221742548E-2</v>
      </c>
      <c r="Y78" s="89">
        <f t="shared" si="74"/>
        <v>1.9520549521884652E-2</v>
      </c>
    </row>
    <row r="79" spans="1:25" x14ac:dyDescent="0.25">
      <c r="A79" s="88" t="s">
        <v>272</v>
      </c>
      <c r="B79" s="44"/>
      <c r="C79" s="44"/>
      <c r="D79" s="89">
        <f>D44/D$23</f>
        <v>1.164339383989077E-2</v>
      </c>
      <c r="E79" s="89">
        <f t="shared" ref="E79:S79" si="75">E44/E$23</f>
        <v>1.2191481673500808E-2</v>
      </c>
      <c r="F79" s="89">
        <f t="shared" si="75"/>
        <v>1.1112135035094993E-2</v>
      </c>
      <c r="G79" s="89">
        <f t="shared" si="75"/>
        <v>1.0828934550644525E-2</v>
      </c>
      <c r="H79" s="89">
        <f t="shared" si="75"/>
        <v>1.1817338329749053E-2</v>
      </c>
      <c r="I79" s="89">
        <f t="shared" si="75"/>
        <v>1.1138054905121559E-2</v>
      </c>
      <c r="J79" s="89">
        <f t="shared" si="75"/>
        <v>1.0739065256901789E-2</v>
      </c>
      <c r="K79" s="89">
        <f t="shared" si="75"/>
        <v>1.1331651862411814E-2</v>
      </c>
      <c r="L79" s="89">
        <f t="shared" si="75"/>
        <v>1.0553410553410553E-2</v>
      </c>
      <c r="M79" s="89">
        <f t="shared" si="75"/>
        <v>9.7129493417826562E-3</v>
      </c>
      <c r="N79" s="89">
        <f t="shared" si="75"/>
        <v>1.0281605460850341E-2</v>
      </c>
      <c r="O79" s="89">
        <f t="shared" si="75"/>
        <v>1.1790212317071037E-2</v>
      </c>
      <c r="P79" s="89">
        <f t="shared" si="75"/>
        <v>9.3400360472414637E-3</v>
      </c>
      <c r="Q79" s="89">
        <f t="shared" si="75"/>
        <v>1.0216779839190841E-2</v>
      </c>
      <c r="R79" s="89">
        <f t="shared" si="75"/>
        <v>9.9545989574575406E-3</v>
      </c>
      <c r="S79" s="89">
        <f t="shared" si="75"/>
        <v>1.1073445090060734E-2</v>
      </c>
      <c r="T79" s="89">
        <f t="shared" ref="T79:Y79" si="76">T44/T$23</f>
        <v>1.1072926561149235E-2</v>
      </c>
      <c r="U79" s="89">
        <f t="shared" si="76"/>
        <v>1.1358817007056468E-2</v>
      </c>
      <c r="V79" s="89">
        <f t="shared" si="76"/>
        <v>1.2175373060186382E-2</v>
      </c>
      <c r="W79" s="89">
        <f t="shared" si="76"/>
        <v>1.3893512019335138E-2</v>
      </c>
      <c r="X79" s="89">
        <f t="shared" si="76"/>
        <v>1.3654575616759961E-2</v>
      </c>
      <c r="Y79" s="89">
        <f t="shared" si="76"/>
        <v>1.2614694738199045E-2</v>
      </c>
    </row>
    <row r="80" spans="1:25" x14ac:dyDescent="0.25">
      <c r="A80" s="88" t="s">
        <v>11</v>
      </c>
      <c r="B80" s="44"/>
      <c r="C80" s="44"/>
      <c r="D80" s="89">
        <f>D47/D$23</f>
        <v>3.7191847949003612E-3</v>
      </c>
      <c r="E80" s="89">
        <f t="shared" ref="E80:S80" si="77">E47/E$23</f>
        <v>4.2575921823694834E-3</v>
      </c>
      <c r="F80" s="89">
        <f t="shared" si="77"/>
        <v>4.2928013024313072E-3</v>
      </c>
      <c r="G80" s="89">
        <f t="shared" si="77"/>
        <v>4.017428996473422E-3</v>
      </c>
      <c r="H80" s="89">
        <f t="shared" si="77"/>
        <v>4.2651744549855077E-3</v>
      </c>
      <c r="I80" s="89">
        <f t="shared" si="77"/>
        <v>4.7317625641845181E-3</v>
      </c>
      <c r="J80" s="89">
        <f t="shared" si="77"/>
        <v>5.0279255495562425E-3</v>
      </c>
      <c r="K80" s="89">
        <f t="shared" si="77"/>
        <v>4.8738287580265861E-3</v>
      </c>
      <c r="L80" s="89">
        <f t="shared" si="77"/>
        <v>5.077805077805077E-3</v>
      </c>
      <c r="M80" s="89">
        <f t="shared" si="77"/>
        <v>5.7711893176417336E-3</v>
      </c>
      <c r="N80" s="89">
        <f t="shared" si="77"/>
        <v>5.963695547876572E-3</v>
      </c>
      <c r="O80" s="89">
        <f t="shared" si="77"/>
        <v>5.9854414481621144E-3</v>
      </c>
      <c r="P80" s="89">
        <f t="shared" si="77"/>
        <v>7.0885230420186457E-3</v>
      </c>
      <c r="Q80" s="89">
        <f t="shared" si="77"/>
        <v>6.5516947467113675E-3</v>
      </c>
      <c r="R80" s="89">
        <f t="shared" si="77"/>
        <v>7.3762681464043496E-3</v>
      </c>
      <c r="S80" s="89">
        <f t="shared" si="77"/>
        <v>7.2015728454153634E-3</v>
      </c>
      <c r="T80" s="89">
        <f t="shared" ref="T80:Y80" si="78">T47/T$23</f>
        <v>8.1912974801754586E-3</v>
      </c>
      <c r="U80" s="89">
        <f t="shared" si="78"/>
        <v>8.0886222771796613E-3</v>
      </c>
      <c r="V80" s="89">
        <f t="shared" si="78"/>
        <v>7.7443519383233652E-3</v>
      </c>
      <c r="W80" s="89">
        <f t="shared" si="78"/>
        <v>7.6896729718125721E-3</v>
      </c>
      <c r="X80" s="89">
        <f t="shared" si="78"/>
        <v>7.4166416049825856E-3</v>
      </c>
      <c r="Y80" s="89">
        <f t="shared" si="78"/>
        <v>6.9058547836856081E-3</v>
      </c>
    </row>
    <row r="81" spans="1:25" x14ac:dyDescent="0.25">
      <c r="A81" s="68" t="s">
        <v>4</v>
      </c>
      <c r="B81" s="44"/>
      <c r="C81" s="44"/>
      <c r="D81" s="89">
        <f>D48/D$23</f>
        <v>8.1671287725852536E-3</v>
      </c>
      <c r="E81" s="89">
        <f t="shared" ref="E81:S81" si="79">E48/E$23</f>
        <v>7.839625457573331E-3</v>
      </c>
      <c r="F81" s="89">
        <f t="shared" si="79"/>
        <v>7.4644058425102511E-3</v>
      </c>
      <c r="G81" s="89">
        <f t="shared" si="79"/>
        <v>7.355217749182544E-3</v>
      </c>
      <c r="H81" s="89">
        <f t="shared" si="79"/>
        <v>7.4083131342918586E-3</v>
      </c>
      <c r="I81" s="89">
        <f t="shared" si="79"/>
        <v>7.9557535036582552E-3</v>
      </c>
      <c r="J81" s="89">
        <f t="shared" si="79"/>
        <v>8.1654041576566406E-3</v>
      </c>
      <c r="K81" s="89">
        <f t="shared" si="79"/>
        <v>8.1210171680618001E-3</v>
      </c>
      <c r="L81" s="89">
        <f t="shared" si="79"/>
        <v>7.6693576693576682E-3</v>
      </c>
      <c r="M81" s="89">
        <f t="shared" si="79"/>
        <v>6.0855242477965135E-3</v>
      </c>
      <c r="N81" s="89">
        <f t="shared" si="79"/>
        <v>6.2126889465150045E-3</v>
      </c>
      <c r="O81" s="89">
        <f t="shared" si="79"/>
        <v>6.7547484307885972E-3</v>
      </c>
      <c r="P81" s="89">
        <f t="shared" si="79"/>
        <v>6.3744882270630708E-3</v>
      </c>
      <c r="Q81" s="89">
        <f t="shared" si="79"/>
        <v>6.1880273886979016E-3</v>
      </c>
      <c r="R81" s="89">
        <f t="shared" si="79"/>
        <v>5.7564037890252785E-3</v>
      </c>
      <c r="S81" s="89">
        <f t="shared" si="79"/>
        <v>5.5148166200253016E-3</v>
      </c>
      <c r="T81" s="89">
        <f t="shared" ref="T81:Y81" si="80">T48/T$23</f>
        <v>5.6191767078988663E-3</v>
      </c>
      <c r="U81" s="89">
        <f t="shared" si="80"/>
        <v>5.7534988528770052E-3</v>
      </c>
      <c r="V81" s="89">
        <f t="shared" si="80"/>
        <v>5.86166471277843E-3</v>
      </c>
      <c r="W81" s="89">
        <f t="shared" si="80"/>
        <v>5.6394151217370753E-3</v>
      </c>
      <c r="X81" s="89">
        <f t="shared" si="80"/>
        <v>5.4133237613868982E-3</v>
      </c>
      <c r="Y81" s="89">
        <f t="shared" si="80"/>
        <v>4.7466241879865747E-3</v>
      </c>
    </row>
    <row r="82" spans="1:25" x14ac:dyDescent="0.25">
      <c r="A82" s="68" t="s">
        <v>3</v>
      </c>
      <c r="B82" s="44"/>
      <c r="C82" s="44"/>
      <c r="D82" s="89">
        <f>D52/D$23</f>
        <v>5.3953309153047802E-2</v>
      </c>
      <c r="E82" s="89">
        <f t="shared" ref="E82:S82" si="81">E52/E$23</f>
        <v>5.2175142574350755E-2</v>
      </c>
      <c r="F82" s="89">
        <f t="shared" si="81"/>
        <v>4.4701961326391128E-2</v>
      </c>
      <c r="G82" s="89">
        <f t="shared" si="81"/>
        <v>3.8218436374345847E-2</v>
      </c>
      <c r="H82" s="89">
        <f t="shared" si="81"/>
        <v>3.6307926895053688E-2</v>
      </c>
      <c r="I82" s="89">
        <f t="shared" si="81"/>
        <v>3.0871102896728068E-2</v>
      </c>
      <c r="J82" s="89">
        <f t="shared" si="81"/>
        <v>3.1812573793762185E-2</v>
      </c>
      <c r="K82" s="89">
        <f t="shared" si="81"/>
        <v>2.8359591085767199E-2</v>
      </c>
      <c r="L82" s="89">
        <f t="shared" si="81"/>
        <v>2.3575523575523574E-2</v>
      </c>
      <c r="M82" s="89">
        <f t="shared" si="81"/>
        <v>1.7470735418002592E-2</v>
      </c>
      <c r="N82" s="89">
        <f t="shared" si="81"/>
        <v>2.2536939081639472E-2</v>
      </c>
      <c r="O82" s="89">
        <f t="shared" si="81"/>
        <v>2.1359924934288361E-2</v>
      </c>
      <c r="P82" s="89">
        <f t="shared" si="81"/>
        <v>1.9682024173533492E-2</v>
      </c>
      <c r="Q82" s="89">
        <f t="shared" si="81"/>
        <v>1.8660681308066029E-2</v>
      </c>
      <c r="R82" s="89">
        <f t="shared" si="81"/>
        <v>1.8945126394260412E-2</v>
      </c>
      <c r="S82" s="89">
        <f t="shared" si="81"/>
        <v>1.9857721017092097E-2</v>
      </c>
      <c r="T82" s="89">
        <f t="shared" ref="T82:Y82" si="82">T52/T$23</f>
        <v>1.8970724783077365E-2</v>
      </c>
      <c r="U82" s="89">
        <f t="shared" si="82"/>
        <v>1.894158103695831E-2</v>
      </c>
      <c r="V82" s="89">
        <f t="shared" si="82"/>
        <v>1.997933514813122E-2</v>
      </c>
      <c r="W82" s="89">
        <f t="shared" si="82"/>
        <v>1.8042269080664378E-2</v>
      </c>
      <c r="X82" s="89">
        <f t="shared" si="82"/>
        <v>1.4333666411199179E-2</v>
      </c>
      <c r="Y82" s="89">
        <f t="shared" si="82"/>
        <v>1.6647713931871443E-2</v>
      </c>
    </row>
    <row r="83" spans="1:25" x14ac:dyDescent="0.25">
      <c r="A83" s="88" t="s">
        <v>21</v>
      </c>
      <c r="B83" s="44"/>
      <c r="C83" s="44"/>
      <c r="D83" s="89">
        <f>D53/D$23</f>
        <v>4.7034285187760191E-2</v>
      </c>
      <c r="E83" s="89">
        <f t="shared" ref="E83:S83" si="83">E53/E$23</f>
        <v>4.5066063376851893E-2</v>
      </c>
      <c r="F83" s="89">
        <f t="shared" si="83"/>
        <v>3.8212843078529846E-2</v>
      </c>
      <c r="G83" s="89">
        <f t="shared" si="83"/>
        <v>3.2668041050270727E-2</v>
      </c>
      <c r="H83" s="89">
        <f t="shared" si="83"/>
        <v>3.1158070386167309E-2</v>
      </c>
      <c r="I83" s="89">
        <f t="shared" si="83"/>
        <v>2.5562635056732511E-2</v>
      </c>
      <c r="J83" s="89">
        <f t="shared" si="83"/>
        <v>2.6758115655553933E-2</v>
      </c>
      <c r="K83" s="89">
        <f t="shared" si="83"/>
        <v>2.3698992335904275E-2</v>
      </c>
      <c r="L83" s="89">
        <f t="shared" si="83"/>
        <v>1.9129519129519129E-2</v>
      </c>
      <c r="M83" s="89">
        <f t="shared" si="83"/>
        <v>1.33403744357688E-2</v>
      </c>
      <c r="N83" s="89">
        <f t="shared" si="83"/>
        <v>1.860162878120768E-2</v>
      </c>
      <c r="O83" s="89">
        <f t="shared" si="83"/>
        <v>1.7857246930057174E-2</v>
      </c>
      <c r="P83" s="89">
        <f t="shared" si="83"/>
        <v>1.620398362326602E-2</v>
      </c>
      <c r="Q83" s="89">
        <f t="shared" si="83"/>
        <v>1.5632014092110125E-2</v>
      </c>
      <c r="R83" s="89">
        <f t="shared" si="83"/>
        <v>1.6125777703043551E-2</v>
      </c>
      <c r="S83" s="89">
        <f t="shared" si="83"/>
        <v>1.7108527428956348E-2</v>
      </c>
      <c r="T83" s="89">
        <f t="shared" ref="T83:Y83" si="84">T53/T$23</f>
        <v>1.6585376266049074E-2</v>
      </c>
      <c r="U83" s="89">
        <f t="shared" si="84"/>
        <v>1.6769967349149494E-2</v>
      </c>
      <c r="V83" s="89">
        <f t="shared" si="84"/>
        <v>1.8002265185685616E-2</v>
      </c>
      <c r="W83" s="89">
        <f t="shared" si="84"/>
        <v>1.618497667530187E-2</v>
      </c>
      <c r="X83" s="89">
        <f t="shared" si="84"/>
        <v>1.266504331629139E-2</v>
      </c>
      <c r="Y83" s="89">
        <f t="shared" si="84"/>
        <v>1.5073179041191121E-2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6.9190239652876084E-3</v>
      </c>
      <c r="E84" s="89">
        <f t="shared" ref="E84:S84" si="86">E56/E$23</f>
        <v>7.1090791974988601E-3</v>
      </c>
      <c r="F84" s="89">
        <f t="shared" si="86"/>
        <v>6.4891182478612822E-3</v>
      </c>
      <c r="G84" s="89">
        <f t="shared" si="86"/>
        <v>5.5503953240751205E-3</v>
      </c>
      <c r="H84" s="89">
        <f t="shared" si="86"/>
        <v>5.1498565088863787E-3</v>
      </c>
      <c r="I84" s="89">
        <f t="shared" si="86"/>
        <v>5.3084678399955556E-3</v>
      </c>
      <c r="J84" s="89">
        <f t="shared" si="86"/>
        <v>5.0544581382082508E-3</v>
      </c>
      <c r="K84" s="89">
        <f t="shared" si="86"/>
        <v>4.6605987498629237E-3</v>
      </c>
      <c r="L84" s="89">
        <f t="shared" si="86"/>
        <v>4.4460044460044434E-3</v>
      </c>
      <c r="M84" s="89">
        <f t="shared" si="86"/>
        <v>4.1303609822337922E-3</v>
      </c>
      <c r="N84" s="89">
        <f t="shared" si="86"/>
        <v>3.9353103004317923E-3</v>
      </c>
      <c r="O84" s="89">
        <f t="shared" si="86"/>
        <v>3.5026780042311883E-3</v>
      </c>
      <c r="P84" s="89">
        <f t="shared" si="86"/>
        <v>3.4780405502674726E-3</v>
      </c>
      <c r="Q84" s="89">
        <f t="shared" si="86"/>
        <v>3.0286672159559069E-3</v>
      </c>
      <c r="R84" s="89">
        <f t="shared" si="86"/>
        <v>2.8193486912168604E-3</v>
      </c>
      <c r="S84" s="89">
        <f t="shared" si="86"/>
        <v>2.7491935881357511E-3</v>
      </c>
      <c r="T84" s="89">
        <f t="shared" ref="T84:Y84" si="87">T56/T$23</f>
        <v>2.3853485170282924E-3</v>
      </c>
      <c r="U84" s="89">
        <f t="shared" si="87"/>
        <v>2.1716136878088153E-3</v>
      </c>
      <c r="V84" s="89">
        <f t="shared" si="87"/>
        <v>1.9770699624456047E-3</v>
      </c>
      <c r="W84" s="89">
        <f t="shared" si="87"/>
        <v>1.8572924053625074E-3</v>
      </c>
      <c r="X84" s="89">
        <f t="shared" si="87"/>
        <v>1.6686230949077899E-3</v>
      </c>
      <c r="Y84" s="89">
        <f t="shared" si="87"/>
        <v>1.5745348906803199E-3</v>
      </c>
    </row>
    <row r="85" spans="1:25" x14ac:dyDescent="0.25">
      <c r="A85" s="68" t="s">
        <v>2</v>
      </c>
      <c r="B85" s="44"/>
      <c r="C85" s="44"/>
      <c r="D85" s="89">
        <f t="shared" si="85"/>
        <v>1.5907053886296815E-2</v>
      </c>
      <c r="E85" s="89">
        <f t="shared" ref="E85:S85" si="88">E57/E$23</f>
        <v>1.8012285745707058E-2</v>
      </c>
      <c r="F85" s="89">
        <f t="shared" si="88"/>
        <v>1.8814603203858145E-2</v>
      </c>
      <c r="G85" s="89">
        <f t="shared" si="88"/>
        <v>1.8501317746917077E-2</v>
      </c>
      <c r="H85" s="89">
        <f t="shared" si="88"/>
        <v>1.7096660505059948E-2</v>
      </c>
      <c r="I85" s="89">
        <f t="shared" si="88"/>
        <v>1.6773090792865528E-2</v>
      </c>
      <c r="J85" s="89">
        <f t="shared" si="88"/>
        <v>1.5521564361426923E-2</v>
      </c>
      <c r="K85" s="89">
        <f t="shared" si="88"/>
        <v>1.5224622582885551E-2</v>
      </c>
      <c r="L85" s="89">
        <f t="shared" si="88"/>
        <v>1.4911664911664912E-2</v>
      </c>
      <c r="M85" s="89">
        <f t="shared" si="88"/>
        <v>1.7697056567714031E-2</v>
      </c>
      <c r="N85" s="89">
        <f t="shared" si="88"/>
        <v>1.5893066444799379E-2</v>
      </c>
      <c r="O85" s="89">
        <f t="shared" si="88"/>
        <v>1.5088907409242173E-2</v>
      </c>
      <c r="P85" s="89">
        <f t="shared" si="88"/>
        <v>1.5455398736619044E-2</v>
      </c>
      <c r="Q85" s="89">
        <f t="shared" si="88"/>
        <v>1.5274029036565617E-2</v>
      </c>
      <c r="R85" s="89">
        <f t="shared" si="88"/>
        <v>1.4819797096575302E-2</v>
      </c>
      <c r="S85" s="89">
        <f t="shared" si="88"/>
        <v>1.4315521990810464E-2</v>
      </c>
      <c r="T85" s="89">
        <f t="shared" ref="T85:Y85" si="89">T57/T$23</f>
        <v>1.375711068657481E-2</v>
      </c>
      <c r="U85" s="89">
        <f t="shared" si="89"/>
        <v>1.3862559847118396E-2</v>
      </c>
      <c r="V85" s="89">
        <f t="shared" si="89"/>
        <v>1.3596081626164882E-2</v>
      </c>
      <c r="W85" s="89">
        <f t="shared" si="89"/>
        <v>1.377290861638952E-2</v>
      </c>
      <c r="X85" s="89">
        <f t="shared" si="89"/>
        <v>1.4299711871477216E-2</v>
      </c>
      <c r="Y85" s="89">
        <f t="shared" si="89"/>
        <v>1.344800121543044E-2</v>
      </c>
    </row>
    <row r="86" spans="1:25" x14ac:dyDescent="0.25">
      <c r="A86" s="68" t="s">
        <v>275</v>
      </c>
      <c r="B86" s="44"/>
      <c r="C86" s="44"/>
      <c r="D86" s="89">
        <f t="shared" si="85"/>
        <v>6.7514931186704761E-3</v>
      </c>
      <c r="E86" s="89">
        <f t="shared" ref="E86:S86" si="90">E58/E$23</f>
        <v>7.5961100375485056E-3</v>
      </c>
      <c r="F86" s="89">
        <f t="shared" si="90"/>
        <v>8.355219708488841E-3</v>
      </c>
      <c r="G86" s="89">
        <f t="shared" si="90"/>
        <v>7.966893968570414E-3</v>
      </c>
      <c r="H86" s="89">
        <f t="shared" si="90"/>
        <v>6.3150475067070408E-3</v>
      </c>
      <c r="I86" s="89">
        <f t="shared" si="90"/>
        <v>6.8648772590518409E-3</v>
      </c>
      <c r="J86" s="89">
        <f t="shared" si="90"/>
        <v>6.9780708154791116E-3</v>
      </c>
      <c r="K86" s="89">
        <f t="shared" si="90"/>
        <v>6.3298850994870292E-3</v>
      </c>
      <c r="L86" s="89">
        <f t="shared" si="90"/>
        <v>6.3882063882063876E-3</v>
      </c>
      <c r="M86" s="89">
        <f t="shared" si="90"/>
        <v>4.8973382118114497E-3</v>
      </c>
      <c r="N86" s="89">
        <f t="shared" si="90"/>
        <v>4.7005095255157501E-3</v>
      </c>
      <c r="O86" s="89">
        <f t="shared" si="90"/>
        <v>5.2161344655356299E-3</v>
      </c>
      <c r="P86" s="89">
        <f t="shared" si="90"/>
        <v>5.0385521216623191E-3</v>
      </c>
      <c r="Q86" s="89">
        <f t="shared" si="90"/>
        <v>5.1765775492229457E-3</v>
      </c>
      <c r="R86" s="89">
        <f t="shared" si="90"/>
        <v>4.9044336079816153E-3</v>
      </c>
      <c r="S86" s="89">
        <f t="shared" si="90"/>
        <v>4.7973975761093982E-3</v>
      </c>
      <c r="T86" s="89">
        <f t="shared" ref="T86:Y86" si="91">T58/T$23</f>
        <v>5.6351857583487198E-3</v>
      </c>
      <c r="U86" s="89">
        <f t="shared" si="91"/>
        <v>5.4469180969510551E-3</v>
      </c>
      <c r="V86" s="89">
        <f t="shared" si="91"/>
        <v>5.8517296878415172E-3</v>
      </c>
      <c r="W86" s="89">
        <f t="shared" si="91"/>
        <v>5.2872531851358723E-3</v>
      </c>
      <c r="X86" s="89">
        <f t="shared" si="91"/>
        <v>5.3405640334112667E-3</v>
      </c>
      <c r="Y86" s="89">
        <f t="shared" si="91"/>
        <v>5.4141901504095166E-3</v>
      </c>
    </row>
    <row r="87" spans="1:25" x14ac:dyDescent="0.25">
      <c r="A87" s="68" t="s">
        <v>276</v>
      </c>
      <c r="B87" s="44"/>
      <c r="C87" s="44"/>
      <c r="D87" s="89">
        <f t="shared" si="85"/>
        <v>0.11975104916192693</v>
      </c>
      <c r="E87" s="89">
        <f t="shared" ref="E87:S87" si="92">E59/E$23</f>
        <v>0.1106581200609574</v>
      </c>
      <c r="F87" s="89">
        <f t="shared" si="92"/>
        <v>0.11218111167426928</v>
      </c>
      <c r="G87" s="89">
        <f t="shared" si="92"/>
        <v>0.11210288242978937</v>
      </c>
      <c r="H87" s="89">
        <f t="shared" si="92"/>
        <v>0.10839153294541584</v>
      </c>
      <c r="I87" s="89">
        <f t="shared" si="92"/>
        <v>0.11182523745666026</v>
      </c>
      <c r="J87" s="89">
        <f t="shared" si="92"/>
        <v>0.11673012377452607</v>
      </c>
      <c r="K87" s="89">
        <f t="shared" si="92"/>
        <v>0.12287531527579777</v>
      </c>
      <c r="L87" s="89">
        <f t="shared" si="92"/>
        <v>0.1199017199017199</v>
      </c>
      <c r="M87" s="89">
        <f t="shared" si="92"/>
        <v>9.2647077313819437E-2</v>
      </c>
      <c r="N87" s="89">
        <f t="shared" si="92"/>
        <v>8.9704426616787014E-2</v>
      </c>
      <c r="O87" s="89">
        <f t="shared" si="92"/>
        <v>8.2811234213179638E-2</v>
      </c>
      <c r="P87" s="89">
        <f t="shared" si="92"/>
        <v>6.6779530234191906E-2</v>
      </c>
      <c r="Q87" s="89">
        <f t="shared" si="92"/>
        <v>7.0153706281785383E-2</v>
      </c>
      <c r="R87" s="89">
        <f t="shared" si="92"/>
        <v>7.1206770920912502E-2</v>
      </c>
      <c r="S87" s="89">
        <f t="shared" si="92"/>
        <v>7.0394690003778779E-2</v>
      </c>
      <c r="T87" s="89">
        <f t="shared" ref="T87:Y87" si="93">T59/T$23</f>
        <v>6.9895514264063957E-2</v>
      </c>
      <c r="U87" s="89">
        <f t="shared" si="93"/>
        <v>7.2184438982765053E-2</v>
      </c>
      <c r="V87" s="89">
        <f t="shared" si="93"/>
        <v>6.6609374689530459E-2</v>
      </c>
      <c r="W87" s="89">
        <f t="shared" si="93"/>
        <v>6.7431774654953661E-2</v>
      </c>
      <c r="X87" s="89">
        <f t="shared" si="93"/>
        <v>7.1527663248576345E-2</v>
      </c>
      <c r="Y87" s="89">
        <f t="shared" si="93"/>
        <v>7.1830097556708578E-2</v>
      </c>
    </row>
    <row r="88" spans="1:25" x14ac:dyDescent="0.25">
      <c r="A88" s="68" t="s">
        <v>1</v>
      </c>
      <c r="B88" s="44"/>
      <c r="C88" s="44"/>
      <c r="D88" s="89">
        <f t="shared" si="85"/>
        <v>4.8332649249042976E-3</v>
      </c>
      <c r="E88" s="89">
        <f t="shared" ref="E88:S88" si="94">E60/E$23</f>
        <v>4.5639502914329704E-3</v>
      </c>
      <c r="F88" s="89">
        <f t="shared" si="94"/>
        <v>4.5385430585633321E-3</v>
      </c>
      <c r="G88" s="89">
        <f t="shared" si="94"/>
        <v>4.1684601617543778E-3</v>
      </c>
      <c r="H88" s="89">
        <f t="shared" si="94"/>
        <v>3.9271252148770433E-3</v>
      </c>
      <c r="I88" s="89">
        <f t="shared" si="94"/>
        <v>3.821540984289992E-3</v>
      </c>
      <c r="J88" s="89">
        <f t="shared" si="94"/>
        <v>3.7808938829116861E-3</v>
      </c>
      <c r="K88" s="89">
        <f t="shared" si="94"/>
        <v>3.2350038381401469E-3</v>
      </c>
      <c r="L88" s="89">
        <f t="shared" si="94"/>
        <v>3.2175032175032173E-3</v>
      </c>
      <c r="M88" s="89">
        <f t="shared" si="94"/>
        <v>2.9610350420580136E-3</v>
      </c>
      <c r="N88" s="89">
        <f t="shared" si="94"/>
        <v>2.8057304919745178E-3</v>
      </c>
      <c r="O88" s="89">
        <f t="shared" si="94"/>
        <v>2.6750901895875464E-3</v>
      </c>
      <c r="P88" s="89">
        <f t="shared" si="94"/>
        <v>2.5854970315730072E-3</v>
      </c>
      <c r="Q88" s="89">
        <f t="shared" si="94"/>
        <v>2.2899678949910504E-3</v>
      </c>
      <c r="R88" s="89">
        <f t="shared" si="94"/>
        <v>2.1075051846869567E-3</v>
      </c>
      <c r="S88" s="89">
        <f t="shared" si="94"/>
        <v>2.0920158379837787E-3</v>
      </c>
      <c r="T88" s="89">
        <f t="shared" ref="T88:Y88" si="95">T60/T$23</f>
        <v>2.1772308611801871E-3</v>
      </c>
      <c r="U88" s="89">
        <f t="shared" si="95"/>
        <v>2.100078178092761E-3</v>
      </c>
      <c r="V88" s="89">
        <f t="shared" si="95"/>
        <v>2.0267450871301689E-3</v>
      </c>
      <c r="W88" s="89">
        <f t="shared" si="95"/>
        <v>1.9103579026585812E-3</v>
      </c>
      <c r="X88" s="89">
        <f t="shared" si="95"/>
        <v>2.0372723833176499E-3</v>
      </c>
      <c r="Y88" s="89">
        <f t="shared" si="95"/>
        <v>2.0579447255383112E-3</v>
      </c>
    </row>
    <row r="89" spans="1:25" x14ac:dyDescent="0.25">
      <c r="A89" s="68" t="s">
        <v>0</v>
      </c>
      <c r="B89" s="44"/>
      <c r="C89" s="44"/>
      <c r="D89" s="89">
        <f t="shared" si="85"/>
        <v>1.181930122883876E-2</v>
      </c>
      <c r="E89" s="89">
        <f t="shared" ref="E89:S89" si="96">E61/E$23</f>
        <v>1.1555199446984335E-2</v>
      </c>
      <c r="F89" s="89">
        <f t="shared" si="96"/>
        <v>1.121196762352363E-2</v>
      </c>
      <c r="G89" s="89">
        <f t="shared" si="96"/>
        <v>1.0919553249813099E-2</v>
      </c>
      <c r="H89" s="89">
        <f t="shared" si="96"/>
        <v>9.9976264627822178E-3</v>
      </c>
      <c r="I89" s="89">
        <f t="shared" si="96"/>
        <v>9.5538524607249806E-3</v>
      </c>
      <c r="J89" s="89">
        <f t="shared" si="96"/>
        <v>1.0221679778187559E-2</v>
      </c>
      <c r="K89" s="89">
        <f t="shared" si="96"/>
        <v>1.0874730416346821E-2</v>
      </c>
      <c r="L89" s="89">
        <f t="shared" si="96"/>
        <v>7.6167076167076167E-3</v>
      </c>
      <c r="M89" s="89">
        <f t="shared" si="96"/>
        <v>5.5511548665333893E-3</v>
      </c>
      <c r="N89" s="89">
        <f t="shared" si="96"/>
        <v>7.5001670077673799E-3</v>
      </c>
      <c r="O89" s="89">
        <f t="shared" si="96"/>
        <v>6.7081237651748721E-3</v>
      </c>
      <c r="P89" s="89">
        <f t="shared" si="96"/>
        <v>6.1902211780422781E-3</v>
      </c>
      <c r="Q89" s="89">
        <f t="shared" si="96"/>
        <v>6.6028354689320118E-3</v>
      </c>
      <c r="R89" s="89">
        <f t="shared" si="96"/>
        <v>6.720475309679951E-3</v>
      </c>
      <c r="S89" s="89">
        <f t="shared" si="96"/>
        <v>6.5443950952633915E-3</v>
      </c>
      <c r="T89" s="89">
        <f t="shared" ref="T89:Y89" si="97">T61/T$23</f>
        <v>6.5156835330907065E-3</v>
      </c>
      <c r="U89" s="89">
        <f t="shared" si="97"/>
        <v>6.785654064494372E-3</v>
      </c>
      <c r="V89" s="89">
        <f t="shared" si="97"/>
        <v>6.8352971565958627E-3</v>
      </c>
      <c r="W89" s="89">
        <f t="shared" si="97"/>
        <v>5.9529839693956803E-3</v>
      </c>
      <c r="X89" s="89">
        <f t="shared" si="97"/>
        <v>5.7625704556699226E-3</v>
      </c>
      <c r="Y89" s="89">
        <f t="shared" si="97"/>
        <v>1.0220665079854701E-2</v>
      </c>
    </row>
    <row r="90" spans="1:25" x14ac:dyDescent="0.25">
      <c r="A90" s="90" t="s">
        <v>278</v>
      </c>
      <c r="B90" s="47"/>
      <c r="C90" s="47"/>
      <c r="D90" s="91">
        <f t="shared" si="85"/>
        <v>1.6585553815096205E-2</v>
      </c>
      <c r="E90" s="91">
        <f t="shared" ref="E90:S90" si="98">E62/E$23</f>
        <v>1.6197703099715636E-2</v>
      </c>
      <c r="F90" s="91">
        <f t="shared" si="98"/>
        <v>1.5451012916801059E-2</v>
      </c>
      <c r="G90" s="91">
        <f t="shared" si="98"/>
        <v>1.4634919915724609E-2</v>
      </c>
      <c r="H90" s="91">
        <f t="shared" si="98"/>
        <v>1.5118712823574259E-2</v>
      </c>
      <c r="I90" s="91">
        <f t="shared" si="98"/>
        <v>1.3486565546376134E-2</v>
      </c>
      <c r="J90" s="91">
        <f t="shared" si="98"/>
        <v>1.3538253359689039E-2</v>
      </c>
      <c r="K90" s="91">
        <f t="shared" si="98"/>
        <v>1.2964384496350722E-2</v>
      </c>
      <c r="L90" s="91">
        <f t="shared" si="98"/>
        <v>1.1559611559611558E-2</v>
      </c>
      <c r="M90" s="91">
        <f t="shared" si="98"/>
        <v>1.019073843561792E-2</v>
      </c>
      <c r="N90" s="91">
        <f t="shared" si="98"/>
        <v>9.8018376927421456E-3</v>
      </c>
      <c r="O90" s="91">
        <f t="shared" si="98"/>
        <v>1.0111724354976891E-2</v>
      </c>
      <c r="P90" s="91">
        <f t="shared" si="98"/>
        <v>1.000800409994184E-2</v>
      </c>
      <c r="Q90" s="91">
        <f t="shared" si="98"/>
        <v>8.9268971787368236E-3</v>
      </c>
      <c r="R90" s="91">
        <f t="shared" si="98"/>
        <v>8.8952412981335126E-3</v>
      </c>
      <c r="S90" s="91">
        <f t="shared" si="98"/>
        <v>8.7952288895338966E-3</v>
      </c>
      <c r="T90" s="91">
        <f t="shared" ref="T90:Y90" si="99">T62/T$23</f>
        <v>8.8796866495191949E-3</v>
      </c>
      <c r="U90" s="91">
        <f t="shared" si="99"/>
        <v>8.5433837318031561E-3</v>
      </c>
      <c r="V90" s="91">
        <f t="shared" si="99"/>
        <v>8.6534067200508685E-3</v>
      </c>
      <c r="W90" s="91">
        <f t="shared" si="99"/>
        <v>8.4374140700754011E-3</v>
      </c>
      <c r="X90" s="91">
        <f t="shared" si="99"/>
        <v>8.2364012068413539E-3</v>
      </c>
      <c r="Y90" s="91">
        <f t="shared" si="99"/>
        <v>8.3330647723139674E-3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2.608917713535619E-2</v>
      </c>
      <c r="F93" s="92">
        <f t="shared" ref="F93:F94" si="101">IF(E16=0,"",F16/E16-1)</f>
        <v>1.707201184706908E-2</v>
      </c>
      <c r="G93" s="92">
        <f t="shared" ref="G93:G94" si="102">IF(F16=0,"",G16/F16-1)</f>
        <v>2.004912805769421E-2</v>
      </c>
      <c r="H93" s="92">
        <f t="shared" ref="H93:H94" si="103">IF(G16=0,"",H16/G16-1)</f>
        <v>3.9908998993785527E-2</v>
      </c>
      <c r="I93" s="92">
        <f t="shared" ref="I93:I94" si="104">IF(H16=0,"",I16/H16-1)</f>
        <v>2.7807945825008451E-2</v>
      </c>
      <c r="J93" s="92">
        <f t="shared" ref="J93:J94" si="105">IF(I16=0,"",J16/I16-1)</f>
        <v>4.0274313490686664E-2</v>
      </c>
      <c r="K93" s="92">
        <f t="shared" ref="K93:K94" si="106">IF(J16=0,"",K16/J16-1)</f>
        <v>5.2987555228533489E-2</v>
      </c>
      <c r="L93" s="92">
        <f t="shared" ref="L93:L94" si="107">IF(K16=0,"",L16/K16-1)</f>
        <v>7.8439007060642219E-3</v>
      </c>
      <c r="M93" s="92">
        <f t="shared" ref="M93:M94" si="108">IF(L16=0,"",M16/L16-1)</f>
        <v>-8.0742200457879387E-2</v>
      </c>
      <c r="N93" s="92">
        <f t="shared" ref="N93:N94" si="109">IF(M16=0,"",N16/M16-1)</f>
        <v>3.1854803985416957E-2</v>
      </c>
      <c r="O93" s="92">
        <f t="shared" ref="O93:O94" si="110">IF(N16=0,"",O16/N16-1)</f>
        <v>2.5476015348648184E-2</v>
      </c>
      <c r="P93" s="92">
        <f t="shared" ref="P93:P94" si="111">IF(O16=0,"",P16/O16-1)</f>
        <v>-1.3978109759579804E-2</v>
      </c>
      <c r="Q93" s="92">
        <f t="shared" ref="Q93:Q94" si="112">IF(P16=0,"",Q16/P16-1)</f>
        <v>-9.0129904034357278E-3</v>
      </c>
      <c r="R93" s="92">
        <f t="shared" ref="R93:R94" si="113">IF(Q16=0,"",R16/Q16-1)</f>
        <v>-3.6502503450948076E-3</v>
      </c>
      <c r="S93" s="92">
        <f t="shared" ref="S93:S94" si="114">IF(R16=0,"",S16/R16-1)</f>
        <v>5.4368340285262384E-3</v>
      </c>
      <c r="T93" s="92">
        <f t="shared" ref="T93:T94" si="115">IF(S16=0,"",T16/S16-1)</f>
        <v>2.8118948062835214E-2</v>
      </c>
      <c r="U93" s="92">
        <f t="shared" ref="U93:U94" si="116">IF(T16=0,"",U16/T16-1)</f>
        <v>3.1923847343037881E-2</v>
      </c>
      <c r="V93" s="92">
        <f t="shared" ref="V93:V94" si="117">IF(U16=0,"",V16/U16-1)</f>
        <v>1.1397110676962807E-2</v>
      </c>
      <c r="W93" s="92">
        <f t="shared" ref="W93:W94" si="118">IF(V16=0,"",W16/V16-1)</f>
        <v>1.2241271763671513E-2</v>
      </c>
      <c r="X93" s="92">
        <f t="shared" ref="X93:X94" si="119">IF(W16=0,"",X16/W16-1)</f>
        <v>-2.35430626019697E-2</v>
      </c>
      <c r="Y93" s="92">
        <f t="shared" ref="Y93:Y94" si="120">IF(X16=0,"",Y16/X16-1)</f>
        <v>2.8372630909055507E-2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2.682918105344223E-2</v>
      </c>
      <c r="F94" s="93">
        <f t="shared" si="101"/>
        <v>2.4994415631901967E-2</v>
      </c>
      <c r="G94" s="93">
        <f t="shared" si="102"/>
        <v>4.1265777079908528E-2</v>
      </c>
      <c r="H94" s="93">
        <f t="shared" si="103"/>
        <v>3.7518737572078464E-2</v>
      </c>
      <c r="I94" s="93">
        <f t="shared" si="104"/>
        <v>3.174103122320604E-2</v>
      </c>
      <c r="J94" s="93">
        <f t="shared" si="105"/>
        <v>3.9203954405238939E-2</v>
      </c>
      <c r="K94" s="93">
        <f t="shared" si="106"/>
        <v>3.5022763470387241E-2</v>
      </c>
      <c r="L94" s="93">
        <f t="shared" si="107"/>
        <v>1.9682991520755921E-2</v>
      </c>
      <c r="M94" s="93">
        <f t="shared" si="108"/>
        <v>-2.9215085195700263E-2</v>
      </c>
      <c r="N94" s="93">
        <f t="shared" si="109"/>
        <v>2.9960314033264046E-2</v>
      </c>
      <c r="O94" s="93">
        <f t="shared" si="110"/>
        <v>2.8946058046668721E-2</v>
      </c>
      <c r="P94" s="93">
        <f t="shared" si="111"/>
        <v>3.8453737770547392E-3</v>
      </c>
      <c r="Q94" s="93">
        <f t="shared" si="112"/>
        <v>-5.2201084111869189E-3</v>
      </c>
      <c r="R94" s="93">
        <f t="shared" si="113"/>
        <v>6.0669616909756474E-3</v>
      </c>
      <c r="S94" s="93">
        <f t="shared" si="114"/>
        <v>1.6067737914771785E-2</v>
      </c>
      <c r="T94" s="93">
        <f t="shared" si="115"/>
        <v>2.4296347143153207E-2</v>
      </c>
      <c r="U94" s="93">
        <f t="shared" si="116"/>
        <v>7.5616151110777796E-3</v>
      </c>
      <c r="V94" s="93">
        <f t="shared" si="117"/>
        <v>1.7114503982121443E-2</v>
      </c>
      <c r="W94" s="93">
        <f t="shared" si="118"/>
        <v>7.3263026985550539E-3</v>
      </c>
      <c r="X94" s="93">
        <f t="shared" si="119"/>
        <v>-3.7618376787597496E-2</v>
      </c>
      <c r="Y94" s="93">
        <f t="shared" si="120"/>
        <v>3.2413974428751935E-2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2.4145770533644084E-2</v>
      </c>
      <c r="F95" s="92">
        <f t="shared" ref="F95:F96" si="122">IF(E20=0,"",F20/E20-1)</f>
        <v>1.4372950834102172E-2</v>
      </c>
      <c r="G95" s="92">
        <f t="shared" ref="G95:G96" si="123">IF(F20=0,"",G20/F20-1)</f>
        <v>1.7816745957738522E-2</v>
      </c>
      <c r="H95" s="92">
        <f t="shared" ref="H95:H96" si="124">IF(G20=0,"",H20/G20-1)</f>
        <v>3.723199235446395E-2</v>
      </c>
      <c r="I95" s="92">
        <f t="shared" ref="I95:I96" si="125">IF(H20=0,"",I20/H20-1)</f>
        <v>2.4495045493557299E-2</v>
      </c>
      <c r="J95" s="92">
        <f t="shared" ref="J95:J96" si="126">IF(I20=0,"",J20/I20-1)</f>
        <v>3.6519644462224665E-2</v>
      </c>
      <c r="K95" s="92">
        <f t="shared" ref="K95:K96" si="127">IF(J20=0,"",K20/J20-1)</f>
        <v>4.8722290697566173E-2</v>
      </c>
      <c r="L95" s="92">
        <f t="shared" ref="L95:L96" si="128">IF(K20=0,"",L20/K20-1)</f>
        <v>3.3700528197744273E-3</v>
      </c>
      <c r="M95" s="92">
        <f t="shared" ref="M95:M96" si="129">IF(L20=0,"",M20/L20-1)</f>
        <v>-8.5200148104633389E-2</v>
      </c>
      <c r="N95" s="92">
        <f t="shared" ref="N95:N96" si="130">IF(M20=0,"",N20/M20-1)</f>
        <v>2.7012549817979625E-2</v>
      </c>
      <c r="O95" s="92">
        <f t="shared" ref="O95:O96" si="131">IF(N20=0,"",O20/N20-1)</f>
        <v>2.0926188048608241E-2</v>
      </c>
      <c r="P95" s="92">
        <f t="shared" ref="P95:P96" si="132">IF(O20=0,"",P20/O20-1)</f>
        <v>-1.8722865934240107E-2</v>
      </c>
      <c r="Q95" s="92">
        <f t="shared" ref="Q95:Q96" si="133">IF(P20=0,"",Q20/P20-1)</f>
        <v>-1.3652666004516423E-2</v>
      </c>
      <c r="R95" s="92">
        <f t="shared" ref="R95:R96" si="134">IF(Q20=0,"",R20/Q20-1)</f>
        <v>-8.1457566110682E-3</v>
      </c>
      <c r="S95" s="92">
        <f t="shared" ref="S95:S96" si="135">IF(R20=0,"",S20/R20-1)</f>
        <v>1.6730744671193953E-3</v>
      </c>
      <c r="T95" s="92">
        <f t="shared" ref="T95:T96" si="136">IF(S20=0,"",T20/S20-1)</f>
        <v>2.5204515295963681E-2</v>
      </c>
      <c r="U95" s="92">
        <f t="shared" ref="U95:U96" si="137">IF(T20=0,"",U20/T20-1)</f>
        <v>2.8925748131752638E-2</v>
      </c>
      <c r="V95" s="92">
        <f t="shared" ref="V95:V96" si="138">IF(U20=0,"",V20/U20-1)</f>
        <v>9.5932229055362139E-3</v>
      </c>
      <c r="W95" s="92">
        <f t="shared" ref="W95:W96" si="139">IF(V20=0,"",W20/V20-1)</f>
        <v>1.1362747912473825E-2</v>
      </c>
      <c r="X95" s="92">
        <f t="shared" ref="X95:X96" si="140">IF(W20=0,"",X20/W20-1)</f>
        <v>-2.4846055638253484E-2</v>
      </c>
      <c r="Y95" s="92">
        <f t="shared" ref="Y95:Y96" si="141">IF(X20=0,"",Y20/X20-1)</f>
        <v>2.6792847253367835E-2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2.4884372888852813E-2</v>
      </c>
      <c r="F96" s="93">
        <f t="shared" si="122"/>
        <v>2.2274330491895977E-2</v>
      </c>
      <c r="G96" s="93">
        <f t="shared" si="123"/>
        <v>3.898696224823861E-2</v>
      </c>
      <c r="H96" s="93">
        <f t="shared" si="124"/>
        <v>3.4847884111257832E-2</v>
      </c>
      <c r="I96" s="93">
        <f t="shared" si="125"/>
        <v>2.841545350394914E-2</v>
      </c>
      <c r="J96" s="93">
        <f t="shared" si="126"/>
        <v>3.5453148630973486E-2</v>
      </c>
      <c r="K96" s="93">
        <f t="shared" si="127"/>
        <v>3.0830267690305835E-2</v>
      </c>
      <c r="L96" s="93">
        <f t="shared" si="128"/>
        <v>1.5156589571897694E-2</v>
      </c>
      <c r="M96" s="93">
        <f t="shared" si="129"/>
        <v>-3.3922913977367131E-2</v>
      </c>
      <c r="N96" s="93">
        <f t="shared" si="130"/>
        <v>2.5126950265746073E-2</v>
      </c>
      <c r="O96" s="93">
        <f t="shared" si="131"/>
        <v>2.4380834877038904E-2</v>
      </c>
      <c r="P96" s="93">
        <f t="shared" si="132"/>
        <v>-9.851493409174239E-4</v>
      </c>
      <c r="Q96" s="93">
        <f t="shared" si="133"/>
        <v>-9.8775418051216812E-3</v>
      </c>
      <c r="R96" s="93">
        <f t="shared" si="134"/>
        <v>1.527611596456202E-3</v>
      </c>
      <c r="S96" s="93">
        <f t="shared" si="135"/>
        <v>1.2264182550392411E-2</v>
      </c>
      <c r="T96" s="93">
        <f t="shared" si="136"/>
        <v>2.1392750392285054E-2</v>
      </c>
      <c r="U96" s="93">
        <f t="shared" si="137"/>
        <v>4.6342966937709118E-3</v>
      </c>
      <c r="V96" s="93">
        <f t="shared" si="138"/>
        <v>1.5300418894765189E-2</v>
      </c>
      <c r="W96" s="93">
        <f t="shared" si="139"/>
        <v>6.4520445473166266E-3</v>
      </c>
      <c r="X96" s="93">
        <f t="shared" si="140"/>
        <v>-3.8902587596355676E-2</v>
      </c>
      <c r="Y96" s="93">
        <f t="shared" si="141"/>
        <v>3.0827982470502224E-2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2.7449245076826889E-2</v>
      </c>
      <c r="F97" s="89">
        <f t="shared" ref="F97:F106" si="143">IF(E23=0,"",F23/E23-1)</f>
        <v>1.3372073183409494E-2</v>
      </c>
      <c r="G97" s="89">
        <f t="shared" ref="G97:G106" si="144">IF(F23=0,"",G23/F23-1)</f>
        <v>1.1704303340890565E-2</v>
      </c>
      <c r="H97" s="89">
        <f t="shared" ref="H97:H106" si="145">IF(G23=0,"",H23/G23-1)</f>
        <v>3.8638648268408016E-2</v>
      </c>
      <c r="I97" s="89">
        <f t="shared" ref="I97:I106" si="146">IF(H23=0,"",I23/H23-1)</f>
        <v>2.5823166139741449E-2</v>
      </c>
      <c r="J97" s="89">
        <f t="shared" ref="J97:J106" si="147">IF(I23=0,"",J23/I23-1)</f>
        <v>3.798072202931424E-2</v>
      </c>
      <c r="K97" s="89">
        <f t="shared" ref="K97:K106" si="148">IF(J23=0,"",K23/J23-1)</f>
        <v>6.0029942208873255E-2</v>
      </c>
      <c r="L97" s="89">
        <f t="shared" ref="L97:L106" si="149">IF(K23=0,"",L23/K23-1)</f>
        <v>9.1592373215017009E-3</v>
      </c>
      <c r="M97" s="89">
        <f t="shared" ref="M97:M106" si="150">IF(L23=0,"",M23/L23-1)</f>
        <v>-8.6216879360994536E-2</v>
      </c>
      <c r="N97" s="89">
        <f t="shared" ref="N97:N106" si="151">IF(M23=0,"",N23/M23-1)</f>
        <v>3.2345854463299961E-2</v>
      </c>
      <c r="O97" s="89">
        <f t="shared" ref="O97:O106" si="152">IF(N23=0,"",O23/N23-1)</f>
        <v>1.9081678219668774E-2</v>
      </c>
      <c r="P97" s="89">
        <f t="shared" ref="P97:P106" si="153">IF(O23=0,"",P23/O23-1)</f>
        <v>-1.9030781907467431E-2</v>
      </c>
      <c r="Q97" s="89">
        <f t="shared" ref="Q97:Q106" si="154">IF(P23=0,"",Q23/P23-1)</f>
        <v>-1.0538401228785688E-2</v>
      </c>
      <c r="R97" s="89">
        <f t="shared" ref="R97:R106" si="155">IF(Q23=0,"",R23/Q23-1)</f>
        <v>-3.0764372751791447E-3</v>
      </c>
      <c r="S97" s="89">
        <f t="shared" ref="S97:S106" si="156">IF(R23=0,"",S23/R23-1)</f>
        <v>3.9721039179416717E-3</v>
      </c>
      <c r="T97" s="89">
        <f t="shared" ref="T97:T106" si="157">IF(S23=0,"",T23/S23-1)</f>
        <v>2.6085293099995743E-2</v>
      </c>
      <c r="U97" s="89">
        <f t="shared" ref="U97:U106" si="158">IF(T23=0,"",U23/T23-1)</f>
        <v>3.6197232458649475E-2</v>
      </c>
      <c r="V97" s="89">
        <f t="shared" ref="V97:V106" si="159">IF(U23=0,"",V23/U23-1)</f>
        <v>7.3735794268892096E-3</v>
      </c>
      <c r="W97" s="89">
        <f t="shared" ref="W97:W106" si="160">IF(V23=0,"",W23/V23-1)</f>
        <v>1.4745561205398827E-2</v>
      </c>
      <c r="X97" s="89">
        <f t="shared" ref="X97:X106" si="161">IF(W23=0,"",X23/W23-1)</f>
        <v>-2.270984159667333E-2</v>
      </c>
      <c r="Y97" s="89">
        <f t="shared" ref="Y97:Y106" si="162">IF(X23=0,"",Y23/X23-1)</f>
        <v>2.9270288474102291E-2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-4.413159518444576E-2</v>
      </c>
      <c r="F98" s="83">
        <f t="shared" si="143"/>
        <v>-1.6754400583301354E-2</v>
      </c>
      <c r="G98" s="83">
        <f t="shared" si="144"/>
        <v>-3.5228211474543913E-2</v>
      </c>
      <c r="H98" s="83">
        <f t="shared" si="145"/>
        <v>-2.8736881622138055E-2</v>
      </c>
      <c r="I98" s="83">
        <f t="shared" si="146"/>
        <v>-1.5836838978165568E-2</v>
      </c>
      <c r="J98" s="83">
        <f t="shared" si="147"/>
        <v>-8.6210092084972989E-2</v>
      </c>
      <c r="K98" s="83">
        <f t="shared" si="148"/>
        <v>0.25301241953792974</v>
      </c>
      <c r="L98" s="83">
        <f t="shared" si="149"/>
        <v>-6.7749793816638926E-2</v>
      </c>
      <c r="M98" s="83">
        <f t="shared" si="150"/>
        <v>-6.1098664378611334E-2</v>
      </c>
      <c r="N98" s="83">
        <f t="shared" si="151"/>
        <v>0.1080349064815449</v>
      </c>
      <c r="O98" s="83">
        <f t="shared" si="152"/>
        <v>-1.2348006153726221E-2</v>
      </c>
      <c r="P98" s="83">
        <f t="shared" si="153"/>
        <v>-1.8748413990449131E-2</v>
      </c>
      <c r="Q98" s="83">
        <f t="shared" si="154"/>
        <v>1.5006033109545847E-2</v>
      </c>
      <c r="R98" s="83">
        <f t="shared" si="155"/>
        <v>8.7858751542251312E-3</v>
      </c>
      <c r="S98" s="83">
        <f t="shared" si="156"/>
        <v>-5.8202708585248009E-2</v>
      </c>
      <c r="T98" s="83">
        <f t="shared" si="157"/>
        <v>5.4816483045069697E-2</v>
      </c>
      <c r="U98" s="83">
        <f t="shared" si="158"/>
        <v>3.4626088874334604E-2</v>
      </c>
      <c r="V98" s="83">
        <f t="shared" si="159"/>
        <v>4.1196812588829568E-2</v>
      </c>
      <c r="W98" s="83">
        <f t="shared" si="160"/>
        <v>-3.4007399371198677E-3</v>
      </c>
      <c r="X98" s="83">
        <f t="shared" si="161"/>
        <v>1.7886964286851548E-2</v>
      </c>
      <c r="Y98" s="83">
        <f t="shared" si="162"/>
        <v>2.2268894870550726E-2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0.1235382634463924</v>
      </c>
      <c r="F99" s="83">
        <f t="shared" si="143"/>
        <v>5.0720588391821364E-2</v>
      </c>
      <c r="G99" s="83">
        <f t="shared" si="144"/>
        <v>6.5919528753993539E-2</v>
      </c>
      <c r="H99" s="83">
        <f t="shared" si="145"/>
        <v>2.3553305842942462E-2</v>
      </c>
      <c r="I99" s="83">
        <f t="shared" si="146"/>
        <v>-1.6679185121138751E-2</v>
      </c>
      <c r="J99" s="83">
        <f t="shared" si="147"/>
        <v>0.34608984396218445</v>
      </c>
      <c r="K99" s="83">
        <f t="shared" si="148"/>
        <v>4.9919965435937241E-2</v>
      </c>
      <c r="L99" s="83">
        <f t="shared" si="149"/>
        <v>0.14943054747749551</v>
      </c>
      <c r="M99" s="83">
        <f t="shared" si="150"/>
        <v>-8.552592069748155E-2</v>
      </c>
      <c r="N99" s="83">
        <f t="shared" si="151"/>
        <v>0.31580134366305868</v>
      </c>
      <c r="O99" s="83">
        <f t="shared" si="152"/>
        <v>-2.3207986872273434E-2</v>
      </c>
      <c r="P99" s="83">
        <f t="shared" si="153"/>
        <v>-3.7852200764894928E-2</v>
      </c>
      <c r="Q99" s="83">
        <f t="shared" si="154"/>
        <v>-0.28836971027195069</v>
      </c>
      <c r="R99" s="83">
        <f t="shared" si="155"/>
        <v>-9.9402421603575597E-2</v>
      </c>
      <c r="S99" s="83">
        <f t="shared" si="156"/>
        <v>0.15585025735294122</v>
      </c>
      <c r="T99" s="83">
        <f t="shared" si="157"/>
        <v>5.1303337714959873E-2</v>
      </c>
      <c r="U99" s="83">
        <f t="shared" si="158"/>
        <v>0.38375660502686304</v>
      </c>
      <c r="V99" s="83">
        <f t="shared" si="159"/>
        <v>3.2480083228653367E-2</v>
      </c>
      <c r="W99" s="83">
        <f t="shared" si="160"/>
        <v>-0.14481013661005537</v>
      </c>
      <c r="X99" s="83">
        <f t="shared" si="161"/>
        <v>0.12548978809998412</v>
      </c>
      <c r="Y99" s="83">
        <f t="shared" si="162"/>
        <v>5.5264209687288179E-2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4.7745204577834821E-2</v>
      </c>
      <c r="F100" s="83">
        <f t="shared" si="143"/>
        <v>2.7062416609110906E-2</v>
      </c>
      <c r="G100" s="83">
        <f t="shared" si="144"/>
        <v>2.2476939078816427E-2</v>
      </c>
      <c r="H100" s="83">
        <f t="shared" si="145"/>
        <v>4.4721860034564243E-2</v>
      </c>
      <c r="I100" s="83">
        <f t="shared" si="146"/>
        <v>3.0465149552372006E-2</v>
      </c>
      <c r="J100" s="83">
        <f t="shared" si="147"/>
        <v>2.2504029338809239E-2</v>
      </c>
      <c r="K100" s="83">
        <f t="shared" si="148"/>
        <v>5.0077357327965144E-2</v>
      </c>
      <c r="L100" s="83">
        <f t="shared" si="149"/>
        <v>3.5284407937280049E-2</v>
      </c>
      <c r="M100" s="83">
        <f t="shared" si="150"/>
        <v>-2.6165405801124475E-2</v>
      </c>
      <c r="N100" s="83">
        <f t="shared" si="151"/>
        <v>2.189578111669932E-2</v>
      </c>
      <c r="O100" s="83">
        <f t="shared" si="152"/>
        <v>3.4681477587608978E-2</v>
      </c>
      <c r="P100" s="83">
        <f t="shared" si="153"/>
        <v>6.7961318253861869E-3</v>
      </c>
      <c r="Q100" s="83">
        <f t="shared" si="154"/>
        <v>-1.194832234331944E-2</v>
      </c>
      <c r="R100" s="83">
        <f t="shared" si="155"/>
        <v>8.373779476205101E-4</v>
      </c>
      <c r="S100" s="83">
        <f t="shared" si="156"/>
        <v>3.8643939617597489E-3</v>
      </c>
      <c r="T100" s="83">
        <f t="shared" si="157"/>
        <v>2.0893703860991986E-2</v>
      </c>
      <c r="U100" s="83">
        <f t="shared" si="158"/>
        <v>2.2222251135319837E-2</v>
      </c>
      <c r="V100" s="83">
        <f t="shared" si="159"/>
        <v>1.1559579549566878E-2</v>
      </c>
      <c r="W100" s="83">
        <f t="shared" si="160"/>
        <v>1.8106974430942335E-2</v>
      </c>
      <c r="X100" s="83">
        <f t="shared" si="161"/>
        <v>-2.5679004553762486E-2</v>
      </c>
      <c r="Y100" s="83">
        <f t="shared" si="162"/>
        <v>3.1331240486420775E-2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3.3562612279499637E-2</v>
      </c>
      <c r="F101" s="84">
        <f t="shared" si="143"/>
        <v>2.843691319154007E-2</v>
      </c>
      <c r="G101" s="84">
        <f t="shared" si="144"/>
        <v>2.9035519292726963E-2</v>
      </c>
      <c r="H101" s="84">
        <f t="shared" si="145"/>
        <v>3.154489298830887E-2</v>
      </c>
      <c r="I101" s="84">
        <f t="shared" si="146"/>
        <v>3.6251807200985198E-2</v>
      </c>
      <c r="J101" s="84">
        <f t="shared" si="147"/>
        <v>1.8326385271486778E-2</v>
      </c>
      <c r="K101" s="84">
        <f t="shared" si="148"/>
        <v>2.9753198373383638E-2</v>
      </c>
      <c r="L101" s="84">
        <f t="shared" si="149"/>
        <v>2.7001274859635327E-2</v>
      </c>
      <c r="M101" s="84">
        <f t="shared" si="150"/>
        <v>-9.1724821228926778E-3</v>
      </c>
      <c r="N101" s="84">
        <f t="shared" si="151"/>
        <v>2.6573616434436342E-2</v>
      </c>
      <c r="O101" s="84">
        <f t="shared" si="152"/>
        <v>2.3195183759243898E-2</v>
      </c>
      <c r="P101" s="84">
        <f t="shared" si="153"/>
        <v>8.3189044284468494E-3</v>
      </c>
      <c r="Q101" s="84">
        <f t="shared" si="154"/>
        <v>-1.5594167196939845E-2</v>
      </c>
      <c r="R101" s="84">
        <f t="shared" si="155"/>
        <v>-1.2523147738248586E-2</v>
      </c>
      <c r="S101" s="84">
        <f t="shared" si="156"/>
        <v>-5.2181060863649709E-3</v>
      </c>
      <c r="T101" s="84">
        <f t="shared" si="157"/>
        <v>8.2108338313418017E-3</v>
      </c>
      <c r="U101" s="84">
        <f t="shared" si="158"/>
        <v>-2.8685292868717571E-3</v>
      </c>
      <c r="V101" s="84">
        <f t="shared" si="159"/>
        <v>6.0588974935291695E-3</v>
      </c>
      <c r="W101" s="84">
        <f t="shared" si="160"/>
        <v>2.2150179181755547E-2</v>
      </c>
      <c r="X101" s="84">
        <f t="shared" si="161"/>
        <v>-6.0157599496722947E-2</v>
      </c>
      <c r="Y101" s="84">
        <f t="shared" si="162"/>
        <v>3.0952787395887027E-2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6.2025719892239817E-2</v>
      </c>
      <c r="F102" s="84">
        <f t="shared" si="143"/>
        <v>2.5775450142957679E-2</v>
      </c>
      <c r="G102" s="84">
        <f t="shared" si="144"/>
        <v>1.9567240859707624E-2</v>
      </c>
      <c r="H102" s="84">
        <f t="shared" si="145"/>
        <v>5.8695391415629183E-2</v>
      </c>
      <c r="I102" s="84">
        <f t="shared" si="146"/>
        <v>2.100382116583499E-2</v>
      </c>
      <c r="J102" s="84">
        <f t="shared" si="147"/>
        <v>4.1691542419528327E-2</v>
      </c>
      <c r="K102" s="84">
        <f t="shared" si="148"/>
        <v>6.4522250399667858E-2</v>
      </c>
      <c r="L102" s="84">
        <f t="shared" si="149"/>
        <v>3.4361572448774469E-2</v>
      </c>
      <c r="M102" s="84">
        <f t="shared" si="150"/>
        <v>-1.5946180867804305E-2</v>
      </c>
      <c r="N102" s="84">
        <f t="shared" si="151"/>
        <v>1.8588816976682798E-2</v>
      </c>
      <c r="O102" s="84">
        <f t="shared" si="152"/>
        <v>3.7963552774276765E-2</v>
      </c>
      <c r="P102" s="84">
        <f t="shared" si="153"/>
        <v>4.610826591087136E-3</v>
      </c>
      <c r="Q102" s="84">
        <f t="shared" si="154"/>
        <v>5.121751295835697E-4</v>
      </c>
      <c r="R102" s="84">
        <f t="shared" si="155"/>
        <v>2.776043659149674E-2</v>
      </c>
      <c r="S102" s="84">
        <f t="shared" si="156"/>
        <v>1.738114225296572E-2</v>
      </c>
      <c r="T102" s="84">
        <f t="shared" si="157"/>
        <v>3.8061110604717951E-2</v>
      </c>
      <c r="U102" s="84">
        <f t="shared" si="158"/>
        <v>4.0646129604625436E-2</v>
      </c>
      <c r="V102" s="84">
        <f t="shared" si="159"/>
        <v>2.2218844372858149E-2</v>
      </c>
      <c r="W102" s="84">
        <f t="shared" si="160"/>
        <v>2.0062459376859465E-2</v>
      </c>
      <c r="X102" s="84">
        <f t="shared" si="161"/>
        <v>-6.3998835378565877E-3</v>
      </c>
      <c r="Y102" s="84">
        <f t="shared" si="162"/>
        <v>3.5357327208566547E-2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5.0548665633220136E-2</v>
      </c>
      <c r="F103" s="84">
        <f t="shared" si="143"/>
        <v>2.6656191936429874E-2</v>
      </c>
      <c r="G103" s="84">
        <f t="shared" si="144"/>
        <v>1.3014337700854473E-2</v>
      </c>
      <c r="H103" s="84">
        <f t="shared" si="145"/>
        <v>4.5214082304712466E-2</v>
      </c>
      <c r="I103" s="84">
        <f t="shared" si="146"/>
        <v>3.8474051502871864E-2</v>
      </c>
      <c r="J103" s="84">
        <f t="shared" si="147"/>
        <v>-1.1715139979736944E-2</v>
      </c>
      <c r="K103" s="84">
        <f t="shared" si="148"/>
        <v>6.6485369947746342E-2</v>
      </c>
      <c r="L103" s="84">
        <f t="shared" si="149"/>
        <v>5.7904136427855857E-2</v>
      </c>
      <c r="M103" s="84">
        <f t="shared" si="150"/>
        <v>-9.112972368241079E-2</v>
      </c>
      <c r="N103" s="84">
        <f t="shared" si="151"/>
        <v>1.8274033228298459E-2</v>
      </c>
      <c r="O103" s="84">
        <f t="shared" si="152"/>
        <v>5.6324984964442937E-2</v>
      </c>
      <c r="P103" s="84">
        <f t="shared" si="153"/>
        <v>8.4805452507248358E-3</v>
      </c>
      <c r="Q103" s="84">
        <f t="shared" si="154"/>
        <v>-3.4231818736820907E-2</v>
      </c>
      <c r="R103" s="84">
        <f t="shared" si="155"/>
        <v>-3.5176560943482316E-2</v>
      </c>
      <c r="S103" s="84">
        <f t="shared" si="156"/>
        <v>-9.8266990437092527E-3</v>
      </c>
      <c r="T103" s="84">
        <f t="shared" si="157"/>
        <v>5.3843646540405743E-3</v>
      </c>
      <c r="U103" s="84">
        <f t="shared" si="158"/>
        <v>3.4614861439254963E-2</v>
      </c>
      <c r="V103" s="84">
        <f t="shared" si="159"/>
        <v>-6.0617184494643483E-3</v>
      </c>
      <c r="W103" s="84">
        <f t="shared" si="160"/>
        <v>1.5790610759895962E-3</v>
      </c>
      <c r="X103" s="84">
        <f t="shared" si="161"/>
        <v>5.7788621172616406E-3</v>
      </c>
      <c r="Y103" s="84">
        <f t="shared" si="162"/>
        <v>1.9851643834769339E-2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0.12536549981616507</v>
      </c>
      <c r="F104" s="83">
        <f t="shared" si="143"/>
        <v>0.19813104696306394</v>
      </c>
      <c r="G104" s="83">
        <f t="shared" si="144"/>
        <v>5.7910332686910371E-2</v>
      </c>
      <c r="H104" s="83">
        <f t="shared" si="145"/>
        <v>0.15823841054428178</v>
      </c>
      <c r="I104" s="83">
        <f t="shared" si="146"/>
        <v>-0.12655153982484013</v>
      </c>
      <c r="J104" s="83">
        <f t="shared" si="147"/>
        <v>0.13722779767638604</v>
      </c>
      <c r="K104" s="83">
        <f t="shared" si="148"/>
        <v>3.59768552253803E-2</v>
      </c>
      <c r="L104" s="83">
        <f t="shared" si="149"/>
        <v>-5.4360390171857564E-2</v>
      </c>
      <c r="M104" s="83">
        <f t="shared" si="150"/>
        <v>5.8043050776623861E-2</v>
      </c>
      <c r="N104" s="83">
        <f t="shared" si="151"/>
        <v>9.4137322057252559E-2</v>
      </c>
      <c r="O104" s="83">
        <f t="shared" si="152"/>
        <v>-7.4926793880502496E-2</v>
      </c>
      <c r="P104" s="83">
        <f t="shared" si="153"/>
        <v>-1.1029835873029858E-3</v>
      </c>
      <c r="Q104" s="83">
        <f t="shared" si="154"/>
        <v>4.9694144047069955E-3</v>
      </c>
      <c r="R104" s="83">
        <f t="shared" si="155"/>
        <v>-5.722108029419859E-2</v>
      </c>
      <c r="S104" s="83">
        <f t="shared" si="156"/>
        <v>-2.7033369947275898E-2</v>
      </c>
      <c r="T104" s="83">
        <f t="shared" si="157"/>
        <v>-1.899290631113193E-2</v>
      </c>
      <c r="U104" s="83">
        <f t="shared" si="158"/>
        <v>0.14000250578777629</v>
      </c>
      <c r="V104" s="83">
        <f t="shared" si="159"/>
        <v>-6.5677564265255617E-2</v>
      </c>
      <c r="W104" s="83">
        <f t="shared" si="160"/>
        <v>0.10234828548062613</v>
      </c>
      <c r="X104" s="83">
        <f t="shared" si="161"/>
        <v>-9.1146991683739742E-2</v>
      </c>
      <c r="Y104" s="83">
        <f t="shared" si="162"/>
        <v>-7.9201360055989323E-3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-2.0737045150452271E-2</v>
      </c>
      <c r="F105" s="83">
        <f t="shared" si="143"/>
        <v>-3.719340112382874E-2</v>
      </c>
      <c r="G105" s="83">
        <f t="shared" si="144"/>
        <v>4.944239754027957E-2</v>
      </c>
      <c r="H105" s="83">
        <f t="shared" si="145"/>
        <v>7.6782300239948142E-2</v>
      </c>
      <c r="I105" s="83">
        <f t="shared" si="146"/>
        <v>0.10127736307262225</v>
      </c>
      <c r="J105" s="83">
        <f t="shared" si="147"/>
        <v>6.0279522811014674E-2</v>
      </c>
      <c r="K105" s="83">
        <f t="shared" si="148"/>
        <v>8.5268558092057356E-2</v>
      </c>
      <c r="L105" s="83">
        <f t="shared" si="149"/>
        <v>3.7841585898118035E-2</v>
      </c>
      <c r="M105" s="83">
        <f t="shared" si="150"/>
        <v>-0.10861323948136359</v>
      </c>
      <c r="N105" s="83">
        <f t="shared" si="151"/>
        <v>-3.1158967547075811E-3</v>
      </c>
      <c r="O105" s="83">
        <f t="shared" si="152"/>
        <v>1.8727214426881744E-2</v>
      </c>
      <c r="P105" s="83">
        <f t="shared" si="153"/>
        <v>1.4327746764535076E-2</v>
      </c>
      <c r="Q105" s="83">
        <f t="shared" si="154"/>
        <v>-2.6025857776986294E-2</v>
      </c>
      <c r="R105" s="83">
        <f t="shared" si="155"/>
        <v>-3.2557097811151348E-2</v>
      </c>
      <c r="S105" s="83">
        <f t="shared" si="156"/>
        <v>1.6919764767381107E-2</v>
      </c>
      <c r="T105" s="83">
        <f t="shared" si="157"/>
        <v>0.10242625255093296</v>
      </c>
      <c r="U105" s="83">
        <f t="shared" si="158"/>
        <v>5.9790514105354298E-2</v>
      </c>
      <c r="V105" s="83">
        <f t="shared" si="159"/>
        <v>4.6503294281625696E-2</v>
      </c>
      <c r="W105" s="83">
        <f t="shared" si="160"/>
        <v>1.1516657969121935E-2</v>
      </c>
      <c r="X105" s="83">
        <f t="shared" si="161"/>
        <v>1.4945558251978852E-2</v>
      </c>
      <c r="Y105" s="83">
        <f t="shared" si="162"/>
        <v>-5.354647442360061E-2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-7.3202446935519694E-3</v>
      </c>
      <c r="F106" s="83">
        <f t="shared" si="143"/>
        <v>-1.9914136371434021E-2</v>
      </c>
      <c r="G106" s="83">
        <f t="shared" si="144"/>
        <v>-2.389810760479838E-2</v>
      </c>
      <c r="H106" s="83">
        <f t="shared" si="145"/>
        <v>8.9571138775608183E-3</v>
      </c>
      <c r="I106" s="83">
        <f t="shared" si="146"/>
        <v>1.6697308951459933E-2</v>
      </c>
      <c r="J106" s="83">
        <f t="shared" si="147"/>
        <v>7.622608501248096E-2</v>
      </c>
      <c r="K106" s="83">
        <f t="shared" si="148"/>
        <v>6.4121440208937619E-2</v>
      </c>
      <c r="L106" s="83">
        <f t="shared" si="149"/>
        <v>-5.5299035672218499E-2</v>
      </c>
      <c r="M106" s="83">
        <f t="shared" si="150"/>
        <v>-0.27289261392488406</v>
      </c>
      <c r="N106" s="83">
        <f t="shared" si="151"/>
        <v>6.0138787630850121E-2</v>
      </c>
      <c r="O106" s="83">
        <f t="shared" si="152"/>
        <v>-1.9030040612050603E-2</v>
      </c>
      <c r="P106" s="83">
        <f t="shared" si="153"/>
        <v>-0.13644660750878967</v>
      </c>
      <c r="Q106" s="83">
        <f t="shared" si="154"/>
        <v>4.0806070380856596E-3</v>
      </c>
      <c r="R106" s="83">
        <f t="shared" si="155"/>
        <v>7.5056443108323379E-4</v>
      </c>
      <c r="S106" s="83">
        <f t="shared" si="156"/>
        <v>1.2220285501224781E-2</v>
      </c>
      <c r="T106" s="83">
        <f t="shared" si="157"/>
        <v>2.0095691409944161E-2</v>
      </c>
      <c r="U106" s="83">
        <f t="shared" si="158"/>
        <v>6.6007655507540619E-2</v>
      </c>
      <c r="V106" s="83">
        <f t="shared" si="159"/>
        <v>-2.2683771177614553E-2</v>
      </c>
      <c r="W106" s="83">
        <f t="shared" si="160"/>
        <v>-4.0955343632177454E-3</v>
      </c>
      <c r="X106" s="83">
        <f t="shared" si="161"/>
        <v>-2.6576644596038146E-2</v>
      </c>
      <c r="Y106" s="83">
        <f t="shared" si="162"/>
        <v>6.7442188830349137E-2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-5.0557070586495723E-2</v>
      </c>
      <c r="F107" s="87">
        <f t="shared" ref="F107:F108" si="164">IF(E33=0,"",F33/E33-1)</f>
        <v>-0.12755586260059382</v>
      </c>
      <c r="G107" s="87">
        <f t="shared" ref="G107:G108" si="165">IF(F33=0,"",G33/F33-1)</f>
        <v>9.032442032142507E-2</v>
      </c>
      <c r="H107" s="87">
        <f t="shared" ref="H107:H108" si="166">IF(G33=0,"",H33/G33-1)</f>
        <v>0.17085108281864225</v>
      </c>
      <c r="I107" s="87">
        <f t="shared" ref="I107:I108" si="167">IF(H33=0,"",I33/H33-1)</f>
        <v>0.17040179110352804</v>
      </c>
      <c r="J107" s="87">
        <f t="shared" ref="J107:J108" si="168">IF(I33=0,"",J33/I33-1)</f>
        <v>0.28164621339744089</v>
      </c>
      <c r="K107" s="87">
        <f t="shared" ref="K107:K108" si="169">IF(J33=0,"",K33/J33-1)</f>
        <v>8.7513317833727289E-3</v>
      </c>
      <c r="L107" s="87">
        <f t="shared" ref="L107:L108" si="170">IF(K33=0,"",L33/K33-1)</f>
        <v>-9.6131353627387561E-2</v>
      </c>
      <c r="M107" s="87">
        <f t="shared" ref="M107:M108" si="171">IF(L33=0,"",M33/L33-1)</f>
        <v>-0.65122975145775674</v>
      </c>
      <c r="N107" s="87">
        <f t="shared" ref="N107:N108" si="172">IF(M33=0,"",N33/M33-1)</f>
        <v>0.51563128321613716</v>
      </c>
      <c r="O107" s="87">
        <f t="shared" ref="O107:O108" si="173">IF(N33=0,"",O33/N33-1)</f>
        <v>2.7358701829796273E-2</v>
      </c>
      <c r="P107" s="87">
        <f t="shared" ref="P107:P108" si="174">IF(O33=0,"",P33/O33-1)</f>
        <v>-0.16375642654638356</v>
      </c>
      <c r="Q107" s="87">
        <f t="shared" ref="Q107:Q108" si="175">IF(P33=0,"",Q33/P33-1)</f>
        <v>0.11149378681186284</v>
      </c>
      <c r="R107" s="87">
        <f t="shared" ref="R107:R108" si="176">IF(Q33=0,"",R33/Q33-1)</f>
        <v>-8.8654795927343155E-3</v>
      </c>
      <c r="S107" s="87">
        <f t="shared" ref="S107:S108" si="177">IF(R33=0,"",S33/R33-1)</f>
        <v>0.19986552858261541</v>
      </c>
      <c r="T107" s="87">
        <f t="shared" ref="T107:T108" si="178">IF(S33=0,"",T33/S33-1)</f>
        <v>-0.10066505083380384</v>
      </c>
      <c r="U107" s="87">
        <f t="shared" ref="U107:U108" si="179">IF(T33=0,"",U33/T33-1)</f>
        <v>0.34032967706051664</v>
      </c>
      <c r="V107" s="87">
        <f t="shared" ref="V107:V108" si="180">IF(U33=0,"",V33/U33-1)</f>
        <v>-0.10940456403017229</v>
      </c>
      <c r="W107" s="87">
        <f t="shared" ref="W107:W108" si="181">IF(V33=0,"",W33/V33-1)</f>
        <v>-0.1812598131691302</v>
      </c>
      <c r="X107" s="87">
        <f t="shared" ref="X107:X108" si="182">IF(W33=0,"",X33/W33-1)</f>
        <v>-0.10436673419270626</v>
      </c>
      <c r="Y107" s="87">
        <f t="shared" ref="Y107:Y108" si="183">IF(X33=0,"",Y33/X33-1)</f>
        <v>0.27738639565169732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-4.8081602405594448E-2</v>
      </c>
      <c r="F108" s="89">
        <f t="shared" si="164"/>
        <v>-0.12456885446846522</v>
      </c>
      <c r="G108" s="89">
        <f t="shared" si="165"/>
        <v>8.0090459179072537E-2</v>
      </c>
      <c r="H108" s="89">
        <f t="shared" si="166"/>
        <v>0.17085108281864247</v>
      </c>
      <c r="I108" s="89">
        <f t="shared" si="167"/>
        <v>0.17764081423524103</v>
      </c>
      <c r="J108" s="89">
        <f t="shared" si="168"/>
        <v>0.27154923201256187</v>
      </c>
      <c r="K108" s="89">
        <f t="shared" si="169"/>
        <v>-7.0414299618717258E-2</v>
      </c>
      <c r="L108" s="89">
        <f t="shared" si="170"/>
        <v>-0.10416374462684874</v>
      </c>
      <c r="M108" s="89">
        <f t="shared" si="171"/>
        <v>-0.71048786836073075</v>
      </c>
      <c r="N108" s="89">
        <f t="shared" si="172"/>
        <v>0.46171860346705951</v>
      </c>
      <c r="O108" s="89">
        <f t="shared" si="173"/>
        <v>1.4701922133460776E-2</v>
      </c>
      <c r="P108" s="89">
        <f t="shared" si="174"/>
        <v>-0.17206303945076451</v>
      </c>
      <c r="Q108" s="89">
        <f t="shared" si="175"/>
        <v>0.2125722837955053</v>
      </c>
      <c r="R108" s="89">
        <f t="shared" si="176"/>
        <v>-0.12159432126816094</v>
      </c>
      <c r="S108" s="89">
        <f t="shared" si="177"/>
        <v>0.182234959942571</v>
      </c>
      <c r="T108" s="89">
        <f t="shared" si="178"/>
        <v>-3.4077631955732213E-2</v>
      </c>
      <c r="U108" s="89">
        <f t="shared" si="179"/>
        <v>0.47950821508323949</v>
      </c>
      <c r="V108" s="89">
        <f t="shared" si="180"/>
        <v>-0.17879481525736829</v>
      </c>
      <c r="W108" s="89">
        <f t="shared" si="181"/>
        <v>-0.34256364289164698</v>
      </c>
      <c r="X108" s="89">
        <f t="shared" si="182"/>
        <v>0.42785678274311567</v>
      </c>
      <c r="Y108" s="89">
        <f t="shared" si="183"/>
        <v>-0.10222059573656961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-6.4889643512271222E-2</v>
      </c>
      <c r="F109" s="89">
        <f t="shared" ref="F109" si="185">IF(E37=0,"",F37/E37-1)</f>
        <v>-0.14516102640845763</v>
      </c>
      <c r="G109" s="89">
        <f t="shared" ref="G109" si="186">IF(F37=0,"",G37/F37-1)</f>
        <v>0.15209548807036399</v>
      </c>
      <c r="H109" s="89">
        <f t="shared" ref="H109" si="187">IF(G37=0,"",H37/G37-1)</f>
        <v>0.17085108281864136</v>
      </c>
      <c r="I109" s="89">
        <f t="shared" ref="I109" si="188">IF(H37=0,"",I37/H37-1)</f>
        <v>0.129438677192663</v>
      </c>
      <c r="J109" s="89">
        <f t="shared" ref="J109" si="189">IF(I37=0,"",J37/I37-1)</f>
        <v>0.34121993716502086</v>
      </c>
      <c r="K109" s="89">
        <f t="shared" ref="K109" si="190">IF(J37=0,"",K37/J37-1)</f>
        <v>0.45157726956929323</v>
      </c>
      <c r="L109" s="89">
        <f t="shared" ref="L109" si="191">IF(K37=0,"",L37/K37-1)</f>
        <v>-6.735799972214751E-2</v>
      </c>
      <c r="M109" s="89">
        <f t="shared" ref="M109" si="192">IF(L37=0,"",M37/L37-1)</f>
        <v>-0.44733447800971671</v>
      </c>
      <c r="N109" s="89">
        <f t="shared" ref="N109" si="193">IF(M37=0,"",N37/M37-1)</f>
        <v>0.61280630040712269</v>
      </c>
      <c r="O109" s="89">
        <f t="shared" ref="O109" si="194">IF(N37=0,"",O37/N37-1)</f>
        <v>4.8034795491444404E-2</v>
      </c>
      <c r="P109" s="89">
        <f t="shared" ref="P109" si="195">IF(O37=0,"",P37/O37-1)</f>
        <v>-0.15061834286595632</v>
      </c>
      <c r="Q109" s="89">
        <f t="shared" ref="Q109" si="196">IF(P37=0,"",Q37/P37-1)</f>
        <v>-4.4339854736581974E-2</v>
      </c>
      <c r="R109" s="89">
        <f t="shared" ref="R109" si="197">IF(Q37=0,"",R37/Q37-1)</f>
        <v>0.21165130490030726</v>
      </c>
      <c r="S109" s="89">
        <f t="shared" ref="S109" si="198">IF(R37=0,"",S37/R37-1)</f>
        <v>0.22486842990268419</v>
      </c>
      <c r="T109" s="89">
        <f t="shared" ref="T109" si="199">IF(S37=0,"",T37/S37-1)</f>
        <v>-0.19180958387675517</v>
      </c>
      <c r="U109" s="89">
        <f t="shared" ref="U109" si="200">IF(T37=0,"",U37/T37-1)</f>
        <v>0.11264214962200558</v>
      </c>
      <c r="V109" s="89">
        <f t="shared" ref="V109" si="201">IF(U37=0,"",V37/U37-1)</f>
        <v>4.1543415217532909E-2</v>
      </c>
      <c r="W109" s="89">
        <f t="shared" ref="W109" si="202">IF(V37=0,"",W37/V37-1)</f>
        <v>9.5401113543605032E-2</v>
      </c>
      <c r="X109" s="89">
        <f t="shared" ref="X109" si="203">IF(W37=0,"",X37/W37-1)</f>
        <v>-0.65223702223940483</v>
      </c>
      <c r="Y109" s="89">
        <f t="shared" ref="Y109" si="204">IF(X37=0,"",Y37/X37-1)</f>
        <v>1.8818105570576282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0.10011404447119898</v>
      </c>
      <c r="F110" s="89">
        <f t="shared" ref="F110:F111" si="206">IF(E43=0,"",F43/E43-1)</f>
        <v>-5.0953724786986232E-2</v>
      </c>
      <c r="G110" s="89">
        <f t="shared" ref="G110:G111" si="207">IF(F43=0,"",G43/F43-1)</f>
        <v>-2.4979424744934642E-2</v>
      </c>
      <c r="H110" s="89">
        <f t="shared" ref="H110:H111" si="208">IF(G43=0,"",H43/G43-1)</f>
        <v>0.12511857105498048</v>
      </c>
      <c r="I110" s="89">
        <f t="shared" ref="I110:I111" si="209">IF(H43=0,"",I43/H43-1)</f>
        <v>1.2256394279125171E-2</v>
      </c>
      <c r="J110" s="89">
        <f t="shared" ref="J110:J111" si="210">IF(I43=0,"",J43/I43-1)</f>
        <v>3.1255244943436455E-2</v>
      </c>
      <c r="K110" s="89">
        <f t="shared" ref="K110:K111" si="211">IF(J43=0,"",K43/J43-1)</f>
        <v>8.9510033741774242E-2</v>
      </c>
      <c r="L110" s="89">
        <f t="shared" ref="L110:L111" si="212">IF(K43=0,"",L43/K43-1)</f>
        <v>-2.660180131215617E-2</v>
      </c>
      <c r="M110" s="89">
        <f t="shared" ref="M110:M111" si="213">IF(L43=0,"",M43/L43-1)</f>
        <v>-9.4814832164431206E-2</v>
      </c>
      <c r="N110" s="89">
        <f t="shared" ref="N110:N111" si="214">IF(M43=0,"",N43/M43-1)</f>
        <v>8.3093449351165694E-2</v>
      </c>
      <c r="O110" s="89">
        <f t="shared" ref="O110:O111" si="215">IF(N43=0,"",O43/N43-1)</f>
        <v>0.11508202038203841</v>
      </c>
      <c r="P110" s="89">
        <f t="shared" ref="P110:P111" si="216">IF(O43=0,"",P43/O43-1)</f>
        <v>-9.3371699459005697E-2</v>
      </c>
      <c r="Q110" s="89">
        <f t="shared" ref="Q110:Q111" si="217">IF(P43=0,"",Q43/P43-1)</f>
        <v>9.9340777590077867E-3</v>
      </c>
      <c r="R110" s="89">
        <f t="shared" ref="R110:R111" si="218">IF(Q43=0,"",R43/Q43-1)</f>
        <v>3.0359063955536003E-2</v>
      </c>
      <c r="S110" s="89">
        <f t="shared" ref="S110:S111" si="219">IF(R43=0,"",S43/R43-1)</f>
        <v>5.8666487710219872E-2</v>
      </c>
      <c r="T110" s="89">
        <f t="shared" ref="T110:T111" si="220">IF(S43=0,"",T43/S43-1)</f>
        <v>8.1626132547577779E-2</v>
      </c>
      <c r="U110" s="89">
        <f t="shared" ref="U110:U111" si="221">IF(T43=0,"",U43/T43-1)</f>
        <v>4.605213900675742E-2</v>
      </c>
      <c r="V110" s="89">
        <f t="shared" ref="V110:V111" si="222">IF(U43=0,"",V43/U43-1)</f>
        <v>3.1837887737426129E-2</v>
      </c>
      <c r="W110" s="89">
        <f t="shared" ref="W110:W111" si="223">IF(V43=0,"",W43/V43-1)</f>
        <v>9.9485116791554029E-2</v>
      </c>
      <c r="X110" s="89">
        <f t="shared" ref="X110:X111" si="224">IF(W43=0,"",X43/W43-1)</f>
        <v>-4.589182621407728E-2</v>
      </c>
      <c r="Y110" s="89">
        <f t="shared" ref="Y110:Y111" si="225">IF(X43=0,"",Y43/X43-1)</f>
        <v>-4.6475510829475764E-2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7.5814218264378841E-2</v>
      </c>
      <c r="F111" s="89">
        <f t="shared" si="206"/>
        <v>-7.634464623899373E-2</v>
      </c>
      <c r="G111" s="89">
        <f t="shared" si="207"/>
        <v>-1.4079683977646917E-2</v>
      </c>
      <c r="H111" s="89">
        <f t="shared" si="208"/>
        <v>0.13343969820285517</v>
      </c>
      <c r="I111" s="89">
        <f t="shared" si="209"/>
        <v>-3.314313015419057E-2</v>
      </c>
      <c r="J111" s="89">
        <f t="shared" si="210"/>
        <v>7.9796735004400432E-4</v>
      </c>
      <c r="K111" s="89">
        <f t="shared" si="211"/>
        <v>0.11852288644243569</v>
      </c>
      <c r="L111" s="89">
        <f t="shared" si="212"/>
        <v>-6.0148346019365584E-2</v>
      </c>
      <c r="M111" s="89">
        <f t="shared" si="213"/>
        <v>-0.15898949299623144</v>
      </c>
      <c r="N111" s="89">
        <f t="shared" si="214"/>
        <v>9.2785764780691782E-2</v>
      </c>
      <c r="O111" s="89">
        <f t="shared" si="215"/>
        <v>0.16861023313894452</v>
      </c>
      <c r="P111" s="89">
        <f t="shared" si="216"/>
        <v>-0.2228903422754771</v>
      </c>
      <c r="Q111" s="89">
        <f t="shared" si="217"/>
        <v>8.2341787852623582E-2</v>
      </c>
      <c r="R111" s="89">
        <f t="shared" si="218"/>
        <v>-2.8659282634465599E-2</v>
      </c>
      <c r="S111" s="89">
        <f t="shared" si="219"/>
        <v>0.116813445945946</v>
      </c>
      <c r="T111" s="89">
        <f t="shared" si="220"/>
        <v>2.6037245280567278E-2</v>
      </c>
      <c r="U111" s="89">
        <f t="shared" si="221"/>
        <v>6.2950673583675565E-2</v>
      </c>
      <c r="V111" s="89">
        <f t="shared" si="222"/>
        <v>7.9791067404128668E-2</v>
      </c>
      <c r="W111" s="89">
        <f t="shared" si="223"/>
        <v>0.15794231367546852</v>
      </c>
      <c r="X111" s="89">
        <f t="shared" si="224"/>
        <v>-3.9516981101504478E-2</v>
      </c>
      <c r="Y111" s="89">
        <f t="shared" si="225"/>
        <v>-4.9115047100982356E-2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0.17618782471326999</v>
      </c>
      <c r="F112" s="89">
        <f t="shared" ref="F112:F113" si="227">IF(E47=0,"",F47/E47-1)</f>
        <v>2.1752382396622361E-2</v>
      </c>
      <c r="G112" s="89">
        <f t="shared" ref="G112:G113" si="228">IF(F47=0,"",G47/F47-1)</f>
        <v>-5.3193959432350169E-2</v>
      </c>
      <c r="H112" s="89">
        <f t="shared" ref="H112:H113" si="229">IF(G47=0,"",H47/G47-1)</f>
        <v>0.10268906667518207</v>
      </c>
      <c r="I112" s="89">
        <f t="shared" ref="I112:I113" si="230">IF(H47=0,"",I47/H47-1)</f>
        <v>0.13804293499402864</v>
      </c>
      <c r="J112" s="89">
        <f t="shared" ref="J112:J113" si="231">IF(I47=0,"",J47/I47-1)</f>
        <v>0.1029483667969</v>
      </c>
      <c r="K112" s="89">
        <f t="shared" ref="K112:K113" si="232">IF(J47=0,"",K47/J47-1)</f>
        <v>2.7541948619912882E-2</v>
      </c>
      <c r="L112" s="89">
        <f t="shared" ref="L112:L113" si="233">IF(K47=0,"",L47/K47-1)</f>
        <v>5.139391513210545E-2</v>
      </c>
      <c r="M112" s="89">
        <f t="shared" ref="M112:M113" si="234">IF(L47=0,"",M47/L47-1)</f>
        <v>3.856199749060063E-2</v>
      </c>
      <c r="N112" s="89">
        <f t="shared" ref="N112:N113" si="235">IF(M47=0,"",N47/M47-1)</f>
        <v>6.6781219134806058E-2</v>
      </c>
      <c r="O112" s="89">
        <f t="shared" ref="O112:O113" si="236">IF(N47=0,"",O47/N47-1)</f>
        <v>2.279763728892048E-2</v>
      </c>
      <c r="P112" s="89">
        <f t="shared" ref="P112:P113" si="237">IF(O47=0,"",P47/O47-1)</f>
        <v>0.16175606530995412</v>
      </c>
      <c r="Q112" s="89">
        <f t="shared" ref="Q112:Q113" si="238">IF(P47=0,"",Q47/P47-1)</f>
        <v>-8.5472344476447026E-2</v>
      </c>
      <c r="R112" s="89">
        <f t="shared" ref="R112:R113" si="239">IF(Q47=0,"",R47/Q47-1)</f>
        <v>0.12239287763187878</v>
      </c>
      <c r="S112" s="89">
        <f t="shared" ref="S112:S113" si="240">IF(R47=0,"",S47/R47-1)</f>
        <v>-1.9805395136778259E-2</v>
      </c>
      <c r="T112" s="89">
        <f t="shared" ref="T112:T113" si="241">IF(S47=0,"",T47/S47-1)</f>
        <v>0.1671019728927452</v>
      </c>
      <c r="U112" s="89">
        <f t="shared" ref="U112:U113" si="242">IF(T47=0,"",U47/T47-1)</f>
        <v>2.3208843080304353E-2</v>
      </c>
      <c r="V112" s="89">
        <f t="shared" ref="V112:V113" si="243">IF(U47=0,"",V47/U47-1)</f>
        <v>-3.5502553449611063E-2</v>
      </c>
      <c r="W112" s="89">
        <f t="shared" ref="W112:W113" si="244">IF(V47=0,"",W47/V47-1)</f>
        <v>7.5809541472466879E-3</v>
      </c>
      <c r="X112" s="89">
        <f t="shared" ref="X112:X113" si="245">IF(W47=0,"",X47/W47-1)</f>
        <v>-5.7409739591874898E-2</v>
      </c>
      <c r="Y112" s="89">
        <f t="shared" ref="Y112:Y113" si="246">IF(X47=0,"",Y47/X47-1)</f>
        <v>-4.1615932932620781E-2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-1.375165221998953E-2</v>
      </c>
      <c r="F113" s="89">
        <f t="shared" si="227"/>
        <v>-3.51298713639836E-2</v>
      </c>
      <c r="G113" s="89">
        <f t="shared" si="228"/>
        <v>-3.0947397743856797E-3</v>
      </c>
      <c r="H113" s="89">
        <f t="shared" si="229"/>
        <v>4.6136307875475291E-2</v>
      </c>
      <c r="I113" s="89">
        <f t="shared" si="230"/>
        <v>0.1016267941447051</v>
      </c>
      <c r="J113" s="89">
        <f t="shared" si="231"/>
        <v>6.5333673212517374E-2</v>
      </c>
      <c r="K113" s="89">
        <f t="shared" si="232"/>
        <v>5.4267638579245325E-2</v>
      </c>
      <c r="L113" s="89">
        <f t="shared" si="233"/>
        <v>-4.6966288066355166E-2</v>
      </c>
      <c r="M113" s="89">
        <f t="shared" si="234"/>
        <v>-0.27492632660831773</v>
      </c>
      <c r="N113" s="89">
        <f t="shared" si="235"/>
        <v>5.3918022153477629E-2</v>
      </c>
      <c r="O113" s="89">
        <f t="shared" si="236"/>
        <v>0.10799694400619919</v>
      </c>
      <c r="P113" s="89">
        <f t="shared" si="237"/>
        <v>-7.4254682329882971E-2</v>
      </c>
      <c r="Q113" s="89">
        <f t="shared" si="238"/>
        <v>-3.9481248507683864E-2</v>
      </c>
      <c r="R113" s="89">
        <f t="shared" si="239"/>
        <v>-7.2613255668655396E-2</v>
      </c>
      <c r="S113" s="89">
        <f t="shared" si="240"/>
        <v>-3.8163018500486978E-2</v>
      </c>
      <c r="T113" s="89">
        <f t="shared" si="241"/>
        <v>4.5502502906184406E-2</v>
      </c>
      <c r="U113" s="89">
        <f t="shared" si="242"/>
        <v>6.0966739117624291E-2</v>
      </c>
      <c r="V113" s="89">
        <f t="shared" si="243"/>
        <v>2.6312216984138104E-2</v>
      </c>
      <c r="W113" s="89">
        <f t="shared" si="244"/>
        <v>-2.3729308484312539E-2</v>
      </c>
      <c r="X113" s="89">
        <f t="shared" si="245"/>
        <v>-6.1890653188033662E-2</v>
      </c>
      <c r="Y113" s="89">
        <f t="shared" si="246"/>
        <v>-9.7493617120101961E-2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-6.41292088820411E-3</v>
      </c>
      <c r="F114" s="89">
        <f t="shared" ref="F114:F115" si="248">IF(E52=0,"",F52/E52-1)</f>
        <v>-0.13177584210457194</v>
      </c>
      <c r="G114" s="89">
        <f t="shared" ref="G114:G115" si="249">IF(F52=0,"",G52/F52-1)</f>
        <v>-0.13503221336155924</v>
      </c>
      <c r="H114" s="89">
        <f t="shared" ref="H114:H115" si="250">IF(G52=0,"",H52/G52-1)</f>
        <v>-1.32820782532026E-2</v>
      </c>
      <c r="I114" s="89">
        <f t="shared" ref="I114:I115" si="251">IF(H52=0,"",I52/H52-1)</f>
        <v>-0.1277857144726825</v>
      </c>
      <c r="J114" s="89">
        <f t="shared" ref="J114:J115" si="252">IF(I52=0,"",J52/I52-1)</f>
        <v>6.9635847689778929E-2</v>
      </c>
      <c r="K114" s="89">
        <f t="shared" ref="K114:K115" si="253">IF(J52=0,"",K52/J52-1)</f>
        <v>-5.5027238770361642E-2</v>
      </c>
      <c r="L114" s="89">
        <f t="shared" ref="L114:L115" si="254">IF(K52=0,"",L52/K52-1)</f>
        <v>-0.16107896905217911</v>
      </c>
      <c r="M114" s="89">
        <f t="shared" ref="M114:M115" si="255">IF(L52=0,"",M52/L52-1)</f>
        <v>-0.32283738772633952</v>
      </c>
      <c r="N114" s="89">
        <f t="shared" ref="N114:N115" si="256">IF(M52=0,"",N52/M52-1)</f>
        <v>0.33170785754377841</v>
      </c>
      <c r="O114" s="89">
        <f t="shared" ref="O114:O115" si="257">IF(N52=0,"",O52/N52-1)</f>
        <v>-3.414088000910398E-2</v>
      </c>
      <c r="P114" s="89">
        <f t="shared" ref="P114:P115" si="258">IF(O52=0,"",P52/O52-1)</f>
        <v>-9.6089526373013379E-2</v>
      </c>
      <c r="Q114" s="89">
        <f t="shared" ref="Q114:Q115" si="259">IF(P52=0,"",Q52/P52-1)</f>
        <v>-6.1883706754725432E-2</v>
      </c>
      <c r="R114" s="89">
        <f t="shared" ref="R114:R115" si="260">IF(Q52=0,"",R52/Q52-1)</f>
        <v>1.2119685741288633E-2</v>
      </c>
      <c r="S114" s="89">
        <f t="shared" ref="S114:S115" si="261">IF(R52=0,"",S52/R52-1)</f>
        <v>5.2333857988165589E-2</v>
      </c>
      <c r="T114" s="89">
        <f t="shared" ref="T114:T115" si="262">IF(S52=0,"",T52/S52-1)</f>
        <v>-1.9747448228892073E-2</v>
      </c>
      <c r="U114" s="89">
        <f t="shared" ref="U114:U115" si="263">IF(T52=0,"",U52/T52-1)</f>
        <v>3.4605376089567486E-2</v>
      </c>
      <c r="V114" s="89">
        <f t="shared" ref="V114:V115" si="264">IF(U52=0,"",V52/U52-1)</f>
        <v>6.2564646714116101E-2</v>
      </c>
      <c r="W114" s="89">
        <f t="shared" ref="W114:W115" si="265">IF(V52=0,"",W52/V52-1)</f>
        <v>-8.3637552103926316E-2</v>
      </c>
      <c r="X114" s="89">
        <f t="shared" ref="X114:X115" si="266">IF(W52=0,"",X52/W52-1)</f>
        <v>-0.22359260607006415</v>
      </c>
      <c r="Y114" s="89">
        <f t="shared" ref="Y114:Y115" si="267">IF(X52=0,"",Y52/X52-1)</f>
        <v>0.19543714982118843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-1.554594461700376E-2</v>
      </c>
      <c r="F115" s="89">
        <f t="shared" si="248"/>
        <v>-0.14073195857145748</v>
      </c>
      <c r="G115" s="89">
        <f t="shared" si="249"/>
        <v>-0.13509712835668719</v>
      </c>
      <c r="H115" s="89">
        <f t="shared" si="250"/>
        <v>-9.3689407717779671E-3</v>
      </c>
      <c r="I115" s="89">
        <f t="shared" si="251"/>
        <v>-0.15839643136521919</v>
      </c>
      <c r="J115" s="89">
        <f t="shared" si="252"/>
        <v>8.6523675929909283E-2</v>
      </c>
      <c r="K115" s="89">
        <f t="shared" si="253"/>
        <v>-6.1158050155042387E-2</v>
      </c>
      <c r="L115" s="89">
        <f t="shared" si="254"/>
        <v>-0.18541975703221414</v>
      </c>
      <c r="M115" s="89">
        <f t="shared" si="255"/>
        <v>-0.36275402952504532</v>
      </c>
      <c r="N115" s="89">
        <f t="shared" si="256"/>
        <v>0.43948840799072197</v>
      </c>
      <c r="O115" s="89">
        <f t="shared" si="257"/>
        <v>-2.1698939167615228E-2</v>
      </c>
      <c r="P115" s="89">
        <f t="shared" si="258"/>
        <v>-0.1098510757476221</v>
      </c>
      <c r="Q115" s="89">
        <f t="shared" si="259"/>
        <v>-4.5464497175546792E-2</v>
      </c>
      <c r="R115" s="89">
        <f t="shared" si="260"/>
        <v>2.8413080022791748E-2</v>
      </c>
      <c r="S115" s="89">
        <f t="shared" si="261"/>
        <v>6.5156955161626673E-2</v>
      </c>
      <c r="T115" s="89">
        <f t="shared" si="262"/>
        <v>-5.2907394987410372E-3</v>
      </c>
      <c r="U115" s="89">
        <f t="shared" si="263"/>
        <v>4.7729848082012971E-2</v>
      </c>
      <c r="V115" s="89">
        <f t="shared" si="264"/>
        <v>8.13978310348904E-2</v>
      </c>
      <c r="W115" s="89">
        <f t="shared" si="265"/>
        <v>-8.7690739466796064E-2</v>
      </c>
      <c r="X115" s="89">
        <f t="shared" si="266"/>
        <v>-0.23525239256901487</v>
      </c>
      <c r="Y115" s="89">
        <f t="shared" si="267"/>
        <v>0.22497609779131311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5.5671737994617221E-2</v>
      </c>
      <c r="F116" s="89">
        <f t="shared" ref="F116:F122" si="269">IF(E56=0,"",F56/E56-1)</f>
        <v>-7.5000991087420421E-2</v>
      </c>
      <c r="G116" s="89">
        <f t="shared" ref="G116:G122" si="270">IF(F56=0,"",G56/F56-1)</f>
        <v>-0.13464994470385938</v>
      </c>
      <c r="H116" s="89">
        <f t="shared" ref="H116:H122" si="271">IF(G56=0,"",H56/G56-1)</f>
        <v>-3.6313687429587849E-2</v>
      </c>
      <c r="I116" s="89">
        <f t="shared" ref="I116:I122" si="272">IF(H56=0,"",I56/H56-1)</f>
        <v>5.7417673206742847E-2</v>
      </c>
      <c r="J116" s="89">
        <f t="shared" ref="J116:J122" si="273">IF(I56=0,"",J56/I56-1)</f>
        <v>-1.1686560812105062E-2</v>
      </c>
      <c r="K116" s="89">
        <f t="shared" ref="K116:K122" si="274">IF(J56=0,"",K56/J56-1)</f>
        <v>-2.2570948579020311E-2</v>
      </c>
      <c r="L116" s="89">
        <f t="shared" ref="L116:L122" si="275">IF(K56=0,"",L56/K56-1)</f>
        <v>-3.7306857624288647E-2</v>
      </c>
      <c r="M116" s="89">
        <f t="shared" ref="M116:M122" si="276">IF(L56=0,"",M56/L56-1)</f>
        <v>-0.15109078419769739</v>
      </c>
      <c r="N116" s="89">
        <f t="shared" ref="N116:N122" si="277">IF(M56=0,"",N56/M56-1)</f>
        <v>-1.6405274950002657E-2</v>
      </c>
      <c r="O116" s="89">
        <f t="shared" ref="O116:O122" si="278">IF(N56=0,"",O56/N56-1)</f>
        <v>-9.2952091116326074E-2</v>
      </c>
      <c r="P116" s="89">
        <f t="shared" ref="P116:P122" si="279">IF(O56=0,"",P56/O56-1)</f>
        <v>-2.5930812090482203E-2</v>
      </c>
      <c r="Q116" s="89">
        <f t="shared" ref="Q116:Q122" si="280">IF(P56=0,"",Q56/P56-1)</f>
        <v>-0.13837982555573292</v>
      </c>
      <c r="R116" s="89">
        <f t="shared" ref="R116:R122" si="281">IF(Q56=0,"",R56/Q56-1)</f>
        <v>-7.1976238589696262E-2</v>
      </c>
      <c r="S116" s="89">
        <f t="shared" ref="S116:S122" si="282">IF(R56=0,"",S56/R56-1)</f>
        <v>-2.1010178926441525E-2</v>
      </c>
      <c r="T116" s="89">
        <f t="shared" ref="T116:T122" si="283">IF(S56=0,"",T56/S56-1)</f>
        <v>-0.10971310176074867</v>
      </c>
      <c r="U116" s="89">
        <f t="shared" ref="U116:U122" si="284">IF(T56=0,"",U56/T56-1)</f>
        <v>-5.6649341925020691E-2</v>
      </c>
      <c r="V116" s="89">
        <f t="shared" ref="V116:V122" si="285">IF(U56=0,"",V56/U56-1)</f>
        <v>-8.2871849617133564E-2</v>
      </c>
      <c r="W116" s="89">
        <f t="shared" ref="W116:W122" si="286">IF(V56=0,"",W56/V56-1)</f>
        <v>-4.6731142548550042E-2</v>
      </c>
      <c r="X116" s="89">
        <f t="shared" ref="X116:X122" si="287">IF(W56=0,"",X56/W56-1)</f>
        <v>-0.1219858951506364</v>
      </c>
      <c r="Y116" s="89">
        <f t="shared" ref="Y116:Y122" si="288">IF(X56=0,"",Y56/X56-1)</f>
        <v>-2.8766900033449727E-2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0.16342784300727575</v>
      </c>
      <c r="F117" s="89">
        <f t="shared" si="269"/>
        <v>5.8510492448803797E-2</v>
      </c>
      <c r="G117" s="89">
        <f t="shared" si="270"/>
        <v>-5.1417731629394003E-3</v>
      </c>
      <c r="H117" s="89">
        <f t="shared" si="271"/>
        <v>-4.0216886181619116E-2</v>
      </c>
      <c r="I117" s="89">
        <f t="shared" si="272"/>
        <v>6.4085379711602553E-3</v>
      </c>
      <c r="J117" s="89">
        <f t="shared" si="273"/>
        <v>-3.9468349521408652E-2</v>
      </c>
      <c r="K117" s="89">
        <f t="shared" si="274"/>
        <v>3.9750596067137378E-2</v>
      </c>
      <c r="L117" s="89">
        <f t="shared" si="275"/>
        <v>-1.1585061795506446E-2</v>
      </c>
      <c r="M117" s="89">
        <f t="shared" si="276"/>
        <v>8.4471229226756206E-2</v>
      </c>
      <c r="N117" s="89">
        <f t="shared" si="277"/>
        <v>-7.2888692183359916E-2</v>
      </c>
      <c r="O117" s="89">
        <f t="shared" si="278"/>
        <v>-3.2481922949274211E-2</v>
      </c>
      <c r="P117" s="89">
        <f t="shared" si="279"/>
        <v>4.7957749865310539E-3</v>
      </c>
      <c r="Q117" s="89">
        <f t="shared" si="280"/>
        <v>-2.2149771238821225E-2</v>
      </c>
      <c r="R117" s="89">
        <f t="shared" si="281"/>
        <v>-3.2723789839095074E-2</v>
      </c>
      <c r="S117" s="89">
        <f t="shared" si="282"/>
        <v>-3.019018154311659E-2</v>
      </c>
      <c r="T117" s="89">
        <f t="shared" si="283"/>
        <v>-1.3939627202931737E-2</v>
      </c>
      <c r="U117" s="89">
        <f t="shared" si="284"/>
        <v>4.4139752571319857E-2</v>
      </c>
      <c r="V117" s="89">
        <f t="shared" si="285"/>
        <v>-1.1991034485818508E-2</v>
      </c>
      <c r="W117" s="89">
        <f t="shared" si="286"/>
        <v>2.7943069749805538E-2</v>
      </c>
      <c r="X117" s="89">
        <f t="shared" si="287"/>
        <v>1.4670761945514643E-2</v>
      </c>
      <c r="Y117" s="89">
        <f t="shared" si="288"/>
        <v>-3.2034476301914916E-2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0.15598392628394286</v>
      </c>
      <c r="F118" s="89">
        <f t="shared" si="269"/>
        <v>0.11464239933874887</v>
      </c>
      <c r="G118" s="89">
        <f t="shared" si="270"/>
        <v>-3.531670099898998E-2</v>
      </c>
      <c r="H118" s="89">
        <f t="shared" si="271"/>
        <v>-0.17671147225096784</v>
      </c>
      <c r="I118" s="89">
        <f t="shared" si="272"/>
        <v>0.1151381074428961</v>
      </c>
      <c r="J118" s="89">
        <f t="shared" si="273"/>
        <v>5.509577376232544E-2</v>
      </c>
      <c r="K118" s="89">
        <f t="shared" si="274"/>
        <v>-3.8435132914691361E-2</v>
      </c>
      <c r="L118" s="89">
        <f t="shared" si="275"/>
        <v>1.8457268220736234E-2</v>
      </c>
      <c r="M118" s="89">
        <f t="shared" si="276"/>
        <v>-0.29947394901400703</v>
      </c>
      <c r="N118" s="89">
        <f t="shared" si="277"/>
        <v>-9.1451084942418825E-3</v>
      </c>
      <c r="O118" s="89">
        <f t="shared" si="278"/>
        <v>0.13087039524172828</v>
      </c>
      <c r="P118" s="89">
        <f t="shared" si="279"/>
        <v>-5.2427699522886395E-2</v>
      </c>
      <c r="Q118" s="89">
        <f t="shared" si="280"/>
        <v>1.6566778379867531E-2</v>
      </c>
      <c r="R118" s="89">
        <f t="shared" si="281"/>
        <v>-5.5486877357740383E-2</v>
      </c>
      <c r="S118" s="89">
        <f t="shared" si="282"/>
        <v>-1.7938925714285792E-2</v>
      </c>
      <c r="T118" s="89">
        <f t="shared" si="283"/>
        <v>0.20527455538038009</v>
      </c>
      <c r="U118" s="89">
        <f t="shared" si="284"/>
        <v>1.5785990954633178E-3</v>
      </c>
      <c r="V118" s="89">
        <f t="shared" si="285"/>
        <v>8.2240962055073918E-2</v>
      </c>
      <c r="W118" s="89">
        <f t="shared" si="286"/>
        <v>-8.3140030932501996E-2</v>
      </c>
      <c r="X118" s="89">
        <f t="shared" si="287"/>
        <v>-1.2855922079040627E-2</v>
      </c>
      <c r="Y118" s="89">
        <f t="shared" si="288"/>
        <v>4.3460020908339558E-2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-5.0566966102211119E-2</v>
      </c>
      <c r="F119" s="89">
        <f t="shared" si="269"/>
        <v>2.7319148804906046E-2</v>
      </c>
      <c r="G119" s="89">
        <f t="shared" si="270"/>
        <v>1.0998793633362869E-2</v>
      </c>
      <c r="H119" s="89">
        <f t="shared" si="271"/>
        <v>4.2528151109453294E-3</v>
      </c>
      <c r="I119" s="89">
        <f t="shared" si="272"/>
        <v>5.831992615038617E-2</v>
      </c>
      <c r="J119" s="89">
        <f t="shared" si="273"/>
        <v>8.3508704419364976E-2</v>
      </c>
      <c r="K119" s="89">
        <f t="shared" si="274"/>
        <v>0.11583462039578252</v>
      </c>
      <c r="L119" s="89">
        <f t="shared" si="275"/>
        <v>-1.5262520889834041E-2</v>
      </c>
      <c r="M119" s="89">
        <f t="shared" si="276"/>
        <v>-0.2939272639683731</v>
      </c>
      <c r="N119" s="89">
        <f t="shared" si="277"/>
        <v>-4.4345024325920246E-4</v>
      </c>
      <c r="O119" s="89">
        <f t="shared" si="278"/>
        <v>-5.922801448890358E-2</v>
      </c>
      <c r="P119" s="89">
        <f t="shared" si="279"/>
        <v>-0.20893989588678319</v>
      </c>
      <c r="Q119" s="89">
        <f t="shared" si="280"/>
        <v>3.9456224592615774E-2</v>
      </c>
      <c r="R119" s="89">
        <f t="shared" si="281"/>
        <v>1.1888202619986465E-2</v>
      </c>
      <c r="S119" s="89">
        <f t="shared" si="282"/>
        <v>-7.4777424433249973E-3</v>
      </c>
      <c r="T119" s="89">
        <f t="shared" si="283"/>
        <v>1.8809220356921008E-2</v>
      </c>
      <c r="U119" s="89">
        <f t="shared" si="284"/>
        <v>7.0130418068583333E-2</v>
      </c>
      <c r="V119" s="89">
        <f t="shared" si="285"/>
        <v>-7.0429511540565648E-2</v>
      </c>
      <c r="W119" s="89">
        <f t="shared" si="286"/>
        <v>2.7274228804192946E-2</v>
      </c>
      <c r="X119" s="89">
        <f t="shared" si="287"/>
        <v>3.6651959763982722E-2</v>
      </c>
      <c r="Y119" s="89">
        <f t="shared" si="288"/>
        <v>3.3622264107556532E-2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-2.9801313530559481E-2</v>
      </c>
      <c r="F120" s="89">
        <f t="shared" si="269"/>
        <v>7.730692668094008E-3</v>
      </c>
      <c r="G120" s="89">
        <f t="shared" si="270"/>
        <v>-7.0792316050664161E-2</v>
      </c>
      <c r="H120" s="89">
        <f t="shared" si="271"/>
        <v>-2.149382110347331E-2</v>
      </c>
      <c r="I120" s="89">
        <f t="shared" si="272"/>
        <v>-1.7569958843586253E-3</v>
      </c>
      <c r="J120" s="89">
        <f t="shared" si="273"/>
        <v>2.694043545107383E-2</v>
      </c>
      <c r="K120" s="89">
        <f t="shared" si="274"/>
        <v>-9.3018466588557724E-2</v>
      </c>
      <c r="L120" s="89">
        <f t="shared" si="275"/>
        <v>3.6999198497889019E-3</v>
      </c>
      <c r="M120" s="89">
        <f t="shared" si="276"/>
        <v>-0.15905481420065903</v>
      </c>
      <c r="N120" s="89">
        <f t="shared" si="277"/>
        <v>-2.1800079705230457E-2</v>
      </c>
      <c r="O120" s="89">
        <f t="shared" si="278"/>
        <v>-2.8368759012436073E-2</v>
      </c>
      <c r="P120" s="89">
        <f t="shared" si="279"/>
        <v>-5.1885049963945273E-2</v>
      </c>
      <c r="Q120" s="89">
        <f t="shared" si="280"/>
        <v>-0.12363647420856994</v>
      </c>
      <c r="R120" s="89">
        <f t="shared" si="281"/>
        <v>-8.25104658563941E-2</v>
      </c>
      <c r="S120" s="89">
        <f t="shared" si="282"/>
        <v>-3.4067021276595888E-3</v>
      </c>
      <c r="T120" s="89">
        <f t="shared" si="283"/>
        <v>6.7881287406271751E-2</v>
      </c>
      <c r="U120" s="89">
        <f t="shared" si="284"/>
        <v>-5.2160986412341792E-4</v>
      </c>
      <c r="V120" s="89">
        <f t="shared" si="285"/>
        <v>-2.7803119757002337E-2</v>
      </c>
      <c r="W120" s="89">
        <f t="shared" si="286"/>
        <v>-4.3526877481485871E-2</v>
      </c>
      <c r="X120" s="89">
        <f t="shared" si="287"/>
        <v>4.22163550779735E-2</v>
      </c>
      <c r="Y120" s="89">
        <f t="shared" si="288"/>
        <v>3.9714364492178023E-2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4.4909355172324528E-3</v>
      </c>
      <c r="F121" s="89">
        <f t="shared" si="269"/>
        <v>-1.6728795790658335E-2</v>
      </c>
      <c r="G121" s="89">
        <f t="shared" si="270"/>
        <v>-1.4681509584664632E-2</v>
      </c>
      <c r="H121" s="89">
        <f t="shared" si="271"/>
        <v>-4.9052557587525913E-2</v>
      </c>
      <c r="I121" s="89">
        <f t="shared" si="272"/>
        <v>-1.9711006749747795E-2</v>
      </c>
      <c r="J121" s="89">
        <f t="shared" si="273"/>
        <v>0.11053699019656449</v>
      </c>
      <c r="K121" s="89">
        <f t="shared" si="274"/>
        <v>0.12775396069208367</v>
      </c>
      <c r="L121" s="89">
        <f t="shared" si="275"/>
        <v>-0.29318056125572733</v>
      </c>
      <c r="M121" s="89">
        <f t="shared" si="276"/>
        <v>-0.33402306188511222</v>
      </c>
      <c r="N121" s="89">
        <f t="shared" si="277"/>
        <v>0.39480279408711683</v>
      </c>
      <c r="O121" s="89">
        <f t="shared" si="278"/>
        <v>-8.8536826281338632E-2</v>
      </c>
      <c r="P121" s="89">
        <f t="shared" si="279"/>
        <v>-9.476678704575614E-2</v>
      </c>
      <c r="Q121" s="89">
        <f t="shared" si="280"/>
        <v>5.5414976558068263E-2</v>
      </c>
      <c r="R121" s="89">
        <f t="shared" si="281"/>
        <v>1.4685315188385673E-2</v>
      </c>
      <c r="S121" s="89">
        <f t="shared" si="282"/>
        <v>-2.2332527105921707E-2</v>
      </c>
      <c r="T121" s="89">
        <f t="shared" si="283"/>
        <v>2.158365295472997E-2</v>
      </c>
      <c r="U121" s="89">
        <f t="shared" si="284"/>
        <v>7.913098086204573E-2</v>
      </c>
      <c r="V121" s="89">
        <f t="shared" si="285"/>
        <v>1.4743412741229367E-2</v>
      </c>
      <c r="W121" s="89">
        <f t="shared" si="286"/>
        <v>-0.11623973025927614</v>
      </c>
      <c r="X121" s="89">
        <f t="shared" si="287"/>
        <v>-5.3969669264254061E-2</v>
      </c>
      <c r="Y121" s="89">
        <f t="shared" si="288"/>
        <v>0.8255441692324188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3.4224969101446234E-3</v>
      </c>
      <c r="F122" s="91">
        <f t="shared" si="269"/>
        <v>-3.334288226599158E-2</v>
      </c>
      <c r="G122" s="91">
        <f t="shared" si="270"/>
        <v>-4.1731986277225075E-2</v>
      </c>
      <c r="H122" s="91">
        <f t="shared" si="271"/>
        <v>7.2973377446591048E-2</v>
      </c>
      <c r="I122" s="91">
        <f t="shared" si="272"/>
        <v>-8.4920023908226838E-2</v>
      </c>
      <c r="J122" s="91">
        <f t="shared" si="273"/>
        <v>4.1958825542633305E-2</v>
      </c>
      <c r="K122" s="91">
        <f t="shared" si="274"/>
        <v>1.5096658580773026E-2</v>
      </c>
      <c r="L122" s="91">
        <f t="shared" si="275"/>
        <v>-0.10018953938661157</v>
      </c>
      <c r="M122" s="91">
        <f t="shared" si="276"/>
        <v>-0.19442580563427525</v>
      </c>
      <c r="N122" s="91">
        <f t="shared" si="277"/>
        <v>-7.0507086260125362E-3</v>
      </c>
      <c r="O122" s="91">
        <f t="shared" si="278"/>
        <v>5.1300108039406878E-2</v>
      </c>
      <c r="P122" s="91">
        <f t="shared" si="279"/>
        <v>-2.9093000171161898E-2</v>
      </c>
      <c r="Q122" s="91">
        <f t="shared" si="280"/>
        <v>-0.11742422701540345</v>
      </c>
      <c r="R122" s="91">
        <f t="shared" si="281"/>
        <v>-6.6116514308226515E-3</v>
      </c>
      <c r="S122" s="91">
        <f t="shared" si="282"/>
        <v>-7.3159168241966333E-3</v>
      </c>
      <c r="T122" s="91">
        <f t="shared" si="283"/>
        <v>3.593846082280594E-2</v>
      </c>
      <c r="U122" s="91">
        <f t="shared" si="284"/>
        <v>-3.0469623377961108E-3</v>
      </c>
      <c r="V122" s="91">
        <f t="shared" si="285"/>
        <v>2.0346688790776835E-2</v>
      </c>
      <c r="W122" s="91">
        <f t="shared" si="286"/>
        <v>-1.0582912297151248E-2</v>
      </c>
      <c r="X122" s="91">
        <f t="shared" si="287"/>
        <v>-4.5992791955580148E-2</v>
      </c>
      <c r="Y122" s="91">
        <f t="shared" si="288"/>
        <v>4.1349949653828322E-2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21A1F1-F157-4D1A-9B29-40B1084AF66A}"/>
</file>

<file path=customXml/itemProps2.xml><?xml version="1.0" encoding="utf-8"?>
<ds:datastoreItem xmlns:ds="http://schemas.openxmlformats.org/officeDocument/2006/customXml" ds:itemID="{9DD391F5-26E7-45D7-BCFB-D5810FA1C7C1}"/>
</file>

<file path=customXml/itemProps3.xml><?xml version="1.0" encoding="utf-8"?>
<ds:datastoreItem xmlns:ds="http://schemas.openxmlformats.org/officeDocument/2006/customXml" ds:itemID="{DF9320B1-466C-407D-96B2-E566A1F905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2024-05-20T16:49:56Z</dcterms:created>
  <dcterms:modified xsi:type="dcterms:W3CDTF">2024-05-20T16:49:56Z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