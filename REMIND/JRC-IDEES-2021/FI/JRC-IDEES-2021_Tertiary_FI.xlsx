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I7" i="29" s="1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P4" i="29" s="1"/>
  <c r="O12" i="29"/>
  <c r="O4" i="29" s="1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E12" i="29"/>
  <c r="D12" i="29"/>
  <c r="D11" i="29" s="1"/>
  <c r="T9" i="29"/>
  <c r="S9" i="29"/>
  <c r="R9" i="29"/>
  <c r="L9" i="29"/>
  <c r="K9" i="29"/>
  <c r="J9" i="29"/>
  <c r="D9" i="29"/>
  <c r="W8" i="29"/>
  <c r="V8" i="29"/>
  <c r="P8" i="29"/>
  <c r="O8" i="29"/>
  <c r="N8" i="29"/>
  <c r="H8" i="29"/>
  <c r="G8" i="29"/>
  <c r="F8" i="29"/>
  <c r="T7" i="29"/>
  <c r="S7" i="29"/>
  <c r="R7" i="29"/>
  <c r="L7" i="29"/>
  <c r="K7" i="29"/>
  <c r="J7" i="29"/>
  <c r="G7" i="29"/>
  <c r="D7" i="29"/>
  <c r="W6" i="29"/>
  <c r="V6" i="29"/>
  <c r="P6" i="29"/>
  <c r="O6" i="29"/>
  <c r="N6" i="29"/>
  <c r="H6" i="29"/>
  <c r="G6" i="29"/>
  <c r="F6" i="29"/>
  <c r="T5" i="29"/>
  <c r="S5" i="29"/>
  <c r="R5" i="29"/>
  <c r="K5" i="29"/>
  <c r="J5" i="29"/>
  <c r="D5" i="29"/>
  <c r="W4" i="29"/>
  <c r="V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U11" i="29"/>
  <c r="N11" i="29"/>
  <c r="V11" i="29"/>
  <c r="U8" i="29"/>
  <c r="W11" i="29"/>
  <c r="K11" i="29"/>
  <c r="G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W3" i="8"/>
  <c r="W3" i="29"/>
  <c r="U19" i="25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L90" i="6" l="1"/>
  <c r="O56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9" i="13" l="1"/>
  <c r="K19" i="12"/>
  <c r="E16" i="23"/>
  <c r="P29" i="13"/>
  <c r="H29" i="23"/>
  <c r="C16" i="13"/>
  <c r="H29" i="24"/>
  <c r="G19" i="23"/>
  <c r="G19" i="26" s="1"/>
  <c r="F29" i="24"/>
  <c r="C16" i="12"/>
  <c r="C16" i="15" s="1"/>
  <c r="L19" i="24"/>
  <c r="C4" i="24"/>
  <c r="G16" i="12"/>
  <c r="G29" i="12"/>
  <c r="E4" i="13"/>
  <c r="E19" i="24"/>
  <c r="E19" i="27" s="1"/>
  <c r="G19" i="24"/>
  <c r="I4" i="23"/>
  <c r="I4" i="26" s="1"/>
  <c r="F16" i="12"/>
  <c r="O29" i="13"/>
  <c r="K4" i="24"/>
  <c r="C17" i="16"/>
  <c r="D16" i="14"/>
  <c r="D16" i="17" s="1"/>
  <c r="O4" i="13"/>
  <c r="O4" i="16" s="1"/>
  <c r="O29" i="12"/>
  <c r="G16" i="13"/>
  <c r="G16" i="16" s="1"/>
  <c r="N29" i="23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F19" i="12"/>
  <c r="M16" i="24"/>
  <c r="J4" i="23"/>
  <c r="J4" i="26" s="1"/>
  <c r="P19" i="12"/>
  <c r="P19" i="15" s="1"/>
  <c r="H4" i="24"/>
  <c r="H4" i="27" s="1"/>
  <c r="M4" i="12"/>
  <c r="O19" i="24"/>
  <c r="P16" i="24"/>
  <c r="L19" i="13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D4" i="13"/>
  <c r="N16" i="12"/>
  <c r="N16" i="15" s="1"/>
  <c r="E16" i="12"/>
  <c r="E16" i="15" s="1"/>
  <c r="I16" i="14"/>
  <c r="I16" i="17" s="1"/>
  <c r="Q4" i="23"/>
  <c r="J29" i="24"/>
  <c r="P16" i="13"/>
  <c r="C29" i="12"/>
  <c r="G16" i="24"/>
  <c r="I4" i="12"/>
  <c r="I4" i="15" s="1"/>
  <c r="L16" i="13"/>
  <c r="L16" i="16" s="1"/>
  <c r="B29" i="13"/>
  <c r="B29" i="16" s="1"/>
  <c r="L4" i="24"/>
  <c r="Q29" i="23"/>
  <c r="G16" i="25"/>
  <c r="Q4" i="24"/>
  <c r="D4" i="23"/>
  <c r="C29" i="13"/>
  <c r="C29" i="16" s="1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4" i="4"/>
  <c r="B7" i="4"/>
  <c r="B21" i="4"/>
  <c r="B28" i="4"/>
  <c r="B30" i="4"/>
  <c r="B14" i="4"/>
  <c r="B27" i="4"/>
  <c r="B45" i="4"/>
  <c r="B8" i="4"/>
  <c r="B15" i="4"/>
  <c r="B13" i="4"/>
  <c r="B4" i="4"/>
  <c r="B22" i="4"/>
  <c r="B10" i="4"/>
  <c r="B17" i="4"/>
  <c r="B20" i="4"/>
  <c r="B34" i="4"/>
  <c r="B37" i="4"/>
  <c r="B42" i="4"/>
  <c r="B38" i="4"/>
  <c r="B25" i="4"/>
  <c r="B16" i="4"/>
  <c r="B35" i="4"/>
  <c r="B23" i="4"/>
  <c r="B36" i="4"/>
  <c r="B9" i="4"/>
  <c r="B29" i="4"/>
  <c r="B11" i="4"/>
  <c r="B26" i="4"/>
  <c r="B43" i="4"/>
  <c r="B33" i="4"/>
  <c r="B12" i="4"/>
  <c r="B24" i="4"/>
  <c r="B39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<sst xmlns="http://schemas.openxmlformats.org/spreadsheetml/2006/main" count="2099" uniqueCount="1055">
  <si>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</si>
  <si>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</si>
  <si>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</si>
  <si>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</si>
  <si>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</si>
  <si>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</si>
  <si>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</si>
  <si>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</si>
  <si>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</si>
  <si>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</si>
  <si>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</si>
  <si>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</si>
  <si>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</si>
  <si>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</si>
  <si>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</si>
  <si>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</si>
  <si>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</si>
  <si>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</si>
  <si>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</si>
  <si>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</si>
  <si>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</si>
  <si>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</si>
  <si>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</si>
  <si>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</si>
  <si>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</si>
  <si>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</si>
  <si>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</si>
  <si>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</si>
  <si>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</si>
  <si>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</si>
  <si>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</si>
  <si>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</si>
  <si>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</si>
  <si>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</si>
  <si>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</si>
  <si>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</si>
  <si>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</si>
  <si>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</si>
  <si>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</si>
  <si>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</si>
  <si>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</si>
  <si>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</si>
  <si>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</si>
  <si>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</si>
  <si>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</si>
  <si>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</si>
  <si>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</si>
  <si>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</si>
  <si>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</si>
  <si>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</si>
  <si>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</si>
  <si>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</si>
  <si>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</si>
  <si>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</si>
  <si>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</si>
  <si>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</si>
  <si>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</si>
  <si>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</si>
  <si>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</si>
  <si>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</si>
  <si>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</si>
  <si>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</si>
  <si>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</si>
  <si>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</si>
  <si>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</si>
  <si>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</si>
  <si>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</si>
  <si>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</si>
  <si>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</si>
  <si>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</si>
  <si>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</si>
  <si>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</si>
  <si>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</si>
  <si>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</si>
  <si>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</si>
  <si>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</si>
  <si>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</si>
  <si>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</si>
  <si>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</si>
  <si>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</si>
  <si>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</si>
  <si>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</si>
  <si>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</si>
  <si>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</si>
  <si>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</si>
  <si>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</si>
  <si>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</si>
  <si>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</si>
  <si>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</si>
  <si>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</si>
  <si>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</si>
  <si>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</si>
  <si>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</si>
  <si>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</si>
  <si>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</si>
  <si>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</si>
  <si>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</si>
  <si>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</si>
  <si>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</si>
  <si>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</si>
  <si>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</si>
  <si>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</si>
  <si>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</si>
  <si>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</si>
  <si>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</si>
  <si>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</si>
  <si>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</si>
  <si>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</si>
  <si>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</si>
  <si>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</si>
  <si>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</si>
  <si>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</si>
  <si>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</si>
  <si>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</si>
  <si>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</si>
  <si>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</si>
  <si>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</si>
  <si>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</si>
  <si>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</si>
  <si>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</si>
  <si>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</si>
  <si>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</si>
  <si>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</si>
  <si>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</si>
  <si>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</si>
  <si>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</si>
  <si>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</si>
  <si>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</si>
  <si>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</si>
  <si>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</si>
  <si>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</si>
  <si>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</si>
  <si>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</si>
  <si>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</si>
  <si>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</si>
  <si>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</si>
  <si>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</si>
  <si>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</si>
  <si>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</si>
  <si>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</si>
  <si>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</si>
  <si>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</si>
  <si>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</si>
  <si>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</si>
  <si>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</si>
  <si>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</si>
  <si>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</si>
  <si>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</si>
  <si>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</si>
  <si>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</si>
  <si>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</si>
  <si>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</si>
  <si>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</si>
  <si>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</si>
  <si>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</si>
  <si>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</si>
  <si>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</si>
  <si>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</si>
  <si>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</si>
  <si>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</si>
  <si>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</si>
  <si>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</si>
  <si>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</si>
  <si>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</si>
  <si>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</si>
  <si>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</si>
  <si>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</si>
  <si>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</si>
  <si>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</si>
  <si>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</si>
  <si>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</si>
  <si>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</si>
  <si>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</si>
  <si>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</si>
  <si>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</si>
  <si>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</si>
  <si>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</si>
  <si>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</si>
  <si>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</si>
  <si>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</si>
  <si>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</si>
  <si>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</si>
  <si>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</si>
  <si>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</si>
  <si>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FI</t>
  </si>
  <si>
    <t>Finland</t>
  </si>
  <si>
    <t>FI - Services sector summary</t>
  </si>
  <si>
    <t>Macro.number.FI.Population</t>
  </si>
  <si>
    <t>Macro.Meuro2015.FI.GDP</t>
  </si>
  <si>
    <t>Macro.Meuro2015.FI.VA</t>
  </si>
  <si>
    <t>Macro.number.FI.Employees</t>
  </si>
  <si>
    <t>NUM.number.FI.Ser.Bld</t>
  </si>
  <si>
    <t>SurfaceArea.ksqm.FI.Ser.Bld</t>
  </si>
  <si>
    <t>NUM.number.FI.Ser.BldNew</t>
  </si>
  <si>
    <t>SurfaceArea.ksqm.FI.Ser.BldNew</t>
  </si>
  <si>
    <t>HDD.Celsius.FI.Actual</t>
  </si>
  <si>
    <t>HDD.Celsius.FI.Mean</t>
  </si>
  <si>
    <t>HDD.ratio.FI.Relative</t>
  </si>
  <si>
    <t>FEC.ktoe.FI.ES.Ser</t>
  </si>
  <si>
    <t>FEC.ktoe.FI.ES.Ser.Solids</t>
  </si>
  <si>
    <t>FEC.ktoe.FI.ES.Ser.LPG</t>
  </si>
  <si>
    <t>FEC.ktoe.FI.ES.Ser.Oil</t>
  </si>
  <si>
    <t>FEC.ktoe.FI.ES.Ser.NG</t>
  </si>
  <si>
    <t>FEC.ktoe.FI.ES.Ser.Biomass_Waste</t>
  </si>
  <si>
    <t>FEC.ktoe.FI.ES.Ser.Biogas</t>
  </si>
  <si>
    <t>FEC.ktoe.FI.ES.Ser.LiqBio</t>
  </si>
  <si>
    <t>FEC.ktoe.FI.ES.Ser.Solar</t>
  </si>
  <si>
    <t>FEC.ktoe.FI.ES.Ser.Geo</t>
  </si>
  <si>
    <t>FEC.ktoe.FI.ES.Ser.Ambient</t>
  </si>
  <si>
    <t>FEC.ktoe.FI.ES.Ser.Steam_Distr</t>
  </si>
  <si>
    <t>FEC.ktoe.FI.ES.Ser.Elec</t>
  </si>
  <si>
    <t>FEC.ktoe.FI.Ser</t>
  </si>
  <si>
    <t>FEC.ktoe.FI.Ser.Bld.Thermal</t>
  </si>
  <si>
    <t>FEC.ktoe.FI.Ser.Bld.Thermal.SH</t>
  </si>
  <si>
    <t>FEC.ktoe.FI.Ser.Bld.Thermal.SC</t>
  </si>
  <si>
    <t>FEC.ktoe.FI.Ser.Bld.Thermal.HW</t>
  </si>
  <si>
    <t>FEC.ktoe.FI.Ser.Bld.Thermal.CA</t>
  </si>
  <si>
    <t>FEC.ktoe.FI.Ser.SEU</t>
  </si>
  <si>
    <t>EMI.ktCO2.FI.ES.Ser</t>
  </si>
  <si>
    <t>EMI.ktCO2.FI.ES.Ser.Solids</t>
  </si>
  <si>
    <t>EMI.ktCO2.FI.ES.Ser.LPG</t>
  </si>
  <si>
    <t>EMI.ktCO2.FI.ES.Ser.Oil</t>
  </si>
  <si>
    <t>EMI.ktCO2.FI.ES.Ser.NG</t>
  </si>
  <si>
    <t>EMI.ktCO2.FI.ES.Ser.Biomass_Waste</t>
  </si>
  <si>
    <t>EMI.ktCO2.FI.ES.Ser.Biogas</t>
  </si>
  <si>
    <t>EMI.ktCO2.FI.ES.Ser.LiqBio</t>
  </si>
  <si>
    <t>EMI.ktCO2.FI.ES.Ser.Solar</t>
  </si>
  <si>
    <t>EMI.ktCO2.FI.ES.Ser.Geo</t>
  </si>
  <si>
    <t>EMI.ktCO2.FI.ES.Ser.Ambient</t>
  </si>
  <si>
    <t>EMI.ktCO2.FI.ES.Ser.Steam_Distr</t>
  </si>
  <si>
    <t>EMI.ktCO2.FI.ES.Ser.Elec</t>
  </si>
  <si>
    <t>EMI.ktCO2.FI.Ser</t>
  </si>
  <si>
    <t>EMI.ktCO2.FI.Ser.Bld.Thermal</t>
  </si>
  <si>
    <t>EMI.ktCO2.FI.Ser.Bld.Thermal.SH</t>
  </si>
  <si>
    <t>EMI.ktCO2.FI.Ser.Bld.Thermal.SC</t>
  </si>
  <si>
    <t>EMI.ktCO2.FI.Ser.Bld.Thermal.HW</t>
  </si>
  <si>
    <t>EMI.ktCO2.FI.Ser.Bld.Thermal.CA</t>
  </si>
  <si>
    <t>EMI.ktCO2.FI.Ser.SEU</t>
  </si>
  <si>
    <t>Eff.ratio.FI.Ser.Bld.Thermal</t>
  </si>
  <si>
    <t>Eff.ratio.FI.Ser.Bld.Thermal.SH</t>
  </si>
  <si>
    <t>Eff.ratio.FI.Ser.Bld.Thermal.SC</t>
  </si>
  <si>
    <t>Eff.ratio.FI.Ser.Bld.Thermal.HW</t>
  </si>
  <si>
    <t>Eff.ratio.FI.Ser.Bld.Thermal.CA</t>
  </si>
  <si>
    <t>FI - Number of buildings</t>
  </si>
  <si>
    <t>NUM.number.FI.Ser.Bld.Thermal</t>
  </si>
  <si>
    <t>NUM.number.FI.Ser.Bld.Thermal.SH</t>
  </si>
  <si>
    <t>NUM.number.FI.Ser.Bld.Thermal.SH.Solids</t>
  </si>
  <si>
    <t>NUM.number.FI.Ser.Bld.Thermal.SH.LPG</t>
  </si>
  <si>
    <t>NUM.number.FI.Ser.Bld.Thermal.SH.Oil</t>
  </si>
  <si>
    <t>NUM.number.FI.Ser.Bld.Thermal.SH.GasHP</t>
  </si>
  <si>
    <t>NUM.number.FI.Ser.Bld.Thermal.SH.GasTH</t>
  </si>
  <si>
    <t>NUM.number.FI.Ser.Bld.Thermal.SH.Biomass</t>
  </si>
  <si>
    <t>NUM.number.FI.Ser.Bld.Thermal.SH.Geo</t>
  </si>
  <si>
    <t>NUM.number.FI.Ser.Bld.Thermal.SH.DistrHeat</t>
  </si>
  <si>
    <t>NUM.number.FI.Ser.Bld.Thermal.SH.AdvElc</t>
  </si>
  <si>
    <t>NUM.number.FI.Ser.Bld.Thermal.SH.ConvElc</t>
  </si>
  <si>
    <t>NUM.number.FI.Ser.Bld.Thermal.SC</t>
  </si>
  <si>
    <t>NUM.number.FI.Ser.Bld.Thermal.SC.GasHP</t>
  </si>
  <si>
    <t>NUM.number.FI.Ser.Bld.Thermal.SC.AC</t>
  </si>
  <si>
    <t>NUM.number.FI.Ser.Bld.Thermal.HW</t>
  </si>
  <si>
    <t>NUM.number.FI.Ser.Bld.Thermal.HW.Solids</t>
  </si>
  <si>
    <t>NUM.number.FI.Ser.Bld.Thermal.HW.LPG</t>
  </si>
  <si>
    <t>NUM.number.FI.Ser.Bld.Thermal.HW.Oil</t>
  </si>
  <si>
    <t>NUM.number.FI.Ser.Bld.Thermal.HW.Gas</t>
  </si>
  <si>
    <t>NUM.number.FI.Ser.Bld.Thermal.HW.Biomass</t>
  </si>
  <si>
    <t>NUM.number.FI.Ser.Bld.Thermal.HW.DistrHeat</t>
  </si>
  <si>
    <t>NUM.number.FI.Ser.Bld.Thermal.HW.Elc</t>
  </si>
  <si>
    <t>NUM.number.FI.Ser.Bld.Thermal.HW.Solar</t>
  </si>
  <si>
    <t>NUM.number.FI.Ser.Bld.Thermal.CA</t>
  </si>
  <si>
    <t>NUM.number.FI.Ser.Bld.Thermal.CA.LPG</t>
  </si>
  <si>
    <t>NUM.number.FI.Ser.Bld.Thermal.CA.Gas</t>
  </si>
  <si>
    <t>NUM.number.FI.Ser.Bld.Thermal.CA.Biomass</t>
  </si>
  <si>
    <t>NUM.number.FI.Ser.Bld.Thermal.CA.Elc</t>
  </si>
  <si>
    <t>FI - Final energy consumption</t>
  </si>
  <si>
    <t>FEC.ktoe.FI.Ser.Bld.Thermal.SH.Solids.Solids</t>
  </si>
  <si>
    <t>FEC.ktoe.FI.Ser.Bld.Thermal.SH.LPG.LPG</t>
  </si>
  <si>
    <t>FEC.ktoe.FI.Ser.Bld.Thermal.SH.Oil.Oil_LiqBio</t>
  </si>
  <si>
    <t>FEC.ktoe.FI.Ser.Bld.Thermal.SH.GasHP.NG_Biogas</t>
  </si>
  <si>
    <t>FEC.ktoe.FI.Ser.Bld.Thermal.SH.GasTH.NG_Biogas</t>
  </si>
  <si>
    <t>FEC.ktoe.FI.Ser.Bld.Thermal.SH.Biomass.Biomass_Waste</t>
  </si>
  <si>
    <t>FEC.ktoe.FI.Ser.Bld.Thermal.SH.Geo.Geo</t>
  </si>
  <si>
    <t>FEC.ktoe.FI.Ser.Bld.Thermal.SH.DistrHeat.Steam_Distr</t>
  </si>
  <si>
    <t>FEC.ktoe.FI.Ser.Bld.Thermal.SH.AdvElc.Elec</t>
  </si>
  <si>
    <t>FEC.ktoe.FI.Ser.Bld.Thermal.SH.ConvElc.Elec</t>
  </si>
  <si>
    <t>FEC.ktoe.FI.Ser.Bld.Thermal.SH.TotalCirculation.Elec</t>
  </si>
  <si>
    <t>FEC.ktoe.FI.Ser.Bld.Thermal.SC.GasHP.NG_Biogas</t>
  </si>
  <si>
    <t>FEC.ktoe.FI.Ser.Bld.Thermal.SC.AC.Elec</t>
  </si>
  <si>
    <t>FEC.ktoe.FI.Ser.Bld.Thermal.HW.Solids.Solids</t>
  </si>
  <si>
    <t>FEC.ktoe.FI.Ser.Bld.Thermal.HW.LPG.LPG</t>
  </si>
  <si>
    <t>FEC.ktoe.FI.Ser.Bld.Thermal.HW.Oil.Oil_LiqBio</t>
  </si>
  <si>
    <t>FEC.ktoe.FI.Ser.Bld.Thermal.HW.Gas.NG_Biogas</t>
  </si>
  <si>
    <t>FEC.ktoe.FI.Ser.Bld.Thermal.HW.Biomass.Biomass_Waste</t>
  </si>
  <si>
    <t>FEC.ktoe.FI.Ser.Bld.Thermal.HW.DistrHeat.Steam_Distr</t>
  </si>
  <si>
    <t>FEC.ktoe.FI.Ser.Bld.Thermal.HW.Elc.Elec</t>
  </si>
  <si>
    <t>FEC.ktoe.FI.Ser.Bld.Thermal.HW.TotalSolar.Solar</t>
  </si>
  <si>
    <t>FEC.ktoe.FI.Ser.Bld.Thermal.CA.LPG</t>
  </si>
  <si>
    <t>FEC.ktoe.FI.Ser.Bld.Thermal.CA.Gas.NG_Biogas</t>
  </si>
  <si>
    <t>FEC.ktoe.FI.Ser.Bld.Thermal.CA.Biomass.Biomass_Waste</t>
  </si>
  <si>
    <t>FEC.ktoe.FI.Ser.Bld.Thermal.CA.Elc.Elec</t>
  </si>
  <si>
    <t>FI - Thermal energy service</t>
  </si>
  <si>
    <t>TES.ktoe.FI.Ser.Bld.Thermal</t>
  </si>
  <si>
    <t>TES.ktoe.FI.Ser.Bld.Thermal.SH</t>
  </si>
  <si>
    <t>TES.ktoe.FI.Ser.Bld.Thermal.SH.Solids.Solids</t>
  </si>
  <si>
    <t>TES.ktoe.FI.Ser.Bld.Thermal.SH.LPG.LPG</t>
  </si>
  <si>
    <t>TES.ktoe.FI.Ser.Bld.Thermal.SH.Oil.Oil_LiqBio</t>
  </si>
  <si>
    <t>TES.ktoe.FI.Ser.Bld.Thermal.SH.GasHP.NG_Biogas</t>
  </si>
  <si>
    <t>TES.ktoe.FI.Ser.Bld.Thermal.SH.GasTH.NG_Biogas</t>
  </si>
  <si>
    <t>TES.ktoe.FI.Ser.Bld.Thermal.SH.Biomass.Biomass_Waste</t>
  </si>
  <si>
    <t>TES.ktoe.FI.Ser.Bld.Thermal.SH.Geo.Geo</t>
  </si>
  <si>
    <t>TES.ktoe.FI.Ser.Bld.Thermal.SH.DistrHeat.Steam_Distr</t>
  </si>
  <si>
    <t>TES.ktoe.FI.Ser.Bld.Thermal.SH.AdvElc.Elec</t>
  </si>
  <si>
    <t>TES.ktoe.FI.Ser.Bld.Thermal.SH.ConvElc.Elec</t>
  </si>
  <si>
    <t>TES.ktoe.FI.Ser.Bld.Thermal.SH.TotalCirculation.Elec</t>
  </si>
  <si>
    <t>TES.ktoe.FI.Ser.Bld.Thermal.SC</t>
  </si>
  <si>
    <t>TES.ktoe.FI.Ser.Bld.Thermal.SC.GasHP.NG_Biogas</t>
  </si>
  <si>
    <t>TES.ktoe.FI.Ser.Bld.Thermal.SC.AC.Elec</t>
  </si>
  <si>
    <t>TES.ktoe.FI.Ser.Bld.Thermal.HW</t>
  </si>
  <si>
    <t>TES.ktoe.FI.Ser.Bld.Thermal.HW.Solids.Solids</t>
  </si>
  <si>
    <t>TES.ktoe.FI.Ser.Bld.Thermal.HW.LPG.LPG</t>
  </si>
  <si>
    <t>TES.ktoe.FI.Ser.Bld.Thermal.HW.Oil.Oil_LiqBio</t>
  </si>
  <si>
    <t>TES.ktoe.FI.Ser.Bld.Thermal.HW.Gas.NG_Biogas</t>
  </si>
  <si>
    <t>TES.ktoe.FI.Ser.Bld.Thermal.HW.Biomass.Biomass_Waste</t>
  </si>
  <si>
    <t>TES.ktoe.FI.Ser.Bld.Thermal.HW.DistrHeat.Steam_Distr</t>
  </si>
  <si>
    <t>TES.ktoe.FI.Ser.Bld.Thermal.HW.Elc.Elec</t>
  </si>
  <si>
    <t>TES.ktoe.FI.Ser.Bld.Thermal.HW.TotalSolar.Solar</t>
  </si>
  <si>
    <t>TES.ktoe.FI.Ser.Bld.Thermal.CA</t>
  </si>
  <si>
    <t>TES.ktoe.FI.Ser.Bld.Thermal.CA.LPG</t>
  </si>
  <si>
    <t>TES.ktoe.FI.Ser.Bld.Thermal.CA.Gas.NG_Biogas</t>
  </si>
  <si>
    <t>TES.ktoe.FI.Ser.Bld.Thermal.CA.Biomass.Biomass_Waste</t>
  </si>
  <si>
    <t>TES.ktoe.FI.Ser.Bld.Thermal.CA.Elc.Elec</t>
  </si>
  <si>
    <t>FI - System efficiency indicator of total stock</t>
  </si>
  <si>
    <t>Eff.ratio.FI.Ser.Bld.Thermal.SH.Solids.Solids</t>
  </si>
  <si>
    <t>Eff.ratio.FI.Ser.Bld.Thermal.SH.LPG.LPG</t>
  </si>
  <si>
    <t>Eff.ratio.FI.Ser.Bld.Thermal.SH.Oil.Oil_LiqBio</t>
  </si>
  <si>
    <t>Eff.ratio.FI.Ser.Bld.Thermal.SH.GasHP.NG_Biogas</t>
  </si>
  <si>
    <t>Eff.ratio.FI.Ser.Bld.Thermal.SH.GasTH.NG_Biogas</t>
  </si>
  <si>
    <t>Eff.ratio.FI.Ser.Bld.Thermal.SH.Biomass.Biomass_Waste</t>
  </si>
  <si>
    <t>Eff.ratio.FI.Ser.Bld.Thermal.SH.Geo.Geo</t>
  </si>
  <si>
    <t>Eff.ratio.FI.Ser.Bld.Thermal.SH.DistrHeat.Steam_Distr</t>
  </si>
  <si>
    <t>Eff.ratio.FI.Ser.Bld.Thermal.SH.AdvElc.Elec</t>
  </si>
  <si>
    <t>Eff.ratio.FI.Ser.Bld.Thermal.SH.ConvElc.Elec</t>
  </si>
  <si>
    <t>Eff.ratio.FI.Ser.Bld.Thermal.SH.TotalCirculation.Elec</t>
  </si>
  <si>
    <t>Eff.ratio.FI.Ser.Bld.Thermal.SC.GasHP.NG_Biogas</t>
  </si>
  <si>
    <t>Eff.ratio.FI.Ser.Bld.Thermal.SC.AC.Elec</t>
  </si>
  <si>
    <t>Eff.ratio.FI.Ser.Bld.Thermal.HW.Solids.Solids</t>
  </si>
  <si>
    <t>Eff.ratio.FI.Ser.Bld.Thermal.HW.LPG.LPG</t>
  </si>
  <si>
    <t>Eff.ratio.FI.Ser.Bld.Thermal.HW.Oil.Oil_LiqBio</t>
  </si>
  <si>
    <t>Eff.ratio.FI.Ser.Bld.Thermal.HW.Gas.NG_Biogas</t>
  </si>
  <si>
    <t>Eff.ratio.FI.Ser.Bld.Thermal.HW.Biomass.Biomass_Waste</t>
  </si>
  <si>
    <t>Eff.ratio.FI.Ser.Bld.Thermal.HW.DistrHeat.Steam_Distr</t>
  </si>
  <si>
    <t>Eff.ratio.FI.Ser.Bld.Thermal.HW.Elc.Elec</t>
  </si>
  <si>
    <t>Eff.ratio.FI.Ser.Bld.Thermal.HW.TotalSolar.Solar</t>
  </si>
  <si>
    <t>Eff.ratio.FI.Ser.Bld.Thermal.CA.LPG</t>
  </si>
  <si>
    <t>Eff.ratio.FI.Ser.Bld.Thermal.CA.Gas.NG_Biogas</t>
  </si>
  <si>
    <t>Eff.ratio.FI.Ser.Bld.Thermal.CA.Biomass.Biomass_Waste</t>
  </si>
  <si>
    <t>Eff.ratio.FI.Ser.Bld.Thermal.CA.Elc.Elec</t>
  </si>
  <si>
    <t>FI - CO2 emissions</t>
  </si>
  <si>
    <t>EMI.ktCO2.FI.Ser.Bld.Thermal.SH.Solids.Solids</t>
  </si>
  <si>
    <t>EMI.ktCO2.FI.Ser.Bld.Thermal.SH.LPG.LPG</t>
  </si>
  <si>
    <t>EMI.ktCO2.FI.Ser.Bld.Thermal.SH.Oil.Oil_LiqBio</t>
  </si>
  <si>
    <t>EMI.ktCO2.FI.Ser.Bld.Thermal.SH.GasHP.NG_Biogas</t>
  </si>
  <si>
    <t>EMI.ktCO2.FI.Ser.Bld.Thermal.SH.GasTH.NG_Biogas</t>
  </si>
  <si>
    <t>EMI.ktCO2.FI.Ser.Bld.Thermal.SH.Biomass.Biomass_Waste</t>
  </si>
  <si>
    <t>EMI.ktCO2.FI.Ser.Bld.Thermal.SH.Geo.Geo</t>
  </si>
  <si>
    <t>EMI.ktCO2.FI.Ser.Bld.Thermal.SH.DistrHeat.Steam_Distr</t>
  </si>
  <si>
    <t>EMI.ktCO2.FI.Ser.Bld.Thermal.SH.AdvElc.Elec</t>
  </si>
  <si>
    <t>EMI.ktCO2.FI.Ser.Bld.Thermal.SH.ConvElc.Elec</t>
  </si>
  <si>
    <t>EMI.ktCO2.FI.Ser.Bld.Thermal.SH.TotalCirculation.Elec</t>
  </si>
  <si>
    <t>EMI.ktCO2.FI.Ser.Bld.Thermal.SC.GasHP.NG_Biogas</t>
  </si>
  <si>
    <t>EMI.ktCO2.FI.Ser.Bld.Thermal.SC.AC.Elec</t>
  </si>
  <si>
    <t>EMI.ktCO2.FI.Ser.Bld.Thermal.HW.Solids.Solids</t>
  </si>
  <si>
    <t>EMI.ktCO2.FI.Ser.Bld.Thermal.HW.LPG.LPG</t>
  </si>
  <si>
    <t>EMI.ktCO2.FI.Ser.Bld.Thermal.HW.Oil.Oil_LiqBio</t>
  </si>
  <si>
    <t>EMI.ktCO2.FI.Ser.Bld.Thermal.HW.Gas.NG_Biogas</t>
  </si>
  <si>
    <t>EMI.ktCO2.FI.Ser.Bld.Thermal.HW.Biomass.Biomass_Waste</t>
  </si>
  <si>
    <t>EMI.ktCO2.FI.Ser.Bld.Thermal.HW.DistrHeat.Steam_Distr</t>
  </si>
  <si>
    <t>EMI.ktCO2.FI.Ser.Bld.Thermal.HW.Elc.Elec</t>
  </si>
  <si>
    <t>EMI.ktCO2.FI.Ser.Bld.Thermal.HW.TotalSolar.Solar</t>
  </si>
  <si>
    <t>EMI.ktCO2.FI.Ser.Bld.Thermal.CA.LPG</t>
  </si>
  <si>
    <t>EMI.ktCO2.FI.Ser.Bld.Thermal.CA.Gas.NG_Biogas</t>
  </si>
  <si>
    <t>EMI.ktCO2.FI.Ser.Bld.Thermal.CA.Biomass.Biomass_Waste</t>
  </si>
  <si>
    <t>EMI.ktCO2.FI.Ser.Bld.Thermal.CA.Elc.Elec</t>
  </si>
  <si>
    <t>FI - Final energy consumption per building</t>
  </si>
  <si>
    <t>FEC_per_building.kWh.FI.Ser.Bld.Thermal</t>
  </si>
  <si>
    <t>FEC_per_building.kWh.FI.Ser.Bld.Thermal.SH</t>
  </si>
  <si>
    <t>FEC_per_building.kWh.FI.Ser.Bld.Thermal.SH.Solids.Solids</t>
  </si>
  <si>
    <t>FEC_per_building.kWh.FI.Ser.Bld.Thermal.SH.LPG.LPG</t>
  </si>
  <si>
    <t>FEC_per_building.kWh.FI.Ser.Bld.Thermal.SH.Oil.Oil_LiqBio</t>
  </si>
  <si>
    <t>FEC_per_building.kWh.FI.Ser.Bld.Thermal.SH.GasHP.NG_Biogas</t>
  </si>
  <si>
    <t>FEC_per_building.kWh.FI.Ser.Bld.Thermal.SH.GasTH.NG_Biogas</t>
  </si>
  <si>
    <t>FEC_per_building.kWh.FI.Ser.Bld.Thermal.SH.Biomass.Biomass_Waste</t>
  </si>
  <si>
    <t>FEC_per_building.kWh.FI.Ser.Bld.Thermal.SH.Geo.Geo</t>
  </si>
  <si>
    <t>FEC_per_building.kWh.FI.Ser.Bld.Thermal.SH.DistrHeat.Steam_Distr</t>
  </si>
  <si>
    <t>FEC_per_building.kWh.FI.Ser.Bld.Thermal.SH.AdvElc.Elec</t>
  </si>
  <si>
    <t>FEC_per_building.kWh.FI.Ser.Bld.Thermal.SH.ConvElc.Elec</t>
  </si>
  <si>
    <t>FEC_per_building.kWh.FI.Ser.Bld.Thermal.SH.TotalCirculation.Elec</t>
  </si>
  <si>
    <t>FEC_per_building.kWh.FI.Ser.Bld.Thermal.SC</t>
  </si>
  <si>
    <t>FEC_per_building.kWh.FI.Ser.Bld.Thermal.SC.GasHP.NG_Biogas</t>
  </si>
  <si>
    <t>FEC_per_building.kWh.FI.Ser.Bld.Thermal.SC.AC.Elec</t>
  </si>
  <si>
    <t>FEC_per_building.kWh.FI.Ser.Bld.Thermal.HW</t>
  </si>
  <si>
    <t>FEC_per_building.kWh.FI.Ser.Bld.Thermal.HW.Solids.Solids</t>
  </si>
  <si>
    <t>FEC_per_building.kWh.FI.Ser.Bld.Thermal.HW.LPG.LPG</t>
  </si>
  <si>
    <t>FEC_per_building.kWh.FI.Ser.Bld.Thermal.HW.Oil.Oil_LiqBio</t>
  </si>
  <si>
    <t>FEC_per_building.kWh.FI.Ser.Bld.Thermal.HW.Gas.NG_Biogas</t>
  </si>
  <si>
    <t>FEC_per_building.kWh.FI.Ser.Bld.Thermal.HW.Biomass.Biomass_Waste</t>
  </si>
  <si>
    <t>FEC_per_building.kWh.FI.Ser.Bld.Thermal.HW.DistrHeat.Steam_Distr</t>
  </si>
  <si>
    <t>FEC_per_building.kWh.FI.Ser.Bld.Thermal.HW.Elc.Elec</t>
  </si>
  <si>
    <t>FEC_per_building.kWh.FI.Ser.Bld.Thermal.HW.TotalSolar.Solar</t>
  </si>
  <si>
    <t>FEC_per_building.kWh.FI.Ser.Bld.Thermal.CA</t>
  </si>
  <si>
    <t>FEC_per_building.kWh.FI.Ser.Bld.Thermal.CA.LPG</t>
  </si>
  <si>
    <t>FEC_per_building.kWh.FI.Ser.Bld.Thermal.CA.Gas.NG_Biogas</t>
  </si>
  <si>
    <t>FEC_per_building.kWh.FI.Ser.Bld.Thermal.CA.Biomass.Biomass_Waste</t>
  </si>
  <si>
    <t>FEC_per_building.kWh.FI.Ser.Bld.Thermal.CA.Elc.Elec</t>
  </si>
  <si>
    <t>FI - Thermal energy service per building</t>
  </si>
  <si>
    <t>TES_per_building.kWh.FI.Ser.Bld.Thermal</t>
  </si>
  <si>
    <t>TES_per_building.kWh.FI.Ser.Bld.Thermal.SH</t>
  </si>
  <si>
    <t>TES_per_building.kWh.FI.Ser.Bld.Thermal.SH.Solids.Solids</t>
  </si>
  <si>
    <t>TES_per_building.kWh.FI.Ser.Bld.Thermal.SH.LPG.LPG</t>
  </si>
  <si>
    <t>TES_per_building.kWh.FI.Ser.Bld.Thermal.SH.Oil.Oil_LiqBio</t>
  </si>
  <si>
    <t>TES_per_building.kWh.FI.Ser.Bld.Thermal.SH.GasHP.NG_Biogas</t>
  </si>
  <si>
    <t>TES_per_building.kWh.FI.Ser.Bld.Thermal.SH.GasTH.NG_Biogas</t>
  </si>
  <si>
    <t>TES_per_building.kWh.FI.Ser.Bld.Thermal.SH.Biomass.Biomass_Waste</t>
  </si>
  <si>
    <t>TES_per_building.kWh.FI.Ser.Bld.Thermal.SH.Geo.Geo</t>
  </si>
  <si>
    <t>TES_per_building.kWh.FI.Ser.Bld.Thermal.SH.DistrHeat.Steam_Distr</t>
  </si>
  <si>
    <t>TES_per_building.kWh.FI.Ser.Bld.Thermal.SH.AdvElc.Elec</t>
  </si>
  <si>
    <t>TES_per_building.kWh.FI.Ser.Bld.Thermal.SH.ConvElc.Elec</t>
  </si>
  <si>
    <t>TES_per_building.kWh.FI.Ser.Bld.Thermal.SH.TotalCirculation.Elec</t>
  </si>
  <si>
    <t>TES_per_building.kWh.FI.Ser.Bld.Thermal.SC</t>
  </si>
  <si>
    <t>TES_per_building.kWh.FI.Ser.Bld.Thermal.SC.GasHP.NG_Biogas</t>
  </si>
  <si>
    <t>TES_per_building.kWh.FI.Ser.Bld.Thermal.SC.AC.Elec</t>
  </si>
  <si>
    <t>TES_per_building.kWh.FI.Ser.Bld.Thermal.HW</t>
  </si>
  <si>
    <t>TES_per_building.kWh.FI.Ser.Bld.Thermal.HW.Solids.Solids</t>
  </si>
  <si>
    <t>TES_per_building.kWh.FI.Ser.Bld.Thermal.HW.LPG.LPG</t>
  </si>
  <si>
    <t>TES_per_building.kWh.FI.Ser.Bld.Thermal.HW.Oil.Oil_LiqBio</t>
  </si>
  <si>
    <t>TES_per_building.kWh.FI.Ser.Bld.Thermal.HW.Gas.NG_Biogas</t>
  </si>
  <si>
    <t>TES_per_building.kWh.FI.Ser.Bld.Thermal.HW.Biomass.Biomass_Waste</t>
  </si>
  <si>
    <t>TES_per_building.kWh.FI.Ser.Bld.Thermal.HW.DistrHeat.Steam_Distr</t>
  </si>
  <si>
    <t>TES_per_building.kWh.FI.Ser.Bld.Thermal.HW.Elc.Elec</t>
  </si>
  <si>
    <t>TES_per_building.kWh.FI.Ser.Bld.Thermal.HW.TotalSolar.Solar</t>
  </si>
  <si>
    <t>TES_per_building.kWh.FI.Ser.Bld.Thermal.CA</t>
  </si>
  <si>
    <t>TES_per_building.kWh.FI.Ser.Bld.Thermal.CA.LPG</t>
  </si>
  <si>
    <t>TES_per_building.kWh.FI.Ser.Bld.Thermal.CA.Gas.NG_Biogas</t>
  </si>
  <si>
    <t>TES_per_building.kWh.FI.Ser.Bld.Thermal.CA.Biomass.Biomass_Waste</t>
  </si>
  <si>
    <t>TES_per_building.kWh.FI.Ser.Bld.Thermal.CA.Elc.Elec</t>
  </si>
  <si>
    <t>FI - CO2 emissions per building</t>
  </si>
  <si>
    <t>EMI_per_building.kgCO2.FI.Ser.Bld.Thermal</t>
  </si>
  <si>
    <t>EMI_per_building.kgCO2.FI.Ser.Bld.Thermal.SH</t>
  </si>
  <si>
    <t>EMI_per_building.kgCO2.FI.Ser.Bld.Thermal.SH.Solids.Solids</t>
  </si>
  <si>
    <t>EMI_per_building.kgCO2.FI.Ser.Bld.Thermal.SH.LPG.LPG</t>
  </si>
  <si>
    <t>EMI_per_building.kgCO2.FI.Ser.Bld.Thermal.SH.Oil.Oil_LiqBio</t>
  </si>
  <si>
    <t>EMI_per_building.kgCO2.FI.Ser.Bld.Thermal.SH.GasHP.NG_Biogas</t>
  </si>
  <si>
    <t>EMI_per_building.kgCO2.FI.Ser.Bld.Thermal.SH.GasTH.NG_Biogas</t>
  </si>
  <si>
    <t>EMI_per_building.kgCO2.FI.Ser.Bld.Thermal.SH.Biomass.Biomass_Waste</t>
  </si>
  <si>
    <t>EMI_per_building.kgCO2.FI.Ser.Bld.Thermal.SH.Geo.Geo</t>
  </si>
  <si>
    <t>EMI_per_building.kgCO2.FI.Ser.Bld.Thermal.SH.DistrHeat.Steam_Distr</t>
  </si>
  <si>
    <t>EMI_per_building.kgCO2.FI.Ser.Bld.Thermal.SH.AdvElc.Elec</t>
  </si>
  <si>
    <t>EMI_per_building.kgCO2.FI.Ser.Bld.Thermal.SH.ConvElc.Elec</t>
  </si>
  <si>
    <t>EMI_per_building.kgCO2.FI.Ser.Bld.Thermal.SH.TotalCirculation.Elec</t>
  </si>
  <si>
    <t>EMI_per_building.kgCO2.FI.Ser.Bld.Thermal.SC</t>
  </si>
  <si>
    <t>EMI_per_building.kgCO2.FI.Ser.Bld.Thermal.SC.GasHP.NG_Biogas</t>
  </si>
  <si>
    <t>EMI_per_building.kgCO2.FI.Ser.Bld.Thermal.SC.AC.Elec</t>
  </si>
  <si>
    <t>EMI_per_building.kgCO2.FI.Ser.Bld.Thermal.HW</t>
  </si>
  <si>
    <t>EMI_per_building.kgCO2.FI.Ser.Bld.Thermal.HW.Solids.Solids</t>
  </si>
  <si>
    <t>EMI_per_building.kgCO2.FI.Ser.Bld.Thermal.HW.LPG.LPG</t>
  </si>
  <si>
    <t>EMI_per_building.kgCO2.FI.Ser.Bld.Thermal.HW.Oil.Oil_LiqBio</t>
  </si>
  <si>
    <t>EMI_per_building.kgCO2.FI.Ser.Bld.Thermal.HW.Gas.NG_Biogas</t>
  </si>
  <si>
    <t>EMI_per_building.kgCO2.FI.Ser.Bld.Thermal.HW.Biomass.Biomass_Waste</t>
  </si>
  <si>
    <t>EMI_per_building.kgCO2.FI.Ser.Bld.Thermal.HW.DistrHeat.Steam_Distr</t>
  </si>
  <si>
    <t>EMI_per_building.kgCO2.FI.Ser.Bld.Thermal.HW.Elc.Elec</t>
  </si>
  <si>
    <t>EMI_per_building.kgCO2.FI.Ser.Bld.Thermal.HW.TotalSolar.Solar</t>
  </si>
  <si>
    <t>EMI_per_building.kgCO2.FI.Ser.Bld.Thermal.CA</t>
  </si>
  <si>
    <t>EMI_per_building.kgCO2.FI.Ser.Bld.Thermal.CA.LPG</t>
  </si>
  <si>
    <t>EMI_per_building.kgCO2.FI.Ser.Bld.Thermal.CA.Gas.NG_Biogas</t>
  </si>
  <si>
    <t>EMI_per_building.kgCO2.FI.Ser.Bld.Thermal.CA.Biomass.Biomass_Waste</t>
  </si>
  <si>
    <t>EMI_per_building.kgCO2.FI.Ser.Bld.Thermal.CA.Elc.Elec</t>
  </si>
  <si>
    <t>FI - Final energy consumption per useful surface area</t>
  </si>
  <si>
    <t>FEC_per_sqm.kWh.FI.Ser.Bld.Thermal</t>
  </si>
  <si>
    <t>FEC_per_sqm.kWh.FI.Ser.Bld.Thermal.SH</t>
  </si>
  <si>
    <t>FEC_per_sqm.kWh.FI.Ser.Bld.Thermal.SH.Solids.Solids</t>
  </si>
  <si>
    <t>FEC_per_sqm.kWh.FI.Ser.Bld.Thermal.SH.LPG.LPG</t>
  </si>
  <si>
    <t>FEC_per_sqm.kWh.FI.Ser.Bld.Thermal.SH.Oil.Oil_LiqBio</t>
  </si>
  <si>
    <t>FEC_per_sqm.kWh.FI.Ser.Bld.Thermal.SH.GasHP.NG_Biogas</t>
  </si>
  <si>
    <t>FEC_per_sqm.kWh.FI.Ser.Bld.Thermal.SH.GasTH.NG_Biogas</t>
  </si>
  <si>
    <t>FEC_per_sqm.kWh.FI.Ser.Bld.Thermal.SH.Biomass.Biomass_Waste</t>
  </si>
  <si>
    <t>FEC_per_sqm.kWh.FI.Ser.Bld.Thermal.SH.Geo.Geo</t>
  </si>
  <si>
    <t>FEC_per_sqm.kWh.FI.Ser.Bld.Thermal.SH.DistrHeat.Steam_Distr</t>
  </si>
  <si>
    <t>FEC_per_sqm.kWh.FI.Ser.Bld.Thermal.SH.AdvElc.Elec</t>
  </si>
  <si>
    <t>FEC_per_sqm.kWh.FI.Ser.Bld.Thermal.SH.ConvElc.Elec</t>
  </si>
  <si>
    <t>FEC_per_sqm.kWh.FI.Ser.Bld.Thermal.SH.TotalCirculation.Elec</t>
  </si>
  <si>
    <t>FEC_per_sqm.kWh.FI.Ser.Bld.Thermal.SC</t>
  </si>
  <si>
    <t>FEC_per_sqm.kWh.FI.Ser.Bld.Thermal.SC.GasHP.NG_Biogas</t>
  </si>
  <si>
    <t>FEC_per_sqm.kWh.FI.Ser.Bld.Thermal.SC.AC.Elec</t>
  </si>
  <si>
    <t>FEC_per_sqm.kWh.FI.Ser.Bld.Thermal.HW</t>
  </si>
  <si>
    <t>FEC_per_sqm.kWh.FI.Ser.Bld.Thermal.HW.Solids.Solids</t>
  </si>
  <si>
    <t>FEC_per_sqm.kWh.FI.Ser.Bld.Thermal.HW.LPG.LPG</t>
  </si>
  <si>
    <t>FEC_per_sqm.kWh.FI.Ser.Bld.Thermal.HW.Oil.Oil_LiqBio</t>
  </si>
  <si>
    <t>FEC_per_sqm.kWh.FI.Ser.Bld.Thermal.HW.Gas.NG_Biogas</t>
  </si>
  <si>
    <t>FEC_per_sqm.kWh.FI.Ser.Bld.Thermal.HW.Biomass.Biomass_Waste</t>
  </si>
  <si>
    <t>FEC_per_sqm.kWh.FI.Ser.Bld.Thermal.HW.DistrHeat.Steam_Distr</t>
  </si>
  <si>
    <t>FEC_per_sqm.kWh.FI.Ser.Bld.Thermal.HW.Elc.Elec</t>
  </si>
  <si>
    <t>FEC_per_sqm.kWh.FI.Ser.Bld.Thermal.HW.TotalSolar.Solar</t>
  </si>
  <si>
    <t>FEC_per_sqm.kWh.FI.Ser.Bld.Thermal.CA</t>
  </si>
  <si>
    <t>FEC_per_sqm.kWh.FI.Ser.Bld.Thermal.CA.LPG</t>
  </si>
  <si>
    <t>FEC_per_sqm.kWh.FI.Ser.Bld.Thermal.CA.Gas.NG_Biogas</t>
  </si>
  <si>
    <t>FEC_per_sqm.kWh.FI.Ser.Bld.Thermal.CA.Biomass.Biomass_Waste</t>
  </si>
  <si>
    <t>FEC_per_sqm.kWh.FI.Ser.Bld.Thermal.CA.Elc.Elec</t>
  </si>
  <si>
    <t>FI - Thermal energy service per useful surface area</t>
  </si>
  <si>
    <t>TES_per_sqm.kWh.FI.Ser.Bld.Thermal</t>
  </si>
  <si>
    <t>TES_per_sqm.kWh.FI.Ser.Bld.Thermal.SH</t>
  </si>
  <si>
    <t>TES_per_sqm.kWh.FI.Ser.Bld.Thermal.SH.Solids.Solids</t>
  </si>
  <si>
    <t>TES_per_sqm.kWh.FI.Ser.Bld.Thermal.SH.LPG.LPG</t>
  </si>
  <si>
    <t>TES_per_sqm.kWh.FI.Ser.Bld.Thermal.SH.Oil.Oil_LiqBio</t>
  </si>
  <si>
    <t>TES_per_sqm.kWh.FI.Ser.Bld.Thermal.SH.GasHP.NG_Biogas</t>
  </si>
  <si>
    <t>TES_per_sqm.kWh.FI.Ser.Bld.Thermal.SH.GasTH.NG_Biogas</t>
  </si>
  <si>
    <t>TES_per_sqm.kWh.FI.Ser.Bld.Thermal.SH.Biomass.Biomass_Waste</t>
  </si>
  <si>
    <t>TES_per_sqm.kWh.FI.Ser.Bld.Thermal.SH.Geo.Geo</t>
  </si>
  <si>
    <t>TES_per_sqm.kWh.FI.Ser.Bld.Thermal.SH.DistrHeat.Steam_Distr</t>
  </si>
  <si>
    <t>TES_per_sqm.kWh.FI.Ser.Bld.Thermal.SH.AdvElc.Elec</t>
  </si>
  <si>
    <t>TES_per_sqm.kWh.FI.Ser.Bld.Thermal.SH.ConvElc.Elec</t>
  </si>
  <si>
    <t>TES_per_sqm.kWh.FI.Ser.Bld.Thermal.SH.TotalCirculation.Elec</t>
  </si>
  <si>
    <t>TES_per_sqm.kWh.FI.Ser.Bld.Thermal.SC</t>
  </si>
  <si>
    <t>TES_per_sqm.kWh.FI.Ser.Bld.Thermal.SC.GasHP.NG_Biogas</t>
  </si>
  <si>
    <t>TES_per_sqm.kWh.FI.Ser.Bld.Thermal.SC.AC.Elec</t>
  </si>
  <si>
    <t>TES_per_sqm.kWh.FI.Ser.Bld.Thermal.HW</t>
  </si>
  <si>
    <t>TES_per_sqm.kWh.FI.Ser.Bld.Thermal.HW.Solids.Solids</t>
  </si>
  <si>
    <t>TES_per_sqm.kWh.FI.Ser.Bld.Thermal.HW.LPG.LPG</t>
  </si>
  <si>
    <t>TES_per_sqm.kWh.FI.Ser.Bld.Thermal.HW.Oil.Oil_LiqBio</t>
  </si>
  <si>
    <t>TES_per_sqm.kWh.FI.Ser.Bld.Thermal.HW.Gas.NG_Biogas</t>
  </si>
  <si>
    <t>TES_per_sqm.kWh.FI.Ser.Bld.Thermal.HW.Biomass.Biomass_Waste</t>
  </si>
  <si>
    <t>TES_per_sqm.kWh.FI.Ser.Bld.Thermal.HW.DistrHeat.Steam_Distr</t>
  </si>
  <si>
    <t>TES_per_sqm.kWh.FI.Ser.Bld.Thermal.HW.Elc.Elec</t>
  </si>
  <si>
    <t>TES_per_sqm.kWh.FI.Ser.Bld.Thermal.HW.TotalSolar.Solar</t>
  </si>
  <si>
    <t>TES_per_sqm.kWh.FI.Ser.Bld.Thermal.CA</t>
  </si>
  <si>
    <t>TES_per_sqm.kWh.FI.Ser.Bld.Thermal.CA.LPG</t>
  </si>
  <si>
    <t>TES_per_sqm.kWh.FI.Ser.Bld.Thermal.CA.Gas.NG_Biogas</t>
  </si>
  <si>
    <t>TES_per_sqm.kWh.FI.Ser.Bld.Thermal.CA.Biomass.Biomass_Waste</t>
  </si>
  <si>
    <t>TES_per_sqm.kWh.FI.Ser.Bld.Thermal.CA.Elc.Elec</t>
  </si>
  <si>
    <t>FI - CO2 emissions per useful surface area</t>
  </si>
  <si>
    <t>EMI_per_sqm.kgCO2.FI.Ser.Bld.Thermal</t>
  </si>
  <si>
    <t>EMI_per_sqm.kgCO2.FI.Ser.Bld.Thermal.SH</t>
  </si>
  <si>
    <t>EMI_per_sqm.kgCO2.FI.Ser.Bld.Thermal.SH.Solids.Solids</t>
  </si>
  <si>
    <t>EMI_per_sqm.kgCO2.FI.Ser.Bld.Thermal.SH.LPG.LPG</t>
  </si>
  <si>
    <t>EMI_per_sqm.kgCO2.FI.Ser.Bld.Thermal.SH.Oil.Oil_LiqBio</t>
  </si>
  <si>
    <t>EMI_per_sqm.kgCO2.FI.Ser.Bld.Thermal.SH.GasHP.NG_Biogas</t>
  </si>
  <si>
    <t>EMI_per_sqm.kgCO2.FI.Ser.Bld.Thermal.SH.GasTH.NG_Biogas</t>
  </si>
  <si>
    <t>EMI_per_sqm.kgCO2.FI.Ser.Bld.Thermal.SH.Biomass.Biomass_Waste</t>
  </si>
  <si>
    <t>EMI_per_sqm.kgCO2.FI.Ser.Bld.Thermal.SH.Geo.Geo</t>
  </si>
  <si>
    <t>EMI_per_sqm.kgCO2.FI.Ser.Bld.Thermal.SH.DistrHeat.Steam_Distr</t>
  </si>
  <si>
    <t>EMI_per_sqm.kgCO2.FI.Ser.Bld.Thermal.SH.AdvElc.Elec</t>
  </si>
  <si>
    <t>EMI_per_sqm.kgCO2.FI.Ser.Bld.Thermal.SH.ConvElc.Elec</t>
  </si>
  <si>
    <t>EMI_per_sqm.kgCO2.FI.Ser.Bld.Thermal.SH.TotalCirculation.Elec</t>
  </si>
  <si>
    <t>EMI_per_sqm.kgCO2.FI.Ser.Bld.Thermal.SC</t>
  </si>
  <si>
    <t>EMI_per_sqm.kgCO2.FI.Ser.Bld.Thermal.SC.GasHP.NG_Biogas</t>
  </si>
  <si>
    <t>EMI_per_sqm.kgCO2.FI.Ser.Bld.Thermal.SC.AC.Elec</t>
  </si>
  <si>
    <t>EMI_per_sqm.kgCO2.FI.Ser.Bld.Thermal.HW</t>
  </si>
  <si>
    <t>EMI_per_sqm.kgCO2.FI.Ser.Bld.Thermal.HW.Solids.Solids</t>
  </si>
  <si>
    <t>EMI_per_sqm.kgCO2.FI.Ser.Bld.Thermal.HW.LPG.LPG</t>
  </si>
  <si>
    <t>EMI_per_sqm.kgCO2.FI.Ser.Bld.Thermal.HW.Oil.Oil_LiqBio</t>
  </si>
  <si>
    <t>EMI_per_sqm.kgCO2.FI.Ser.Bld.Thermal.HW.Gas.NG_Biogas</t>
  </si>
  <si>
    <t>EMI_per_sqm.kgCO2.FI.Ser.Bld.Thermal.HW.Biomass.Biomass_Waste</t>
  </si>
  <si>
    <t>EMI_per_sqm.kgCO2.FI.Ser.Bld.Thermal.HW.DistrHeat.Steam_Distr</t>
  </si>
  <si>
    <t>EMI_per_sqm.kgCO2.FI.Ser.Bld.Thermal.HW.Elc.Elec</t>
  </si>
  <si>
    <t>EMI_per_sqm.kgCO2.FI.Ser.Bld.Thermal.HW.TotalSolar.Solar</t>
  </si>
  <si>
    <t>EMI_per_sqm.kgCO2.FI.Ser.Bld.Thermal.CA</t>
  </si>
  <si>
    <t>EMI_per_sqm.kgCO2.FI.Ser.Bld.Thermal.CA.LPG</t>
  </si>
  <si>
    <t>EMI_per_sqm.kgCO2.FI.Ser.Bld.Thermal.CA.Gas.NG_Biogas</t>
  </si>
  <si>
    <t>EMI_per_sqm.kgCO2.FI.Ser.Bld.Thermal.CA.Biomass.Biomass_Waste</t>
  </si>
  <si>
    <t>EMI_per_sqm.kgCO2.FI.Ser.Bld.Thermal.CA.Elc.Elec</t>
  </si>
  <si>
    <t>FI - Number of new and renovated buildings</t>
  </si>
  <si>
    <t>NUM.number.FI.Ser.BldNew.Thermal</t>
  </si>
  <si>
    <t>NUM.number.FI.Ser.BldNew.Thermal.SH</t>
  </si>
  <si>
    <t>NUM.number.FI.Ser.BldNew.Thermal.SH.Solids</t>
  </si>
  <si>
    <t>NUM.number.FI.Ser.BldNew.Thermal.SH.LPG</t>
  </si>
  <si>
    <t>NUM.number.FI.Ser.BldNew.Thermal.SH.Oil</t>
  </si>
  <si>
    <t>NUM.number.FI.Ser.BldNew.Thermal.SH.GasHP</t>
  </si>
  <si>
    <t>NUM.number.FI.Ser.BldNew.Thermal.SH.GasTH</t>
  </si>
  <si>
    <t>NUM.number.FI.Ser.BldNew.Thermal.SH.Biomass</t>
  </si>
  <si>
    <t>NUM.number.FI.Ser.BldNew.Thermal.SH.Geo</t>
  </si>
  <si>
    <t>NUM.number.FI.Ser.BldNew.Thermal.SH.DistrHeat</t>
  </si>
  <si>
    <t>NUM.number.FI.Ser.BldNew.Thermal.SH.AdvElc</t>
  </si>
  <si>
    <t>NUM.number.FI.Ser.BldNew.Thermal.SH.ConvElc</t>
  </si>
  <si>
    <t>NUM.number.FI.Ser.BldNew.Thermal.SC</t>
  </si>
  <si>
    <t>NUM.number.FI.Ser.BldNew.Thermal.SC.GasHP</t>
  </si>
  <si>
    <t>NUM.number.FI.Ser.BldNew.Thermal.SC.AC</t>
  </si>
  <si>
    <t>NUM.number.FI.Ser.BldNew.Thermal.HW</t>
  </si>
  <si>
    <t>NUM.number.FI.Ser.BldNew.Thermal.HW.Solids</t>
  </si>
  <si>
    <t>NUM.number.FI.Ser.BldNew.Thermal.HW.LPG</t>
  </si>
  <si>
    <t>NUM.number.FI.Ser.BldNew.Thermal.HW.Oil</t>
  </si>
  <si>
    <t>NUM.number.FI.Ser.BldNew.Thermal.HW.Gas</t>
  </si>
  <si>
    <t>NUM.number.FI.Ser.BldNew.Thermal.HW.Biomass</t>
  </si>
  <si>
    <t>NUM.number.FI.Ser.BldNew.Thermal.HW.DistrHeat</t>
  </si>
  <si>
    <t>NUM.number.FI.Ser.BldNew.Thermal.HW.Elc</t>
  </si>
  <si>
    <t>NUM.number.FI.Ser.BldNew.Thermal.HW.Solar</t>
  </si>
  <si>
    <t>NUM.number.FI.Ser.BldNew.Thermal.CA</t>
  </si>
  <si>
    <t>NUM.number.FI.Ser.BldNew.Thermal.CA.LPG</t>
  </si>
  <si>
    <t>NUM.number.FI.Ser.BldNew.Thermal.CA.Gas</t>
  </si>
  <si>
    <t>NUM.number.FI.Ser.BldNew.Thermal.CA.Biomass</t>
  </si>
  <si>
    <t>NUM.number.FI.Ser.BldNew.Thermal.CA.Elc</t>
  </si>
  <si>
    <t>FI - Final energy consumption in new and renovated buildings</t>
  </si>
  <si>
    <t>FEC.ktoe.FI.Ser.BldNew.Thermal</t>
  </si>
  <si>
    <t>FEC.ktoe.FI.Ser.BldNew.Thermal.SH</t>
  </si>
  <si>
    <t>FEC.ktoe.FI.Ser.BldNew.Thermal.SH.Solids.Solids</t>
  </si>
  <si>
    <t>FEC.ktoe.FI.Ser.BldNew.Thermal.SH.LPG.LPG</t>
  </si>
  <si>
    <t>FEC.ktoe.FI.Ser.BldNew.Thermal.SH.Oil.Oil_LiqBio</t>
  </si>
  <si>
    <t>FEC.ktoe.FI.Ser.BldNew.Thermal.SH.GasHP.NG_Biogas</t>
  </si>
  <si>
    <t>FEC.ktoe.FI.Ser.BldNew.Thermal.SH.GasTH.NG_Biogas</t>
  </si>
  <si>
    <t>FEC.ktoe.FI.Ser.BldNew.Thermal.SH.Biomass.Biomass_Waste</t>
  </si>
  <si>
    <t>FEC.ktoe.FI.Ser.BldNew.Thermal.SH.Geo.Geo</t>
  </si>
  <si>
    <t>FEC.ktoe.FI.Ser.BldNew.Thermal.SH.DistrHeat.Steam_Distr</t>
  </si>
  <si>
    <t>FEC.ktoe.FI.Ser.BldNew.Thermal.SH.AdvElc.Elec</t>
  </si>
  <si>
    <t>FEC.ktoe.FI.Ser.BldNew.Thermal.SH.ConvElc.Elec</t>
  </si>
  <si>
    <t>FEC.ktoe.FI.Ser.BldNew.Thermal.SH.TotalCirculation.Elec</t>
  </si>
  <si>
    <t>FEC.ktoe.FI.Ser.BldNew.Thermal.SC</t>
  </si>
  <si>
    <t>FEC.ktoe.FI.Ser.BldNew.Thermal.SC.GasHP.NG_Biogas</t>
  </si>
  <si>
    <t>FEC.ktoe.FI.Ser.BldNew.Thermal.SC.AC.Elec</t>
  </si>
  <si>
    <t>FEC.ktoe.FI.Ser.BldNew.Thermal.HW</t>
  </si>
  <si>
    <t>FEC.ktoe.FI.Ser.BldNew.Thermal.HW.Solids.Solids</t>
  </si>
  <si>
    <t>FEC.ktoe.FI.Ser.BldNew.Thermal.HW.LPG.LPG</t>
  </si>
  <si>
    <t>FEC.ktoe.FI.Ser.BldNew.Thermal.HW.Oil.Oil_LiqBio</t>
  </si>
  <si>
    <t>FEC.ktoe.FI.Ser.BldNew.Thermal.HW.Gas.NG_Biogas</t>
  </si>
  <si>
    <t>FEC.ktoe.FI.Ser.BldNew.Thermal.HW.Biomass.Biomass_Waste</t>
  </si>
  <si>
    <t>FEC.ktoe.FI.Ser.BldNew.Thermal.HW.DistrHeat.Steam_Distr</t>
  </si>
  <si>
    <t>FEC.ktoe.FI.Ser.BldNew.Thermal.HW.Elc.Elec</t>
  </si>
  <si>
    <t>FEC.ktoe.FI.Ser.BldNew.Thermal.HW.TotalSolar.Solar</t>
  </si>
  <si>
    <t>FEC.ktoe.FI.Ser.BldNew.Thermal.CA</t>
  </si>
  <si>
    <t>FEC.ktoe.FI.Ser.BldNew.Thermal.CA.LPG</t>
  </si>
  <si>
    <t>FEC.ktoe.FI.Ser.BldNew.Thermal.CA.Gas.NG_Biogas</t>
  </si>
  <si>
    <t>FEC.ktoe.FI.Ser.BldNew.Thermal.CA.Biomass.Biomass_Waste</t>
  </si>
  <si>
    <t>FEC.ktoe.FI.Ser.BldNew.Thermal.CA.Elc.Elec</t>
  </si>
  <si>
    <t>FI - Thermal energy service in new and renovated buildings</t>
  </si>
  <si>
    <t>TES.ktoe.FI.Ser.BldNew.Thermal</t>
  </si>
  <si>
    <t>TES.ktoe.FI.Ser.BldNew.Thermal.SH</t>
  </si>
  <si>
    <t>TES.ktoe.FI.Ser.BldNew.Thermal.SH.Solids.Solids</t>
  </si>
  <si>
    <t>TES.ktoe.FI.Ser.BldNew.Thermal.SH.LPG.LPG</t>
  </si>
  <si>
    <t>TES.ktoe.FI.Ser.BldNew.Thermal.SH.Oil.Oil_LiqBio</t>
  </si>
  <si>
    <t>TES.ktoe.FI.Ser.BldNew.Thermal.SH.GasHP.NG_Biogas</t>
  </si>
  <si>
    <t>TES.ktoe.FI.Ser.BldNew.Thermal.SH.GasTH.NG_Biogas</t>
  </si>
  <si>
    <t>TES.ktoe.FI.Ser.BldNew.Thermal.SH.Biomass.Biomass_Waste</t>
  </si>
  <si>
    <t>TES.ktoe.FI.Ser.BldNew.Thermal.SH.Geo.Geo</t>
  </si>
  <si>
    <t>TES.ktoe.FI.Ser.BldNew.Thermal.SH.DistrHeat.Steam_Distr</t>
  </si>
  <si>
    <t>TES.ktoe.FI.Ser.BldNew.Thermal.SH.AdvElc.Elec</t>
  </si>
  <si>
    <t>TES.ktoe.FI.Ser.BldNew.Thermal.SH.ConvElc.Elec</t>
  </si>
  <si>
    <t>TES.ktoe.FI.Ser.BldNew.Thermal.SH.TotalCirculation.Elec</t>
  </si>
  <si>
    <t>TES.ktoe.FI.Ser.BldNew.Thermal.SC</t>
  </si>
  <si>
    <t>TES.ktoe.FI.Ser.BldNew.Thermal.SC.GasHP.NG_Biogas</t>
  </si>
  <si>
    <t>TES.ktoe.FI.Ser.BldNew.Thermal.SC.AC.Elec</t>
  </si>
  <si>
    <t>TES.ktoe.FI.Ser.BldNew.Thermal.HW</t>
  </si>
  <si>
    <t>TES.ktoe.FI.Ser.BldNew.Thermal.HW.Solids.Solids</t>
  </si>
  <si>
    <t>TES.ktoe.FI.Ser.BldNew.Thermal.HW.LPG.LPG</t>
  </si>
  <si>
    <t>TES.ktoe.FI.Ser.BldNew.Thermal.HW.Oil.Oil_LiqBio</t>
  </si>
  <si>
    <t>TES.ktoe.FI.Ser.BldNew.Thermal.HW.Gas.NG_Biogas</t>
  </si>
  <si>
    <t>TES.ktoe.FI.Ser.BldNew.Thermal.HW.Biomass.Biomass_Waste</t>
  </si>
  <si>
    <t>TES.ktoe.FI.Ser.BldNew.Thermal.HW.DistrHeat.Steam_Distr</t>
  </si>
  <si>
    <t>TES.ktoe.FI.Ser.BldNew.Thermal.HW.Elc.Elec</t>
  </si>
  <si>
    <t>TES.ktoe.FI.Ser.BldNew.Thermal.HW.TotalSolar.Solar</t>
  </si>
  <si>
    <t>TES.ktoe.FI.Ser.BldNew.Thermal.CA</t>
  </si>
  <si>
    <t>TES.ktoe.FI.Ser.BldNew.Thermal.CA.LPG</t>
  </si>
  <si>
    <t>TES.ktoe.FI.Ser.BldNew.Thermal.CA.Gas.NG_Biogas</t>
  </si>
  <si>
    <t>TES.ktoe.FI.Ser.BldNew.Thermal.CA.Biomass.Biomass_Waste</t>
  </si>
  <si>
    <t>TES.ktoe.FI.Ser.BldNew.Thermal.CA.Elc.Elec</t>
  </si>
  <si>
    <t>FI - System efficiency indicator of new and renovated buildings</t>
  </si>
  <si>
    <t>Eff.ratio.FI.Ser.BldNew.Thermal</t>
  </si>
  <si>
    <t>Eff.ratio.FI.Ser.BldNew.Thermal.SH</t>
  </si>
  <si>
    <t>Eff.ratio.FI.Ser.BldNew.Thermal.SH.Solids.Solids</t>
  </si>
  <si>
    <t>Eff.ratio.FI.Ser.BldNew.Thermal.SH.LPG.LPG</t>
  </si>
  <si>
    <t>Eff.ratio.FI.Ser.BldNew.Thermal.SH.Oil.Oil_LiqBio</t>
  </si>
  <si>
    <t>Eff.ratio.FI.Ser.BldNew.Thermal.SH.GasHP.NG_Biogas</t>
  </si>
  <si>
    <t>Eff.ratio.FI.Ser.BldNew.Thermal.SH.GasTH.NG_Biogas</t>
  </si>
  <si>
    <t>Eff.ratio.FI.Ser.BldNew.Thermal.SH.Biomass.Biomass_Waste</t>
  </si>
  <si>
    <t>Eff.ratio.FI.Ser.BldNew.Thermal.SH.Geo.Geo</t>
  </si>
  <si>
    <t>Eff.ratio.FI.Ser.BldNew.Thermal.SH.DistrHeat.Steam_Distr</t>
  </si>
  <si>
    <t>Eff.ratio.FI.Ser.BldNew.Thermal.SH.AdvElc.Elec</t>
  </si>
  <si>
    <t>Eff.ratio.FI.Ser.BldNew.Thermal.SH.ConvElc.Elec</t>
  </si>
  <si>
    <t>Eff.ratio.FI.Ser.BldNew.Thermal.SH.TotalCirculation.Elec</t>
  </si>
  <si>
    <t>Eff.ratio.FI.Ser.BldNew.Thermal.SC</t>
  </si>
  <si>
    <t>Eff.ratio.FI.Ser.BldNew.Thermal.SC.GasHP.NG_Biogas</t>
  </si>
  <si>
    <t>Eff.ratio.FI.Ser.BldNew.Thermal.SC.AC.Elec</t>
  </si>
  <si>
    <t>Eff.ratio.FI.Ser.BldNew.Thermal.HW</t>
  </si>
  <si>
    <t>Eff.ratio.FI.Ser.BldNew.Thermal.HW.Solids.Solids</t>
  </si>
  <si>
    <t>Eff.ratio.FI.Ser.BldNew.Thermal.HW.LPG.LPG</t>
  </si>
  <si>
    <t>Eff.ratio.FI.Ser.BldNew.Thermal.HW.Oil.Oil_LiqBio</t>
  </si>
  <si>
    <t>Eff.ratio.FI.Ser.BldNew.Thermal.HW.Gas.NG_Biogas</t>
  </si>
  <si>
    <t>Eff.ratio.FI.Ser.BldNew.Thermal.HW.Biomass.Biomass_Waste</t>
  </si>
  <si>
    <t>Eff.ratio.FI.Ser.BldNew.Thermal.HW.DistrHeat.Steam_Distr</t>
  </si>
  <si>
    <t>Eff.ratio.FI.Ser.BldNew.Thermal.HW.Elc.Elec</t>
  </si>
  <si>
    <t>Eff.ratio.FI.Ser.BldNew.Thermal.HW.TotalSolar.Solar</t>
  </si>
  <si>
    <t>Eff.ratio.FI.Ser.BldNew.Thermal.CA</t>
  </si>
  <si>
    <t>Eff.ratio.FI.Ser.BldNew.Thermal.CA.LPG</t>
  </si>
  <si>
    <t>Eff.ratio.FI.Ser.BldNew.Thermal.CA.Gas.NG_Biogas</t>
  </si>
  <si>
    <t>Eff.ratio.FI.Ser.BldNew.Thermal.CA.Biomass.Biomass_Waste</t>
  </si>
  <si>
    <t>Eff.ratio.FI.Ser.BldNew.Thermal.CA.Elc.Elec</t>
  </si>
  <si>
    <t>FI - CO2 emissions in new and renovated buildings</t>
  </si>
  <si>
    <t>EMI.ktCO2.FI.Ser.BldNew.Thermal</t>
  </si>
  <si>
    <t>EMI.ktCO2.FI.Ser.BldNew.Thermal.SH</t>
  </si>
  <si>
    <t>EMI.ktCO2.FI.Ser.BldNew.Thermal.SH.Solids.Solids</t>
  </si>
  <si>
    <t>EMI.ktCO2.FI.Ser.BldNew.Thermal.SH.LPG.LPG</t>
  </si>
  <si>
    <t>EMI.ktCO2.FI.Ser.BldNew.Thermal.SH.Oil.Oil_LiqBio</t>
  </si>
  <si>
    <t>EMI.ktCO2.FI.Ser.BldNew.Thermal.SH.GasHP.NG_Biogas</t>
  </si>
  <si>
    <t>EMI.ktCO2.FI.Ser.BldNew.Thermal.SH.GasTH.NG_Biogas</t>
  </si>
  <si>
    <t>EMI.ktCO2.FI.Ser.BldNew.Thermal.SH.Biomass.Biomass_Waste</t>
  </si>
  <si>
    <t>EMI.ktCO2.FI.Ser.BldNew.Thermal.SH.Geo.Geo</t>
  </si>
  <si>
    <t>EMI.ktCO2.FI.Ser.BldNew.Thermal.SH.DistrHeat.Steam_Distr</t>
  </si>
  <si>
    <t>EMI.ktCO2.FI.Ser.BldNew.Thermal.SH.AdvElc.Elec</t>
  </si>
  <si>
    <t>EMI.ktCO2.FI.Ser.BldNew.Thermal.SH.ConvElc.Elec</t>
  </si>
  <si>
    <t>EMI.ktCO2.FI.Ser.BldNew.Thermal.SH.TotalCirculation.Elec</t>
  </si>
  <si>
    <t>EMI.ktCO2.FI.Ser.BldNew.Thermal.SC</t>
  </si>
  <si>
    <t>EMI.ktCO2.FI.Ser.BldNew.Thermal.SC.GasHP.NG_Biogas</t>
  </si>
  <si>
    <t>EMI.ktCO2.FI.Ser.BldNew.Thermal.SC.AC.Elec</t>
  </si>
  <si>
    <t>EMI.ktCO2.FI.Ser.BldNew.Thermal.HW</t>
  </si>
  <si>
    <t>EMI.ktCO2.FI.Ser.BldNew.Thermal.HW.Solids.Solids</t>
  </si>
  <si>
    <t>EMI.ktCO2.FI.Ser.BldNew.Thermal.HW.LPG.LPG</t>
  </si>
  <si>
    <t>EMI.ktCO2.FI.Ser.BldNew.Thermal.HW.Oil.Oil_LiqBio</t>
  </si>
  <si>
    <t>EMI.ktCO2.FI.Ser.BldNew.Thermal.HW.Gas.NG_Biogas</t>
  </si>
  <si>
    <t>EMI.ktCO2.FI.Ser.BldNew.Thermal.HW.Biomass.Biomass_Waste</t>
  </si>
  <si>
    <t>EMI.ktCO2.FI.Ser.BldNew.Thermal.HW.DistrHeat.Steam_Distr</t>
  </si>
  <si>
    <t>EMI.ktCO2.FI.Ser.BldNew.Thermal.HW.Elc.Elec</t>
  </si>
  <si>
    <t>EMI.ktCO2.FI.Ser.BldNew.Thermal.HW.TotalSolar.Solar</t>
  </si>
  <si>
    <t>EMI.ktCO2.FI.Ser.BldNew.Thermal.CA</t>
  </si>
  <si>
    <t>EMI.ktCO2.FI.Ser.BldNew.Thermal.CA.LPG</t>
  </si>
  <si>
    <t>EMI.ktCO2.FI.Ser.BldNew.Thermal.CA.Gas.NG_Biogas</t>
  </si>
  <si>
    <t>EMI.ktCO2.FI.Ser.BldNew.Thermal.CA.Biomass.Biomass_Waste</t>
  </si>
  <si>
    <t>EMI.ktCO2.FI.Ser.BldNew.Thermal.CA.Elc.Elec</t>
  </si>
  <si>
    <t>FI - Final energy consumption of new and renovated buildings (per building)</t>
  </si>
  <si>
    <t>FEC_per_building.kWh.FI.Ser.BldNew.Thermal</t>
  </si>
  <si>
    <t>FEC_per_building.kWh.FI.Ser.BldNew.Thermal.SH</t>
  </si>
  <si>
    <t>FEC_per_building.kWh.FI.Ser.BldNew.Thermal.SH.Solids.Solids</t>
  </si>
  <si>
    <t>FEC_per_building.kWh.FI.Ser.BldNew.Thermal.SH.LPG.LPG</t>
  </si>
  <si>
    <t>FEC_per_building.kWh.FI.Ser.BldNew.Thermal.SH.Oil.Oil_LiqBio</t>
  </si>
  <si>
    <t>FEC_per_building.kWh.FI.Ser.BldNew.Thermal.SH.GasHP.NG_Biogas</t>
  </si>
  <si>
    <t>FEC_per_building.kWh.FI.Ser.BldNew.Thermal.SH.GasTH.NG_Biogas</t>
  </si>
  <si>
    <t>FEC_per_building.kWh.FI.Ser.BldNew.Thermal.SH.Biomass.Biomass_Waste</t>
  </si>
  <si>
    <t>FEC_per_building.kWh.FI.Ser.BldNew.Thermal.SH.Geo.Geo</t>
  </si>
  <si>
    <t>FEC_per_building.kWh.FI.Ser.BldNew.Thermal.SH.DistrHeat.Steam_Distr</t>
  </si>
  <si>
    <t>FEC_per_building.kWh.FI.Ser.BldNew.Thermal.SH.AdvElc.Elec</t>
  </si>
  <si>
    <t>FEC_per_building.kWh.FI.Ser.BldNew.Thermal.SH.ConvElc.Elec</t>
  </si>
  <si>
    <t>FEC_per_building.kWh.FI.Ser.BldNew.Thermal.SH.TotalCirculation.Elec</t>
  </si>
  <si>
    <t>FEC_per_building.kWh.FI.Ser.BldNew.Thermal.SC</t>
  </si>
  <si>
    <t>FEC_per_building.kWh.FI.Ser.BldNew.Thermal.SC.GasHP.NG_Biogas</t>
  </si>
  <si>
    <t>FEC_per_building.kWh.FI.Ser.BldNew.Thermal.SC.AC.Elec</t>
  </si>
  <si>
    <t>FEC_per_building.kWh.FI.Ser.BldNew.Thermal.HW</t>
  </si>
  <si>
    <t>FEC_per_building.kWh.FI.Ser.BldNew.Thermal.HW.Solids.Solids</t>
  </si>
  <si>
    <t>FEC_per_building.kWh.FI.Ser.BldNew.Thermal.HW.LPG.LPG</t>
  </si>
  <si>
    <t>FEC_per_building.kWh.FI.Ser.BldNew.Thermal.HW.Oil.Oil_LiqBio</t>
  </si>
  <si>
    <t>FEC_per_building.kWh.FI.Ser.BldNew.Thermal.HW.Gas.NG_Biogas</t>
  </si>
  <si>
    <t>FEC_per_building.kWh.FI.Ser.BldNew.Thermal.HW.Biomass.Biomass_Waste</t>
  </si>
  <si>
    <t>FEC_per_building.kWh.FI.Ser.BldNew.Thermal.HW.DistrHeat.Steam_Distr</t>
  </si>
  <si>
    <t>FEC_per_building.kWh.FI.Ser.BldNew.Thermal.HW.Elc.Elec</t>
  </si>
  <si>
    <t>FEC_per_building.kWh.FI.Ser.BldNew.Thermal.HW.TotalSolar.Solar</t>
  </si>
  <si>
    <t>FEC_per_building.kWh.FI.Ser.BldNew.Thermal.CA</t>
  </si>
  <si>
    <t>FEC_per_building.kWh.FI.Ser.BldNew.Thermal.CA.LPG</t>
  </si>
  <si>
    <t>FEC_per_building.kWh.FI.Ser.BldNew.Thermal.CA.Gas.NG_Biogas</t>
  </si>
  <si>
    <t>FEC_per_building.kWh.FI.Ser.BldNew.Thermal.CA.Biomass.Biomass_Waste</t>
  </si>
  <si>
    <t>FEC_per_building.kWh.FI.Ser.BldNew.Thermal.CA.Elc.Elec</t>
  </si>
  <si>
    <t>FI - Thermal energy service of new and renovated buildings (per building)</t>
  </si>
  <si>
    <t>TES_per_building.kWh.FI.Ser.BldNew.Thermal</t>
  </si>
  <si>
    <t>TES_per_building.kWh.FI.Ser.BldNew.Thermal.SH</t>
  </si>
  <si>
    <t>TES_per_building.kWh.FI.Ser.BldNew.Thermal.SH.Solids.Solids</t>
  </si>
  <si>
    <t>TES_per_building.kWh.FI.Ser.BldNew.Thermal.SH.LPG.LPG</t>
  </si>
  <si>
    <t>TES_per_building.kWh.FI.Ser.BldNew.Thermal.SH.Oil.Oil_LiqBio</t>
  </si>
  <si>
    <t>TES_per_building.kWh.FI.Ser.BldNew.Thermal.SH.GasHP.NG_Biogas</t>
  </si>
  <si>
    <t>TES_per_building.kWh.FI.Ser.BldNew.Thermal.SH.GasTH.NG_Biogas</t>
  </si>
  <si>
    <t>TES_per_building.kWh.FI.Ser.BldNew.Thermal.SH.Biomass.Biomass_Waste</t>
  </si>
  <si>
    <t>TES_per_building.kWh.FI.Ser.BldNew.Thermal.SH.Geo.Geo</t>
  </si>
  <si>
    <t>TES_per_building.kWh.FI.Ser.BldNew.Thermal.SH.DistrHeat.Steam_Distr</t>
  </si>
  <si>
    <t>TES_per_building.kWh.FI.Ser.BldNew.Thermal.SH.AdvElc.Elec</t>
  </si>
  <si>
    <t>TES_per_building.kWh.FI.Ser.BldNew.Thermal.SH.ConvElc.Elec</t>
  </si>
  <si>
    <t>TES_per_building.kWh.FI.Ser.BldNew.Thermal.SH.TotalCirculation.Elec</t>
  </si>
  <si>
    <t>TES_per_building.kWh.FI.Ser.BldNew.Thermal.SC</t>
  </si>
  <si>
    <t>TES_per_building.kWh.FI.Ser.BldNew.Thermal.SC.GasHP.NG_Biogas</t>
  </si>
  <si>
    <t>TES_per_building.kWh.FI.Ser.BldNew.Thermal.SC.AC.Elec</t>
  </si>
  <si>
    <t>TES_per_building.kWh.FI.Ser.BldNew.Thermal.HW</t>
  </si>
  <si>
    <t>TES_per_building.kWh.FI.Ser.BldNew.Thermal.HW.Solids.Solids</t>
  </si>
  <si>
    <t>TES_per_building.kWh.FI.Ser.BldNew.Thermal.HW.LPG.LPG</t>
  </si>
  <si>
    <t>TES_per_building.kWh.FI.Ser.BldNew.Thermal.HW.Oil.Oil_LiqBio</t>
  </si>
  <si>
    <t>TES_per_building.kWh.FI.Ser.BldNew.Thermal.HW.Gas.NG_Biogas</t>
  </si>
  <si>
    <t>TES_per_building.kWh.FI.Ser.BldNew.Thermal.HW.Biomass.Biomass_Waste</t>
  </si>
  <si>
    <t>TES_per_building.kWh.FI.Ser.BldNew.Thermal.HW.DistrHeat.Steam_Distr</t>
  </si>
  <si>
    <t>TES_per_building.kWh.FI.Ser.BldNew.Thermal.HW.Elc.Elec</t>
  </si>
  <si>
    <t>TES_per_building.kWh.FI.Ser.BldNew.Thermal.HW.TotalSolar.Solar</t>
  </si>
  <si>
    <t>TES_per_building.kWh.FI.Ser.BldNew.Thermal.CA</t>
  </si>
  <si>
    <t>TES_per_building.kWh.FI.Ser.BldNew.Thermal.CA.LPG</t>
  </si>
  <si>
    <t>TES_per_building.kWh.FI.Ser.BldNew.Thermal.CA.Gas.NG_Biogas</t>
  </si>
  <si>
    <t>TES_per_building.kWh.FI.Ser.BldNew.Thermal.CA.Biomass.Biomass_Waste</t>
  </si>
  <si>
    <t>TES_per_building.kWh.FI.Ser.BldNew.Thermal.CA.Elc.Elec</t>
  </si>
  <si>
    <t>FI - CO2 emissions in new and renovated buildings (per building)</t>
  </si>
  <si>
    <t>EMI_per_building.kgCO2.FI.Ser.BldNew.Thermal</t>
  </si>
  <si>
    <t>EMI_per_building.kgCO2.FI.Ser.BldNew.Thermal.SH</t>
  </si>
  <si>
    <t>EMI_per_building.kgCO2.FI.Ser.BldNew.Thermal.SH.Solids.Solids</t>
  </si>
  <si>
    <t>EMI_per_building.kgCO2.FI.Ser.BldNew.Thermal.SH.LPG.LPG</t>
  </si>
  <si>
    <t>EMI_per_building.kgCO2.FI.Ser.BldNew.Thermal.SH.Oil.Oil_LiqBio</t>
  </si>
  <si>
    <t>EMI_per_building.kgCO2.FI.Ser.BldNew.Thermal.SH.GasHP.NG_Biogas</t>
  </si>
  <si>
    <t>EMI_per_building.kgCO2.FI.Ser.BldNew.Thermal.SH.GasTH.NG_Biogas</t>
  </si>
  <si>
    <t>EMI_per_building.kgCO2.FI.Ser.BldNew.Thermal.SH.Biomass.Biomass_Waste</t>
  </si>
  <si>
    <t>EMI_per_building.kgCO2.FI.Ser.BldNew.Thermal.SH.Geo.Geo</t>
  </si>
  <si>
    <t>EMI_per_building.kgCO2.FI.Ser.BldNew.Thermal.SH.DistrHeat.Steam_Distr</t>
  </si>
  <si>
    <t>EMI_per_building.kgCO2.FI.Ser.BldNew.Thermal.SH.AdvElc.Elec</t>
  </si>
  <si>
    <t>EMI_per_building.kgCO2.FI.Ser.BldNew.Thermal.SH.ConvElc.Elec</t>
  </si>
  <si>
    <t>EMI_per_building.kgCO2.FI.Ser.BldNew.Thermal.SH.TotalCirculation.Elec</t>
  </si>
  <si>
    <t>EMI_per_building.kgCO2.FI.Ser.BldNew.Thermal.SC</t>
  </si>
  <si>
    <t>EMI_per_building.kgCO2.FI.Ser.BldNew.Thermal.SC.GasHP.NG_Biogas</t>
  </si>
  <si>
    <t>EMI_per_building.kgCO2.FI.Ser.BldNew.Thermal.SC.AC.Elec</t>
  </si>
  <si>
    <t>EMI_per_building.kgCO2.FI.Ser.BldNew.Thermal.HW</t>
  </si>
  <si>
    <t>EMI_per_building.kgCO2.FI.Ser.BldNew.Thermal.HW.Solids.Solids</t>
  </si>
  <si>
    <t>EMI_per_building.kgCO2.FI.Ser.BldNew.Thermal.HW.LPG.LPG</t>
  </si>
  <si>
    <t>EMI_per_building.kgCO2.FI.Ser.BldNew.Thermal.HW.Oil.Oil_LiqBio</t>
  </si>
  <si>
    <t>EMI_per_building.kgCO2.FI.Ser.BldNew.Thermal.HW.Gas.NG_Biogas</t>
  </si>
  <si>
    <t>EMI_per_building.kgCO2.FI.Ser.BldNew.Thermal.HW.Biomass.Biomass_Waste</t>
  </si>
  <si>
    <t>EMI_per_building.kgCO2.FI.Ser.BldNew.Thermal.HW.DistrHeat.Steam_Distr</t>
  </si>
  <si>
    <t>EMI_per_building.kgCO2.FI.Ser.BldNew.Thermal.HW.Elc.Elec</t>
  </si>
  <si>
    <t>EMI_per_building.kgCO2.FI.Ser.BldNew.Thermal.HW.TotalSolar.Solar</t>
  </si>
  <si>
    <t>EMI_per_building.kgCO2.FI.Ser.BldNew.Thermal.CA</t>
  </si>
  <si>
    <t>EMI_per_building.kgCO2.FI.Ser.BldNew.Thermal.CA.LPG</t>
  </si>
  <si>
    <t>EMI_per_building.kgCO2.FI.Ser.BldNew.Thermal.CA.Gas.NG_Biogas</t>
  </si>
  <si>
    <t>EMI_per_building.kgCO2.FI.Ser.BldNew.Thermal.CA.Biomass.Biomass_Waste</t>
  </si>
  <si>
    <t>EMI_per_building.kgCO2.FI.Ser.BldNew.Thermal.CA.Elc.Elec</t>
  </si>
  <si>
    <t>FI - Final energy consumption in new and renovated buildings per surface area</t>
  </si>
  <si>
    <t>FEC_per_sqm.kWh.FI.Ser.BldNew.Thermal</t>
  </si>
  <si>
    <t>FEC_per_sqm.kWh.FI.Ser.BldNew.Thermal.SH</t>
  </si>
  <si>
    <t>FEC_per_sqm.kWh.FI.Ser.BldNew.Thermal.SH.Solids.Solids</t>
  </si>
  <si>
    <t>FEC_per_sqm.kWh.FI.Ser.BldNew.Thermal.SH.LPG.LPG</t>
  </si>
  <si>
    <t>FEC_per_sqm.kWh.FI.Ser.BldNew.Thermal.SH.Oil.Oil_LiqBio</t>
  </si>
  <si>
    <t>FEC_per_sqm.kWh.FI.Ser.BldNew.Thermal.SH.GasHP.NG_Biogas</t>
  </si>
  <si>
    <t>FEC_per_sqm.kWh.FI.Ser.BldNew.Thermal.SH.GasTH.NG_Biogas</t>
  </si>
  <si>
    <t>FEC_per_sqm.kWh.FI.Ser.BldNew.Thermal.SH.Biomass.Biomass_Waste</t>
  </si>
  <si>
    <t>FEC_per_sqm.kWh.FI.Ser.BldNew.Thermal.SH.Geo.Geo</t>
  </si>
  <si>
    <t>FEC_per_sqm.kWh.FI.Ser.BldNew.Thermal.SH.DistrHeat.Steam_Distr</t>
  </si>
  <si>
    <t>FEC_per_sqm.kWh.FI.Ser.BldNew.Thermal.SH.AdvElc.Elec</t>
  </si>
  <si>
    <t>FEC_per_sqm.kWh.FI.Ser.BldNew.Thermal.SH.ConvElc.Elec</t>
  </si>
  <si>
    <t>FEC_per_sqm.kWh.FI.Ser.BldNew.Thermal.SH.TotalCirculation.Elec</t>
  </si>
  <si>
    <t>FEC_per_sqm.kWh.FI.Ser.BldNew.Thermal.SC</t>
  </si>
  <si>
    <t>FEC_per_sqm.kWh.FI.Ser.BldNew.Thermal.SC.GasHP.NG_Biogas</t>
  </si>
  <si>
    <t>FEC_per_sqm.kWh.FI.Ser.BldNew.Thermal.SC.AC.Elec</t>
  </si>
  <si>
    <t>FEC_per_sqm.kWh.FI.Ser.BldNew.Thermal.HW</t>
  </si>
  <si>
    <t>FEC_per_sqm.kWh.FI.Ser.BldNew.Thermal.HW.Solids.Solids</t>
  </si>
  <si>
    <t>FEC_per_sqm.kWh.FI.Ser.BldNew.Thermal.HW.LPG.LPG</t>
  </si>
  <si>
    <t>FEC_per_sqm.kWh.FI.Ser.BldNew.Thermal.HW.Oil.Oil_LiqBio</t>
  </si>
  <si>
    <t>FEC_per_sqm.kWh.FI.Ser.BldNew.Thermal.HW.Gas.NG_Biogas</t>
  </si>
  <si>
    <t>FEC_per_sqm.kWh.FI.Ser.BldNew.Thermal.HW.Biomass.Biomass_Waste</t>
  </si>
  <si>
    <t>FEC_per_sqm.kWh.FI.Ser.BldNew.Thermal.HW.DistrHeat.Steam_Distr</t>
  </si>
  <si>
    <t>FEC_per_sqm.kWh.FI.Ser.BldNew.Thermal.HW.Elc.Elec</t>
  </si>
  <si>
    <t>FEC_per_sqm.kWh.FI.Ser.BldNew.Thermal.HW.TotalSolar.Solar</t>
  </si>
  <si>
    <t>FEC_per_sqm.kWh.FI.Ser.BldNew.Thermal.CA</t>
  </si>
  <si>
    <t>FEC_per_sqm.kWh.FI.Ser.BldNew.Thermal.CA.LPG</t>
  </si>
  <si>
    <t>FEC_per_sqm.kWh.FI.Ser.BldNew.Thermal.CA.Gas.NG_Biogas</t>
  </si>
  <si>
    <t>FEC_per_sqm.kWh.FI.Ser.BldNew.Thermal.CA.Biomass.Biomass_Waste</t>
  </si>
  <si>
    <t>FEC_per_sqm.kWh.FI.Ser.BldNew.Thermal.CA.Elc.Elec</t>
  </si>
  <si>
    <t>FI - Thermal energy service in new and renovated buildings per surface area</t>
  </si>
  <si>
    <t>TES_per_sqm.kWh.FI.Ser.BldNew.Thermal</t>
  </si>
  <si>
    <t>TES_per_sqm.kWh.FI.Ser.BldNew.Thermal.SH</t>
  </si>
  <si>
    <t>TES_per_sqm.kWh.FI.Ser.BldNew.Thermal.SH.Solids.Solids</t>
  </si>
  <si>
    <t>TES_per_sqm.kWh.FI.Ser.BldNew.Thermal.SH.LPG.LPG</t>
  </si>
  <si>
    <t>TES_per_sqm.kWh.FI.Ser.BldNew.Thermal.SH.Oil.Oil_LiqBio</t>
  </si>
  <si>
    <t>TES_per_sqm.kWh.FI.Ser.BldNew.Thermal.SH.GasHP.NG_Biogas</t>
  </si>
  <si>
    <t>TES_per_sqm.kWh.FI.Ser.BldNew.Thermal.SH.GasTH.NG_Biogas</t>
  </si>
  <si>
    <t>TES_per_sqm.kWh.FI.Ser.BldNew.Thermal.SH.Biomass.Biomass_Waste</t>
  </si>
  <si>
    <t>TES_per_sqm.kWh.FI.Ser.BldNew.Thermal.SH.Geo.Geo</t>
  </si>
  <si>
    <t>TES_per_sqm.kWh.FI.Ser.BldNew.Thermal.SH.DistrHeat.Steam_Distr</t>
  </si>
  <si>
    <t>TES_per_sqm.kWh.FI.Ser.BldNew.Thermal.SH.AdvElc.Elec</t>
  </si>
  <si>
    <t>TES_per_sqm.kWh.FI.Ser.BldNew.Thermal.SH.ConvElc.Elec</t>
  </si>
  <si>
    <t>TES_per_sqm.kWh.FI.Ser.BldNew.Thermal.SH.TotalCirculation.Elec</t>
  </si>
  <si>
    <t>TES_per_sqm.kWh.FI.Ser.BldNew.Thermal.SC</t>
  </si>
  <si>
    <t>TES_per_sqm.kWh.FI.Ser.BldNew.Thermal.SC.GasHP.NG_Biogas</t>
  </si>
  <si>
    <t>TES_per_sqm.kWh.FI.Ser.BldNew.Thermal.SC.AC.Elec</t>
  </si>
  <si>
    <t>TES_per_sqm.kWh.FI.Ser.BldNew.Thermal.HW</t>
  </si>
  <si>
    <t>TES_per_sqm.kWh.FI.Ser.BldNew.Thermal.HW.Solids.Solids</t>
  </si>
  <si>
    <t>TES_per_sqm.kWh.FI.Ser.BldNew.Thermal.HW.LPG.LPG</t>
  </si>
  <si>
    <t>TES_per_sqm.kWh.FI.Ser.BldNew.Thermal.HW.Oil.Oil_LiqBio</t>
  </si>
  <si>
    <t>TES_per_sqm.kWh.FI.Ser.BldNew.Thermal.HW.Gas.NG_Biogas</t>
  </si>
  <si>
    <t>TES_per_sqm.kWh.FI.Ser.BldNew.Thermal.HW.Biomass.Biomass_Waste</t>
  </si>
  <si>
    <t>TES_per_sqm.kWh.FI.Ser.BldNew.Thermal.HW.DistrHeat.Steam_Distr</t>
  </si>
  <si>
    <t>TES_per_sqm.kWh.FI.Ser.BldNew.Thermal.HW.Elc.Elec</t>
  </si>
  <si>
    <t>TES_per_sqm.kWh.FI.Ser.BldNew.Thermal.HW.TotalSolar.Solar</t>
  </si>
  <si>
    <t>TES_per_sqm.kWh.FI.Ser.BldNew.Thermal.CA</t>
  </si>
  <si>
    <t>TES_per_sqm.kWh.FI.Ser.BldNew.Thermal.CA.LPG</t>
  </si>
  <si>
    <t>TES_per_sqm.kWh.FI.Ser.BldNew.Thermal.CA.Gas.NG_Biogas</t>
  </si>
  <si>
    <t>TES_per_sqm.kWh.FI.Ser.BldNew.Thermal.CA.Biomass.Biomass_Waste</t>
  </si>
  <si>
    <t>TES_per_sqm.kWh.FI.Ser.BldNew.Thermal.CA.Elc.Elec</t>
  </si>
  <si>
    <t>FI - CO2 emissions in new and renovated buildings per surface area</t>
  </si>
  <si>
    <t>EMI_per_sqm.kgCO2.FI.Ser.BldNew.Thermal</t>
  </si>
  <si>
    <t>EMI_per_sqm.kgCO2.FI.Ser.BldNew.Thermal.SH</t>
  </si>
  <si>
    <t>EMI_per_sqm.kgCO2.FI.Ser.BldNew.Thermal.SH.Solids.Solids</t>
  </si>
  <si>
    <t>EMI_per_sqm.kgCO2.FI.Ser.BldNew.Thermal.SH.LPG.LPG</t>
  </si>
  <si>
    <t>EMI_per_sqm.kgCO2.FI.Ser.BldNew.Thermal.SH.Oil.Oil_LiqBio</t>
  </si>
  <si>
    <t>EMI_per_sqm.kgCO2.FI.Ser.BldNew.Thermal.SH.GasHP.NG_Biogas</t>
  </si>
  <si>
    <t>EMI_per_sqm.kgCO2.FI.Ser.BldNew.Thermal.SH.GasTH.NG_Biogas</t>
  </si>
  <si>
    <t>EMI_per_sqm.kgCO2.FI.Ser.BldNew.Thermal.SH.Biomass.Biomass_Waste</t>
  </si>
  <si>
    <t>EMI_per_sqm.kgCO2.FI.Ser.BldNew.Thermal.SH.Geo.Geo</t>
  </si>
  <si>
    <t>EMI_per_sqm.kgCO2.FI.Ser.BldNew.Thermal.SH.DistrHeat.Steam_Distr</t>
  </si>
  <si>
    <t>EMI_per_sqm.kgCO2.FI.Ser.BldNew.Thermal.SH.AdvElc.Elec</t>
  </si>
  <si>
    <t>EMI_per_sqm.kgCO2.FI.Ser.BldNew.Thermal.SH.ConvElc.Elec</t>
  </si>
  <si>
    <t>EMI_per_sqm.kgCO2.FI.Ser.BldNew.Thermal.SH.TotalCirculation.Elec</t>
  </si>
  <si>
    <t>EMI_per_sqm.kgCO2.FI.Ser.BldNew.Thermal.SC</t>
  </si>
  <si>
    <t>EMI_per_sqm.kgCO2.FI.Ser.BldNew.Thermal.SC.GasHP.NG_Biogas</t>
  </si>
  <si>
    <t>EMI_per_sqm.kgCO2.FI.Ser.BldNew.Thermal.SC.AC.Elec</t>
  </si>
  <si>
    <t>EMI_per_sqm.kgCO2.FI.Ser.BldNew.Thermal.HW</t>
  </si>
  <si>
    <t>EMI_per_sqm.kgCO2.FI.Ser.BldNew.Thermal.HW.Solids.Solids</t>
  </si>
  <si>
    <t>EMI_per_sqm.kgCO2.FI.Ser.BldNew.Thermal.HW.LPG.LPG</t>
  </si>
  <si>
    <t>EMI_per_sqm.kgCO2.FI.Ser.BldNew.Thermal.HW.Oil.Oil_LiqBio</t>
  </si>
  <si>
    <t>EMI_per_sqm.kgCO2.FI.Ser.BldNew.Thermal.HW.Gas.NG_Biogas</t>
  </si>
  <si>
    <t>EMI_per_sqm.kgCO2.FI.Ser.BldNew.Thermal.HW.Biomass.Biomass_Waste</t>
  </si>
  <si>
    <t>EMI_per_sqm.kgCO2.FI.Ser.BldNew.Thermal.HW.DistrHeat.Steam_Distr</t>
  </si>
  <si>
    <t>EMI_per_sqm.kgCO2.FI.Ser.BldNew.Thermal.HW.Elc.Elec</t>
  </si>
  <si>
    <t>EMI_per_sqm.kgCO2.FI.Ser.BldNew.Thermal.HW.TotalSolar.Solar</t>
  </si>
  <si>
    <t>EMI_per_sqm.kgCO2.FI.Ser.BldNew.Thermal.CA</t>
  </si>
  <si>
    <t>EMI_per_sqm.kgCO2.FI.Ser.BldNew.Thermal.CA.LPG</t>
  </si>
  <si>
    <t>EMI_per_sqm.kgCO2.FI.Ser.BldNew.Thermal.CA.Gas.NG_Biogas</t>
  </si>
  <si>
    <t>EMI_per_sqm.kgCO2.FI.Ser.BldNew.Thermal.CA.Biomass.Biomass_Waste</t>
  </si>
  <si>
    <t>EMI_per_sqm.kgCO2.FI.Ser.BldNew.Thermal.CA.Elc.Elec</t>
  </si>
  <si>
    <t>FEC.ktoe.FI.Ser.SEU.VE</t>
  </si>
  <si>
    <t>FEC.ktoe.FI.Ser.SEU.SL</t>
  </si>
  <si>
    <t>FEC.ktoe.FI.Ser.SEU.BL</t>
  </si>
  <si>
    <t>FEC.ktoe.FI.Ser.SEU.CR</t>
  </si>
  <si>
    <t>FEC.ktoe.FI.Ser.SEU.BT</t>
  </si>
  <si>
    <t>FEC.ktoe.FI.Ser.SEU.IT</t>
  </si>
  <si>
    <t>Size.MW.FI.Ser.SEU</t>
  </si>
  <si>
    <t>Size.MW.FI.Ser.SEU.VE</t>
  </si>
  <si>
    <t>Size.MW.FI.Ser.SEU.SL</t>
  </si>
  <si>
    <t>Size.MW.FI.Ser.SEU.BL</t>
  </si>
  <si>
    <t>Size.MW.FI.Ser.SEU.CR</t>
  </si>
  <si>
    <t>Size.MW.FI.Ser.SEU.BT</t>
  </si>
  <si>
    <t>Size.MW.FI.Ser.SEU.IT</t>
  </si>
  <si>
    <t>NUM.Msqm.FI.Ser.SEU.VE</t>
  </si>
  <si>
    <t>NUM.k.FI.Ser.SEU.SL</t>
  </si>
  <si>
    <t>NUM.M.FI.Ser.SEU.BL</t>
  </si>
  <si>
    <t>NUM.k.FI.Ser.SEU.CR</t>
  </si>
  <si>
    <t>NUM.Msqm.FI.Ser.SEU.BT</t>
  </si>
  <si>
    <t>NUM.k.FI.Ser.SEU.IT</t>
  </si>
  <si>
    <t>NUM.Msqm.FI.Ser.SEUnew.VE</t>
  </si>
  <si>
    <t>NUM.k.FI.Ser.SEUnew.SL</t>
  </si>
  <si>
    <t>NUM.M.FI.Ser.SEUnew.BL</t>
  </si>
  <si>
    <t>NUM.k.FI.Ser.SEUnew.CR</t>
  </si>
  <si>
    <t>NUM.Msqm.FI.Ser.SEUnew.BT</t>
  </si>
  <si>
    <t>NUM.k.FI.Ser.SEUnew.IT</t>
  </si>
  <si>
    <t>NUM.Msqm.FI.Ser.SEUrepl.VE</t>
  </si>
  <si>
    <t>NUM.k.FI.Ser.SEUrepl.SL</t>
  </si>
  <si>
    <t>NUM.M.FI.Ser.SEUrepl.BL</t>
  </si>
  <si>
    <t>NUM.k.FI.Ser.SEUrepl.CR</t>
  </si>
  <si>
    <t>NUM.Msqm.FI.Ser.SEUrepl.BT</t>
  </si>
  <si>
    <t>NUM.k.FI.Ser.SEUrepl.IT</t>
  </si>
  <si>
    <t>Op.hours.FI.Ser.SEU.VE</t>
  </si>
  <si>
    <t>Op.hours.FI.Ser.SEU.SL</t>
  </si>
  <si>
    <t>Op.hours.FI.Ser.SEU.BL</t>
  </si>
  <si>
    <t>Op.hours.FI.Ser.SEU.CR</t>
  </si>
  <si>
    <t>Op.hours.FI.Ser.SEU.BT</t>
  </si>
  <si>
    <t>Op.hours.FI.Ser.SEU.IT</t>
  </si>
  <si>
    <t>Size_per_appl.W.FI.Ser.SEU.VE</t>
  </si>
  <si>
    <t>Size_per_appl.W.FI.Ser.SEU.SL</t>
  </si>
  <si>
    <t>Size_per_appl.W.FI.Ser.SEU.BL</t>
  </si>
  <si>
    <t>Size_per_appl.W.FI.Ser.SEU.CR</t>
  </si>
  <si>
    <t>Size_per_appl.W.FI.Ser.SEU.BT</t>
  </si>
  <si>
    <t>Size_per_appl.W.FI.Ser.SEU.IT</t>
  </si>
  <si>
    <t>Size_per_appl.W.FI.Ser.SEUnew.VE</t>
  </si>
  <si>
    <t>Size_per_appl.W.FI.Ser.SEUnew.SL</t>
  </si>
  <si>
    <t>Size_per_appl.W.FI.Ser.SEUnew.BL</t>
  </si>
  <si>
    <t>Size_per_appl.W.FI.Ser.SEUnew.CR</t>
  </si>
  <si>
    <t>Size_per_appl.W.FI.Ser.SEUnew.BT</t>
  </si>
  <si>
    <t>Size_per_appl.W.FI.Ser.SEUnew.IT</t>
  </si>
  <si>
    <t>NUM.sqm_per_building.FI.Ser.SEU.VE</t>
  </si>
  <si>
    <t>NUM.number_per_capita.FI.Ser.SEU.SL</t>
  </si>
  <si>
    <t>NUM.number_per_building.FI.Ser.SEU.BL</t>
  </si>
  <si>
    <t>NUM.number_per_capita.FI.Ser.SEU.CR</t>
  </si>
  <si>
    <t>NUM.sqm_per_building.FI.Ser.SEU.BT</t>
  </si>
  <si>
    <t>NUM.number_per_capita.FI.Ser.SEU.IT</t>
  </si>
  <si>
    <t>Lumens_per_sqm.lumen.FI.Ser.SEU.BL</t>
  </si>
  <si>
    <t>FI - Services / specific electric uses</t>
  </si>
  <si>
    <t>FI - Ventilation and others</t>
  </si>
  <si>
    <t>FI - Street lighting</t>
  </si>
  <si>
    <t>FI - Building lighting</t>
  </si>
  <si>
    <t>FI - Commercial refrigeration</t>
  </si>
  <si>
    <t>FI - Miscellaneous building technologies</t>
  </si>
  <si>
    <t>FI - ICT and multimedia</t>
  </si>
  <si>
    <t>FI - Agriculture, forestry and fishing</t>
  </si>
  <si>
    <t>VA.Meuro2015.FI.AGR.AGR</t>
  </si>
  <si>
    <t>OUTPUT.index.FI.AGR.AGR</t>
  </si>
  <si>
    <t>CAP.index.FI.AGR.AGR</t>
  </si>
  <si>
    <t>NEWCAP.index.FI.AGR.AGR</t>
  </si>
  <si>
    <t>CAPOUT.index.FI.AGR.AGR</t>
  </si>
  <si>
    <t>CAPIDLE.index.FI.AGR.AGR</t>
  </si>
  <si>
    <t>FEC.ktoe.FI.ES.AGR</t>
  </si>
  <si>
    <t>FEC.ktoe.FI.ES.AGR.Solids</t>
  </si>
  <si>
    <t>FEC.ktoe.FI.ES.AGR.LPG</t>
  </si>
  <si>
    <t>FEC.ktoe.FI.ES.AGR.Diesel</t>
  </si>
  <si>
    <t>FEC.ktoe.FI.ES.AGR.RFO</t>
  </si>
  <si>
    <t>FEC.ktoe.FI.ES.AGR.NG</t>
  </si>
  <si>
    <t>FEC.ktoe.FI.ES.AGR.Biomass_Waste</t>
  </si>
  <si>
    <t>FEC.ktoe.FI.ES.AGR.Biogas</t>
  </si>
  <si>
    <t>FEC.ktoe.FI.ES.AGR.LiqBio</t>
  </si>
  <si>
    <t>FEC.ktoe.FI.ES.AGR.Solar</t>
  </si>
  <si>
    <t>FEC.ktoe.FI.ES.AGR.Geo</t>
  </si>
  <si>
    <t>FEC.ktoe.FI.ES.AGR.Ambient</t>
  </si>
  <si>
    <t>FEC.ktoe.FI.ES.AGR.Steam_Distr</t>
  </si>
  <si>
    <t>FEC.ktoe.FI.ES.AGR.Elec</t>
  </si>
  <si>
    <t>FI - Agriculture, forestry and fishing / final energy consumption</t>
  </si>
  <si>
    <t>FEC.ktoe.FI.AGR.AGR.LIGHT.GENERIC.ELEC</t>
  </si>
  <si>
    <t>FEC.ktoe.FI.AGR.AGR.FANS.GENERIC.ELEC</t>
  </si>
  <si>
    <t>FEC.ktoe.FI.AGR.AGR.MOTOR.GENERIC.ELEC</t>
  </si>
  <si>
    <t>FEC.ktoe.FI.AGR.AGR.LOW_ENTH.THERM.DIESEL_LIQBIO</t>
  </si>
  <si>
    <t>FEC.ktoe.FI.AGR.AGR.LOW_ENTH.THERM.NG_BIOGAS</t>
  </si>
  <si>
    <t>FEC.ktoe.FI.AGR.AGR.LOW_ENTH.THERM.SOLAR_GEO</t>
  </si>
  <si>
    <t>FEC.ktoe.FI.AGR.AGR.LOW_ENTH.HP.AMBIENT</t>
  </si>
  <si>
    <t>FEC.ktoe.FI.AGR.AGR.LOW_ENTH.THERM.STEAM_DISTR</t>
  </si>
  <si>
    <t>FEC.ktoe.FI.AGR.AGR.LOW_ENTH.THERM.ELEC</t>
  </si>
  <si>
    <t>FEC.ktoe.FI.AGR.AGR.FARM_DRIVES.MECH.DIESEL_LIQBIO</t>
  </si>
  <si>
    <t>FEC.ktoe.FI.AGR.AGR.HEAT_USE.THERM.SOLIDS</t>
  </si>
  <si>
    <t>FEC.ktoe.FI.AGR.AGR.HEAT_USE.THERM.LPG</t>
  </si>
  <si>
    <t>FEC.ktoe.FI.AGR.AGR.HEAT_USE.THERM.DIESEL_LIQBIO</t>
  </si>
  <si>
    <t>FEC.ktoe.FI.AGR.AGR.HEAT_USE.THERM.RFO</t>
  </si>
  <si>
    <t>FEC.ktoe.FI.AGR.AGR.HEAT_USE.THERM.NG_BIOGAS</t>
  </si>
  <si>
    <t>FEC.ktoe.FI.AGR.AGR.HEAT_USE.THERM.BIOMASS_WASTE</t>
  </si>
  <si>
    <t>FEC.ktoe.FI.AGR.AGR.HEAT_USE.THERM.SOLAR_GEO</t>
  </si>
  <si>
    <t>FEC.ktoe.FI.AGR.AGR.FARM_PUMP.MECH.DIESEL_LIQBIO</t>
  </si>
  <si>
    <t>FEC.ktoe.FI.AGR.AGR.FARM_PUMP_ELEC.MECH.ELEC</t>
  </si>
  <si>
    <t>FEC.ktoe.FI.AGR.AGR.GENERIC.MECH.ELEC</t>
  </si>
  <si>
    <t>FI - Agriculture, forestry and fishing / useful energy demand</t>
  </si>
  <si>
    <t>UED.ktoe.FI.AGR.AGR.LIGHT.GENERIC.ELEC</t>
  </si>
  <si>
    <t>UED.ktoe.FI.AGR.AGR.FANS.GENERIC.ELEC</t>
  </si>
  <si>
    <t>UED.ktoe.FI.AGR.AGR.MOTOR.GENERIC.ELEC</t>
  </si>
  <si>
    <t>UED.ktoe.FI.AGR.AGR.LOW_ENTH.THERM.DIESEL_LIQBIO</t>
  </si>
  <si>
    <t>UED.ktoe.FI.AGR.AGR.LOW_ENTH.THERM.NG_BIOGAS</t>
  </si>
  <si>
    <t>UED.ktoe.FI.AGR.AGR.LOW_ENTH.THERM.SOLAR_GEO</t>
  </si>
  <si>
    <t>UED.ktoe.FI.AGR.AGR.LOW_ENTH.HP.AMBIENT</t>
  </si>
  <si>
    <t>UED.ktoe.FI.AGR.AGR.LOW_ENTH.THERM.STEAM_DISTR</t>
  </si>
  <si>
    <t>UED.ktoe.FI.AGR.AGR.LOW_ENTH.THERM.ELEC</t>
  </si>
  <si>
    <t>UED.ktoe.FI.AGR.AGR.FARM_DRIVES.MECH.DIESEL_LIQBIO</t>
  </si>
  <si>
    <t>UED.ktoe.FI.AGR.AGR.HEAT_USE.THERM.SOLIDS</t>
  </si>
  <si>
    <t>UED.ktoe.FI.AGR.AGR.HEAT_USE.THERM.LPG</t>
  </si>
  <si>
    <t>UED.ktoe.FI.AGR.AGR.HEAT_USE.THERM.DIESEL_LIQBIO</t>
  </si>
  <si>
    <t>UED.ktoe.FI.AGR.AGR.HEAT_USE.THERM.RFO</t>
  </si>
  <si>
    <t>UED.ktoe.FI.AGR.AGR.HEAT_USE.THERM.NG_BIOGAS</t>
  </si>
  <si>
    <t>UED.ktoe.FI.AGR.AGR.HEAT_USE.THERM.BIOMASS_WASTE</t>
  </si>
  <si>
    <t>UED.ktoe.FI.AGR.AGR.HEAT_USE.THERM.SOLAR_GEO</t>
  </si>
  <si>
    <t>UED.ktoe.FI.AGR.AGR.FARM_PUMP.MECH.DIESEL_LIQBIO</t>
  </si>
  <si>
    <t>UED.ktoe.FI.AGR.AGR.FARM_PUMP_ELEC.MECH.ELEC</t>
  </si>
  <si>
    <t>UED.ktoe.FI.AGR.AGR.GENERIC.MECH.ELEC</t>
  </si>
  <si>
    <t>FI - Agriculture, forestry and fishing / CO2 emissions</t>
  </si>
  <si>
    <t>FUEL_EMI.ktCO2.FI.AGR.AGR.LIGHT.GENERIC.ELEC</t>
  </si>
  <si>
    <t>FUEL_EMI.ktCO2.FI.AGR.AGR.FANS.GENERIC.ELEC</t>
  </si>
  <si>
    <t>FUEL_EMI.ktCO2.FI.AGR.AGR.MOTOR.GENERIC.ELEC</t>
  </si>
  <si>
    <t>FUEL_EMI.ktCO2.FI.AGR.AGR.LOW_ENTH.THERM.DIESEL_LIQBIO</t>
  </si>
  <si>
    <t>FUEL_EMI.ktCO2.FI.AGR.AGR.LOW_ENTH.THERM.NG_BIOGAS</t>
  </si>
  <si>
    <t>FUEL_EMI.ktCO2.FI.AGR.AGR.LOW_ENTH.THERM.SOLAR_GEO</t>
  </si>
  <si>
    <t>FUEL_EMI.ktCO2.FI.AGR.AGR.LOW_ENTH.HP.AMBIENT</t>
  </si>
  <si>
    <t>FUEL_EMI.ktCO2.FI.AGR.AGR.LOW_ENTH.THERM.STEAM_DISTR</t>
  </si>
  <si>
    <t>FUEL_EMI.ktCO2.FI.AGR.AGR.LOW_ENTH.THERM.ELEC</t>
  </si>
  <si>
    <t>FUEL_EMI.ktCO2.FI.AGR.AGR.FARM_DRIVES.MECH.DIESEL_LIQBIO</t>
  </si>
  <si>
    <t>FUEL_EMI.ktCO2.FI.AGR.AGR.HEAT_USE.THERM.SOLIDS</t>
  </si>
  <si>
    <t>FUEL_EMI.ktCO2.FI.AGR.AGR.HEAT_USE.THERM.LPG</t>
  </si>
  <si>
    <t>FUEL_EMI.ktCO2.FI.AGR.AGR.HEAT_USE.THERM.DIESEL_LIQBIO</t>
  </si>
  <si>
    <t>FUEL_EMI.ktCO2.FI.AGR.AGR.HEAT_USE.THERM.RFO</t>
  </si>
  <si>
    <t>FUEL_EMI.ktCO2.FI.AGR.AGR.HEAT_USE.THERM.NG_BIOGAS</t>
  </si>
  <si>
    <t>FUEL_EMI.ktCO2.FI.AGR.AGR.HEAT_USE.THERM.BIOMASS_WASTE</t>
  </si>
  <si>
    <t>FUEL_EMI.ktCO2.FI.AGR.AGR.HEAT_USE.THERM.SOLAR_GEO</t>
  </si>
  <si>
    <t>FUEL_EMI.ktCO2.FI.AGR.AGR.FARM_PUMP.MECH.DIESEL_LIQBIO</t>
  </si>
  <si>
    <t>FUEL_EMI.ktCO2.FI.AGR.AGR.FARM_PUMP_ELEC.MECH.ELEC</t>
  </si>
  <si>
    <t>FUEL_EMI.ktCO2.FI.AGR.AGR.GENERIC.MECH.ELEC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</si>
</sst>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45432.784837962965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5171302</v>
      </c>
      <c r="C3" s="34">
        <v>5181115</v>
      </c>
      <c r="D3" s="34">
        <v>5194901</v>
      </c>
      <c r="E3" s="34">
        <v>5206295</v>
      </c>
      <c r="F3" s="34">
        <v>5219732</v>
      </c>
      <c r="G3" s="34">
        <v>5236611</v>
      </c>
      <c r="H3" s="34">
        <v>5255580</v>
      </c>
      <c r="I3" s="34">
        <v>5276955</v>
      </c>
      <c r="J3" s="34">
        <v>5300484</v>
      </c>
      <c r="K3" s="34">
        <v>5326314</v>
      </c>
      <c r="L3" s="34">
        <v>5351427</v>
      </c>
      <c r="M3" s="34">
        <v>5375276</v>
      </c>
      <c r="N3" s="34">
        <v>5401267</v>
      </c>
      <c r="O3" s="34">
        <v>5426674</v>
      </c>
      <c r="P3" s="34">
        <v>5451270</v>
      </c>
      <c r="Q3" s="34">
        <v>5471753</v>
      </c>
      <c r="R3" s="34">
        <v>5487308</v>
      </c>
      <c r="S3" s="34">
        <v>5503297</v>
      </c>
      <c r="T3" s="34">
        <v>5513130</v>
      </c>
      <c r="U3" s="34">
        <v>5517919</v>
      </c>
      <c r="V3" s="34">
        <v>5525292</v>
      </c>
      <c r="W3" s="34">
        <v>5533793</v>
      </c>
      <c r="DA3" s="88" t="s">
        <v>187</v>
      </c>
    </row>
    <row r="4" spans="1:105" ht="12" customHeight="1" x14ac:dyDescent="0.25">
      <c r="A4" s="35" t="s">
        <v>178</v>
      </c>
      <c r="B4" s="36">
        <v>176742.92080105704</v>
      </c>
      <c r="C4" s="36">
        <v>181353.99816925605</v>
      </c>
      <c r="D4" s="36">
        <v>184450.07577451493</v>
      </c>
      <c r="E4" s="36">
        <v>188148.13896396957</v>
      </c>
      <c r="F4" s="36">
        <v>195656.94285256526</v>
      </c>
      <c r="G4" s="36">
        <v>201097.76051969617</v>
      </c>
      <c r="H4" s="36">
        <v>209196.83476914142</v>
      </c>
      <c r="I4" s="36">
        <v>220281.66360510571</v>
      </c>
      <c r="J4" s="36">
        <v>222009.53110179081</v>
      </c>
      <c r="K4" s="36">
        <v>204083.9930380102</v>
      </c>
      <c r="L4" s="36">
        <v>210585.0486327972</v>
      </c>
      <c r="M4" s="36">
        <v>215949.91656396218</v>
      </c>
      <c r="N4" s="36">
        <v>212931.34492765903</v>
      </c>
      <c r="O4" s="36">
        <v>211012.19675923538</v>
      </c>
      <c r="P4" s="36">
        <v>210241.94941519576</v>
      </c>
      <c r="Q4" s="36">
        <v>211385</v>
      </c>
      <c r="R4" s="36">
        <v>217328.92383626243</v>
      </c>
      <c r="S4" s="36">
        <v>224266.89922403797</v>
      </c>
      <c r="T4" s="36">
        <v>226822.89389567362</v>
      </c>
      <c r="U4" s="36">
        <v>229599.49458207298</v>
      </c>
      <c r="V4" s="36">
        <v>224194.01930774664</v>
      </c>
      <c r="W4" s="36">
        <v>230554.99346958299</v>
      </c>
      <c r="DA4" s="89" t="s">
        <v>188</v>
      </c>
    </row>
    <row r="5" spans="1:105" ht="12" customHeight="1" x14ac:dyDescent="0.25">
      <c r="A5" s="35" t="s">
        <v>147</v>
      </c>
      <c r="B5" s="36">
        <v>94949.534773695006</v>
      </c>
      <c r="C5" s="36">
        <v>99460.575133273407</v>
      </c>
      <c r="D5" s="36">
        <v>102289.3772893773</v>
      </c>
      <c r="E5" s="36">
        <v>104538.98761980831</v>
      </c>
      <c r="F5" s="36">
        <v>109413.812686733</v>
      </c>
      <c r="G5" s="36">
        <v>112552.76197467426</v>
      </c>
      <c r="H5" s="36">
        <v>115187.00369764199</v>
      </c>
      <c r="I5" s="36">
        <v>120764.38233280613</v>
      </c>
      <c r="J5" s="36">
        <v>124928.51423996341</v>
      </c>
      <c r="K5" s="36">
        <v>121677.35558725416</v>
      </c>
      <c r="L5" s="36">
        <v>124215.37220815878</v>
      </c>
      <c r="M5" s="36">
        <v>128632.4599071072</v>
      </c>
      <c r="N5" s="36">
        <v>129539.42199477628</v>
      </c>
      <c r="O5" s="36">
        <v>128025.25320589243</v>
      </c>
      <c r="P5" s="36">
        <v>128101.61681652293</v>
      </c>
      <c r="Q5" s="36">
        <v>128570</v>
      </c>
      <c r="R5" s="36">
        <v>131234.69010268254</v>
      </c>
      <c r="S5" s="36">
        <v>134166.95600416645</v>
      </c>
      <c r="T5" s="36">
        <v>135735.58986116914</v>
      </c>
      <c r="U5" s="36">
        <v>138230.73240785065</v>
      </c>
      <c r="V5" s="36">
        <v>134632.57222959178</v>
      </c>
      <c r="W5" s="36">
        <v>138746.38114057257</v>
      </c>
      <c r="DA5" s="89" t="s">
        <v>189</v>
      </c>
    </row>
    <row r="6" spans="1:105" ht="12" customHeight="1" x14ac:dyDescent="0.25">
      <c r="A6" s="37" t="s">
        <v>70</v>
      </c>
      <c r="B6" s="38">
        <v>1566000</v>
      </c>
      <c r="C6" s="38">
        <v>1602800</v>
      </c>
      <c r="D6" s="38">
        <v>1642100</v>
      </c>
      <c r="E6" s="38">
        <v>1658399.9999999998</v>
      </c>
      <c r="F6" s="38">
        <v>1681200</v>
      </c>
      <c r="G6" s="38">
        <v>1713400</v>
      </c>
      <c r="H6" s="38">
        <v>1749600</v>
      </c>
      <c r="I6" s="38">
        <v>1792500</v>
      </c>
      <c r="J6" s="38">
        <v>1839800</v>
      </c>
      <c r="K6" s="38">
        <v>1830800.0000000002</v>
      </c>
      <c r="L6" s="38">
        <v>1832500</v>
      </c>
      <c r="M6" s="38">
        <v>1863100.0000000002</v>
      </c>
      <c r="N6" s="38">
        <v>1886600</v>
      </c>
      <c r="O6" s="38">
        <v>1886300.0000000002</v>
      </c>
      <c r="P6" s="38">
        <v>1887500</v>
      </c>
      <c r="Q6" s="38">
        <v>1892700</v>
      </c>
      <c r="R6" s="38">
        <v>1904400</v>
      </c>
      <c r="S6" s="38">
        <v>1927199.9999999998</v>
      </c>
      <c r="T6" s="38">
        <v>1980399.9999999998</v>
      </c>
      <c r="U6" s="38">
        <v>2022200</v>
      </c>
      <c r="V6" s="38">
        <v>1977199.9999999998</v>
      </c>
      <c r="W6" s="38">
        <v>2033500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102430.20094684516</v>
      </c>
      <c r="C8" s="34">
        <v>103578.69346339145</v>
      </c>
      <c r="D8" s="34">
        <v>104631.00230979911</v>
      </c>
      <c r="E8" s="34">
        <v>105509.35956141938</v>
      </c>
      <c r="F8" s="34">
        <v>107109.92214372168</v>
      </c>
      <c r="G8" s="34">
        <v>108459.19175101758</v>
      </c>
      <c r="H8" s="34">
        <v>110373.074977932</v>
      </c>
      <c r="I8" s="34">
        <v>112262.02051241392</v>
      </c>
      <c r="J8" s="34">
        <v>113504.79126117386</v>
      </c>
      <c r="K8" s="34">
        <v>114243.96728495175</v>
      </c>
      <c r="L8" s="34">
        <v>115188.12437404327</v>
      </c>
      <c r="M8" s="34">
        <v>115861.29109970828</v>
      </c>
      <c r="N8" s="34">
        <v>116262.70440647154</v>
      </c>
      <c r="O8" s="34">
        <v>116613.88622291548</v>
      </c>
      <c r="P8" s="34">
        <v>116981.41904739381</v>
      </c>
      <c r="Q8" s="34">
        <v>117385.0608260351</v>
      </c>
      <c r="R8" s="34">
        <v>118112.60996344869</v>
      </c>
      <c r="S8" s="34">
        <v>119161.28920837922</v>
      </c>
      <c r="T8" s="34">
        <v>120233.18791484731</v>
      </c>
      <c r="U8" s="34">
        <v>121216.84413996509</v>
      </c>
      <c r="V8" s="34">
        <v>122111.11111111111</v>
      </c>
      <c r="W8" s="34">
        <v>122876.55854138291</v>
      </c>
      <c r="DA8" s="88" t="s">
        <v>191</v>
      </c>
    </row>
    <row r="9" spans="1:105" ht="12" customHeight="1" x14ac:dyDescent="0.25">
      <c r="A9" s="39" t="s">
        <v>68</v>
      </c>
      <c r="B9" s="40">
        <v>92187.180852160644</v>
      </c>
      <c r="C9" s="40">
        <v>93220.824117052296</v>
      </c>
      <c r="D9" s="40">
        <v>94167.902078819185</v>
      </c>
      <c r="E9" s="40">
        <v>94958.423605277436</v>
      </c>
      <c r="F9" s="40">
        <v>96398.929929349513</v>
      </c>
      <c r="G9" s="40">
        <v>97613.27257591582</v>
      </c>
      <c r="H9" s="40">
        <v>99335.767480138806</v>
      </c>
      <c r="I9" s="40">
        <v>101035.81846117252</v>
      </c>
      <c r="J9" s="40">
        <v>102154.31213505648</v>
      </c>
      <c r="K9" s="40">
        <v>102819.57055645657</v>
      </c>
      <c r="L9" s="40">
        <v>103669.31193663894</v>
      </c>
      <c r="M9" s="40">
        <v>104275.16198973745</v>
      </c>
      <c r="N9" s="40">
        <v>104636.43396582438</v>
      </c>
      <c r="O9" s="40">
        <v>104952.49760062393</v>
      </c>
      <c r="P9" s="40">
        <v>105283.27714265444</v>
      </c>
      <c r="Q9" s="40">
        <v>105646.5547434316</v>
      </c>
      <c r="R9" s="40">
        <v>106301.34896710383</v>
      </c>
      <c r="S9" s="40">
        <v>107245.16028754131</v>
      </c>
      <c r="T9" s="40">
        <v>108209.86912336257</v>
      </c>
      <c r="U9" s="40">
        <v>109095.15972596858</v>
      </c>
      <c r="V9" s="40">
        <v>109900</v>
      </c>
      <c r="W9" s="40">
        <v>110588.90268724461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1558.1589690393594</v>
      </c>
      <c r="D10" s="41">
        <v>1466.7444077772261</v>
      </c>
      <c r="E10" s="41">
        <v>1297.0850109787361</v>
      </c>
      <c r="F10" s="41">
        <v>2022.6287178743182</v>
      </c>
      <c r="G10" s="41">
        <v>1777.5355844073777</v>
      </c>
      <c r="H10" s="41">
        <v>2347.8721346777315</v>
      </c>
      <c r="I10" s="41">
        <v>2330.5650164476615</v>
      </c>
      <c r="J10" s="41">
        <v>1692.0208049281266</v>
      </c>
      <c r="K10" s="41">
        <v>1193.1951888225808</v>
      </c>
      <c r="L10" s="41">
        <v>1401.0377194621335</v>
      </c>
      <c r="M10" s="41">
        <v>1133.8626431368129</v>
      </c>
      <c r="N10" s="41">
        <v>864.9706895609919</v>
      </c>
      <c r="O10" s="41">
        <v>816.16993190463552</v>
      </c>
      <c r="P10" s="41">
        <v>833.95167260198821</v>
      </c>
      <c r="Q10" s="41">
        <v>871.49135942790997</v>
      </c>
      <c r="R10" s="41">
        <v>1335.7618878075195</v>
      </c>
      <c r="S10" s="41">
        <v>1660.6616799743017</v>
      </c>
      <c r="T10" s="41">
        <v>1689.3147127290786</v>
      </c>
      <c r="U10" s="41">
        <v>1606.6261106869929</v>
      </c>
      <c r="V10" s="41">
        <v>1522.3335210939986</v>
      </c>
      <c r="W10" s="41">
        <v>1398.1474878422691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1402.3430721354234</v>
      </c>
      <c r="D11" s="42">
        <v>1320.0699669995033</v>
      </c>
      <c r="E11" s="42">
        <v>1167.3765098808626</v>
      </c>
      <c r="F11" s="42">
        <v>1820.3658460868864</v>
      </c>
      <c r="G11" s="42">
        <v>1599.7820259666398</v>
      </c>
      <c r="H11" s="42">
        <v>2113.0849212099583</v>
      </c>
      <c r="I11" s="42">
        <v>2097.5085148028952</v>
      </c>
      <c r="J11" s="42">
        <v>1522.8187244353139</v>
      </c>
      <c r="K11" s="42">
        <v>1073.8756699403227</v>
      </c>
      <c r="L11" s="42">
        <v>1260.9339475159202</v>
      </c>
      <c r="M11" s="42">
        <v>1020.4763788231315</v>
      </c>
      <c r="N11" s="42">
        <v>778.47362060489274</v>
      </c>
      <c r="O11" s="42">
        <v>734.55293871417189</v>
      </c>
      <c r="P11" s="42">
        <v>750.55650534178938</v>
      </c>
      <c r="Q11" s="42">
        <v>784.34222348511901</v>
      </c>
      <c r="R11" s="42">
        <v>1202.1856990267675</v>
      </c>
      <c r="S11" s="42">
        <v>1494.5955119768714</v>
      </c>
      <c r="T11" s="42">
        <v>1520.3832414561707</v>
      </c>
      <c r="U11" s="42">
        <v>1445.9634996182936</v>
      </c>
      <c r="V11" s="42">
        <v>1370.1001689845987</v>
      </c>
      <c r="W11" s="42">
        <v>1258.3327390580421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5211.6899999999996</v>
      </c>
      <c r="C13" s="43">
        <v>5766.64</v>
      </c>
      <c r="D13" s="43">
        <v>5736.48</v>
      </c>
      <c r="E13" s="43">
        <v>5665.7</v>
      </c>
      <c r="F13" s="43">
        <v>5561.61</v>
      </c>
      <c r="G13" s="43">
        <v>5295.38</v>
      </c>
      <c r="H13" s="43">
        <v>5442.56</v>
      </c>
      <c r="I13" s="43">
        <v>5321.96</v>
      </c>
      <c r="J13" s="43">
        <v>5332.63</v>
      </c>
      <c r="K13" s="43">
        <v>5608.3</v>
      </c>
      <c r="L13" s="43">
        <v>6179.75</v>
      </c>
      <c r="M13" s="43">
        <v>5239.13</v>
      </c>
      <c r="N13" s="43">
        <v>5839.92</v>
      </c>
      <c r="O13" s="43">
        <v>5238.58</v>
      </c>
      <c r="P13" s="43">
        <v>5237.1400000000003</v>
      </c>
      <c r="Q13" s="43">
        <v>5014.74</v>
      </c>
      <c r="R13" s="43">
        <v>5325.9</v>
      </c>
      <c r="S13" s="43">
        <v>5508.23</v>
      </c>
      <c r="T13" s="43">
        <v>5349.59</v>
      </c>
      <c r="U13" s="43">
        <v>5482.97</v>
      </c>
      <c r="V13" s="43">
        <v>4871.03</v>
      </c>
      <c r="W13" s="43">
        <v>5623.37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5439.5204761904761</v>
      </c>
      <c r="C14" s="44">
        <f t="shared" ref="C14:W14" si="0">AVERAGE($B$13:$V$13)</f>
        <v>5439.5204761904761</v>
      </c>
      <c r="D14" s="44">
        <f t="shared" si="0"/>
        <v>5439.5204761904761</v>
      </c>
      <c r="E14" s="44">
        <f t="shared" si="0"/>
        <v>5439.5204761904761</v>
      </c>
      <c r="F14" s="44">
        <f t="shared" si="0"/>
        <v>5439.5204761904761</v>
      </c>
      <c r="G14" s="44">
        <f t="shared" si="0"/>
        <v>5439.5204761904761</v>
      </c>
      <c r="H14" s="44">
        <f t="shared" si="0"/>
        <v>5439.5204761904761</v>
      </c>
      <c r="I14" s="44">
        <f t="shared" si="0"/>
        <v>5439.5204761904761</v>
      </c>
      <c r="J14" s="44">
        <f t="shared" si="0"/>
        <v>5439.5204761904761</v>
      </c>
      <c r="K14" s="44">
        <f t="shared" si="0"/>
        <v>5439.5204761904761</v>
      </c>
      <c r="L14" s="44">
        <f t="shared" si="0"/>
        <v>5439.5204761904761</v>
      </c>
      <c r="M14" s="44">
        <f t="shared" si="0"/>
        <v>5439.5204761904761</v>
      </c>
      <c r="N14" s="44">
        <f t="shared" si="0"/>
        <v>5439.5204761904761</v>
      </c>
      <c r="O14" s="44">
        <f t="shared" si="0"/>
        <v>5439.5204761904761</v>
      </c>
      <c r="P14" s="44">
        <f t="shared" si="0"/>
        <v>5439.5204761904761</v>
      </c>
      <c r="Q14" s="44">
        <f t="shared" si="0"/>
        <v>5439.5204761904761</v>
      </c>
      <c r="R14" s="44">
        <f t="shared" si="0"/>
        <v>5439.5204761904761</v>
      </c>
      <c r="S14" s="44">
        <f t="shared" si="0"/>
        <v>5439.5204761904761</v>
      </c>
      <c r="T14" s="44">
        <f t="shared" si="0"/>
        <v>5439.5204761904761</v>
      </c>
      <c r="U14" s="44">
        <f t="shared" si="0"/>
        <v>5439.5204761904761</v>
      </c>
      <c r="V14" s="44">
        <f t="shared" si="0"/>
        <v>5439.5204761904761</v>
      </c>
      <c r="W14" s="44">
        <f t="shared" si="0"/>
        <v>5439.5204761904761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0.958115705752424</v>
      </c>
      <c r="C15" s="46">
        <f t="shared" ref="C15:W15" si="1">C13/C14</f>
        <v>1.0601375663978785</v>
      </c>
      <c r="D15" s="46">
        <f t="shared" si="1"/>
        <v>1.054592960006191</v>
      </c>
      <c r="E15" s="46">
        <f t="shared" si="1"/>
        <v>1.0415807836002351</v>
      </c>
      <c r="F15" s="46">
        <f t="shared" si="1"/>
        <v>1.0224449056390037</v>
      </c>
      <c r="G15" s="46">
        <f t="shared" si="1"/>
        <v>0.97350125313041869</v>
      </c>
      <c r="H15" s="46">
        <f t="shared" si="1"/>
        <v>1.0005587852500655</v>
      </c>
      <c r="I15" s="46">
        <f t="shared" si="1"/>
        <v>0.9783877132726948</v>
      </c>
      <c r="J15" s="46">
        <f t="shared" si="1"/>
        <v>0.98034928323951531</v>
      </c>
      <c r="K15" s="46">
        <f t="shared" si="1"/>
        <v>1.0310283828415199</v>
      </c>
      <c r="L15" s="46">
        <f t="shared" si="1"/>
        <v>1.1360835991057685</v>
      </c>
      <c r="M15" s="46">
        <f t="shared" si="1"/>
        <v>0.96316026806634658</v>
      </c>
      <c r="N15" s="46">
        <f t="shared" si="1"/>
        <v>1.0736093421400152</v>
      </c>
      <c r="O15" s="46">
        <f t="shared" si="1"/>
        <v>0.96305915621238669</v>
      </c>
      <c r="P15" s="46">
        <f t="shared" si="1"/>
        <v>0.9627944269947466</v>
      </c>
      <c r="Q15" s="46">
        <f t="shared" si="1"/>
        <v>0.92190847004808629</v>
      </c>
      <c r="R15" s="46">
        <f t="shared" si="1"/>
        <v>0.97911204182651601</v>
      </c>
      <c r="S15" s="46">
        <f t="shared" si="1"/>
        <v>1.0126315406128674</v>
      </c>
      <c r="T15" s="46">
        <f t="shared" si="1"/>
        <v>0.98346720513616703</v>
      </c>
      <c r="U15" s="46">
        <f t="shared" si="1"/>
        <v>1.0079877489200948</v>
      </c>
      <c r="V15" s="46">
        <f t="shared" si="1"/>
        <v>0.89548886180705878</v>
      </c>
      <c r="W15" s="46">
        <f t="shared" si="1"/>
        <v>1.0337988476400186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34177.644392274335</v>
      </c>
      <c r="C19" s="34">
        <f t="shared" si="2"/>
        <v>35002.889951150675</v>
      </c>
      <c r="D19" s="34">
        <f t="shared" ref="D19:W19" si="3">D4*1000000/D3</f>
        <v>35505.98476747005</v>
      </c>
      <c r="E19" s="34">
        <f t="shared" si="3"/>
        <v>36138.585878051395</v>
      </c>
      <c r="F19" s="34">
        <f t="shared" si="3"/>
        <v>37484.09743116414</v>
      </c>
      <c r="G19" s="34">
        <f t="shared" si="3"/>
        <v>38402.27210302544</v>
      </c>
      <c r="H19" s="34">
        <f t="shared" si="3"/>
        <v>39804.709426769536</v>
      </c>
      <c r="I19" s="34">
        <f t="shared" si="3"/>
        <v>41744.086050592756</v>
      </c>
      <c r="J19" s="34">
        <f t="shared" si="3"/>
        <v>41884.765825496463</v>
      </c>
      <c r="K19" s="34">
        <f t="shared" si="3"/>
        <v>38316.177573836278</v>
      </c>
      <c r="L19" s="34">
        <f t="shared" si="3"/>
        <v>39351.195229384088</v>
      </c>
      <c r="M19" s="34">
        <f t="shared" si="3"/>
        <v>40174.665740691678</v>
      </c>
      <c r="N19" s="34">
        <f t="shared" si="3"/>
        <v>39422.480860075797</v>
      </c>
      <c r="O19" s="34">
        <f t="shared" si="3"/>
        <v>38884.258895823739</v>
      </c>
      <c r="P19" s="34">
        <f t="shared" si="3"/>
        <v>38567.517186856596</v>
      </c>
      <c r="Q19" s="34">
        <f t="shared" si="3"/>
        <v>38632.043515122117</v>
      </c>
      <c r="R19" s="34">
        <f t="shared" si="3"/>
        <v>39605.745446813344</v>
      </c>
      <c r="S19" s="34">
        <f t="shared" si="3"/>
        <v>40751.371264178175</v>
      </c>
      <c r="T19" s="34">
        <f t="shared" si="3"/>
        <v>41142.308252421695</v>
      </c>
      <c r="U19" s="34">
        <f t="shared" si="3"/>
        <v>41609.797929631255</v>
      </c>
      <c r="V19" s="34">
        <f t="shared" si="3"/>
        <v>40575.958575175151</v>
      </c>
      <c r="W19" s="34">
        <f t="shared" si="3"/>
        <v>41663.104035438802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60631.88682866859</v>
      </c>
      <c r="C20" s="36">
        <f t="shared" si="4"/>
        <v>62054.264495428877</v>
      </c>
      <c r="D20" s="36">
        <f t="shared" ref="D20:W20" si="5">D5*1000000/D6</f>
        <v>62291.807617914441</v>
      </c>
      <c r="E20" s="36">
        <f t="shared" si="5"/>
        <v>63036.051386763334</v>
      </c>
      <c r="F20" s="36">
        <f t="shared" si="5"/>
        <v>65080.78318268677</v>
      </c>
      <c r="G20" s="36">
        <f t="shared" si="5"/>
        <v>65689.717505938053</v>
      </c>
      <c r="H20" s="36">
        <f t="shared" si="5"/>
        <v>65836.193242822352</v>
      </c>
      <c r="I20" s="36">
        <f t="shared" si="5"/>
        <v>67372.040353029908</v>
      </c>
      <c r="J20" s="36">
        <f t="shared" si="5"/>
        <v>67903.312446985219</v>
      </c>
      <c r="K20" s="36">
        <f t="shared" si="5"/>
        <v>66461.304122380461</v>
      </c>
      <c r="L20" s="36">
        <f t="shared" si="5"/>
        <v>67784.650591082551</v>
      </c>
      <c r="M20" s="36">
        <f t="shared" si="5"/>
        <v>69042.166232143849</v>
      </c>
      <c r="N20" s="36">
        <f t="shared" si="5"/>
        <v>68662.897272753253</v>
      </c>
      <c r="O20" s="36">
        <f t="shared" si="5"/>
        <v>67871.098555846052</v>
      </c>
      <c r="P20" s="36">
        <f t="shared" si="5"/>
        <v>67868.406260409494</v>
      </c>
      <c r="Q20" s="36">
        <f t="shared" si="5"/>
        <v>67929.413007872354</v>
      </c>
      <c r="R20" s="36">
        <f t="shared" si="5"/>
        <v>68911.305451944208</v>
      </c>
      <c r="S20" s="36">
        <f t="shared" si="5"/>
        <v>69617.557079787497</v>
      </c>
      <c r="T20" s="36">
        <f t="shared" si="5"/>
        <v>68539.481852741446</v>
      </c>
      <c r="U20" s="36">
        <f t="shared" si="5"/>
        <v>68356.607856715782</v>
      </c>
      <c r="V20" s="36">
        <f t="shared" si="5"/>
        <v>68092.541083143733</v>
      </c>
      <c r="W20" s="36">
        <f t="shared" si="5"/>
        <v>68230.332500896271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18360.856661184167</v>
      </c>
      <c r="C21" s="36">
        <f t="shared" si="6"/>
        <v>19196.751111155303</v>
      </c>
      <c r="D21" s="36">
        <f t="shared" ref="D21:W21" si="7">D5*1000000/D3</f>
        <v>19690.341989072997</v>
      </c>
      <c r="E21" s="36">
        <f t="shared" si="7"/>
        <v>20079.343875022121</v>
      </c>
      <c r="F21" s="36">
        <f t="shared" si="7"/>
        <v>20961.576702929</v>
      </c>
      <c r="G21" s="36">
        <f t="shared" si="7"/>
        <v>21493.435730604058</v>
      </c>
      <c r="H21" s="36">
        <f t="shared" si="7"/>
        <v>21917.086924305593</v>
      </c>
      <c r="I21" s="36">
        <f t="shared" si="7"/>
        <v>22885.240130493083</v>
      </c>
      <c r="J21" s="36">
        <f t="shared" si="7"/>
        <v>23569.265418019073</v>
      </c>
      <c r="K21" s="36">
        <f t="shared" si="7"/>
        <v>22844.570482937012</v>
      </c>
      <c r="L21" s="36">
        <f t="shared" si="7"/>
        <v>23211.635365325696</v>
      </c>
      <c r="M21" s="36">
        <f t="shared" si="7"/>
        <v>23930.391650048707</v>
      </c>
      <c r="N21" s="36">
        <f t="shared" si="7"/>
        <v>23983.154692181717</v>
      </c>
      <c r="O21" s="36">
        <f t="shared" si="7"/>
        <v>23591.845245520999</v>
      </c>
      <c r="P21" s="36">
        <f t="shared" si="7"/>
        <v>23499.407810752895</v>
      </c>
      <c r="Q21" s="36">
        <f t="shared" si="7"/>
        <v>23497.040162448855</v>
      </c>
      <c r="R21" s="36">
        <f t="shared" si="7"/>
        <v>23916.042274769803</v>
      </c>
      <c r="S21" s="36">
        <f t="shared" si="7"/>
        <v>24379.377671996706</v>
      </c>
      <c r="T21" s="36">
        <f t="shared" si="7"/>
        <v>24620.422493423725</v>
      </c>
      <c r="U21" s="36">
        <f t="shared" si="7"/>
        <v>25051.243486511972</v>
      </c>
      <c r="V21" s="36">
        <f t="shared" si="7"/>
        <v>24366.598585123065</v>
      </c>
      <c r="W21" s="36">
        <f t="shared" si="7"/>
        <v>25072.564358763069</v>
      </c>
      <c r="DA21" s="89"/>
    </row>
    <row r="22" spans="1:105" ht="12" customHeight="1" x14ac:dyDescent="0.25">
      <c r="A22" s="51" t="s">
        <v>152</v>
      </c>
      <c r="B22" s="52">
        <v>1.2620265970677378</v>
      </c>
      <c r="C22" s="52">
        <v>1.2859547506216453</v>
      </c>
      <c r="D22" s="52">
        <v>1.2938923918797578</v>
      </c>
      <c r="E22" s="52">
        <v>1.3048125001033846</v>
      </c>
      <c r="F22" s="52">
        <v>1.3309607814097575</v>
      </c>
      <c r="G22" s="52">
        <v>1.3376666299011315</v>
      </c>
      <c r="H22" s="52">
        <v>1.3254957093609157</v>
      </c>
      <c r="I22" s="52">
        <v>1.343175415160617</v>
      </c>
      <c r="J22" s="52">
        <v>1.3653672848443887</v>
      </c>
      <c r="K22" s="52">
        <v>1.3537828739456721</v>
      </c>
      <c r="L22" s="52">
        <v>1.3572019928119587</v>
      </c>
      <c r="M22" s="52">
        <v>1.373162728788947</v>
      </c>
      <c r="N22" s="52">
        <v>1.3803811644005035</v>
      </c>
      <c r="O22" s="52">
        <v>1.352713466516867</v>
      </c>
      <c r="P22" s="52">
        <v>1.329991180006532</v>
      </c>
      <c r="Q22" s="52">
        <v>1.3107680932750663</v>
      </c>
      <c r="R22" s="52">
        <v>1.3128276968226782</v>
      </c>
      <c r="S22" s="52">
        <v>1.3038814856521219</v>
      </c>
      <c r="T22" s="52">
        <v>1.2895371320170612</v>
      </c>
      <c r="U22" s="52">
        <v>1.2875388432603072</v>
      </c>
      <c r="V22" s="52">
        <v>1.326714302641085</v>
      </c>
      <c r="W22" s="52">
        <v>1.2956872883548682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15.288459707431949</v>
      </c>
      <c r="C23" s="53">
        <f t="shared" si="8"/>
        <v>15.474224924129681</v>
      </c>
      <c r="D23" s="53">
        <f t="shared" ref="D23:W23" si="9">D6/D8</f>
        <v>15.694201180812074</v>
      </c>
      <c r="E23" s="53">
        <f t="shared" si="9"/>
        <v>15.718036834775855</v>
      </c>
      <c r="F23" s="53">
        <f t="shared" si="9"/>
        <v>15.69602485327308</v>
      </c>
      <c r="G23" s="53">
        <f t="shared" si="9"/>
        <v>15.797646767766224</v>
      </c>
      <c r="H23" s="53">
        <f t="shared" si="9"/>
        <v>15.851692093835522</v>
      </c>
      <c r="I23" s="53">
        <f t="shared" si="9"/>
        <v>15.967109729704051</v>
      </c>
      <c r="J23" s="53">
        <f t="shared" si="9"/>
        <v>16.209007386891987</v>
      </c>
      <c r="K23" s="53">
        <f t="shared" si="9"/>
        <v>16.025353841516615</v>
      </c>
      <c r="L23" s="53">
        <f t="shared" si="9"/>
        <v>15.908758042187024</v>
      </c>
      <c r="M23" s="53">
        <f t="shared" si="9"/>
        <v>16.080435340537054</v>
      </c>
      <c r="N23" s="53">
        <f t="shared" si="9"/>
        <v>16.227043828295688</v>
      </c>
      <c r="O23" s="53">
        <f t="shared" si="9"/>
        <v>16.175603618888129</v>
      </c>
      <c r="P23" s="53">
        <f t="shared" si="9"/>
        <v>16.135041063532483</v>
      </c>
      <c r="Q23" s="53">
        <f t="shared" si="9"/>
        <v>16.123857556328954</v>
      </c>
      <c r="R23" s="53">
        <f t="shared" si="9"/>
        <v>16.123595952958272</v>
      </c>
      <c r="S23" s="53">
        <f t="shared" si="9"/>
        <v>16.173037509101423</v>
      </c>
      <c r="T23" s="53">
        <f t="shared" si="9"/>
        <v>16.471325715846255</v>
      </c>
      <c r="U23" s="53">
        <f t="shared" si="9"/>
        <v>16.682499980489776</v>
      </c>
      <c r="V23" s="53">
        <f t="shared" si="9"/>
        <v>16.191810737033666</v>
      </c>
      <c r="W23" s="53">
        <f t="shared" si="9"/>
        <v>16.549128850440166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17.826686751646037</v>
      </c>
      <c r="C24" s="54">
        <f t="shared" si="10"/>
        <v>17.992425205202412</v>
      </c>
      <c r="D24" s="54">
        <f t="shared" ref="D24:W24" si="11">D9*1000/D3</f>
        <v>18.126986843217836</v>
      </c>
      <c r="E24" s="54">
        <f t="shared" si="11"/>
        <v>18.239155408073771</v>
      </c>
      <c r="F24" s="54">
        <f t="shared" si="11"/>
        <v>18.468176130374033</v>
      </c>
      <c r="G24" s="54">
        <f t="shared" si="11"/>
        <v>18.64054301072121</v>
      </c>
      <c r="H24" s="54">
        <f t="shared" si="11"/>
        <v>18.901009494696837</v>
      </c>
      <c r="I24" s="54">
        <f t="shared" si="11"/>
        <v>19.146613617355563</v>
      </c>
      <c r="J24" s="54">
        <f t="shared" si="11"/>
        <v>19.272638524152978</v>
      </c>
      <c r="K24" s="54">
        <f t="shared" si="11"/>
        <v>19.304076056435381</v>
      </c>
      <c r="L24" s="54">
        <f t="shared" si="11"/>
        <v>19.372274336665516</v>
      </c>
      <c r="M24" s="54">
        <f t="shared" si="11"/>
        <v>19.399034019785674</v>
      </c>
      <c r="N24" s="54">
        <f t="shared" si="11"/>
        <v>19.37257202168017</v>
      </c>
      <c r="O24" s="54">
        <f t="shared" si="11"/>
        <v>19.340114700205675</v>
      </c>
      <c r="P24" s="54">
        <f t="shared" si="11"/>
        <v>19.31353191873718</v>
      </c>
      <c r="Q24" s="54">
        <f t="shared" si="11"/>
        <v>19.30762495007205</v>
      </c>
      <c r="R24" s="54">
        <f t="shared" si="11"/>
        <v>19.372222038038291</v>
      </c>
      <c r="S24" s="54">
        <f t="shared" si="11"/>
        <v>19.487438218860678</v>
      </c>
      <c r="T24" s="54">
        <f t="shared" si="11"/>
        <v>19.627665069273274</v>
      </c>
      <c r="U24" s="54">
        <f t="shared" si="11"/>
        <v>19.771069442296739</v>
      </c>
      <c r="V24" s="54">
        <f t="shared" si="11"/>
        <v>19.890351496355304</v>
      </c>
      <c r="W24" s="54">
        <f t="shared" si="11"/>
        <v>19.9842861283833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58.867931578646647</v>
      </c>
      <c r="C25" s="54">
        <f t="shared" si="12"/>
        <v>58.161232915555466</v>
      </c>
      <c r="D25" s="54">
        <f t="shared" ref="D25:W25" si="13">D9*1000/D6</f>
        <v>57.34602160576042</v>
      </c>
      <c r="E25" s="54">
        <f t="shared" si="13"/>
        <v>57.259059096284034</v>
      </c>
      <c r="F25" s="54">
        <f t="shared" si="13"/>
        <v>57.339358749315672</v>
      </c>
      <c r="G25" s="54">
        <f t="shared" si="13"/>
        <v>56.970510433007945</v>
      </c>
      <c r="H25" s="54">
        <f t="shared" si="13"/>
        <v>56.776273136796299</v>
      </c>
      <c r="I25" s="54">
        <f t="shared" si="13"/>
        <v>56.365868039705731</v>
      </c>
      <c r="J25" s="54">
        <f t="shared" si="13"/>
        <v>55.524683191138429</v>
      </c>
      <c r="K25" s="54">
        <f t="shared" si="13"/>
        <v>56.161006421485993</v>
      </c>
      <c r="L25" s="54">
        <f t="shared" si="13"/>
        <v>56.572612243732024</v>
      </c>
      <c r="M25" s="54">
        <f t="shared" si="13"/>
        <v>55.968633991593279</v>
      </c>
      <c r="N25" s="54">
        <f t="shared" si="13"/>
        <v>55.462967224543824</v>
      </c>
      <c r="O25" s="54">
        <f t="shared" si="13"/>
        <v>55.639345597531637</v>
      </c>
      <c r="P25" s="54">
        <f t="shared" si="13"/>
        <v>55.779219678227513</v>
      </c>
      <c r="Q25" s="54">
        <f t="shared" si="13"/>
        <v>55.817908143621068</v>
      </c>
      <c r="R25" s="54">
        <f t="shared" si="13"/>
        <v>55.818813782348151</v>
      </c>
      <c r="S25" s="54">
        <f t="shared" si="13"/>
        <v>55.648173665183336</v>
      </c>
      <c r="T25" s="54">
        <f t="shared" si="13"/>
        <v>54.640410585418394</v>
      </c>
      <c r="U25" s="54">
        <f t="shared" si="13"/>
        <v>53.948748751838878</v>
      </c>
      <c r="V25" s="54">
        <f t="shared" si="13"/>
        <v>55.583653651628573</v>
      </c>
      <c r="W25" s="54">
        <f t="shared" si="13"/>
        <v>54.383527261984071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</v>
      </c>
      <c r="G26" s="55">
        <f t="shared" si="15"/>
        <v>899.99999999999989</v>
      </c>
      <c r="H26" s="55">
        <f t="shared" si="15"/>
        <v>900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900.00000000000011</v>
      </c>
      <c r="Q26" s="55">
        <f t="shared" si="15"/>
        <v>900.00000000000011</v>
      </c>
      <c r="R26" s="55">
        <f t="shared" si="15"/>
        <v>900</v>
      </c>
      <c r="S26" s="55">
        <f t="shared" si="15"/>
        <v>900.00000000000011</v>
      </c>
      <c r="T26" s="55">
        <f t="shared" si="15"/>
        <v>899.99999999999989</v>
      </c>
      <c r="U26" s="55">
        <f t="shared" si="15"/>
        <v>900</v>
      </c>
      <c r="V26" s="55">
        <f t="shared" si="15"/>
        <v>900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899.99999999999989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900</v>
      </c>
      <c r="I27" s="57">
        <f t="shared" si="17"/>
        <v>899.99999999999989</v>
      </c>
      <c r="J27" s="57">
        <f t="shared" si="17"/>
        <v>899.99999999999989</v>
      </c>
      <c r="K27" s="57">
        <f t="shared" si="17"/>
        <v>899.99999999999989</v>
      </c>
      <c r="L27" s="57">
        <f t="shared" si="17"/>
        <v>900.00000000000011</v>
      </c>
      <c r="M27" s="57">
        <f t="shared" si="17"/>
        <v>899.99999999999989</v>
      </c>
      <c r="N27" s="57">
        <f t="shared" si="17"/>
        <v>900</v>
      </c>
      <c r="O27" s="57">
        <f t="shared" si="17"/>
        <v>899.99999999999989</v>
      </c>
      <c r="P27" s="57">
        <f t="shared" si="17"/>
        <v>899.99999999999989</v>
      </c>
      <c r="Q27" s="57">
        <f t="shared" si="17"/>
        <v>900.00000000000011</v>
      </c>
      <c r="R27" s="57">
        <f t="shared" si="17"/>
        <v>899.99999999999989</v>
      </c>
      <c r="S27" s="57">
        <f t="shared" si="17"/>
        <v>899.99999999999989</v>
      </c>
      <c r="T27" s="57">
        <f t="shared" si="17"/>
        <v>900</v>
      </c>
      <c r="U27" s="57">
        <f t="shared" si="17"/>
        <v>899.99999999999989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2325.5604886237534</v>
      </c>
      <c r="C31" s="80">
        <f t="shared" ref="C31:W31" si="18">SUM(C32:C33,C36:C37,C44:C45)</f>
        <v>2523.0422747760922</v>
      </c>
      <c r="D31" s="80">
        <f t="shared" si="18"/>
        <v>2595.3252225652004</v>
      </c>
      <c r="E31" s="80">
        <f t="shared" si="18"/>
        <v>2609.9416505894628</v>
      </c>
      <c r="F31" s="80">
        <f t="shared" si="18"/>
        <v>2622.0035545543856</v>
      </c>
      <c r="G31" s="80">
        <f t="shared" si="18"/>
        <v>2619.297858166964</v>
      </c>
      <c r="H31" s="80">
        <f t="shared" si="18"/>
        <v>2677.8435845955787</v>
      </c>
      <c r="I31" s="80">
        <f t="shared" si="18"/>
        <v>2804.7884989095446</v>
      </c>
      <c r="J31" s="80">
        <f t="shared" si="18"/>
        <v>2780.0730899701657</v>
      </c>
      <c r="K31" s="80">
        <f t="shared" si="18"/>
        <v>3022.7485905433177</v>
      </c>
      <c r="L31" s="80">
        <f t="shared" si="18"/>
        <v>3207.9932842680041</v>
      </c>
      <c r="M31" s="80">
        <f t="shared" si="18"/>
        <v>2903.7154573366106</v>
      </c>
      <c r="N31" s="80">
        <f t="shared" si="18"/>
        <v>3086.1724293567399</v>
      </c>
      <c r="O31" s="80">
        <f t="shared" si="18"/>
        <v>2950.2094459773289</v>
      </c>
      <c r="P31" s="80">
        <f t="shared" si="18"/>
        <v>3024.312698836874</v>
      </c>
      <c r="Q31" s="80">
        <f t="shared" si="18"/>
        <v>2864.5523139460402</v>
      </c>
      <c r="R31" s="80">
        <f t="shared" si="18"/>
        <v>3012.0655958248908</v>
      </c>
      <c r="S31" s="80">
        <f t="shared" si="18"/>
        <v>2998.9616488530537</v>
      </c>
      <c r="T31" s="80">
        <f t="shared" si="18"/>
        <v>3074.6549502717098</v>
      </c>
      <c r="U31" s="80">
        <f t="shared" si="18"/>
        <v>3002.7693422698317</v>
      </c>
      <c r="V31" s="80">
        <f t="shared" si="18"/>
        <v>2754.9574029317819</v>
      </c>
      <c r="W31" s="80">
        <f t="shared" si="18"/>
        <v>3048.6220087652341</v>
      </c>
      <c r="DA31" s="103" t="s">
        <v>198</v>
      </c>
    </row>
    <row r="32" spans="1:105" ht="12" customHeight="1" x14ac:dyDescent="0.25">
      <c r="A32" s="58" t="s">
        <v>29</v>
      </c>
      <c r="B32" s="59">
        <v>1.9701633705932931</v>
      </c>
      <c r="C32" s="59">
        <v>2.016423043852106</v>
      </c>
      <c r="D32" s="59">
        <v>2.0030954428202921</v>
      </c>
      <c r="E32" s="59">
        <v>2.010490111779879</v>
      </c>
      <c r="F32" s="59">
        <v>1.918572656921754</v>
      </c>
      <c r="G32" s="59">
        <v>1.872398968185726</v>
      </c>
      <c r="H32" s="59">
        <v>1.980481513327601</v>
      </c>
      <c r="I32" s="59">
        <v>1.7137575236457441</v>
      </c>
      <c r="J32" s="59">
        <v>2.093551160791058</v>
      </c>
      <c r="K32" s="59">
        <v>2.3626827171109199</v>
      </c>
      <c r="L32" s="59">
        <v>2.6548581255374031</v>
      </c>
      <c r="M32" s="59">
        <v>2.153482373172829</v>
      </c>
      <c r="N32" s="59">
        <v>2.520636285468616</v>
      </c>
      <c r="O32" s="59">
        <v>2.3019776440240749</v>
      </c>
      <c r="P32" s="59">
        <v>2.3851246775580388</v>
      </c>
      <c r="Q32" s="59">
        <v>2.1603611349957008</v>
      </c>
      <c r="R32" s="59">
        <v>2.376526225279449</v>
      </c>
      <c r="S32" s="59">
        <v>2.3693895098882201</v>
      </c>
      <c r="T32" s="59">
        <v>2.429062768701634</v>
      </c>
      <c r="U32" s="59">
        <v>2.493551160791057</v>
      </c>
      <c r="V32" s="59">
        <v>2.237747205503009</v>
      </c>
      <c r="W32" s="59">
        <v>2.493551160791057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342.55993121238174</v>
      </c>
      <c r="C33" s="55">
        <f t="shared" ref="C33:W33" si="19">SUM(C34:C35)</f>
        <v>355.72992261392955</v>
      </c>
      <c r="D33" s="55">
        <f t="shared" si="19"/>
        <v>348.5406706792777</v>
      </c>
      <c r="E33" s="55">
        <f t="shared" si="19"/>
        <v>342.33301805674972</v>
      </c>
      <c r="F33" s="55">
        <f t="shared" si="19"/>
        <v>330.73233018056754</v>
      </c>
      <c r="G33" s="55">
        <f t="shared" si="19"/>
        <v>313.43508168529661</v>
      </c>
      <c r="H33" s="55">
        <f t="shared" si="19"/>
        <v>310.1542562338779</v>
      </c>
      <c r="I33" s="55">
        <f t="shared" si="19"/>
        <v>295.90988822012037</v>
      </c>
      <c r="J33" s="55">
        <f t="shared" si="19"/>
        <v>242.64909716251071</v>
      </c>
      <c r="K33" s="55">
        <f t="shared" si="19"/>
        <v>265.01607910576098</v>
      </c>
      <c r="L33" s="55">
        <f t="shared" si="19"/>
        <v>314.02055030094579</v>
      </c>
      <c r="M33" s="55">
        <f t="shared" si="19"/>
        <v>268.27867583834916</v>
      </c>
      <c r="N33" s="55">
        <f t="shared" si="19"/>
        <v>295.74462596732587</v>
      </c>
      <c r="O33" s="55">
        <f t="shared" si="19"/>
        <v>266.89776440240757</v>
      </c>
      <c r="P33" s="55">
        <f t="shared" si="19"/>
        <v>265.86775580395528</v>
      </c>
      <c r="Q33" s="55">
        <f t="shared" si="19"/>
        <v>245.16732588134133</v>
      </c>
      <c r="R33" s="55">
        <f t="shared" si="19"/>
        <v>269.46577815993129</v>
      </c>
      <c r="S33" s="55">
        <f t="shared" si="19"/>
        <v>265.83241616509025</v>
      </c>
      <c r="T33" s="55">
        <f t="shared" si="19"/>
        <v>263.68564058469474</v>
      </c>
      <c r="U33" s="55">
        <f t="shared" si="19"/>
        <v>261.69131556319866</v>
      </c>
      <c r="V33" s="55">
        <f t="shared" si="19"/>
        <v>237.2525365434222</v>
      </c>
      <c r="W33" s="55">
        <f t="shared" si="19"/>
        <v>270.83258813413579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DA34" s="101" t="s">
        <v>200</v>
      </c>
    </row>
    <row r="35" spans="1:105" ht="12" customHeight="1" x14ac:dyDescent="0.25">
      <c r="A35" s="61" t="s">
        <v>170</v>
      </c>
      <c r="B35" s="55">
        <v>342.55993121238174</v>
      </c>
      <c r="C35" s="55">
        <v>355.72992261392955</v>
      </c>
      <c r="D35" s="55">
        <v>348.5406706792777</v>
      </c>
      <c r="E35" s="55">
        <v>342.33301805674972</v>
      </c>
      <c r="F35" s="55">
        <v>330.73233018056754</v>
      </c>
      <c r="G35" s="55">
        <v>313.43508168529661</v>
      </c>
      <c r="H35" s="55">
        <v>310.1542562338779</v>
      </c>
      <c r="I35" s="55">
        <v>295.90988822012037</v>
      </c>
      <c r="J35" s="55">
        <v>242.64909716251071</v>
      </c>
      <c r="K35" s="55">
        <v>265.01607910576098</v>
      </c>
      <c r="L35" s="55">
        <v>314.02055030094579</v>
      </c>
      <c r="M35" s="55">
        <v>268.27867583834916</v>
      </c>
      <c r="N35" s="55">
        <v>295.74462596732587</v>
      </c>
      <c r="O35" s="55">
        <v>266.89776440240757</v>
      </c>
      <c r="P35" s="55">
        <v>265.86775580395528</v>
      </c>
      <c r="Q35" s="55">
        <v>245.16732588134133</v>
      </c>
      <c r="R35" s="55">
        <v>269.46577815993129</v>
      </c>
      <c r="S35" s="55">
        <v>265.83241616509025</v>
      </c>
      <c r="T35" s="55">
        <v>263.68564058469474</v>
      </c>
      <c r="U35" s="55">
        <v>261.69131556319866</v>
      </c>
      <c r="V35" s="55">
        <v>237.2525365434222</v>
      </c>
      <c r="W35" s="55">
        <v>270.83258813413579</v>
      </c>
      <c r="DA35" s="101" t="s">
        <v>201</v>
      </c>
    </row>
    <row r="36" spans="1:105" ht="12" customHeight="1" x14ac:dyDescent="0.25">
      <c r="A36" s="60" t="s">
        <v>153</v>
      </c>
      <c r="B36" s="55">
        <v>26.977644024075669</v>
      </c>
      <c r="C36" s="55">
        <v>28.181427343078241</v>
      </c>
      <c r="D36" s="55">
        <v>30.803955288048151</v>
      </c>
      <c r="E36" s="55">
        <v>30.09458297506449</v>
      </c>
      <c r="F36" s="55">
        <v>31.276870163370589</v>
      </c>
      <c r="G36" s="55">
        <v>31.534823731728292</v>
      </c>
      <c r="H36" s="55">
        <v>30.331040412725709</v>
      </c>
      <c r="I36" s="55">
        <v>28.89045571797076</v>
      </c>
      <c r="J36" s="55">
        <v>27.8371453138435</v>
      </c>
      <c r="K36" s="55">
        <v>27.773086844368009</v>
      </c>
      <c r="L36" s="55">
        <v>30.56732588134135</v>
      </c>
      <c r="M36" s="55">
        <v>37.059587274290621</v>
      </c>
      <c r="N36" s="55">
        <v>33.533791917454863</v>
      </c>
      <c r="O36" s="55">
        <v>34.75881341358555</v>
      </c>
      <c r="P36" s="55">
        <v>29.901375752364569</v>
      </c>
      <c r="Q36" s="55">
        <v>28.37489251934652</v>
      </c>
      <c r="R36" s="55">
        <v>29.235081685296649</v>
      </c>
      <c r="S36" s="55">
        <v>28.872484952708511</v>
      </c>
      <c r="T36" s="55">
        <v>25.79793637145313</v>
      </c>
      <c r="U36" s="55">
        <v>27.087876182287189</v>
      </c>
      <c r="V36" s="55">
        <v>23.669647463456581</v>
      </c>
      <c r="W36" s="55">
        <v>29.424849527085119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61.598280309544272</v>
      </c>
      <c r="C37" s="55">
        <f t="shared" ref="C37:W37" si="20">SUM(C38:C42)</f>
        <v>66.423043852106616</v>
      </c>
      <c r="D37" s="55">
        <f t="shared" si="20"/>
        <v>70.364058469475495</v>
      </c>
      <c r="E37" s="55">
        <f t="shared" si="20"/>
        <v>72.585210662080826</v>
      </c>
      <c r="F37" s="55">
        <f t="shared" si="20"/>
        <v>74.519948409286329</v>
      </c>
      <c r="G37" s="55">
        <f t="shared" si="20"/>
        <v>73.683920894239037</v>
      </c>
      <c r="H37" s="55">
        <f t="shared" si="20"/>
        <v>74.782717110920032</v>
      </c>
      <c r="I37" s="55">
        <f t="shared" si="20"/>
        <v>74.830438521066199</v>
      </c>
      <c r="J37" s="55">
        <f t="shared" si="20"/>
        <v>80.586586414445378</v>
      </c>
      <c r="K37" s="55">
        <f t="shared" si="20"/>
        <v>87.617540842648324</v>
      </c>
      <c r="L37" s="55">
        <f t="shared" si="20"/>
        <v>98.55219260533103</v>
      </c>
      <c r="M37" s="55">
        <f t="shared" si="20"/>
        <v>91.169389509888205</v>
      </c>
      <c r="N37" s="55">
        <f t="shared" si="20"/>
        <v>103.37171109200344</v>
      </c>
      <c r="O37" s="55">
        <f t="shared" si="20"/>
        <v>88.108770421324152</v>
      </c>
      <c r="P37" s="55">
        <f t="shared" si="20"/>
        <v>90.481169389509887</v>
      </c>
      <c r="Q37" s="55">
        <f t="shared" si="20"/>
        <v>80.976096302665496</v>
      </c>
      <c r="R37" s="55">
        <f t="shared" si="20"/>
        <v>88.63104041272571</v>
      </c>
      <c r="S37" s="55">
        <f t="shared" si="20"/>
        <v>98.162424763542575</v>
      </c>
      <c r="T37" s="55">
        <f t="shared" si="20"/>
        <v>98.934823731728287</v>
      </c>
      <c r="U37" s="55">
        <f t="shared" si="20"/>
        <v>94.886586414445389</v>
      </c>
      <c r="V37" s="55">
        <f t="shared" si="20"/>
        <v>87.287360275150476</v>
      </c>
      <c r="W37" s="55">
        <f t="shared" si="20"/>
        <v>112.62914875322438</v>
      </c>
      <c r="DA37" s="101"/>
    </row>
    <row r="38" spans="1:105" ht="12" customHeight="1" x14ac:dyDescent="0.25">
      <c r="A38" s="61" t="s">
        <v>171</v>
      </c>
      <c r="B38" s="55">
        <v>52.187790197764393</v>
      </c>
      <c r="C38" s="55">
        <v>59.47265692175408</v>
      </c>
      <c r="D38" s="55">
        <v>61.287876182287192</v>
      </c>
      <c r="E38" s="55">
        <v>62.099914015477218</v>
      </c>
      <c r="F38" s="55">
        <v>61.741702493551159</v>
      </c>
      <c r="G38" s="55">
        <v>61.669991401547719</v>
      </c>
      <c r="H38" s="55">
        <v>63.77188306104901</v>
      </c>
      <c r="I38" s="55">
        <v>63.556921754084257</v>
      </c>
      <c r="J38" s="55">
        <v>69.241444539982794</v>
      </c>
      <c r="K38" s="55">
        <v>73.851074806534825</v>
      </c>
      <c r="L38" s="55">
        <v>82.210834049871011</v>
      </c>
      <c r="M38" s="55">
        <v>71.916595012897673</v>
      </c>
      <c r="N38" s="55">
        <v>78.890713671539118</v>
      </c>
      <c r="O38" s="55">
        <v>72.513585554600155</v>
      </c>
      <c r="P38" s="55">
        <v>74.400515907136722</v>
      </c>
      <c r="Q38" s="55">
        <v>68.405503009458286</v>
      </c>
      <c r="R38" s="55">
        <v>76.86061908856405</v>
      </c>
      <c r="S38" s="55">
        <v>77.553224419604476</v>
      </c>
      <c r="T38" s="55">
        <v>79.559501289767837</v>
      </c>
      <c r="U38" s="55">
        <v>78.222012037833181</v>
      </c>
      <c r="V38" s="55">
        <v>71.128202923473765</v>
      </c>
      <c r="W38" s="55">
        <v>85.291917454858094</v>
      </c>
      <c r="DA38" s="101" t="s">
        <v>203</v>
      </c>
    </row>
    <row r="39" spans="1:105" ht="12" customHeight="1" x14ac:dyDescent="0.25">
      <c r="A39" s="61" t="s">
        <v>50</v>
      </c>
      <c r="B39" s="55">
        <v>9.4104901117798789</v>
      </c>
      <c r="C39" s="55">
        <v>6.9503869303525363</v>
      </c>
      <c r="D39" s="55">
        <v>9.0761822871883044</v>
      </c>
      <c r="E39" s="55">
        <v>10.48529664660361</v>
      </c>
      <c r="F39" s="55">
        <v>12.77824591573517</v>
      </c>
      <c r="G39" s="55">
        <v>12.01392949269132</v>
      </c>
      <c r="H39" s="55">
        <v>11.01083404987102</v>
      </c>
      <c r="I39" s="55">
        <v>11.27351676698194</v>
      </c>
      <c r="J39" s="55">
        <v>11.345141874462589</v>
      </c>
      <c r="K39" s="55">
        <v>10.67644024075666</v>
      </c>
      <c r="L39" s="55">
        <v>10.60472914875322</v>
      </c>
      <c r="M39" s="55">
        <v>13.92467755803955</v>
      </c>
      <c r="N39" s="55">
        <v>21.63946689595873</v>
      </c>
      <c r="O39" s="55">
        <v>14.28297506448839</v>
      </c>
      <c r="P39" s="55">
        <v>14.760705073086839</v>
      </c>
      <c r="Q39" s="55">
        <v>11.8944969905417</v>
      </c>
      <c r="R39" s="55">
        <v>11.0585554600172</v>
      </c>
      <c r="S39" s="55">
        <v>19.274892519346519</v>
      </c>
      <c r="T39" s="55">
        <v>18.05674978503869</v>
      </c>
      <c r="U39" s="55">
        <v>15.33387790197764</v>
      </c>
      <c r="V39" s="55">
        <v>14.78452278589854</v>
      </c>
      <c r="W39" s="55">
        <v>18.749441100601889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3.0900257953568349</v>
      </c>
      <c r="L40" s="55">
        <v>5.7366294067067924</v>
      </c>
      <c r="M40" s="55">
        <v>5.3281169389509886</v>
      </c>
      <c r="N40" s="55">
        <v>2.8415305245055889</v>
      </c>
      <c r="O40" s="55">
        <v>1.312209802235597</v>
      </c>
      <c r="P40" s="55">
        <v>1.3199484092863289</v>
      </c>
      <c r="Q40" s="55">
        <v>0.67609630266552023</v>
      </c>
      <c r="R40" s="55">
        <v>0.71186586414445396</v>
      </c>
      <c r="S40" s="55">
        <v>1.3343078245915729</v>
      </c>
      <c r="T40" s="55">
        <v>1.318572656921754</v>
      </c>
      <c r="U40" s="55">
        <v>1.330696474634566</v>
      </c>
      <c r="V40" s="55">
        <v>1.37463456577816</v>
      </c>
      <c r="W40" s="55">
        <v>8.5877901977644022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1.2299221298080782</v>
      </c>
      <c r="C43" s="55">
        <v>1.4101591765642096</v>
      </c>
      <c r="D43" s="55">
        <v>1.7136991840112277</v>
      </c>
      <c r="E43" s="55">
        <v>2.1311914459174863</v>
      </c>
      <c r="F43" s="55">
        <v>2.7114669407779539</v>
      </c>
      <c r="G43" s="55">
        <v>3.3901909046435392</v>
      </c>
      <c r="H43" s="55">
        <v>4.1894157979753741</v>
      </c>
      <c r="I43" s="55">
        <v>5.0741737678228089</v>
      </c>
      <c r="J43" s="55">
        <v>6.1458679954456858</v>
      </c>
      <c r="K43" s="55">
        <v>7.4699959004398746</v>
      </c>
      <c r="L43" s="55">
        <v>9.2195915855653912</v>
      </c>
      <c r="M43" s="55">
        <v>11.799910942452163</v>
      </c>
      <c r="N43" s="55">
        <v>14.870258159067658</v>
      </c>
      <c r="O43" s="55">
        <v>18.825038820254257</v>
      </c>
      <c r="P43" s="55">
        <v>23.012699678879891</v>
      </c>
      <c r="Q43" s="55">
        <v>29.415183058011142</v>
      </c>
      <c r="R43" s="55">
        <v>32.612749934633747</v>
      </c>
      <c r="S43" s="55">
        <v>37.092777300085999</v>
      </c>
      <c r="T43" s="55">
        <v>43.135597592433356</v>
      </c>
      <c r="U43" s="55">
        <v>48.127429062768677</v>
      </c>
      <c r="V43" s="55">
        <v>50.75477214101457</v>
      </c>
      <c r="W43" s="55">
        <v>68.954772141014644</v>
      </c>
      <c r="DA43" s="101" t="s">
        <v>208</v>
      </c>
    </row>
    <row r="44" spans="1:105" ht="12" customHeight="1" x14ac:dyDescent="0.25">
      <c r="A44" s="60" t="s">
        <v>169</v>
      </c>
      <c r="B44" s="55">
        <v>750</v>
      </c>
      <c r="C44" s="55">
        <v>855.66543422183997</v>
      </c>
      <c r="D44" s="55">
        <v>884.30300945829742</v>
      </c>
      <c r="E44" s="55">
        <v>901.28495270851238</v>
      </c>
      <c r="F44" s="55">
        <v>878.92897678417876</v>
      </c>
      <c r="G44" s="55">
        <v>864.04892519346504</v>
      </c>
      <c r="H44" s="55">
        <v>890.27420464316413</v>
      </c>
      <c r="I44" s="55">
        <v>1010.5092003439379</v>
      </c>
      <c r="J44" s="55">
        <v>1003.9649183147034</v>
      </c>
      <c r="K44" s="55">
        <v>1156.4201203783321</v>
      </c>
      <c r="L44" s="55">
        <v>1227.7395528804816</v>
      </c>
      <c r="M44" s="55">
        <v>1020.7318142734306</v>
      </c>
      <c r="N44" s="55">
        <v>1115.7208942390371</v>
      </c>
      <c r="O44" s="55">
        <v>1053.071539122958</v>
      </c>
      <c r="P44" s="55">
        <v>1134.470249355116</v>
      </c>
      <c r="Q44" s="55">
        <v>1007.4042132416165</v>
      </c>
      <c r="R44" s="55">
        <v>1105.0683576956146</v>
      </c>
      <c r="S44" s="55">
        <v>1096.8281169389506</v>
      </c>
      <c r="T44" s="55">
        <v>1117.5122098022357</v>
      </c>
      <c r="U44" s="55">
        <v>1079.2490111779882</v>
      </c>
      <c r="V44" s="55">
        <v>979.33981083404979</v>
      </c>
      <c r="W44" s="55">
        <v>1156.8262252794493</v>
      </c>
      <c r="DA44" s="101" t="s">
        <v>209</v>
      </c>
    </row>
    <row r="45" spans="1:105" ht="12" customHeight="1" x14ac:dyDescent="0.25">
      <c r="A45" s="62" t="s">
        <v>24</v>
      </c>
      <c r="B45" s="63">
        <v>1142.4544697071583</v>
      </c>
      <c r="C45" s="63">
        <v>1215.026023701286</v>
      </c>
      <c r="D45" s="63">
        <v>1259.3104332272817</v>
      </c>
      <c r="E45" s="63">
        <v>1261.6333960752754</v>
      </c>
      <c r="F45" s="63">
        <v>1304.6268563600606</v>
      </c>
      <c r="G45" s="63">
        <v>1334.7227076940494</v>
      </c>
      <c r="H45" s="63">
        <v>1370.3208846815633</v>
      </c>
      <c r="I45" s="63">
        <v>1392.9347585828034</v>
      </c>
      <c r="J45" s="63">
        <v>1422.9417916038719</v>
      </c>
      <c r="K45" s="63">
        <v>1483.5590806550972</v>
      </c>
      <c r="L45" s="63">
        <v>1534.4588044743668</v>
      </c>
      <c r="M45" s="63">
        <v>1484.3225080674792</v>
      </c>
      <c r="N45" s="63">
        <v>1535.28076985545</v>
      </c>
      <c r="O45" s="63">
        <v>1505.0705809730293</v>
      </c>
      <c r="P45" s="63">
        <v>1501.2070238583701</v>
      </c>
      <c r="Q45" s="63">
        <v>1500.4694248660746</v>
      </c>
      <c r="R45" s="63">
        <v>1517.2888116460429</v>
      </c>
      <c r="S45" s="63">
        <v>1506.8968165228737</v>
      </c>
      <c r="T45" s="63">
        <v>1566.2952770128966</v>
      </c>
      <c r="U45" s="63">
        <v>1537.3610017711212</v>
      </c>
      <c r="V45" s="63">
        <v>1425.1703006102</v>
      </c>
      <c r="W45" s="63">
        <v>1476.4156459105484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2325.5604886237534</v>
      </c>
      <c r="C47" s="82">
        <f t="shared" ref="C47:W47" si="22">SUM(C48,C53)</f>
        <v>2523.0422747760922</v>
      </c>
      <c r="D47" s="82">
        <f t="shared" si="22"/>
        <v>2595.3252225652009</v>
      </c>
      <c r="E47" s="82">
        <f t="shared" si="22"/>
        <v>2609.9416505894628</v>
      </c>
      <c r="F47" s="82">
        <f t="shared" si="22"/>
        <v>2622.0035545543856</v>
      </c>
      <c r="G47" s="82">
        <f t="shared" si="22"/>
        <v>2619.297858166964</v>
      </c>
      <c r="H47" s="82">
        <f t="shared" si="22"/>
        <v>2677.8435845955787</v>
      </c>
      <c r="I47" s="82">
        <f t="shared" si="22"/>
        <v>2804.7884989095446</v>
      </c>
      <c r="J47" s="82">
        <f t="shared" si="22"/>
        <v>2780.0730899701657</v>
      </c>
      <c r="K47" s="82">
        <f t="shared" si="22"/>
        <v>3022.7485905433168</v>
      </c>
      <c r="L47" s="82">
        <f t="shared" si="22"/>
        <v>3207.9932842680037</v>
      </c>
      <c r="M47" s="82">
        <f t="shared" si="22"/>
        <v>2903.7154573366106</v>
      </c>
      <c r="N47" s="82">
        <f t="shared" si="22"/>
        <v>3086.172429356739</v>
      </c>
      <c r="O47" s="82">
        <f t="shared" si="22"/>
        <v>2950.2094459773298</v>
      </c>
      <c r="P47" s="82">
        <f t="shared" si="22"/>
        <v>3024.312698836874</v>
      </c>
      <c r="Q47" s="82">
        <f t="shared" si="22"/>
        <v>2864.5523139460415</v>
      </c>
      <c r="R47" s="82">
        <f t="shared" si="22"/>
        <v>3012.0655958248908</v>
      </c>
      <c r="S47" s="82">
        <f t="shared" si="22"/>
        <v>2998.9616488530546</v>
      </c>
      <c r="T47" s="82">
        <f t="shared" si="22"/>
        <v>3074.6549502717103</v>
      </c>
      <c r="U47" s="82">
        <f t="shared" si="22"/>
        <v>3002.7693422698321</v>
      </c>
      <c r="V47" s="82">
        <f t="shared" si="22"/>
        <v>2754.957402931781</v>
      </c>
      <c r="W47" s="82">
        <f t="shared" si="22"/>
        <v>3048.6220087652327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1847.245888971865</v>
      </c>
      <c r="C48" s="64">
        <f t="shared" ref="C48:W48" si="24">SUM(C49:C52)</f>
        <v>2018.82853194068</v>
      </c>
      <c r="D48" s="64">
        <f t="shared" si="24"/>
        <v>2063.6960726836342</v>
      </c>
      <c r="E48" s="64">
        <f t="shared" si="24"/>
        <v>2051.9111817766911</v>
      </c>
      <c r="F48" s="64">
        <f t="shared" si="24"/>
        <v>2035.0294384191161</v>
      </c>
      <c r="G48" s="64">
        <f t="shared" si="24"/>
        <v>1998.0904742146781</v>
      </c>
      <c r="H48" s="64">
        <f t="shared" si="24"/>
        <v>2034.4862170270842</v>
      </c>
      <c r="I48" s="64">
        <f t="shared" si="24"/>
        <v>2141.8769048902486</v>
      </c>
      <c r="J48" s="64">
        <f t="shared" si="24"/>
        <v>2097.667359050366</v>
      </c>
      <c r="K48" s="64">
        <f t="shared" si="24"/>
        <v>2314.3904100405516</v>
      </c>
      <c r="L48" s="64">
        <f t="shared" si="24"/>
        <v>2480.7642877877365</v>
      </c>
      <c r="M48" s="64">
        <f t="shared" si="24"/>
        <v>2171.4473194742554</v>
      </c>
      <c r="N48" s="64">
        <f t="shared" si="24"/>
        <v>2340.2866878125815</v>
      </c>
      <c r="O48" s="64">
        <f t="shared" si="24"/>
        <v>2189.9041221634993</v>
      </c>
      <c r="P48" s="64">
        <f t="shared" si="24"/>
        <v>2258.3860838848841</v>
      </c>
      <c r="Q48" s="64">
        <f t="shared" si="24"/>
        <v>2088.1596336813109</v>
      </c>
      <c r="R48" s="64">
        <f t="shared" si="24"/>
        <v>2233.1939975187006</v>
      </c>
      <c r="S48" s="64">
        <f t="shared" si="24"/>
        <v>2194.1585288586448</v>
      </c>
      <c r="T48" s="64">
        <f t="shared" si="24"/>
        <v>2261.688638715204</v>
      </c>
      <c r="U48" s="64">
        <f t="shared" si="24"/>
        <v>2178.8799038793049</v>
      </c>
      <c r="V48" s="64">
        <f t="shared" si="24"/>
        <v>1970.5872936395222</v>
      </c>
      <c r="W48" s="64">
        <f t="shared" si="24"/>
        <v>2257.4294985524325</v>
      </c>
      <c r="DA48" s="108" t="s">
        <v>212</v>
      </c>
    </row>
    <row r="49" spans="1:105" ht="12" customHeight="1" x14ac:dyDescent="0.25">
      <c r="A49" s="61" t="s">
        <v>32</v>
      </c>
      <c r="B49" s="65">
        <v>1462.3325044920766</v>
      </c>
      <c r="C49" s="65">
        <v>1635.384601878462</v>
      </c>
      <c r="D49" s="65">
        <v>1682.1364982764319</v>
      </c>
      <c r="E49" s="65">
        <v>1669.4832302858647</v>
      </c>
      <c r="F49" s="65">
        <v>1650.6252769009493</v>
      </c>
      <c r="G49" s="65">
        <v>1611.0759700264548</v>
      </c>
      <c r="H49" s="65">
        <v>1642.9438701267782</v>
      </c>
      <c r="I49" s="65">
        <v>1749.1294446230784</v>
      </c>
      <c r="J49" s="65">
        <v>1703.3788550024196</v>
      </c>
      <c r="K49" s="65">
        <v>1917.7107610089863</v>
      </c>
      <c r="L49" s="65">
        <v>2080.7618336908827</v>
      </c>
      <c r="M49" s="65">
        <v>1769.2832214432883</v>
      </c>
      <c r="N49" s="65">
        <v>1937.7827195549148</v>
      </c>
      <c r="O49" s="65">
        <v>1789.4443586762316</v>
      </c>
      <c r="P49" s="65">
        <v>1854.1462890201885</v>
      </c>
      <c r="Q49" s="65">
        <v>1681.6164704706259</v>
      </c>
      <c r="R49" s="65">
        <v>1821.8757413736112</v>
      </c>
      <c r="S49" s="65">
        <v>1784.8780591607815</v>
      </c>
      <c r="T49" s="65">
        <v>1852.6469741008091</v>
      </c>
      <c r="U49" s="65">
        <v>1766.6910871510618</v>
      </c>
      <c r="V49" s="65">
        <v>1594.7936190901464</v>
      </c>
      <c r="W49" s="65">
        <v>1840.4325322994823</v>
      </c>
      <c r="DA49" s="109" t="s">
        <v>213</v>
      </c>
    </row>
    <row r="50" spans="1:105" ht="12" customHeight="1" x14ac:dyDescent="0.25">
      <c r="A50" s="61" t="s">
        <v>31</v>
      </c>
      <c r="B50" s="65">
        <v>11.472550861423928</v>
      </c>
      <c r="C50" s="65">
        <v>11.641327877321574</v>
      </c>
      <c r="D50" s="65">
        <v>12.022679897235873</v>
      </c>
      <c r="E50" s="65">
        <v>12.899808143165382</v>
      </c>
      <c r="F50" s="65">
        <v>12.787943505728427</v>
      </c>
      <c r="G50" s="65">
        <v>13.451130580315455</v>
      </c>
      <c r="H50" s="65">
        <v>14.019119675741356</v>
      </c>
      <c r="I50" s="65">
        <v>14.803514442209831</v>
      </c>
      <c r="J50" s="65">
        <v>15.632418312141848</v>
      </c>
      <c r="K50" s="65">
        <v>16.308212427380887</v>
      </c>
      <c r="L50" s="65">
        <v>17.849902841350929</v>
      </c>
      <c r="M50" s="65">
        <v>16.873120143408165</v>
      </c>
      <c r="N50" s="65">
        <v>16.467675765827224</v>
      </c>
      <c r="O50" s="65">
        <v>16.357534554472295</v>
      </c>
      <c r="P50" s="65">
        <v>16.463320005075342</v>
      </c>
      <c r="Q50" s="65">
        <v>16.174735323115979</v>
      </c>
      <c r="R50" s="65">
        <v>16.22575969495945</v>
      </c>
      <c r="S50" s="65">
        <v>15.81127290738122</v>
      </c>
      <c r="T50" s="65">
        <v>15.453097162044934</v>
      </c>
      <c r="U50" s="65">
        <v>15.409049809251593</v>
      </c>
      <c r="V50" s="65">
        <v>15.253840488192006</v>
      </c>
      <c r="W50" s="65">
        <v>14.828642649926243</v>
      </c>
      <c r="DA50" s="109" t="s">
        <v>214</v>
      </c>
    </row>
    <row r="51" spans="1:105" ht="12" customHeight="1" x14ac:dyDescent="0.25">
      <c r="A51" s="61" t="s">
        <v>35</v>
      </c>
      <c r="B51" s="65">
        <v>197.66196991131125</v>
      </c>
      <c r="C51" s="65">
        <v>199.0395674169342</v>
      </c>
      <c r="D51" s="65">
        <v>199.10515349397122</v>
      </c>
      <c r="E51" s="65">
        <v>200.46765671195607</v>
      </c>
      <c r="F51" s="65">
        <v>201.0693321800386</v>
      </c>
      <c r="G51" s="65">
        <v>203.58855370931249</v>
      </c>
      <c r="H51" s="65">
        <v>204.87787365172599</v>
      </c>
      <c r="I51" s="65">
        <v>206.01289840647016</v>
      </c>
      <c r="J51" s="65">
        <v>207.32800230733878</v>
      </c>
      <c r="K51" s="65">
        <v>207.97887015216429</v>
      </c>
      <c r="L51" s="65">
        <v>211.23037733687966</v>
      </c>
      <c r="M51" s="65">
        <v>212.2837025749003</v>
      </c>
      <c r="N51" s="65">
        <v>213.62671088715265</v>
      </c>
      <c r="O51" s="65">
        <v>213.3804459829187</v>
      </c>
      <c r="P51" s="65">
        <v>215.39840502686832</v>
      </c>
      <c r="Q51" s="65">
        <v>216.17000229596005</v>
      </c>
      <c r="R51" s="65">
        <v>216.2165170118472</v>
      </c>
      <c r="S51" s="65">
        <v>214.86253166011562</v>
      </c>
      <c r="T51" s="65">
        <v>215.08474673074744</v>
      </c>
      <c r="U51" s="65">
        <v>213.58595898166092</v>
      </c>
      <c r="V51" s="65">
        <v>193.12075339023022</v>
      </c>
      <c r="W51" s="65">
        <v>216.07591557327214</v>
      </c>
      <c r="DA51" s="109" t="s">
        <v>215</v>
      </c>
    </row>
    <row r="52" spans="1:105" ht="12" customHeight="1" x14ac:dyDescent="0.25">
      <c r="A52" s="66" t="s">
        <v>34</v>
      </c>
      <c r="B52" s="67">
        <v>175.77886370705335</v>
      </c>
      <c r="C52" s="67">
        <v>172.76303476796213</v>
      </c>
      <c r="D52" s="67">
        <v>170.43174101599527</v>
      </c>
      <c r="E52" s="67">
        <v>169.06048663570499</v>
      </c>
      <c r="F52" s="67">
        <v>170.54688583239974</v>
      </c>
      <c r="G52" s="67">
        <v>169.97481989859546</v>
      </c>
      <c r="H52" s="67">
        <v>172.64535357283853</v>
      </c>
      <c r="I52" s="67">
        <v>171.93104741849021</v>
      </c>
      <c r="J52" s="67">
        <v>171.32808342846565</v>
      </c>
      <c r="K52" s="67">
        <v>172.39256645201999</v>
      </c>
      <c r="L52" s="67">
        <v>170.92217391862354</v>
      </c>
      <c r="M52" s="67">
        <v>173.00727531265875</v>
      </c>
      <c r="N52" s="67">
        <v>172.40958160468691</v>
      </c>
      <c r="O52" s="67">
        <v>170.72178294987691</v>
      </c>
      <c r="P52" s="67">
        <v>172.37806983275186</v>
      </c>
      <c r="Q52" s="67">
        <v>174.19842559160884</v>
      </c>
      <c r="R52" s="67">
        <v>178.87597943828288</v>
      </c>
      <c r="S52" s="67">
        <v>178.60666513036637</v>
      </c>
      <c r="T52" s="67">
        <v>178.50382072160269</v>
      </c>
      <c r="U52" s="67">
        <v>183.19380793733038</v>
      </c>
      <c r="V52" s="67">
        <v>167.41908067095358</v>
      </c>
      <c r="W52" s="67">
        <v>186.09240802975179</v>
      </c>
      <c r="DA52" s="110" t="s">
        <v>216</v>
      </c>
    </row>
    <row r="53" spans="1:105" ht="12" customHeight="1" x14ac:dyDescent="0.25">
      <c r="A53" s="78" t="s">
        <v>33</v>
      </c>
      <c r="B53" s="68">
        <v>478.31459965188822</v>
      </c>
      <c r="C53" s="68">
        <v>504.21374283541229</v>
      </c>
      <c r="D53" s="68">
        <v>531.6291498815666</v>
      </c>
      <c r="E53" s="68">
        <v>558.03046881277157</v>
      </c>
      <c r="F53" s="68">
        <v>586.97411613526936</v>
      </c>
      <c r="G53" s="68">
        <v>621.20738395228614</v>
      </c>
      <c r="H53" s="68">
        <v>643.35736756849451</v>
      </c>
      <c r="I53" s="68">
        <v>662.91159401929576</v>
      </c>
      <c r="J53" s="68">
        <v>682.40573091979945</v>
      </c>
      <c r="K53" s="68">
        <v>708.35818050276509</v>
      </c>
      <c r="L53" s="68">
        <v>727.22899648026714</v>
      </c>
      <c r="M53" s="68">
        <v>732.26813786235516</v>
      </c>
      <c r="N53" s="68">
        <v>745.88574154415755</v>
      </c>
      <c r="O53" s="68">
        <v>760.30532381383023</v>
      </c>
      <c r="P53" s="68">
        <v>765.92661495199013</v>
      </c>
      <c r="Q53" s="68">
        <v>776.39268026473064</v>
      </c>
      <c r="R53" s="68">
        <v>778.87159830619021</v>
      </c>
      <c r="S53" s="68">
        <v>804.8031199944096</v>
      </c>
      <c r="T53" s="68">
        <v>812.96631155650618</v>
      </c>
      <c r="U53" s="68">
        <v>823.88943839052718</v>
      </c>
      <c r="V53" s="68">
        <v>784.3701092922588</v>
      </c>
      <c r="W53" s="68">
        <v>791.19251021280024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0.79432287313457461</v>
      </c>
      <c r="C56" s="70">
        <f t="shared" ref="C56:W56" si="28">IF(C48=0,0,C48/C$47)</f>
        <v>0.80015644292755317</v>
      </c>
      <c r="D56" s="70">
        <f t="shared" si="28"/>
        <v>0.79515894761115591</v>
      </c>
      <c r="E56" s="70">
        <f t="shared" si="28"/>
        <v>0.78619044273011285</v>
      </c>
      <c r="F56" s="70">
        <f t="shared" si="28"/>
        <v>0.77613527063466292</v>
      </c>
      <c r="G56" s="70">
        <f t="shared" si="28"/>
        <v>0.7628343863164081</v>
      </c>
      <c r="H56" s="70">
        <f t="shared" si="28"/>
        <v>0.75974796613609619</v>
      </c>
      <c r="I56" s="70">
        <f t="shared" si="28"/>
        <v>0.76365005978988254</v>
      </c>
      <c r="J56" s="70">
        <f t="shared" si="28"/>
        <v>0.75453676618008525</v>
      </c>
      <c r="K56" s="70">
        <f t="shared" si="28"/>
        <v>0.76565759298710212</v>
      </c>
      <c r="L56" s="70">
        <f t="shared" si="28"/>
        <v>0.77330719486022692</v>
      </c>
      <c r="M56" s="70">
        <f t="shared" si="28"/>
        <v>0.74781684065765275</v>
      </c>
      <c r="N56" s="70">
        <f t="shared" si="28"/>
        <v>0.75831365271459417</v>
      </c>
      <c r="O56" s="70">
        <f t="shared" si="28"/>
        <v>0.74228767898139503</v>
      </c>
      <c r="P56" s="70">
        <f t="shared" si="28"/>
        <v>0.74674357739311847</v>
      </c>
      <c r="Q56" s="70">
        <f t="shared" si="28"/>
        <v>0.72896543851377005</v>
      </c>
      <c r="R56" s="70">
        <f t="shared" si="28"/>
        <v>0.74141612341185192</v>
      </c>
      <c r="S56" s="70">
        <f t="shared" si="28"/>
        <v>0.73163940915943193</v>
      </c>
      <c r="T56" s="70">
        <f t="shared" si="28"/>
        <v>0.73559104201768599</v>
      </c>
      <c r="U56" s="70">
        <f t="shared" si="28"/>
        <v>0.7256234680457545</v>
      </c>
      <c r="V56" s="70">
        <f t="shared" si="28"/>
        <v>0.715287754192662</v>
      </c>
      <c r="W56" s="70">
        <f t="shared" si="28"/>
        <v>0.74047536626777399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0.62880862985312946</v>
      </c>
      <c r="C57" s="71">
        <f t="shared" ref="C57:W57" si="30">IF(C49=0,0,C49/C$47)</f>
        <v>0.64817962751876379</v>
      </c>
      <c r="D57" s="71">
        <f t="shared" si="30"/>
        <v>0.64814092802358703</v>
      </c>
      <c r="E57" s="71">
        <f t="shared" si="30"/>
        <v>0.6396630476044578</v>
      </c>
      <c r="F57" s="71">
        <f t="shared" si="30"/>
        <v>0.629528237684436</v>
      </c>
      <c r="G57" s="71">
        <f t="shared" si="30"/>
        <v>0.61507932937184828</v>
      </c>
      <c r="H57" s="71">
        <f t="shared" si="30"/>
        <v>0.61353242570921251</v>
      </c>
      <c r="I57" s="71">
        <f t="shared" si="30"/>
        <v>0.62362258163248707</v>
      </c>
      <c r="J57" s="71">
        <f t="shared" si="30"/>
        <v>0.61271009785598818</v>
      </c>
      <c r="K57" s="71">
        <f t="shared" si="30"/>
        <v>0.63442615340506769</v>
      </c>
      <c r="L57" s="71">
        <f t="shared" si="30"/>
        <v>0.64861788953703148</v>
      </c>
      <c r="M57" s="71">
        <f t="shared" si="30"/>
        <v>0.60931701037474817</v>
      </c>
      <c r="N57" s="71">
        <f t="shared" si="30"/>
        <v>0.62789191592862914</v>
      </c>
      <c r="O57" s="71">
        <f t="shared" si="30"/>
        <v>0.60654824392762186</v>
      </c>
      <c r="P57" s="71">
        <f t="shared" si="30"/>
        <v>0.61308021810485336</v>
      </c>
      <c r="Q57" s="71">
        <f t="shared" si="30"/>
        <v>0.58704337926861894</v>
      </c>
      <c r="R57" s="71">
        <f t="shared" si="30"/>
        <v>0.60485925137187069</v>
      </c>
      <c r="S57" s="71">
        <f t="shared" si="30"/>
        <v>0.59516534992816716</v>
      </c>
      <c r="T57" s="71">
        <f t="shared" si="30"/>
        <v>0.60255443425841615</v>
      </c>
      <c r="U57" s="71">
        <f t="shared" si="30"/>
        <v>0.58835391126499148</v>
      </c>
      <c r="V57" s="71">
        <f t="shared" si="30"/>
        <v>0.57888140752847683</v>
      </c>
      <c r="W57" s="71">
        <f t="shared" si="30"/>
        <v>0.60369325124858719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4.933241219717009E-3</v>
      </c>
      <c r="C58" s="72">
        <f t="shared" ref="C58:W58" si="32">IF(C50=0,0,C50/C$47)</f>
        <v>4.6140042890699031E-3</v>
      </c>
      <c r="D58" s="72">
        <f t="shared" si="32"/>
        <v>4.6324367338258831E-3</v>
      </c>
      <c r="E58" s="72">
        <f t="shared" si="32"/>
        <v>4.9425657237401931E-3</v>
      </c>
      <c r="F58" s="72">
        <f t="shared" si="32"/>
        <v>4.8771648244015295E-3</v>
      </c>
      <c r="G58" s="72">
        <f t="shared" si="32"/>
        <v>5.13539555586428E-3</v>
      </c>
      <c r="H58" s="72">
        <f t="shared" si="32"/>
        <v>5.2352272389571226E-3</v>
      </c>
      <c r="I58" s="72">
        <f t="shared" si="32"/>
        <v>5.2779432203052716E-3</v>
      </c>
      <c r="J58" s="72">
        <f t="shared" si="32"/>
        <v>5.6230242177947943E-3</v>
      </c>
      <c r="K58" s="72">
        <f t="shared" si="32"/>
        <v>5.3951600468531216E-3</v>
      </c>
      <c r="L58" s="72">
        <f t="shared" si="32"/>
        <v>5.5641958257477775E-3</v>
      </c>
      <c r="M58" s="72">
        <f t="shared" si="32"/>
        <v>5.8108724464637392E-3</v>
      </c>
      <c r="N58" s="72">
        <f t="shared" si="32"/>
        <v>5.3359545335772557E-3</v>
      </c>
      <c r="O58" s="72">
        <f t="shared" si="32"/>
        <v>5.544533313313102E-3</v>
      </c>
      <c r="P58" s="72">
        <f t="shared" si="32"/>
        <v>5.4436566732689387E-3</v>
      </c>
      <c r="Q58" s="72">
        <f t="shared" si="32"/>
        <v>5.6465142020166491E-3</v>
      </c>
      <c r="R58" s="72">
        <f t="shared" si="32"/>
        <v>5.3869210940991567E-3</v>
      </c>
      <c r="S58" s="72">
        <f t="shared" si="32"/>
        <v>5.2722491177665445E-3</v>
      </c>
      <c r="T58" s="72">
        <f t="shared" si="32"/>
        <v>5.0259614207048917E-3</v>
      </c>
      <c r="U58" s="72">
        <f t="shared" si="32"/>
        <v>5.1316128722706661E-3</v>
      </c>
      <c r="V58" s="72">
        <f t="shared" si="32"/>
        <v>5.5368698158305887E-3</v>
      </c>
      <c r="W58" s="72">
        <f t="shared" si="32"/>
        <v>4.8640476278435747E-3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8.4995411161412487E-2</v>
      </c>
      <c r="C59" s="72">
        <f t="shared" ref="C59:W59" si="34">IF(C51=0,0,C51/C$47)</f>
        <v>7.8888716771342252E-2</v>
      </c>
      <c r="D59" s="72">
        <f t="shared" si="34"/>
        <v>7.6716841405015557E-2</v>
      </c>
      <c r="E59" s="72">
        <f t="shared" si="34"/>
        <v>7.6809248462194502E-2</v>
      </c>
      <c r="F59" s="72">
        <f t="shared" si="34"/>
        <v>7.6685377420935924E-2</v>
      </c>
      <c r="G59" s="72">
        <f t="shared" si="34"/>
        <v>7.7726384983106786E-2</v>
      </c>
      <c r="H59" s="72">
        <f t="shared" si="34"/>
        <v>7.650852903817669E-2</v>
      </c>
      <c r="I59" s="72">
        <f t="shared" si="34"/>
        <v>7.345042183628625E-2</v>
      </c>
      <c r="J59" s="72">
        <f t="shared" si="34"/>
        <v>7.4576457379961797E-2</v>
      </c>
      <c r="K59" s="72">
        <f t="shared" si="34"/>
        <v>6.8804554504740212E-2</v>
      </c>
      <c r="L59" s="72">
        <f t="shared" si="34"/>
        <v>6.5845018558097754E-2</v>
      </c>
      <c r="M59" s="72">
        <f t="shared" si="34"/>
        <v>7.3107611848997889E-2</v>
      </c>
      <c r="N59" s="72">
        <f t="shared" si="34"/>
        <v>6.9220601174147481E-2</v>
      </c>
      <c r="O59" s="72">
        <f t="shared" si="34"/>
        <v>7.2327219436527548E-2</v>
      </c>
      <c r="P59" s="72">
        <f t="shared" si="34"/>
        <v>7.1222266503628673E-2</v>
      </c>
      <c r="Q59" s="72">
        <f t="shared" si="34"/>
        <v>7.5463799785934704E-2</v>
      </c>
      <c r="R59" s="72">
        <f t="shared" si="34"/>
        <v>7.178346889641149E-2</v>
      </c>
      <c r="S59" s="72">
        <f t="shared" si="34"/>
        <v>7.1645641664770623E-2</v>
      </c>
      <c r="T59" s="72">
        <f t="shared" si="34"/>
        <v>6.9954108740475154E-2</v>
      </c>
      <c r="U59" s="72">
        <f t="shared" si="34"/>
        <v>7.1129658870237616E-2</v>
      </c>
      <c r="V59" s="72">
        <f t="shared" si="34"/>
        <v>7.0099360950087383E-2</v>
      </c>
      <c r="W59" s="72">
        <f t="shared" si="34"/>
        <v>7.0876584552634722E-2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7.5585590900315719E-2</v>
      </c>
      <c r="C60" s="73">
        <f t="shared" ref="C60:W60" si="36">IF(C52=0,0,C52/C$47)</f>
        <v>6.8474094348377104E-2</v>
      </c>
      <c r="D60" s="73">
        <f t="shared" si="36"/>
        <v>6.5668741448727475E-2</v>
      </c>
      <c r="E60" s="73">
        <f t="shared" si="36"/>
        <v>6.4775580939720315E-2</v>
      </c>
      <c r="F60" s="73">
        <f t="shared" si="36"/>
        <v>6.5044490704889421E-2</v>
      </c>
      <c r="G60" s="73">
        <f t="shared" si="36"/>
        <v>6.4893276405588771E-2</v>
      </c>
      <c r="H60" s="73">
        <f t="shared" si="36"/>
        <v>6.4471784149749842E-2</v>
      </c>
      <c r="I60" s="73">
        <f t="shared" si="36"/>
        <v>6.1299113100803916E-2</v>
      </c>
      <c r="J60" s="73">
        <f t="shared" si="36"/>
        <v>6.162718672634044E-2</v>
      </c>
      <c r="K60" s="73">
        <f t="shared" si="36"/>
        <v>5.7031725030441148E-2</v>
      </c>
      <c r="L60" s="73">
        <f t="shared" si="36"/>
        <v>5.3280090939350072E-2</v>
      </c>
      <c r="M60" s="73">
        <f t="shared" si="36"/>
        <v>5.9581345987442955E-2</v>
      </c>
      <c r="N60" s="73">
        <f t="shared" si="36"/>
        <v>5.5865181078240268E-2</v>
      </c>
      <c r="O60" s="73">
        <f t="shared" si="36"/>
        <v>5.7867682303932529E-2</v>
      </c>
      <c r="P60" s="73">
        <f t="shared" si="36"/>
        <v>5.6997436111367407E-2</v>
      </c>
      <c r="Q60" s="73">
        <f t="shared" si="36"/>
        <v>6.0811745257199776E-2</v>
      </c>
      <c r="R60" s="73">
        <f t="shared" si="36"/>
        <v>5.9386482049470612E-2</v>
      </c>
      <c r="S60" s="73">
        <f t="shared" si="36"/>
        <v>5.9556168448727589E-2</v>
      </c>
      <c r="T60" s="73">
        <f t="shared" si="36"/>
        <v>5.8056537598089875E-2</v>
      </c>
      <c r="U60" s="73">
        <f t="shared" si="36"/>
        <v>6.1008285038254659E-2</v>
      </c>
      <c r="V60" s="73">
        <f t="shared" si="36"/>
        <v>6.0770115898267217E-2</v>
      </c>
      <c r="W60" s="73">
        <f t="shared" si="36"/>
        <v>6.1041482838708437E-2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0.20567712686542533</v>
      </c>
      <c r="C61" s="70">
        <f t="shared" ref="C61:W61" si="38">IF(C53=0,0,C53/C$47)</f>
        <v>0.19984355707244691</v>
      </c>
      <c r="D61" s="70">
        <f t="shared" si="38"/>
        <v>0.20484105238884404</v>
      </c>
      <c r="E61" s="70">
        <f t="shared" si="38"/>
        <v>0.21380955726988715</v>
      </c>
      <c r="F61" s="70">
        <f t="shared" si="38"/>
        <v>0.22386472936533708</v>
      </c>
      <c r="G61" s="70">
        <f t="shared" si="38"/>
        <v>0.23716561368359199</v>
      </c>
      <c r="H61" s="70">
        <f t="shared" si="38"/>
        <v>0.24025203386390379</v>
      </c>
      <c r="I61" s="70">
        <f t="shared" si="38"/>
        <v>0.23634994021011738</v>
      </c>
      <c r="J61" s="70">
        <f t="shared" si="38"/>
        <v>0.24546323381991467</v>
      </c>
      <c r="K61" s="70">
        <f t="shared" si="38"/>
        <v>0.2343424070128978</v>
      </c>
      <c r="L61" s="70">
        <f t="shared" si="38"/>
        <v>0.22669280513977305</v>
      </c>
      <c r="M61" s="70">
        <f t="shared" si="38"/>
        <v>0.25218315934234725</v>
      </c>
      <c r="N61" s="70">
        <f t="shared" si="38"/>
        <v>0.24168634728540586</v>
      </c>
      <c r="O61" s="70">
        <f t="shared" si="38"/>
        <v>0.25771232101860492</v>
      </c>
      <c r="P61" s="70">
        <f t="shared" si="38"/>
        <v>0.25325642260688164</v>
      </c>
      <c r="Q61" s="70">
        <f t="shared" si="38"/>
        <v>0.27103456148622995</v>
      </c>
      <c r="R61" s="70">
        <f t="shared" si="38"/>
        <v>0.25858387658814808</v>
      </c>
      <c r="S61" s="70">
        <f t="shared" si="38"/>
        <v>0.26836059084056796</v>
      </c>
      <c r="T61" s="70">
        <f t="shared" si="38"/>
        <v>0.26440895798231395</v>
      </c>
      <c r="U61" s="70">
        <f t="shared" si="38"/>
        <v>0.27437653195424544</v>
      </c>
      <c r="V61" s="70">
        <f t="shared" si="38"/>
        <v>0.284712245807338</v>
      </c>
      <c r="W61" s="70">
        <f t="shared" si="38"/>
        <v>0.25952463373222606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1139.2286107391999</v>
      </c>
      <c r="C65" s="80">
        <v>1183.6598844384</v>
      </c>
      <c r="D65" s="80">
        <v>1167.4572585264</v>
      </c>
      <c r="E65" s="80">
        <v>1146.7003392287997</v>
      </c>
      <c r="F65" s="80">
        <v>1112.9491478592001</v>
      </c>
      <c r="G65" s="80">
        <v>1059.4183465583999</v>
      </c>
      <c r="H65" s="80">
        <v>1047.0211284672</v>
      </c>
      <c r="I65" s="80">
        <v>998.14239779040008</v>
      </c>
      <c r="J65" s="80">
        <v>852.47360117626431</v>
      </c>
      <c r="K65" s="80">
        <v>910.48101384526933</v>
      </c>
      <c r="L65" s="80">
        <v>1068.8041961922015</v>
      </c>
      <c r="M65" s="80">
        <v>940.57029630205773</v>
      </c>
      <c r="N65" s="80">
        <v>1017.2000103901664</v>
      </c>
      <c r="O65" s="80">
        <v>923.28569950621068</v>
      </c>
      <c r="P65" s="80">
        <v>912.10689507171708</v>
      </c>
      <c r="Q65" s="80">
        <v>843.17953265931544</v>
      </c>
      <c r="R65" s="80">
        <v>923.09045932032313</v>
      </c>
      <c r="S65" s="80">
        <v>910.5348659787112</v>
      </c>
      <c r="T65" s="80">
        <v>898.40719093003111</v>
      </c>
      <c r="U65" s="80">
        <v>893.70295829632198</v>
      </c>
      <c r="V65" s="80">
        <v>809.62990311729243</v>
      </c>
      <c r="W65" s="80">
        <v>931.0236608502513</v>
      </c>
      <c r="DA65" s="103" t="s">
        <v>218</v>
      </c>
    </row>
    <row r="66" spans="1:105" ht="12" customHeight="1" x14ac:dyDescent="0.25">
      <c r="A66" s="58" t="s">
        <v>29</v>
      </c>
      <c r="B66" s="59">
        <v>8.6235000191999998</v>
      </c>
      <c r="C66" s="59">
        <v>8.8259808383999978</v>
      </c>
      <c r="D66" s="59">
        <v>8.7676452863999987</v>
      </c>
      <c r="E66" s="59">
        <v>8.8000121087999972</v>
      </c>
      <c r="F66" s="59">
        <v>8.397684979200001</v>
      </c>
      <c r="G66" s="59">
        <v>8.1955805183999981</v>
      </c>
      <c r="H66" s="59">
        <v>8.6686630272000009</v>
      </c>
      <c r="I66" s="59">
        <v>7.5011992704000017</v>
      </c>
      <c r="J66" s="59">
        <v>9.1635743232000024</v>
      </c>
      <c r="K66" s="59">
        <v>10.341576115200001</v>
      </c>
      <c r="L66" s="59">
        <v>11.620441958399999</v>
      </c>
      <c r="M66" s="59">
        <v>9.5240825460000007</v>
      </c>
      <c r="N66" s="59">
        <v>11.224490706000003</v>
      </c>
      <c r="O66" s="59">
        <v>10.215809683199996</v>
      </c>
      <c r="P66" s="59">
        <v>10.548553633199997</v>
      </c>
      <c r="Q66" s="59">
        <v>9.5545048500000007</v>
      </c>
      <c r="R66" s="59">
        <v>10.546644398399996</v>
      </c>
      <c r="S66" s="59">
        <v>10.514972793599998</v>
      </c>
      <c r="T66" s="59">
        <v>10.742876100000002</v>
      </c>
      <c r="U66" s="59">
        <v>10.952290799999997</v>
      </c>
      <c r="V66" s="59">
        <v>9.8287368299999969</v>
      </c>
      <c r="W66" s="59">
        <v>10.990187999999998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1067.2401607199999</v>
      </c>
      <c r="C67" s="55">
        <f t="shared" ref="C67:W67" si="39">SUM(C68:C69)</f>
        <v>1108.6415136000001</v>
      </c>
      <c r="D67" s="55">
        <f t="shared" si="39"/>
        <v>1086.3374432399999</v>
      </c>
      <c r="E67" s="55">
        <f t="shared" si="39"/>
        <v>1067.2143271199998</v>
      </c>
      <c r="F67" s="55">
        <f t="shared" si="39"/>
        <v>1031.0885128800001</v>
      </c>
      <c r="G67" s="55">
        <f t="shared" si="39"/>
        <v>977.15393603999996</v>
      </c>
      <c r="H67" s="55">
        <f t="shared" si="39"/>
        <v>967.11107544000004</v>
      </c>
      <c r="I67" s="55">
        <f t="shared" si="39"/>
        <v>922.78344636000008</v>
      </c>
      <c r="J67" s="55">
        <f t="shared" si="39"/>
        <v>757.52711135999994</v>
      </c>
      <c r="K67" s="55">
        <f t="shared" si="39"/>
        <v>827.32411908000006</v>
      </c>
      <c r="L67" s="55">
        <f t="shared" si="39"/>
        <v>975.76884791999998</v>
      </c>
      <c r="M67" s="55">
        <f t="shared" si="39"/>
        <v>833.25631284000031</v>
      </c>
      <c r="N67" s="55">
        <f t="shared" si="39"/>
        <v>919.01501532000009</v>
      </c>
      <c r="O67" s="55">
        <f t="shared" si="39"/>
        <v>829.0003384800001</v>
      </c>
      <c r="P67" s="55">
        <f t="shared" si="39"/>
        <v>825.80506992000005</v>
      </c>
      <c r="Q67" s="55">
        <f t="shared" si="39"/>
        <v>761.1816834</v>
      </c>
      <c r="R67" s="55">
        <f t="shared" si="39"/>
        <v>837.31197204000023</v>
      </c>
      <c r="S67" s="55">
        <f t="shared" si="39"/>
        <v>826.11489060000008</v>
      </c>
      <c r="T67" s="55">
        <f t="shared" si="39"/>
        <v>819.66300408000006</v>
      </c>
      <c r="U67" s="55">
        <f t="shared" si="39"/>
        <v>813.6841003200002</v>
      </c>
      <c r="V67" s="55">
        <f t="shared" si="39"/>
        <v>737.46482076000018</v>
      </c>
      <c r="W67" s="55">
        <f t="shared" si="39"/>
        <v>842.65243055999986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DA68" s="101" t="s">
        <v>220</v>
      </c>
    </row>
    <row r="69" spans="1:105" ht="12" customHeight="1" x14ac:dyDescent="0.25">
      <c r="A69" s="61" t="s">
        <v>170</v>
      </c>
      <c r="B69" s="55">
        <v>1067.2401607199999</v>
      </c>
      <c r="C69" s="55">
        <v>1108.6415136000001</v>
      </c>
      <c r="D69" s="55">
        <v>1086.3374432399999</v>
      </c>
      <c r="E69" s="55">
        <v>1067.2143271199998</v>
      </c>
      <c r="F69" s="55">
        <v>1031.0885128800001</v>
      </c>
      <c r="G69" s="55">
        <v>977.15393603999996</v>
      </c>
      <c r="H69" s="55">
        <v>967.11107544000004</v>
      </c>
      <c r="I69" s="55">
        <v>922.78344636000008</v>
      </c>
      <c r="J69" s="55">
        <v>757.52711135999994</v>
      </c>
      <c r="K69" s="55">
        <v>827.32411908000006</v>
      </c>
      <c r="L69" s="55">
        <v>975.76884791999998</v>
      </c>
      <c r="M69" s="55">
        <v>833.25631284000031</v>
      </c>
      <c r="N69" s="55">
        <v>919.01501532000009</v>
      </c>
      <c r="O69" s="55">
        <v>829.0003384800001</v>
      </c>
      <c r="P69" s="55">
        <v>825.80506992000005</v>
      </c>
      <c r="Q69" s="55">
        <v>761.1816834</v>
      </c>
      <c r="R69" s="55">
        <v>837.31197204000023</v>
      </c>
      <c r="S69" s="55">
        <v>826.11489060000008</v>
      </c>
      <c r="T69" s="55">
        <v>819.66300408000006</v>
      </c>
      <c r="U69" s="55">
        <v>813.6841003200002</v>
      </c>
      <c r="V69" s="55">
        <v>737.46482076000018</v>
      </c>
      <c r="W69" s="55">
        <v>842.65243055999986</v>
      </c>
      <c r="DA69" s="101" t="s">
        <v>221</v>
      </c>
    </row>
    <row r="70" spans="1:105" ht="12" customHeight="1" x14ac:dyDescent="0.25">
      <c r="A70" s="60" t="s">
        <v>153</v>
      </c>
      <c r="B70" s="55">
        <v>63.364950000000015</v>
      </c>
      <c r="C70" s="55">
        <v>66.192389999999989</v>
      </c>
      <c r="D70" s="55">
        <v>72.352170000000001</v>
      </c>
      <c r="E70" s="55">
        <v>70.686000000000007</v>
      </c>
      <c r="F70" s="55">
        <v>73.462949999999992</v>
      </c>
      <c r="G70" s="55">
        <v>74.06883000000002</v>
      </c>
      <c r="H70" s="55">
        <v>71.24139000000001</v>
      </c>
      <c r="I70" s="55">
        <v>67.85775215999999</v>
      </c>
      <c r="J70" s="55">
        <v>65.383742159999983</v>
      </c>
      <c r="K70" s="55">
        <v>65.233281959999999</v>
      </c>
      <c r="L70" s="55">
        <v>71.796376079999987</v>
      </c>
      <c r="M70" s="55">
        <v>87.045365879999991</v>
      </c>
      <c r="N70" s="55">
        <v>78.763996080000027</v>
      </c>
      <c r="O70" s="55">
        <v>81.641320199999996</v>
      </c>
      <c r="P70" s="55">
        <v>70.232195879999992</v>
      </c>
      <c r="Q70" s="55">
        <v>66.646800000000013</v>
      </c>
      <c r="R70" s="55">
        <v>68.667207840000017</v>
      </c>
      <c r="S70" s="55">
        <v>67.815542520000008</v>
      </c>
      <c r="T70" s="55">
        <v>60.594058799999985</v>
      </c>
      <c r="U70" s="55">
        <v>63.623862720000012</v>
      </c>
      <c r="V70" s="55">
        <v>55.595144880000014</v>
      </c>
      <c r="W70" s="55">
        <v>69.112933559999988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20.39917333306439</v>
      </c>
      <c r="K71" s="55">
        <f t="shared" si="40"/>
        <v>7.5820366900692413</v>
      </c>
      <c r="L71" s="55">
        <f t="shared" si="40"/>
        <v>9.6185302338014473</v>
      </c>
      <c r="M71" s="55">
        <f t="shared" si="40"/>
        <v>10.744535036057364</v>
      </c>
      <c r="N71" s="55">
        <f t="shared" si="40"/>
        <v>8.1965082841663595</v>
      </c>
      <c r="O71" s="55">
        <f t="shared" si="40"/>
        <v>2.4282311430105783</v>
      </c>
      <c r="P71" s="55">
        <f t="shared" si="40"/>
        <v>5.5210756385171678</v>
      </c>
      <c r="Q71" s="55">
        <f t="shared" si="40"/>
        <v>5.7965444093155103</v>
      </c>
      <c r="R71" s="55">
        <f t="shared" si="40"/>
        <v>6.5646350419228394</v>
      </c>
      <c r="S71" s="55">
        <f t="shared" si="40"/>
        <v>6.089460065111056</v>
      </c>
      <c r="T71" s="55">
        <f t="shared" si="40"/>
        <v>7.4072519500310747</v>
      </c>
      <c r="U71" s="55">
        <f t="shared" si="40"/>
        <v>5.4427044563216924</v>
      </c>
      <c r="V71" s="55">
        <f t="shared" si="40"/>
        <v>6.7412006472921933</v>
      </c>
      <c r="W71" s="55">
        <f t="shared" si="40"/>
        <v>8.2681087302514769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20.39917333306439</v>
      </c>
      <c r="K72" s="55">
        <v>7.5820366900692413</v>
      </c>
      <c r="L72" s="55">
        <v>9.6185302338014473</v>
      </c>
      <c r="M72" s="55">
        <v>10.744535036057364</v>
      </c>
      <c r="N72" s="55">
        <v>8.1965082841663595</v>
      </c>
      <c r="O72" s="55">
        <v>2.4282311430105783</v>
      </c>
      <c r="P72" s="55">
        <v>5.5210756385171678</v>
      </c>
      <c r="Q72" s="55">
        <v>5.7965444093155103</v>
      </c>
      <c r="R72" s="55">
        <v>6.5646350419228394</v>
      </c>
      <c r="S72" s="55">
        <v>6.089460065111056</v>
      </c>
      <c r="T72" s="55">
        <v>7.4072519500310747</v>
      </c>
      <c r="U72" s="55">
        <v>5.4427044563216924</v>
      </c>
      <c r="V72" s="55">
        <v>6.7412006472921933</v>
      </c>
      <c r="W72" s="55">
        <v>8.2681087302514769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1139.2286107392001</v>
      </c>
      <c r="C81" s="82">
        <f t="shared" ref="C81:W81" si="42">C82+C87</f>
        <v>1183.6598844384</v>
      </c>
      <c r="D81" s="82">
        <f t="shared" si="42"/>
        <v>1167.4572585264</v>
      </c>
      <c r="E81" s="82">
        <f t="shared" si="42"/>
        <v>1146.7003392288</v>
      </c>
      <c r="F81" s="82">
        <f t="shared" si="42"/>
        <v>1112.9491478591997</v>
      </c>
      <c r="G81" s="82">
        <f t="shared" si="42"/>
        <v>1059.4183465584006</v>
      </c>
      <c r="H81" s="82">
        <f t="shared" si="42"/>
        <v>1047.0211284671996</v>
      </c>
      <c r="I81" s="82">
        <f t="shared" si="42"/>
        <v>998.14239779039974</v>
      </c>
      <c r="J81" s="82">
        <f t="shared" si="42"/>
        <v>852.47360117626397</v>
      </c>
      <c r="K81" s="82">
        <f t="shared" si="42"/>
        <v>910.48101384526888</v>
      </c>
      <c r="L81" s="82">
        <f t="shared" si="42"/>
        <v>1068.8041961922008</v>
      </c>
      <c r="M81" s="82">
        <f t="shared" si="42"/>
        <v>940.57029630205739</v>
      </c>
      <c r="N81" s="82">
        <f t="shared" si="42"/>
        <v>1017.2000103901661</v>
      </c>
      <c r="O81" s="82">
        <f t="shared" si="42"/>
        <v>923.28569950621022</v>
      </c>
      <c r="P81" s="82">
        <f t="shared" si="42"/>
        <v>912.10689507171764</v>
      </c>
      <c r="Q81" s="82">
        <f t="shared" si="42"/>
        <v>843.17953265931533</v>
      </c>
      <c r="R81" s="82">
        <f t="shared" si="42"/>
        <v>923.09045932032325</v>
      </c>
      <c r="S81" s="82">
        <f t="shared" si="42"/>
        <v>910.53486597871051</v>
      </c>
      <c r="T81" s="82">
        <f t="shared" si="42"/>
        <v>898.40719093003145</v>
      </c>
      <c r="U81" s="82">
        <f t="shared" si="42"/>
        <v>893.70295829632209</v>
      </c>
      <c r="V81" s="82">
        <f t="shared" si="42"/>
        <v>809.62990311729243</v>
      </c>
      <c r="W81" s="82">
        <f t="shared" si="42"/>
        <v>931.02366085024994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1139.2286107392001</v>
      </c>
      <c r="C82" s="64">
        <f t="shared" ref="C82:W82" si="44">SUM(C83:C86)</f>
        <v>1183.6598844384</v>
      </c>
      <c r="D82" s="64">
        <f t="shared" si="44"/>
        <v>1167.4572585264</v>
      </c>
      <c r="E82" s="64">
        <f t="shared" si="44"/>
        <v>1146.7003392288</v>
      </c>
      <c r="F82" s="64">
        <f t="shared" si="44"/>
        <v>1112.9491478591997</v>
      </c>
      <c r="G82" s="64">
        <f t="shared" si="44"/>
        <v>1059.4183465584006</v>
      </c>
      <c r="H82" s="64">
        <f t="shared" si="44"/>
        <v>1047.0211284671996</v>
      </c>
      <c r="I82" s="64">
        <f t="shared" si="44"/>
        <v>998.14239779039974</v>
      </c>
      <c r="J82" s="64">
        <f t="shared" si="44"/>
        <v>852.47360117626397</v>
      </c>
      <c r="K82" s="64">
        <f t="shared" si="44"/>
        <v>910.48101384526888</v>
      </c>
      <c r="L82" s="64">
        <f t="shared" si="44"/>
        <v>1068.8041961922008</v>
      </c>
      <c r="M82" s="64">
        <f t="shared" si="44"/>
        <v>940.57029630205739</v>
      </c>
      <c r="N82" s="64">
        <f t="shared" si="44"/>
        <v>1017.2000103901661</v>
      </c>
      <c r="O82" s="64">
        <f t="shared" si="44"/>
        <v>923.28569950621022</v>
      </c>
      <c r="P82" s="64">
        <f t="shared" si="44"/>
        <v>912.10689507171764</v>
      </c>
      <c r="Q82" s="64">
        <f t="shared" si="44"/>
        <v>843.17953265931533</v>
      </c>
      <c r="R82" s="64">
        <f t="shared" si="44"/>
        <v>923.09045932032325</v>
      </c>
      <c r="S82" s="64">
        <f t="shared" si="44"/>
        <v>910.53486597871051</v>
      </c>
      <c r="T82" s="64">
        <f t="shared" si="44"/>
        <v>898.40719093003145</v>
      </c>
      <c r="U82" s="64">
        <f t="shared" si="44"/>
        <v>893.70295829632209</v>
      </c>
      <c r="V82" s="64">
        <f t="shared" si="44"/>
        <v>809.62990311729243</v>
      </c>
      <c r="W82" s="64">
        <f t="shared" si="44"/>
        <v>931.02366085024994</v>
      </c>
      <c r="DA82" s="108" t="s">
        <v>232</v>
      </c>
    </row>
    <row r="83" spans="1:105" ht="12" customHeight="1" x14ac:dyDescent="0.25">
      <c r="A83" s="61" t="s">
        <v>32</v>
      </c>
      <c r="B83" s="65">
        <v>1057.7060089597303</v>
      </c>
      <c r="C83" s="65">
        <v>1099.9651455836208</v>
      </c>
      <c r="D83" s="65">
        <v>1081.2389146535284</v>
      </c>
      <c r="E83" s="65">
        <v>1059.5932886873341</v>
      </c>
      <c r="F83" s="65">
        <v>1025.6931171265187</v>
      </c>
      <c r="G83" s="65">
        <v>971.89034982412545</v>
      </c>
      <c r="H83" s="65">
        <v>958.07009913513059</v>
      </c>
      <c r="I83" s="65">
        <v>909.56172533505764</v>
      </c>
      <c r="J83" s="65">
        <v>761.92531655056473</v>
      </c>
      <c r="K83" s="65">
        <v>822.65335401675634</v>
      </c>
      <c r="L83" s="65">
        <v>975.55385065592566</v>
      </c>
      <c r="M83" s="65">
        <v>847.33912889685757</v>
      </c>
      <c r="N83" s="65">
        <v>927.73403379054525</v>
      </c>
      <c r="O83" s="65">
        <v>833.44932080486274</v>
      </c>
      <c r="P83" s="65">
        <v>826.20875850223752</v>
      </c>
      <c r="Q83" s="65">
        <v>758.0413222766789</v>
      </c>
      <c r="R83" s="65">
        <v>837.77262292281159</v>
      </c>
      <c r="S83" s="65">
        <v>835.31959942374397</v>
      </c>
      <c r="T83" s="65">
        <v>833.50779369263569</v>
      </c>
      <c r="U83" s="65">
        <v>831.65912631710648</v>
      </c>
      <c r="V83" s="65">
        <v>754.78346278825745</v>
      </c>
      <c r="W83" s="65">
        <v>869.38398499610048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73.069026595704415</v>
      </c>
      <c r="C85" s="65">
        <v>74.525630409719383</v>
      </c>
      <c r="D85" s="65">
        <v>77.169786299955661</v>
      </c>
      <c r="E85" s="65">
        <v>78.273916254320852</v>
      </c>
      <c r="F85" s="65">
        <v>78.59494353514836</v>
      </c>
      <c r="G85" s="65">
        <v>78.616210013624951</v>
      </c>
      <c r="H85" s="65">
        <v>79.923430446261619</v>
      </c>
      <c r="I85" s="65">
        <v>79.804368810978772</v>
      </c>
      <c r="J85" s="65">
        <v>81.9483874750306</v>
      </c>
      <c r="K85" s="65">
        <v>79.672737368564668</v>
      </c>
      <c r="L85" s="65">
        <v>85.365290337276519</v>
      </c>
      <c r="M85" s="65">
        <v>86.09637074763836</v>
      </c>
      <c r="N85" s="65">
        <v>83.648326341151787</v>
      </c>
      <c r="O85" s="65">
        <v>83.095693438620742</v>
      </c>
      <c r="P85" s="65">
        <v>79.835048294885553</v>
      </c>
      <c r="Q85" s="65">
        <v>78.901967315298791</v>
      </c>
      <c r="R85" s="65">
        <v>79.187035109914021</v>
      </c>
      <c r="S85" s="65">
        <v>69.552836990214772</v>
      </c>
      <c r="T85" s="65">
        <v>60.178628144845383</v>
      </c>
      <c r="U85" s="65">
        <v>57.220411113017832</v>
      </c>
      <c r="V85" s="65">
        <v>50.326228401677525</v>
      </c>
      <c r="W85" s="65">
        <v>55.711265961691169</v>
      </c>
      <c r="DA85" s="109" t="s">
        <v>235</v>
      </c>
    </row>
    <row r="86" spans="1:105" ht="12" customHeight="1" x14ac:dyDescent="0.25">
      <c r="A86" s="66" t="s">
        <v>34</v>
      </c>
      <c r="B86" s="67">
        <v>8.4535751837654498</v>
      </c>
      <c r="C86" s="67">
        <v>9.1691084450597646</v>
      </c>
      <c r="D86" s="67">
        <v>9.0485575729159518</v>
      </c>
      <c r="E86" s="67">
        <v>8.8331342871448477</v>
      </c>
      <c r="F86" s="67">
        <v>8.661087197532547</v>
      </c>
      <c r="G86" s="67">
        <v>8.9117867206499994</v>
      </c>
      <c r="H86" s="67">
        <v>9.0275988858073095</v>
      </c>
      <c r="I86" s="67">
        <v>8.7763036443633098</v>
      </c>
      <c r="J86" s="67">
        <v>8.599897150668685</v>
      </c>
      <c r="K86" s="67">
        <v>8.1549224599479402</v>
      </c>
      <c r="L86" s="67">
        <v>7.8850551989986029</v>
      </c>
      <c r="M86" s="67">
        <v>7.1347966575613873</v>
      </c>
      <c r="N86" s="67">
        <v>5.8176502584690208</v>
      </c>
      <c r="O86" s="67">
        <v>6.7406852627266929</v>
      </c>
      <c r="P86" s="67">
        <v>6.0630882745944978</v>
      </c>
      <c r="Q86" s="67">
        <v>6.2362430673377016</v>
      </c>
      <c r="R86" s="67">
        <v>6.130801287597536</v>
      </c>
      <c r="S86" s="67">
        <v>5.6624295647517373</v>
      </c>
      <c r="T86" s="67">
        <v>4.7207690925503858</v>
      </c>
      <c r="U86" s="67">
        <v>4.8234208661978348</v>
      </c>
      <c r="V86" s="67">
        <v>4.5202119273573986</v>
      </c>
      <c r="W86" s="67">
        <v>5.9284098924582773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0.92844052456989024</v>
      </c>
      <c r="C91" s="71">
        <f t="shared" ref="C91:W91" si="50">IF(C83=0,0,C83/C$81)</f>
        <v>0.92929156427862802</v>
      </c>
      <c r="D91" s="71">
        <f t="shared" si="50"/>
        <v>0.92614860780282526</v>
      </c>
      <c r="E91" s="71">
        <f t="shared" si="50"/>
        <v>0.92403677965243403</v>
      </c>
      <c r="F91" s="71">
        <f t="shared" si="50"/>
        <v>0.92159926542868442</v>
      </c>
      <c r="G91" s="71">
        <f t="shared" si="50"/>
        <v>0.91738108272467023</v>
      </c>
      <c r="H91" s="71">
        <f t="shared" si="50"/>
        <v>0.91504371123599959</v>
      </c>
      <c r="I91" s="71">
        <f t="shared" si="50"/>
        <v>0.91125447365883439</v>
      </c>
      <c r="J91" s="71">
        <f t="shared" si="50"/>
        <v>0.89378171417770769</v>
      </c>
      <c r="K91" s="71">
        <f t="shared" si="50"/>
        <v>0.90353707711313314</v>
      </c>
      <c r="L91" s="71">
        <f t="shared" si="50"/>
        <v>0.91275263900675574</v>
      </c>
      <c r="M91" s="71">
        <f t="shared" si="50"/>
        <v>0.90087804412732664</v>
      </c>
      <c r="N91" s="71">
        <f t="shared" si="50"/>
        <v>0.91204681902696361</v>
      </c>
      <c r="O91" s="71">
        <f t="shared" si="50"/>
        <v>0.90269926334893569</v>
      </c>
      <c r="P91" s="71">
        <f t="shared" si="50"/>
        <v>0.90582448500981227</v>
      </c>
      <c r="Q91" s="71">
        <f t="shared" si="50"/>
        <v>0.89902718568829831</v>
      </c>
      <c r="R91" s="71">
        <f t="shared" si="50"/>
        <v>0.90757369926634091</v>
      </c>
      <c r="S91" s="71">
        <f t="shared" si="50"/>
        <v>0.91739441358555818</v>
      </c>
      <c r="T91" s="71">
        <f t="shared" si="50"/>
        <v>0.92776171218062953</v>
      </c>
      <c r="U91" s="71">
        <f t="shared" si="50"/>
        <v>0.93057667382293263</v>
      </c>
      <c r="V91" s="71">
        <f t="shared" si="50"/>
        <v>0.93225739301641219</v>
      </c>
      <c r="W91" s="71">
        <f t="shared" si="50"/>
        <v>0.93379365267918379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6.4139037509155283E-2</v>
      </c>
      <c r="C93" s="72">
        <f t="shared" ref="C93:W93" si="54">IF(C85=0,0,C85/C$81)</f>
        <v>6.2962031061041548E-2</v>
      </c>
      <c r="D93" s="72">
        <f t="shared" si="54"/>
        <v>6.6100737938245127E-2</v>
      </c>
      <c r="E93" s="72">
        <f t="shared" si="54"/>
        <v>6.8260131768133142E-2</v>
      </c>
      <c r="F93" s="72">
        <f t="shared" si="54"/>
        <v>7.0618629509109868E-2</v>
      </c>
      <c r="G93" s="72">
        <f t="shared" si="54"/>
        <v>7.4206955419467258E-2</v>
      </c>
      <c r="H93" s="72">
        <f t="shared" si="54"/>
        <v>7.6334114253517105E-2</v>
      </c>
      <c r="I93" s="72">
        <f t="shared" si="54"/>
        <v>7.9952889475131697E-2</v>
      </c>
      <c r="J93" s="72">
        <f t="shared" si="54"/>
        <v>9.6130117533207132E-2</v>
      </c>
      <c r="K93" s="72">
        <f t="shared" si="54"/>
        <v>8.7506204036127883E-2</v>
      </c>
      <c r="L93" s="72">
        <f t="shared" si="54"/>
        <v>7.9869905677209238E-2</v>
      </c>
      <c r="M93" s="72">
        <f t="shared" si="54"/>
        <v>9.1536348836588316E-2</v>
      </c>
      <c r="N93" s="72">
        <f t="shared" si="54"/>
        <v>8.2233902366032133E-2</v>
      </c>
      <c r="O93" s="72">
        <f t="shared" si="54"/>
        <v>8.999997886143131E-2</v>
      </c>
      <c r="P93" s="72">
        <f t="shared" si="54"/>
        <v>8.7528171013999664E-2</v>
      </c>
      <c r="Q93" s="72">
        <f t="shared" si="54"/>
        <v>9.3576710841697983E-2</v>
      </c>
      <c r="R93" s="72">
        <f t="shared" si="54"/>
        <v>8.5784696732993951E-2</v>
      </c>
      <c r="S93" s="72">
        <f t="shared" si="54"/>
        <v>7.6386791532089451E-2</v>
      </c>
      <c r="T93" s="72">
        <f t="shared" si="54"/>
        <v>6.6983689303007965E-2</v>
      </c>
      <c r="U93" s="72">
        <f t="shared" si="54"/>
        <v>6.402620756912103E-2</v>
      </c>
      <c r="V93" s="72">
        <f t="shared" si="54"/>
        <v>6.2159547477073217E-2</v>
      </c>
      <c r="W93" s="72">
        <f t="shared" si="54"/>
        <v>5.9838721940550142E-2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7.4204379209544796E-3</v>
      </c>
      <c r="C94" s="73">
        <f t="shared" ref="C94:W94" si="56">IF(C86=0,0,C86/C$81)</f>
        <v>7.7464046603303999E-3</v>
      </c>
      <c r="D94" s="73">
        <f t="shared" si="56"/>
        <v>7.7506542589296295E-3</v>
      </c>
      <c r="E94" s="73">
        <f t="shared" si="56"/>
        <v>7.7030885794325916E-3</v>
      </c>
      <c r="F94" s="73">
        <f t="shared" si="56"/>
        <v>7.7821050622056539E-3</v>
      </c>
      <c r="G94" s="73">
        <f t="shared" si="56"/>
        <v>8.4119618558623245E-3</v>
      </c>
      <c r="H94" s="73">
        <f t="shared" si="56"/>
        <v>8.6221745104832631E-3</v>
      </c>
      <c r="I94" s="73">
        <f t="shared" si="56"/>
        <v>8.7926368660338674E-3</v>
      </c>
      <c r="J94" s="73">
        <f t="shared" si="56"/>
        <v>1.0088168289085242E-2</v>
      </c>
      <c r="K94" s="73">
        <f t="shared" si="56"/>
        <v>8.9567188507390701E-3</v>
      </c>
      <c r="L94" s="73">
        <f t="shared" si="56"/>
        <v>7.3774553160349402E-3</v>
      </c>
      <c r="M94" s="73">
        <f t="shared" si="56"/>
        <v>7.5856070360849443E-3</v>
      </c>
      <c r="N94" s="73">
        <f t="shared" si="56"/>
        <v>5.7192786070042927E-3</v>
      </c>
      <c r="O94" s="73">
        <f t="shared" si="56"/>
        <v>7.3007577896329733E-3</v>
      </c>
      <c r="P94" s="73">
        <f t="shared" si="56"/>
        <v>6.6473439761879733E-3</v>
      </c>
      <c r="Q94" s="73">
        <f t="shared" si="56"/>
        <v>7.3961034700037488E-3</v>
      </c>
      <c r="R94" s="73">
        <f t="shared" si="56"/>
        <v>6.6416040006649834E-3</v>
      </c>
      <c r="S94" s="73">
        <f t="shared" si="56"/>
        <v>6.2187948823522942E-3</v>
      </c>
      <c r="T94" s="73">
        <f t="shared" si="56"/>
        <v>5.2545985163625457E-3</v>
      </c>
      <c r="U94" s="73">
        <f t="shared" si="56"/>
        <v>5.3971186079464105E-3</v>
      </c>
      <c r="V94" s="73">
        <f t="shared" si="56"/>
        <v>5.5830595065144819E-3</v>
      </c>
      <c r="W94" s="73">
        <f t="shared" si="56"/>
        <v>6.3676253802660661E-3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264045.8403154902</v>
      </c>
      <c r="C99" s="82">
        <f t="shared" ref="C99:W99" si="60">C47*11630*1000/C$8</f>
        <v>283291.67586977576</v>
      </c>
      <c r="D99" s="82">
        <f t="shared" si="60"/>
        <v>288476.94920348161</v>
      </c>
      <c r="E99" s="82">
        <f t="shared" si="60"/>
        <v>287686.52868834755</v>
      </c>
      <c r="F99" s="82">
        <f t="shared" si="60"/>
        <v>284697.25987243588</v>
      </c>
      <c r="G99" s="82">
        <f t="shared" si="60"/>
        <v>280865.39830033341</v>
      </c>
      <c r="H99" s="82">
        <f t="shared" si="60"/>
        <v>282164.11380287609</v>
      </c>
      <c r="I99" s="82">
        <f t="shared" si="60"/>
        <v>290567.46077994315</v>
      </c>
      <c r="J99" s="82">
        <f t="shared" si="60"/>
        <v>284853.61434617074</v>
      </c>
      <c r="K99" s="82">
        <f t="shared" si="60"/>
        <v>307714.85745356593</v>
      </c>
      <c r="L99" s="82">
        <f t="shared" si="60"/>
        <v>323895.90592590783</v>
      </c>
      <c r="M99" s="82">
        <f t="shared" si="60"/>
        <v>291471.03789619176</v>
      </c>
      <c r="N99" s="82">
        <f t="shared" si="60"/>
        <v>308716.24341314565</v>
      </c>
      <c r="O99" s="82">
        <f t="shared" si="60"/>
        <v>294226.84525862231</v>
      </c>
      <c r="P99" s="82">
        <f t="shared" si="60"/>
        <v>300669.60183841642</v>
      </c>
      <c r="Q99" s="82">
        <f t="shared" si="60"/>
        <v>283807.35313980863</v>
      </c>
      <c r="R99" s="82">
        <f t="shared" si="60"/>
        <v>296584.10639036779</v>
      </c>
      <c r="S99" s="82">
        <f t="shared" si="60"/>
        <v>292695.08753945632</v>
      </c>
      <c r="T99" s="82">
        <f t="shared" si="60"/>
        <v>297407.37721256318</v>
      </c>
      <c r="U99" s="82">
        <f t="shared" si="60"/>
        <v>288096.98601189972</v>
      </c>
      <c r="V99" s="82">
        <f t="shared" si="60"/>
        <v>262385.25146939902</v>
      </c>
      <c r="W99" s="82">
        <f t="shared" si="60"/>
        <v>288545.46695331478</v>
      </c>
      <c r="DA99" s="107"/>
    </row>
    <row r="100" spans="1:105" ht="12" customHeight="1" x14ac:dyDescent="0.25">
      <c r="A100" s="77" t="s">
        <v>36</v>
      </c>
      <c r="B100" s="64">
        <f t="shared" si="59"/>
        <v>209737.65051863328</v>
      </c>
      <c r="C100" s="64">
        <f t="shared" ref="C100:W100" si="61">C48*11630*1000/C$8</f>
        <v>226677.65967494511</v>
      </c>
      <c r="D100" s="64">
        <f t="shared" si="61"/>
        <v>229385.02733871734</v>
      </c>
      <c r="E100" s="64">
        <f t="shared" si="61"/>
        <v>226176.39935698124</v>
      </c>
      <c r="F100" s="64">
        <f t="shared" si="61"/>
        <v>220963.58484003996</v>
      </c>
      <c r="G100" s="64">
        <f t="shared" si="61"/>
        <v>214253.78374994837</v>
      </c>
      <c r="H100" s="64">
        <f t="shared" si="61"/>
        <v>214373.61157832909</v>
      </c>
      <c r="I100" s="64">
        <f t="shared" si="61"/>
        <v>221891.85879759793</v>
      </c>
      <c r="J100" s="64">
        <f t="shared" si="61"/>
        <v>214932.52500346882</v>
      </c>
      <c r="K100" s="64">
        <f t="shared" si="61"/>
        <v>235604.21708426651</v>
      </c>
      <c r="L100" s="64">
        <f t="shared" si="61"/>
        <v>250471.03443827567</v>
      </c>
      <c r="M100" s="64">
        <f t="shared" si="61"/>
        <v>217966.95070273714</v>
      </c>
      <c r="N100" s="64">
        <f t="shared" si="61"/>
        <v>234103.74219495026</v>
      </c>
      <c r="O100" s="64">
        <f t="shared" si="61"/>
        <v>218400.96206104083</v>
      </c>
      <c r="P100" s="64">
        <f t="shared" si="61"/>
        <v>224523.09409018367</v>
      </c>
      <c r="Q100" s="64">
        <f t="shared" si="61"/>
        <v>206885.75163499301</v>
      </c>
      <c r="R100" s="64">
        <f t="shared" si="61"/>
        <v>219892.23842551475</v>
      </c>
      <c r="S100" s="64">
        <f t="shared" si="61"/>
        <v>214147.26091123605</v>
      </c>
      <c r="T100" s="64">
        <f t="shared" si="61"/>
        <v>218770.20250753636</v>
      </c>
      <c r="U100" s="64">
        <f t="shared" si="61"/>
        <v>209049.93412348389</v>
      </c>
      <c r="V100" s="64">
        <f t="shared" si="61"/>
        <v>187680.95725682328</v>
      </c>
      <c r="W100" s="64">
        <f t="shared" si="61"/>
        <v>213660.81032716163</v>
      </c>
      <c r="DA100" s="108"/>
    </row>
    <row r="101" spans="1:105" ht="12" customHeight="1" x14ac:dyDescent="0.25">
      <c r="A101" s="61" t="s">
        <v>32</v>
      </c>
      <c r="B101" s="65">
        <f t="shared" si="59"/>
        <v>166034.30306720163</v>
      </c>
      <c r="C101" s="65">
        <f t="shared" ref="C101:W101" si="62">C49*11630*1000/C$8</f>
        <v>183623.89294443763</v>
      </c>
      <c r="D101" s="65">
        <f t="shared" si="62"/>
        <v>186973.71757015775</v>
      </c>
      <c r="E101" s="65">
        <f t="shared" si="62"/>
        <v>184022.44169553567</v>
      </c>
      <c r="F101" s="65">
        <f t="shared" si="62"/>
        <v>179224.96428108244</v>
      </c>
      <c r="G101" s="65">
        <f t="shared" si="62"/>
        <v>172754.50083032614</v>
      </c>
      <c r="H101" s="65">
        <f t="shared" si="62"/>
        <v>173116.83318956886</v>
      </c>
      <c r="I101" s="65">
        <f t="shared" si="62"/>
        <v>181204.43002998456</v>
      </c>
      <c r="J101" s="65">
        <f t="shared" si="62"/>
        <v>174532.68592067421</v>
      </c>
      <c r="K101" s="65">
        <f t="shared" si="62"/>
        <v>195222.35335985452</v>
      </c>
      <c r="L101" s="65">
        <f t="shared" si="62"/>
        <v>210084.67893134718</v>
      </c>
      <c r="M101" s="65">
        <f t="shared" si="62"/>
        <v>177598.26142173255</v>
      </c>
      <c r="N101" s="65">
        <f t="shared" si="62"/>
        <v>193840.43355496909</v>
      </c>
      <c r="O101" s="65">
        <f t="shared" si="62"/>
        <v>178462.77630798152</v>
      </c>
      <c r="P101" s="65">
        <f t="shared" si="62"/>
        <v>184334.58507259583</v>
      </c>
      <c r="Q101" s="65">
        <f t="shared" si="62"/>
        <v>166607.22764847556</v>
      </c>
      <c r="R101" s="65">
        <f t="shared" si="62"/>
        <v>179391.64056007311</v>
      </c>
      <c r="S101" s="65">
        <f t="shared" si="62"/>
        <v>174201.974197676</v>
      </c>
      <c r="T101" s="65">
        <f t="shared" si="62"/>
        <v>179204.1339205954</v>
      </c>
      <c r="U101" s="65">
        <f t="shared" si="62"/>
        <v>169502.98854375674</v>
      </c>
      <c r="V101" s="65">
        <f t="shared" si="62"/>
        <v>151889.94368531904</v>
      </c>
      <c r="W101" s="65">
        <f t="shared" si="62"/>
        <v>174192.9510780884</v>
      </c>
      <c r="DA101" s="109"/>
    </row>
    <row r="102" spans="1:105" ht="12" customHeight="1" x14ac:dyDescent="0.25">
      <c r="A102" s="61" t="s">
        <v>31</v>
      </c>
      <c r="B102" s="65">
        <f t="shared" si="59"/>
        <v>1302.6018233391915</v>
      </c>
      <c r="C102" s="65">
        <f t="shared" ref="C102:W102" si="63">C50*11630*1000/C$8</f>
        <v>1307.1090075209463</v>
      </c>
      <c r="D102" s="65">
        <f t="shared" si="63"/>
        <v>1336.3512163522319</v>
      </c>
      <c r="E102" s="65">
        <f t="shared" si="63"/>
        <v>1421.9095758768262</v>
      </c>
      <c r="F102" s="65">
        <f t="shared" si="63"/>
        <v>1388.5154614533453</v>
      </c>
      <c r="G102" s="65">
        <f t="shared" si="63"/>
        <v>1442.3549182275833</v>
      </c>
      <c r="H102" s="65">
        <f t="shared" si="63"/>
        <v>1477.1932544370143</v>
      </c>
      <c r="I102" s="65">
        <f t="shared" si="63"/>
        <v>1533.5985596648188</v>
      </c>
      <c r="J102" s="65">
        <f t="shared" si="63"/>
        <v>1601.7387719948965</v>
      </c>
      <c r="K102" s="65">
        <f t="shared" si="63"/>
        <v>1660.1709047565823</v>
      </c>
      <c r="L102" s="65">
        <f t="shared" si="63"/>
        <v>1802.2202477297308</v>
      </c>
      <c r="M102" s="65">
        <f t="shared" si="63"/>
        <v>1693.7010230531691</v>
      </c>
      <c r="N102" s="65">
        <f t="shared" si="63"/>
        <v>1647.2958386293142</v>
      </c>
      <c r="O102" s="65">
        <f t="shared" si="63"/>
        <v>1631.350545207451</v>
      </c>
      <c r="P102" s="65">
        <f t="shared" si="63"/>
        <v>1636.7420844968105</v>
      </c>
      <c r="Q102" s="65">
        <f t="shared" si="63"/>
        <v>1602.522250140684</v>
      </c>
      <c r="R102" s="65">
        <f t="shared" si="63"/>
        <v>1597.6751788888207</v>
      </c>
      <c r="S102" s="65">
        <f t="shared" si="63"/>
        <v>1543.1614170544999</v>
      </c>
      <c r="T102" s="65">
        <f t="shared" si="63"/>
        <v>1494.7580041033698</v>
      </c>
      <c r="U102" s="65">
        <f t="shared" si="63"/>
        <v>1478.4022018810467</v>
      </c>
      <c r="V102" s="65">
        <f t="shared" si="63"/>
        <v>1452.7929789800339</v>
      </c>
      <c r="W102" s="65">
        <f t="shared" si="63"/>
        <v>1403.4988940592873</v>
      </c>
      <c r="DA102" s="109"/>
    </row>
    <row r="103" spans="1:105" ht="12" customHeight="1" x14ac:dyDescent="0.25">
      <c r="A103" s="61" t="s">
        <v>35</v>
      </c>
      <c r="B103" s="65">
        <f t="shared" si="59"/>
        <v>22442.684763075758</v>
      </c>
      <c r="C103" s="65">
        <f t="shared" ref="C103:W103" si="64">C51*11630*1000/C$8</f>
        <v>22348.516781369635</v>
      </c>
      <c r="D103" s="65">
        <f t="shared" si="64"/>
        <v>22131.040361046231</v>
      </c>
      <c r="E103" s="65">
        <f t="shared" si="64"/>
        <v>22096.986061249532</v>
      </c>
      <c r="F103" s="65">
        <f t="shared" si="64"/>
        <v>21832.116824024022</v>
      </c>
      <c r="G103" s="65">
        <f t="shared" si="64"/>
        <v>21830.652076725342</v>
      </c>
      <c r="H103" s="65">
        <f t="shared" si="64"/>
        <v>21587.961294418732</v>
      </c>
      <c r="I103" s="65">
        <f t="shared" si="64"/>
        <v>21342.302566185383</v>
      </c>
      <c r="J103" s="65">
        <f t="shared" si="64"/>
        <v>21243.373429815278</v>
      </c>
      <c r="K103" s="65">
        <f t="shared" si="64"/>
        <v>21172.183681582235</v>
      </c>
      <c r="L103" s="65">
        <f t="shared" si="64"/>
        <v>21326.931936583282</v>
      </c>
      <c r="M103" s="65">
        <f t="shared" si="64"/>
        <v>21308.751503739346</v>
      </c>
      <c r="N103" s="65">
        <f t="shared" si="64"/>
        <v>21369.523961282393</v>
      </c>
      <c r="O103" s="65">
        <f t="shared" si="64"/>
        <v>21280.609601137614</v>
      </c>
      <c r="P103" s="65">
        <f t="shared" si="64"/>
        <v>21414.370511675621</v>
      </c>
      <c r="Q103" s="65">
        <f t="shared" si="64"/>
        <v>21417.181275118586</v>
      </c>
      <c r="R103" s="65">
        <f t="shared" si="64"/>
        <v>21289.835976242965</v>
      </c>
      <c r="S103" s="65">
        <f t="shared" si="64"/>
        <v>20970.327358890554</v>
      </c>
      <c r="T103" s="65">
        <f t="shared" si="64"/>
        <v>20804.868005747157</v>
      </c>
      <c r="U103" s="65">
        <f t="shared" si="64"/>
        <v>20492.240336570041</v>
      </c>
      <c r="V103" s="65">
        <f t="shared" si="64"/>
        <v>18393.038450732842</v>
      </c>
      <c r="W103" s="65">
        <f t="shared" si="64"/>
        <v>20451.117185796087</v>
      </c>
      <c r="DA103" s="109"/>
    </row>
    <row r="104" spans="1:105" ht="12" customHeight="1" x14ac:dyDescent="0.25">
      <c r="A104" s="66" t="s">
        <v>34</v>
      </c>
      <c r="B104" s="67">
        <f t="shared" si="59"/>
        <v>19958.060865016734</v>
      </c>
      <c r="C104" s="67">
        <f t="shared" ref="C104:W104" si="65">C52*11630*1000/C$8</f>
        <v>19398.14094161689</v>
      </c>
      <c r="D104" s="67">
        <f t="shared" si="65"/>
        <v>18943.918191161127</v>
      </c>
      <c r="E104" s="67">
        <f t="shared" si="65"/>
        <v>18635.062024319228</v>
      </c>
      <c r="F104" s="67">
        <f t="shared" si="65"/>
        <v>18517.988273480143</v>
      </c>
      <c r="G104" s="67">
        <f t="shared" si="65"/>
        <v>18226.27592466932</v>
      </c>
      <c r="H104" s="67">
        <f t="shared" si="65"/>
        <v>18191.623839904478</v>
      </c>
      <c r="I104" s="67">
        <f t="shared" si="65"/>
        <v>17811.527641763139</v>
      </c>
      <c r="J104" s="67">
        <f t="shared" si="65"/>
        <v>17554.726880984432</v>
      </c>
      <c r="K104" s="67">
        <f t="shared" si="65"/>
        <v>17549.509138073165</v>
      </c>
      <c r="L104" s="67">
        <f t="shared" si="65"/>
        <v>17257.203322615544</v>
      </c>
      <c r="M104" s="67">
        <f t="shared" si="65"/>
        <v>17366.236754212099</v>
      </c>
      <c r="N104" s="67">
        <f t="shared" si="65"/>
        <v>17246.488840069484</v>
      </c>
      <c r="O104" s="67">
        <f t="shared" si="65"/>
        <v>17026.225606714273</v>
      </c>
      <c r="P104" s="67">
        <f t="shared" si="65"/>
        <v>17137.396421415418</v>
      </c>
      <c r="Q104" s="67">
        <f t="shared" si="65"/>
        <v>17258.820461258183</v>
      </c>
      <c r="R104" s="67">
        <f t="shared" si="65"/>
        <v>17613.086710309857</v>
      </c>
      <c r="S104" s="67">
        <f t="shared" si="65"/>
        <v>17431.797937614927</v>
      </c>
      <c r="T104" s="67">
        <f t="shared" si="65"/>
        <v>17266.442577090471</v>
      </c>
      <c r="U104" s="67">
        <f t="shared" si="65"/>
        <v>17576.303041276042</v>
      </c>
      <c r="V104" s="67">
        <f t="shared" si="65"/>
        <v>15945.182141791365</v>
      </c>
      <c r="W104" s="67">
        <f t="shared" si="65"/>
        <v>17613.243169217876</v>
      </c>
      <c r="DA104" s="110"/>
    </row>
    <row r="105" spans="1:105" ht="12" customHeight="1" x14ac:dyDescent="0.25">
      <c r="A105" s="78" t="s">
        <v>33</v>
      </c>
      <c r="B105" s="68">
        <f t="shared" si="59"/>
        <v>54308.189796856917</v>
      </c>
      <c r="C105" s="68">
        <f t="shared" ref="C105:W105" si="66">C53*11630*1000/C$8</f>
        <v>56614.01619483067</v>
      </c>
      <c r="D105" s="68">
        <f t="shared" si="66"/>
        <v>59091.921864764277</v>
      </c>
      <c r="E105" s="68">
        <f t="shared" si="66"/>
        <v>61510.129331366275</v>
      </c>
      <c r="F105" s="68">
        <f t="shared" si="66"/>
        <v>63733.675032395899</v>
      </c>
      <c r="G105" s="68">
        <f t="shared" si="66"/>
        <v>66611.614550385071</v>
      </c>
      <c r="H105" s="68">
        <f t="shared" si="66"/>
        <v>67790.502224546988</v>
      </c>
      <c r="I105" s="68">
        <f t="shared" si="66"/>
        <v>68675.601982345193</v>
      </c>
      <c r="J105" s="68">
        <f t="shared" si="66"/>
        <v>69921.089342701904</v>
      </c>
      <c r="K105" s="68">
        <f t="shared" si="66"/>
        <v>72110.640369299363</v>
      </c>
      <c r="L105" s="68">
        <f t="shared" si="66"/>
        <v>73424.871487632088</v>
      </c>
      <c r="M105" s="68">
        <f t="shared" si="66"/>
        <v>73504.087193454674</v>
      </c>
      <c r="N105" s="68">
        <f t="shared" si="66"/>
        <v>74612.501218195423</v>
      </c>
      <c r="O105" s="68">
        <f t="shared" si="66"/>
        <v>75825.883197581483</v>
      </c>
      <c r="P105" s="68">
        <f t="shared" si="66"/>
        <v>76146.507748232834</v>
      </c>
      <c r="Q105" s="68">
        <f t="shared" si="66"/>
        <v>76921.601504815641</v>
      </c>
      <c r="R105" s="68">
        <f t="shared" si="66"/>
        <v>76691.867964853023</v>
      </c>
      <c r="S105" s="68">
        <f t="shared" si="66"/>
        <v>78547.826628220238</v>
      </c>
      <c r="T105" s="68">
        <f t="shared" si="66"/>
        <v>78637.174705026817</v>
      </c>
      <c r="U105" s="68">
        <f t="shared" si="66"/>
        <v>79047.051888415794</v>
      </c>
      <c r="V105" s="68">
        <f t="shared" si="66"/>
        <v>74704.294212575725</v>
      </c>
      <c r="W105" s="68">
        <f t="shared" si="66"/>
        <v>74884.65662615317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142134.95791644676</v>
      </c>
      <c r="C107" s="85">
        <f t="shared" ref="C107:W107" si="68">SUM(C108:C111)</f>
        <v>155061.29523040558</v>
      </c>
      <c r="D107" s="85">
        <f t="shared" si="68"/>
        <v>158177.86432195883</v>
      </c>
      <c r="E107" s="85">
        <f t="shared" si="68"/>
        <v>157328.35364564235</v>
      </c>
      <c r="F107" s="85">
        <f t="shared" si="68"/>
        <v>154792.95856256376</v>
      </c>
      <c r="G107" s="85">
        <f t="shared" si="68"/>
        <v>151599.57664515413</v>
      </c>
      <c r="H107" s="85">
        <f t="shared" si="68"/>
        <v>153200.979298875</v>
      </c>
      <c r="I107" s="85">
        <f t="shared" si="68"/>
        <v>161171.83337695786</v>
      </c>
      <c r="J107" s="85">
        <f t="shared" si="68"/>
        <v>158669.1782285074</v>
      </c>
      <c r="K107" s="85">
        <f t="shared" si="68"/>
        <v>175458.49110362752</v>
      </c>
      <c r="L107" s="85">
        <f t="shared" si="68"/>
        <v>187410.9438110987</v>
      </c>
      <c r="M107" s="85">
        <f t="shared" si="68"/>
        <v>164857.75413724125</v>
      </c>
      <c r="N107" s="85">
        <f t="shared" si="68"/>
        <v>178712.61930941592</v>
      </c>
      <c r="O107" s="85">
        <f t="shared" si="68"/>
        <v>169493.8536960147</v>
      </c>
      <c r="P107" s="85">
        <f t="shared" si="68"/>
        <v>175752.28611573888</v>
      </c>
      <c r="Q107" s="85">
        <f t="shared" si="68"/>
        <v>163785.49046524061</v>
      </c>
      <c r="R107" s="85">
        <f t="shared" si="68"/>
        <v>175185.23898656381</v>
      </c>
      <c r="S107" s="85">
        <f t="shared" si="68"/>
        <v>172581.75077456309</v>
      </c>
      <c r="T107" s="85">
        <f t="shared" si="68"/>
        <v>178447.78214966695</v>
      </c>
      <c r="U107" s="85">
        <f t="shared" si="68"/>
        <v>172869.1270307471</v>
      </c>
      <c r="V107" s="85">
        <f t="shared" si="68"/>
        <v>157886.4856080859</v>
      </c>
      <c r="W107" s="85">
        <f t="shared" si="68"/>
        <v>181650.14071358187</v>
      </c>
      <c r="DA107" s="117"/>
    </row>
    <row r="108" spans="1:105" ht="12" customHeight="1" x14ac:dyDescent="0.25">
      <c r="A108" s="61" t="s">
        <v>32</v>
      </c>
      <c r="B108" s="65">
        <v>110225.93986562871</v>
      </c>
      <c r="C108" s="65">
        <v>123403.74560177943</v>
      </c>
      <c r="D108" s="65">
        <v>126719.59205772655</v>
      </c>
      <c r="E108" s="65">
        <v>125675.86388441089</v>
      </c>
      <c r="F108" s="65">
        <v>123201.61797975287</v>
      </c>
      <c r="G108" s="65">
        <v>119765.03285113214</v>
      </c>
      <c r="H108" s="65">
        <v>121128.85748518589</v>
      </c>
      <c r="I108" s="65">
        <v>129005.27344384539</v>
      </c>
      <c r="J108" s="65">
        <v>126195.63018009944</v>
      </c>
      <c r="K108" s="65">
        <v>142637.52632770763</v>
      </c>
      <c r="L108" s="65">
        <v>154072.86910370638</v>
      </c>
      <c r="M108" s="65">
        <v>131505.89989197365</v>
      </c>
      <c r="N108" s="65">
        <v>145224.40607919949</v>
      </c>
      <c r="O108" s="65">
        <v>135905.12088372756</v>
      </c>
      <c r="P108" s="65">
        <v>141618.88328749628</v>
      </c>
      <c r="Q108" s="65">
        <v>129278.93921707888</v>
      </c>
      <c r="R108" s="65">
        <v>140070.09568900676</v>
      </c>
      <c r="S108" s="65">
        <v>137511.67659873661</v>
      </c>
      <c r="T108" s="65">
        <v>143217.0564279563</v>
      </c>
      <c r="U108" s="65">
        <v>137190.39636068494</v>
      </c>
      <c r="V108" s="65">
        <v>124707.88596033449</v>
      </c>
      <c r="W108" s="65">
        <v>145150.00683335104</v>
      </c>
      <c r="DA108" s="109"/>
    </row>
    <row r="109" spans="1:105" ht="12" customHeight="1" x14ac:dyDescent="0.25">
      <c r="A109" s="61" t="s">
        <v>31</v>
      </c>
      <c r="B109" s="65">
        <v>2476.1992690675661</v>
      </c>
      <c r="C109" s="65">
        <v>2591.7831452177984</v>
      </c>
      <c r="D109" s="65">
        <v>2783.3597539949974</v>
      </c>
      <c r="E109" s="65">
        <v>3110.9075085958548</v>
      </c>
      <c r="F109" s="65">
        <v>3197.9210800925812</v>
      </c>
      <c r="G109" s="65">
        <v>3510.3630780658204</v>
      </c>
      <c r="H109" s="65">
        <v>3790.692601994197</v>
      </c>
      <c r="I109" s="65">
        <v>4163.7374987191242</v>
      </c>
      <c r="J109" s="65">
        <v>4602.3990125626106</v>
      </c>
      <c r="K109" s="65">
        <v>4848.7300238340285</v>
      </c>
      <c r="L109" s="65">
        <v>5373.0444657428625</v>
      </c>
      <c r="M109" s="65">
        <v>5193.4885997595138</v>
      </c>
      <c r="N109" s="65">
        <v>5199.255764868436</v>
      </c>
      <c r="O109" s="65">
        <v>5323.1417116068415</v>
      </c>
      <c r="P109" s="65">
        <v>5554.0057561309513</v>
      </c>
      <c r="Q109" s="65">
        <v>5666.2241315053952</v>
      </c>
      <c r="R109" s="65">
        <v>5865.9960736833145</v>
      </c>
      <c r="S109" s="65">
        <v>5870.6743678811981</v>
      </c>
      <c r="T109" s="65">
        <v>5870.2060888888354</v>
      </c>
      <c r="U109" s="65">
        <v>5955.7917788395243</v>
      </c>
      <c r="V109" s="65">
        <v>5999.0726957794204</v>
      </c>
      <c r="W109" s="65">
        <v>5936.0696818770093</v>
      </c>
      <c r="DA109" s="109"/>
    </row>
    <row r="110" spans="1:105" ht="12" customHeight="1" x14ac:dyDescent="0.25">
      <c r="A110" s="61" t="s">
        <v>35</v>
      </c>
      <c r="B110" s="65">
        <v>15326.865835032331</v>
      </c>
      <c r="C110" s="65">
        <v>15327.540149736153</v>
      </c>
      <c r="D110" s="65">
        <v>15230.267047461091</v>
      </c>
      <c r="E110" s="65">
        <v>15284.923190567959</v>
      </c>
      <c r="F110" s="65">
        <v>15183.865960021023</v>
      </c>
      <c r="G110" s="65">
        <v>15284.557396352679</v>
      </c>
      <c r="H110" s="65">
        <v>15221.729896410281</v>
      </c>
      <c r="I110" s="65">
        <v>15169.871198080506</v>
      </c>
      <c r="J110" s="65">
        <v>15174.601607781786</v>
      </c>
      <c r="K110" s="65">
        <v>15219.553519536819</v>
      </c>
      <c r="L110" s="65">
        <v>15380.047337339327</v>
      </c>
      <c r="M110" s="65">
        <v>15469.409751327152</v>
      </c>
      <c r="N110" s="65">
        <v>15658.774634699192</v>
      </c>
      <c r="O110" s="65">
        <v>15753.84694068622</v>
      </c>
      <c r="P110" s="65">
        <v>15928.437146191385</v>
      </c>
      <c r="Q110" s="65">
        <v>16029.653940313046</v>
      </c>
      <c r="R110" s="65">
        <v>16078.828062490249</v>
      </c>
      <c r="S110" s="65">
        <v>16055.361863700897</v>
      </c>
      <c r="T110" s="65">
        <v>16186.431626991785</v>
      </c>
      <c r="U110" s="65">
        <v>16140.070749289358</v>
      </c>
      <c r="V110" s="65">
        <v>14699.472895741588</v>
      </c>
      <c r="W110" s="65">
        <v>16612.532810234239</v>
      </c>
      <c r="DA110" s="109"/>
    </row>
    <row r="111" spans="1:105" ht="12" customHeight="1" x14ac:dyDescent="0.25">
      <c r="A111" s="74" t="s">
        <v>34</v>
      </c>
      <c r="B111" s="68">
        <v>14105.952946718142</v>
      </c>
      <c r="C111" s="68">
        <v>13738.226333672223</v>
      </c>
      <c r="D111" s="68">
        <v>13444.645462776176</v>
      </c>
      <c r="E111" s="68">
        <v>13256.659062067614</v>
      </c>
      <c r="F111" s="68">
        <v>13209.553542697289</v>
      </c>
      <c r="G111" s="68">
        <v>13039.623319603515</v>
      </c>
      <c r="H111" s="68">
        <v>13059.699315284639</v>
      </c>
      <c r="I111" s="68">
        <v>12832.95123631282</v>
      </c>
      <c r="J111" s="68">
        <v>12696.547428063568</v>
      </c>
      <c r="K111" s="68">
        <v>12752.681232549028</v>
      </c>
      <c r="L111" s="68">
        <v>12584.982904310127</v>
      </c>
      <c r="M111" s="68">
        <v>12688.955894180914</v>
      </c>
      <c r="N111" s="68">
        <v>12630.182830648813</v>
      </c>
      <c r="O111" s="68">
        <v>12511.744159994065</v>
      </c>
      <c r="P111" s="68">
        <v>12650.959925920224</v>
      </c>
      <c r="Q111" s="68">
        <v>12810.673176343278</v>
      </c>
      <c r="R111" s="68">
        <v>13170.319161383479</v>
      </c>
      <c r="S111" s="68">
        <v>13144.037944244374</v>
      </c>
      <c r="T111" s="68">
        <v>13174.088005830034</v>
      </c>
      <c r="U111" s="68">
        <v>13582.868141933299</v>
      </c>
      <c r="V111" s="68">
        <v>12480.054056230409</v>
      </c>
      <c r="W111" s="68">
        <v>13951.531388119596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11121.999178058708</v>
      </c>
      <c r="C113" s="82">
        <f t="shared" ref="C113:W113" si="70">C81*1000000/C$8</f>
        <v>11427.63868571821</v>
      </c>
      <c r="D113" s="82">
        <f t="shared" si="70"/>
        <v>11157.852192505119</v>
      </c>
      <c r="E113" s="82">
        <f t="shared" si="70"/>
        <v>10868.233339633533</v>
      </c>
      <c r="F113" s="82">
        <f t="shared" si="70"/>
        <v>10390.719417812928</v>
      </c>
      <c r="G113" s="82">
        <f t="shared" si="70"/>
        <v>9767.8982247114236</v>
      </c>
      <c r="H113" s="82">
        <f t="shared" si="70"/>
        <v>9486.2005853922346</v>
      </c>
      <c r="I113" s="82">
        <f t="shared" si="70"/>
        <v>8891.1850440107246</v>
      </c>
      <c r="J113" s="82">
        <f t="shared" si="70"/>
        <v>7510.4635822352839</v>
      </c>
      <c r="K113" s="82">
        <f t="shared" si="70"/>
        <v>7969.6200638263172</v>
      </c>
      <c r="L113" s="82">
        <f t="shared" si="70"/>
        <v>9278.7707239813972</v>
      </c>
      <c r="M113" s="82">
        <f t="shared" si="70"/>
        <v>8118.071940805652</v>
      </c>
      <c r="N113" s="82">
        <f t="shared" si="70"/>
        <v>8749.1514633436091</v>
      </c>
      <c r="O113" s="82">
        <f t="shared" si="70"/>
        <v>7917.4593130468702</v>
      </c>
      <c r="P113" s="82">
        <f t="shared" si="70"/>
        <v>7797.0236854639879</v>
      </c>
      <c r="Q113" s="82">
        <f t="shared" si="70"/>
        <v>7183.0224964393819</v>
      </c>
      <c r="R113" s="82">
        <f t="shared" si="70"/>
        <v>7815.3421519174308</v>
      </c>
      <c r="S113" s="82">
        <f t="shared" si="70"/>
        <v>7641.1968352108361</v>
      </c>
      <c r="T113" s="82">
        <f t="shared" si="70"/>
        <v>7472.2063559215439</v>
      </c>
      <c r="U113" s="82">
        <f t="shared" si="70"/>
        <v>7372.7621325002719</v>
      </c>
      <c r="V113" s="82">
        <f t="shared" si="70"/>
        <v>6630.2721820342422</v>
      </c>
      <c r="W113" s="82">
        <f t="shared" si="70"/>
        <v>7576.9021520625975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11121.999178058708</v>
      </c>
      <c r="C114" s="64">
        <f t="shared" ref="C114:W114" si="72">C82*1000000/C$8</f>
        <v>11427.63868571821</v>
      </c>
      <c r="D114" s="64">
        <f t="shared" si="72"/>
        <v>11157.852192505119</v>
      </c>
      <c r="E114" s="64">
        <f t="shared" si="72"/>
        <v>10868.233339633533</v>
      </c>
      <c r="F114" s="64">
        <f t="shared" si="72"/>
        <v>10390.719417812928</v>
      </c>
      <c r="G114" s="64">
        <f t="shared" si="72"/>
        <v>9767.8982247114236</v>
      </c>
      <c r="H114" s="64">
        <f t="shared" si="72"/>
        <v>9486.2005853922346</v>
      </c>
      <c r="I114" s="64">
        <f t="shared" si="72"/>
        <v>8891.1850440107246</v>
      </c>
      <c r="J114" s="64">
        <f t="shared" si="72"/>
        <v>7510.4635822352839</v>
      </c>
      <c r="K114" s="64">
        <f t="shared" si="72"/>
        <v>7969.6200638263172</v>
      </c>
      <c r="L114" s="64">
        <f t="shared" si="72"/>
        <v>9278.7707239813972</v>
      </c>
      <c r="M114" s="64">
        <f t="shared" si="72"/>
        <v>8118.071940805652</v>
      </c>
      <c r="N114" s="64">
        <f t="shared" si="72"/>
        <v>8749.1514633436091</v>
      </c>
      <c r="O114" s="64">
        <f t="shared" si="72"/>
        <v>7917.4593130468702</v>
      </c>
      <c r="P114" s="64">
        <f t="shared" si="72"/>
        <v>7797.0236854639879</v>
      </c>
      <c r="Q114" s="64">
        <f t="shared" si="72"/>
        <v>7183.0224964393819</v>
      </c>
      <c r="R114" s="64">
        <f t="shared" si="72"/>
        <v>7815.3421519174308</v>
      </c>
      <c r="S114" s="64">
        <f t="shared" si="72"/>
        <v>7641.1968352108361</v>
      </c>
      <c r="T114" s="64">
        <f t="shared" si="72"/>
        <v>7472.2063559215439</v>
      </c>
      <c r="U114" s="64">
        <f t="shared" si="72"/>
        <v>7372.7621325002719</v>
      </c>
      <c r="V114" s="64">
        <f t="shared" si="72"/>
        <v>6630.2721820342422</v>
      </c>
      <c r="W114" s="64">
        <f t="shared" si="72"/>
        <v>7576.9021520625975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10326.114751142715</v>
      </c>
      <c r="C115" s="65">
        <f t="shared" ref="C115:W115" si="74">C83*1000000/C$8</f>
        <v>10619.60823026204</v>
      </c>
      <c r="D115" s="65">
        <f t="shared" si="74"/>
        <v>10333.829274158317</v>
      </c>
      <c r="E115" s="65">
        <f t="shared" si="74"/>
        <v>10042.647335666188</v>
      </c>
      <c r="F115" s="65">
        <f t="shared" si="74"/>
        <v>9576.0793827319612</v>
      </c>
      <c r="G115" s="65">
        <f t="shared" si="74"/>
        <v>8960.8850493301507</v>
      </c>
      <c r="H115" s="65">
        <f t="shared" si="74"/>
        <v>8680.2881891864236</v>
      </c>
      <c r="I115" s="65">
        <f t="shared" si="74"/>
        <v>8102.132147483293</v>
      </c>
      <c r="J115" s="65">
        <f t="shared" si="74"/>
        <v>6712.7150147994998</v>
      </c>
      <c r="K115" s="65">
        <f t="shared" si="74"/>
        <v>7200.8472181718116</v>
      </c>
      <c r="L115" s="65">
        <f t="shared" si="74"/>
        <v>8469.2224650526477</v>
      </c>
      <c r="M115" s="65">
        <f t="shared" si="74"/>
        <v>7313.3927721179271</v>
      </c>
      <c r="N115" s="65">
        <f t="shared" si="74"/>
        <v>7979.6357613276423</v>
      </c>
      <c r="O115" s="65">
        <f t="shared" si="74"/>
        <v>7147.08468948258</v>
      </c>
      <c r="P115" s="65">
        <f t="shared" si="74"/>
        <v>7062.7349644947262</v>
      </c>
      <c r="Q115" s="65">
        <f t="shared" si="74"/>
        <v>6457.732499709633</v>
      </c>
      <c r="R115" s="65">
        <f t="shared" si="74"/>
        <v>7092.9989878478682</v>
      </c>
      <c r="S115" s="65">
        <f t="shared" si="74"/>
        <v>7009.9912897300683</v>
      </c>
      <c r="T115" s="65">
        <f t="shared" si="74"/>
        <v>6932.4269625367533</v>
      </c>
      <c r="U115" s="65">
        <f t="shared" si="74"/>
        <v>6860.9204621497747</v>
      </c>
      <c r="V115" s="65">
        <f t="shared" si="74"/>
        <v>6181.1202594124816</v>
      </c>
      <c r="W115" s="65">
        <f t="shared" si="74"/>
        <v>7075.2631365673005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713.35432245830168</v>
      </c>
      <c r="C117" s="65">
        <f t="shared" ref="C117:W117" si="78">C85*1000000/C$8</f>
        <v>719.50734188454987</v>
      </c>
      <c r="D117" s="65">
        <f t="shared" si="78"/>
        <v>737.54226373045469</v>
      </c>
      <c r="E117" s="65">
        <f t="shared" si="78"/>
        <v>741.86703985020245</v>
      </c>
      <c r="F117" s="65">
        <f t="shared" si="78"/>
        <v>733.778364899645</v>
      </c>
      <c r="G117" s="65">
        <f t="shared" si="78"/>
        <v>724.84598810305408</v>
      </c>
      <c r="H117" s="65">
        <f t="shared" si="78"/>
        <v>724.12071931711159</v>
      </c>
      <c r="I117" s="65">
        <f t="shared" si="78"/>
        <v>710.87593512673345</v>
      </c>
      <c r="J117" s="65">
        <f t="shared" si="78"/>
        <v>721.9817468891498</v>
      </c>
      <c r="K117" s="65">
        <f t="shared" si="78"/>
        <v>697.39119939560419</v>
      </c>
      <c r="L117" s="65">
        <f t="shared" si="78"/>
        <v>741.09454252484477</v>
      </c>
      <c r="M117" s="65">
        <f t="shared" si="78"/>
        <v>743.09866505410571</v>
      </c>
      <c r="N117" s="65">
        <f t="shared" si="78"/>
        <v>719.47686722222556</v>
      </c>
      <c r="O117" s="65">
        <f t="shared" si="78"/>
        <v>712.57117081046079</v>
      </c>
      <c r="P117" s="65">
        <f t="shared" si="78"/>
        <v>682.45922254149787</v>
      </c>
      <c r="Q117" s="65">
        <f t="shared" si="78"/>
        <v>672.16361911871968</v>
      </c>
      <c r="R117" s="65">
        <f t="shared" si="78"/>
        <v>670.4367563668211</v>
      </c>
      <c r="S117" s="65">
        <f t="shared" si="78"/>
        <v>583.68650970691181</v>
      </c>
      <c r="T117" s="65">
        <f t="shared" si="78"/>
        <v>500.51594895301008</v>
      </c>
      <c r="U117" s="65">
        <f t="shared" si="78"/>
        <v>472.04999865321781</v>
      </c>
      <c r="V117" s="65">
        <f t="shared" si="78"/>
        <v>412.13471848507527</v>
      </c>
      <c r="W117" s="65">
        <f t="shared" si="78"/>
        <v>453.39214104802977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82.530104457691394</v>
      </c>
      <c r="C118" s="67">
        <f t="shared" ref="C118:W118" si="80">C86*1000000/C$8</f>
        <v>88.523113571619518</v>
      </c>
      <c r="D118" s="67">
        <f t="shared" si="80"/>
        <v>86.48065461634711</v>
      </c>
      <c r="E118" s="67">
        <f t="shared" si="80"/>
        <v>83.718964117139592</v>
      </c>
      <c r="F118" s="67">
        <f t="shared" si="80"/>
        <v>80.861670181320576</v>
      </c>
      <c r="G118" s="67">
        <f t="shared" si="80"/>
        <v>82.16718727821781</v>
      </c>
      <c r="H118" s="67">
        <f t="shared" si="80"/>
        <v>81.791676888700323</v>
      </c>
      <c r="I118" s="67">
        <f t="shared" si="80"/>
        <v>78.17696140069765</v>
      </c>
      <c r="J118" s="67">
        <f t="shared" si="80"/>
        <v>75.766820546635529</v>
      </c>
      <c r="K118" s="67">
        <f t="shared" si="80"/>
        <v>71.381646258901483</v>
      </c>
      <c r="L118" s="67">
        <f t="shared" si="80"/>
        <v>68.453716403905943</v>
      </c>
      <c r="M118" s="67">
        <f t="shared" si="80"/>
        <v>61.580503633619109</v>
      </c>
      <c r="N118" s="67">
        <f t="shared" si="80"/>
        <v>50.038834793741408</v>
      </c>
      <c r="O118" s="67">
        <f t="shared" si="80"/>
        <v>57.803452753829063</v>
      </c>
      <c r="P118" s="67">
        <f t="shared" si="80"/>
        <v>51.829498427763994</v>
      </c>
      <c r="Q118" s="67">
        <f t="shared" si="80"/>
        <v>53.126377611030307</v>
      </c>
      <c r="R118" s="67">
        <f t="shared" si="80"/>
        <v>51.906407702740488</v>
      </c>
      <c r="S118" s="67">
        <f t="shared" si="80"/>
        <v>47.519035773855698</v>
      </c>
      <c r="T118" s="67">
        <f t="shared" si="80"/>
        <v>39.26344443178013</v>
      </c>
      <c r="U118" s="67">
        <f t="shared" si="80"/>
        <v>39.791671697279874</v>
      </c>
      <c r="V118" s="67">
        <f t="shared" si="80"/>
        <v>37.017204136684796</v>
      </c>
      <c r="W118" s="67">
        <f t="shared" si="80"/>
        <v>48.246874447266372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0.67767974688845556</v>
      </c>
      <c r="C121" s="86">
        <f t="shared" ref="C121:W121" si="84">IF(C107=0,"",C107/C100)</f>
        <v>0.68406077357937645</v>
      </c>
      <c r="D121" s="86">
        <f t="shared" si="84"/>
        <v>0.68957362281709988</v>
      </c>
      <c r="E121" s="86">
        <f t="shared" si="84"/>
        <v>0.69560022218465911</v>
      </c>
      <c r="F121" s="86">
        <f t="shared" si="84"/>
        <v>0.70053605744413283</v>
      </c>
      <c r="G121" s="86">
        <f t="shared" si="84"/>
        <v>0.70757012544564057</v>
      </c>
      <c r="H121" s="86">
        <f t="shared" si="84"/>
        <v>0.71464476514124275</v>
      </c>
      <c r="I121" s="86">
        <f t="shared" si="84"/>
        <v>0.7263530723944821</v>
      </c>
      <c r="J121" s="86">
        <f t="shared" si="84"/>
        <v>0.73822786116687844</v>
      </c>
      <c r="K121" s="86">
        <f t="shared" si="84"/>
        <v>0.74471710767754551</v>
      </c>
      <c r="L121" s="86">
        <f t="shared" si="84"/>
        <v>0.74823399931812451</v>
      </c>
      <c r="M121" s="86">
        <f t="shared" si="84"/>
        <v>0.75634289329520377</v>
      </c>
      <c r="N121" s="86">
        <f t="shared" si="84"/>
        <v>0.7633906986441622</v>
      </c>
      <c r="O121" s="86">
        <f t="shared" si="84"/>
        <v>0.77606734007262712</v>
      </c>
      <c r="P121" s="86">
        <f t="shared" si="84"/>
        <v>0.78278043881376791</v>
      </c>
      <c r="Q121" s="86">
        <f t="shared" si="84"/>
        <v>0.79167119615954096</v>
      </c>
      <c r="R121" s="86">
        <f t="shared" si="84"/>
        <v>0.79668677821889211</v>
      </c>
      <c r="S121" s="86">
        <f t="shared" si="84"/>
        <v>0.80590220972332749</v>
      </c>
      <c r="T121" s="86">
        <f t="shared" si="84"/>
        <v>0.81568595770495589</v>
      </c>
      <c r="U121" s="86">
        <f t="shared" si="84"/>
        <v>0.82692744083159997</v>
      </c>
      <c r="V121" s="86">
        <f t="shared" si="84"/>
        <v>0.84124936229962577</v>
      </c>
      <c r="W121" s="86">
        <f t="shared" si="84"/>
        <v>0.8501799671892829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0.66387449960274325</v>
      </c>
      <c r="C122" s="75">
        <f t="shared" ref="C122:W122" si="86">IF(C108=0,"",C108/C101)</f>
        <v>0.67204623332498414</v>
      </c>
      <c r="D122" s="75">
        <f t="shared" si="86"/>
        <v>0.67774013216685292</v>
      </c>
      <c r="E122" s="75">
        <f t="shared" si="86"/>
        <v>0.68293770437162804</v>
      </c>
      <c r="F122" s="75">
        <f t="shared" si="86"/>
        <v>0.68741326563487593</v>
      </c>
      <c r="G122" s="75">
        <f t="shared" si="86"/>
        <v>0.69326722184078704</v>
      </c>
      <c r="H122" s="75">
        <f t="shared" si="86"/>
        <v>0.69969427728928957</v>
      </c>
      <c r="I122" s="75">
        <f t="shared" si="86"/>
        <v>0.71193222716739546</v>
      </c>
      <c r="J122" s="75">
        <f t="shared" si="86"/>
        <v>0.72304869150673501</v>
      </c>
      <c r="K122" s="75">
        <f t="shared" si="86"/>
        <v>0.73064136290162962</v>
      </c>
      <c r="L122" s="75">
        <f t="shared" si="86"/>
        <v>0.73338460418646378</v>
      </c>
      <c r="M122" s="75">
        <f t="shared" si="86"/>
        <v>0.74046839670177866</v>
      </c>
      <c r="N122" s="75">
        <f t="shared" si="86"/>
        <v>0.74919563176697546</v>
      </c>
      <c r="O122" s="75">
        <f t="shared" si="86"/>
        <v>0.76153203315177487</v>
      </c>
      <c r="P122" s="75">
        <f t="shared" si="86"/>
        <v>0.76827082249227963</v>
      </c>
      <c r="Q122" s="75">
        <f t="shared" si="86"/>
        <v>0.77595036566987596</v>
      </c>
      <c r="R122" s="75">
        <f t="shared" si="86"/>
        <v>0.78080614710751428</v>
      </c>
      <c r="S122" s="75">
        <f t="shared" si="86"/>
        <v>0.78938070152233175</v>
      </c>
      <c r="T122" s="75">
        <f t="shared" si="86"/>
        <v>0.7991838876407571</v>
      </c>
      <c r="U122" s="75">
        <f t="shared" si="86"/>
        <v>0.8093685989805991</v>
      </c>
      <c r="V122" s="75">
        <f t="shared" si="86"/>
        <v>0.82104109682666349</v>
      </c>
      <c r="W122" s="75">
        <f t="shared" si="86"/>
        <v>0.83327141503149693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1.9009640741327101</v>
      </c>
      <c r="C123" s="76">
        <f t="shared" ref="C123:W123" si="88">IF(C109=0,"",C109/C102)</f>
        <v>1.9828362671399198</v>
      </c>
      <c r="D123" s="76">
        <f t="shared" si="88"/>
        <v>2.0828055678301318</v>
      </c>
      <c r="E123" s="76">
        <f t="shared" si="88"/>
        <v>2.187837793185619</v>
      </c>
      <c r="F123" s="76">
        <f t="shared" si="88"/>
        <v>2.3031224130160921</v>
      </c>
      <c r="G123" s="76">
        <f t="shared" si="88"/>
        <v>2.4337720443866053</v>
      </c>
      <c r="H123" s="76">
        <f t="shared" si="88"/>
        <v>2.5661453507238634</v>
      </c>
      <c r="I123" s="76">
        <f t="shared" si="88"/>
        <v>2.7150113518815151</v>
      </c>
      <c r="J123" s="76">
        <f t="shared" si="88"/>
        <v>2.8733767909173613</v>
      </c>
      <c r="K123" s="76">
        <f t="shared" si="88"/>
        <v>2.9206210095248957</v>
      </c>
      <c r="L123" s="76">
        <f t="shared" si="88"/>
        <v>2.9813472978740103</v>
      </c>
      <c r="M123" s="76">
        <f t="shared" si="88"/>
        <v>3.0663549995367028</v>
      </c>
      <c r="N123" s="76">
        <f t="shared" si="88"/>
        <v>3.1562368112303649</v>
      </c>
      <c r="O123" s="76">
        <f t="shared" si="88"/>
        <v>3.2630275125386512</v>
      </c>
      <c r="P123" s="76">
        <f t="shared" si="88"/>
        <v>3.3933298402591263</v>
      </c>
      <c r="Q123" s="76">
        <f t="shared" si="88"/>
        <v>3.5358161991248247</v>
      </c>
      <c r="R123" s="76">
        <f t="shared" si="88"/>
        <v>3.671582403729337</v>
      </c>
      <c r="S123" s="76">
        <f t="shared" si="88"/>
        <v>3.8043164525761748</v>
      </c>
      <c r="T123" s="76">
        <f t="shared" si="88"/>
        <v>3.9271949524766567</v>
      </c>
      <c r="U123" s="76">
        <f t="shared" si="88"/>
        <v>4.0285328114782741</v>
      </c>
      <c r="V123" s="76">
        <f t="shared" si="88"/>
        <v>4.1293376155983381</v>
      </c>
      <c r="W123" s="76">
        <f t="shared" si="88"/>
        <v>4.2294794153405686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0.68293370409270915</v>
      </c>
      <c r="C124" s="76">
        <f t="shared" ref="C124:W124" si="90">IF(C110=0,"",C110/C103)</f>
        <v>0.68584149452430909</v>
      </c>
      <c r="D124" s="76">
        <f t="shared" si="90"/>
        <v>0.68818576980540513</v>
      </c>
      <c r="E124" s="76">
        <f t="shared" si="90"/>
        <v>0.69171981863048848</v>
      </c>
      <c r="F124" s="76">
        <f t="shared" si="90"/>
        <v>0.69548299335375141</v>
      </c>
      <c r="G124" s="76">
        <f t="shared" si="90"/>
        <v>0.70014204535137292</v>
      </c>
      <c r="H124" s="76">
        <f t="shared" si="90"/>
        <v>0.70510270464240865</v>
      </c>
      <c r="I124" s="76">
        <f t="shared" si="90"/>
        <v>0.71078887346089636</v>
      </c>
      <c r="J124" s="76">
        <f t="shared" si="90"/>
        <v>0.71432165225152455</v>
      </c>
      <c r="K124" s="76">
        <f t="shared" si="90"/>
        <v>0.7188466597697416</v>
      </c>
      <c r="L124" s="76">
        <f t="shared" si="90"/>
        <v>0.72115611298768534</v>
      </c>
      <c r="M124" s="76">
        <f t="shared" si="90"/>
        <v>0.72596509225857353</v>
      </c>
      <c r="N124" s="76">
        <f t="shared" si="90"/>
        <v>0.73276197743431171</v>
      </c>
      <c r="O124" s="76">
        <f t="shared" si="90"/>
        <v>0.74029114935899465</v>
      </c>
      <c r="P124" s="76">
        <f t="shared" si="90"/>
        <v>0.7438200033714194</v>
      </c>
      <c r="Q124" s="76">
        <f t="shared" si="90"/>
        <v>0.7484483478194911</v>
      </c>
      <c r="R124" s="76">
        <f t="shared" si="90"/>
        <v>0.75523494311710027</v>
      </c>
      <c r="S124" s="76">
        <f t="shared" si="90"/>
        <v>0.76562285313557998</v>
      </c>
      <c r="T124" s="76">
        <f t="shared" si="90"/>
        <v>0.7780117433343211</v>
      </c>
      <c r="U124" s="76">
        <f t="shared" si="90"/>
        <v>0.78761865390023322</v>
      </c>
      <c r="V124" s="76">
        <f t="shared" si="90"/>
        <v>0.79918676487929108</v>
      </c>
      <c r="W124" s="76">
        <f t="shared" si="90"/>
        <v>0.81230441639501927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0.7067797338690156</v>
      </c>
      <c r="C125" s="56">
        <f t="shared" ref="C125:W125" si="92">IF(C111=0,"",C111/C104)</f>
        <v>0.7082238640816424</v>
      </c>
      <c r="D125" s="56">
        <f t="shared" si="92"/>
        <v>0.7097077450983289</v>
      </c>
      <c r="E125" s="56">
        <f t="shared" si="92"/>
        <v>0.71138261009098536</v>
      </c>
      <c r="F125" s="56">
        <f t="shared" si="92"/>
        <v>0.71333631642994755</v>
      </c>
      <c r="G125" s="56">
        <f t="shared" si="92"/>
        <v>0.71542993058468651</v>
      </c>
      <c r="H125" s="56">
        <f t="shared" si="92"/>
        <v>0.71789629283326328</v>
      </c>
      <c r="I125" s="56">
        <f t="shared" si="92"/>
        <v>0.72048571545447193</v>
      </c>
      <c r="J125" s="56">
        <f t="shared" si="92"/>
        <v>0.72325519583085496</v>
      </c>
      <c r="K125" s="56">
        <f t="shared" si="92"/>
        <v>0.7266688277270642</v>
      </c>
      <c r="L125" s="56">
        <f t="shared" si="92"/>
        <v>0.72925969921311196</v>
      </c>
      <c r="M125" s="56">
        <f t="shared" si="92"/>
        <v>0.73066813920426754</v>
      </c>
      <c r="N125" s="56">
        <f t="shared" si="92"/>
        <v>0.73233357512774344</v>
      </c>
      <c r="O125" s="56">
        <f t="shared" si="92"/>
        <v>0.73485130815252864</v>
      </c>
      <c r="P125" s="56">
        <f t="shared" si="92"/>
        <v>0.73820781260047152</v>
      </c>
      <c r="Q125" s="56">
        <f t="shared" si="92"/>
        <v>0.74226817557434444</v>
      </c>
      <c r="R125" s="56">
        <f t="shared" si="92"/>
        <v>0.74775758377855517</v>
      </c>
      <c r="S125" s="56">
        <f t="shared" si="92"/>
        <v>0.75402652045901253</v>
      </c>
      <c r="T125" s="56">
        <f t="shared" si="92"/>
        <v>0.76298797201629298</v>
      </c>
      <c r="U125" s="56">
        <f t="shared" si="92"/>
        <v>0.77279437604343793</v>
      </c>
      <c r="V125" s="56">
        <f t="shared" si="92"/>
        <v>0.78268494804590139</v>
      </c>
      <c r="W125" s="56">
        <f t="shared" si="92"/>
        <v>0.79210462571153617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293.38426701721136</v>
      </c>
      <c r="C129" s="82">
        <f t="shared" ref="C129:W129" si="94">IF(C99=0,0,C99/C$26)</f>
        <v>314.76852874419529</v>
      </c>
      <c r="D129" s="82">
        <f t="shared" si="94"/>
        <v>320.52994355942405</v>
      </c>
      <c r="E129" s="82">
        <f t="shared" si="94"/>
        <v>319.65169854260841</v>
      </c>
      <c r="F129" s="82">
        <f t="shared" si="94"/>
        <v>316.33028874715097</v>
      </c>
      <c r="G129" s="82">
        <f t="shared" si="94"/>
        <v>312.07266477814829</v>
      </c>
      <c r="H129" s="82">
        <f t="shared" si="94"/>
        <v>313.51568200319565</v>
      </c>
      <c r="I129" s="82">
        <f t="shared" si="94"/>
        <v>322.85273419993683</v>
      </c>
      <c r="J129" s="82">
        <f t="shared" si="94"/>
        <v>316.50401594018967</v>
      </c>
      <c r="K129" s="82">
        <f t="shared" si="94"/>
        <v>341.90539717062887</v>
      </c>
      <c r="L129" s="82">
        <f t="shared" si="94"/>
        <v>359.88433991767539</v>
      </c>
      <c r="M129" s="82">
        <f t="shared" si="94"/>
        <v>323.85670877354642</v>
      </c>
      <c r="N129" s="82">
        <f t="shared" si="94"/>
        <v>343.01804823682852</v>
      </c>
      <c r="O129" s="82">
        <f t="shared" si="94"/>
        <v>326.91871695402477</v>
      </c>
      <c r="P129" s="82">
        <f t="shared" si="94"/>
        <v>334.0773353760182</v>
      </c>
      <c r="Q129" s="82">
        <f t="shared" si="94"/>
        <v>315.34150348867621</v>
      </c>
      <c r="R129" s="82">
        <f t="shared" si="94"/>
        <v>329.53789598929757</v>
      </c>
      <c r="S129" s="82">
        <f t="shared" si="94"/>
        <v>325.21676393272918</v>
      </c>
      <c r="T129" s="82">
        <f t="shared" si="94"/>
        <v>330.45264134729246</v>
      </c>
      <c r="U129" s="82">
        <f t="shared" si="94"/>
        <v>320.10776223544411</v>
      </c>
      <c r="V129" s="82">
        <f t="shared" si="94"/>
        <v>291.53916829933223</v>
      </c>
      <c r="W129" s="82">
        <f t="shared" si="94"/>
        <v>320.606074392572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233.04183390959253</v>
      </c>
      <c r="C130" s="64">
        <f t="shared" ref="C130:W130" si="96">IF(C100=0,0,C100/C$26)</f>
        <v>251.86406630549456</v>
      </c>
      <c r="D130" s="64">
        <f t="shared" si="96"/>
        <v>254.87225259857485</v>
      </c>
      <c r="E130" s="64">
        <f t="shared" si="96"/>
        <v>251.30711039664584</v>
      </c>
      <c r="F130" s="64">
        <f t="shared" si="96"/>
        <v>245.51509426671106</v>
      </c>
      <c r="G130" s="64">
        <f t="shared" si="96"/>
        <v>238.0597597221649</v>
      </c>
      <c r="H130" s="64">
        <f t="shared" si="96"/>
        <v>238.19290175369898</v>
      </c>
      <c r="I130" s="64">
        <f t="shared" si="96"/>
        <v>246.5465097751088</v>
      </c>
      <c r="J130" s="64">
        <f t="shared" si="96"/>
        <v>238.81391667052088</v>
      </c>
      <c r="K130" s="64">
        <f t="shared" si="96"/>
        <v>261.78246342696281</v>
      </c>
      <c r="L130" s="64">
        <f t="shared" si="96"/>
        <v>278.30114937586188</v>
      </c>
      <c r="M130" s="64">
        <f t="shared" si="96"/>
        <v>242.18550078081904</v>
      </c>
      <c r="N130" s="64">
        <f t="shared" si="96"/>
        <v>260.11526910550032</v>
      </c>
      <c r="O130" s="64">
        <f t="shared" si="96"/>
        <v>242.66773562337869</v>
      </c>
      <c r="P130" s="64">
        <f t="shared" si="96"/>
        <v>249.47010454464851</v>
      </c>
      <c r="Q130" s="64">
        <f t="shared" si="96"/>
        <v>229.87305737221442</v>
      </c>
      <c r="R130" s="64">
        <f t="shared" si="96"/>
        <v>244.32470936168306</v>
      </c>
      <c r="S130" s="64">
        <f t="shared" si="96"/>
        <v>237.94140101248448</v>
      </c>
      <c r="T130" s="64">
        <f t="shared" si="96"/>
        <v>243.07800278615156</v>
      </c>
      <c r="U130" s="64">
        <f t="shared" si="96"/>
        <v>232.27770458164878</v>
      </c>
      <c r="V130" s="64">
        <f t="shared" si="96"/>
        <v>208.53439695202587</v>
      </c>
      <c r="W130" s="64">
        <f t="shared" si="96"/>
        <v>237.40090036351296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184.48255896355738</v>
      </c>
      <c r="C131" s="65">
        <f t="shared" ref="C131:W131" si="98">IF(C101=0,0,C101/C$26)</f>
        <v>204.02654771604182</v>
      </c>
      <c r="D131" s="65">
        <f t="shared" si="98"/>
        <v>207.74857507795309</v>
      </c>
      <c r="E131" s="65">
        <f t="shared" si="98"/>
        <v>204.46937966170631</v>
      </c>
      <c r="F131" s="65">
        <f t="shared" si="98"/>
        <v>199.1388492012027</v>
      </c>
      <c r="G131" s="65">
        <f t="shared" si="98"/>
        <v>191.94944536702906</v>
      </c>
      <c r="H131" s="65">
        <f t="shared" si="98"/>
        <v>192.35203687729873</v>
      </c>
      <c r="I131" s="65">
        <f t="shared" si="98"/>
        <v>201.33825558887173</v>
      </c>
      <c r="J131" s="65">
        <f t="shared" si="98"/>
        <v>193.92520657852688</v>
      </c>
      <c r="K131" s="65">
        <f t="shared" si="98"/>
        <v>216.91372595539394</v>
      </c>
      <c r="L131" s="65">
        <f t="shared" si="98"/>
        <v>233.42742103483019</v>
      </c>
      <c r="M131" s="65">
        <f t="shared" si="98"/>
        <v>197.33140157970283</v>
      </c>
      <c r="N131" s="65">
        <f t="shared" si="98"/>
        <v>215.37825950552124</v>
      </c>
      <c r="O131" s="65">
        <f t="shared" si="98"/>
        <v>198.29197367553502</v>
      </c>
      <c r="P131" s="65">
        <f t="shared" si="98"/>
        <v>204.81620563621757</v>
      </c>
      <c r="Q131" s="65">
        <f t="shared" si="98"/>
        <v>185.1191418316395</v>
      </c>
      <c r="R131" s="65">
        <f t="shared" si="98"/>
        <v>199.32404506674789</v>
      </c>
      <c r="S131" s="65">
        <f t="shared" si="98"/>
        <v>193.55774910852887</v>
      </c>
      <c r="T131" s="65">
        <f t="shared" si="98"/>
        <v>199.11570435621712</v>
      </c>
      <c r="U131" s="65">
        <f t="shared" si="98"/>
        <v>188.33665393750749</v>
      </c>
      <c r="V131" s="65">
        <f t="shared" si="98"/>
        <v>168.76660409479894</v>
      </c>
      <c r="W131" s="65">
        <f t="shared" si="98"/>
        <v>193.54772342009824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1.4473353592657683</v>
      </c>
      <c r="C132" s="65">
        <f t="shared" ref="C132:W132" si="100">IF(C102=0,0,C102/C$26)</f>
        <v>1.4523433416899403</v>
      </c>
      <c r="D132" s="65">
        <f t="shared" si="100"/>
        <v>1.4848346848358134</v>
      </c>
      <c r="E132" s="65">
        <f t="shared" si="100"/>
        <v>1.5798995287520292</v>
      </c>
      <c r="F132" s="65">
        <f t="shared" si="100"/>
        <v>1.5427949571703836</v>
      </c>
      <c r="G132" s="65">
        <f t="shared" si="100"/>
        <v>1.6026165758084261</v>
      </c>
      <c r="H132" s="65">
        <f t="shared" si="100"/>
        <v>1.6413258382633491</v>
      </c>
      <c r="I132" s="65">
        <f t="shared" si="100"/>
        <v>1.7039983996275765</v>
      </c>
      <c r="J132" s="65">
        <f t="shared" si="100"/>
        <v>1.7797097466609959</v>
      </c>
      <c r="K132" s="65">
        <f t="shared" si="100"/>
        <v>1.844634338618425</v>
      </c>
      <c r="L132" s="65">
        <f t="shared" si="100"/>
        <v>2.0024669419219232</v>
      </c>
      <c r="M132" s="65">
        <f t="shared" si="100"/>
        <v>1.8818900256146325</v>
      </c>
      <c r="N132" s="65">
        <f t="shared" si="100"/>
        <v>1.8303287095881271</v>
      </c>
      <c r="O132" s="65">
        <f t="shared" si="100"/>
        <v>1.8126117168971678</v>
      </c>
      <c r="P132" s="65">
        <f t="shared" si="100"/>
        <v>1.8186023161075671</v>
      </c>
      <c r="Q132" s="65">
        <f t="shared" si="100"/>
        <v>1.7805802779340931</v>
      </c>
      <c r="R132" s="65">
        <f t="shared" si="100"/>
        <v>1.7751946432098007</v>
      </c>
      <c r="S132" s="65">
        <f t="shared" si="100"/>
        <v>1.714623796727222</v>
      </c>
      <c r="T132" s="65">
        <f t="shared" si="100"/>
        <v>1.6608422267815222</v>
      </c>
      <c r="U132" s="65">
        <f t="shared" si="100"/>
        <v>1.642669113201163</v>
      </c>
      <c r="V132" s="65">
        <f t="shared" si="100"/>
        <v>1.6142144210889267</v>
      </c>
      <c r="W132" s="65">
        <f t="shared" si="100"/>
        <v>1.5594432156214306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24.936316403417511</v>
      </c>
      <c r="C133" s="65">
        <f t="shared" ref="C133:W133" si="102">IF(C103=0,0,C103/C$26)</f>
        <v>24.831685312632928</v>
      </c>
      <c r="D133" s="65">
        <f t="shared" si="102"/>
        <v>24.590044845606926</v>
      </c>
      <c r="E133" s="65">
        <f t="shared" si="102"/>
        <v>24.552206734721704</v>
      </c>
      <c r="F133" s="65">
        <f t="shared" si="102"/>
        <v>24.257907582248915</v>
      </c>
      <c r="G133" s="65">
        <f t="shared" si="102"/>
        <v>24.256280085250385</v>
      </c>
      <c r="H133" s="65">
        <f t="shared" si="102"/>
        <v>23.986623660465259</v>
      </c>
      <c r="I133" s="65">
        <f t="shared" si="102"/>
        <v>23.71366951798376</v>
      </c>
      <c r="J133" s="65">
        <f t="shared" si="102"/>
        <v>23.603748255350304</v>
      </c>
      <c r="K133" s="65">
        <f t="shared" si="102"/>
        <v>23.524648535091377</v>
      </c>
      <c r="L133" s="65">
        <f t="shared" si="102"/>
        <v>23.696591040648091</v>
      </c>
      <c r="M133" s="65">
        <f t="shared" si="102"/>
        <v>23.676390559710384</v>
      </c>
      <c r="N133" s="65">
        <f t="shared" si="102"/>
        <v>23.743915512535995</v>
      </c>
      <c r="O133" s="65">
        <f t="shared" si="102"/>
        <v>23.645121779041794</v>
      </c>
      <c r="P133" s="65">
        <f t="shared" si="102"/>
        <v>23.793745012972909</v>
      </c>
      <c r="Q133" s="65">
        <f t="shared" si="102"/>
        <v>23.796868083465093</v>
      </c>
      <c r="R133" s="65">
        <f t="shared" si="102"/>
        <v>23.655373306936628</v>
      </c>
      <c r="S133" s="65">
        <f t="shared" si="102"/>
        <v>23.300363732100614</v>
      </c>
      <c r="T133" s="65">
        <f t="shared" si="102"/>
        <v>23.116520006385734</v>
      </c>
      <c r="U133" s="65">
        <f t="shared" si="102"/>
        <v>22.769155929522267</v>
      </c>
      <c r="V133" s="65">
        <f t="shared" si="102"/>
        <v>20.436709389703157</v>
      </c>
      <c r="W133" s="65">
        <f t="shared" si="102"/>
        <v>22.723463539773434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22.175623183351927</v>
      </c>
      <c r="C134" s="67">
        <f t="shared" ref="C134:W134" si="104">IF(C104=0,0,C104/C$26)</f>
        <v>21.553489935129878</v>
      </c>
      <c r="D134" s="67">
        <f t="shared" si="104"/>
        <v>21.048797990179033</v>
      </c>
      <c r="E134" s="67">
        <f t="shared" si="104"/>
        <v>20.705624471465807</v>
      </c>
      <c r="F134" s="67">
        <f t="shared" si="104"/>
        <v>20.575542526089048</v>
      </c>
      <c r="G134" s="67">
        <f t="shared" si="104"/>
        <v>20.251417694077027</v>
      </c>
      <c r="H134" s="67">
        <f t="shared" si="104"/>
        <v>20.212915377671642</v>
      </c>
      <c r="I134" s="67">
        <f t="shared" si="104"/>
        <v>19.790586268625709</v>
      </c>
      <c r="J134" s="67">
        <f t="shared" si="104"/>
        <v>19.505252089982701</v>
      </c>
      <c r="K134" s="67">
        <f t="shared" si="104"/>
        <v>19.499454597859074</v>
      </c>
      <c r="L134" s="67">
        <f t="shared" si="104"/>
        <v>19.174670358461714</v>
      </c>
      <c r="M134" s="67">
        <f t="shared" si="104"/>
        <v>19.295818615791223</v>
      </c>
      <c r="N134" s="67">
        <f t="shared" si="104"/>
        <v>19.162765377854985</v>
      </c>
      <c r="O134" s="67">
        <f t="shared" si="104"/>
        <v>18.91802845190475</v>
      </c>
      <c r="P134" s="67">
        <f t="shared" si="104"/>
        <v>19.041551579350461</v>
      </c>
      <c r="Q134" s="67">
        <f t="shared" si="104"/>
        <v>19.176467179175756</v>
      </c>
      <c r="R134" s="67">
        <f t="shared" si="104"/>
        <v>19.57009634478873</v>
      </c>
      <c r="S134" s="67">
        <f t="shared" si="104"/>
        <v>19.368664375127693</v>
      </c>
      <c r="T134" s="67">
        <f t="shared" si="104"/>
        <v>19.184936196767193</v>
      </c>
      <c r="U134" s="67">
        <f t="shared" si="104"/>
        <v>19.529225601417824</v>
      </c>
      <c r="V134" s="67">
        <f t="shared" si="104"/>
        <v>17.716869046434851</v>
      </c>
      <c r="W134" s="67">
        <f t="shared" si="104"/>
        <v>19.570270188019865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60.342433107618795</v>
      </c>
      <c r="C135" s="68">
        <f t="shared" ref="C135:W135" si="106">IF(C105=0,0,C105/C$26)</f>
        <v>62.904462438700747</v>
      </c>
      <c r="D135" s="68">
        <f t="shared" si="106"/>
        <v>65.657690960849209</v>
      </c>
      <c r="E135" s="68">
        <f t="shared" si="106"/>
        <v>68.344588145962533</v>
      </c>
      <c r="F135" s="68">
        <f t="shared" si="106"/>
        <v>70.815194480439885</v>
      </c>
      <c r="G135" s="68">
        <f t="shared" si="106"/>
        <v>74.012905055983424</v>
      </c>
      <c r="H135" s="68">
        <f t="shared" si="106"/>
        <v>75.32278024949666</v>
      </c>
      <c r="I135" s="68">
        <f t="shared" si="106"/>
        <v>76.306224424827988</v>
      </c>
      <c r="J135" s="68">
        <f t="shared" si="106"/>
        <v>77.690099269668778</v>
      </c>
      <c r="K135" s="68">
        <f t="shared" si="106"/>
        <v>80.122933743665968</v>
      </c>
      <c r="L135" s="68">
        <f t="shared" si="106"/>
        <v>81.583190541813437</v>
      </c>
      <c r="M135" s="68">
        <f t="shared" si="106"/>
        <v>81.671207992727417</v>
      </c>
      <c r="N135" s="68">
        <f t="shared" si="106"/>
        <v>82.902779131328259</v>
      </c>
      <c r="O135" s="68">
        <f t="shared" si="106"/>
        <v>84.250981330646098</v>
      </c>
      <c r="P135" s="68">
        <f t="shared" si="106"/>
        <v>84.607230831369804</v>
      </c>
      <c r="Q135" s="68">
        <f t="shared" si="106"/>
        <v>85.468446116461806</v>
      </c>
      <c r="R135" s="68">
        <f t="shared" si="106"/>
        <v>85.213186627614476</v>
      </c>
      <c r="S135" s="68">
        <f t="shared" si="106"/>
        <v>87.275362920244703</v>
      </c>
      <c r="T135" s="68">
        <f t="shared" si="106"/>
        <v>87.374638561140912</v>
      </c>
      <c r="U135" s="68">
        <f t="shared" si="106"/>
        <v>87.830057653795322</v>
      </c>
      <c r="V135" s="68">
        <f t="shared" si="106"/>
        <v>83.00477134730636</v>
      </c>
      <c r="W135" s="68">
        <f t="shared" si="106"/>
        <v>83.205174029059094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157.92773101827419</v>
      </c>
      <c r="C137" s="85">
        <f t="shared" ref="C137:W137" si="108">IF(C107=0,0,C107/C$26)</f>
        <v>172.29032803378396</v>
      </c>
      <c r="D137" s="85">
        <f t="shared" si="108"/>
        <v>175.75318257995428</v>
      </c>
      <c r="E137" s="85">
        <f t="shared" si="108"/>
        <v>174.80928182849149</v>
      </c>
      <c r="F137" s="85">
        <f t="shared" si="108"/>
        <v>171.99217618062639</v>
      </c>
      <c r="G137" s="85">
        <f t="shared" si="108"/>
        <v>168.44397405017128</v>
      </c>
      <c r="H137" s="85">
        <f t="shared" si="108"/>
        <v>170.22331033208334</v>
      </c>
      <c r="I137" s="85">
        <f t="shared" si="108"/>
        <v>179.07981486328651</v>
      </c>
      <c r="J137" s="85">
        <f t="shared" si="108"/>
        <v>176.29908692056375</v>
      </c>
      <c r="K137" s="85">
        <f t="shared" si="108"/>
        <v>194.9538790040306</v>
      </c>
      <c r="L137" s="85">
        <f t="shared" si="108"/>
        <v>208.23438201233188</v>
      </c>
      <c r="M137" s="85">
        <f t="shared" si="108"/>
        <v>183.17528237471251</v>
      </c>
      <c r="N137" s="85">
        <f t="shared" si="108"/>
        <v>198.56957701046215</v>
      </c>
      <c r="O137" s="85">
        <f t="shared" si="108"/>
        <v>188.32650410668299</v>
      </c>
      <c r="P137" s="85">
        <f t="shared" si="108"/>
        <v>195.28031790637652</v>
      </c>
      <c r="Q137" s="85">
        <f t="shared" si="108"/>
        <v>181.98387829471176</v>
      </c>
      <c r="R137" s="85">
        <f t="shared" si="108"/>
        <v>194.65026554062646</v>
      </c>
      <c r="S137" s="85">
        <f t="shared" si="108"/>
        <v>191.75750086062564</v>
      </c>
      <c r="T137" s="85">
        <f t="shared" si="108"/>
        <v>198.27531349962996</v>
      </c>
      <c r="U137" s="85">
        <f t="shared" si="108"/>
        <v>192.07680781194122</v>
      </c>
      <c r="V137" s="85">
        <f t="shared" si="108"/>
        <v>175.42942845342878</v>
      </c>
      <c r="W137" s="85">
        <f t="shared" si="108"/>
        <v>201.83348968175767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122.47326651736523</v>
      </c>
      <c r="C138" s="65">
        <f t="shared" ref="C138:W138" si="110">IF(C108=0,0,C108/C$26)</f>
        <v>137.11527289086604</v>
      </c>
      <c r="D138" s="65">
        <f t="shared" si="110"/>
        <v>140.79954673080729</v>
      </c>
      <c r="E138" s="65">
        <f t="shared" si="110"/>
        <v>139.63984876045654</v>
      </c>
      <c r="F138" s="65">
        <f t="shared" si="110"/>
        <v>136.89068664416985</v>
      </c>
      <c r="G138" s="65">
        <f t="shared" si="110"/>
        <v>133.07225872348016</v>
      </c>
      <c r="H138" s="65">
        <f t="shared" si="110"/>
        <v>134.58761942798432</v>
      </c>
      <c r="I138" s="65">
        <f t="shared" si="110"/>
        <v>143.33919271538377</v>
      </c>
      <c r="J138" s="65">
        <f t="shared" si="110"/>
        <v>140.21736686677713</v>
      </c>
      <c r="K138" s="65">
        <f t="shared" si="110"/>
        <v>158.48614036411962</v>
      </c>
      <c r="L138" s="65">
        <f t="shared" si="110"/>
        <v>171.19207678189599</v>
      </c>
      <c r="M138" s="65">
        <f t="shared" si="110"/>
        <v>146.11766654663739</v>
      </c>
      <c r="N138" s="65">
        <f t="shared" si="110"/>
        <v>161.36045119911057</v>
      </c>
      <c r="O138" s="65">
        <f t="shared" si="110"/>
        <v>151.0056898708084</v>
      </c>
      <c r="P138" s="65">
        <f t="shared" si="110"/>
        <v>157.35431476388473</v>
      </c>
      <c r="Q138" s="65">
        <f t="shared" si="110"/>
        <v>143.64326579675429</v>
      </c>
      <c r="R138" s="65">
        <f t="shared" si="110"/>
        <v>155.63343965445196</v>
      </c>
      <c r="S138" s="65">
        <f t="shared" si="110"/>
        <v>152.79075177637398</v>
      </c>
      <c r="T138" s="65">
        <f t="shared" si="110"/>
        <v>159.13006269772924</v>
      </c>
      <c r="U138" s="65">
        <f t="shared" si="110"/>
        <v>152.43377373409439</v>
      </c>
      <c r="V138" s="65">
        <f t="shared" si="110"/>
        <v>138.564317733705</v>
      </c>
      <c r="W138" s="65">
        <f t="shared" si="110"/>
        <v>161.27778537039006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2.7513325211861845</v>
      </c>
      <c r="C139" s="65">
        <f t="shared" ref="C139:W139" si="112">IF(C109=0,0,C109/C$26)</f>
        <v>2.8797590502419981</v>
      </c>
      <c r="D139" s="65">
        <f t="shared" si="112"/>
        <v>3.0926219488833309</v>
      </c>
      <c r="E139" s="65">
        <f t="shared" si="112"/>
        <v>3.4565638984398386</v>
      </c>
      <c r="F139" s="65">
        <f t="shared" si="112"/>
        <v>3.5532456445473124</v>
      </c>
      <c r="G139" s="65">
        <f t="shared" si="112"/>
        <v>3.9004034200731343</v>
      </c>
      <c r="H139" s="65">
        <f t="shared" si="112"/>
        <v>4.2118806688824408</v>
      </c>
      <c r="I139" s="65">
        <f t="shared" si="112"/>
        <v>4.6263749985768046</v>
      </c>
      <c r="J139" s="65">
        <f t="shared" si="112"/>
        <v>5.1137766806251221</v>
      </c>
      <c r="K139" s="65">
        <f t="shared" si="112"/>
        <v>5.3874778042600324</v>
      </c>
      <c r="L139" s="65">
        <f t="shared" si="112"/>
        <v>5.9700494063809586</v>
      </c>
      <c r="M139" s="65">
        <f t="shared" si="112"/>
        <v>5.7705428886216819</v>
      </c>
      <c r="N139" s="65">
        <f t="shared" si="112"/>
        <v>5.7769508498538187</v>
      </c>
      <c r="O139" s="65">
        <f t="shared" si="112"/>
        <v>5.914601901785379</v>
      </c>
      <c r="P139" s="65">
        <f t="shared" si="112"/>
        <v>6.1711175068121671</v>
      </c>
      <c r="Q139" s="65">
        <f t="shared" si="112"/>
        <v>6.2958045905615494</v>
      </c>
      <c r="R139" s="65">
        <f t="shared" si="112"/>
        <v>6.517773415203683</v>
      </c>
      <c r="S139" s="65">
        <f t="shared" si="112"/>
        <v>6.5229715198679967</v>
      </c>
      <c r="T139" s="65">
        <f t="shared" si="112"/>
        <v>6.5224512098764844</v>
      </c>
      <c r="U139" s="65">
        <f t="shared" si="112"/>
        <v>6.617546420932805</v>
      </c>
      <c r="V139" s="65">
        <f t="shared" si="112"/>
        <v>6.6656363286438003</v>
      </c>
      <c r="W139" s="65">
        <f t="shared" si="112"/>
        <v>6.5956329798633444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17.029850927813701</v>
      </c>
      <c r="C140" s="65">
        <f t="shared" ref="C140:W140" si="114">IF(C110=0,0,C110/C$26)</f>
        <v>17.030600166373503</v>
      </c>
      <c r="D140" s="65">
        <f t="shared" si="114"/>
        <v>16.922518941623437</v>
      </c>
      <c r="E140" s="65">
        <f t="shared" si="114"/>
        <v>16.983247989519953</v>
      </c>
      <c r="F140" s="65">
        <f t="shared" si="114"/>
        <v>16.870962177801136</v>
      </c>
      <c r="G140" s="65">
        <f t="shared" si="114"/>
        <v>16.982841551502979</v>
      </c>
      <c r="H140" s="65">
        <f t="shared" si="114"/>
        <v>16.913033218233647</v>
      </c>
      <c r="I140" s="65">
        <f t="shared" si="114"/>
        <v>16.855412442311671</v>
      </c>
      <c r="J140" s="65">
        <f t="shared" si="114"/>
        <v>16.86066845309087</v>
      </c>
      <c r="K140" s="65">
        <f t="shared" si="114"/>
        <v>16.910615021707578</v>
      </c>
      <c r="L140" s="65">
        <f t="shared" si="114"/>
        <v>17.088941485932587</v>
      </c>
      <c r="M140" s="65">
        <f t="shared" si="114"/>
        <v>17.188233057030168</v>
      </c>
      <c r="N140" s="65">
        <f t="shared" si="114"/>
        <v>17.398638482999104</v>
      </c>
      <c r="O140" s="65">
        <f t="shared" si="114"/>
        <v>17.504274378540245</v>
      </c>
      <c r="P140" s="65">
        <f t="shared" si="114"/>
        <v>17.698263495768202</v>
      </c>
      <c r="Q140" s="65">
        <f t="shared" si="114"/>
        <v>17.810726600347827</v>
      </c>
      <c r="R140" s="65">
        <f t="shared" si="114"/>
        <v>17.865364513878056</v>
      </c>
      <c r="S140" s="65">
        <f t="shared" si="114"/>
        <v>17.839290959667661</v>
      </c>
      <c r="T140" s="65">
        <f t="shared" si="114"/>
        <v>17.984924029990875</v>
      </c>
      <c r="U140" s="65">
        <f t="shared" si="114"/>
        <v>17.933411943654843</v>
      </c>
      <c r="V140" s="65">
        <f t="shared" si="114"/>
        <v>16.332747661935098</v>
      </c>
      <c r="W140" s="65">
        <f t="shared" si="114"/>
        <v>18.458369789149156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15.673281051909047</v>
      </c>
      <c r="C141" s="68">
        <f t="shared" ref="C141:W141" si="116">IF(C111=0,0,C111/C$26)</f>
        <v>15.264695926302469</v>
      </c>
      <c r="D141" s="68">
        <f t="shared" si="116"/>
        <v>14.938494958640197</v>
      </c>
      <c r="E141" s="68">
        <f t="shared" si="116"/>
        <v>14.729621180075126</v>
      </c>
      <c r="F141" s="68">
        <f t="shared" si="116"/>
        <v>14.6772817141081</v>
      </c>
      <c r="G141" s="68">
        <f t="shared" si="116"/>
        <v>14.48847035511502</v>
      </c>
      <c r="H141" s="68">
        <f t="shared" si="116"/>
        <v>14.510777016982932</v>
      </c>
      <c r="I141" s="68">
        <f t="shared" si="116"/>
        <v>14.258834707014245</v>
      </c>
      <c r="J141" s="68">
        <f t="shared" si="116"/>
        <v>14.10727492007063</v>
      </c>
      <c r="K141" s="68">
        <f t="shared" si="116"/>
        <v>14.169645813943367</v>
      </c>
      <c r="L141" s="68">
        <f t="shared" si="116"/>
        <v>13.983314338122364</v>
      </c>
      <c r="M141" s="68">
        <f t="shared" si="116"/>
        <v>14.098839882423237</v>
      </c>
      <c r="N141" s="68">
        <f t="shared" si="116"/>
        <v>14.033536478498684</v>
      </c>
      <c r="O141" s="68">
        <f t="shared" si="116"/>
        <v>13.901937955548961</v>
      </c>
      <c r="P141" s="68">
        <f t="shared" si="116"/>
        <v>14.056622139911358</v>
      </c>
      <c r="Q141" s="68">
        <f t="shared" si="116"/>
        <v>14.234081307048084</v>
      </c>
      <c r="R141" s="68">
        <f t="shared" si="116"/>
        <v>14.633687957092754</v>
      </c>
      <c r="S141" s="68">
        <f t="shared" si="116"/>
        <v>14.604486604715969</v>
      </c>
      <c r="T141" s="68">
        <f t="shared" si="116"/>
        <v>14.637875562033372</v>
      </c>
      <c r="U141" s="68">
        <f t="shared" si="116"/>
        <v>15.09207571325922</v>
      </c>
      <c r="V141" s="68">
        <f t="shared" si="116"/>
        <v>13.866726729144899</v>
      </c>
      <c r="W141" s="68">
        <f t="shared" si="116"/>
        <v>15.501701542355109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12.357776864509676</v>
      </c>
      <c r="C143" s="82">
        <f t="shared" ref="C143:W143" si="118">IF(C113=0,0,C113/C$26)</f>
        <v>12.697376317464677</v>
      </c>
      <c r="D143" s="82">
        <f t="shared" si="118"/>
        <v>12.397613547227913</v>
      </c>
      <c r="E143" s="82">
        <f t="shared" si="118"/>
        <v>12.075814821815037</v>
      </c>
      <c r="F143" s="82">
        <f t="shared" si="118"/>
        <v>11.54524379756992</v>
      </c>
      <c r="G143" s="82">
        <f t="shared" si="118"/>
        <v>10.85322024967936</v>
      </c>
      <c r="H143" s="82">
        <f t="shared" si="118"/>
        <v>10.540222872658038</v>
      </c>
      <c r="I143" s="82">
        <f t="shared" si="118"/>
        <v>9.8790944933452494</v>
      </c>
      <c r="J143" s="82">
        <f t="shared" si="118"/>
        <v>8.3449595358169812</v>
      </c>
      <c r="K143" s="82">
        <f t="shared" si="118"/>
        <v>8.8551334042514647</v>
      </c>
      <c r="L143" s="82">
        <f t="shared" si="118"/>
        <v>10.30974524886822</v>
      </c>
      <c r="M143" s="82">
        <f t="shared" si="118"/>
        <v>9.0200799342285016</v>
      </c>
      <c r="N143" s="82">
        <f t="shared" si="118"/>
        <v>9.7212794037151227</v>
      </c>
      <c r="O143" s="82">
        <f t="shared" si="118"/>
        <v>8.7971770144965227</v>
      </c>
      <c r="P143" s="82">
        <f t="shared" si="118"/>
        <v>8.6633596505155417</v>
      </c>
      <c r="Q143" s="82">
        <f t="shared" si="118"/>
        <v>7.9811361071548674</v>
      </c>
      <c r="R143" s="82">
        <f t="shared" si="118"/>
        <v>8.6837135021304785</v>
      </c>
      <c r="S143" s="82">
        <f t="shared" si="118"/>
        <v>8.4902187057898164</v>
      </c>
      <c r="T143" s="82">
        <f t="shared" si="118"/>
        <v>8.3024515065794944</v>
      </c>
      <c r="U143" s="82">
        <f t="shared" si="118"/>
        <v>8.1919579250003025</v>
      </c>
      <c r="V143" s="82">
        <f t="shared" si="118"/>
        <v>7.3669690911491577</v>
      </c>
      <c r="W143" s="82">
        <f t="shared" si="118"/>
        <v>8.4187801689584418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12.357776864509676</v>
      </c>
      <c r="C144" s="64">
        <f t="shared" ref="C144:W144" si="120">IF(C114=0,0,C114/C$26)</f>
        <v>12.697376317464677</v>
      </c>
      <c r="D144" s="64">
        <f t="shared" si="120"/>
        <v>12.397613547227913</v>
      </c>
      <c r="E144" s="64">
        <f t="shared" si="120"/>
        <v>12.075814821815037</v>
      </c>
      <c r="F144" s="64">
        <f t="shared" si="120"/>
        <v>11.54524379756992</v>
      </c>
      <c r="G144" s="64">
        <f t="shared" si="120"/>
        <v>10.85322024967936</v>
      </c>
      <c r="H144" s="64">
        <f t="shared" si="120"/>
        <v>10.540222872658038</v>
      </c>
      <c r="I144" s="64">
        <f t="shared" si="120"/>
        <v>9.8790944933452494</v>
      </c>
      <c r="J144" s="64">
        <f t="shared" si="120"/>
        <v>8.3449595358169812</v>
      </c>
      <c r="K144" s="64">
        <f t="shared" si="120"/>
        <v>8.8551334042514647</v>
      </c>
      <c r="L144" s="64">
        <f t="shared" si="120"/>
        <v>10.30974524886822</v>
      </c>
      <c r="M144" s="64">
        <f t="shared" si="120"/>
        <v>9.0200799342285016</v>
      </c>
      <c r="N144" s="64">
        <f t="shared" si="120"/>
        <v>9.7212794037151227</v>
      </c>
      <c r="O144" s="64">
        <f t="shared" si="120"/>
        <v>8.7971770144965227</v>
      </c>
      <c r="P144" s="64">
        <f t="shared" si="120"/>
        <v>8.6633596505155417</v>
      </c>
      <c r="Q144" s="64">
        <f t="shared" si="120"/>
        <v>7.9811361071548674</v>
      </c>
      <c r="R144" s="64">
        <f t="shared" si="120"/>
        <v>8.6837135021304785</v>
      </c>
      <c r="S144" s="64">
        <f t="shared" si="120"/>
        <v>8.4902187057898164</v>
      </c>
      <c r="T144" s="64">
        <f t="shared" si="120"/>
        <v>8.3024515065794944</v>
      </c>
      <c r="U144" s="64">
        <f t="shared" si="120"/>
        <v>8.1919579250003025</v>
      </c>
      <c r="V144" s="64">
        <f t="shared" si="120"/>
        <v>7.3669690911491577</v>
      </c>
      <c r="W144" s="64">
        <f t="shared" si="120"/>
        <v>8.4187801689584418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11.473460834603017</v>
      </c>
      <c r="C145" s="65">
        <f t="shared" ref="C145:W145" si="122">IF(C115=0,0,C115/C$26)</f>
        <v>11.799564700291155</v>
      </c>
      <c r="D145" s="65">
        <f t="shared" si="122"/>
        <v>11.482032526842577</v>
      </c>
      <c r="E145" s="65">
        <f t="shared" si="122"/>
        <v>11.158497039629099</v>
      </c>
      <c r="F145" s="65">
        <f t="shared" si="122"/>
        <v>10.640088203035512</v>
      </c>
      <c r="G145" s="65">
        <f t="shared" si="122"/>
        <v>9.9565389437001688</v>
      </c>
      <c r="H145" s="65">
        <f t="shared" si="122"/>
        <v>9.6447646546515813</v>
      </c>
      <c r="I145" s="65">
        <f t="shared" si="122"/>
        <v>9.0023690527592137</v>
      </c>
      <c r="J145" s="65">
        <f t="shared" si="122"/>
        <v>7.4585722386661102</v>
      </c>
      <c r="K145" s="65">
        <f t="shared" si="122"/>
        <v>8.0009413535242366</v>
      </c>
      <c r="L145" s="65">
        <f t="shared" si="122"/>
        <v>9.4102471833918315</v>
      </c>
      <c r="M145" s="65">
        <f t="shared" si="122"/>
        <v>8.1259919690199194</v>
      </c>
      <c r="N145" s="65">
        <f t="shared" si="122"/>
        <v>8.866261957030714</v>
      </c>
      <c r="O145" s="65">
        <f t="shared" si="122"/>
        <v>7.9412052105362001</v>
      </c>
      <c r="P145" s="65">
        <f t="shared" si="122"/>
        <v>7.8474832938830286</v>
      </c>
      <c r="Q145" s="65">
        <f t="shared" si="122"/>
        <v>7.175258333010702</v>
      </c>
      <c r="R145" s="65">
        <f t="shared" si="122"/>
        <v>7.8811099864976315</v>
      </c>
      <c r="S145" s="65">
        <f t="shared" si="122"/>
        <v>7.7888792108111859</v>
      </c>
      <c r="T145" s="65">
        <f t="shared" si="122"/>
        <v>7.7026966250408382</v>
      </c>
      <c r="U145" s="65">
        <f t="shared" si="122"/>
        <v>7.6232449579441939</v>
      </c>
      <c r="V145" s="65">
        <f t="shared" si="122"/>
        <v>6.8679113993472019</v>
      </c>
      <c r="W145" s="65">
        <f t="shared" si="122"/>
        <v>7.8614034850747796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0.79261591384255747</v>
      </c>
      <c r="C147" s="65">
        <f t="shared" ref="C147:W147" si="126">IF(C117=0,0,C117/C$26)</f>
        <v>0.79945260209394431</v>
      </c>
      <c r="D147" s="65">
        <f t="shared" si="126"/>
        <v>0.81949140414494981</v>
      </c>
      <c r="E147" s="65">
        <f t="shared" si="126"/>
        <v>0.82429671094466939</v>
      </c>
      <c r="F147" s="65">
        <f t="shared" si="126"/>
        <v>0.81530929433293886</v>
      </c>
      <c r="G147" s="65">
        <f t="shared" si="126"/>
        <v>0.80538443122561576</v>
      </c>
      <c r="H147" s="65">
        <f t="shared" si="126"/>
        <v>0.80457857701901292</v>
      </c>
      <c r="I147" s="65">
        <f t="shared" si="126"/>
        <v>0.78986215014081496</v>
      </c>
      <c r="J147" s="65">
        <f t="shared" si="126"/>
        <v>0.80220194098794417</v>
      </c>
      <c r="K147" s="65">
        <f t="shared" si="126"/>
        <v>0.77487911043956026</v>
      </c>
      <c r="L147" s="65">
        <f t="shared" si="126"/>
        <v>0.82343838058316088</v>
      </c>
      <c r="M147" s="65">
        <f t="shared" si="126"/>
        <v>0.82566518339345074</v>
      </c>
      <c r="N147" s="65">
        <f t="shared" si="126"/>
        <v>0.79941874135802848</v>
      </c>
      <c r="O147" s="65">
        <f t="shared" si="126"/>
        <v>0.79174574534495645</v>
      </c>
      <c r="P147" s="65">
        <f t="shared" si="126"/>
        <v>0.75828802504610859</v>
      </c>
      <c r="Q147" s="65">
        <f t="shared" si="126"/>
        <v>0.74684846568746621</v>
      </c>
      <c r="R147" s="65">
        <f t="shared" si="126"/>
        <v>0.74492972929646784</v>
      </c>
      <c r="S147" s="65">
        <f t="shared" si="126"/>
        <v>0.64854056634101309</v>
      </c>
      <c r="T147" s="65">
        <f t="shared" si="126"/>
        <v>0.5561288321700113</v>
      </c>
      <c r="U147" s="65">
        <f t="shared" si="126"/>
        <v>0.52449999850357532</v>
      </c>
      <c r="V147" s="65">
        <f t="shared" si="126"/>
        <v>0.45792746498341697</v>
      </c>
      <c r="W147" s="65">
        <f t="shared" si="126"/>
        <v>0.50376904560892199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9.1700116064101556E-2</v>
      </c>
      <c r="C148" s="67">
        <f t="shared" ref="C148:W148" si="128">IF(C118=0,0,C118/C$26)</f>
        <v>9.8359015079577242E-2</v>
      </c>
      <c r="D148" s="67">
        <f t="shared" si="128"/>
        <v>9.6089616240385686E-2</v>
      </c>
      <c r="E148" s="67">
        <f t="shared" si="128"/>
        <v>9.3021071241266212E-2</v>
      </c>
      <c r="F148" s="67">
        <f t="shared" si="128"/>
        <v>8.9846300201467305E-2</v>
      </c>
      <c r="G148" s="67">
        <f t="shared" si="128"/>
        <v>9.1296874753575355E-2</v>
      </c>
      <c r="H148" s="67">
        <f t="shared" si="128"/>
        <v>9.0879640987444804E-2</v>
      </c>
      <c r="I148" s="67">
        <f t="shared" si="128"/>
        <v>8.6863290445219607E-2</v>
      </c>
      <c r="J148" s="67">
        <f t="shared" si="128"/>
        <v>8.4185356162928354E-2</v>
      </c>
      <c r="K148" s="67">
        <f t="shared" si="128"/>
        <v>7.9312940287668318E-2</v>
      </c>
      <c r="L148" s="67">
        <f t="shared" si="128"/>
        <v>7.6059684893228827E-2</v>
      </c>
      <c r="M148" s="67">
        <f t="shared" si="128"/>
        <v>6.8422781815132339E-2</v>
      </c>
      <c r="N148" s="67">
        <f t="shared" si="128"/>
        <v>5.5598705326379352E-2</v>
      </c>
      <c r="O148" s="67">
        <f t="shared" si="128"/>
        <v>6.4226058615365622E-2</v>
      </c>
      <c r="P148" s="67">
        <f t="shared" si="128"/>
        <v>5.7588331586404432E-2</v>
      </c>
      <c r="Q148" s="67">
        <f t="shared" si="128"/>
        <v>5.9029308456700333E-2</v>
      </c>
      <c r="R148" s="67">
        <f t="shared" si="128"/>
        <v>5.7673786336378319E-2</v>
      </c>
      <c r="S148" s="67">
        <f t="shared" si="128"/>
        <v>5.2798928637617433E-2</v>
      </c>
      <c r="T148" s="67">
        <f t="shared" si="128"/>
        <v>4.3626049368644594E-2</v>
      </c>
      <c r="U148" s="67">
        <f t="shared" si="128"/>
        <v>4.4212968552533191E-2</v>
      </c>
      <c r="V148" s="67">
        <f t="shared" si="128"/>
        <v>4.1130226818538659E-2</v>
      </c>
      <c r="W148" s="67">
        <f t="shared" si="128"/>
        <v>5.3607638274740417E-2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17270.924957020594</v>
      </c>
      <c r="C153" s="82">
        <f t="shared" ref="C153:W153" si="132">IF(C99=0,0,C99/C$23)</f>
        <v>18307.325714777857</v>
      </c>
      <c r="D153" s="82">
        <f t="shared" si="132"/>
        <v>18381.1170686519</v>
      </c>
      <c r="E153" s="82">
        <f t="shared" si="132"/>
        <v>18302.955497078783</v>
      </c>
      <c r="F153" s="82">
        <f t="shared" si="132"/>
        <v>18138.175909747504</v>
      </c>
      <c r="G153" s="82">
        <f t="shared" si="132"/>
        <v>17778.939004600088</v>
      </c>
      <c r="H153" s="82">
        <f t="shared" si="132"/>
        <v>17800.251994082406</v>
      </c>
      <c r="I153" s="82">
        <f t="shared" si="132"/>
        <v>18197.874612171829</v>
      </c>
      <c r="J153" s="82">
        <f t="shared" si="132"/>
        <v>17573.785213802057</v>
      </c>
      <c r="K153" s="82">
        <f t="shared" si="132"/>
        <v>19201.751206040408</v>
      </c>
      <c r="L153" s="82">
        <f t="shared" si="132"/>
        <v>20359.5972147541</v>
      </c>
      <c r="M153" s="82">
        <f t="shared" si="132"/>
        <v>18125.817599068632</v>
      </c>
      <c r="N153" s="82">
        <f t="shared" si="132"/>
        <v>19024.798766786214</v>
      </c>
      <c r="O153" s="82">
        <f t="shared" si="132"/>
        <v>18189.543474906612</v>
      </c>
      <c r="P153" s="82">
        <f t="shared" si="132"/>
        <v>18634.573079455808</v>
      </c>
      <c r="Q153" s="82">
        <f t="shared" si="132"/>
        <v>17601.703075602294</v>
      </c>
      <c r="R153" s="82">
        <f t="shared" si="132"/>
        <v>18394.414450453412</v>
      </c>
      <c r="S153" s="82">
        <f t="shared" si="132"/>
        <v>18097.718958157446</v>
      </c>
      <c r="T153" s="82">
        <f t="shared" si="132"/>
        <v>18056.068002252065</v>
      </c>
      <c r="U153" s="82">
        <f t="shared" si="132"/>
        <v>17269.413238353354</v>
      </c>
      <c r="V153" s="82">
        <f t="shared" si="132"/>
        <v>16204.812156633934</v>
      </c>
      <c r="W153" s="82">
        <f t="shared" si="132"/>
        <v>17435.689187086133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13718.690733552228</v>
      </c>
      <c r="C154" s="64">
        <f t="shared" ref="C154:W154" si="134">IF(C100=0,0,C100/C$23)</f>
        <v>14648.724623452776</v>
      </c>
      <c r="D154" s="64">
        <f t="shared" si="134"/>
        <v>14615.9097042267</v>
      </c>
      <c r="E154" s="64">
        <f t="shared" si="134"/>
        <v>14389.60868551792</v>
      </c>
      <c r="F154" s="64">
        <f t="shared" si="134"/>
        <v>14077.678068531</v>
      </c>
      <c r="G154" s="64">
        <f t="shared" si="134"/>
        <v>13562.386024930958</v>
      </c>
      <c r="H154" s="64">
        <f t="shared" si="134"/>
        <v>13523.705249214099</v>
      </c>
      <c r="I154" s="64">
        <f t="shared" si="134"/>
        <v>13896.808035633803</v>
      </c>
      <c r="J154" s="64">
        <f t="shared" si="134"/>
        <v>13260.067064765604</v>
      </c>
      <c r="K154" s="64">
        <f t="shared" si="134"/>
        <v>14701.966609554082</v>
      </c>
      <c r="L154" s="64">
        <f t="shared" si="134"/>
        <v>15744.223010625579</v>
      </c>
      <c r="M154" s="64">
        <f t="shared" si="134"/>
        <v>13554.79165127239</v>
      </c>
      <c r="N154" s="64">
        <f t="shared" si="134"/>
        <v>14426.764645001762</v>
      </c>
      <c r="O154" s="64">
        <f t="shared" si="134"/>
        <v>13501.874007719607</v>
      </c>
      <c r="P154" s="64">
        <f t="shared" si="134"/>
        <v>13915.247764546333</v>
      </c>
      <c r="Q154" s="64">
        <f t="shared" si="134"/>
        <v>12831.033201095603</v>
      </c>
      <c r="R154" s="64">
        <f t="shared" si="134"/>
        <v>13637.91545428612</v>
      </c>
      <c r="S154" s="64">
        <f t="shared" si="134"/>
        <v>13241.004405679765</v>
      </c>
      <c r="T154" s="64">
        <f t="shared" si="134"/>
        <v>13281.881876518795</v>
      </c>
      <c r="U154" s="64">
        <f t="shared" si="134"/>
        <v>12531.091525129224</v>
      </c>
      <c r="V154" s="64">
        <f t="shared" si="134"/>
        <v>11591.103694632635</v>
      </c>
      <c r="W154" s="64">
        <f t="shared" si="134"/>
        <v>12910.698336938671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10860.106658520339</v>
      </c>
      <c r="C155" s="65">
        <f t="shared" ref="C155:W155" si="136">IF(C101=0,0,C101/C$23)</f>
        <v>11866.4355626694</v>
      </c>
      <c r="D155" s="65">
        <f t="shared" si="136"/>
        <v>11913.554274986238</v>
      </c>
      <c r="E155" s="65">
        <f t="shared" si="136"/>
        <v>11707.724293430179</v>
      </c>
      <c r="F155" s="65">
        <f t="shared" si="136"/>
        <v>11418.493915273637</v>
      </c>
      <c r="G155" s="65">
        <f t="shared" si="136"/>
        <v>10935.457879892418</v>
      </c>
      <c r="H155" s="65">
        <f t="shared" si="136"/>
        <v>10921.031784164627</v>
      </c>
      <c r="I155" s="65">
        <f t="shared" si="136"/>
        <v>11348.605545866889</v>
      </c>
      <c r="J155" s="65">
        <f t="shared" si="136"/>
        <v>10767.635658048779</v>
      </c>
      <c r="K155" s="65">
        <f t="shared" si="136"/>
        <v>12182.093156289333</v>
      </c>
      <c r="L155" s="65">
        <f t="shared" si="136"/>
        <v>13205.598977257827</v>
      </c>
      <c r="M155" s="65">
        <f t="shared" si="136"/>
        <v>11044.3689900625</v>
      </c>
      <c r="N155" s="65">
        <f t="shared" si="136"/>
        <v>11945.517347834018</v>
      </c>
      <c r="O155" s="65">
        <f t="shared" si="136"/>
        <v>11032.835652549738</v>
      </c>
      <c r="P155" s="65">
        <f t="shared" si="136"/>
        <v>11424.488127843601</v>
      </c>
      <c r="Q155" s="65">
        <f t="shared" si="136"/>
        <v>10332.963254384415</v>
      </c>
      <c r="R155" s="65">
        <f t="shared" si="136"/>
        <v>11126.03175392517</v>
      </c>
      <c r="S155" s="65">
        <f t="shared" si="136"/>
        <v>10771.135236633399</v>
      </c>
      <c r="T155" s="65">
        <f t="shared" si="136"/>
        <v>10879.763840028485</v>
      </c>
      <c r="U155" s="65">
        <f t="shared" si="136"/>
        <v>10160.526824036619</v>
      </c>
      <c r="V155" s="65">
        <f t="shared" si="136"/>
        <v>9380.6644699668232</v>
      </c>
      <c r="W155" s="65">
        <f t="shared" si="136"/>
        <v>10525.807893111865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85.201638900613204</v>
      </c>
      <c r="C156" s="65">
        <f t="shared" ref="C156:W156" si="138">IF(C102=0,0,C102/C$23)</f>
        <v>84.470079369384777</v>
      </c>
      <c r="D156" s="65">
        <f t="shared" si="138"/>
        <v>85.149361917577011</v>
      </c>
      <c r="E156" s="65">
        <f t="shared" si="138"/>
        <v>90.463560483003747</v>
      </c>
      <c r="F156" s="65">
        <f t="shared" si="138"/>
        <v>88.462873525827732</v>
      </c>
      <c r="G156" s="65">
        <f t="shared" si="138"/>
        <v>91.301884352205406</v>
      </c>
      <c r="H156" s="65">
        <f t="shared" si="138"/>
        <v>93.188364099721056</v>
      </c>
      <c r="I156" s="65">
        <f t="shared" si="138"/>
        <v>96.047348933277732</v>
      </c>
      <c r="J156" s="65">
        <f t="shared" si="138"/>
        <v>98.817819855533031</v>
      </c>
      <c r="K156" s="65">
        <f t="shared" si="138"/>
        <v>103.59652093644294</v>
      </c>
      <c r="L156" s="65">
        <f t="shared" si="138"/>
        <v>113.28478583624081</v>
      </c>
      <c r="M156" s="65">
        <f t="shared" si="138"/>
        <v>105.32681405605545</v>
      </c>
      <c r="N156" s="65">
        <f t="shared" si="138"/>
        <v>101.51546123002788</v>
      </c>
      <c r="O156" s="65">
        <f t="shared" si="138"/>
        <v>100.85252975057669</v>
      </c>
      <c r="P156" s="65">
        <f t="shared" si="138"/>
        <v>101.44021809749734</v>
      </c>
      <c r="Q156" s="65">
        <f t="shared" si="138"/>
        <v>99.388266396068502</v>
      </c>
      <c r="R156" s="65">
        <f t="shared" si="138"/>
        <v>99.089259216749824</v>
      </c>
      <c r="S156" s="65">
        <f t="shared" si="138"/>
        <v>95.415682810732449</v>
      </c>
      <c r="T156" s="65">
        <f t="shared" si="138"/>
        <v>90.74910118894293</v>
      </c>
      <c r="U156" s="65">
        <f t="shared" si="138"/>
        <v>88.619943270495526</v>
      </c>
      <c r="V156" s="65">
        <f t="shared" si="138"/>
        <v>89.723935301271013</v>
      </c>
      <c r="W156" s="65">
        <f t="shared" si="138"/>
        <v>84.808022630264176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1467.9493678598658</v>
      </c>
      <c r="C157" s="65">
        <f t="shared" ref="C157:W157" si="140">IF(C103=0,0,C103/C$23)</f>
        <v>1444.2414331538216</v>
      </c>
      <c r="D157" s="65">
        <f t="shared" si="140"/>
        <v>1410.1412430027924</v>
      </c>
      <c r="E157" s="65">
        <f t="shared" si="140"/>
        <v>1405.8362563676128</v>
      </c>
      <c r="F157" s="65">
        <f t="shared" si="140"/>
        <v>1390.9328653663151</v>
      </c>
      <c r="G157" s="65">
        <f t="shared" si="140"/>
        <v>1381.8926576627198</v>
      </c>
      <c r="H157" s="65">
        <f t="shared" si="140"/>
        <v>1361.8710965761161</v>
      </c>
      <c r="I157" s="65">
        <f t="shared" si="140"/>
        <v>1336.6415667878648</v>
      </c>
      <c r="J157" s="65">
        <f t="shared" si="140"/>
        <v>1310.590644001712</v>
      </c>
      <c r="K157" s="65">
        <f t="shared" si="140"/>
        <v>1321.1679374424677</v>
      </c>
      <c r="L157" s="65">
        <f t="shared" si="140"/>
        <v>1340.5780564408788</v>
      </c>
      <c r="M157" s="65">
        <f t="shared" si="140"/>
        <v>1325.1352374784449</v>
      </c>
      <c r="N157" s="65">
        <f t="shared" si="140"/>
        <v>1316.9080078541217</v>
      </c>
      <c r="O157" s="65">
        <f t="shared" si="140"/>
        <v>1315.5991023598283</v>
      </c>
      <c r="P157" s="65">
        <f t="shared" si="140"/>
        <v>1327.1965300463462</v>
      </c>
      <c r="Q157" s="65">
        <f t="shared" si="140"/>
        <v>1328.2913967887227</v>
      </c>
      <c r="R157" s="65">
        <f t="shared" si="140"/>
        <v>1320.4148775718247</v>
      </c>
      <c r="S157" s="65">
        <f t="shared" si="140"/>
        <v>1296.6226874258741</v>
      </c>
      <c r="T157" s="65">
        <f t="shared" si="140"/>
        <v>1263.096144454955</v>
      </c>
      <c r="U157" s="65">
        <f t="shared" si="140"/>
        <v>1228.3674725332394</v>
      </c>
      <c r="V157" s="65">
        <f t="shared" si="140"/>
        <v>1135.9469764962457</v>
      </c>
      <c r="W157" s="65">
        <f t="shared" si="140"/>
        <v>1235.7820989019697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1305.4330682714115</v>
      </c>
      <c r="C158" s="67">
        <f t="shared" ref="C158:W158" si="142">IF(C104=0,0,C104/C$23)</f>
        <v>1253.5775482601694</v>
      </c>
      <c r="D158" s="67">
        <f t="shared" si="142"/>
        <v>1207.0648243200933</v>
      </c>
      <c r="E158" s="67">
        <f t="shared" si="142"/>
        <v>1185.5845752371256</v>
      </c>
      <c r="F158" s="67">
        <f t="shared" si="142"/>
        <v>1179.7884143652207</v>
      </c>
      <c r="G158" s="67">
        <f t="shared" si="142"/>
        <v>1153.7336030236168</v>
      </c>
      <c r="H158" s="67">
        <f t="shared" si="142"/>
        <v>1147.6140043736352</v>
      </c>
      <c r="I158" s="67">
        <f t="shared" si="142"/>
        <v>1115.513574045769</v>
      </c>
      <c r="J158" s="67">
        <f t="shared" si="142"/>
        <v>1083.0229428595801</v>
      </c>
      <c r="K158" s="67">
        <f t="shared" si="142"/>
        <v>1095.108994885838</v>
      </c>
      <c r="L158" s="67">
        <f t="shared" si="142"/>
        <v>1084.7611910906369</v>
      </c>
      <c r="M158" s="67">
        <f t="shared" si="142"/>
        <v>1079.960609675391</v>
      </c>
      <c r="N158" s="67">
        <f t="shared" si="142"/>
        <v>1062.8238280835942</v>
      </c>
      <c r="O158" s="67">
        <f t="shared" si="142"/>
        <v>1052.5867230594647</v>
      </c>
      <c r="P158" s="67">
        <f t="shared" si="142"/>
        <v>1062.1228885588896</v>
      </c>
      <c r="Q158" s="67">
        <f t="shared" si="142"/>
        <v>1070.3902835263968</v>
      </c>
      <c r="R158" s="67">
        <f t="shared" si="142"/>
        <v>1092.3795635723743</v>
      </c>
      <c r="S158" s="67">
        <f t="shared" si="142"/>
        <v>1077.8307988097556</v>
      </c>
      <c r="T158" s="67">
        <f t="shared" si="142"/>
        <v>1048.2727908464146</v>
      </c>
      <c r="U158" s="67">
        <f t="shared" si="142"/>
        <v>1053.5772852888697</v>
      </c>
      <c r="V158" s="67">
        <f t="shared" si="142"/>
        <v>984.76831286829361</v>
      </c>
      <c r="W158" s="67">
        <f t="shared" si="142"/>
        <v>1064.3003222945724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3552.2342234683651</v>
      </c>
      <c r="C159" s="68">
        <f t="shared" ref="C159:W159" si="144">IF(C105=0,0,C105/C$23)</f>
        <v>3658.6010913250843</v>
      </c>
      <c r="D159" s="68">
        <f t="shared" si="144"/>
        <v>3765.2073644251991</v>
      </c>
      <c r="E159" s="68">
        <f t="shared" si="144"/>
        <v>3913.3468115608621</v>
      </c>
      <c r="F159" s="68">
        <f t="shared" si="144"/>
        <v>4060.4978412165015</v>
      </c>
      <c r="G159" s="68">
        <f t="shared" si="144"/>
        <v>4216.5529796691299</v>
      </c>
      <c r="H159" s="68">
        <f t="shared" si="144"/>
        <v>4276.5467448683075</v>
      </c>
      <c r="I159" s="68">
        <f t="shared" si="144"/>
        <v>4301.0665765380254</v>
      </c>
      <c r="J159" s="68">
        <f t="shared" si="144"/>
        <v>4313.7181490364537</v>
      </c>
      <c r="K159" s="68">
        <f t="shared" si="144"/>
        <v>4499.7845964863209</v>
      </c>
      <c r="L159" s="68">
        <f t="shared" si="144"/>
        <v>4615.3742041285177</v>
      </c>
      <c r="M159" s="68">
        <f t="shared" si="144"/>
        <v>4571.0259477962481</v>
      </c>
      <c r="N159" s="68">
        <f t="shared" si="144"/>
        <v>4598.0341217844552</v>
      </c>
      <c r="O159" s="68">
        <f t="shared" si="144"/>
        <v>4687.6694671870036</v>
      </c>
      <c r="P159" s="68">
        <f t="shared" si="144"/>
        <v>4719.3253149094808</v>
      </c>
      <c r="Q159" s="68">
        <f t="shared" si="144"/>
        <v>4770.6698745066924</v>
      </c>
      <c r="R159" s="68">
        <f t="shared" si="144"/>
        <v>4756.4989961672918</v>
      </c>
      <c r="S159" s="68">
        <f t="shared" si="144"/>
        <v>4856.7145524776788</v>
      </c>
      <c r="T159" s="68">
        <f t="shared" si="144"/>
        <v>4774.1861257332703</v>
      </c>
      <c r="U159" s="68">
        <f t="shared" si="144"/>
        <v>4738.321713224128</v>
      </c>
      <c r="V159" s="68">
        <f t="shared" si="144"/>
        <v>4613.7084620012993</v>
      </c>
      <c r="W159" s="68">
        <f t="shared" si="144"/>
        <v>4524.9908501474638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9296.8788639546747</v>
      </c>
      <c r="C161" s="85">
        <f t="shared" ref="C161:W161" si="146">IF(C107=0,0,C107/C$23)</f>
        <v>10020.617897870367</v>
      </c>
      <c r="D161" s="85">
        <f t="shared" si="146"/>
        <v>10078.745805511213</v>
      </c>
      <c r="E161" s="85">
        <f t="shared" si="146"/>
        <v>10009.414998796567</v>
      </c>
      <c r="F161" s="85">
        <f t="shared" si="146"/>
        <v>9861.9210920964415</v>
      </c>
      <c r="G161" s="85">
        <f t="shared" si="146"/>
        <v>9596.3391810026023</v>
      </c>
      <c r="H161" s="85">
        <f t="shared" si="146"/>
        <v>9664.6451616640024</v>
      </c>
      <c r="I161" s="85">
        <f t="shared" si="146"/>
        <v>10093.98921315894</v>
      </c>
      <c r="J161" s="85">
        <f t="shared" si="146"/>
        <v>9788.9509481512796</v>
      </c>
      <c r="K161" s="85">
        <f t="shared" si="146"/>
        <v>10948.806050638967</v>
      </c>
      <c r="L161" s="85">
        <f t="shared" si="146"/>
        <v>11780.362949396818</v>
      </c>
      <c r="M161" s="85">
        <f t="shared" si="146"/>
        <v>10252.070335537031</v>
      </c>
      <c r="N161" s="85">
        <f t="shared" si="146"/>
        <v>11013.257941522794</v>
      </c>
      <c r="O161" s="85">
        <f t="shared" si="146"/>
        <v>10478.363447166696</v>
      </c>
      <c r="P161" s="85">
        <f t="shared" si="146"/>
        <v>10892.583751333881</v>
      </c>
      <c r="Q161" s="85">
        <f t="shared" si="146"/>
        <v>10157.959402274138</v>
      </c>
      <c r="R161" s="85">
        <f t="shared" si="146"/>
        <v>10865.146924896846</v>
      </c>
      <c r="S161" s="85">
        <f t="shared" si="146"/>
        <v>10670.954709493639</v>
      </c>
      <c r="T161" s="85">
        <f t="shared" si="146"/>
        <v>10833.844538572332</v>
      </c>
      <c r="U161" s="85">
        <f t="shared" si="146"/>
        <v>10362.30344570166</v>
      </c>
      <c r="V161" s="85">
        <f t="shared" si="146"/>
        <v>9751.0085914585397</v>
      </c>
      <c r="W161" s="85">
        <f t="shared" si="146"/>
        <v>10976.417088489248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7209.7478735576105</v>
      </c>
      <c r="C162" s="65">
        <f t="shared" ref="C162:W162" si="148">IF(C108=0,0,C108/C$23)</f>
        <v>7974.7933228856082</v>
      </c>
      <c r="D162" s="65">
        <f t="shared" si="148"/>
        <v>8074.2938489061489</v>
      </c>
      <c r="E162" s="65">
        <f t="shared" si="148"/>
        <v>7995.6463523711473</v>
      </c>
      <c r="F162" s="65">
        <f t="shared" si="148"/>
        <v>7849.2241909302111</v>
      </c>
      <c r="G162" s="65">
        <f t="shared" si="148"/>
        <v>7581.1945039499597</v>
      </c>
      <c r="H162" s="65">
        <f t="shared" si="148"/>
        <v>7641.3834414744297</v>
      </c>
      <c r="I162" s="65">
        <f t="shared" si="148"/>
        <v>8079.4380215132705</v>
      </c>
      <c r="J162" s="65">
        <f t="shared" si="148"/>
        <v>7785.5248731734309</v>
      </c>
      <c r="K162" s="65">
        <f t="shared" si="148"/>
        <v>8900.7411467058519</v>
      </c>
      <c r="L162" s="65">
        <f t="shared" si="148"/>
        <v>9684.7829789814023</v>
      </c>
      <c r="M162" s="65">
        <f t="shared" si="148"/>
        <v>8178.0061986544215</v>
      </c>
      <c r="N162" s="65">
        <f t="shared" si="148"/>
        <v>8949.5294161938727</v>
      </c>
      <c r="O162" s="65">
        <f t="shared" si="148"/>
        <v>8401.8577659155908</v>
      </c>
      <c r="P162" s="65">
        <f t="shared" si="148"/>
        <v>8777.1008905316867</v>
      </c>
      <c r="Q162" s="65">
        <f t="shared" si="148"/>
        <v>8017.8666156929776</v>
      </c>
      <c r="R162" s="65">
        <f t="shared" si="148"/>
        <v>8687.2739863781717</v>
      </c>
      <c r="S162" s="65">
        <f t="shared" si="148"/>
        <v>8502.526289285579</v>
      </c>
      <c r="T162" s="65">
        <f t="shared" si="148"/>
        <v>8694.9319622872972</v>
      </c>
      <c r="U162" s="65">
        <f t="shared" si="148"/>
        <v>8223.6113604753155</v>
      </c>
      <c r="V162" s="65">
        <f t="shared" si="148"/>
        <v>7701.9110453844723</v>
      </c>
      <c r="W162" s="65">
        <f t="shared" si="148"/>
        <v>8770.8548374430247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161.96525460729367</v>
      </c>
      <c r="C163" s="65">
        <f t="shared" ref="C163:W163" si="150">IF(C109=0,0,C109/C$23)</f>
        <v>167.49033686180366</v>
      </c>
      <c r="D163" s="65">
        <f t="shared" si="150"/>
        <v>177.3495650991124</v>
      </c>
      <c r="E163" s="65">
        <f t="shared" si="150"/>
        <v>197.91959653084865</v>
      </c>
      <c r="F163" s="65">
        <f t="shared" si="150"/>
        <v>203.74082673714173</v>
      </c>
      <c r="G163" s="65">
        <f t="shared" si="150"/>
        <v>222.20797373621636</v>
      </c>
      <c r="H163" s="65">
        <f t="shared" si="150"/>
        <v>239.13488727606176</v>
      </c>
      <c r="I163" s="65">
        <f t="shared" si="150"/>
        <v>260.769642671974</v>
      </c>
      <c r="J163" s="65">
        <f t="shared" si="150"/>
        <v>283.9408301019414</v>
      </c>
      <c r="K163" s="65">
        <f t="shared" si="150"/>
        <v>302.56617556066095</v>
      </c>
      <c r="L163" s="65">
        <f t="shared" si="150"/>
        <v>337.74129014311251</v>
      </c>
      <c r="M163" s="65">
        <f t="shared" si="150"/>
        <v>322.96940286605832</v>
      </c>
      <c r="N163" s="65">
        <f t="shared" si="150"/>
        <v>320.40683564324291</v>
      </c>
      <c r="O163" s="65">
        <f t="shared" si="150"/>
        <v>329.08457928525456</v>
      </c>
      <c r="P163" s="65">
        <f t="shared" si="150"/>
        <v>344.22011907263158</v>
      </c>
      <c r="Q163" s="65">
        <f t="shared" si="150"/>
        <v>351.41864232615245</v>
      </c>
      <c r="R163" s="65">
        <f t="shared" si="150"/>
        <v>363.81438053879367</v>
      </c>
      <c r="S163" s="65">
        <f t="shared" si="150"/>
        <v>362.99145195065921</v>
      </c>
      <c r="T163" s="65">
        <f t="shared" si="150"/>
        <v>356.38941213101009</v>
      </c>
      <c r="U163" s="65">
        <f t="shared" si="150"/>
        <v>357.0083492165345</v>
      </c>
      <c r="V163" s="65">
        <f t="shared" si="150"/>
        <v>370.50042105905004</v>
      </c>
      <c r="W163" s="65">
        <f t="shared" si="150"/>
        <v>358.69378597043942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1002.512099213089</v>
      </c>
      <c r="C164" s="65">
        <f t="shared" ref="C164:W164" si="152">IF(C110=0,0,C110/C$23)</f>
        <v>990.52070296814702</v>
      </c>
      <c r="D164" s="65">
        <f t="shared" si="152"/>
        <v>970.43913685022756</v>
      </c>
      <c r="E164" s="65">
        <f t="shared" si="152"/>
        <v>972.44480027877012</v>
      </c>
      <c r="F164" s="65">
        <f t="shared" si="152"/>
        <v>967.37015275907538</v>
      </c>
      <c r="G164" s="65">
        <f t="shared" si="152"/>
        <v>967.52115179202121</v>
      </c>
      <c r="H164" s="65">
        <f t="shared" si="152"/>
        <v>960.25899357014237</v>
      </c>
      <c r="I164" s="65">
        <f t="shared" si="152"/>
        <v>950.06995347815382</v>
      </c>
      <c r="J164" s="65">
        <f t="shared" si="152"/>
        <v>936.18327424869267</v>
      </c>
      <c r="K164" s="65">
        <f t="shared" si="152"/>
        <v>949.71715882539684</v>
      </c>
      <c r="L164" s="65">
        <f t="shared" si="152"/>
        <v>966.76606033948997</v>
      </c>
      <c r="M164" s="65">
        <f t="shared" si="152"/>
        <v>962.00192493112593</v>
      </c>
      <c r="N164" s="65">
        <f t="shared" si="152"/>
        <v>964.98011593426622</v>
      </c>
      <c r="O164" s="65">
        <f t="shared" si="152"/>
        <v>973.92637158161892</v>
      </c>
      <c r="P164" s="65">
        <f t="shared" si="152"/>
        <v>987.19532745360948</v>
      </c>
      <c r="Q164" s="65">
        <f t="shared" si="152"/>
        <v>994.15750134936354</v>
      </c>
      <c r="R164" s="65">
        <f t="shared" si="152"/>
        <v>997.22345495392983</v>
      </c>
      <c r="S164" s="65">
        <f t="shared" si="152"/>
        <v>992.72396138732108</v>
      </c>
      <c r="T164" s="65">
        <f t="shared" si="152"/>
        <v>982.70363334625904</v>
      </c>
      <c r="U164" s="65">
        <f t="shared" si="152"/>
        <v>967.48513521146162</v>
      </c>
      <c r="V164" s="65">
        <f t="shared" si="152"/>
        <v>907.83378922044676</v>
      </c>
      <c r="W164" s="65">
        <f t="shared" si="152"/>
        <v>1003.8312566399763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922.65363657668058</v>
      </c>
      <c r="C165" s="68">
        <f t="shared" ref="C165:W165" si="154">IF(C111=0,0,C111/C$23)</f>
        <v>887.81353515480862</v>
      </c>
      <c r="D165" s="68">
        <f t="shared" si="154"/>
        <v>856.6632546557239</v>
      </c>
      <c r="E165" s="68">
        <f t="shared" si="154"/>
        <v>843.40424961579868</v>
      </c>
      <c r="F165" s="68">
        <f t="shared" si="154"/>
        <v>841.58592167001518</v>
      </c>
      <c r="G165" s="68">
        <f t="shared" si="154"/>
        <v>825.41555152440651</v>
      </c>
      <c r="H165" s="68">
        <f t="shared" si="154"/>
        <v>823.86783934336916</v>
      </c>
      <c r="I165" s="68">
        <f t="shared" si="154"/>
        <v>803.71159549554102</v>
      </c>
      <c r="J165" s="68">
        <f t="shared" si="154"/>
        <v>783.30197062721436</v>
      </c>
      <c r="K165" s="68">
        <f t="shared" si="154"/>
        <v>795.7815695470556</v>
      </c>
      <c r="L165" s="68">
        <f t="shared" si="154"/>
        <v>791.07261993281486</v>
      </c>
      <c r="M165" s="68">
        <f t="shared" si="154"/>
        <v>789.09280908542416</v>
      </c>
      <c r="N165" s="68">
        <f t="shared" si="154"/>
        <v>778.34157375141262</v>
      </c>
      <c r="O165" s="68">
        <f t="shared" si="154"/>
        <v>773.49473038423105</v>
      </c>
      <c r="P165" s="68">
        <f t="shared" si="154"/>
        <v>784.06741427595216</v>
      </c>
      <c r="Q165" s="68">
        <f t="shared" si="154"/>
        <v>794.51664290564383</v>
      </c>
      <c r="R165" s="68">
        <f t="shared" si="154"/>
        <v>816.83510302595107</v>
      </c>
      <c r="S165" s="68">
        <f t="shared" si="154"/>
        <v>812.71300687007795</v>
      </c>
      <c r="T165" s="68">
        <f t="shared" si="154"/>
        <v>799.81953080776543</v>
      </c>
      <c r="U165" s="68">
        <f t="shared" si="154"/>
        <v>814.19860079835132</v>
      </c>
      <c r="V165" s="68">
        <f t="shared" si="154"/>
        <v>770.76333579457025</v>
      </c>
      <c r="W165" s="68">
        <f t="shared" si="154"/>
        <v>843.03720843580959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727.47676292413803</v>
      </c>
      <c r="C167" s="82">
        <f t="shared" ref="C167:W167" si="156">IF(C113=0,0,C113/C$23)</f>
        <v>738.49506141652103</v>
      </c>
      <c r="D167" s="82">
        <f t="shared" si="156"/>
        <v>710.95381433919988</v>
      </c>
      <c r="E167" s="82">
        <f t="shared" si="156"/>
        <v>691.4497945180899</v>
      </c>
      <c r="F167" s="82">
        <f t="shared" si="156"/>
        <v>661.9968759571733</v>
      </c>
      <c r="G167" s="82">
        <f t="shared" si="156"/>
        <v>618.31349746609112</v>
      </c>
      <c r="H167" s="82">
        <f t="shared" si="156"/>
        <v>598.43457274074046</v>
      </c>
      <c r="I167" s="82">
        <f t="shared" si="156"/>
        <v>556.84373656368189</v>
      </c>
      <c r="J167" s="82">
        <f t="shared" si="156"/>
        <v>463.35123446910745</v>
      </c>
      <c r="K167" s="82">
        <f t="shared" si="156"/>
        <v>497.31320397928164</v>
      </c>
      <c r="L167" s="82">
        <f t="shared" si="156"/>
        <v>583.24922029588026</v>
      </c>
      <c r="M167" s="82">
        <f t="shared" si="156"/>
        <v>504.84155241374981</v>
      </c>
      <c r="N167" s="82">
        <f t="shared" si="156"/>
        <v>539.17100094888474</v>
      </c>
      <c r="O167" s="82">
        <f t="shared" si="156"/>
        <v>489.4691721922336</v>
      </c>
      <c r="P167" s="82">
        <f t="shared" si="156"/>
        <v>483.23544109759871</v>
      </c>
      <c r="Q167" s="82">
        <f t="shared" si="156"/>
        <v>445.49032211090793</v>
      </c>
      <c r="R167" s="82">
        <f t="shared" si="156"/>
        <v>484.71458691468348</v>
      </c>
      <c r="S167" s="82">
        <f t="shared" si="156"/>
        <v>472.4651649951798</v>
      </c>
      <c r="T167" s="82">
        <f t="shared" si="156"/>
        <v>453.64935918502908</v>
      </c>
      <c r="U167" s="82">
        <f t="shared" si="156"/>
        <v>441.94587988147669</v>
      </c>
      <c r="V167" s="82">
        <f t="shared" si="156"/>
        <v>409.48305842468767</v>
      </c>
      <c r="W167" s="82">
        <f t="shared" si="156"/>
        <v>457.84296083120233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727.47676292413803</v>
      </c>
      <c r="C168" s="64">
        <f t="shared" ref="C168:W168" si="158">IF(C114=0,0,C114/C$23)</f>
        <v>738.49506141652103</v>
      </c>
      <c r="D168" s="64">
        <f t="shared" si="158"/>
        <v>710.95381433919988</v>
      </c>
      <c r="E168" s="64">
        <f t="shared" si="158"/>
        <v>691.4497945180899</v>
      </c>
      <c r="F168" s="64">
        <f t="shared" si="158"/>
        <v>661.9968759571733</v>
      </c>
      <c r="G168" s="64">
        <f t="shared" si="158"/>
        <v>618.31349746609112</v>
      </c>
      <c r="H168" s="64">
        <f t="shared" si="158"/>
        <v>598.43457274074046</v>
      </c>
      <c r="I168" s="64">
        <f t="shared" si="158"/>
        <v>556.84373656368189</v>
      </c>
      <c r="J168" s="64">
        <f t="shared" si="158"/>
        <v>463.35123446910745</v>
      </c>
      <c r="K168" s="64">
        <f t="shared" si="158"/>
        <v>497.31320397928164</v>
      </c>
      <c r="L168" s="64">
        <f t="shared" si="158"/>
        <v>583.24922029588026</v>
      </c>
      <c r="M168" s="64">
        <f t="shared" si="158"/>
        <v>504.84155241374981</v>
      </c>
      <c r="N168" s="64">
        <f t="shared" si="158"/>
        <v>539.17100094888474</v>
      </c>
      <c r="O168" s="64">
        <f t="shared" si="158"/>
        <v>489.4691721922336</v>
      </c>
      <c r="P168" s="64">
        <f t="shared" si="158"/>
        <v>483.23544109759871</v>
      </c>
      <c r="Q168" s="64">
        <f t="shared" si="158"/>
        <v>445.49032211090793</v>
      </c>
      <c r="R168" s="64">
        <f t="shared" si="158"/>
        <v>484.71458691468348</v>
      </c>
      <c r="S168" s="64">
        <f t="shared" si="158"/>
        <v>472.4651649951798</v>
      </c>
      <c r="T168" s="64">
        <f t="shared" si="158"/>
        <v>453.64935918502908</v>
      </c>
      <c r="U168" s="64">
        <f t="shared" si="158"/>
        <v>441.94587988147669</v>
      </c>
      <c r="V168" s="64">
        <f t="shared" si="158"/>
        <v>409.48305842468767</v>
      </c>
      <c r="W168" s="64">
        <f t="shared" si="158"/>
        <v>457.84296083120233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675.41890738169241</v>
      </c>
      <c r="C169" s="65">
        <f t="shared" ref="C169:W169" si="160">IF(C115=0,0,C115/C$23)</f>
        <v>686.27723083580031</v>
      </c>
      <c r="D169" s="65">
        <f t="shared" si="160"/>
        <v>658.44888536235828</v>
      </c>
      <c r="E169" s="65">
        <f t="shared" si="160"/>
        <v>638.92504141783297</v>
      </c>
      <c r="F169" s="65">
        <f t="shared" si="160"/>
        <v>610.09583459821476</v>
      </c>
      <c r="G169" s="65">
        <f t="shared" si="160"/>
        <v>567.22910576872039</v>
      </c>
      <c r="H169" s="65">
        <f t="shared" si="160"/>
        <v>547.59379237261703</v>
      </c>
      <c r="I169" s="65">
        <f t="shared" si="160"/>
        <v>507.42634607255656</v>
      </c>
      <c r="J169" s="65">
        <f t="shared" si="160"/>
        <v>414.1348606101559</v>
      </c>
      <c r="K169" s="65">
        <f t="shared" si="160"/>
        <v>449.34091873320745</v>
      </c>
      <c r="L169" s="65">
        <f t="shared" si="160"/>
        <v>532.36226502369755</v>
      </c>
      <c r="M169" s="65">
        <f t="shared" si="160"/>
        <v>454.80067033270223</v>
      </c>
      <c r="N169" s="65">
        <f t="shared" si="160"/>
        <v>491.74919632701432</v>
      </c>
      <c r="O169" s="65">
        <f t="shared" si="160"/>
        <v>441.8434611699426</v>
      </c>
      <c r="P169" s="65">
        <f t="shared" si="160"/>
        <v>437.72649457072185</v>
      </c>
      <c r="Q169" s="65">
        <f t="shared" si="160"/>
        <v>400.50791053874309</v>
      </c>
      <c r="R169" s="65">
        <f t="shared" si="160"/>
        <v>439.91421073451562</v>
      </c>
      <c r="S169" s="65">
        <f t="shared" si="160"/>
        <v>433.43690298035699</v>
      </c>
      <c r="T169" s="65">
        <f t="shared" si="160"/>
        <v>420.87850620714789</v>
      </c>
      <c r="U169" s="65">
        <f t="shared" si="160"/>
        <v>411.26452690985388</v>
      </c>
      <c r="V169" s="65">
        <f t="shared" si="160"/>
        <v>381.74360853138654</v>
      </c>
      <c r="W169" s="65">
        <f t="shared" si="160"/>
        <v>427.53085074802084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46.659659384230153</v>
      </c>
      <c r="C171" s="65">
        <f t="shared" ref="C171:W171" si="164">IF(C117=0,0,C117/C$23)</f>
        <v>46.497148995332779</v>
      </c>
      <c r="D171" s="65">
        <f t="shared" si="164"/>
        <v>46.994571767831232</v>
      </c>
      <c r="E171" s="65">
        <f t="shared" si="164"/>
        <v>47.198454084853388</v>
      </c>
      <c r="F171" s="65">
        <f t="shared" si="164"/>
        <v>46.749312119407783</v>
      </c>
      <c r="G171" s="65">
        <f t="shared" si="164"/>
        <v>45.883162141721108</v>
      </c>
      <c r="H171" s="65">
        <f t="shared" si="164"/>
        <v>45.680973048846369</v>
      </c>
      <c r="I171" s="65">
        <f t="shared" si="164"/>
        <v>44.521265724395413</v>
      </c>
      <c r="J171" s="65">
        <f t="shared" si="164"/>
        <v>44.542008628671923</v>
      </c>
      <c r="K171" s="65">
        <f t="shared" si="164"/>
        <v>43.5179906972715</v>
      </c>
      <c r="L171" s="65">
        <f t="shared" si="164"/>
        <v>46.5840602113378</v>
      </c>
      <c r="M171" s="65">
        <f t="shared" si="164"/>
        <v>46.211352448949789</v>
      </c>
      <c r="N171" s="65">
        <f t="shared" si="164"/>
        <v>44.33813545062641</v>
      </c>
      <c r="O171" s="65">
        <f t="shared" si="164"/>
        <v>44.052215150623304</v>
      </c>
      <c r="P171" s="65">
        <f t="shared" si="164"/>
        <v>42.296714328416179</v>
      </c>
      <c r="Q171" s="65">
        <f t="shared" si="164"/>
        <v>41.687519054947323</v>
      </c>
      <c r="R171" s="65">
        <f t="shared" si="164"/>
        <v>41.581093840534557</v>
      </c>
      <c r="S171" s="65">
        <f t="shared" si="164"/>
        <v>36.090098064661049</v>
      </c>
      <c r="T171" s="65">
        <f t="shared" si="164"/>
        <v>30.38710772815865</v>
      </c>
      <c r="U171" s="65">
        <f t="shared" si="164"/>
        <v>28.296118639609254</v>
      </c>
      <c r="V171" s="65">
        <f t="shared" si="164"/>
        <v>25.453281611206517</v>
      </c>
      <c r="W171" s="65">
        <f t="shared" si="164"/>
        <v>27.39673762561651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5.3981961582154856</v>
      </c>
      <c r="C172" s="67">
        <f t="shared" ref="C172:W172" si="166">IF(C118=0,0,C118/C$23)</f>
        <v>5.7206815853879247</v>
      </c>
      <c r="D172" s="67">
        <f t="shared" si="166"/>
        <v>5.5103572090103849</v>
      </c>
      <c r="E172" s="67">
        <f t="shared" si="166"/>
        <v>5.3262990154033094</v>
      </c>
      <c r="F172" s="67">
        <f t="shared" si="166"/>
        <v>5.1517292395506464</v>
      </c>
      <c r="G172" s="67">
        <f t="shared" si="166"/>
        <v>5.2012295556495847</v>
      </c>
      <c r="H172" s="67">
        <f t="shared" si="166"/>
        <v>5.1598073192771539</v>
      </c>
      <c r="I172" s="67">
        <f t="shared" si="166"/>
        <v>4.8961247667298808</v>
      </c>
      <c r="J172" s="67">
        <f t="shared" si="166"/>
        <v>4.6743652302797498</v>
      </c>
      <c r="K172" s="67">
        <f t="shared" si="166"/>
        <v>4.4542945488026762</v>
      </c>
      <c r="L172" s="67">
        <f t="shared" si="166"/>
        <v>4.3028950608450769</v>
      </c>
      <c r="M172" s="67">
        <f t="shared" si="166"/>
        <v>3.8295296320977865</v>
      </c>
      <c r="N172" s="67">
        <f t="shared" si="166"/>
        <v>3.0836691712440478</v>
      </c>
      <c r="O172" s="67">
        <f t="shared" si="166"/>
        <v>3.5734958716676521</v>
      </c>
      <c r="P172" s="67">
        <f t="shared" si="166"/>
        <v>3.212232198460661</v>
      </c>
      <c r="Q172" s="67">
        <f t="shared" si="166"/>
        <v>3.294892517217574</v>
      </c>
      <c r="R172" s="67">
        <f t="shared" si="166"/>
        <v>3.2192823396332364</v>
      </c>
      <c r="S172" s="67">
        <f t="shared" si="166"/>
        <v>2.9381639501617567</v>
      </c>
      <c r="T172" s="67">
        <f t="shared" si="166"/>
        <v>2.3837452497224736</v>
      </c>
      <c r="U172" s="67">
        <f t="shared" si="166"/>
        <v>2.3852343320135669</v>
      </c>
      <c r="V172" s="67">
        <f t="shared" si="166"/>
        <v>2.2861682820945779</v>
      </c>
      <c r="W172" s="67">
        <f t="shared" si="166"/>
        <v>2.9153724575649265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102430.20094684516</v>
      </c>
      <c r="C3" s="125">
        <f t="shared" si="0"/>
        <v>103578.69346339145</v>
      </c>
      <c r="D3" s="125">
        <f t="shared" si="0"/>
        <v>104631.00230979909</v>
      </c>
      <c r="E3" s="125">
        <f t="shared" si="0"/>
        <v>105509.35956141936</v>
      </c>
      <c r="F3" s="125">
        <f t="shared" si="0"/>
        <v>107109.92214372166</v>
      </c>
      <c r="G3" s="125">
        <f t="shared" si="0"/>
        <v>108459.19175101758</v>
      </c>
      <c r="H3" s="125">
        <f t="shared" si="0"/>
        <v>110373.07497793199</v>
      </c>
      <c r="I3" s="125">
        <f t="shared" si="0"/>
        <v>112262.02051241389</v>
      </c>
      <c r="J3" s="125">
        <f t="shared" si="0"/>
        <v>113504.79126117389</v>
      </c>
      <c r="K3" s="125">
        <f t="shared" si="0"/>
        <v>114243.96728495174</v>
      </c>
      <c r="L3" s="125">
        <f t="shared" si="0"/>
        <v>115188.12437404325</v>
      </c>
      <c r="M3" s="125">
        <f t="shared" si="0"/>
        <v>115861.29109970824</v>
      </c>
      <c r="N3" s="125">
        <f t="shared" si="0"/>
        <v>116262.70440647163</v>
      </c>
      <c r="O3" s="125">
        <f t="shared" si="0"/>
        <v>116613.88622291545</v>
      </c>
      <c r="P3" s="125">
        <f t="shared" si="0"/>
        <v>116981.41904739382</v>
      </c>
      <c r="Q3" s="125">
        <f t="shared" si="0"/>
        <v>117385.06082603507</v>
      </c>
      <c r="R3" s="125">
        <f t="shared" si="0"/>
        <v>118112.60996344869</v>
      </c>
      <c r="S3" s="125">
        <f t="shared" si="0"/>
        <v>119161.28920837924</v>
      </c>
      <c r="T3" s="125">
        <f t="shared" si="0"/>
        <v>120233.18791484734</v>
      </c>
      <c r="U3" s="125">
        <f t="shared" si="0"/>
        <v>121216.84413996505</v>
      </c>
      <c r="V3" s="125">
        <f t="shared" si="0"/>
        <v>122111.11111111112</v>
      </c>
      <c r="W3" s="125">
        <f t="shared" si="0"/>
        <v>122876.55854138292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102430.20094684516</v>
      </c>
      <c r="C4" s="140">
        <f t="shared" si="1"/>
        <v>103578.69346339145</v>
      </c>
      <c r="D4" s="140">
        <f t="shared" si="1"/>
        <v>104631.00230979909</v>
      </c>
      <c r="E4" s="140">
        <f t="shared" si="1"/>
        <v>105509.35956141936</v>
      </c>
      <c r="F4" s="140">
        <f t="shared" si="1"/>
        <v>107109.92214372166</v>
      </c>
      <c r="G4" s="140">
        <f t="shared" si="1"/>
        <v>108459.19175101758</v>
      </c>
      <c r="H4" s="140">
        <f t="shared" si="1"/>
        <v>110373.07497793199</v>
      </c>
      <c r="I4" s="140">
        <f t="shared" si="1"/>
        <v>112262.02051241389</v>
      </c>
      <c r="J4" s="140">
        <f t="shared" si="1"/>
        <v>113504.79126117389</v>
      </c>
      <c r="K4" s="140">
        <f t="shared" si="1"/>
        <v>114243.96728495174</v>
      </c>
      <c r="L4" s="140">
        <f t="shared" si="1"/>
        <v>115188.12437404325</v>
      </c>
      <c r="M4" s="140">
        <f t="shared" si="1"/>
        <v>115861.29109970824</v>
      </c>
      <c r="N4" s="140">
        <f t="shared" si="1"/>
        <v>116262.70440647163</v>
      </c>
      <c r="O4" s="140">
        <f t="shared" si="1"/>
        <v>116613.88622291545</v>
      </c>
      <c r="P4" s="140">
        <f t="shared" si="1"/>
        <v>116981.41904739382</v>
      </c>
      <c r="Q4" s="140">
        <f t="shared" si="1"/>
        <v>117385.06082603507</v>
      </c>
      <c r="R4" s="140">
        <f t="shared" ref="R4:W4" si="2">SUM(R5:R14)</f>
        <v>118112.60996344869</v>
      </c>
      <c r="S4" s="140">
        <f t="shared" si="2"/>
        <v>119161.28920837924</v>
      </c>
      <c r="T4" s="140">
        <f t="shared" si="2"/>
        <v>120233.18791484734</v>
      </c>
      <c r="U4" s="140">
        <f t="shared" si="2"/>
        <v>121216.84413996505</v>
      </c>
      <c r="V4" s="140">
        <f t="shared" si="2"/>
        <v>122111.11111111112</v>
      </c>
      <c r="W4" s="140">
        <f t="shared" si="2"/>
        <v>122876.55854138292</v>
      </c>
      <c r="DA4" s="170" t="s">
        <v>245</v>
      </c>
    </row>
    <row r="5" spans="1:105" ht="12" customHeight="1" x14ac:dyDescent="0.25">
      <c r="A5" s="132" t="s">
        <v>29</v>
      </c>
      <c r="B5" s="141">
        <v>106.39804672558297</v>
      </c>
      <c r="C5" s="141">
        <v>102.08283758389466</v>
      </c>
      <c r="D5" s="141">
        <v>100.2132812326617</v>
      </c>
      <c r="E5" s="141">
        <v>99.672668506634025</v>
      </c>
      <c r="F5" s="141">
        <v>100.3542300927157</v>
      </c>
      <c r="G5" s="141">
        <v>100.51048667379025</v>
      </c>
      <c r="H5" s="141">
        <v>102.06413522961554</v>
      </c>
      <c r="I5" s="141">
        <v>106.30329853691762</v>
      </c>
      <c r="J5" s="141">
        <v>109.00400440932668</v>
      </c>
      <c r="K5" s="141">
        <v>113.89472397333938</v>
      </c>
      <c r="L5" s="141">
        <v>119.79946416581433</v>
      </c>
      <c r="M5" s="141">
        <v>121.78237440755399</v>
      </c>
      <c r="N5" s="141">
        <v>125.40233781328533</v>
      </c>
      <c r="O5" s="141">
        <v>126.46509827562969</v>
      </c>
      <c r="P5" s="141">
        <v>127.2841532577328</v>
      </c>
      <c r="Q5" s="141">
        <v>127.78048631056841</v>
      </c>
      <c r="R5" s="141">
        <v>129.27164017637651</v>
      </c>
      <c r="S5" s="141">
        <v>131.92548819953353</v>
      </c>
      <c r="T5" s="141">
        <v>134.61867888301026</v>
      </c>
      <c r="U5" s="141">
        <v>135.57549793517623</v>
      </c>
      <c r="V5" s="141">
        <v>135.90894185255161</v>
      </c>
      <c r="W5" s="141">
        <v>138.97937068640343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15236.286166685142</v>
      </c>
      <c r="C7" s="141">
        <v>14647.447139987165</v>
      </c>
      <c r="D7" s="141">
        <v>14189.895695210491</v>
      </c>
      <c r="E7" s="141">
        <v>13906.346220711328</v>
      </c>
      <c r="F7" s="141">
        <v>13739.211574231413</v>
      </c>
      <c r="G7" s="141">
        <v>13454.890766554356</v>
      </c>
      <c r="H7" s="141">
        <v>12855.78401576322</v>
      </c>
      <c r="I7" s="141">
        <v>11865.595503812843</v>
      </c>
      <c r="J7" s="141">
        <v>10946.576712839475</v>
      </c>
      <c r="K7" s="141">
        <v>10790.207635496108</v>
      </c>
      <c r="L7" s="141">
        <v>11331.039866087507</v>
      </c>
      <c r="M7" s="141">
        <v>11836.743363572175</v>
      </c>
      <c r="N7" s="141">
        <v>12155.585912991384</v>
      </c>
      <c r="O7" s="141">
        <v>12137.193065707472</v>
      </c>
      <c r="P7" s="141">
        <v>12067.476892108758</v>
      </c>
      <c r="Q7" s="141">
        <v>12189.88246369021</v>
      </c>
      <c r="R7" s="141">
        <v>12474.644470799805</v>
      </c>
      <c r="S7" s="141">
        <v>12848.993256280097</v>
      </c>
      <c r="T7" s="141">
        <v>13124.005438162574</v>
      </c>
      <c r="U7" s="141">
        <v>13570.900302855605</v>
      </c>
      <c r="V7" s="141">
        <v>14000.688790594335</v>
      </c>
      <c r="W7" s="141">
        <v>14241.662910142855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1320.1054229542488</v>
      </c>
      <c r="C9" s="141">
        <v>1387.7656732093296</v>
      </c>
      <c r="D9" s="141">
        <v>1501.2954238954901</v>
      </c>
      <c r="E9" s="141">
        <v>1607.2506137711007</v>
      </c>
      <c r="F9" s="141">
        <v>1738.8515308544058</v>
      </c>
      <c r="G9" s="141">
        <v>1778.0601263585909</v>
      </c>
      <c r="H9" s="141">
        <v>1740.5004282386835</v>
      </c>
      <c r="I9" s="141">
        <v>1650.8168060246337</v>
      </c>
      <c r="J9" s="141">
        <v>1589.9927185823162</v>
      </c>
      <c r="K9" s="141">
        <v>1612.0731507135274</v>
      </c>
      <c r="L9" s="141">
        <v>1689.2530598907981</v>
      </c>
      <c r="M9" s="141">
        <v>1733.0357767329215</v>
      </c>
      <c r="N9" s="141">
        <v>1793.3831077841298</v>
      </c>
      <c r="O9" s="141">
        <v>1945.4026652110656</v>
      </c>
      <c r="P9" s="141">
        <v>2050.4085805658624</v>
      </c>
      <c r="Q9" s="141">
        <v>2092.616224949239</v>
      </c>
      <c r="R9" s="141">
        <v>2182.1148411928448</v>
      </c>
      <c r="S9" s="141">
        <v>2208.7009005933778</v>
      </c>
      <c r="T9" s="141">
        <v>2210.5781789766411</v>
      </c>
      <c r="U9" s="141">
        <v>2256.5524600271506</v>
      </c>
      <c r="V9" s="141">
        <v>2281.149149559657</v>
      </c>
      <c r="W9" s="141">
        <v>2360.7647160708216</v>
      </c>
      <c r="DA9" s="171" t="s">
        <v>250</v>
      </c>
    </row>
    <row r="10" spans="1:105" ht="12" customHeight="1" x14ac:dyDescent="0.25">
      <c r="A10" s="132" t="s">
        <v>128</v>
      </c>
      <c r="B10" s="141">
        <v>2246.6928744002007</v>
      </c>
      <c r="C10" s="141">
        <v>2283.7863391192204</v>
      </c>
      <c r="D10" s="141">
        <v>2353.3808141144896</v>
      </c>
      <c r="E10" s="141">
        <v>2434.9130731624564</v>
      </c>
      <c r="F10" s="141">
        <v>2521.5160664864898</v>
      </c>
      <c r="G10" s="141">
        <v>2596.7998189615264</v>
      </c>
      <c r="H10" s="141">
        <v>2673.4097341682623</v>
      </c>
      <c r="I10" s="141">
        <v>2707.2300469680672</v>
      </c>
      <c r="J10" s="141">
        <v>2822.7043796241383</v>
      </c>
      <c r="K10" s="141">
        <v>2877.532900757903</v>
      </c>
      <c r="L10" s="141">
        <v>2973.661090295107</v>
      </c>
      <c r="M10" s="141">
        <v>3028.4229079584184</v>
      </c>
      <c r="N10" s="141">
        <v>3066.9178778680075</v>
      </c>
      <c r="O10" s="141">
        <v>3059.7870301901535</v>
      </c>
      <c r="P10" s="141">
        <v>3051.0222730951705</v>
      </c>
      <c r="Q10" s="141">
        <v>3067.6601443981631</v>
      </c>
      <c r="R10" s="141">
        <v>3119.4205947930927</v>
      </c>
      <c r="S10" s="141">
        <v>3177.8875071615648</v>
      </c>
      <c r="T10" s="141">
        <v>3207.5424680325286</v>
      </c>
      <c r="U10" s="141">
        <v>3251.433972408096</v>
      </c>
      <c r="V10" s="141">
        <v>3288.294589555805</v>
      </c>
      <c r="W10" s="141">
        <v>3328.6216691717427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54739.927845692895</v>
      </c>
      <c r="C12" s="141">
        <v>56005.14822749202</v>
      </c>
      <c r="D12" s="141">
        <v>57062.416341324177</v>
      </c>
      <c r="E12" s="141">
        <v>57799.499840774901</v>
      </c>
      <c r="F12" s="141">
        <v>58505.779571999243</v>
      </c>
      <c r="G12" s="141">
        <v>59387.842489010232</v>
      </c>
      <c r="H12" s="141">
        <v>61297.602385321312</v>
      </c>
      <c r="I12" s="141">
        <v>64358.839162473967</v>
      </c>
      <c r="J12" s="141">
        <v>66341.432411316637</v>
      </c>
      <c r="K12" s="141">
        <v>67444.744096602313</v>
      </c>
      <c r="L12" s="141">
        <v>67558.727607004374</v>
      </c>
      <c r="M12" s="141">
        <v>67050.653211678422</v>
      </c>
      <c r="N12" s="141">
        <v>66944.12229842112</v>
      </c>
      <c r="O12" s="141">
        <v>67037.418741774425</v>
      </c>
      <c r="P12" s="141">
        <v>67675.834210355373</v>
      </c>
      <c r="Q12" s="141">
        <v>67511.014721107233</v>
      </c>
      <c r="R12" s="141">
        <v>67945.52957608382</v>
      </c>
      <c r="S12" s="141">
        <v>68530.597854992651</v>
      </c>
      <c r="T12" s="141">
        <v>68713.913786918667</v>
      </c>
      <c r="U12" s="141">
        <v>69167.476453947806</v>
      </c>
      <c r="V12" s="141">
        <v>69630.534917690107</v>
      </c>
      <c r="W12" s="141">
        <v>70501.470371135059</v>
      </c>
      <c r="DA12" s="171" t="s">
        <v>253</v>
      </c>
    </row>
    <row r="13" spans="1:105" ht="12" customHeight="1" x14ac:dyDescent="0.25">
      <c r="A13" s="132" t="s">
        <v>77</v>
      </c>
      <c r="B13" s="141">
        <v>510.97447258057002</v>
      </c>
      <c r="C13" s="141">
        <v>523.73133897758692</v>
      </c>
      <c r="D13" s="141">
        <v>586.22634537208558</v>
      </c>
      <c r="E13" s="141">
        <v>670.90073295148886</v>
      </c>
      <c r="F13" s="141">
        <v>784.84855722659336</v>
      </c>
      <c r="G13" s="141">
        <v>909.88127601603242</v>
      </c>
      <c r="H13" s="141">
        <v>1037.8455157457365</v>
      </c>
      <c r="I13" s="141">
        <v>1150.8358610954369</v>
      </c>
      <c r="J13" s="141">
        <v>1272.9710408527142</v>
      </c>
      <c r="K13" s="141">
        <v>1410.2925901208243</v>
      </c>
      <c r="L13" s="141">
        <v>1612.1931252461256</v>
      </c>
      <c r="M13" s="141">
        <v>1968.5513211500745</v>
      </c>
      <c r="N13" s="141">
        <v>2329.6568579455861</v>
      </c>
      <c r="O13" s="141">
        <v>2866.9618881070628</v>
      </c>
      <c r="P13" s="141">
        <v>3394.7271042853031</v>
      </c>
      <c r="Q13" s="141">
        <v>4054.6198927503106</v>
      </c>
      <c r="R13" s="141">
        <v>4492.0424130080446</v>
      </c>
      <c r="S13" s="141">
        <v>5019.325712589698</v>
      </c>
      <c r="T13" s="141">
        <v>5579.2229295024563</v>
      </c>
      <c r="U13" s="141">
        <v>6343.3313548363112</v>
      </c>
      <c r="V13" s="141">
        <v>7202.3482997754563</v>
      </c>
      <c r="W13" s="141">
        <v>7890.2870947107776</v>
      </c>
      <c r="DA13" s="171" t="s">
        <v>254</v>
      </c>
    </row>
    <row r="14" spans="1:105" ht="12" customHeight="1" x14ac:dyDescent="0.25">
      <c r="A14" s="60" t="s">
        <v>76</v>
      </c>
      <c r="B14" s="142">
        <v>28269.816117806517</v>
      </c>
      <c r="C14" s="142">
        <v>28628.73190702224</v>
      </c>
      <c r="D14" s="142">
        <v>28837.574408649703</v>
      </c>
      <c r="E14" s="142">
        <v>28990.776411541465</v>
      </c>
      <c r="F14" s="142">
        <v>29719.360612830802</v>
      </c>
      <c r="G14" s="142">
        <v>30231.206787443058</v>
      </c>
      <c r="H14" s="142">
        <v>30665.868763465154</v>
      </c>
      <c r="I14" s="142">
        <v>30422.399833502026</v>
      </c>
      <c r="J14" s="142">
        <v>30422.109993549282</v>
      </c>
      <c r="K14" s="142">
        <v>29995.222187287731</v>
      </c>
      <c r="L14" s="142">
        <v>29903.450161353539</v>
      </c>
      <c r="M14" s="142">
        <v>30122.10214420866</v>
      </c>
      <c r="N14" s="142">
        <v>29847.636013648102</v>
      </c>
      <c r="O14" s="142">
        <v>29440.657733649638</v>
      </c>
      <c r="P14" s="142">
        <v>28614.665833725609</v>
      </c>
      <c r="Q14" s="142">
        <v>28341.486892829336</v>
      </c>
      <c r="R14" s="142">
        <v>27769.586427394705</v>
      </c>
      <c r="S14" s="142">
        <v>27243.858488562324</v>
      </c>
      <c r="T14" s="142">
        <v>27263.306434371443</v>
      </c>
      <c r="U14" s="142">
        <v>26491.574097954908</v>
      </c>
      <c r="V14" s="142">
        <v>25572.186422083199</v>
      </c>
      <c r="W14" s="142">
        <v>24414.772409465273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73649.410356458073</v>
      </c>
      <c r="C15" s="144">
        <f t="shared" si="3"/>
        <v>74426.230217391625</v>
      </c>
      <c r="D15" s="144">
        <f t="shared" si="3"/>
        <v>75207.201555777312</v>
      </c>
      <c r="E15" s="144">
        <f t="shared" si="3"/>
        <v>75847.682416926415</v>
      </c>
      <c r="F15" s="144">
        <f t="shared" si="3"/>
        <v>76605.712973664267</v>
      </c>
      <c r="G15" s="144">
        <f t="shared" si="3"/>
        <v>77318.103687558498</v>
      </c>
      <c r="H15" s="144">
        <f t="shared" si="3"/>
        <v>78669.360698721095</v>
      </c>
      <c r="I15" s="144">
        <f t="shared" si="3"/>
        <v>80688.784817816428</v>
      </c>
      <c r="J15" s="144">
        <f t="shared" si="3"/>
        <v>81809.710226771887</v>
      </c>
      <c r="K15" s="144">
        <f t="shared" si="3"/>
        <v>82838.452507543188</v>
      </c>
      <c r="L15" s="144">
        <f t="shared" si="3"/>
        <v>83672.481087443593</v>
      </c>
      <c r="M15" s="144">
        <f t="shared" si="3"/>
        <v>83770.637634349492</v>
      </c>
      <c r="N15" s="144">
        <f t="shared" si="3"/>
        <v>84085.411534877931</v>
      </c>
      <c r="O15" s="144">
        <f t="shared" si="3"/>
        <v>84306.266601158743</v>
      </c>
      <c r="P15" s="144">
        <f t="shared" si="3"/>
        <v>84972.026109382903</v>
      </c>
      <c r="Q15" s="144">
        <f t="shared" si="3"/>
        <v>84988.954040455414</v>
      </c>
      <c r="R15" s="144">
        <f t="shared" ref="R15:W15" si="4">SUM(R5:R12)</f>
        <v>85850.981123045931</v>
      </c>
      <c r="S15" s="144">
        <f t="shared" si="4"/>
        <v>86898.105007227219</v>
      </c>
      <c r="T15" s="144">
        <f t="shared" si="4"/>
        <v>87390.658550973429</v>
      </c>
      <c r="U15" s="144">
        <f t="shared" si="4"/>
        <v>88381.938687173839</v>
      </c>
      <c r="V15" s="144">
        <f t="shared" si="4"/>
        <v>89336.576389252456</v>
      </c>
      <c r="W15" s="144">
        <f t="shared" si="4"/>
        <v>90571.499037206886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10631.532470937735</v>
      </c>
      <c r="C16" s="140">
        <f t="shared" si="5"/>
        <v>11249.695419800017</v>
      </c>
      <c r="D16" s="140">
        <f t="shared" si="5"/>
        <v>12190.196127847516</v>
      </c>
      <c r="E16" s="140">
        <f t="shared" si="5"/>
        <v>13137.720143466346</v>
      </c>
      <c r="F16" s="140">
        <f t="shared" si="5"/>
        <v>14278.351163067271</v>
      </c>
      <c r="G16" s="140">
        <f t="shared" si="5"/>
        <v>15822.535984914875</v>
      </c>
      <c r="H16" s="140">
        <f t="shared" si="5"/>
        <v>17311.563598803572</v>
      </c>
      <c r="I16" s="140">
        <f t="shared" si="5"/>
        <v>19314.103219342094</v>
      </c>
      <c r="J16" s="140">
        <f t="shared" si="5"/>
        <v>21412.005358013739</v>
      </c>
      <c r="K16" s="140">
        <f t="shared" si="5"/>
        <v>22659.852570576189</v>
      </c>
      <c r="L16" s="140">
        <f t="shared" si="5"/>
        <v>23601.704246119149</v>
      </c>
      <c r="M16" s="140">
        <f t="shared" si="5"/>
        <v>24268.963281143497</v>
      </c>
      <c r="N16" s="140">
        <f t="shared" si="5"/>
        <v>24564.548245153248</v>
      </c>
      <c r="O16" s="140">
        <f t="shared" si="5"/>
        <v>25100.338620218576</v>
      </c>
      <c r="P16" s="140">
        <f t="shared" si="5"/>
        <v>25975.497561824497</v>
      </c>
      <c r="Q16" s="140">
        <f t="shared" si="5"/>
        <v>26777.410061513092</v>
      </c>
      <c r="R16" s="140">
        <f t="shared" ref="R16:W16" si="6">SUM(R17:R18)</f>
        <v>27232.269758715884</v>
      </c>
      <c r="S16" s="140">
        <f t="shared" si="6"/>
        <v>27441.822436858445</v>
      </c>
      <c r="T16" s="140">
        <f t="shared" si="6"/>
        <v>27690.430917132966</v>
      </c>
      <c r="U16" s="140">
        <f t="shared" si="6"/>
        <v>28146.66891882064</v>
      </c>
      <c r="V16" s="140">
        <f t="shared" si="6"/>
        <v>28533.038244055515</v>
      </c>
      <c r="W16" s="140">
        <f t="shared" si="6"/>
        <v>29034.164240351198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10631.532470937735</v>
      </c>
      <c r="C18" s="141">
        <v>11249.695419800017</v>
      </c>
      <c r="D18" s="141">
        <v>12190.196127847516</v>
      </c>
      <c r="E18" s="141">
        <v>13137.720143466346</v>
      </c>
      <c r="F18" s="141">
        <v>14278.351163067271</v>
      </c>
      <c r="G18" s="141">
        <v>15822.535984914875</v>
      </c>
      <c r="H18" s="141">
        <v>17311.563598803572</v>
      </c>
      <c r="I18" s="141">
        <v>19314.103219342094</v>
      </c>
      <c r="J18" s="141">
        <v>21412.005358013739</v>
      </c>
      <c r="K18" s="141">
        <v>22659.852570576189</v>
      </c>
      <c r="L18" s="141">
        <v>23601.704246119149</v>
      </c>
      <c r="M18" s="141">
        <v>24268.963281143497</v>
      </c>
      <c r="N18" s="141">
        <v>24564.548245153248</v>
      </c>
      <c r="O18" s="141">
        <v>25100.338620218576</v>
      </c>
      <c r="P18" s="141">
        <v>25975.497561824497</v>
      </c>
      <c r="Q18" s="141">
        <v>26777.410061513092</v>
      </c>
      <c r="R18" s="141">
        <v>27232.269758715884</v>
      </c>
      <c r="S18" s="141">
        <v>27441.822436858445</v>
      </c>
      <c r="T18" s="141">
        <v>27690.430917132966</v>
      </c>
      <c r="U18" s="141">
        <v>28146.66891882064</v>
      </c>
      <c r="V18" s="141">
        <v>28533.038244055515</v>
      </c>
      <c r="W18" s="141">
        <v>29034.164240351198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102430.20094684516</v>
      </c>
      <c r="C19" s="140">
        <f t="shared" si="7"/>
        <v>103578.69346339144</v>
      </c>
      <c r="D19" s="140">
        <f t="shared" si="7"/>
        <v>104631.00230979909</v>
      </c>
      <c r="E19" s="140">
        <f t="shared" si="7"/>
        <v>105509.35956141938</v>
      </c>
      <c r="F19" s="140">
        <f t="shared" si="7"/>
        <v>107109.92214372166</v>
      </c>
      <c r="G19" s="140">
        <f t="shared" si="7"/>
        <v>108459.19175101761</v>
      </c>
      <c r="H19" s="140">
        <f t="shared" si="7"/>
        <v>110373.074977932</v>
      </c>
      <c r="I19" s="140">
        <f t="shared" si="7"/>
        <v>112262.0205124139</v>
      </c>
      <c r="J19" s="140">
        <f t="shared" si="7"/>
        <v>113504.79126117387</v>
      </c>
      <c r="K19" s="140">
        <f t="shared" si="7"/>
        <v>114243.96728495172</v>
      </c>
      <c r="L19" s="140">
        <f t="shared" si="7"/>
        <v>115188.12437404328</v>
      </c>
      <c r="M19" s="140">
        <f t="shared" si="7"/>
        <v>115861.29109970822</v>
      </c>
      <c r="N19" s="140">
        <f t="shared" si="7"/>
        <v>116262.7044064716</v>
      </c>
      <c r="O19" s="140">
        <f t="shared" si="7"/>
        <v>116613.88622291548</v>
      </c>
      <c r="P19" s="140">
        <f t="shared" si="7"/>
        <v>116981.41904739381</v>
      </c>
      <c r="Q19" s="140">
        <f t="shared" si="7"/>
        <v>117385.06082603514</v>
      </c>
      <c r="R19" s="140">
        <f t="shared" ref="R19:W19" si="8">SUM(R20:R26)</f>
        <v>118112.60996344866</v>
      </c>
      <c r="S19" s="140">
        <f t="shared" si="8"/>
        <v>119161.28920837931</v>
      </c>
      <c r="T19" s="140">
        <f t="shared" si="8"/>
        <v>120233.18791484737</v>
      </c>
      <c r="U19" s="140">
        <f t="shared" si="8"/>
        <v>121216.84413996512</v>
      </c>
      <c r="V19" s="140">
        <f t="shared" si="8"/>
        <v>122111.11111111112</v>
      </c>
      <c r="W19" s="140">
        <f t="shared" si="8"/>
        <v>122876.55854138292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8382.3073337103742</v>
      </c>
      <c r="C22" s="141">
        <v>8553.6047923599344</v>
      </c>
      <c r="D22" s="141">
        <v>8842.9409844568872</v>
      </c>
      <c r="E22" s="141">
        <v>9041.5062784890924</v>
      </c>
      <c r="F22" s="141">
        <v>9201.3767126511011</v>
      </c>
      <c r="G22" s="141">
        <v>9296.7377609265859</v>
      </c>
      <c r="H22" s="141">
        <v>9438.1907039994076</v>
      </c>
      <c r="I22" s="141">
        <v>9543.3947581313896</v>
      </c>
      <c r="J22" s="141">
        <v>9710.5533042080988</v>
      </c>
      <c r="K22" s="141">
        <v>9946.5270064441902</v>
      </c>
      <c r="L22" s="141">
        <v>10315.167959110233</v>
      </c>
      <c r="M22" s="141">
        <v>10501.891887630645</v>
      </c>
      <c r="N22" s="141">
        <v>10459.512262358689</v>
      </c>
      <c r="O22" s="141">
        <v>10297.388116312814</v>
      </c>
      <c r="P22" s="141">
        <v>10053.687773428184</v>
      </c>
      <c r="Q22" s="141">
        <v>9808.5192715158955</v>
      </c>
      <c r="R22" s="141">
        <v>9438.1747709384126</v>
      </c>
      <c r="S22" s="141">
        <v>8753.0046138924645</v>
      </c>
      <c r="T22" s="141">
        <v>8030.0513716656178</v>
      </c>
      <c r="U22" s="141">
        <v>7619.1574095174165</v>
      </c>
      <c r="V22" s="141">
        <v>7449.9214562110537</v>
      </c>
      <c r="W22" s="141">
        <v>7540.6644243078645</v>
      </c>
      <c r="DA22" s="171" t="s">
        <v>262</v>
      </c>
    </row>
    <row r="23" spans="1:105" ht="12" customHeight="1" x14ac:dyDescent="0.25">
      <c r="A23" s="132" t="s">
        <v>153</v>
      </c>
      <c r="B23" s="141">
        <v>1435.9745342443064</v>
      </c>
      <c r="C23" s="141">
        <v>1450.1662473760121</v>
      </c>
      <c r="D23" s="141">
        <v>1481.4375277255908</v>
      </c>
      <c r="E23" s="141">
        <v>1513.8164128615083</v>
      </c>
      <c r="F23" s="141">
        <v>1547.0260812059023</v>
      </c>
      <c r="G23" s="141">
        <v>1560.1561631354339</v>
      </c>
      <c r="H23" s="141">
        <v>1547.9836280073125</v>
      </c>
      <c r="I23" s="141">
        <v>1532.1226936861719</v>
      </c>
      <c r="J23" s="141">
        <v>1505.3984849093149</v>
      </c>
      <c r="K23" s="141">
        <v>1464.58822648299</v>
      </c>
      <c r="L23" s="141">
        <v>1416.5077384833196</v>
      </c>
      <c r="M23" s="141">
        <v>1382.8291371567866</v>
      </c>
      <c r="N23" s="141">
        <v>1353.7922636826929</v>
      </c>
      <c r="O23" s="141">
        <v>1328.6509882356659</v>
      </c>
      <c r="P23" s="141">
        <v>1295.7251591720124</v>
      </c>
      <c r="Q23" s="141">
        <v>1286.4058115259656</v>
      </c>
      <c r="R23" s="141">
        <v>1280.0397044126946</v>
      </c>
      <c r="S23" s="141">
        <v>1269.8374034113972</v>
      </c>
      <c r="T23" s="141">
        <v>1259.0365082654885</v>
      </c>
      <c r="U23" s="141">
        <v>1259.7101715987028</v>
      </c>
      <c r="V23" s="141">
        <v>1271.1941459956581</v>
      </c>
      <c r="W23" s="141">
        <v>1292.0998060540308</v>
      </c>
      <c r="DA23" s="171" t="s">
        <v>263</v>
      </c>
    </row>
    <row r="24" spans="1:105" ht="12" customHeight="1" x14ac:dyDescent="0.25">
      <c r="A24" s="132" t="s">
        <v>128</v>
      </c>
      <c r="B24" s="141">
        <v>1996.7407886990475</v>
      </c>
      <c r="C24" s="141">
        <v>2246.361110861525</v>
      </c>
      <c r="D24" s="141">
        <v>2414.8986579983089</v>
      </c>
      <c r="E24" s="141">
        <v>2547.1610820627561</v>
      </c>
      <c r="F24" s="141">
        <v>2649.229784210841</v>
      </c>
      <c r="G24" s="141">
        <v>2745.5036852948251</v>
      </c>
      <c r="H24" s="141">
        <v>2892.7249140020294</v>
      </c>
      <c r="I24" s="141">
        <v>3043.5317436742835</v>
      </c>
      <c r="J24" s="141">
        <v>3226.3660976645388</v>
      </c>
      <c r="K24" s="141">
        <v>3326.3801429259565</v>
      </c>
      <c r="L24" s="141">
        <v>3435.4395074242411</v>
      </c>
      <c r="M24" s="141">
        <v>3513.884588601883</v>
      </c>
      <c r="N24" s="141">
        <v>3555.5782383697442</v>
      </c>
      <c r="O24" s="141">
        <v>3559.4141806144562</v>
      </c>
      <c r="P24" s="141">
        <v>3617.0264125502927</v>
      </c>
      <c r="Q24" s="141">
        <v>3744.6112460813756</v>
      </c>
      <c r="R24" s="141">
        <v>4010.3729321973879</v>
      </c>
      <c r="S24" s="141">
        <v>4178.2213546536141</v>
      </c>
      <c r="T24" s="141">
        <v>4300.9239739491904</v>
      </c>
      <c r="U24" s="141">
        <v>4398.3586227767028</v>
      </c>
      <c r="V24" s="141">
        <v>4498.3669326562476</v>
      </c>
      <c r="W24" s="141">
        <v>4682.9263145217237</v>
      </c>
      <c r="DA24" s="171" t="s">
        <v>264</v>
      </c>
    </row>
    <row r="25" spans="1:105" ht="12" customHeight="1" x14ac:dyDescent="0.25">
      <c r="A25" s="132" t="s">
        <v>169</v>
      </c>
      <c r="B25" s="141">
        <v>50391.756022415662</v>
      </c>
      <c r="C25" s="141">
        <v>51778.679451762175</v>
      </c>
      <c r="D25" s="141">
        <v>52933.269210487808</v>
      </c>
      <c r="E25" s="141">
        <v>53959.867625341358</v>
      </c>
      <c r="F25" s="141">
        <v>55646.863246744557</v>
      </c>
      <c r="G25" s="141">
        <v>57246.623986321065</v>
      </c>
      <c r="H25" s="141">
        <v>59398.095298828826</v>
      </c>
      <c r="I25" s="141">
        <v>61420.816995691443</v>
      </c>
      <c r="J25" s="141">
        <v>62217.817988423827</v>
      </c>
      <c r="K25" s="141">
        <v>62243.006766793675</v>
      </c>
      <c r="L25" s="141">
        <v>62064.389011727704</v>
      </c>
      <c r="M25" s="141">
        <v>61763.068586556881</v>
      </c>
      <c r="N25" s="141">
        <v>61297.947148891908</v>
      </c>
      <c r="O25" s="141">
        <v>60978.575452260709</v>
      </c>
      <c r="P25" s="141">
        <v>60672.247309060323</v>
      </c>
      <c r="Q25" s="141">
        <v>60439.665345749068</v>
      </c>
      <c r="R25" s="141">
        <v>60762.831354772919</v>
      </c>
      <c r="S25" s="141">
        <v>61061.302801847494</v>
      </c>
      <c r="T25" s="141">
        <v>61281.887531015549</v>
      </c>
      <c r="U25" s="141">
        <v>61060.425562021905</v>
      </c>
      <c r="V25" s="141">
        <v>61076.890270156611</v>
      </c>
      <c r="W25" s="141">
        <v>60661.188853476517</v>
      </c>
      <c r="DA25" s="171" t="s">
        <v>265</v>
      </c>
    </row>
    <row r="26" spans="1:105" ht="12" customHeight="1" x14ac:dyDescent="0.25">
      <c r="A26" s="132" t="s">
        <v>24</v>
      </c>
      <c r="B26" s="142">
        <v>40223.422267775764</v>
      </c>
      <c r="C26" s="142">
        <v>39549.88186103179</v>
      </c>
      <c r="D26" s="142">
        <v>38958.455929130505</v>
      </c>
      <c r="E26" s="142">
        <v>38447.008162664657</v>
      </c>
      <c r="F26" s="142">
        <v>38065.426318909253</v>
      </c>
      <c r="G26" s="142">
        <v>37610.1701553397</v>
      </c>
      <c r="H26" s="142">
        <v>37096.08043309443</v>
      </c>
      <c r="I26" s="142">
        <v>36722.154321230613</v>
      </c>
      <c r="J26" s="142">
        <v>36844.655385968086</v>
      </c>
      <c r="K26" s="142">
        <v>37263.465142304907</v>
      </c>
      <c r="L26" s="142">
        <v>37956.620157297788</v>
      </c>
      <c r="M26" s="142">
        <v>38699.616899762026</v>
      </c>
      <c r="N26" s="142">
        <v>39595.874493168558</v>
      </c>
      <c r="O26" s="142">
        <v>40449.857485491826</v>
      </c>
      <c r="P26" s="142">
        <v>41342.732393182996</v>
      </c>
      <c r="Q26" s="142">
        <v>42105.859151162833</v>
      </c>
      <c r="R26" s="142">
        <v>42621.191201127251</v>
      </c>
      <c r="S26" s="142">
        <v>43898.923034574334</v>
      </c>
      <c r="T26" s="142">
        <v>45361.288529951511</v>
      </c>
      <c r="U26" s="142">
        <v>46879.192374050399</v>
      </c>
      <c r="V26" s="142">
        <v>47814.738306091553</v>
      </c>
      <c r="W26" s="142">
        <v>48699.67914302279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102430.20094684516</v>
      </c>
      <c r="C29" s="140">
        <f t="shared" si="9"/>
        <v>103578.69346339144</v>
      </c>
      <c r="D29" s="140">
        <f t="shared" si="9"/>
        <v>104631.00230979911</v>
      </c>
      <c r="E29" s="140">
        <f t="shared" si="9"/>
        <v>105509.35956141936</v>
      </c>
      <c r="F29" s="140">
        <f t="shared" si="9"/>
        <v>107109.92214372168</v>
      </c>
      <c r="G29" s="140">
        <f t="shared" si="9"/>
        <v>108459.19175101758</v>
      </c>
      <c r="H29" s="140">
        <f t="shared" si="9"/>
        <v>110373.074977932</v>
      </c>
      <c r="I29" s="140">
        <f t="shared" si="9"/>
        <v>112262.02051241395</v>
      </c>
      <c r="J29" s="140">
        <f t="shared" si="9"/>
        <v>113504.79126117387</v>
      </c>
      <c r="K29" s="140">
        <f t="shared" si="9"/>
        <v>114243.96728495174</v>
      </c>
      <c r="L29" s="140">
        <f t="shared" si="9"/>
        <v>115188.12437404325</v>
      </c>
      <c r="M29" s="140">
        <f t="shared" si="9"/>
        <v>115861.29109970831</v>
      </c>
      <c r="N29" s="140">
        <f t="shared" si="9"/>
        <v>116262.70440647163</v>
      </c>
      <c r="O29" s="140">
        <f t="shared" si="9"/>
        <v>116613.88622291546</v>
      </c>
      <c r="P29" s="140">
        <f t="shared" si="9"/>
        <v>116981.41904739384</v>
      </c>
      <c r="Q29" s="140">
        <f t="shared" si="9"/>
        <v>117385.06082603509</v>
      </c>
      <c r="R29" s="140">
        <f t="shared" ref="R29:W29" si="10">SUM(R30:R33)</f>
        <v>118112.60996344867</v>
      </c>
      <c r="S29" s="140">
        <f t="shared" si="10"/>
        <v>119161.28920837918</v>
      </c>
      <c r="T29" s="140">
        <f t="shared" si="10"/>
        <v>120233.18791484727</v>
      </c>
      <c r="U29" s="140">
        <f t="shared" si="10"/>
        <v>121216.84413996511</v>
      </c>
      <c r="V29" s="140">
        <f t="shared" si="10"/>
        <v>122111.11111111105</v>
      </c>
      <c r="W29" s="140">
        <f t="shared" si="10"/>
        <v>122876.55854138295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269</v>
      </c>
    </row>
    <row r="31" spans="1:105" ht="12" customHeight="1" x14ac:dyDescent="0.25">
      <c r="A31" s="132" t="s">
        <v>153</v>
      </c>
      <c r="B31" s="141">
        <v>2204.8361637593925</v>
      </c>
      <c r="C31" s="141">
        <v>2260.5962826671648</v>
      </c>
      <c r="D31" s="141">
        <v>2351.3745051680307</v>
      </c>
      <c r="E31" s="141">
        <v>2432.3695396097282</v>
      </c>
      <c r="F31" s="141">
        <v>2500.8055140222668</v>
      </c>
      <c r="G31" s="141">
        <v>2550.9175724949564</v>
      </c>
      <c r="H31" s="141">
        <v>2578.3502576125543</v>
      </c>
      <c r="I31" s="141">
        <v>2581.327104515407</v>
      </c>
      <c r="J31" s="141">
        <v>2546.0088701160216</v>
      </c>
      <c r="K31" s="141">
        <v>2438.5302249424685</v>
      </c>
      <c r="L31" s="141">
        <v>2317.6163367155859</v>
      </c>
      <c r="M31" s="141">
        <v>2193.5449874560763</v>
      </c>
      <c r="N31" s="141">
        <v>2117.9124087942246</v>
      </c>
      <c r="O31" s="141">
        <v>2064.0369490578191</v>
      </c>
      <c r="P31" s="141">
        <v>1987.5512515112512</v>
      </c>
      <c r="Q31" s="141">
        <v>1933.2544625394833</v>
      </c>
      <c r="R31" s="141">
        <v>1868.342108938449</v>
      </c>
      <c r="S31" s="141">
        <v>1848.4256917253961</v>
      </c>
      <c r="T31" s="141">
        <v>1740.523251844879</v>
      </c>
      <c r="U31" s="141">
        <v>1697.4325157152657</v>
      </c>
      <c r="V31" s="141">
        <v>1717.6821355575751</v>
      </c>
      <c r="W31" s="141">
        <v>1673.9998115214682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100225.36478308577</v>
      </c>
      <c r="C33" s="153">
        <v>101318.09718072427</v>
      </c>
      <c r="D33" s="153">
        <v>102279.62780463108</v>
      </c>
      <c r="E33" s="153">
        <v>103076.99002180963</v>
      </c>
      <c r="F33" s="153">
        <v>104609.11662969941</v>
      </c>
      <c r="G33" s="153">
        <v>105908.27417852262</v>
      </c>
      <c r="H33" s="153">
        <v>107794.72472031944</v>
      </c>
      <c r="I33" s="153">
        <v>109680.69340789854</v>
      </c>
      <c r="J33" s="153">
        <v>110958.78239105784</v>
      </c>
      <c r="K33" s="153">
        <v>111805.43706000927</v>
      </c>
      <c r="L33" s="153">
        <v>112870.50803732767</v>
      </c>
      <c r="M33" s="153">
        <v>113667.74611225224</v>
      </c>
      <c r="N33" s="153">
        <v>114144.79199767741</v>
      </c>
      <c r="O33" s="153">
        <v>114549.84927385765</v>
      </c>
      <c r="P33" s="153">
        <v>114993.86779588259</v>
      </c>
      <c r="Q33" s="153">
        <v>115451.80636349561</v>
      </c>
      <c r="R33" s="153">
        <v>116244.26785451022</v>
      </c>
      <c r="S33" s="153">
        <v>117312.86351665379</v>
      </c>
      <c r="T33" s="153">
        <v>118492.66466300239</v>
      </c>
      <c r="U33" s="153">
        <v>119519.41162424984</v>
      </c>
      <c r="V33" s="153">
        <v>120393.42897555347</v>
      </c>
      <c r="W33" s="153">
        <v>121202.55872986148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1847.2458889718655</v>
      </c>
      <c r="C3" s="126">
        <f t="shared" si="0"/>
        <v>2018.8285319406803</v>
      </c>
      <c r="D3" s="126">
        <f t="shared" si="0"/>
        <v>2063.6960726836337</v>
      </c>
      <c r="E3" s="126">
        <f t="shared" si="0"/>
        <v>2051.9111817766911</v>
      </c>
      <c r="F3" s="126">
        <f t="shared" si="0"/>
        <v>2035.0294384191159</v>
      </c>
      <c r="G3" s="126">
        <f t="shared" si="0"/>
        <v>1998.0904742146781</v>
      </c>
      <c r="H3" s="126">
        <f t="shared" si="0"/>
        <v>2034.4862170270842</v>
      </c>
      <c r="I3" s="126">
        <f t="shared" si="0"/>
        <v>2141.8769048902486</v>
      </c>
      <c r="J3" s="126">
        <f t="shared" si="0"/>
        <v>2097.667359050366</v>
      </c>
      <c r="K3" s="126">
        <f t="shared" si="0"/>
        <v>2314.3904100405516</v>
      </c>
      <c r="L3" s="126">
        <f t="shared" si="0"/>
        <v>2480.7642877877365</v>
      </c>
      <c r="M3" s="126">
        <f t="shared" si="0"/>
        <v>2171.4473194742559</v>
      </c>
      <c r="N3" s="126">
        <f t="shared" si="0"/>
        <v>2340.2866878125819</v>
      </c>
      <c r="O3" s="126">
        <f t="shared" si="0"/>
        <v>2189.9041221634993</v>
      </c>
      <c r="P3" s="126">
        <f t="shared" si="0"/>
        <v>2258.3860838848836</v>
      </c>
      <c r="Q3" s="126">
        <f t="shared" si="0"/>
        <v>2088.1596336813109</v>
      </c>
      <c r="R3" s="126">
        <f t="shared" ref="R3:W3" si="1">SUM(R4,R16,R19,R29)</f>
        <v>2233.1939975187006</v>
      </c>
      <c r="S3" s="126">
        <f t="shared" si="1"/>
        <v>2194.1585288586448</v>
      </c>
      <c r="T3" s="126">
        <f t="shared" si="1"/>
        <v>2261.688638715204</v>
      </c>
      <c r="U3" s="126">
        <f t="shared" si="1"/>
        <v>2178.8799038793049</v>
      </c>
      <c r="V3" s="126">
        <f t="shared" si="1"/>
        <v>1970.5872936395222</v>
      </c>
      <c r="W3" s="126">
        <f t="shared" si="1"/>
        <v>2257.4294985524325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1462.3325044920769</v>
      </c>
      <c r="C4" s="131">
        <f t="shared" si="2"/>
        <v>1635.3846018784623</v>
      </c>
      <c r="D4" s="131">
        <f t="shared" si="2"/>
        <v>1682.1364982764317</v>
      </c>
      <c r="E4" s="131">
        <f t="shared" si="2"/>
        <v>1669.4832302858647</v>
      </c>
      <c r="F4" s="131">
        <f t="shared" si="2"/>
        <v>1650.6252769009491</v>
      </c>
      <c r="G4" s="131">
        <f t="shared" si="2"/>
        <v>1611.0759700264548</v>
      </c>
      <c r="H4" s="131">
        <f t="shared" si="2"/>
        <v>1642.9438701267782</v>
      </c>
      <c r="I4" s="131">
        <f t="shared" si="2"/>
        <v>1749.1294446230781</v>
      </c>
      <c r="J4" s="131">
        <f t="shared" si="2"/>
        <v>1703.3788550024199</v>
      </c>
      <c r="K4" s="131">
        <f t="shared" si="2"/>
        <v>1917.7107610089863</v>
      </c>
      <c r="L4" s="131">
        <f t="shared" si="2"/>
        <v>2080.7618336908827</v>
      </c>
      <c r="M4" s="131">
        <f t="shared" si="2"/>
        <v>1769.2832214432885</v>
      </c>
      <c r="N4" s="131">
        <f t="shared" si="2"/>
        <v>1937.782719554915</v>
      </c>
      <c r="O4" s="131">
        <f t="shared" si="2"/>
        <v>1789.4443586762313</v>
      </c>
      <c r="P4" s="131">
        <f t="shared" si="2"/>
        <v>1854.1462890201883</v>
      </c>
      <c r="Q4" s="131">
        <f t="shared" si="2"/>
        <v>1681.6164704706259</v>
      </c>
      <c r="R4" s="131">
        <f t="shared" ref="R4:W4" si="3">SUM(R5:R15)</f>
        <v>1821.8757413736112</v>
      </c>
      <c r="S4" s="131">
        <f t="shared" si="3"/>
        <v>1784.8780591607815</v>
      </c>
      <c r="T4" s="131">
        <f t="shared" si="3"/>
        <v>1852.6469741008091</v>
      </c>
      <c r="U4" s="131">
        <f t="shared" si="3"/>
        <v>1766.691087151062</v>
      </c>
      <c r="V4" s="131">
        <f t="shared" si="3"/>
        <v>1594.7936190901462</v>
      </c>
      <c r="W4" s="131">
        <f t="shared" si="3"/>
        <v>1840.4325322994823</v>
      </c>
      <c r="DA4" s="156" t="s">
        <v>213</v>
      </c>
    </row>
    <row r="5" spans="1:105" ht="12" customHeight="1" x14ac:dyDescent="0.25">
      <c r="A5" s="132" t="s">
        <v>29</v>
      </c>
      <c r="B5" s="133">
        <v>1.9701633705932931</v>
      </c>
      <c r="C5" s="133">
        <v>2.016423043852106</v>
      </c>
      <c r="D5" s="133">
        <v>2.0030954428202925</v>
      </c>
      <c r="E5" s="133">
        <v>2.010490111779879</v>
      </c>
      <c r="F5" s="133">
        <v>1.9185726569217543</v>
      </c>
      <c r="G5" s="133">
        <v>1.872398968185726</v>
      </c>
      <c r="H5" s="133">
        <v>1.9804815133276008</v>
      </c>
      <c r="I5" s="133">
        <v>1.7137575236457452</v>
      </c>
      <c r="J5" s="133">
        <v>2.0935511607910566</v>
      </c>
      <c r="K5" s="133">
        <v>2.3626827171109186</v>
      </c>
      <c r="L5" s="133">
        <v>2.6548581255374022</v>
      </c>
      <c r="M5" s="133">
        <v>2.153482373172829</v>
      </c>
      <c r="N5" s="133">
        <v>2.5206362854686151</v>
      </c>
      <c r="O5" s="133">
        <v>2.3019776440240749</v>
      </c>
      <c r="P5" s="133">
        <v>2.3851246775580406</v>
      </c>
      <c r="Q5" s="133">
        <v>2.1603611349957004</v>
      </c>
      <c r="R5" s="133">
        <v>2.3765262252794508</v>
      </c>
      <c r="S5" s="133">
        <v>2.3693895098882187</v>
      </c>
      <c r="T5" s="133">
        <v>2.4290627687016344</v>
      </c>
      <c r="U5" s="133">
        <v>2.4935511607910601</v>
      </c>
      <c r="V5" s="133">
        <v>2.2377472055030068</v>
      </c>
      <c r="W5" s="133">
        <v>2.493551160791057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321.12170473737842</v>
      </c>
      <c r="C7" s="133">
        <v>333.99590824102762</v>
      </c>
      <c r="D7" s="133">
        <v>325.89759344090868</v>
      </c>
      <c r="E7" s="133">
        <v>319.26814537703819</v>
      </c>
      <c r="F7" s="133">
        <v>307.52674558737971</v>
      </c>
      <c r="G7" s="133">
        <v>290.28327809192444</v>
      </c>
      <c r="H7" s="133">
        <v>286.51055011010743</v>
      </c>
      <c r="I7" s="133">
        <v>272.2399921664628</v>
      </c>
      <c r="J7" s="133">
        <v>218.98195808619136</v>
      </c>
      <c r="K7" s="133">
        <v>244.35961402051595</v>
      </c>
      <c r="L7" s="133">
        <v>293.86525770197096</v>
      </c>
      <c r="M7" s="133">
        <v>247.43076325915743</v>
      </c>
      <c r="N7" s="133">
        <v>273.04494136416042</v>
      </c>
      <c r="O7" s="133">
        <v>242.95962680064457</v>
      </c>
      <c r="P7" s="133">
        <v>242.95412560387476</v>
      </c>
      <c r="Q7" s="133">
        <v>222.01831355580572</v>
      </c>
      <c r="R7" s="133">
        <v>246.2909024823951</v>
      </c>
      <c r="S7" s="133">
        <v>246.20812866870295</v>
      </c>
      <c r="T7" s="133">
        <v>246.90812371203779</v>
      </c>
      <c r="U7" s="133">
        <v>245.83368660606408</v>
      </c>
      <c r="V7" s="133">
        <v>223.59527694126626</v>
      </c>
      <c r="W7" s="133">
        <v>262.50779760550103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27.928014509480512</v>
      </c>
      <c r="C9" s="133">
        <v>26.660931371197325</v>
      </c>
      <c r="D9" s="133">
        <v>31.257236322510362</v>
      </c>
      <c r="E9" s="133">
        <v>31.85209585686971</v>
      </c>
      <c r="F9" s="133">
        <v>35.113424489088565</v>
      </c>
      <c r="G9" s="133">
        <v>34.523273159591447</v>
      </c>
      <c r="H9" s="133">
        <v>32.506042888235264</v>
      </c>
      <c r="I9" s="133">
        <v>31.423594930503782</v>
      </c>
      <c r="J9" s="133">
        <v>30.532696247648808</v>
      </c>
      <c r="K9" s="133">
        <v>30.312317815076373</v>
      </c>
      <c r="L9" s="133">
        <v>33.506086745584589</v>
      </c>
      <c r="M9" s="133">
        <v>43.733014944796501</v>
      </c>
      <c r="N9" s="133">
        <v>48.116658089765316</v>
      </c>
      <c r="O9" s="133">
        <v>42.10546409532315</v>
      </c>
      <c r="P9" s="133">
        <v>38.011866897505747</v>
      </c>
      <c r="Q9" s="133">
        <v>33.770367560333547</v>
      </c>
      <c r="R9" s="133">
        <v>34.087707823504097</v>
      </c>
      <c r="S9" s="133">
        <v>41.218070315744853</v>
      </c>
      <c r="T9" s="133">
        <v>37.956205692193123</v>
      </c>
      <c r="U9" s="133">
        <v>36.894327896055856</v>
      </c>
      <c r="V9" s="133">
        <v>33.141237234302736</v>
      </c>
      <c r="W9" s="133">
        <v>41.379685771693623</v>
      </c>
      <c r="DA9" s="157" t="s">
        <v>278</v>
      </c>
    </row>
    <row r="10" spans="1:105" ht="12" customHeight="1" x14ac:dyDescent="0.25">
      <c r="A10" s="132" t="s">
        <v>128</v>
      </c>
      <c r="B10" s="133">
        <v>46.969011177987952</v>
      </c>
      <c r="C10" s="133">
        <v>53.027432519422696</v>
      </c>
      <c r="D10" s="133">
        <v>54.711459137654245</v>
      </c>
      <c r="E10" s="133">
        <v>55.526456979494711</v>
      </c>
      <c r="F10" s="133">
        <v>55.052487936012575</v>
      </c>
      <c r="G10" s="133">
        <v>54.971950642083883</v>
      </c>
      <c r="H10" s="133">
        <v>56.891940630959006</v>
      </c>
      <c r="I10" s="133">
        <v>56.592594288936048</v>
      </c>
      <c r="J10" s="133">
        <v>61.67845796820373</v>
      </c>
      <c r="K10" s="133">
        <v>66.594725043807557</v>
      </c>
      <c r="L10" s="133">
        <v>74.768726669689372</v>
      </c>
      <c r="M10" s="133">
        <v>64.331185222009935</v>
      </c>
      <c r="N10" s="133">
        <v>71.391715165424202</v>
      </c>
      <c r="O10" s="133">
        <v>65.229942665355495</v>
      </c>
      <c r="P10" s="133">
        <v>67.109266395311806</v>
      </c>
      <c r="Q10" s="133">
        <v>61.150802217007666</v>
      </c>
      <c r="R10" s="133">
        <v>68.499909032403565</v>
      </c>
      <c r="S10" s="133">
        <v>69.293000114970283</v>
      </c>
      <c r="T10" s="133">
        <v>71.204082187947748</v>
      </c>
      <c r="U10" s="133">
        <v>69.885106789754261</v>
      </c>
      <c r="V10" s="133">
        <v>63.637025900928123</v>
      </c>
      <c r="W10" s="133">
        <v>76.128373389464016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665.61438010592326</v>
      </c>
      <c r="C12" s="133">
        <v>768.51940432660672</v>
      </c>
      <c r="D12" s="133">
        <v>796.49620164884595</v>
      </c>
      <c r="E12" s="133">
        <v>811.53367028640844</v>
      </c>
      <c r="F12" s="133">
        <v>787.63087345628287</v>
      </c>
      <c r="G12" s="133">
        <v>769.83210341568019</v>
      </c>
      <c r="H12" s="133">
        <v>793.02538276863845</v>
      </c>
      <c r="I12" s="133">
        <v>909.94709931021157</v>
      </c>
      <c r="J12" s="133">
        <v>903.22233317123914</v>
      </c>
      <c r="K12" s="133">
        <v>1055.223243448497</v>
      </c>
      <c r="L12" s="133">
        <v>1127.0530872275194</v>
      </c>
      <c r="M12" s="133">
        <v>920.41223842857153</v>
      </c>
      <c r="N12" s="133">
        <v>1015.4567950247495</v>
      </c>
      <c r="O12" s="133">
        <v>952.67316065843227</v>
      </c>
      <c r="P12" s="133">
        <v>1034.0190032772609</v>
      </c>
      <c r="Q12" s="133">
        <v>907.3923921566784</v>
      </c>
      <c r="R12" s="133">
        <v>1003.7090768516015</v>
      </c>
      <c r="S12" s="133">
        <v>996.11189939104884</v>
      </c>
      <c r="T12" s="133">
        <v>1014.7730658289637</v>
      </c>
      <c r="U12" s="133">
        <v>980.67592235705899</v>
      </c>
      <c r="V12" s="133">
        <v>889.88704458664449</v>
      </c>
      <c r="W12" s="133">
        <v>1050.9963040516088</v>
      </c>
      <c r="DA12" s="157" t="s">
        <v>281</v>
      </c>
    </row>
    <row r="13" spans="1:105" ht="12" customHeight="1" x14ac:dyDescent="0.25">
      <c r="A13" s="132" t="s">
        <v>77</v>
      </c>
      <c r="B13" s="133">
        <v>3.6183037426904159</v>
      </c>
      <c r="C13" s="133">
        <v>3.9991342316842253</v>
      </c>
      <c r="D13" s="133">
        <v>4.427833063328273</v>
      </c>
      <c r="E13" s="133">
        <v>4.9057357244120672</v>
      </c>
      <c r="F13" s="133">
        <v>5.4879740213175578</v>
      </c>
      <c r="G13" s="133">
        <v>6.0782497427499393</v>
      </c>
      <c r="H13" s="133">
        <v>6.7301320886805032</v>
      </c>
      <c r="I13" s="133">
        <v>7.4160801540571866</v>
      </c>
      <c r="J13" s="133">
        <v>8.1793782545917217</v>
      </c>
      <c r="K13" s="133">
        <v>9.0454854166673417</v>
      </c>
      <c r="L13" s="133">
        <v>10.030692902527635</v>
      </c>
      <c r="M13" s="133">
        <v>11.277624968445044</v>
      </c>
      <c r="N13" s="133">
        <v>12.739086278380784</v>
      </c>
      <c r="O13" s="133">
        <v>14.397178210773438</v>
      </c>
      <c r="P13" s="133">
        <v>16.287955427523023</v>
      </c>
      <c r="Q13" s="133">
        <v>19.212651928989974</v>
      </c>
      <c r="R13" s="133">
        <v>20.184773480665804</v>
      </c>
      <c r="S13" s="133">
        <v>21.722252007857559</v>
      </c>
      <c r="T13" s="133">
        <v>24.042353064511172</v>
      </c>
      <c r="U13" s="133">
        <v>25.597195132655081</v>
      </c>
      <c r="V13" s="133">
        <v>25.946012527602829</v>
      </c>
      <c r="W13" s="133">
        <v>34.226913944530459</v>
      </c>
      <c r="DA13" s="157" t="s">
        <v>282</v>
      </c>
    </row>
    <row r="14" spans="1:105" ht="12" customHeight="1" x14ac:dyDescent="0.25">
      <c r="A14" s="60" t="s">
        <v>76</v>
      </c>
      <c r="B14" s="65">
        <v>389.15428057300721</v>
      </c>
      <c r="C14" s="65">
        <v>440.78540867537583</v>
      </c>
      <c r="D14" s="65">
        <v>460.96287686398568</v>
      </c>
      <c r="E14" s="65">
        <v>438.07102415482564</v>
      </c>
      <c r="F14" s="65">
        <v>451.79538750728</v>
      </c>
      <c r="G14" s="65">
        <v>447.68358212234273</v>
      </c>
      <c r="H14" s="65">
        <v>459.47645740546915</v>
      </c>
      <c r="I14" s="65">
        <v>463.7477427956303</v>
      </c>
      <c r="J14" s="65">
        <v>473.1375508637783</v>
      </c>
      <c r="K14" s="65">
        <v>503.5062024217716</v>
      </c>
      <c r="L14" s="65">
        <v>531.80280409292857</v>
      </c>
      <c r="M14" s="65">
        <v>473.87987925940831</v>
      </c>
      <c r="N14" s="65">
        <v>507.75090870801</v>
      </c>
      <c r="O14" s="65">
        <v>463.53838689603339</v>
      </c>
      <c r="P14" s="65">
        <v>446.9266840309383</v>
      </c>
      <c r="Q14" s="65">
        <v>430.15383981343933</v>
      </c>
      <c r="R14" s="65">
        <v>440.36017104894415</v>
      </c>
      <c r="S14" s="65">
        <v>401.49955400320113</v>
      </c>
      <c r="T14" s="65">
        <v>448.78694899283715</v>
      </c>
      <c r="U14" s="65">
        <v>398.84146806770025</v>
      </c>
      <c r="V14" s="65">
        <v>350.41623090611506</v>
      </c>
      <c r="W14" s="65">
        <v>365.6318125125984</v>
      </c>
      <c r="DA14" s="109" t="s">
        <v>283</v>
      </c>
    </row>
    <row r="15" spans="1:105" ht="12" customHeight="1" x14ac:dyDescent="0.25">
      <c r="A15" s="134" t="s">
        <v>80</v>
      </c>
      <c r="B15" s="135">
        <v>5.956646275015526</v>
      </c>
      <c r="C15" s="135">
        <v>6.3799594692957893</v>
      </c>
      <c r="D15" s="135">
        <v>6.3802023563781916</v>
      </c>
      <c r="E15" s="135">
        <v>6.3156117950359807</v>
      </c>
      <c r="F15" s="135">
        <v>6.0998112466662491</v>
      </c>
      <c r="G15" s="135">
        <v>5.8311338838966682</v>
      </c>
      <c r="H15" s="135">
        <v>5.8228827213607897</v>
      </c>
      <c r="I15" s="135">
        <v>6.0485834536308296</v>
      </c>
      <c r="J15" s="135">
        <v>5.5529292499756728</v>
      </c>
      <c r="K15" s="135">
        <v>6.3064901255394927</v>
      </c>
      <c r="L15" s="135">
        <v>7.0803202251245114</v>
      </c>
      <c r="M15" s="135">
        <v>6.06503298772693</v>
      </c>
      <c r="N15" s="135">
        <v>6.7619786389562719</v>
      </c>
      <c r="O15" s="135">
        <v>6.2386217056449151</v>
      </c>
      <c r="P15" s="135">
        <v>6.4522627102157895</v>
      </c>
      <c r="Q15" s="135">
        <v>5.7577421033754952</v>
      </c>
      <c r="R15" s="135">
        <v>6.3666744288174204</v>
      </c>
      <c r="S15" s="135">
        <v>6.4557651493675028</v>
      </c>
      <c r="T15" s="135">
        <v>6.5471318536167527</v>
      </c>
      <c r="U15" s="135">
        <v>6.4698291409824673</v>
      </c>
      <c r="V15" s="135">
        <v>5.9330437877838929</v>
      </c>
      <c r="W15" s="135">
        <v>7.0680938632949211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11.472550861423928</v>
      </c>
      <c r="C16" s="131">
        <f t="shared" si="4"/>
        <v>11.641327877321574</v>
      </c>
      <c r="D16" s="131">
        <f t="shared" si="4"/>
        <v>12.022679897235873</v>
      </c>
      <c r="E16" s="131">
        <f t="shared" si="4"/>
        <v>12.899808143165382</v>
      </c>
      <c r="F16" s="131">
        <f t="shared" si="4"/>
        <v>12.787943505728427</v>
      </c>
      <c r="G16" s="131">
        <f t="shared" si="4"/>
        <v>13.451130580315455</v>
      </c>
      <c r="H16" s="131">
        <f t="shared" si="4"/>
        <v>14.019119675741356</v>
      </c>
      <c r="I16" s="131">
        <f t="shared" si="4"/>
        <v>14.803514442209831</v>
      </c>
      <c r="J16" s="131">
        <f t="shared" si="4"/>
        <v>15.632418312141848</v>
      </c>
      <c r="K16" s="131">
        <f t="shared" si="4"/>
        <v>16.308212427380887</v>
      </c>
      <c r="L16" s="131">
        <f t="shared" si="4"/>
        <v>17.849902841350929</v>
      </c>
      <c r="M16" s="131">
        <f t="shared" si="4"/>
        <v>16.873120143408165</v>
      </c>
      <c r="N16" s="131">
        <f t="shared" si="4"/>
        <v>16.467675765827224</v>
      </c>
      <c r="O16" s="131">
        <f t="shared" si="4"/>
        <v>16.357534554472295</v>
      </c>
      <c r="P16" s="131">
        <f t="shared" si="4"/>
        <v>16.463320005075342</v>
      </c>
      <c r="Q16" s="131">
        <f t="shared" si="4"/>
        <v>16.174735323115979</v>
      </c>
      <c r="R16" s="131">
        <f t="shared" ref="R16:W16" si="5">SUM(R17:R18)</f>
        <v>16.22575969495945</v>
      </c>
      <c r="S16" s="131">
        <f t="shared" si="5"/>
        <v>15.81127290738122</v>
      </c>
      <c r="T16" s="131">
        <f t="shared" si="5"/>
        <v>15.453097162044934</v>
      </c>
      <c r="U16" s="131">
        <f t="shared" si="5"/>
        <v>15.409049809251593</v>
      </c>
      <c r="V16" s="131">
        <f t="shared" si="5"/>
        <v>15.253840488192006</v>
      </c>
      <c r="W16" s="131">
        <f t="shared" si="5"/>
        <v>14.828642649926243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11.472550861423928</v>
      </c>
      <c r="C18" s="133">
        <v>11.641327877321574</v>
      </c>
      <c r="D18" s="133">
        <v>12.022679897235873</v>
      </c>
      <c r="E18" s="133">
        <v>12.899808143165382</v>
      </c>
      <c r="F18" s="133">
        <v>12.787943505728427</v>
      </c>
      <c r="G18" s="133">
        <v>13.451130580315455</v>
      </c>
      <c r="H18" s="133">
        <v>14.019119675741356</v>
      </c>
      <c r="I18" s="133">
        <v>14.803514442209831</v>
      </c>
      <c r="J18" s="133">
        <v>15.632418312141848</v>
      </c>
      <c r="K18" s="133">
        <v>16.308212427380887</v>
      </c>
      <c r="L18" s="133">
        <v>17.849902841350929</v>
      </c>
      <c r="M18" s="133">
        <v>16.873120143408165</v>
      </c>
      <c r="N18" s="133">
        <v>16.467675765827224</v>
      </c>
      <c r="O18" s="133">
        <v>16.357534554472295</v>
      </c>
      <c r="P18" s="133">
        <v>16.463320005075342</v>
      </c>
      <c r="Q18" s="133">
        <v>16.174735323115979</v>
      </c>
      <c r="R18" s="133">
        <v>16.22575969495945</v>
      </c>
      <c r="S18" s="133">
        <v>15.81127290738122</v>
      </c>
      <c r="T18" s="133">
        <v>15.453097162044934</v>
      </c>
      <c r="U18" s="133">
        <v>15.409049809251593</v>
      </c>
      <c r="V18" s="133">
        <v>15.253840488192006</v>
      </c>
      <c r="W18" s="133">
        <v>14.828642649926243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197.66196991131125</v>
      </c>
      <c r="C19" s="131">
        <f t="shared" si="6"/>
        <v>199.0395674169342</v>
      </c>
      <c r="D19" s="131">
        <f t="shared" si="6"/>
        <v>199.10515349397122</v>
      </c>
      <c r="E19" s="131">
        <f t="shared" si="6"/>
        <v>200.46765671195607</v>
      </c>
      <c r="F19" s="131">
        <f t="shared" si="6"/>
        <v>201.0693321800386</v>
      </c>
      <c r="G19" s="131">
        <f t="shared" si="6"/>
        <v>203.58855370931249</v>
      </c>
      <c r="H19" s="131">
        <f t="shared" si="6"/>
        <v>204.87787365172599</v>
      </c>
      <c r="I19" s="131">
        <f t="shared" si="6"/>
        <v>206.01289840647016</v>
      </c>
      <c r="J19" s="131">
        <f t="shared" si="6"/>
        <v>207.32800230733878</v>
      </c>
      <c r="K19" s="131">
        <f t="shared" si="6"/>
        <v>207.97887015216429</v>
      </c>
      <c r="L19" s="131">
        <f t="shared" si="6"/>
        <v>211.23037733687966</v>
      </c>
      <c r="M19" s="131">
        <f t="shared" si="6"/>
        <v>212.2837025749003</v>
      </c>
      <c r="N19" s="131">
        <f t="shared" si="6"/>
        <v>213.62671088715265</v>
      </c>
      <c r="O19" s="131">
        <f t="shared" si="6"/>
        <v>213.3804459829187</v>
      </c>
      <c r="P19" s="131">
        <f t="shared" si="6"/>
        <v>215.39840502686832</v>
      </c>
      <c r="Q19" s="131">
        <f t="shared" si="6"/>
        <v>216.17000229596005</v>
      </c>
      <c r="R19" s="131">
        <f t="shared" ref="R19:W19" si="7">SUM(R20:R27)</f>
        <v>216.2165170118472</v>
      </c>
      <c r="S19" s="131">
        <f t="shared" si="7"/>
        <v>214.86253166011562</v>
      </c>
      <c r="T19" s="131">
        <f t="shared" si="7"/>
        <v>215.08474673074744</v>
      </c>
      <c r="U19" s="131">
        <f t="shared" si="7"/>
        <v>213.58595898166092</v>
      </c>
      <c r="V19" s="131">
        <f t="shared" si="7"/>
        <v>193.12075339023022</v>
      </c>
      <c r="W19" s="131">
        <f t="shared" si="7"/>
        <v>216.07591557327214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21.438226475003329</v>
      </c>
      <c r="C22" s="133">
        <v>21.7340143729019</v>
      </c>
      <c r="D22" s="133">
        <v>22.643077238369045</v>
      </c>
      <c r="E22" s="133">
        <v>23.064872679711538</v>
      </c>
      <c r="F22" s="133">
        <v>23.205584593187677</v>
      </c>
      <c r="G22" s="133">
        <v>23.151803593372314</v>
      </c>
      <c r="H22" s="133">
        <v>23.643706123770325</v>
      </c>
      <c r="I22" s="133">
        <v>23.669896053657478</v>
      </c>
      <c r="J22" s="133">
        <v>23.667139076319263</v>
      </c>
      <c r="K22" s="133">
        <v>23.746490880601741</v>
      </c>
      <c r="L22" s="133">
        <v>25.891922005681405</v>
      </c>
      <c r="M22" s="133">
        <v>26.176029518142574</v>
      </c>
      <c r="N22" s="133">
        <v>25.541215127670927</v>
      </c>
      <c r="O22" s="133">
        <v>25.250347403998457</v>
      </c>
      <c r="P22" s="133">
        <v>24.233578609367012</v>
      </c>
      <c r="Q22" s="133">
        <v>23.825108628201093</v>
      </c>
      <c r="R22" s="133">
        <v>23.886741541680671</v>
      </c>
      <c r="S22" s="133">
        <v>20.95859532097862</v>
      </c>
      <c r="T22" s="133">
        <v>18.096089529578784</v>
      </c>
      <c r="U22" s="133">
        <v>17.188325431769215</v>
      </c>
      <c r="V22" s="133">
        <v>15.031894167934102</v>
      </c>
      <c r="W22" s="133">
        <v>16.912580726398705</v>
      </c>
      <c r="DA22" s="157" t="s">
        <v>289</v>
      </c>
    </row>
    <row r="23" spans="1:105" ht="12" customHeight="1" x14ac:dyDescent="0.25">
      <c r="A23" s="132" t="s">
        <v>153</v>
      </c>
      <c r="B23" s="133">
        <v>3.6055458010284287</v>
      </c>
      <c r="C23" s="133">
        <v>3.604350436117854</v>
      </c>
      <c r="D23" s="133">
        <v>3.6353836583631836</v>
      </c>
      <c r="E23" s="133">
        <v>3.6568004575753608</v>
      </c>
      <c r="F23" s="133">
        <v>3.7477101087595925</v>
      </c>
      <c r="G23" s="133">
        <v>3.7857969121950363</v>
      </c>
      <c r="H23" s="133">
        <v>3.5970531081394568</v>
      </c>
      <c r="I23" s="133">
        <v>3.5458167729383838</v>
      </c>
      <c r="J23" s="133">
        <v>3.4959605607562025</v>
      </c>
      <c r="K23" s="133">
        <v>3.330569122874254</v>
      </c>
      <c r="L23" s="133">
        <v>3.1442369062191826</v>
      </c>
      <c r="M23" s="133">
        <v>3.0722524344651756</v>
      </c>
      <c r="N23" s="133">
        <v>2.9814047029890638</v>
      </c>
      <c r="O23" s="133">
        <v>2.8872073419914286</v>
      </c>
      <c r="P23" s="133">
        <v>2.7945728622090158</v>
      </c>
      <c r="Q23" s="133">
        <v>2.730953547816529</v>
      </c>
      <c r="R23" s="133">
        <v>2.608400162504473</v>
      </c>
      <c r="S23" s="133">
        <v>2.9091205806056251</v>
      </c>
      <c r="T23" s="133">
        <v>2.4818443935183838</v>
      </c>
      <c r="U23" s="133">
        <v>2.3113691133461467</v>
      </c>
      <c r="V23" s="133">
        <v>2.1863830367592496</v>
      </c>
      <c r="W23" s="133">
        <v>2.662282200764118</v>
      </c>
      <c r="DA23" s="157" t="s">
        <v>290</v>
      </c>
    </row>
    <row r="24" spans="1:105" ht="12" customHeight="1" x14ac:dyDescent="0.25">
      <c r="A24" s="132" t="s">
        <v>128</v>
      </c>
      <c r="B24" s="133">
        <v>5.2187790197764379</v>
      </c>
      <c r="C24" s="133">
        <v>6.4452244023313776</v>
      </c>
      <c r="D24" s="133">
        <v>6.5764170446329366</v>
      </c>
      <c r="E24" s="133">
        <v>6.5734570359825222</v>
      </c>
      <c r="F24" s="133">
        <v>6.6892145575386044</v>
      </c>
      <c r="G24" s="133">
        <v>6.6980407594638605</v>
      </c>
      <c r="H24" s="133">
        <v>6.8799424300900016</v>
      </c>
      <c r="I24" s="133">
        <v>6.9643274651482212</v>
      </c>
      <c r="J24" s="133">
        <v>7.5629865717790938</v>
      </c>
      <c r="K24" s="133">
        <v>7.2563497627272708</v>
      </c>
      <c r="L24" s="133">
        <v>7.442107380181695</v>
      </c>
      <c r="M24" s="133">
        <v>7.5854097908877325</v>
      </c>
      <c r="N24" s="133">
        <v>7.4989985061148872</v>
      </c>
      <c r="O24" s="133">
        <v>7.2836428892446401</v>
      </c>
      <c r="P24" s="133">
        <v>7.2912495118248417</v>
      </c>
      <c r="Q24" s="133">
        <v>7.254700792450639</v>
      </c>
      <c r="R24" s="133">
        <v>8.3607100561605225</v>
      </c>
      <c r="S24" s="133">
        <v>8.2602243046342814</v>
      </c>
      <c r="T24" s="133">
        <v>8.355419101820182</v>
      </c>
      <c r="U24" s="133">
        <v>8.3369052480789634</v>
      </c>
      <c r="V24" s="133">
        <v>7.4911770225456049</v>
      </c>
      <c r="W24" s="133">
        <v>9.1635440653941416</v>
      </c>
      <c r="DA24" s="157" t="s">
        <v>291</v>
      </c>
    </row>
    <row r="25" spans="1:105" ht="12" customHeight="1" x14ac:dyDescent="0.25">
      <c r="A25" s="132" t="s">
        <v>169</v>
      </c>
      <c r="B25" s="133">
        <v>84.38561989407674</v>
      </c>
      <c r="C25" s="133">
        <v>87.146029895233283</v>
      </c>
      <c r="D25" s="133">
        <v>87.806807809451414</v>
      </c>
      <c r="E25" s="133">
        <v>89.751282422104026</v>
      </c>
      <c r="F25" s="133">
        <v>91.29810332789593</v>
      </c>
      <c r="G25" s="133">
        <v>94.216821777785114</v>
      </c>
      <c r="H25" s="133">
        <v>97.248821874525518</v>
      </c>
      <c r="I25" s="133">
        <v>100.56210103372621</v>
      </c>
      <c r="J25" s="133">
        <v>100.7425851434639</v>
      </c>
      <c r="K25" s="133">
        <v>101.19687692983429</v>
      </c>
      <c r="L25" s="133">
        <v>100.68646565296197</v>
      </c>
      <c r="M25" s="133">
        <v>100.31957584485959</v>
      </c>
      <c r="N25" s="133">
        <v>100.2640992142874</v>
      </c>
      <c r="O25" s="133">
        <v>100.39837846452644</v>
      </c>
      <c r="P25" s="133">
        <v>100.45124607785493</v>
      </c>
      <c r="Q25" s="133">
        <v>100.01182108493951</v>
      </c>
      <c r="R25" s="133">
        <v>101.35928084401297</v>
      </c>
      <c r="S25" s="133">
        <v>100.71621754790254</v>
      </c>
      <c r="T25" s="133">
        <v>102.73914397327225</v>
      </c>
      <c r="U25" s="133">
        <v>98.573088820929144</v>
      </c>
      <c r="V25" s="133">
        <v>89.452766247403986</v>
      </c>
      <c r="W25" s="133">
        <v>105.82992122783962</v>
      </c>
      <c r="DA25" s="157" t="s">
        <v>292</v>
      </c>
    </row>
    <row r="26" spans="1:105" ht="12" customHeight="1" x14ac:dyDescent="0.25">
      <c r="A26" s="132" t="s">
        <v>24</v>
      </c>
      <c r="B26" s="65">
        <v>83.013798721426312</v>
      </c>
      <c r="C26" s="65">
        <v>80.109948310349793</v>
      </c>
      <c r="D26" s="65">
        <v>78.443467743154642</v>
      </c>
      <c r="E26" s="65">
        <v>77.421244116582614</v>
      </c>
      <c r="F26" s="65">
        <v>76.128719592656822</v>
      </c>
      <c r="G26" s="65">
        <v>75.736090666496168</v>
      </c>
      <c r="H26" s="65">
        <v>73.508350115200699</v>
      </c>
      <c r="I26" s="65">
        <v>71.270757080999857</v>
      </c>
      <c r="J26" s="65">
        <v>71.859330955020312</v>
      </c>
      <c r="K26" s="65">
        <v>72.448583456126741</v>
      </c>
      <c r="L26" s="65">
        <v>74.065645391835417</v>
      </c>
      <c r="M26" s="65">
        <v>75.130434986545239</v>
      </c>
      <c r="N26" s="65">
        <v>77.340993336090378</v>
      </c>
      <c r="O26" s="65">
        <v>77.560869883157721</v>
      </c>
      <c r="P26" s="65">
        <v>80.627757965612517</v>
      </c>
      <c r="Q26" s="65">
        <v>82.347418242552266</v>
      </c>
      <c r="R26" s="65">
        <v>80.001384407488544</v>
      </c>
      <c r="S26" s="65">
        <v>82.018373905994551</v>
      </c>
      <c r="T26" s="65">
        <v>83.412249732557854</v>
      </c>
      <c r="U26" s="65">
        <v>87.176270367537455</v>
      </c>
      <c r="V26" s="65">
        <v>78.958532915587284</v>
      </c>
      <c r="W26" s="65">
        <v>81.507587352875575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175.77886370705335</v>
      </c>
      <c r="C29" s="131">
        <f t="shared" si="8"/>
        <v>172.76303476796213</v>
      </c>
      <c r="D29" s="131">
        <f t="shared" si="8"/>
        <v>170.43174101599527</v>
      </c>
      <c r="E29" s="131">
        <f t="shared" si="8"/>
        <v>169.06048663570499</v>
      </c>
      <c r="F29" s="131">
        <f t="shared" si="8"/>
        <v>170.54688583239974</v>
      </c>
      <c r="G29" s="131">
        <f t="shared" si="8"/>
        <v>169.97481989859546</v>
      </c>
      <c r="H29" s="131">
        <f t="shared" si="8"/>
        <v>172.64535357283853</v>
      </c>
      <c r="I29" s="131">
        <f t="shared" si="8"/>
        <v>171.93104741849021</v>
      </c>
      <c r="J29" s="131">
        <f t="shared" si="8"/>
        <v>171.32808342846565</v>
      </c>
      <c r="K29" s="131">
        <f t="shared" si="8"/>
        <v>172.39256645201999</v>
      </c>
      <c r="L29" s="131">
        <f t="shared" si="8"/>
        <v>170.92217391862354</v>
      </c>
      <c r="M29" s="131">
        <f t="shared" si="8"/>
        <v>173.00727531265875</v>
      </c>
      <c r="N29" s="131">
        <f t="shared" si="8"/>
        <v>172.40958160468691</v>
      </c>
      <c r="O29" s="131">
        <f t="shared" si="8"/>
        <v>170.72178294987691</v>
      </c>
      <c r="P29" s="131">
        <f t="shared" si="8"/>
        <v>172.37806983275186</v>
      </c>
      <c r="Q29" s="131">
        <f t="shared" si="8"/>
        <v>174.19842559160884</v>
      </c>
      <c r="R29" s="131">
        <f t="shared" ref="R29:W29" si="9">SUM(R30:R33)</f>
        <v>178.87597943828288</v>
      </c>
      <c r="S29" s="131">
        <f t="shared" si="9"/>
        <v>178.60666513036637</v>
      </c>
      <c r="T29" s="131">
        <f t="shared" si="9"/>
        <v>178.50382072160269</v>
      </c>
      <c r="U29" s="131">
        <f t="shared" si="9"/>
        <v>183.19380793733038</v>
      </c>
      <c r="V29" s="131">
        <f t="shared" si="9"/>
        <v>167.41908067095358</v>
      </c>
      <c r="W29" s="131">
        <f t="shared" si="9"/>
        <v>186.09240802975179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295</v>
      </c>
    </row>
    <row r="31" spans="1:105" ht="12" customHeight="1" x14ac:dyDescent="0.25">
      <c r="A31" s="132" t="s">
        <v>153</v>
      </c>
      <c r="B31" s="133">
        <v>4.8545738253466126</v>
      </c>
      <c r="C31" s="133">
        <v>4.8665324661155971</v>
      </c>
      <c r="D31" s="133">
        <v>4.9875175943629033</v>
      </c>
      <c r="E31" s="133">
        <v>5.0709833072230275</v>
      </c>
      <c r="F31" s="133">
        <v>5.1939814812576026</v>
      </c>
      <c r="G31" s="133">
        <v>5.239683152633118</v>
      </c>
      <c r="H31" s="133">
        <v>5.2387784662220067</v>
      </c>
      <c r="I31" s="133">
        <v>5.1945607815105408</v>
      </c>
      <c r="J31" s="133">
        <v>5.1536303799010907</v>
      </c>
      <c r="K31" s="133">
        <v>4.8066401471740372</v>
      </c>
      <c r="L31" s="133">
        <v>4.5217313782908111</v>
      </c>
      <c r="M31" s="133">
        <v>4.1789974530684795</v>
      </c>
      <c r="N31" s="133">
        <v>4.0751960206592104</v>
      </c>
      <c r="O31" s="133">
        <v>4.0491170407593771</v>
      </c>
      <c r="P31" s="133">
        <v>3.8556410657366196</v>
      </c>
      <c r="Q31" s="133">
        <v>3.7680684017381467</v>
      </c>
      <c r="R31" s="133">
        <v>3.5975291593053074</v>
      </c>
      <c r="S31" s="133">
        <v>4.0201865757045647</v>
      </c>
      <c r="T31" s="133">
        <v>3.4166360707803238</v>
      </c>
      <c r="U31" s="133">
        <v>3.2160570748628099</v>
      </c>
      <c r="V31" s="133">
        <v>3.1265499782931228</v>
      </c>
      <c r="W31" s="133">
        <v>4.1323226552292187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170.92428988170673</v>
      </c>
      <c r="C33" s="68">
        <v>167.89650230184654</v>
      </c>
      <c r="D33" s="68">
        <v>165.44422342163236</v>
      </c>
      <c r="E33" s="68">
        <v>163.98950332848196</v>
      </c>
      <c r="F33" s="68">
        <v>165.35290435114214</v>
      </c>
      <c r="G33" s="68">
        <v>164.73513674596234</v>
      </c>
      <c r="H33" s="68">
        <v>167.40657510661651</v>
      </c>
      <c r="I33" s="68">
        <v>166.73648663697966</v>
      </c>
      <c r="J33" s="68">
        <v>166.17445304856454</v>
      </c>
      <c r="K33" s="68">
        <v>167.58592630484594</v>
      </c>
      <c r="L33" s="68">
        <v>166.40044254033273</v>
      </c>
      <c r="M33" s="68">
        <v>168.82827785959026</v>
      </c>
      <c r="N33" s="68">
        <v>168.3343855840277</v>
      </c>
      <c r="O33" s="68">
        <v>166.67266590911754</v>
      </c>
      <c r="P33" s="68">
        <v>168.52242876701524</v>
      </c>
      <c r="Q33" s="68">
        <v>170.4303571898707</v>
      </c>
      <c r="R33" s="68">
        <v>175.27845027897757</v>
      </c>
      <c r="S33" s="68">
        <v>174.5864785546618</v>
      </c>
      <c r="T33" s="68">
        <v>175.08718465082237</v>
      </c>
      <c r="U33" s="68">
        <v>179.97775086246756</v>
      </c>
      <c r="V33" s="68">
        <v>164.29253069266045</v>
      </c>
      <c r="W33" s="68">
        <v>181.96008537452258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1251.8411264791935</v>
      </c>
      <c r="C3" s="126">
        <f t="shared" si="0"/>
        <v>1381.0014072834588</v>
      </c>
      <c r="D3" s="126">
        <f t="shared" si="0"/>
        <v>1423.0703772338745</v>
      </c>
      <c r="E3" s="126">
        <f t="shared" si="0"/>
        <v>1427.3098739470522</v>
      </c>
      <c r="F3" s="126">
        <f t="shared" si="0"/>
        <v>1425.6114995728753</v>
      </c>
      <c r="G3" s="126">
        <f t="shared" si="0"/>
        <v>1413.7891274918195</v>
      </c>
      <c r="H3" s="126">
        <f t="shared" si="0"/>
        <v>1453.9349247504163</v>
      </c>
      <c r="I3" s="126">
        <f t="shared" si="0"/>
        <v>1555.7588705578153</v>
      </c>
      <c r="J3" s="126">
        <f t="shared" si="0"/>
        <v>1548.5564879113269</v>
      </c>
      <c r="K3" s="126">
        <f t="shared" si="0"/>
        <v>1723.566132202048</v>
      </c>
      <c r="L3" s="126">
        <f t="shared" si="0"/>
        <v>1856.1921844169967</v>
      </c>
      <c r="M3" s="126">
        <f t="shared" si="0"/>
        <v>1642.3587482492724</v>
      </c>
      <c r="N3" s="126">
        <f t="shared" si="0"/>
        <v>1786.5530896368803</v>
      </c>
      <c r="O3" s="126">
        <f t="shared" si="0"/>
        <v>1699.5130671015074</v>
      </c>
      <c r="P3" s="126">
        <f t="shared" si="0"/>
        <v>1767.8204497543165</v>
      </c>
      <c r="Q3" s="126">
        <f t="shared" si="0"/>
        <v>1653.1358349685515</v>
      </c>
      <c r="R3" s="126">
        <f t="shared" ref="R3:W3" si="1">SUM(R4,R16,R19,R29)</f>
        <v>1779.1561310209418</v>
      </c>
      <c r="S3" s="126">
        <f t="shared" si="1"/>
        <v>1768.2772068904676</v>
      </c>
      <c r="T3" s="126">
        <f t="shared" si="1"/>
        <v>1844.827663300829</v>
      </c>
      <c r="U3" s="126">
        <f t="shared" si="1"/>
        <v>1801.7755827943156</v>
      </c>
      <c r="V3" s="126">
        <f t="shared" si="1"/>
        <v>1657.7553041299934</v>
      </c>
      <c r="W3" s="126">
        <f t="shared" si="1"/>
        <v>1919.2213370114266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970.80525967250367</v>
      </c>
      <c r="C4" s="131">
        <f t="shared" si="2"/>
        <v>1099.0540617300992</v>
      </c>
      <c r="D4" s="131">
        <f t="shared" si="2"/>
        <v>1140.051412664556</v>
      </c>
      <c r="E4" s="131">
        <f t="shared" si="2"/>
        <v>1140.1530447783582</v>
      </c>
      <c r="F4" s="131">
        <f t="shared" si="2"/>
        <v>1134.6617119339526</v>
      </c>
      <c r="G4" s="131">
        <f t="shared" si="2"/>
        <v>1116.9061619146914</v>
      </c>
      <c r="H4" s="131">
        <f t="shared" si="2"/>
        <v>1149.5584238352246</v>
      </c>
      <c r="I4" s="131">
        <f t="shared" si="2"/>
        <v>1245.2616211145771</v>
      </c>
      <c r="J4" s="131">
        <f t="shared" si="2"/>
        <v>1231.6258522497408</v>
      </c>
      <c r="K4" s="131">
        <f t="shared" si="2"/>
        <v>1401.158804074727</v>
      </c>
      <c r="L4" s="131">
        <f t="shared" si="2"/>
        <v>1525.9986938076886</v>
      </c>
      <c r="M4" s="131">
        <f t="shared" si="2"/>
        <v>1310.0983102934695</v>
      </c>
      <c r="N4" s="131">
        <f t="shared" si="2"/>
        <v>1451.7783488040732</v>
      </c>
      <c r="O4" s="131">
        <f t="shared" si="2"/>
        <v>1362.7192006746839</v>
      </c>
      <c r="P4" s="131">
        <f t="shared" si="2"/>
        <v>1424.4864944865487</v>
      </c>
      <c r="Q4" s="131">
        <f t="shared" si="2"/>
        <v>1304.850915178168</v>
      </c>
      <c r="R4" s="131">
        <f t="shared" ref="R4:W4" si="3">SUM(R5:R15)</f>
        <v>1422.531778130575</v>
      </c>
      <c r="S4" s="131">
        <f t="shared" si="3"/>
        <v>1408.9482944721556</v>
      </c>
      <c r="T4" s="131">
        <f t="shared" si="3"/>
        <v>1480.6056111877697</v>
      </c>
      <c r="U4" s="131">
        <f t="shared" si="3"/>
        <v>1429.9042900389657</v>
      </c>
      <c r="V4" s="131">
        <f t="shared" si="3"/>
        <v>1309.391102229938</v>
      </c>
      <c r="W4" s="131">
        <f t="shared" si="3"/>
        <v>1533.5798204591911</v>
      </c>
      <c r="DA4" s="156" t="s">
        <v>301</v>
      </c>
    </row>
    <row r="5" spans="1:105" ht="12" customHeight="1" x14ac:dyDescent="0.25">
      <c r="A5" s="132" t="s">
        <v>29</v>
      </c>
      <c r="B5" s="133">
        <v>1.0262590413169239</v>
      </c>
      <c r="C5" s="133">
        <v>1.0555759398187192</v>
      </c>
      <c r="D5" s="133">
        <v>1.0579434213521322</v>
      </c>
      <c r="E5" s="133">
        <v>1.0741682929029879</v>
      </c>
      <c r="F5" s="133">
        <v>1.0394427093645493</v>
      </c>
      <c r="G5" s="133">
        <v>1.0288978739915808</v>
      </c>
      <c r="H5" s="133">
        <v>1.106484865438792</v>
      </c>
      <c r="I5" s="133">
        <v>0.97667320347050379</v>
      </c>
      <c r="J5" s="133">
        <v>1.215561129586376</v>
      </c>
      <c r="K5" s="133">
        <v>1.4006880289021135</v>
      </c>
      <c r="L5" s="133">
        <v>1.6078814645766524</v>
      </c>
      <c r="M5" s="133">
        <v>1.3295088589232118</v>
      </c>
      <c r="N5" s="133">
        <v>1.5889037077669206</v>
      </c>
      <c r="O5" s="133">
        <v>1.4758883142952222</v>
      </c>
      <c r="P5" s="133">
        <v>1.5339592069237318</v>
      </c>
      <c r="Q5" s="133">
        <v>1.3950178759687495</v>
      </c>
      <c r="R5" s="133">
        <v>1.5436459526496242</v>
      </c>
      <c r="S5" s="133">
        <v>1.5518608889262686</v>
      </c>
      <c r="T5" s="133">
        <v>1.6063405519021874</v>
      </c>
      <c r="U5" s="133">
        <v>1.6650747039728342</v>
      </c>
      <c r="V5" s="133">
        <v>1.5094679150362178</v>
      </c>
      <c r="W5" s="133">
        <v>1.7020014560667207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144.78165856160334</v>
      </c>
      <c r="C7" s="133">
        <v>151.36204641586826</v>
      </c>
      <c r="D7" s="133">
        <v>148.76670442459604</v>
      </c>
      <c r="E7" s="133">
        <v>147.20926458454454</v>
      </c>
      <c r="F7" s="133">
        <v>143.56142103877679</v>
      </c>
      <c r="G7" s="133">
        <v>137.23379399457312</v>
      </c>
      <c r="H7" s="133">
        <v>136.95503828075286</v>
      </c>
      <c r="I7" s="133">
        <v>131.26471801338505</v>
      </c>
      <c r="J7" s="133">
        <v>106.82192587794829</v>
      </c>
      <c r="K7" s="133">
        <v>122.14683272967349</v>
      </c>
      <c r="L7" s="133">
        <v>152.11847588590791</v>
      </c>
      <c r="M7" s="133">
        <v>132.88631377813829</v>
      </c>
      <c r="N7" s="133">
        <v>152.54584445346407</v>
      </c>
      <c r="O7" s="133">
        <v>140.65380604400028</v>
      </c>
      <c r="P7" s="133">
        <v>141.65117873575059</v>
      </c>
      <c r="Q7" s="133">
        <v>131.15603215205036</v>
      </c>
      <c r="R7" s="133">
        <v>148.23767737992122</v>
      </c>
      <c r="S7" s="133">
        <v>151.68334841076009</v>
      </c>
      <c r="T7" s="133">
        <v>155.56501663001279</v>
      </c>
      <c r="U7" s="133">
        <v>158.65115212214334</v>
      </c>
      <c r="V7" s="133">
        <v>147.5583816381573</v>
      </c>
      <c r="W7" s="133">
        <v>176.49466637259195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13.840938718148019</v>
      </c>
      <c r="C9" s="133">
        <v>13.473761496872395</v>
      </c>
      <c r="D9" s="133">
        <v>16.17293290780762</v>
      </c>
      <c r="E9" s="133">
        <v>16.841453742068435</v>
      </c>
      <c r="F9" s="133">
        <v>18.98719599084848</v>
      </c>
      <c r="G9" s="133">
        <v>18.961400654754947</v>
      </c>
      <c r="H9" s="133">
        <v>18.056088318754178</v>
      </c>
      <c r="I9" s="133">
        <v>17.611999337872177</v>
      </c>
      <c r="J9" s="133">
        <v>17.330191965584163</v>
      </c>
      <c r="K9" s="133">
        <v>17.561716339223061</v>
      </c>
      <c r="L9" s="133">
        <v>19.906773667617149</v>
      </c>
      <c r="M9" s="133">
        <v>26.622004455238983</v>
      </c>
      <c r="N9" s="133">
        <v>30.104128412411338</v>
      </c>
      <c r="O9" s="133">
        <v>27.142165987696945</v>
      </c>
      <c r="P9" s="133">
        <v>24.813829659807723</v>
      </c>
      <c r="Q9" s="133">
        <v>22.316281021105635</v>
      </c>
      <c r="R9" s="133">
        <v>22.907826245795302</v>
      </c>
      <c r="S9" s="133">
        <v>28.163702330351125</v>
      </c>
      <c r="T9" s="133">
        <v>26.327288388699451</v>
      </c>
      <c r="U9" s="133">
        <v>25.972752916372826</v>
      </c>
      <c r="V9" s="133">
        <v>23.614458025528528</v>
      </c>
      <c r="W9" s="133">
        <v>29.803915159692504</v>
      </c>
      <c r="DA9" s="157" t="s">
        <v>306</v>
      </c>
    </row>
    <row r="10" spans="1:105" ht="12" customHeight="1" x14ac:dyDescent="0.25">
      <c r="A10" s="132" t="s">
        <v>128</v>
      </c>
      <c r="B10" s="133">
        <v>20.905095294621102</v>
      </c>
      <c r="C10" s="133">
        <v>24.003282764318275</v>
      </c>
      <c r="D10" s="133">
        <v>25.233917741183262</v>
      </c>
      <c r="E10" s="133">
        <v>26.09281555674654</v>
      </c>
      <c r="F10" s="133">
        <v>26.340894847189084</v>
      </c>
      <c r="G10" s="133">
        <v>26.746449716968918</v>
      </c>
      <c r="H10" s="133">
        <v>28.130626816429142</v>
      </c>
      <c r="I10" s="133">
        <v>28.386605266156185</v>
      </c>
      <c r="J10" s="133">
        <v>31.442040943480542</v>
      </c>
      <c r="K10" s="133">
        <v>34.434348623094266</v>
      </c>
      <c r="L10" s="133">
        <v>39.224968359935254</v>
      </c>
      <c r="M10" s="133">
        <v>34.209877190666923</v>
      </c>
      <c r="N10" s="133">
        <v>38.47263370525156</v>
      </c>
      <c r="O10" s="133">
        <v>35.526712893456093</v>
      </c>
      <c r="P10" s="133">
        <v>36.557270833639919</v>
      </c>
      <c r="Q10" s="133">
        <v>33.320673071284723</v>
      </c>
      <c r="R10" s="133">
        <v>37.339802935953927</v>
      </c>
      <c r="S10" s="133">
        <v>37.791194278860694</v>
      </c>
      <c r="T10" s="133">
        <v>38.85278177260065</v>
      </c>
      <c r="U10" s="133">
        <v>38.152775287416425</v>
      </c>
      <c r="V10" s="133">
        <v>34.759188468895424</v>
      </c>
      <c r="W10" s="133">
        <v>41.602395278926238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512.97615721222348</v>
      </c>
      <c r="C12" s="133">
        <v>594.15363078385985</v>
      </c>
      <c r="D12" s="133">
        <v>617.70938317744742</v>
      </c>
      <c r="E12" s="133">
        <v>631.30574622469817</v>
      </c>
      <c r="F12" s="133">
        <v>614.6546734495663</v>
      </c>
      <c r="G12" s="133">
        <v>602.7923696886761</v>
      </c>
      <c r="H12" s="133">
        <v>623.36602272922232</v>
      </c>
      <c r="I12" s="133">
        <v>718.35736801469068</v>
      </c>
      <c r="J12" s="133">
        <v>715.85631575101695</v>
      </c>
      <c r="K12" s="133">
        <v>839.49764525143109</v>
      </c>
      <c r="L12" s="133">
        <v>899.98823424834347</v>
      </c>
      <c r="M12" s="133">
        <v>737.90402020690988</v>
      </c>
      <c r="N12" s="133">
        <v>817.95409524979709</v>
      </c>
      <c r="O12" s="133">
        <v>771.02514781688694</v>
      </c>
      <c r="P12" s="133">
        <v>838.44884361141931</v>
      </c>
      <c r="Q12" s="133">
        <v>737.49790948260147</v>
      </c>
      <c r="R12" s="133">
        <v>818.63221164066852</v>
      </c>
      <c r="S12" s="133">
        <v>816.20736974117631</v>
      </c>
      <c r="T12" s="133">
        <v>835.35906108182269</v>
      </c>
      <c r="U12" s="133">
        <v>811.33826280167318</v>
      </c>
      <c r="V12" s="133">
        <v>740.11941983623717</v>
      </c>
      <c r="W12" s="133">
        <v>879.10248130903233</v>
      </c>
      <c r="DA12" s="157" t="s">
        <v>309</v>
      </c>
    </row>
    <row r="13" spans="1:105" ht="12" customHeight="1" x14ac:dyDescent="0.25">
      <c r="A13" s="132" t="s">
        <v>77</v>
      </c>
      <c r="B13" s="133">
        <v>4.8482258724984941</v>
      </c>
      <c r="C13" s="133">
        <v>5.409293408248435</v>
      </c>
      <c r="D13" s="133">
        <v>6.1415322473395006</v>
      </c>
      <c r="E13" s="133">
        <v>7.0369271703295535</v>
      </c>
      <c r="F13" s="133">
        <v>8.1994409620955118</v>
      </c>
      <c r="G13" s="133">
        <v>9.4684406473934786</v>
      </c>
      <c r="H13" s="133">
        <v>10.919547886655877</v>
      </c>
      <c r="I13" s="133">
        <v>12.490253921879996</v>
      </c>
      <c r="J13" s="133">
        <v>14.325246250037408</v>
      </c>
      <c r="K13" s="133">
        <v>16.515481317107216</v>
      </c>
      <c r="L13" s="133">
        <v>19.250284488093026</v>
      </c>
      <c r="M13" s="133">
        <v>23.077535910897208</v>
      </c>
      <c r="N13" s="133">
        <v>27.609344437448442</v>
      </c>
      <c r="O13" s="133">
        <v>33.222217031027697</v>
      </c>
      <c r="P13" s="133">
        <v>39.300655106402914</v>
      </c>
      <c r="Q13" s="133">
        <v>48.627834987001116</v>
      </c>
      <c r="R13" s="133">
        <v>52.797523415299551</v>
      </c>
      <c r="S13" s="133">
        <v>58.815029307943561</v>
      </c>
      <c r="T13" s="133">
        <v>67.177950656944532</v>
      </c>
      <c r="U13" s="133">
        <v>73.724624195423758</v>
      </c>
      <c r="V13" s="133">
        <v>76.700784668617402</v>
      </c>
      <c r="W13" s="133">
        <v>103.1816860855451</v>
      </c>
      <c r="DA13" s="157" t="s">
        <v>310</v>
      </c>
    </row>
    <row r="14" spans="1:105" ht="12" customHeight="1" x14ac:dyDescent="0.25">
      <c r="A14" s="60" t="s">
        <v>76</v>
      </c>
      <c r="B14" s="65">
        <v>266.47027869707682</v>
      </c>
      <c r="C14" s="65">
        <v>303.2165114518175</v>
      </c>
      <c r="D14" s="65">
        <v>318.58879638845184</v>
      </c>
      <c r="E14" s="65">
        <v>304.27705741203215</v>
      </c>
      <c r="F14" s="65">
        <v>315.77883168944572</v>
      </c>
      <c r="G14" s="65">
        <v>314.84367545443661</v>
      </c>
      <c r="H14" s="65">
        <v>325.20173221661048</v>
      </c>
      <c r="I14" s="65">
        <v>330.12541990349177</v>
      </c>
      <c r="J14" s="65">
        <v>339.08164108211128</v>
      </c>
      <c r="K14" s="65">
        <v>363.29560165975607</v>
      </c>
      <c r="L14" s="65">
        <v>386.8217554680906</v>
      </c>
      <c r="M14" s="65">
        <v>348.00401690496818</v>
      </c>
      <c r="N14" s="65">
        <v>376.74142019897755</v>
      </c>
      <c r="O14" s="65">
        <v>347.43464088167588</v>
      </c>
      <c r="P14" s="65">
        <v>335.72849462238867</v>
      </c>
      <c r="Q14" s="65">
        <v>324.77942448478041</v>
      </c>
      <c r="R14" s="65">
        <v>334.7064161314695</v>
      </c>
      <c r="S14" s="65">
        <v>308.28002436476987</v>
      </c>
      <c r="T14" s="65">
        <v>349.17004025217062</v>
      </c>
      <c r="U14" s="65">
        <v>313.92981887098097</v>
      </c>
      <c r="V14" s="65">
        <v>279.19635788968196</v>
      </c>
      <c r="W14" s="65">
        <v>294.62458093404121</v>
      </c>
      <c r="DA14" s="109" t="s">
        <v>311</v>
      </c>
    </row>
    <row r="15" spans="1:105" ht="12" customHeight="1" x14ac:dyDescent="0.25">
      <c r="A15" s="134" t="s">
        <v>80</v>
      </c>
      <c r="B15" s="135">
        <v>5.956646275015526</v>
      </c>
      <c r="C15" s="135">
        <v>6.3799594692957893</v>
      </c>
      <c r="D15" s="135">
        <v>6.3802023563781916</v>
      </c>
      <c r="E15" s="135">
        <v>6.3156117950359807</v>
      </c>
      <c r="F15" s="135">
        <v>6.0998112466662491</v>
      </c>
      <c r="G15" s="135">
        <v>5.8311338838966682</v>
      </c>
      <c r="H15" s="135">
        <v>5.8228827213607897</v>
      </c>
      <c r="I15" s="135">
        <v>6.0485834536308296</v>
      </c>
      <c r="J15" s="135">
        <v>5.5529292499756728</v>
      </c>
      <c r="K15" s="135">
        <v>6.3064901255394927</v>
      </c>
      <c r="L15" s="135">
        <v>7.0803202251245114</v>
      </c>
      <c r="M15" s="135">
        <v>6.06503298772693</v>
      </c>
      <c r="N15" s="135">
        <v>6.7619786389562719</v>
      </c>
      <c r="O15" s="135">
        <v>6.2386217056449151</v>
      </c>
      <c r="P15" s="135">
        <v>6.4522627102157895</v>
      </c>
      <c r="Q15" s="135">
        <v>5.7577421033754952</v>
      </c>
      <c r="R15" s="135">
        <v>6.3666744288174204</v>
      </c>
      <c r="S15" s="135">
        <v>6.4557651493675028</v>
      </c>
      <c r="T15" s="135">
        <v>6.5471318536167527</v>
      </c>
      <c r="U15" s="135">
        <v>6.4698291409824673</v>
      </c>
      <c r="V15" s="135">
        <v>5.9330437877838929</v>
      </c>
      <c r="W15" s="135">
        <v>7.0680938632949211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21.808907026227164</v>
      </c>
      <c r="C16" s="131">
        <f t="shared" si="4"/>
        <v>23.0828471128202</v>
      </c>
      <c r="D16" s="131">
        <f t="shared" si="4"/>
        <v>25.04090463020227</v>
      </c>
      <c r="E16" s="131">
        <f t="shared" si="4"/>
        <v>28.222687780460824</v>
      </c>
      <c r="F16" s="131">
        <f t="shared" si="4"/>
        <v>29.45219930442671</v>
      </c>
      <c r="G16" s="131">
        <f t="shared" si="4"/>
        <v>32.73698557176553</v>
      </c>
      <c r="H16" s="131">
        <f t="shared" si="4"/>
        <v>35.975098777145114</v>
      </c>
      <c r="I16" s="131">
        <f t="shared" si="4"/>
        <v>40.191709758341645</v>
      </c>
      <c r="J16" s="131">
        <f t="shared" si="4"/>
        <v>44.917827964019942</v>
      </c>
      <c r="K16" s="131">
        <f t="shared" si="4"/>
        <v>47.630107843203611</v>
      </c>
      <c r="L16" s="131">
        <f t="shared" si="4"/>
        <v>53.216759603375209</v>
      </c>
      <c r="M16" s="131">
        <f t="shared" si="4"/>
        <v>51.738976309523053</v>
      </c>
      <c r="N16" s="131">
        <f t="shared" si="4"/>
        <v>51.975884447510097</v>
      </c>
      <c r="O16" s="131">
        <f t="shared" si="4"/>
        <v>53.375085288544767</v>
      </c>
      <c r="P16" s="131">
        <f t="shared" si="4"/>
        <v>55.865475042957186</v>
      </c>
      <c r="Q16" s="131">
        <f t="shared" si="4"/>
        <v>57.190891172029964</v>
      </c>
      <c r="R16" s="131">
        <f t="shared" ref="R16:W16" si="5">SUM(R17:R18)</f>
        <v>59.574213783153802</v>
      </c>
      <c r="S16" s="131">
        <f t="shared" si="5"/>
        <v>60.151085657722319</v>
      </c>
      <c r="T16" s="131">
        <f t="shared" si="5"/>
        <v>60.687325174914214</v>
      </c>
      <c r="U16" s="131">
        <f t="shared" si="5"/>
        <v>62.075862750273068</v>
      </c>
      <c r="V16" s="131">
        <f t="shared" si="5"/>
        <v>62.988257310228178</v>
      </c>
      <c r="W16" s="131">
        <f t="shared" si="5"/>
        <v>62.717438845304272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21.808907026227164</v>
      </c>
      <c r="C18" s="133">
        <v>23.0828471128202</v>
      </c>
      <c r="D18" s="133">
        <v>25.04090463020227</v>
      </c>
      <c r="E18" s="133">
        <v>28.222687780460824</v>
      </c>
      <c r="F18" s="133">
        <v>29.45219930442671</v>
      </c>
      <c r="G18" s="133">
        <v>32.73698557176553</v>
      </c>
      <c r="H18" s="133">
        <v>35.975098777145114</v>
      </c>
      <c r="I18" s="133">
        <v>40.191709758341645</v>
      </c>
      <c r="J18" s="133">
        <v>44.917827964019942</v>
      </c>
      <c r="K18" s="133">
        <v>47.630107843203611</v>
      </c>
      <c r="L18" s="133">
        <v>53.216759603375209</v>
      </c>
      <c r="M18" s="133">
        <v>51.738976309523053</v>
      </c>
      <c r="N18" s="133">
        <v>51.975884447510097</v>
      </c>
      <c r="O18" s="133">
        <v>53.375085288544767</v>
      </c>
      <c r="P18" s="133">
        <v>55.865475042957186</v>
      </c>
      <c r="Q18" s="133">
        <v>57.190891172029964</v>
      </c>
      <c r="R18" s="133">
        <v>59.574213783153802</v>
      </c>
      <c r="S18" s="133">
        <v>60.151085657722319</v>
      </c>
      <c r="T18" s="133">
        <v>60.687325174914214</v>
      </c>
      <c r="U18" s="133">
        <v>62.075862750273068</v>
      </c>
      <c r="V18" s="133">
        <v>62.988257310228178</v>
      </c>
      <c r="W18" s="133">
        <v>62.717438845304272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134.99002126979343</v>
      </c>
      <c r="C19" s="131">
        <f t="shared" si="6"/>
        <v>136.50959438670213</v>
      </c>
      <c r="D19" s="131">
        <f t="shared" si="6"/>
        <v>137.02133332947193</v>
      </c>
      <c r="E19" s="131">
        <f t="shared" si="6"/>
        <v>138.66745114207328</v>
      </c>
      <c r="F19" s="131">
        <f t="shared" si="6"/>
        <v>139.840301016213</v>
      </c>
      <c r="G19" s="131">
        <f t="shared" si="6"/>
        <v>142.54090640416592</v>
      </c>
      <c r="H19" s="131">
        <f t="shared" si="6"/>
        <v>144.45994283321764</v>
      </c>
      <c r="I19" s="131">
        <f t="shared" si="6"/>
        <v>146.43167597674898</v>
      </c>
      <c r="J19" s="131">
        <f t="shared" si="6"/>
        <v>148.09888116618615</v>
      </c>
      <c r="K19" s="131">
        <f t="shared" si="6"/>
        <v>149.50491611156804</v>
      </c>
      <c r="L19" s="131">
        <f t="shared" si="6"/>
        <v>152.33007786518618</v>
      </c>
      <c r="M19" s="131">
        <f t="shared" si="6"/>
        <v>154.110557724779</v>
      </c>
      <c r="N19" s="131">
        <f t="shared" si="6"/>
        <v>156.53753110245805</v>
      </c>
      <c r="O19" s="131">
        <f t="shared" si="6"/>
        <v>157.96365560742976</v>
      </c>
      <c r="P19" s="131">
        <f t="shared" si="6"/>
        <v>160.21764235328359</v>
      </c>
      <c r="Q19" s="131">
        <f t="shared" si="6"/>
        <v>161.79208106654693</v>
      </c>
      <c r="R19" s="131">
        <f t="shared" ref="R19:W19" si="7">SUM(R20:R27)</f>
        <v>163.29426892641993</v>
      </c>
      <c r="S19" s="131">
        <f t="shared" si="7"/>
        <v>164.50366452155171</v>
      </c>
      <c r="T19" s="131">
        <f t="shared" si="7"/>
        <v>167.33845876860977</v>
      </c>
      <c r="U19" s="131">
        <f t="shared" si="7"/>
        <v>168.22428550512626</v>
      </c>
      <c r="V19" s="131">
        <f t="shared" si="7"/>
        <v>154.33955013298947</v>
      </c>
      <c r="W19" s="131">
        <f t="shared" si="7"/>
        <v>175.51942049676632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10.984120192303378</v>
      </c>
      <c r="C22" s="133">
        <v>11.172761214842835</v>
      </c>
      <c r="D22" s="133">
        <v>11.686865807470623</v>
      </c>
      <c r="E22" s="133">
        <v>11.951546177260727</v>
      </c>
      <c r="F22" s="133">
        <v>12.07372507392485</v>
      </c>
      <c r="G22" s="133">
        <v>12.096564860017034</v>
      </c>
      <c r="H22" s="133">
        <v>12.413205535627364</v>
      </c>
      <c r="I22" s="133">
        <v>12.491248330959941</v>
      </c>
      <c r="J22" s="133">
        <v>12.565492915179203</v>
      </c>
      <c r="K22" s="133">
        <v>12.697729838259738</v>
      </c>
      <c r="L22" s="133">
        <v>13.965265604637832</v>
      </c>
      <c r="M22" s="133">
        <v>14.259693142771606</v>
      </c>
      <c r="N22" s="133">
        <v>14.083056766363637</v>
      </c>
      <c r="O22" s="133">
        <v>14.114612509563406</v>
      </c>
      <c r="P22" s="133">
        <v>13.618120850325431</v>
      </c>
      <c r="Q22" s="133">
        <v>13.513580729256915</v>
      </c>
      <c r="R22" s="133">
        <v>13.70754156511455</v>
      </c>
      <c r="S22" s="133">
        <v>12.155127066072831</v>
      </c>
      <c r="T22" s="133">
        <v>10.613833596084143</v>
      </c>
      <c r="U22" s="133">
        <v>10.306874407890293</v>
      </c>
      <c r="V22" s="133">
        <v>9.3067435016683238</v>
      </c>
      <c r="W22" s="133">
        <v>10.906701295303614</v>
      </c>
      <c r="DA22" s="157" t="s">
        <v>319</v>
      </c>
    </row>
    <row r="23" spans="1:105" ht="12" customHeight="1" x14ac:dyDescent="0.25">
      <c r="A23" s="132" t="s">
        <v>153</v>
      </c>
      <c r="B23" s="133">
        <v>1.8872896496353924</v>
      </c>
      <c r="C23" s="133">
        <v>1.9026628069795193</v>
      </c>
      <c r="D23" s="133">
        <v>1.9388339617226218</v>
      </c>
      <c r="E23" s="133">
        <v>1.9718008640787916</v>
      </c>
      <c r="F23" s="133">
        <v>2.0445250225145819</v>
      </c>
      <c r="G23" s="133">
        <v>2.0884990755569475</v>
      </c>
      <c r="H23" s="133">
        <v>2.0054567996355801</v>
      </c>
      <c r="I23" s="133">
        <v>1.999718203514544</v>
      </c>
      <c r="J23" s="133">
        <v>1.9957322033137586</v>
      </c>
      <c r="K23" s="133">
        <v>1.9261159912589823</v>
      </c>
      <c r="L23" s="133">
        <v>1.8451480854759139</v>
      </c>
      <c r="M23" s="133">
        <v>1.8370718609254628</v>
      </c>
      <c r="N23" s="133">
        <v>1.8254020776477722</v>
      </c>
      <c r="O23" s="133">
        <v>1.8127193641678732</v>
      </c>
      <c r="P23" s="133">
        <v>1.766913023432902</v>
      </c>
      <c r="Q23" s="133">
        <v>1.7514790106405449</v>
      </c>
      <c r="R23" s="133">
        <v>1.7062751937527918</v>
      </c>
      <c r="S23" s="133">
        <v>1.9523231744458569</v>
      </c>
      <c r="T23" s="133">
        <v>1.7101420495418211</v>
      </c>
      <c r="U23" s="133">
        <v>1.6367284568051035</v>
      </c>
      <c r="V23" s="133">
        <v>1.590356051594368</v>
      </c>
      <c r="W23" s="133">
        <v>1.9851388019151925</v>
      </c>
      <c r="DA23" s="157" t="s">
        <v>320</v>
      </c>
    </row>
    <row r="24" spans="1:105" ht="12" customHeight="1" x14ac:dyDescent="0.25">
      <c r="A24" s="132" t="s">
        <v>128</v>
      </c>
      <c r="B24" s="133">
        <v>2.404055659047672</v>
      </c>
      <c r="C24" s="133">
        <v>3.0858419017041152</v>
      </c>
      <c r="D24" s="133">
        <v>3.2421610132460086</v>
      </c>
      <c r="E24" s="133">
        <v>3.3261426249378876</v>
      </c>
      <c r="F24" s="133">
        <v>3.4672420742398593</v>
      </c>
      <c r="G24" s="133">
        <v>3.5568465880803783</v>
      </c>
      <c r="H24" s="133">
        <v>3.7554537514353794</v>
      </c>
      <c r="I24" s="133">
        <v>3.9082339221558851</v>
      </c>
      <c r="J24" s="133">
        <v>4.3699693784715246</v>
      </c>
      <c r="K24" s="133">
        <v>4.3024209381197185</v>
      </c>
      <c r="L24" s="133">
        <v>4.5347037291026044</v>
      </c>
      <c r="M24" s="133">
        <v>4.750960412847089</v>
      </c>
      <c r="N24" s="133">
        <v>4.8310934479957748</v>
      </c>
      <c r="O24" s="133">
        <v>4.8111349591772061</v>
      </c>
      <c r="P24" s="133">
        <v>4.8652640679123618</v>
      </c>
      <c r="Q24" s="133">
        <v>4.9103517389769209</v>
      </c>
      <c r="R24" s="133">
        <v>5.7747992259906704</v>
      </c>
      <c r="S24" s="133">
        <v>5.8255270522063443</v>
      </c>
      <c r="T24" s="133">
        <v>5.9980998686832905</v>
      </c>
      <c r="U24" s="133">
        <v>6.0826570421734276</v>
      </c>
      <c r="V24" s="133">
        <v>5.5518487059408006</v>
      </c>
      <c r="W24" s="133">
        <v>6.9061437057702113</v>
      </c>
      <c r="DA24" s="157" t="s">
        <v>321</v>
      </c>
    </row>
    <row r="25" spans="1:105" ht="12" customHeight="1" x14ac:dyDescent="0.25">
      <c r="A25" s="132" t="s">
        <v>169</v>
      </c>
      <c r="B25" s="133">
        <v>66.118797807949719</v>
      </c>
      <c r="C25" s="133">
        <v>68.508511276018623</v>
      </c>
      <c r="D25" s="133">
        <v>69.254540909909707</v>
      </c>
      <c r="E25" s="133">
        <v>71.023626714109028</v>
      </c>
      <c r="F25" s="133">
        <v>72.519453417812414</v>
      </c>
      <c r="G25" s="133">
        <v>75.120581674658055</v>
      </c>
      <c r="H25" s="133">
        <v>77.854110136177752</v>
      </c>
      <c r="I25" s="133">
        <v>80.83325071235997</v>
      </c>
      <c r="J25" s="133">
        <v>81.278406199107962</v>
      </c>
      <c r="K25" s="133">
        <v>81.944385770430856</v>
      </c>
      <c r="L25" s="133">
        <v>81.851525920020222</v>
      </c>
      <c r="M25" s="133">
        <v>81.911294825743099</v>
      </c>
      <c r="N25" s="133">
        <v>82.280640568912887</v>
      </c>
      <c r="O25" s="133">
        <v>82.817128871525469</v>
      </c>
      <c r="P25" s="133">
        <v>83.020954698924911</v>
      </c>
      <c r="Q25" s="133">
        <v>82.89996232857176</v>
      </c>
      <c r="R25" s="133">
        <v>84.386007663831009</v>
      </c>
      <c r="S25" s="133">
        <v>84.330650125625269</v>
      </c>
      <c r="T25" s="133">
        <v>86.533364423369875</v>
      </c>
      <c r="U25" s="133">
        <v>83.514735933735281</v>
      </c>
      <c r="V25" s="133">
        <v>76.269584828584854</v>
      </c>
      <c r="W25" s="133">
        <v>90.78723955611963</v>
      </c>
      <c r="DA25" s="157" t="s">
        <v>322</v>
      </c>
    </row>
    <row r="26" spans="1:105" ht="12" customHeight="1" x14ac:dyDescent="0.25">
      <c r="A26" s="132" t="s">
        <v>24</v>
      </c>
      <c r="B26" s="65">
        <v>53.595757960857263</v>
      </c>
      <c r="C26" s="65">
        <v>51.839817187157024</v>
      </c>
      <c r="D26" s="65">
        <v>50.898931637122963</v>
      </c>
      <c r="E26" s="65">
        <v>50.394334761686835</v>
      </c>
      <c r="F26" s="65">
        <v>49.735355427721302</v>
      </c>
      <c r="G26" s="65">
        <v>49.678414205853493</v>
      </c>
      <c r="H26" s="65">
        <v>48.431716610341567</v>
      </c>
      <c r="I26" s="65">
        <v>47.19922480775864</v>
      </c>
      <c r="J26" s="65">
        <v>47.889280470113704</v>
      </c>
      <c r="K26" s="65">
        <v>48.634263573498743</v>
      </c>
      <c r="L26" s="65">
        <v>50.133434525949617</v>
      </c>
      <c r="M26" s="65">
        <v>51.351537482491743</v>
      </c>
      <c r="N26" s="65">
        <v>53.517338241537971</v>
      </c>
      <c r="O26" s="65">
        <v>54.408059902995817</v>
      </c>
      <c r="P26" s="65">
        <v>56.946389712687981</v>
      </c>
      <c r="Q26" s="65">
        <v>58.716707259100787</v>
      </c>
      <c r="R26" s="65">
        <v>57.719645277730905</v>
      </c>
      <c r="S26" s="65">
        <v>60.240037103201423</v>
      </c>
      <c r="T26" s="65">
        <v>62.483018830930632</v>
      </c>
      <c r="U26" s="65">
        <v>66.683289664522178</v>
      </c>
      <c r="V26" s="65">
        <v>61.621017045201135</v>
      </c>
      <c r="W26" s="65">
        <v>64.934197137657648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124.23693851066913</v>
      </c>
      <c r="C29" s="131">
        <f t="shared" si="8"/>
        <v>122.35490405383726</v>
      </c>
      <c r="D29" s="131">
        <f t="shared" si="8"/>
        <v>120.95672660964436</v>
      </c>
      <c r="E29" s="131">
        <f t="shared" si="8"/>
        <v>120.26669024615995</v>
      </c>
      <c r="F29" s="131">
        <f t="shared" si="8"/>
        <v>121.65728731828281</v>
      </c>
      <c r="G29" s="131">
        <f t="shared" si="8"/>
        <v>121.60507360119674</v>
      </c>
      <c r="H29" s="131">
        <f t="shared" si="8"/>
        <v>123.94145930482877</v>
      </c>
      <c r="I29" s="131">
        <f t="shared" si="8"/>
        <v>123.8738637081477</v>
      </c>
      <c r="J29" s="131">
        <f t="shared" si="8"/>
        <v>123.91392653137997</v>
      </c>
      <c r="K29" s="131">
        <f t="shared" si="8"/>
        <v>125.27230417254937</v>
      </c>
      <c r="L29" s="131">
        <f t="shared" si="8"/>
        <v>124.64665314074661</v>
      </c>
      <c r="M29" s="131">
        <f t="shared" si="8"/>
        <v>126.4109039215008</v>
      </c>
      <c r="N29" s="131">
        <f t="shared" si="8"/>
        <v>126.2613252828389</v>
      </c>
      <c r="O29" s="131">
        <f t="shared" si="8"/>
        <v>125.45512553084907</v>
      </c>
      <c r="P29" s="131">
        <f t="shared" si="8"/>
        <v>127.25083787152712</v>
      </c>
      <c r="Q29" s="131">
        <f t="shared" si="8"/>
        <v>129.30194755180671</v>
      </c>
      <c r="R29" s="131">
        <f t="shared" ref="R29:W29" si="9">SUM(R30:R33)</f>
        <v>133.7558701807929</v>
      </c>
      <c r="S29" s="131">
        <f t="shared" si="9"/>
        <v>134.67416223903814</v>
      </c>
      <c r="T29" s="131">
        <f t="shared" si="9"/>
        <v>136.1962681695355</v>
      </c>
      <c r="U29" s="131">
        <f t="shared" si="9"/>
        <v>141.57114449995066</v>
      </c>
      <c r="V29" s="131">
        <f t="shared" si="9"/>
        <v>131.0363944568378</v>
      </c>
      <c r="W29" s="131">
        <f t="shared" si="9"/>
        <v>147.40465721016503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326</v>
      </c>
    </row>
    <row r="31" spans="1:105" ht="12" customHeight="1" x14ac:dyDescent="0.25">
      <c r="A31" s="132" t="s">
        <v>153</v>
      </c>
      <c r="B31" s="133">
        <v>2.6469796252972828</v>
      </c>
      <c r="C31" s="133">
        <v>2.6575995427928105</v>
      </c>
      <c r="D31" s="133">
        <v>2.7288791743487746</v>
      </c>
      <c r="E31" s="133">
        <v>2.7801437106439333</v>
      </c>
      <c r="F31" s="133">
        <v>2.8535891833371481</v>
      </c>
      <c r="G31" s="133">
        <v>2.8850090192421112</v>
      </c>
      <c r="H31" s="133">
        <v>2.8911057496389692</v>
      </c>
      <c r="I31" s="133">
        <v>2.8736539545917816</v>
      </c>
      <c r="J31" s="133">
        <v>2.8583680755089493</v>
      </c>
      <c r="K31" s="133">
        <v>2.6731960266598933</v>
      </c>
      <c r="L31" s="133">
        <v>2.5199973332529417</v>
      </c>
      <c r="M31" s="133">
        <v>2.3304776701395475</v>
      </c>
      <c r="N31" s="133">
        <v>2.2754940806922477</v>
      </c>
      <c r="O31" s="133">
        <v>2.2651491361440845</v>
      </c>
      <c r="P31" s="133">
        <v>2.1604211229670218</v>
      </c>
      <c r="Q31" s="133">
        <v>2.1143445148280828</v>
      </c>
      <c r="R31" s="133">
        <v>2.0222538699444788</v>
      </c>
      <c r="S31" s="133">
        <v>2.2663806357602057</v>
      </c>
      <c r="T31" s="133">
        <v>1.9312200586147938</v>
      </c>
      <c r="U31" s="133">
        <v>1.8257791811595721</v>
      </c>
      <c r="V31" s="133">
        <v>1.7859973254307633</v>
      </c>
      <c r="W31" s="133">
        <v>2.3719993512175268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121.58995888537186</v>
      </c>
      <c r="C33" s="68">
        <v>119.69730451104445</v>
      </c>
      <c r="D33" s="68">
        <v>118.22784743529559</v>
      </c>
      <c r="E33" s="68">
        <v>117.48654653551603</v>
      </c>
      <c r="F33" s="68">
        <v>118.80369813494566</v>
      </c>
      <c r="G33" s="68">
        <v>118.72006458195463</v>
      </c>
      <c r="H33" s="68">
        <v>121.0503535551898</v>
      </c>
      <c r="I33" s="68">
        <v>121.00020975355591</v>
      </c>
      <c r="J33" s="68">
        <v>121.05555845587102</v>
      </c>
      <c r="K33" s="68">
        <v>122.59910814588947</v>
      </c>
      <c r="L33" s="68">
        <v>122.12665580749366</v>
      </c>
      <c r="M33" s="68">
        <v>124.08042625136126</v>
      </c>
      <c r="N33" s="68">
        <v>123.98583120214666</v>
      </c>
      <c r="O33" s="68">
        <v>123.18997639470498</v>
      </c>
      <c r="P33" s="68">
        <v>125.0904167485601</v>
      </c>
      <c r="Q33" s="68">
        <v>127.18760303697863</v>
      </c>
      <c r="R33" s="68">
        <v>131.73361631084842</v>
      </c>
      <c r="S33" s="68">
        <v>132.40778160327793</v>
      </c>
      <c r="T33" s="68">
        <v>134.2650481109207</v>
      </c>
      <c r="U33" s="68">
        <v>139.7453653187911</v>
      </c>
      <c r="V33" s="68">
        <v>129.25039713140703</v>
      </c>
      <c r="W33" s="68">
        <v>145.03265785894749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0.67767974688845534</v>
      </c>
      <c r="C3" s="127">
        <f>IF(SER_hh_tes!C3=0,"",SER_hh_tes!C3/SER_hh_fec!C3)</f>
        <v>0.68406077357937656</v>
      </c>
      <c r="D3" s="127">
        <f>IF(SER_hh_tes!D3=0,"",SER_hh_tes!D3/SER_hh_fec!D3)</f>
        <v>0.6895736228171</v>
      </c>
      <c r="E3" s="127">
        <f>IF(SER_hh_tes!E3=0,"",SER_hh_tes!E3/SER_hh_fec!E3)</f>
        <v>0.69560022218465878</v>
      </c>
      <c r="F3" s="127">
        <f>IF(SER_hh_tes!F3=0,"",SER_hh_tes!F3/SER_hh_fec!F3)</f>
        <v>0.70053605744413294</v>
      </c>
      <c r="G3" s="127">
        <f>IF(SER_hh_tes!G3=0,"",SER_hh_tes!G3/SER_hh_fec!G3)</f>
        <v>0.70757012544564069</v>
      </c>
      <c r="H3" s="127">
        <f>IF(SER_hh_tes!H3=0,"",SER_hh_tes!H3/SER_hh_fec!H3)</f>
        <v>0.71464476514124287</v>
      </c>
      <c r="I3" s="127">
        <f>IF(SER_hh_tes!I3=0,"",SER_hh_tes!I3/SER_hh_fec!I3)</f>
        <v>0.72635307239448177</v>
      </c>
      <c r="J3" s="127">
        <f>IF(SER_hh_tes!J3=0,"",SER_hh_tes!J3/SER_hh_fec!J3)</f>
        <v>0.73822786116687877</v>
      </c>
      <c r="K3" s="127">
        <f>IF(SER_hh_tes!K3=0,"",SER_hh_tes!K3/SER_hh_fec!K3)</f>
        <v>0.7447171076775454</v>
      </c>
      <c r="L3" s="127">
        <f>IF(SER_hh_tes!L3=0,"",SER_hh_tes!L3/SER_hh_fec!L3)</f>
        <v>0.7482339993181244</v>
      </c>
      <c r="M3" s="127">
        <f>IF(SER_hh_tes!M3=0,"",SER_hh_tes!M3/SER_hh_fec!M3)</f>
        <v>0.75634289329520332</v>
      </c>
      <c r="N3" s="127">
        <f>IF(SER_hh_tes!N3=0,"",SER_hh_tes!N3/SER_hh_fec!N3)</f>
        <v>0.76339069864416265</v>
      </c>
      <c r="O3" s="127">
        <f>IF(SER_hh_tes!O3=0,"",SER_hh_tes!O3/SER_hh_fec!O3)</f>
        <v>0.77606734007262668</v>
      </c>
      <c r="P3" s="127">
        <f>IF(SER_hh_tes!P3=0,"",SER_hh_tes!P3/SER_hh_fec!P3)</f>
        <v>0.78278043881376813</v>
      </c>
      <c r="Q3" s="127">
        <f>IF(SER_hh_tes!Q3=0,"",SER_hh_tes!Q3/SER_hh_fec!Q3)</f>
        <v>0.79167119615954062</v>
      </c>
      <c r="R3" s="127">
        <f>IF(SER_hh_tes!R3=0,"",SER_hh_tes!R3/SER_hh_fec!R3)</f>
        <v>0.796686778218892</v>
      </c>
      <c r="S3" s="127">
        <f>IF(SER_hh_tes!S3=0,"",SER_hh_tes!S3/SER_hh_fec!S3)</f>
        <v>0.8059022097233276</v>
      </c>
      <c r="T3" s="127">
        <f>IF(SER_hh_tes!T3=0,"",SER_hh_tes!T3/SER_hh_fec!T3)</f>
        <v>0.81568595770495589</v>
      </c>
      <c r="U3" s="127">
        <f>IF(SER_hh_tes!U3=0,"",SER_hh_tes!U3/SER_hh_fec!U3)</f>
        <v>0.82692744083159975</v>
      </c>
      <c r="V3" s="127">
        <f>IF(SER_hh_tes!V3=0,"",SER_hh_tes!V3/SER_hh_fec!V3)</f>
        <v>0.84124936229962577</v>
      </c>
      <c r="W3" s="127">
        <f>IF(SER_hh_tes!W3=0,"",SER_hh_tes!W3/SER_hh_fec!W3)</f>
        <v>0.85017996718928301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0.66387449960274314</v>
      </c>
      <c r="C4" s="136">
        <f>IF(SER_hh_tes!C4=0,"",SER_hh_tes!C4/SER_hh_fec!C4)</f>
        <v>0.67204623332498403</v>
      </c>
      <c r="D4" s="136">
        <f>IF(SER_hh_tes!D4=0,"",SER_hh_tes!D4/SER_hh_fec!D4)</f>
        <v>0.67774013216685292</v>
      </c>
      <c r="E4" s="136">
        <f>IF(SER_hh_tes!E4=0,"",SER_hh_tes!E4/SER_hh_fec!E4)</f>
        <v>0.68293770437162793</v>
      </c>
      <c r="F4" s="136">
        <f>IF(SER_hh_tes!F4=0,"",SER_hh_tes!F4/SER_hh_fec!F4)</f>
        <v>0.68741326563487581</v>
      </c>
      <c r="G4" s="136">
        <f>IF(SER_hh_tes!G4=0,"",SER_hh_tes!G4/SER_hh_fec!G4)</f>
        <v>0.69326722184078704</v>
      </c>
      <c r="H4" s="136">
        <f>IF(SER_hh_tes!H4=0,"",SER_hh_tes!H4/SER_hh_fec!H4)</f>
        <v>0.69969427728928968</v>
      </c>
      <c r="I4" s="136">
        <f>IF(SER_hh_tes!I4=0,"",SER_hh_tes!I4/SER_hh_fec!I4)</f>
        <v>0.71193222716739524</v>
      </c>
      <c r="J4" s="136">
        <f>IF(SER_hh_tes!J4=0,"",SER_hh_tes!J4/SER_hh_fec!J4)</f>
        <v>0.72304869150673534</v>
      </c>
      <c r="K4" s="136">
        <f>IF(SER_hh_tes!K4=0,"",SER_hh_tes!K4/SER_hh_fec!K4)</f>
        <v>0.73064136290162951</v>
      </c>
      <c r="L4" s="136">
        <f>IF(SER_hh_tes!L4=0,"",SER_hh_tes!L4/SER_hh_fec!L4)</f>
        <v>0.73338460418646378</v>
      </c>
      <c r="M4" s="136">
        <f>IF(SER_hh_tes!M4=0,"",SER_hh_tes!M4/SER_hh_fec!M4)</f>
        <v>0.74046839670177844</v>
      </c>
      <c r="N4" s="136">
        <f>IF(SER_hh_tes!N4=0,"",SER_hh_tes!N4/SER_hh_fec!N4)</f>
        <v>0.7491956317669759</v>
      </c>
      <c r="O4" s="136">
        <f>IF(SER_hh_tes!O4=0,"",SER_hh_tes!O4/SER_hh_fec!O4)</f>
        <v>0.76153203315177465</v>
      </c>
      <c r="P4" s="136">
        <f>IF(SER_hh_tes!P4=0,"",SER_hh_tes!P4/SER_hh_fec!P4)</f>
        <v>0.76827082249227996</v>
      </c>
      <c r="Q4" s="136">
        <f>IF(SER_hh_tes!Q4=0,"",SER_hh_tes!Q4/SER_hh_fec!Q4)</f>
        <v>0.77595036566987574</v>
      </c>
      <c r="R4" s="136">
        <f>IF(SER_hh_tes!R4=0,"",SER_hh_tes!R4/SER_hh_fec!R4)</f>
        <v>0.78080614710751406</v>
      </c>
      <c r="S4" s="136">
        <f>IF(SER_hh_tes!S4=0,"",SER_hh_tes!S4/SER_hh_fec!S4)</f>
        <v>0.78938070152233175</v>
      </c>
      <c r="T4" s="136">
        <f>IF(SER_hh_tes!T4=0,"",SER_hh_tes!T4/SER_hh_fec!T4)</f>
        <v>0.7991838876407571</v>
      </c>
      <c r="U4" s="136">
        <f>IF(SER_hh_tes!U4=0,"",SER_hh_tes!U4/SER_hh_fec!U4)</f>
        <v>0.80936859898059854</v>
      </c>
      <c r="V4" s="136">
        <f>IF(SER_hh_tes!V4=0,"",SER_hh_tes!V4/SER_hh_fec!V4)</f>
        <v>0.8210410968266636</v>
      </c>
      <c r="W4" s="136">
        <f>IF(SER_hh_tes!W4=0,"",SER_hh_tes!W4/SER_hh_fec!W4)</f>
        <v>0.83327141503149704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0.52090047791715732</v>
      </c>
      <c r="C5" s="137">
        <f>IF(SER_hh_tes!C5=0,"",SER_hh_tes!C5/SER_hh_fec!C5)</f>
        <v>0.52348932583223351</v>
      </c>
      <c r="D5" s="137">
        <f>IF(SER_hh_tes!D5=0,"",SER_hh_tes!D5/SER_hh_fec!D5)</f>
        <v>0.52815427499679324</v>
      </c>
      <c r="E5" s="137">
        <f>IF(SER_hh_tes!E5=0,"",SER_hh_tes!E5/SER_hh_fec!E5)</f>
        <v>0.5342818085049077</v>
      </c>
      <c r="F5" s="137">
        <f>IF(SER_hh_tes!F5=0,"",SER_hh_tes!F5/SER_hh_fec!F5)</f>
        <v>0.54177917402006481</v>
      </c>
      <c r="G5" s="137">
        <f>IF(SER_hh_tes!G5=0,"",SER_hh_tes!G5/SER_hh_fec!G5)</f>
        <v>0.54950781936637072</v>
      </c>
      <c r="H5" s="137">
        <f>IF(SER_hh_tes!H5=0,"",SER_hh_tes!H5/SER_hh_fec!H5)</f>
        <v>0.55869487192520084</v>
      </c>
      <c r="I5" s="137">
        <f>IF(SER_hh_tes!I5=0,"",SER_hh_tes!I5/SER_hh_fec!I5)</f>
        <v>0.5699016284362024</v>
      </c>
      <c r="J5" s="137">
        <f>IF(SER_hh_tes!J5=0,"",SER_hh_tes!J5/SER_hh_fec!J5)</f>
        <v>0.5806216501186775</v>
      </c>
      <c r="K5" s="137">
        <f>IF(SER_hh_tes!K5=0,"",SER_hh_tes!K5/SER_hh_fec!K5)</f>
        <v>0.59283797132730154</v>
      </c>
      <c r="L5" s="137">
        <f>IF(SER_hh_tes!L5=0,"",SER_hh_tes!L5/SER_hh_fec!L5)</f>
        <v>0.60563743467503806</v>
      </c>
      <c r="M5" s="137">
        <f>IF(SER_hh_tes!M5=0,"",SER_hh_tes!M5/SER_hh_fec!M5)</f>
        <v>0.61737624393200052</v>
      </c>
      <c r="N5" s="137">
        <f>IF(SER_hh_tes!N5=0,"",SER_hh_tes!N5/SER_hh_fec!N5)</f>
        <v>0.63035818254577147</v>
      </c>
      <c r="O5" s="137">
        <f>IF(SER_hh_tes!O5=0,"",SER_hh_tes!O5/SER_hh_fec!O5)</f>
        <v>0.64113929087305543</v>
      </c>
      <c r="P5" s="137">
        <f>IF(SER_hh_tes!P5=0,"",SER_hh_tes!P5/SER_hh_fec!P5)</f>
        <v>0.64313585841317256</v>
      </c>
      <c r="Q5" s="137">
        <f>IF(SER_hh_tes!Q5=0,"",SER_hh_tes!Q5/SER_hh_fec!Q5)</f>
        <v>0.64573364766235064</v>
      </c>
      <c r="R5" s="137">
        <f>IF(SER_hh_tes!R5=0,"",SER_hh_tes!R5/SER_hh_fec!R5)</f>
        <v>0.64953878321629299</v>
      </c>
      <c r="S5" s="137">
        <f>IF(SER_hh_tes!S5=0,"",SER_hh_tes!S5/SER_hh_fec!S5)</f>
        <v>0.6549623362684176</v>
      </c>
      <c r="T5" s="137">
        <f>IF(SER_hh_tes!T5=0,"",SER_hh_tes!T5/SER_hh_fec!T5)</f>
        <v>0.66130055287159062</v>
      </c>
      <c r="U5" s="137">
        <f>IF(SER_hh_tes!U5=0,"",SER_hh_tes!U5/SER_hh_fec!U5)</f>
        <v>0.66775237266220833</v>
      </c>
      <c r="V5" s="137">
        <f>IF(SER_hh_tes!V5=0,"",SER_hh_tes!V5/SER_hh_fec!V5)</f>
        <v>0.67454800583559016</v>
      </c>
      <c r="W5" s="137">
        <f>IF(SER_hh_tes!W5=0,"",SER_hh_tes!W5/SER_hh_fec!W5)</f>
        <v>0.68256127358813679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0.4508622632033219</v>
      </c>
      <c r="C7" s="137">
        <f>IF(SER_hh_tes!C7=0,"",SER_hh_tes!C7/SER_hh_fec!C7)</f>
        <v>0.45318533155992463</v>
      </c>
      <c r="D7" s="137">
        <f>IF(SER_hh_tes!D7=0,"",SER_hh_tes!D7/SER_hh_fec!D7)</f>
        <v>0.45648297937361182</v>
      </c>
      <c r="E7" s="137">
        <f>IF(SER_hh_tes!E7=0,"",SER_hh_tes!E7/SER_hh_fec!E7)</f>
        <v>0.46108347079442724</v>
      </c>
      <c r="F7" s="137">
        <f>IF(SER_hh_tes!F7=0,"",SER_hh_tes!F7/SER_hh_fec!F7)</f>
        <v>0.46682580653130762</v>
      </c>
      <c r="G7" s="137">
        <f>IF(SER_hh_tes!G7=0,"",SER_hh_tes!G7/SER_hh_fec!G7)</f>
        <v>0.47275817917115809</v>
      </c>
      <c r="H7" s="137">
        <f>IF(SER_hh_tes!H7=0,"",SER_hh_tes!H7/SER_hh_fec!H7)</f>
        <v>0.47801045451247903</v>
      </c>
      <c r="I7" s="137">
        <f>IF(SER_hh_tes!I7=0,"",SER_hh_tes!I7/SER_hh_fec!I7)</f>
        <v>0.48216544883355139</v>
      </c>
      <c r="J7" s="137">
        <f>IF(SER_hh_tes!J7=0,"",SER_hh_tes!J7/SER_hh_fec!J7)</f>
        <v>0.48781153850082548</v>
      </c>
      <c r="K7" s="137">
        <f>IF(SER_hh_tes!K7=0,"",SER_hh_tes!K7/SER_hh_fec!K7)</f>
        <v>0.49986505838652323</v>
      </c>
      <c r="L7" s="137">
        <f>IF(SER_hh_tes!L7=0,"",SER_hh_tes!L7/SER_hh_fec!L7)</f>
        <v>0.51764702324962064</v>
      </c>
      <c r="M7" s="137">
        <f>IF(SER_hh_tes!M7=0,"",SER_hh_tes!M7/SER_hh_fec!M7)</f>
        <v>0.53706463993304665</v>
      </c>
      <c r="N7" s="137">
        <f>IF(SER_hh_tes!N7=0,"",SER_hh_tes!N7/SER_hh_fec!N7)</f>
        <v>0.55868401623311326</v>
      </c>
      <c r="O7" s="137">
        <f>IF(SER_hh_tes!O7=0,"",SER_hh_tes!O7/SER_hh_fec!O7)</f>
        <v>0.57891843141251942</v>
      </c>
      <c r="P7" s="137">
        <f>IF(SER_hh_tes!P7=0,"",SER_hh_tes!P7/SER_hh_fec!P7)</f>
        <v>0.58303672919185634</v>
      </c>
      <c r="Q7" s="137">
        <f>IF(SER_hh_tes!Q7=0,"",SER_hh_tes!Q7/SER_hh_fec!Q7)</f>
        <v>0.59074420506794567</v>
      </c>
      <c r="R7" s="137">
        <f>IF(SER_hh_tes!R7=0,"",SER_hh_tes!R7/SER_hh_fec!R7)</f>
        <v>0.60188044254097961</v>
      </c>
      <c r="S7" s="137">
        <f>IF(SER_hh_tes!S7=0,"",SER_hh_tes!S7/SER_hh_fec!S7)</f>
        <v>0.61607774378101399</v>
      </c>
      <c r="T7" s="137">
        <f>IF(SER_hh_tes!T7=0,"",SER_hh_tes!T7/SER_hh_fec!T7)</f>
        <v>0.63005224085475631</v>
      </c>
      <c r="U7" s="137">
        <f>IF(SER_hh_tes!U7=0,"",SER_hh_tes!U7/SER_hh_fec!U7)</f>
        <v>0.64535969139320482</v>
      </c>
      <c r="V7" s="137">
        <f>IF(SER_hh_tes!V7=0,"",SER_hh_tes!V7/SER_hh_fec!V7)</f>
        <v>0.65993514557518029</v>
      </c>
      <c r="W7" s="137">
        <f>IF(SER_hh_tes!W7=0,"",SER_hh_tes!W7/SER_hh_fec!W7)</f>
        <v>0.67234066181085272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0.49559336606078958</v>
      </c>
      <c r="C9" s="137">
        <f>IF(SER_hh_tes!C9=0,"",SER_hh_tes!C9/SER_hh_fec!C9)</f>
        <v>0.50537474888925071</v>
      </c>
      <c r="D9" s="137">
        <f>IF(SER_hh_tes!D9=0,"",SER_hh_tes!D9/SER_hh_fec!D9)</f>
        <v>0.51741403945429565</v>
      </c>
      <c r="E9" s="137">
        <f>IF(SER_hh_tes!E9=0,"",SER_hh_tes!E9/SER_hh_fec!E9)</f>
        <v>0.52873926468597354</v>
      </c>
      <c r="F9" s="137">
        <f>IF(SER_hh_tes!F9=0,"",SER_hh_tes!F9/SER_hh_fec!F9)</f>
        <v>0.54073894150508495</v>
      </c>
      <c r="G9" s="137">
        <f>IF(SER_hh_tes!G9=0,"",SER_hh_tes!G9/SER_hh_fec!G9)</f>
        <v>0.54923531054259223</v>
      </c>
      <c r="H9" s="137">
        <f>IF(SER_hh_tes!H9=0,"",SER_hh_tes!H9/SER_hh_fec!H9)</f>
        <v>0.55546866719015864</v>
      </c>
      <c r="I9" s="137">
        <f>IF(SER_hh_tes!I9=0,"",SER_hh_tes!I9/SER_hh_fec!I9)</f>
        <v>0.56047054376887051</v>
      </c>
      <c r="J9" s="137">
        <f>IF(SER_hh_tes!J9=0,"",SER_hh_tes!J9/SER_hh_fec!J9)</f>
        <v>0.567594549299546</v>
      </c>
      <c r="K9" s="137">
        <f>IF(SER_hh_tes!K9=0,"",SER_hh_tes!K9/SER_hh_fec!K9)</f>
        <v>0.57935907265027509</v>
      </c>
      <c r="L9" s="137">
        <f>IF(SER_hh_tes!L9=0,"",SER_hh_tes!L9/SER_hh_fec!L9)</f>
        <v>0.59412410105577163</v>
      </c>
      <c r="M9" s="137">
        <f>IF(SER_hh_tes!M9=0,"",SER_hh_tes!M9/SER_hh_fec!M9)</f>
        <v>0.60873928972981906</v>
      </c>
      <c r="N9" s="137">
        <f>IF(SER_hh_tes!N9=0,"",SER_hh_tes!N9/SER_hh_fec!N9)</f>
        <v>0.62564877960247733</v>
      </c>
      <c r="O9" s="137">
        <f>IF(SER_hh_tes!O9=0,"",SER_hh_tes!O9/SER_hh_fec!O9)</f>
        <v>0.64462336589496827</v>
      </c>
      <c r="P9" s="137">
        <f>IF(SER_hh_tes!P9=0,"",SER_hh_tes!P9/SER_hh_fec!P9)</f>
        <v>0.65279165916041737</v>
      </c>
      <c r="Q9" s="137">
        <f>IF(SER_hh_tes!Q9=0,"",SER_hh_tes!Q9/SER_hh_fec!Q9)</f>
        <v>0.66082434493008579</v>
      </c>
      <c r="R9" s="137">
        <f>IF(SER_hh_tes!R9=0,"",SER_hh_tes!R9/SER_hh_fec!R9)</f>
        <v>0.67202600903543119</v>
      </c>
      <c r="S9" s="137">
        <f>IF(SER_hh_tes!S9=0,"",SER_hh_tes!S9/SER_hh_fec!S9)</f>
        <v>0.68328531914782287</v>
      </c>
      <c r="T9" s="137">
        <f>IF(SER_hh_tes!T9=0,"",SER_hh_tes!T9/SER_hh_fec!T9)</f>
        <v>0.69362276625333175</v>
      </c>
      <c r="U9" s="137">
        <f>IF(SER_hh_tes!U9=0,"",SER_hh_tes!U9/SER_hh_fec!U9)</f>
        <v>0.70397685491241635</v>
      </c>
      <c r="V9" s="137">
        <f>IF(SER_hh_tes!V9=0,"",SER_hh_tes!V9/SER_hh_fec!V9)</f>
        <v>0.71254002554516749</v>
      </c>
      <c r="W9" s="137">
        <f>IF(SER_hh_tes!W9=0,"",SER_hh_tes!W9/SER_hh_fec!W9)</f>
        <v>0.72025474828714886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0.44508272093278139</v>
      </c>
      <c r="C10" s="137">
        <f>IF(SER_hh_tes!C10=0,"",SER_hh_tes!C10/SER_hh_fec!C10)</f>
        <v>0.45265783432992801</v>
      </c>
      <c r="D10" s="137">
        <f>IF(SER_hh_tes!D10=0,"",SER_hh_tes!D10/SER_hh_fec!D10)</f>
        <v>0.4612181458676623</v>
      </c>
      <c r="E10" s="137">
        <f>IF(SER_hh_tes!E10=0,"",SER_hh_tes!E10/SER_hh_fec!E10)</f>
        <v>0.46991681040233346</v>
      </c>
      <c r="F10" s="137">
        <f>IF(SER_hh_tes!F10=0,"",SER_hh_tes!F10/SER_hh_fec!F10)</f>
        <v>0.47846874564152425</v>
      </c>
      <c r="G10" s="137">
        <f>IF(SER_hh_tes!G10=0,"",SER_hh_tes!G10/SER_hh_fec!G10)</f>
        <v>0.48654721916477023</v>
      </c>
      <c r="H10" s="137">
        <f>IF(SER_hh_tes!H10=0,"",SER_hh_tes!H10/SER_hh_fec!H10)</f>
        <v>0.49445714989587192</v>
      </c>
      <c r="I10" s="137">
        <f>IF(SER_hh_tes!I10=0,"",SER_hh_tes!I10/SER_hh_fec!I10)</f>
        <v>0.50159575864691919</v>
      </c>
      <c r="J10" s="137">
        <f>IF(SER_hh_tes!J10=0,"",SER_hh_tes!J10/SER_hh_fec!J10)</f>
        <v>0.50977346028477943</v>
      </c>
      <c r="K10" s="137">
        <f>IF(SER_hh_tes!K10=0,"",SER_hh_tes!K10/SER_hh_fec!K10)</f>
        <v>0.51707321564046627</v>
      </c>
      <c r="L10" s="137">
        <f>IF(SER_hh_tes!L10=0,"",SER_hh_tes!L10/SER_hh_fec!L10)</f>
        <v>0.52461731136898893</v>
      </c>
      <c r="M10" s="137">
        <f>IF(SER_hh_tes!M10=0,"",SER_hh_tes!M10/SER_hh_fec!M10)</f>
        <v>0.53177750530488488</v>
      </c>
      <c r="N10" s="137">
        <f>IF(SER_hh_tes!N10=0,"",SER_hh_tes!N10/SER_hh_fec!N10)</f>
        <v>0.53889493502299668</v>
      </c>
      <c r="O10" s="137">
        <f>IF(SER_hh_tes!O10=0,"",SER_hh_tes!O10/SER_hh_fec!O10)</f>
        <v>0.54463811313948629</v>
      </c>
      <c r="P10" s="137">
        <f>IF(SER_hh_tes!P10=0,"",SER_hh_tes!P10/SER_hh_fec!P10)</f>
        <v>0.54474251913732408</v>
      </c>
      <c r="Q10" s="137">
        <f>IF(SER_hh_tes!Q10=0,"",SER_hh_tes!Q10/SER_hh_fec!Q10)</f>
        <v>0.54489347421868095</v>
      </c>
      <c r="R10" s="137">
        <f>IF(SER_hh_tes!R10=0,"",SER_hh_tes!R10/SER_hh_fec!R10)</f>
        <v>0.54510733610303785</v>
      </c>
      <c r="S10" s="137">
        <f>IF(SER_hh_tes!S10=0,"",SER_hh_tes!S10/SER_hh_fec!S10)</f>
        <v>0.5453825670148198</v>
      </c>
      <c r="T10" s="137">
        <f>IF(SER_hh_tes!T10=0,"",SER_hh_tes!T10/SER_hh_fec!T10)</f>
        <v>0.54565385268285937</v>
      </c>
      <c r="U10" s="137">
        <f>IF(SER_hh_tes!U10=0,"",SER_hh_tes!U10/SER_hh_fec!U10)</f>
        <v>0.54593570847930561</v>
      </c>
      <c r="V10" s="137">
        <f>IF(SER_hh_tes!V10=0,"",SER_hh_tes!V10/SER_hh_fec!V10)</f>
        <v>0.54621013438009325</v>
      </c>
      <c r="W10" s="137">
        <f>IF(SER_hh_tes!W10=0,"",SER_hh_tes!W10/SER_hh_fec!W10)</f>
        <v>0.54647687093080477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0.77068070123513632</v>
      </c>
      <c r="C12" s="137">
        <f>IF(SER_hh_tes!C12=0,"",SER_hh_tes!C12/SER_hh_fec!C12)</f>
        <v>0.77311467666124845</v>
      </c>
      <c r="D12" s="137">
        <f>IF(SER_hh_tes!D12=0,"",SER_hh_tes!D12/SER_hh_fec!D12)</f>
        <v>0.77553336964911113</v>
      </c>
      <c r="E12" s="137">
        <f>IF(SER_hh_tes!E12=0,"",SER_hh_tes!E12/SER_hh_fec!E12)</f>
        <v>0.77791688667938597</v>
      </c>
      <c r="F12" s="137">
        <f>IF(SER_hh_tes!F12=0,"",SER_hh_tes!F12/SER_hh_fec!F12)</f>
        <v>0.78038418015832445</v>
      </c>
      <c r="G12" s="137">
        <f>IF(SER_hh_tes!G12=0,"",SER_hh_tes!G12/SER_hh_fec!G12)</f>
        <v>0.78301796848187699</v>
      </c>
      <c r="H12" s="137">
        <f>IF(SER_hh_tes!H12=0,"",SER_hh_tes!H12/SER_hh_fec!H12)</f>
        <v>0.78606061832838781</v>
      </c>
      <c r="I12" s="137">
        <f>IF(SER_hh_tes!I12=0,"",SER_hh_tes!I12/SER_hh_fec!I12)</f>
        <v>0.78944959389314373</v>
      </c>
      <c r="J12" s="137">
        <f>IF(SER_hh_tes!J12=0,"",SER_hh_tes!J12/SER_hh_fec!J12)</f>
        <v>0.79255825444176653</v>
      </c>
      <c r="K12" s="137">
        <f>IF(SER_hh_tes!K12=0,"",SER_hh_tes!K12/SER_hh_fec!K12)</f>
        <v>0.79556401971200996</v>
      </c>
      <c r="L12" s="137">
        <f>IF(SER_hh_tes!L12=0,"",SER_hh_tes!L12/SER_hh_fec!L12)</f>
        <v>0.79853224701443182</v>
      </c>
      <c r="M12" s="137">
        <f>IF(SER_hh_tes!M12=0,"",SER_hh_tes!M12/SER_hh_fec!M12)</f>
        <v>0.80171035259889667</v>
      </c>
      <c r="N12" s="137">
        <f>IF(SER_hh_tes!N12=0,"",SER_hh_tes!N12/SER_hh_fec!N12)</f>
        <v>0.80550359134665239</v>
      </c>
      <c r="O12" s="137">
        <f>IF(SER_hh_tes!O12=0,"",SER_hh_tes!O12/SER_hh_fec!O12)</f>
        <v>0.80932808822282687</v>
      </c>
      <c r="P12" s="137">
        <f>IF(SER_hh_tes!P12=0,"",SER_hh_tes!P12/SER_hh_fec!P12)</f>
        <v>0.81086405661211858</v>
      </c>
      <c r="Q12" s="137">
        <f>IF(SER_hh_tes!Q12=0,"",SER_hh_tes!Q12/SER_hh_fec!Q12)</f>
        <v>0.81276624738909931</v>
      </c>
      <c r="R12" s="137">
        <f>IF(SER_hh_tes!R12=0,"",SER_hh_tes!R12/SER_hh_fec!R12)</f>
        <v>0.8156070623656454</v>
      </c>
      <c r="S12" s="137">
        <f>IF(SER_hh_tes!S12=0,"",SER_hh_tes!S12/SER_hh_fec!S12)</f>
        <v>0.81939325314771039</v>
      </c>
      <c r="T12" s="137">
        <f>IF(SER_hh_tes!T12=0,"",SER_hh_tes!T12/SER_hh_fec!T12)</f>
        <v>0.82319790425204231</v>
      </c>
      <c r="U12" s="137">
        <f>IF(SER_hh_tes!U12=0,"",SER_hh_tes!U12/SER_hh_fec!U12)</f>
        <v>0.82732556628046705</v>
      </c>
      <c r="V12" s="137">
        <f>IF(SER_hh_tes!V12=0,"",SER_hh_tes!V12/SER_hh_fec!V12)</f>
        <v>0.83170040999981643</v>
      </c>
      <c r="W12" s="137">
        <f>IF(SER_hh_tes!W12=0,"",SER_hh_tes!W12/SER_hh_fec!W12)</f>
        <v>0.83644678665384187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1.3399167724082668</v>
      </c>
      <c r="C13" s="137">
        <f>IF(SER_hh_tes!C13=0,"",SER_hh_tes!C13/SER_hh_fec!C13)</f>
        <v>1.3526161151060749</v>
      </c>
      <c r="D13" s="137">
        <f>IF(SER_hh_tes!D13=0,"",SER_hh_tes!D13/SER_hh_fec!D13)</f>
        <v>1.3870288602802676</v>
      </c>
      <c r="E13" s="137">
        <f>IF(SER_hh_tes!E13=0,"",SER_hh_tes!E13/SER_hh_fec!E13)</f>
        <v>1.4344285068827063</v>
      </c>
      <c r="F13" s="137">
        <f>IF(SER_hh_tes!F13=0,"",SER_hh_tes!F13/SER_hh_fec!F13)</f>
        <v>1.4940743032393187</v>
      </c>
      <c r="G13" s="137">
        <f>IF(SER_hh_tes!G13=0,"",SER_hh_tes!G13/SER_hh_fec!G13)</f>
        <v>1.5577577506892204</v>
      </c>
      <c r="H13" s="137">
        <f>IF(SER_hh_tes!H13=0,"",SER_hh_tes!H13/SER_hh_fec!H13)</f>
        <v>1.6224864152401417</v>
      </c>
      <c r="I13" s="137">
        <f>IF(SER_hh_tes!I13=0,"",SER_hh_tes!I13/SER_hh_fec!I13)</f>
        <v>1.6842123685848827</v>
      </c>
      <c r="J13" s="137">
        <f>IF(SER_hh_tes!J13=0,"",SER_hh_tes!J13/SER_hh_fec!J13)</f>
        <v>1.7513857171228793</v>
      </c>
      <c r="K13" s="137">
        <f>IF(SER_hh_tes!K13=0,"",SER_hh_tes!K13/SER_hh_fec!K13)</f>
        <v>1.8258258740515521</v>
      </c>
      <c r="L13" s="137">
        <f>IF(SER_hh_tes!L13=0,"",SER_hh_tes!L13/SER_hh_fec!L13)</f>
        <v>1.9191380570770087</v>
      </c>
      <c r="M13" s="137">
        <f>IF(SER_hh_tes!M13=0,"",SER_hh_tes!M13/SER_hh_fec!M13)</f>
        <v>2.046311699091651</v>
      </c>
      <c r="N13" s="137">
        <f>IF(SER_hh_tes!N13=0,"",SER_hh_tes!N13/SER_hh_fec!N13)</f>
        <v>2.1672939356964429</v>
      </c>
      <c r="O13" s="137">
        <f>IF(SER_hh_tes!O13=0,"",SER_hh_tes!O13/SER_hh_fec!O13)</f>
        <v>2.3075505869731781</v>
      </c>
      <c r="P13" s="137">
        <f>IF(SER_hh_tes!P13=0,"",SER_hh_tes!P13/SER_hh_fec!P13)</f>
        <v>2.4128660764870182</v>
      </c>
      <c r="Q13" s="137">
        <f>IF(SER_hh_tes!Q13=0,"",SER_hh_tes!Q13/SER_hh_fec!Q13)</f>
        <v>2.5310319037022975</v>
      </c>
      <c r="R13" s="137">
        <f>IF(SER_hh_tes!R13=0,"",SER_hh_tes!R13/SER_hh_fec!R13)</f>
        <v>2.6157104743272055</v>
      </c>
      <c r="S13" s="137">
        <f>IF(SER_hh_tes!S13=0,"",SER_hh_tes!S13/SER_hh_fec!S13)</f>
        <v>2.7075935444754293</v>
      </c>
      <c r="T13" s="137">
        <f>IF(SER_hh_tes!T13=0,"",SER_hh_tes!T13/SER_hh_fec!T13)</f>
        <v>2.7941504093501419</v>
      </c>
      <c r="U13" s="137">
        <f>IF(SER_hh_tes!U13=0,"",SER_hh_tes!U13/SER_hh_fec!U13)</f>
        <v>2.8801837003371955</v>
      </c>
      <c r="V13" s="137">
        <f>IF(SER_hh_tes!V13=0,"",SER_hh_tes!V13/SER_hh_fec!V13)</f>
        <v>2.9561684897445719</v>
      </c>
      <c r="W13" s="137">
        <f>IF(SER_hh_tes!W13=0,"",SER_hh_tes!W13/SER_hh_fec!W13)</f>
        <v>3.0146359748578435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0.68474199565456328</v>
      </c>
      <c r="C14" s="138">
        <f>IF(SER_hh_tes!C14=0,"",SER_hh_tes!C14/SER_hh_fec!C14)</f>
        <v>0.68790051912795191</v>
      </c>
      <c r="D14" s="138">
        <f>IF(SER_hh_tes!D14=0,"",SER_hh_tes!D14/SER_hh_fec!D14)</f>
        <v>0.69113764335182348</v>
      </c>
      <c r="E14" s="138">
        <f>IF(SER_hh_tes!E14=0,"",SER_hh_tes!E14/SER_hh_fec!E14)</f>
        <v>0.69458384744591728</v>
      </c>
      <c r="F14" s="138">
        <f>IF(SER_hh_tes!F14=0,"",SER_hh_tes!F14/SER_hh_fec!F14)</f>
        <v>0.69894213270240046</v>
      </c>
      <c r="G14" s="138">
        <f>IF(SER_hh_tes!G14=0,"",SER_hh_tes!G14/SER_hh_fec!G14)</f>
        <v>0.70327277574453528</v>
      </c>
      <c r="H14" s="138">
        <f>IF(SER_hh_tes!H14=0,"",SER_hh_tes!H14/SER_hh_fec!H14)</f>
        <v>0.7077658212412683</v>
      </c>
      <c r="I14" s="138">
        <f>IF(SER_hh_tes!I14=0,"",SER_hh_tes!I14/SER_hh_fec!I14)</f>
        <v>0.71186420857465016</v>
      </c>
      <c r="J14" s="138">
        <f>IF(SER_hh_tes!J14=0,"",SER_hh_tes!J14/SER_hh_fec!J14)</f>
        <v>0.71666609522552305</v>
      </c>
      <c r="K14" s="138">
        <f>IF(SER_hh_tes!K14=0,"",SER_hh_tes!K14/SER_hh_fec!K14)</f>
        <v>0.72153153210898202</v>
      </c>
      <c r="L14" s="138">
        <f>IF(SER_hh_tes!L14=0,"",SER_hh_tes!L14/SER_hh_fec!L14)</f>
        <v>0.72737817945107408</v>
      </c>
      <c r="M14" s="138">
        <f>IF(SER_hh_tes!M14=0,"",SER_hh_tes!M14/SER_hh_fec!M14)</f>
        <v>0.73437179364702676</v>
      </c>
      <c r="N14" s="138">
        <f>IF(SER_hh_tes!N14=0,"",SER_hh_tes!N14/SER_hh_fec!N14)</f>
        <v>0.74198078967029191</v>
      </c>
      <c r="O14" s="138">
        <f>IF(SER_hh_tes!O14=0,"",SER_hh_tes!O14/SER_hh_fec!O14)</f>
        <v>0.74952722515212467</v>
      </c>
      <c r="P14" s="138">
        <f>IF(SER_hh_tes!P14=0,"",SER_hh_tes!P14/SER_hh_fec!P14)</f>
        <v>0.75119366692177192</v>
      </c>
      <c r="Q14" s="138">
        <f>IF(SER_hh_tes!Q14=0,"",SER_hh_tes!Q14/SER_hh_fec!Q14)</f>
        <v>0.75503086204144887</v>
      </c>
      <c r="R14" s="138">
        <f>IF(SER_hh_tes!R14=0,"",SER_hh_tes!R14/SER_hh_fec!R14)</f>
        <v>0.76007422590965501</v>
      </c>
      <c r="S14" s="138">
        <f>IF(SER_hh_tes!S14=0,"",SER_hh_tes!S14/SER_hh_fec!S14)</f>
        <v>0.76782158607905193</v>
      </c>
      <c r="T14" s="138">
        <f>IF(SER_hh_tes!T14=0,"",SER_hh_tes!T14/SER_hh_fec!T14)</f>
        <v>0.77803073604474082</v>
      </c>
      <c r="U14" s="138">
        <f>IF(SER_hh_tes!U14=0,"",SER_hh_tes!U14/SER_hh_fec!U14)</f>
        <v>0.787104260727708</v>
      </c>
      <c r="V14" s="138">
        <f>IF(SER_hh_tes!V14=0,"",SER_hh_tes!V14/SER_hh_fec!V14)</f>
        <v>0.79675635220357521</v>
      </c>
      <c r="W14" s="138">
        <f>IF(SER_hh_tes!W14=0,"",SER_hh_tes!W14/SER_hh_fec!W14)</f>
        <v>0.80579580564776343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1.9009640741327103</v>
      </c>
      <c r="C16" s="136">
        <f>IF(SER_hh_tes!C16=0,"",SER_hh_tes!C16/SER_hh_fec!C16)</f>
        <v>1.9828362671399202</v>
      </c>
      <c r="D16" s="136">
        <f>IF(SER_hh_tes!D16=0,"",SER_hh_tes!D16/SER_hh_fec!D16)</f>
        <v>2.0828055678301314</v>
      </c>
      <c r="E16" s="136">
        <f>IF(SER_hh_tes!E16=0,"",SER_hh_tes!E16/SER_hh_fec!E16)</f>
        <v>2.1878377931856186</v>
      </c>
      <c r="F16" s="136">
        <f>IF(SER_hh_tes!F16=0,"",SER_hh_tes!F16/SER_hh_fec!F16)</f>
        <v>2.3031224130160917</v>
      </c>
      <c r="G16" s="136">
        <f>IF(SER_hh_tes!G16=0,"",SER_hh_tes!G16/SER_hh_fec!G16)</f>
        <v>2.4337720443866053</v>
      </c>
      <c r="H16" s="136">
        <f>IF(SER_hh_tes!H16=0,"",SER_hh_tes!H16/SER_hh_fec!H16)</f>
        <v>2.5661453507238634</v>
      </c>
      <c r="I16" s="136">
        <f>IF(SER_hh_tes!I16=0,"",SER_hh_tes!I16/SER_hh_fec!I16)</f>
        <v>2.7150113518815151</v>
      </c>
      <c r="J16" s="136">
        <f>IF(SER_hh_tes!J16=0,"",SER_hh_tes!J16/SER_hh_fec!J16)</f>
        <v>2.8733767909173618</v>
      </c>
      <c r="K16" s="136">
        <f>IF(SER_hh_tes!K16=0,"",SER_hh_tes!K16/SER_hh_fec!K16)</f>
        <v>2.9206210095248952</v>
      </c>
      <c r="L16" s="136">
        <f>IF(SER_hh_tes!L16=0,"",SER_hh_tes!L16/SER_hh_fec!L16)</f>
        <v>2.9813472978740103</v>
      </c>
      <c r="M16" s="136">
        <f>IF(SER_hh_tes!M16=0,"",SER_hh_tes!M16/SER_hh_fec!M16)</f>
        <v>3.0663549995367014</v>
      </c>
      <c r="N16" s="136">
        <f>IF(SER_hh_tes!N16=0,"",SER_hh_tes!N16/SER_hh_fec!N16)</f>
        <v>3.1562368112303663</v>
      </c>
      <c r="O16" s="136">
        <f>IF(SER_hh_tes!O16=0,"",SER_hh_tes!O16/SER_hh_fec!O16)</f>
        <v>3.2630275125386512</v>
      </c>
      <c r="P16" s="136">
        <f>IF(SER_hh_tes!P16=0,"",SER_hh_tes!P16/SER_hh_fec!P16)</f>
        <v>3.3933298402591259</v>
      </c>
      <c r="Q16" s="136">
        <f>IF(SER_hh_tes!Q16=0,"",SER_hh_tes!Q16/SER_hh_fec!Q16)</f>
        <v>3.5358161991248234</v>
      </c>
      <c r="R16" s="136">
        <f>IF(SER_hh_tes!R16=0,"",SER_hh_tes!R16/SER_hh_fec!R16)</f>
        <v>3.6715824037293365</v>
      </c>
      <c r="S16" s="136">
        <f>IF(SER_hh_tes!S16=0,"",SER_hh_tes!S16/SER_hh_fec!S16)</f>
        <v>3.8043164525761757</v>
      </c>
      <c r="T16" s="136">
        <f>IF(SER_hh_tes!T16=0,"",SER_hh_tes!T16/SER_hh_fec!T16)</f>
        <v>3.9271949524766567</v>
      </c>
      <c r="U16" s="136">
        <f>IF(SER_hh_tes!U16=0,"",SER_hh_tes!U16/SER_hh_fec!U16)</f>
        <v>4.0285328114782732</v>
      </c>
      <c r="V16" s="136">
        <f>IF(SER_hh_tes!V16=0,"",SER_hh_tes!V16/SER_hh_fec!V16)</f>
        <v>4.129337615598339</v>
      </c>
      <c r="W16" s="136">
        <f>IF(SER_hh_tes!W16=0,"",SER_hh_tes!W16/SER_hh_fec!W16)</f>
        <v>4.2294794153405695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1.9009640741327103</v>
      </c>
      <c r="C18" s="137">
        <f>IF(SER_hh_tes!C18=0,"",SER_hh_tes!C18/SER_hh_fec!C18)</f>
        <v>1.9828362671399202</v>
      </c>
      <c r="D18" s="137">
        <f>IF(SER_hh_tes!D18=0,"",SER_hh_tes!D18/SER_hh_fec!D18)</f>
        <v>2.0828055678301314</v>
      </c>
      <c r="E18" s="137">
        <f>IF(SER_hh_tes!E18=0,"",SER_hh_tes!E18/SER_hh_fec!E18)</f>
        <v>2.1878377931856186</v>
      </c>
      <c r="F18" s="137">
        <f>IF(SER_hh_tes!F18=0,"",SER_hh_tes!F18/SER_hh_fec!F18)</f>
        <v>2.3031224130160917</v>
      </c>
      <c r="G18" s="137">
        <f>IF(SER_hh_tes!G18=0,"",SER_hh_tes!G18/SER_hh_fec!G18)</f>
        <v>2.4337720443866053</v>
      </c>
      <c r="H18" s="137">
        <f>IF(SER_hh_tes!H18=0,"",SER_hh_tes!H18/SER_hh_fec!H18)</f>
        <v>2.5661453507238634</v>
      </c>
      <c r="I18" s="137">
        <f>IF(SER_hh_tes!I18=0,"",SER_hh_tes!I18/SER_hh_fec!I18)</f>
        <v>2.7150113518815151</v>
      </c>
      <c r="J18" s="137">
        <f>IF(SER_hh_tes!J18=0,"",SER_hh_tes!J18/SER_hh_fec!J18)</f>
        <v>2.8733767909173618</v>
      </c>
      <c r="K18" s="137">
        <f>IF(SER_hh_tes!K18=0,"",SER_hh_tes!K18/SER_hh_fec!K18)</f>
        <v>2.9206210095248952</v>
      </c>
      <c r="L18" s="137">
        <f>IF(SER_hh_tes!L18=0,"",SER_hh_tes!L18/SER_hh_fec!L18)</f>
        <v>2.9813472978740103</v>
      </c>
      <c r="M18" s="137">
        <f>IF(SER_hh_tes!M18=0,"",SER_hh_tes!M18/SER_hh_fec!M18)</f>
        <v>3.0663549995367014</v>
      </c>
      <c r="N18" s="137">
        <f>IF(SER_hh_tes!N18=0,"",SER_hh_tes!N18/SER_hh_fec!N18)</f>
        <v>3.1562368112303663</v>
      </c>
      <c r="O18" s="137">
        <f>IF(SER_hh_tes!O18=0,"",SER_hh_tes!O18/SER_hh_fec!O18)</f>
        <v>3.2630275125386512</v>
      </c>
      <c r="P18" s="137">
        <f>IF(SER_hh_tes!P18=0,"",SER_hh_tes!P18/SER_hh_fec!P18)</f>
        <v>3.3933298402591259</v>
      </c>
      <c r="Q18" s="137">
        <f>IF(SER_hh_tes!Q18=0,"",SER_hh_tes!Q18/SER_hh_fec!Q18)</f>
        <v>3.5358161991248234</v>
      </c>
      <c r="R18" s="137">
        <f>IF(SER_hh_tes!R18=0,"",SER_hh_tes!R18/SER_hh_fec!R18)</f>
        <v>3.6715824037293365</v>
      </c>
      <c r="S18" s="137">
        <f>IF(SER_hh_tes!S18=0,"",SER_hh_tes!S18/SER_hh_fec!S18)</f>
        <v>3.8043164525761757</v>
      </c>
      <c r="T18" s="137">
        <f>IF(SER_hh_tes!T18=0,"",SER_hh_tes!T18/SER_hh_fec!T18)</f>
        <v>3.9271949524766567</v>
      </c>
      <c r="U18" s="137">
        <f>IF(SER_hh_tes!U18=0,"",SER_hh_tes!U18/SER_hh_fec!U18)</f>
        <v>4.0285328114782732</v>
      </c>
      <c r="V18" s="137">
        <f>IF(SER_hh_tes!V18=0,"",SER_hh_tes!V18/SER_hh_fec!V18)</f>
        <v>4.129337615598339</v>
      </c>
      <c r="W18" s="137">
        <f>IF(SER_hh_tes!W18=0,"",SER_hh_tes!W18/SER_hh_fec!W18)</f>
        <v>4.2294794153405695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0.68293370409270926</v>
      </c>
      <c r="C19" s="136">
        <f>IF(SER_hh_tes!C19=0,"",SER_hh_tes!C19/SER_hh_fec!C19)</f>
        <v>0.68584149452430909</v>
      </c>
      <c r="D19" s="136">
        <f>IF(SER_hh_tes!D19=0,"",SER_hh_tes!D19/SER_hh_fec!D19)</f>
        <v>0.68818576980540513</v>
      </c>
      <c r="E19" s="136">
        <f>IF(SER_hh_tes!E19=0,"",SER_hh_tes!E19/SER_hh_fec!E19)</f>
        <v>0.69171981863048848</v>
      </c>
      <c r="F19" s="136">
        <f>IF(SER_hh_tes!F19=0,"",SER_hh_tes!F19/SER_hh_fec!F19)</f>
        <v>0.6954829933537513</v>
      </c>
      <c r="G19" s="136">
        <f>IF(SER_hh_tes!G19=0,"",SER_hh_tes!G19/SER_hh_fec!G19)</f>
        <v>0.70014204535137314</v>
      </c>
      <c r="H19" s="136">
        <f>IF(SER_hh_tes!H19=0,"",SER_hh_tes!H19/SER_hh_fec!H19)</f>
        <v>0.70510270464240854</v>
      </c>
      <c r="I19" s="136">
        <f>IF(SER_hh_tes!I19=0,"",SER_hh_tes!I19/SER_hh_fec!I19)</f>
        <v>0.71078887346089614</v>
      </c>
      <c r="J19" s="136">
        <f>IF(SER_hh_tes!J19=0,"",SER_hh_tes!J19/SER_hh_fec!J19)</f>
        <v>0.71432165225152466</v>
      </c>
      <c r="K19" s="136">
        <f>IF(SER_hh_tes!K19=0,"",SER_hh_tes!K19/SER_hh_fec!K19)</f>
        <v>0.71884665976974127</v>
      </c>
      <c r="L19" s="136">
        <f>IF(SER_hh_tes!L19=0,"",SER_hh_tes!L19/SER_hh_fec!L19)</f>
        <v>0.72115611298768534</v>
      </c>
      <c r="M19" s="136">
        <f>IF(SER_hh_tes!M19=0,"",SER_hh_tes!M19/SER_hh_fec!M19)</f>
        <v>0.7259650922585732</v>
      </c>
      <c r="N19" s="136">
        <f>IF(SER_hh_tes!N19=0,"",SER_hh_tes!N19/SER_hh_fec!N19)</f>
        <v>0.73276197743431204</v>
      </c>
      <c r="O19" s="136">
        <f>IF(SER_hh_tes!O19=0,"",SER_hh_tes!O19/SER_hh_fec!O19)</f>
        <v>0.74029114935899465</v>
      </c>
      <c r="P19" s="136">
        <f>IF(SER_hh_tes!P19=0,"",SER_hh_tes!P19/SER_hh_fec!P19)</f>
        <v>0.74382000337141962</v>
      </c>
      <c r="Q19" s="136">
        <f>IF(SER_hh_tes!Q19=0,"",SER_hh_tes!Q19/SER_hh_fec!Q19)</f>
        <v>0.74844834781949121</v>
      </c>
      <c r="R19" s="136">
        <f>IF(SER_hh_tes!R19=0,"",SER_hh_tes!R19/SER_hh_fec!R19)</f>
        <v>0.75523494311710015</v>
      </c>
      <c r="S19" s="136">
        <f>IF(SER_hh_tes!S19=0,"",SER_hh_tes!S19/SER_hh_fec!S19)</f>
        <v>0.76562285313558043</v>
      </c>
      <c r="T19" s="136">
        <f>IF(SER_hh_tes!T19=0,"",SER_hh_tes!T19/SER_hh_fec!T19)</f>
        <v>0.77801174333432122</v>
      </c>
      <c r="U19" s="136">
        <f>IF(SER_hh_tes!U19=0,"",SER_hh_tes!U19/SER_hh_fec!U19)</f>
        <v>0.78761865390023345</v>
      </c>
      <c r="V19" s="136">
        <f>IF(SER_hh_tes!V19=0,"",SER_hh_tes!V19/SER_hh_fec!V19)</f>
        <v>0.79918676487929108</v>
      </c>
      <c r="W19" s="136">
        <f>IF(SER_hh_tes!W19=0,"",SER_hh_tes!W19/SER_hh_fec!W19)</f>
        <v>0.81230441639501938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0.51236142155279063</v>
      </c>
      <c r="C22" s="137">
        <f>IF(SER_hh_tes!C22=0,"",SER_hh_tes!C22/SER_hh_fec!C22)</f>
        <v>0.51406799605199027</v>
      </c>
      <c r="D22" s="137">
        <f>IF(SER_hh_tes!D22=0,"",SER_hh_tes!D22/SER_hh_fec!D22)</f>
        <v>0.51613416694383962</v>
      </c>
      <c r="E22" s="137">
        <f>IF(SER_hh_tes!E22=0,"",SER_hh_tes!E22/SER_hh_fec!E22)</f>
        <v>0.51817091484635069</v>
      </c>
      <c r="F22" s="137">
        <f>IF(SER_hh_tes!F22=0,"",SER_hh_tes!F22/SER_hh_fec!F22)</f>
        <v>0.52029394154841768</v>
      </c>
      <c r="G22" s="137">
        <f>IF(SER_hh_tes!G22=0,"",SER_hh_tes!G22/SER_hh_fec!G22)</f>
        <v>0.52248909296552293</v>
      </c>
      <c r="H22" s="137">
        <f>IF(SER_hh_tes!H22=0,"",SER_hh_tes!H22/SER_hh_fec!H22)</f>
        <v>0.52501098899836529</v>
      </c>
      <c r="I22" s="137">
        <f>IF(SER_hh_tes!I22=0,"",SER_hh_tes!I22/SER_hh_fec!I22)</f>
        <v>0.52772721530518885</v>
      </c>
      <c r="J22" s="137">
        <f>IF(SER_hh_tes!J22=0,"",SER_hh_tes!J22/SER_hh_fec!J22)</f>
        <v>0.53092572256660775</v>
      </c>
      <c r="K22" s="137">
        <f>IF(SER_hh_tes!K22=0,"",SER_hh_tes!K22/SER_hh_fec!K22)</f>
        <v>0.53472026254760785</v>
      </c>
      <c r="L22" s="137">
        <f>IF(SER_hh_tes!L22=0,"",SER_hh_tes!L22/SER_hh_fec!L22)</f>
        <v>0.53936766847874273</v>
      </c>
      <c r="M22" s="137">
        <f>IF(SER_hh_tes!M22=0,"",SER_hh_tes!M22/SER_hh_fec!M22)</f>
        <v>0.54476150146790714</v>
      </c>
      <c r="N22" s="137">
        <f>IF(SER_hh_tes!N22=0,"",SER_hh_tes!N22/SER_hh_fec!N22)</f>
        <v>0.55138554277733975</v>
      </c>
      <c r="O22" s="137">
        <f>IF(SER_hh_tes!O22=0,"",SER_hh_tes!O22/SER_hh_fec!O22)</f>
        <v>0.55898686397195152</v>
      </c>
      <c r="P22" s="137">
        <f>IF(SER_hh_tes!P22=0,"",SER_hh_tes!P22/SER_hh_fec!P22)</f>
        <v>0.56195253164390735</v>
      </c>
      <c r="Q22" s="137">
        <f>IF(SER_hh_tes!Q22=0,"",SER_hh_tes!Q22/SER_hh_fec!Q22)</f>
        <v>0.5671991234181103</v>
      </c>
      <c r="R22" s="137">
        <f>IF(SER_hh_tes!R22=0,"",SER_hh_tes!R22/SER_hh_fec!R22)</f>
        <v>0.57385564879981066</v>
      </c>
      <c r="S22" s="137">
        <f>IF(SER_hh_tes!S22=0,"",SER_hh_tes!S22/SER_hh_fec!S22)</f>
        <v>0.57995905164055006</v>
      </c>
      <c r="T22" s="137">
        <f>IF(SER_hh_tes!T22=0,"",SER_hh_tes!T22/SER_hh_fec!T22)</f>
        <v>0.58652636409293879</v>
      </c>
      <c r="U22" s="137">
        <f>IF(SER_hh_tes!U22=0,"",SER_hh_tes!U22/SER_hh_fec!U22)</f>
        <v>0.59964389485203007</v>
      </c>
      <c r="V22" s="137">
        <f>IF(SER_hh_tes!V22=0,"",SER_hh_tes!V22/SER_hh_fec!V22)</f>
        <v>0.61913311773584623</v>
      </c>
      <c r="W22" s="137">
        <f>IF(SER_hh_tes!W22=0,"",SER_hh_tes!W22/SER_hh_fec!W22)</f>
        <v>0.64488687278100831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0.52344076425185637</v>
      </c>
      <c r="C23" s="137">
        <f>IF(SER_hh_tes!C23=0,"",SER_hh_tes!C23/SER_hh_fec!C23)</f>
        <v>0.5278795280041706</v>
      </c>
      <c r="D23" s="137">
        <f>IF(SER_hh_tes!D23=0,"",SER_hh_tes!D23/SER_hh_fec!D23)</f>
        <v>0.53332306681368913</v>
      </c>
      <c r="E23" s="137">
        <f>IF(SER_hh_tes!E23=0,"",SER_hh_tes!E23/SER_hh_fec!E23)</f>
        <v>0.53921478269180512</v>
      </c>
      <c r="F23" s="137">
        <f>IF(SER_hh_tes!F23=0,"",SER_hh_tes!F23/SER_hh_fec!F23)</f>
        <v>0.54553979981959533</v>
      </c>
      <c r="G23" s="137">
        <f>IF(SER_hh_tes!G23=0,"",SER_hh_tes!G23/SER_hh_fec!G23)</f>
        <v>0.55166696048310171</v>
      </c>
      <c r="H23" s="137">
        <f>IF(SER_hh_tes!H23=0,"",SER_hh_tes!H23/SER_hh_fec!H23)</f>
        <v>0.55752771486681896</v>
      </c>
      <c r="I23" s="137">
        <f>IF(SER_hh_tes!I23=0,"",SER_hh_tes!I23/SER_hh_fec!I23)</f>
        <v>0.56396546453735596</v>
      </c>
      <c r="J23" s="137">
        <f>IF(SER_hh_tes!J23=0,"",SER_hh_tes!J23/SER_hh_fec!J23)</f>
        <v>0.57086805432440768</v>
      </c>
      <c r="K23" s="137">
        <f>IF(SER_hh_tes!K23=0,"",SER_hh_tes!K23/SER_hh_fec!K23)</f>
        <v>0.57831437216854997</v>
      </c>
      <c r="L23" s="137">
        <f>IF(SER_hh_tes!L23=0,"",SER_hh_tes!L23/SER_hh_fec!L23)</f>
        <v>0.58683494294793126</v>
      </c>
      <c r="M23" s="137">
        <f>IF(SER_hh_tes!M23=0,"",SER_hh_tes!M23/SER_hh_fec!M23)</f>
        <v>0.59795602741389453</v>
      </c>
      <c r="N23" s="137">
        <f>IF(SER_hh_tes!N23=0,"",SER_hh_tes!N23/SER_hh_fec!N23)</f>
        <v>0.61226242643867868</v>
      </c>
      <c r="O23" s="137">
        <f>IF(SER_hh_tes!O23=0,"",SER_hh_tes!O23/SER_hh_fec!O23)</f>
        <v>0.62784523224354372</v>
      </c>
      <c r="P23" s="137">
        <f>IF(SER_hh_tes!P23=0,"",SER_hh_tes!P23/SER_hh_fec!P23)</f>
        <v>0.63226586335495172</v>
      </c>
      <c r="Q23" s="137">
        <f>IF(SER_hh_tes!Q23=0,"",SER_hh_tes!Q23/SER_hh_fec!Q23)</f>
        <v>0.64134339159335008</v>
      </c>
      <c r="R23" s="137">
        <f>IF(SER_hh_tes!R23=0,"",SER_hh_tes!R23/SER_hh_fec!R23)</f>
        <v>0.65414625343164379</v>
      </c>
      <c r="S23" s="137">
        <f>IF(SER_hh_tes!S23=0,"",SER_hh_tes!S23/SER_hh_fec!S23)</f>
        <v>0.67110424623217901</v>
      </c>
      <c r="T23" s="137">
        <f>IF(SER_hh_tes!T23=0,"",SER_hh_tes!T23/SER_hh_fec!T23)</f>
        <v>0.68906094757916725</v>
      </c>
      <c r="U23" s="137">
        <f>IF(SER_hh_tes!U23=0,"",SER_hh_tes!U23/SER_hh_fec!U23)</f>
        <v>0.70812076156699499</v>
      </c>
      <c r="V23" s="137">
        <f>IF(SER_hh_tes!V23=0,"",SER_hh_tes!V23/SER_hh_fec!V23)</f>
        <v>0.7273913238696097</v>
      </c>
      <c r="W23" s="137">
        <f>IF(SER_hh_tes!W23=0,"",SER_hh_tes!W23/SER_hh_fec!W23)</f>
        <v>0.74565303458266952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0.46065481024154514</v>
      </c>
      <c r="C24" s="137">
        <f>IF(SER_hh_tes!C24=0,"",SER_hh_tes!C24/SER_hh_fec!C24)</f>
        <v>0.47877959075992749</v>
      </c>
      <c r="D24" s="137">
        <f>IF(SER_hh_tes!D24=0,"",SER_hh_tes!D24/SER_hh_fec!D24)</f>
        <v>0.49299808562049158</v>
      </c>
      <c r="E24" s="137">
        <f>IF(SER_hh_tes!E24=0,"",SER_hh_tes!E24/SER_hh_fec!E24)</f>
        <v>0.50599594805760151</v>
      </c>
      <c r="F24" s="137">
        <f>IF(SER_hh_tes!F24=0,"",SER_hh_tes!F24/SER_hh_fec!F24)</f>
        <v>0.51833321302758184</v>
      </c>
      <c r="G24" s="137">
        <f>IF(SER_hh_tes!G24=0,"",SER_hh_tes!G24/SER_hh_fec!G24)</f>
        <v>0.53102791037137309</v>
      </c>
      <c r="H24" s="137">
        <f>IF(SER_hh_tes!H24=0,"",SER_hh_tes!H24/SER_hh_fec!H24)</f>
        <v>0.54585540352933615</v>
      </c>
      <c r="I24" s="137">
        <f>IF(SER_hh_tes!I24=0,"",SER_hh_tes!I24/SER_hh_fec!I24)</f>
        <v>0.5611789425057867</v>
      </c>
      <c r="J24" s="137">
        <f>IF(SER_hh_tes!J24=0,"",SER_hh_tes!J24/SER_hh_fec!J24)</f>
        <v>0.57781001420495004</v>
      </c>
      <c r="K24" s="137">
        <f>IF(SER_hh_tes!K24=0,"",SER_hh_tes!K24/SER_hh_fec!K24)</f>
        <v>0.5929180757271918</v>
      </c>
      <c r="L24" s="137">
        <f>IF(SER_hh_tes!L24=0,"",SER_hh_tes!L24/SER_hh_fec!L24)</f>
        <v>0.60933059648917509</v>
      </c>
      <c r="M24" s="137">
        <f>IF(SER_hh_tes!M24=0,"",SER_hh_tes!M24/SER_hh_fec!M24)</f>
        <v>0.62632877376702367</v>
      </c>
      <c r="N24" s="137">
        <f>IF(SER_hh_tes!N24=0,"",SER_hh_tes!N24/SER_hh_fec!N24)</f>
        <v>0.64423181896307491</v>
      </c>
      <c r="O24" s="137">
        <f>IF(SER_hh_tes!O24=0,"",SER_hh_tes!O24/SER_hh_fec!O24)</f>
        <v>0.66053965472161569</v>
      </c>
      <c r="P24" s="137">
        <f>IF(SER_hh_tes!P24=0,"",SER_hh_tes!P24/SER_hh_fec!P24)</f>
        <v>0.66727438966694907</v>
      </c>
      <c r="Q24" s="137">
        <f>IF(SER_hh_tes!Q24=0,"",SER_hh_tes!Q24/SER_hh_fec!Q24)</f>
        <v>0.67685103486097098</v>
      </c>
      <c r="R24" s="137">
        <f>IF(SER_hh_tes!R24=0,"",SER_hh_tes!R24/SER_hh_fec!R24)</f>
        <v>0.69070679250927447</v>
      </c>
      <c r="S24" s="137">
        <f>IF(SER_hh_tes!S24=0,"",SER_hh_tes!S24/SER_hh_fec!S24)</f>
        <v>0.70525046746466857</v>
      </c>
      <c r="T24" s="137">
        <f>IF(SER_hh_tes!T24=0,"",SER_hh_tes!T24/SER_hh_fec!T24)</f>
        <v>0.71786942050299274</v>
      </c>
      <c r="U24" s="137">
        <f>IF(SER_hh_tes!U24=0,"",SER_hh_tes!U24/SER_hh_fec!U24)</f>
        <v>0.72960611416029075</v>
      </c>
      <c r="V24" s="137">
        <f>IF(SER_hh_tes!V24=0,"",SER_hh_tes!V24/SER_hh_fec!V24)</f>
        <v>0.74111834351689188</v>
      </c>
      <c r="W24" s="137">
        <f>IF(SER_hh_tes!W24=0,"",SER_hh_tes!W24/SER_hh_fec!W24)</f>
        <v>0.75365422553606332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0.78353157671821261</v>
      </c>
      <c r="C25" s="137">
        <f>IF(SER_hh_tes!C25=0,"",SER_hh_tes!C25/SER_hh_fec!C25)</f>
        <v>0.78613462206344187</v>
      </c>
      <c r="D25" s="137">
        <f>IF(SER_hh_tes!D25=0,"",SER_hh_tes!D25/SER_hh_fec!D25)</f>
        <v>0.78871493723127051</v>
      </c>
      <c r="E25" s="137">
        <f>IF(SER_hh_tes!E25=0,"",SER_hh_tes!E25/SER_hh_fec!E25)</f>
        <v>0.79133829397647992</v>
      </c>
      <c r="F25" s="137">
        <f>IF(SER_hh_tes!F25=0,"",SER_hh_tes!F25/SER_hh_fec!F25)</f>
        <v>0.79431500517989684</v>
      </c>
      <c r="G25" s="137">
        <f>IF(SER_hh_tes!G25=0,"",SER_hh_tes!G25/SER_hh_fec!G25)</f>
        <v>0.79731602337248808</v>
      </c>
      <c r="H25" s="137">
        <f>IF(SER_hh_tes!H25=0,"",SER_hh_tes!H25/SER_hh_fec!H25)</f>
        <v>0.80056610080714774</v>
      </c>
      <c r="I25" s="137">
        <f>IF(SER_hh_tes!I25=0,"",SER_hh_tes!I25/SER_hh_fec!I25)</f>
        <v>0.80381425886527935</v>
      </c>
      <c r="J25" s="137">
        <f>IF(SER_hh_tes!J25=0,"",SER_hh_tes!J25/SER_hh_fec!J25)</f>
        <v>0.80679293749869829</v>
      </c>
      <c r="K25" s="137">
        <f>IF(SER_hh_tes!K25=0,"",SER_hh_tes!K25/SER_hh_fec!K25)</f>
        <v>0.80975212137473063</v>
      </c>
      <c r="L25" s="137">
        <f>IF(SER_hh_tes!L25=0,"",SER_hh_tes!L25/SER_hh_fec!L25)</f>
        <v>0.81293474141936306</v>
      </c>
      <c r="M25" s="137">
        <f>IF(SER_hh_tes!M25=0,"",SER_hh_tes!M25/SER_hh_fec!M25)</f>
        <v>0.81650359997948763</v>
      </c>
      <c r="N25" s="137">
        <f>IF(SER_hh_tes!N25=0,"",SER_hh_tes!N25/SER_hh_fec!N25)</f>
        <v>0.82063910426263609</v>
      </c>
      <c r="O25" s="137">
        <f>IF(SER_hh_tes!O25=0,"",SER_hh_tes!O25/SER_hh_fec!O25)</f>
        <v>0.82488512402406056</v>
      </c>
      <c r="P25" s="137">
        <f>IF(SER_hh_tes!P25=0,"",SER_hh_tes!P25/SER_hh_fec!P25)</f>
        <v>0.82648008800786166</v>
      </c>
      <c r="Q25" s="137">
        <f>IF(SER_hh_tes!Q25=0,"",SER_hh_tes!Q25/SER_hh_fec!Q25)</f>
        <v>0.82890163811901052</v>
      </c>
      <c r="R25" s="137">
        <f>IF(SER_hh_tes!R25=0,"",SER_hh_tes!R25/SER_hh_fec!R25)</f>
        <v>0.8325434726958747</v>
      </c>
      <c r="S25" s="137">
        <f>IF(SER_hh_tes!S25=0,"",SER_hh_tes!S25/SER_hh_fec!S25)</f>
        <v>0.83730954337632879</v>
      </c>
      <c r="T25" s="137">
        <f>IF(SER_hh_tes!T25=0,"",SER_hh_tes!T25/SER_hh_fec!T25)</f>
        <v>0.84226285208178941</v>
      </c>
      <c r="U25" s="137">
        <f>IF(SER_hh_tes!U25=0,"",SER_hh_tes!U25/SER_hh_fec!U25)</f>
        <v>0.84723667415404502</v>
      </c>
      <c r="V25" s="137">
        <f>IF(SER_hh_tes!V25=0,"",SER_hh_tes!V25/SER_hh_fec!V25)</f>
        <v>0.85262410575031577</v>
      </c>
      <c r="W25" s="137">
        <f>IF(SER_hh_tes!W25=0,"",SER_hh_tes!W25/SER_hh_fec!W25)</f>
        <v>0.85785984249827774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0.64562468874254642</v>
      </c>
      <c r="C26" s="138">
        <f>IF(SER_hh_tes!C26=0,"",SER_hh_tes!C26/SER_hh_fec!C26)</f>
        <v>0.64710835895595742</v>
      </c>
      <c r="D26" s="138">
        <f>IF(SER_hh_tes!D26=0,"",SER_hh_tes!D26/SER_hh_fec!D26)</f>
        <v>0.64886131505277123</v>
      </c>
      <c r="E26" s="138">
        <f>IF(SER_hh_tes!E26=0,"",SER_hh_tes!E26/SER_hh_fec!E26)</f>
        <v>0.65091093971316116</v>
      </c>
      <c r="F26" s="138">
        <f>IF(SER_hh_tes!F26=0,"",SER_hh_tes!F26/SER_hh_fec!F26)</f>
        <v>0.65330608072539609</v>
      </c>
      <c r="G26" s="138">
        <f>IF(SER_hh_tes!G26=0,"",SER_hh_tes!G26/SER_hh_fec!G26)</f>
        <v>0.65594109451215754</v>
      </c>
      <c r="H26" s="138">
        <f>IF(SER_hh_tes!H26=0,"",SER_hh_tes!H26/SER_hh_fec!H26)</f>
        <v>0.65886006874648151</v>
      </c>
      <c r="I26" s="138">
        <f>IF(SER_hh_tes!I26=0,"",SER_hh_tes!I26/SER_hh_fec!I26)</f>
        <v>0.66225232817600488</v>
      </c>
      <c r="J26" s="138">
        <f>IF(SER_hh_tes!J26=0,"",SER_hh_tes!J26/SER_hh_fec!J26)</f>
        <v>0.6664309260002651</v>
      </c>
      <c r="K26" s="138">
        <f>IF(SER_hh_tes!K26=0,"",SER_hh_tes!K26/SER_hh_fec!K26)</f>
        <v>0.67129350573086877</v>
      </c>
      <c r="L26" s="138">
        <f>IF(SER_hh_tes!L26=0,"",SER_hh_tes!L26/SER_hh_fec!L26)</f>
        <v>0.67687838620354546</v>
      </c>
      <c r="M26" s="138">
        <f>IF(SER_hh_tes!M26=0,"",SER_hh_tes!M26/SER_hh_fec!M26)</f>
        <v>0.68349847158063237</v>
      </c>
      <c r="N26" s="138">
        <f>IF(SER_hh_tes!N26=0,"",SER_hh_tes!N26/SER_hh_fec!N26)</f>
        <v>0.6919660057761976</v>
      </c>
      <c r="O26" s="138">
        <f>IF(SER_hh_tes!O26=0,"",SER_hh_tes!O26/SER_hh_fec!O26)</f>
        <v>0.70148852101529202</v>
      </c>
      <c r="P26" s="138">
        <f>IF(SER_hh_tes!P26=0,"",SER_hh_tes!P26/SER_hh_fec!P26)</f>
        <v>0.70628765017843398</v>
      </c>
      <c r="Q26" s="138">
        <f>IF(SER_hh_tes!Q26=0,"",SER_hh_tes!Q26/SER_hh_fec!Q26)</f>
        <v>0.7130364073607286</v>
      </c>
      <c r="R26" s="138">
        <f>IF(SER_hh_tes!R26=0,"",SER_hh_tes!R26/SER_hh_fec!R26)</f>
        <v>0.72148308063939015</v>
      </c>
      <c r="S26" s="138">
        <f>IF(SER_hh_tes!S26=0,"",SER_hh_tes!S26/SER_hh_fec!S26)</f>
        <v>0.73447002463430455</v>
      </c>
      <c r="T26" s="138">
        <f>IF(SER_hh_tes!T26=0,"",SER_hh_tes!T26/SER_hh_fec!T26)</f>
        <v>0.7490868431347677</v>
      </c>
      <c r="U26" s="138">
        <f>IF(SER_hh_tes!U26=0,"",SER_hh_tes!U26/SER_hh_fec!U26)</f>
        <v>0.76492478266601305</v>
      </c>
      <c r="V26" s="138">
        <f>IF(SER_hh_tes!V26=0,"",SER_hh_tes!V26/SER_hh_fec!V26)</f>
        <v>0.78042251761540093</v>
      </c>
      <c r="W26" s="138">
        <f>IF(SER_hh_tes!W26=0,"",SER_hh_tes!W26/SER_hh_fec!W26)</f>
        <v>0.79666444863021435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0.7067797338690156</v>
      </c>
      <c r="C29" s="136">
        <f>IF(SER_hh_tes!C29=0,"",SER_hh_tes!C29/SER_hh_fec!C29)</f>
        <v>0.7082238640816424</v>
      </c>
      <c r="D29" s="136">
        <f>IF(SER_hh_tes!D29=0,"",SER_hh_tes!D29/SER_hh_fec!D29)</f>
        <v>0.70970774509832879</v>
      </c>
      <c r="E29" s="136">
        <f>IF(SER_hh_tes!E29=0,"",SER_hh_tes!E29/SER_hh_fec!E29)</f>
        <v>0.71138261009098525</v>
      </c>
      <c r="F29" s="136">
        <f>IF(SER_hh_tes!F29=0,"",SER_hh_tes!F29/SER_hh_fec!F29)</f>
        <v>0.71333631642994744</v>
      </c>
      <c r="G29" s="136">
        <f>IF(SER_hh_tes!G29=0,"",SER_hh_tes!G29/SER_hh_fec!G29)</f>
        <v>0.71542993058468651</v>
      </c>
      <c r="H29" s="136">
        <f>IF(SER_hh_tes!H29=0,"",SER_hh_tes!H29/SER_hh_fec!H29)</f>
        <v>0.71789629283326328</v>
      </c>
      <c r="I29" s="136">
        <f>IF(SER_hh_tes!I29=0,"",SER_hh_tes!I29/SER_hh_fec!I29)</f>
        <v>0.72048571545447215</v>
      </c>
      <c r="J29" s="136">
        <f>IF(SER_hh_tes!J29=0,"",SER_hh_tes!J29/SER_hh_fec!J29)</f>
        <v>0.72325519583085496</v>
      </c>
      <c r="K29" s="136">
        <f>IF(SER_hh_tes!K29=0,"",SER_hh_tes!K29/SER_hh_fec!K29)</f>
        <v>0.72666882772706409</v>
      </c>
      <c r="L29" s="136">
        <f>IF(SER_hh_tes!L29=0,"",SER_hh_tes!L29/SER_hh_fec!L29)</f>
        <v>0.72925969921311196</v>
      </c>
      <c r="M29" s="136">
        <f>IF(SER_hh_tes!M29=0,"",SER_hh_tes!M29/SER_hh_fec!M29)</f>
        <v>0.73066813920426765</v>
      </c>
      <c r="N29" s="136">
        <f>IF(SER_hh_tes!N29=0,"",SER_hh_tes!N29/SER_hh_fec!N29)</f>
        <v>0.732333575127744</v>
      </c>
      <c r="O29" s="136">
        <f>IF(SER_hh_tes!O29=0,"",SER_hh_tes!O29/SER_hh_fec!O29)</f>
        <v>0.73485130815252842</v>
      </c>
      <c r="P29" s="136">
        <f>IF(SER_hh_tes!P29=0,"",SER_hh_tes!P29/SER_hh_fec!P29)</f>
        <v>0.73820781260047175</v>
      </c>
      <c r="Q29" s="136">
        <f>IF(SER_hh_tes!Q29=0,"",SER_hh_tes!Q29/SER_hh_fec!Q29)</f>
        <v>0.74226817557434455</v>
      </c>
      <c r="R29" s="136">
        <f>IF(SER_hh_tes!R29=0,"",SER_hh_tes!R29/SER_hh_fec!R29)</f>
        <v>0.74775758377855506</v>
      </c>
      <c r="S29" s="136">
        <f>IF(SER_hh_tes!S29=0,"",SER_hh_tes!S29/SER_hh_fec!S29)</f>
        <v>0.7540265204590122</v>
      </c>
      <c r="T29" s="136">
        <f>IF(SER_hh_tes!T29=0,"",SER_hh_tes!T29/SER_hh_fec!T29)</f>
        <v>0.76298797201629254</v>
      </c>
      <c r="U29" s="136">
        <f>IF(SER_hh_tes!U29=0,"",SER_hh_tes!U29/SER_hh_fec!U29)</f>
        <v>0.77279437604343804</v>
      </c>
      <c r="V29" s="136">
        <f>IF(SER_hh_tes!V29=0,"",SER_hh_tes!V29/SER_hh_fec!V29)</f>
        <v>0.78268494804590094</v>
      </c>
      <c r="W29" s="136">
        <f>IF(SER_hh_tes!W29=0,"",SER_hh_tes!W29/SER_hh_fec!W29)</f>
        <v>0.79210462571153628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 t="str">
        <f>IF(SER_hh_tes!L30=0,"",SER_hh_tes!L30/SER_hh_fec!L30)</f>
        <v/>
      </c>
      <c r="M30" s="137" t="str">
        <f>IF(SER_hh_tes!M30=0,"",SER_hh_tes!M30/SER_hh_fec!M30)</f>
        <v/>
      </c>
      <c r="N30" s="137" t="str">
        <f>IF(SER_hh_tes!N30=0,"",SER_hh_tes!N30/SER_hh_fec!N30)</f>
        <v/>
      </c>
      <c r="O30" s="137" t="str">
        <f>IF(SER_hh_tes!O30=0,"",SER_hh_tes!O30/SER_hh_fec!O30)</f>
        <v/>
      </c>
      <c r="P30" s="137" t="str">
        <f>IF(SER_hh_tes!P30=0,"",SER_hh_tes!P30/SER_hh_fec!P30)</f>
        <v/>
      </c>
      <c r="Q30" s="137" t="str">
        <f>IF(SER_hh_tes!Q30=0,"",SER_hh_tes!Q30/SER_hh_fec!Q30)</f>
        <v/>
      </c>
      <c r="R30" s="137" t="str">
        <f>IF(SER_hh_tes!R30=0,"",SER_hh_tes!R30/SER_hh_fec!R30)</f>
        <v/>
      </c>
      <c r="S30" s="137" t="str">
        <f>IF(SER_hh_tes!S30=0,"",SER_hh_tes!S30/SER_hh_fec!S30)</f>
        <v/>
      </c>
      <c r="T30" s="137" t="str">
        <f>IF(SER_hh_tes!T30=0,"",SER_hh_tes!T30/SER_hh_fec!T30)</f>
        <v/>
      </c>
      <c r="U30" s="137" t="str">
        <f>IF(SER_hh_tes!U30=0,"",SER_hh_tes!U30/SER_hh_fec!U30)</f>
        <v/>
      </c>
      <c r="V30" s="137" t="str">
        <f>IF(SER_hh_tes!V30=0,"",SER_hh_tes!V30/SER_hh_fec!V30)</f>
        <v/>
      </c>
      <c r="W30" s="137" t="str">
        <f>IF(SER_hh_tes!W30=0,"",SER_hh_tes!W30/SER_hh_fec!W30)</f>
        <v/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0.54525478868544974</v>
      </c>
      <c r="C31" s="137">
        <f>IF(SER_hh_tes!C31=0,"",SER_hh_tes!C31/SER_hh_fec!C31)</f>
        <v>0.54609715671209158</v>
      </c>
      <c r="D31" s="137">
        <f>IF(SER_hh_tes!D31=0,"",SER_hh_tes!D31/SER_hh_fec!D31)</f>
        <v>0.5471417639574977</v>
      </c>
      <c r="E31" s="137">
        <f>IF(SER_hh_tes!E31=0,"",SER_hh_tes!E31/SER_hh_fec!E31)</f>
        <v>0.54824548656745553</v>
      </c>
      <c r="F31" s="137">
        <f>IF(SER_hh_tes!F31=0,"",SER_hh_tes!F31/SER_hh_fec!F31)</f>
        <v>0.54940303380639266</v>
      </c>
      <c r="G31" s="137">
        <f>IF(SER_hh_tes!G31=0,"",SER_hh_tes!G31/SER_hh_fec!G31)</f>
        <v>0.55060753392927897</v>
      </c>
      <c r="H31" s="137">
        <f>IF(SER_hh_tes!H31=0,"",SER_hh_tes!H31/SER_hh_fec!H31)</f>
        <v>0.55186638799099985</v>
      </c>
      <c r="I31" s="137">
        <f>IF(SER_hh_tes!I31=0,"",SER_hh_tes!I31/SER_hh_fec!I31)</f>
        <v>0.55320441428276901</v>
      </c>
      <c r="J31" s="137">
        <f>IF(SER_hh_tes!J31=0,"",SER_hh_tes!J31/SER_hh_fec!J31)</f>
        <v>0.55463195161539847</v>
      </c>
      <c r="K31" s="137">
        <f>IF(SER_hh_tes!K31=0,"",SER_hh_tes!K31/SER_hh_fec!K31)</f>
        <v>0.55614648586321624</v>
      </c>
      <c r="L31" s="137">
        <f>IF(SER_hh_tes!L31=0,"",SER_hh_tes!L31/SER_hh_fec!L31)</f>
        <v>0.55730805800442895</v>
      </c>
      <c r="M31" s="137">
        <f>IF(SER_hh_tes!M31=0,"",SER_hh_tes!M31/SER_hh_fec!M31)</f>
        <v>0.55766429539897566</v>
      </c>
      <c r="N31" s="137">
        <f>IF(SER_hh_tes!N31=0,"",SER_hh_tes!N31/SER_hh_fec!N31)</f>
        <v>0.55837659566720921</v>
      </c>
      <c r="O31" s="137">
        <f>IF(SER_hh_tes!O31=0,"",SER_hh_tes!O31/SER_hh_fec!O31)</f>
        <v>0.55941804431498365</v>
      </c>
      <c r="P31" s="137">
        <f>IF(SER_hh_tes!P31=0,"",SER_hh_tes!P31/SER_hh_fec!P31)</f>
        <v>0.56032734534491058</v>
      </c>
      <c r="Q31" s="137">
        <f>IF(SER_hh_tes!Q31=0,"",SER_hh_tes!Q31/SER_hh_fec!Q31)</f>
        <v>0.56112158522726685</v>
      </c>
      <c r="R31" s="137">
        <f>IF(SER_hh_tes!R31=0,"",SER_hh_tes!R31/SER_hh_fec!R31)</f>
        <v>0.56212299619969763</v>
      </c>
      <c r="S31" s="137">
        <f>IF(SER_hh_tes!S31=0,"",SER_hh_tes!S31/SER_hh_fec!S31)</f>
        <v>0.5637501128571395</v>
      </c>
      <c r="T31" s="137">
        <f>IF(SER_hh_tes!T31=0,"",SER_hh_tes!T31/SER_hh_fec!T31)</f>
        <v>0.56524020077260484</v>
      </c>
      <c r="U31" s="137">
        <f>IF(SER_hh_tes!U31=0,"",SER_hh_tes!U31/SER_hh_fec!U31)</f>
        <v>0.56770733188479117</v>
      </c>
      <c r="V31" s="137">
        <f>IF(SER_hh_tes!V31=0,"",SER_hh_tes!V31/SER_hh_fec!V31)</f>
        <v>0.57123581514145272</v>
      </c>
      <c r="W31" s="137">
        <f>IF(SER_hh_tes!W31=0,"",SER_hh_tes!W31/SER_hh_fec!W31)</f>
        <v>0.57401116735545732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0.71136734848816296</v>
      </c>
      <c r="C33" s="150">
        <f>IF(SER_hh_tes!C33=0,"",SER_hh_tes!C33/SER_hh_fec!C33)</f>
        <v>0.71292315724273436</v>
      </c>
      <c r="D33" s="150">
        <f>IF(SER_hh_tes!D33=0,"",SER_hh_tes!D33/SER_hh_fec!D33)</f>
        <v>0.71460849457399023</v>
      </c>
      <c r="E33" s="150">
        <f>IF(SER_hh_tes!E33=0,"",SER_hh_tes!E33/SER_hh_fec!E33)</f>
        <v>0.71642723559069876</v>
      </c>
      <c r="F33" s="150">
        <f>IF(SER_hh_tes!F33=0,"",SER_hh_tes!F33/SER_hh_fec!F33)</f>
        <v>0.71848570547424462</v>
      </c>
      <c r="G33" s="150">
        <f>IF(SER_hh_tes!G33=0,"",SER_hh_tes!G33/SER_hh_fec!G33)</f>
        <v>0.72067238918818244</v>
      </c>
      <c r="H33" s="150">
        <f>IF(SER_hh_tes!H33=0,"",SER_hh_tes!H33/SER_hh_fec!H33)</f>
        <v>0.72309199013298164</v>
      </c>
      <c r="I33" s="150">
        <f>IF(SER_hh_tes!I33=0,"",SER_hh_tes!I33/SER_hh_fec!I33)</f>
        <v>0.72569724955881287</v>
      </c>
      <c r="J33" s="150">
        <f>IF(SER_hh_tes!J33=0,"",SER_hh_tes!J33/SER_hh_fec!J33)</f>
        <v>0.72848477148585822</v>
      </c>
      <c r="K33" s="150">
        <f>IF(SER_hh_tes!K33=0,"",SER_hh_tes!K33/SER_hh_fec!K33)</f>
        <v>0.73155968910465952</v>
      </c>
      <c r="L33" s="150">
        <f>IF(SER_hh_tes!L33=0,"",SER_hh_tes!L33/SER_hh_fec!L33)</f>
        <v>0.73393227772151004</v>
      </c>
      <c r="M33" s="150">
        <f>IF(SER_hh_tes!M33=0,"",SER_hh_tes!M33/SER_hh_fec!M33)</f>
        <v>0.73495049422085246</v>
      </c>
      <c r="N33" s="150">
        <f>IF(SER_hh_tes!N33=0,"",SER_hh_tes!N33/SER_hh_fec!N33)</f>
        <v>0.73654488815213859</v>
      </c>
      <c r="O33" s="150">
        <f>IF(SER_hh_tes!O33=0,"",SER_hh_tes!O33/SER_hh_fec!O33)</f>
        <v>0.73911325365058611</v>
      </c>
      <c r="P33" s="150">
        <f>IF(SER_hh_tes!P33=0,"",SER_hh_tes!P33/SER_hh_fec!P33)</f>
        <v>0.74227755714047694</v>
      </c>
      <c r="Q33" s="150">
        <f>IF(SER_hh_tes!Q33=0,"",SER_hh_tes!Q33/SER_hh_fec!Q33)</f>
        <v>0.74627317066104137</v>
      </c>
      <c r="R33" s="150">
        <f>IF(SER_hh_tes!R33=0,"",SER_hh_tes!R33/SER_hh_fec!R33)</f>
        <v>0.75156766904989114</v>
      </c>
      <c r="S33" s="150">
        <f>IF(SER_hh_tes!S33=0,"",SER_hh_tes!S33/SER_hh_fec!S33)</f>
        <v>0.75840799756907851</v>
      </c>
      <c r="T33" s="150">
        <f>IF(SER_hh_tes!T33=0,"",SER_hh_tes!T33/SER_hh_fec!T33)</f>
        <v>0.76684680480005696</v>
      </c>
      <c r="U33" s="150">
        <f>IF(SER_hh_tes!U33=0,"",SER_hh_tes!U33/SER_hh_fec!U33)</f>
        <v>0.77645911591360772</v>
      </c>
      <c r="V33" s="150">
        <f>IF(SER_hh_tes!V33=0,"",SER_hh_tes!V33/SER_hh_fec!V33)</f>
        <v>0.78670890628128309</v>
      </c>
      <c r="W33" s="150">
        <f>IF(SER_hh_tes!W33=0,"",SER_hh_tes!W33/SER_hh_fec!W33)</f>
        <v>0.79705753907749299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1139.2286107392001</v>
      </c>
      <c r="C3" s="126">
        <f t="shared" si="0"/>
        <v>1183.6598844384</v>
      </c>
      <c r="D3" s="126">
        <f t="shared" si="0"/>
        <v>1167.4572585264</v>
      </c>
      <c r="E3" s="126">
        <f t="shared" si="0"/>
        <v>1146.7003392288</v>
      </c>
      <c r="F3" s="126">
        <f t="shared" si="0"/>
        <v>1112.9491478591997</v>
      </c>
      <c r="G3" s="126">
        <f t="shared" si="0"/>
        <v>1059.4183465584006</v>
      </c>
      <c r="H3" s="126">
        <f t="shared" si="0"/>
        <v>1047.0211284671996</v>
      </c>
      <c r="I3" s="126">
        <f t="shared" si="0"/>
        <v>998.14239779039974</v>
      </c>
      <c r="J3" s="126">
        <f t="shared" si="0"/>
        <v>852.47360117626397</v>
      </c>
      <c r="K3" s="126">
        <f t="shared" si="0"/>
        <v>910.48101384526888</v>
      </c>
      <c r="L3" s="126">
        <f t="shared" si="0"/>
        <v>1068.8041961922008</v>
      </c>
      <c r="M3" s="126">
        <f t="shared" si="0"/>
        <v>940.57029630205739</v>
      </c>
      <c r="N3" s="126">
        <f t="shared" si="0"/>
        <v>1017.2000103901661</v>
      </c>
      <c r="O3" s="126">
        <f t="shared" si="0"/>
        <v>923.28569950621022</v>
      </c>
      <c r="P3" s="126">
        <f t="shared" si="0"/>
        <v>912.10689507171764</v>
      </c>
      <c r="Q3" s="126">
        <f t="shared" si="0"/>
        <v>843.17953265931533</v>
      </c>
      <c r="R3" s="126">
        <f t="shared" ref="R3:W3" si="1">SUM(R4,R16,R19,R29)</f>
        <v>923.09045932032325</v>
      </c>
      <c r="S3" s="126">
        <f t="shared" si="1"/>
        <v>910.53486597871051</v>
      </c>
      <c r="T3" s="126">
        <f t="shared" si="1"/>
        <v>898.40719093003145</v>
      </c>
      <c r="U3" s="126">
        <f t="shared" si="1"/>
        <v>893.70295829632209</v>
      </c>
      <c r="V3" s="126">
        <f t="shared" si="1"/>
        <v>809.62990311729243</v>
      </c>
      <c r="W3" s="126">
        <f t="shared" si="1"/>
        <v>931.02366085024994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1057.7060089597303</v>
      </c>
      <c r="C4" s="131">
        <f t="shared" si="2"/>
        <v>1099.9651455836208</v>
      </c>
      <c r="D4" s="131">
        <f t="shared" si="2"/>
        <v>1081.2389146535284</v>
      </c>
      <c r="E4" s="131">
        <f t="shared" si="2"/>
        <v>1059.5932886873341</v>
      </c>
      <c r="F4" s="131">
        <f t="shared" si="2"/>
        <v>1025.6931171265187</v>
      </c>
      <c r="G4" s="131">
        <f t="shared" si="2"/>
        <v>971.89034982412545</v>
      </c>
      <c r="H4" s="131">
        <f t="shared" si="2"/>
        <v>958.07009913513059</v>
      </c>
      <c r="I4" s="131">
        <f t="shared" si="2"/>
        <v>909.56172533505764</v>
      </c>
      <c r="J4" s="131">
        <f t="shared" si="2"/>
        <v>761.92531655056473</v>
      </c>
      <c r="K4" s="131">
        <f t="shared" si="2"/>
        <v>822.65335401675634</v>
      </c>
      <c r="L4" s="131">
        <f t="shared" si="2"/>
        <v>975.55385065592566</v>
      </c>
      <c r="M4" s="131">
        <f t="shared" si="2"/>
        <v>847.33912889685757</v>
      </c>
      <c r="N4" s="131">
        <f t="shared" si="2"/>
        <v>927.73403379054525</v>
      </c>
      <c r="O4" s="131">
        <f t="shared" si="2"/>
        <v>833.44932080486274</v>
      </c>
      <c r="P4" s="131">
        <f t="shared" si="2"/>
        <v>826.20875850223752</v>
      </c>
      <c r="Q4" s="131">
        <f t="shared" si="2"/>
        <v>758.0413222766789</v>
      </c>
      <c r="R4" s="131">
        <f t="shared" ref="R4:W4" si="3">SUM(R5:R15)</f>
        <v>837.77262292281159</v>
      </c>
      <c r="S4" s="131">
        <f t="shared" si="3"/>
        <v>835.31959942374397</v>
      </c>
      <c r="T4" s="131">
        <f t="shared" si="3"/>
        <v>833.50779369263569</v>
      </c>
      <c r="U4" s="131">
        <f t="shared" si="3"/>
        <v>831.65912631710648</v>
      </c>
      <c r="V4" s="131">
        <f t="shared" si="3"/>
        <v>754.78346278825745</v>
      </c>
      <c r="W4" s="131">
        <f t="shared" si="3"/>
        <v>869.38398499610048</v>
      </c>
      <c r="DA4" s="156" t="s">
        <v>233</v>
      </c>
    </row>
    <row r="5" spans="1:105" ht="12" customHeight="1" x14ac:dyDescent="0.25">
      <c r="A5" s="132" t="s">
        <v>29</v>
      </c>
      <c r="B5" s="133">
        <v>8.6235000191999998</v>
      </c>
      <c r="C5" s="133">
        <v>8.8259808383999978</v>
      </c>
      <c r="D5" s="133">
        <v>8.7676452864000005</v>
      </c>
      <c r="E5" s="133">
        <v>8.8000121087999972</v>
      </c>
      <c r="F5" s="133">
        <v>8.397684979200001</v>
      </c>
      <c r="G5" s="133">
        <v>8.1955805183999981</v>
      </c>
      <c r="H5" s="133">
        <v>8.6686630271999991</v>
      </c>
      <c r="I5" s="133">
        <v>7.5011992704000061</v>
      </c>
      <c r="J5" s="133">
        <v>9.1635743231999953</v>
      </c>
      <c r="K5" s="133">
        <v>10.341576115199993</v>
      </c>
      <c r="L5" s="133">
        <v>11.620441958399995</v>
      </c>
      <c r="M5" s="133">
        <v>9.5240825460000007</v>
      </c>
      <c r="N5" s="133">
        <v>11.224490705999997</v>
      </c>
      <c r="O5" s="133">
        <v>10.215809683199996</v>
      </c>
      <c r="P5" s="133">
        <v>10.548553633200004</v>
      </c>
      <c r="Q5" s="133">
        <v>9.5545048499999989</v>
      </c>
      <c r="R5" s="133">
        <v>10.546644398400003</v>
      </c>
      <c r="S5" s="133">
        <v>10.514972793599993</v>
      </c>
      <c r="T5" s="133">
        <v>10.742876100000004</v>
      </c>
      <c r="U5" s="133">
        <v>10.952290800000011</v>
      </c>
      <c r="V5" s="133">
        <v>9.828736829999988</v>
      </c>
      <c r="W5" s="133">
        <v>10.990187999999998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1000.4496981350773</v>
      </c>
      <c r="C7" s="133">
        <v>1040.9068951177408</v>
      </c>
      <c r="D7" s="133">
        <v>1015.7631180507011</v>
      </c>
      <c r="E7" s="133">
        <v>995.31018326407093</v>
      </c>
      <c r="F7" s="133">
        <v>958.74296475763231</v>
      </c>
      <c r="G7" s="133">
        <v>904.9767059544314</v>
      </c>
      <c r="H7" s="133">
        <v>893.38618017528904</v>
      </c>
      <c r="I7" s="133">
        <v>848.9697986081236</v>
      </c>
      <c r="J7" s="133">
        <v>683.64058258947568</v>
      </c>
      <c r="K7" s="133">
        <v>754.04699375575206</v>
      </c>
      <c r="L7" s="133">
        <v>896.75723376635597</v>
      </c>
      <c r="M7" s="133">
        <v>753.53847535622208</v>
      </c>
      <c r="N7" s="133">
        <v>840.40199290919657</v>
      </c>
      <c r="O7" s="133">
        <v>750.95496896409611</v>
      </c>
      <c r="P7" s="133">
        <v>750.90561997394889</v>
      </c>
      <c r="Q7" s="133">
        <v>687.41425805384495</v>
      </c>
      <c r="R7" s="133">
        <v>763.28417918496984</v>
      </c>
      <c r="S7" s="133">
        <v>761.30813838864003</v>
      </c>
      <c r="T7" s="133">
        <v>763.69145961103936</v>
      </c>
      <c r="U7" s="133">
        <v>760.51034879024337</v>
      </c>
      <c r="V7" s="133">
        <v>691.00953619743086</v>
      </c>
      <c r="W7" s="133">
        <v>791.64889480780653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48.632810805452955</v>
      </c>
      <c r="C9" s="133">
        <v>50.232269627480079</v>
      </c>
      <c r="D9" s="133">
        <v>56.708151316427241</v>
      </c>
      <c r="E9" s="133">
        <v>55.483093314463147</v>
      </c>
      <c r="F9" s="133">
        <v>58.552467389686392</v>
      </c>
      <c r="G9" s="133">
        <v>58.718063351294063</v>
      </c>
      <c r="H9" s="133">
        <v>56.015255932641594</v>
      </c>
      <c r="I9" s="133">
        <v>53.090727456534083</v>
      </c>
      <c r="J9" s="133">
        <v>50.95011246565705</v>
      </c>
      <c r="K9" s="133">
        <v>51.427732011221863</v>
      </c>
      <c r="L9" s="133">
        <v>58.428358827285102</v>
      </c>
      <c r="M9" s="133">
        <v>74.665316827151287</v>
      </c>
      <c r="N9" s="133">
        <v>68.690165320515646</v>
      </c>
      <c r="O9" s="133">
        <v>70.094215220408813</v>
      </c>
      <c r="P9" s="133">
        <v>59.774574591445457</v>
      </c>
      <c r="Q9" s="133">
        <v>55.890763682110901</v>
      </c>
      <c r="R9" s="133">
        <v>58.091249232832652</v>
      </c>
      <c r="S9" s="133">
        <v>58.055618952706368</v>
      </c>
      <c r="T9" s="133">
        <v>52.444123105352254</v>
      </c>
      <c r="U9" s="133">
        <v>55.333865934506754</v>
      </c>
      <c r="V9" s="133">
        <v>47.91396807149701</v>
      </c>
      <c r="W9" s="133">
        <v>59.365097777466723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18.171047172232019</v>
      </c>
      <c r="K10" s="133">
        <v>6.8370521345823789</v>
      </c>
      <c r="L10" s="133">
        <v>8.7478161038845741</v>
      </c>
      <c r="M10" s="133">
        <v>9.6112541674841356</v>
      </c>
      <c r="N10" s="133">
        <v>7.4173848548330463</v>
      </c>
      <c r="O10" s="133">
        <v>2.1843269371578109</v>
      </c>
      <c r="P10" s="133">
        <v>4.9800103036432564</v>
      </c>
      <c r="Q10" s="133">
        <v>5.1817956907230602</v>
      </c>
      <c r="R10" s="133">
        <v>5.8505501066091448</v>
      </c>
      <c r="S10" s="133">
        <v>5.4408692887975132</v>
      </c>
      <c r="T10" s="133">
        <v>6.629334876244144</v>
      </c>
      <c r="U10" s="133">
        <v>4.8626207923563056</v>
      </c>
      <c r="V10" s="133">
        <v>6.0312216893295254</v>
      </c>
      <c r="W10" s="133">
        <v>7.3798044108272052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73.069026595704415</v>
      </c>
      <c r="C19" s="131">
        <f t="shared" si="6"/>
        <v>74.525630409719383</v>
      </c>
      <c r="D19" s="131">
        <f t="shared" si="6"/>
        <v>77.169786299955661</v>
      </c>
      <c r="E19" s="131">
        <f t="shared" si="6"/>
        <v>78.273916254320852</v>
      </c>
      <c r="F19" s="131">
        <f t="shared" si="6"/>
        <v>78.59494353514836</v>
      </c>
      <c r="G19" s="131">
        <f t="shared" si="6"/>
        <v>78.616210013624951</v>
      </c>
      <c r="H19" s="131">
        <f t="shared" si="6"/>
        <v>79.923430446261619</v>
      </c>
      <c r="I19" s="131">
        <f t="shared" si="6"/>
        <v>79.804368810978772</v>
      </c>
      <c r="J19" s="131">
        <f t="shared" si="6"/>
        <v>81.9483874750306</v>
      </c>
      <c r="K19" s="131">
        <f t="shared" si="6"/>
        <v>79.672737368564668</v>
      </c>
      <c r="L19" s="131">
        <f t="shared" si="6"/>
        <v>85.365290337276519</v>
      </c>
      <c r="M19" s="131">
        <f t="shared" si="6"/>
        <v>86.09637074763836</v>
      </c>
      <c r="N19" s="131">
        <f t="shared" si="6"/>
        <v>83.648326341151787</v>
      </c>
      <c r="O19" s="131">
        <f t="shared" si="6"/>
        <v>83.095693438620742</v>
      </c>
      <c r="P19" s="131">
        <f t="shared" si="6"/>
        <v>79.835048294885553</v>
      </c>
      <c r="Q19" s="131">
        <f t="shared" si="6"/>
        <v>78.901967315298791</v>
      </c>
      <c r="R19" s="131">
        <f t="shared" ref="R19:W19" si="7">SUM(R20:R27)</f>
        <v>79.187035109914021</v>
      </c>
      <c r="S19" s="131">
        <f t="shared" si="7"/>
        <v>69.552836990214772</v>
      </c>
      <c r="T19" s="131">
        <f t="shared" si="7"/>
        <v>60.178628144845383</v>
      </c>
      <c r="U19" s="131">
        <f t="shared" si="7"/>
        <v>57.220411113017832</v>
      </c>
      <c r="V19" s="131">
        <f t="shared" si="7"/>
        <v>50.326228401677525</v>
      </c>
      <c r="W19" s="131">
        <f t="shared" si="7"/>
        <v>55.711265961691169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66.790462584922807</v>
      </c>
      <c r="C22" s="133">
        <v>67.734618482259236</v>
      </c>
      <c r="D22" s="133">
        <v>70.574325189298861</v>
      </c>
      <c r="E22" s="133">
        <v>71.904143855928837</v>
      </c>
      <c r="F22" s="133">
        <v>72.345548122367305</v>
      </c>
      <c r="G22" s="133">
        <v>72.177230085569008</v>
      </c>
      <c r="H22" s="133">
        <v>73.724895264710511</v>
      </c>
      <c r="I22" s="133">
        <v>73.813647751876161</v>
      </c>
      <c r="J22" s="133">
        <v>73.886528770523938</v>
      </c>
      <c r="K22" s="133">
        <v>73.277125324247621</v>
      </c>
      <c r="L22" s="133">
        <v>79.011614153643336</v>
      </c>
      <c r="M22" s="133">
        <v>79.717837483777842</v>
      </c>
      <c r="N22" s="133">
        <v>78.613022410803126</v>
      </c>
      <c r="O22" s="133">
        <v>78.04536951590346</v>
      </c>
      <c r="P22" s="133">
        <v>74.899449946051647</v>
      </c>
      <c r="Q22" s="133">
        <v>73.767425346154923</v>
      </c>
      <c r="R22" s="133">
        <v>74.027792855030455</v>
      </c>
      <c r="S22" s="133">
        <v>64.806752211359282</v>
      </c>
      <c r="T22" s="133">
        <v>55.971544468961085</v>
      </c>
      <c r="U22" s="133">
        <v>53.173751529757048</v>
      </c>
      <c r="V22" s="133">
        <v>46.455284562569283</v>
      </c>
      <c r="W22" s="133">
        <v>51.003535752191972</v>
      </c>
      <c r="DA22" s="157" t="s">
        <v>372</v>
      </c>
    </row>
    <row r="23" spans="1:105" ht="12" customHeight="1" x14ac:dyDescent="0.25">
      <c r="A23" s="132" t="s">
        <v>153</v>
      </c>
      <c r="B23" s="133">
        <v>6.2785640107816079</v>
      </c>
      <c r="C23" s="133">
        <v>6.791011927460147</v>
      </c>
      <c r="D23" s="133">
        <v>6.5954611106567995</v>
      </c>
      <c r="E23" s="133">
        <v>6.3697723983920129</v>
      </c>
      <c r="F23" s="133">
        <v>6.2493954127810563</v>
      </c>
      <c r="G23" s="133">
        <v>6.4389799280559368</v>
      </c>
      <c r="H23" s="133">
        <v>6.1985351815511116</v>
      </c>
      <c r="I23" s="133">
        <v>5.990721059102607</v>
      </c>
      <c r="J23" s="133">
        <v>5.833732543674266</v>
      </c>
      <c r="K23" s="133">
        <v>5.6506274888301817</v>
      </c>
      <c r="L23" s="133">
        <v>5.4829620537163057</v>
      </c>
      <c r="M23" s="133">
        <v>5.2452523952873005</v>
      </c>
      <c r="N23" s="133">
        <v>4.2561805010153506</v>
      </c>
      <c r="O23" s="133">
        <v>4.8064197168645055</v>
      </c>
      <c r="P23" s="133">
        <v>4.3945330139599941</v>
      </c>
      <c r="Q23" s="133">
        <v>4.5197932505514142</v>
      </c>
      <c r="R23" s="133">
        <v>4.4451573195698755</v>
      </c>
      <c r="S23" s="133">
        <v>4.0974940025419295</v>
      </c>
      <c r="T23" s="133">
        <v>3.4291666020973612</v>
      </c>
      <c r="U23" s="133">
        <v>3.4665759192953916</v>
      </c>
      <c r="V23" s="133">
        <v>3.1609648811455839</v>
      </c>
      <c r="W23" s="133">
        <v>3.8194258900749141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2.2281261608323821</v>
      </c>
      <c r="K24" s="133">
        <v>0.74498455548686282</v>
      </c>
      <c r="L24" s="133">
        <v>0.8707141299168808</v>
      </c>
      <c r="M24" s="133">
        <v>1.1332808685732287</v>
      </c>
      <c r="N24" s="133">
        <v>0.77912342933331036</v>
      </c>
      <c r="O24" s="133">
        <v>0.24390420585276637</v>
      </c>
      <c r="P24" s="133">
        <v>0.5410653348739064</v>
      </c>
      <c r="Q24" s="133">
        <v>0.61474871859245128</v>
      </c>
      <c r="R24" s="133">
        <v>0.71408493531369799</v>
      </c>
      <c r="S24" s="133">
        <v>0.64859077631354956</v>
      </c>
      <c r="T24" s="133">
        <v>0.77791707378693942</v>
      </c>
      <c r="U24" s="133">
        <v>0.58008366396538946</v>
      </c>
      <c r="V24" s="133">
        <v>0.7099789579626643</v>
      </c>
      <c r="W24" s="133">
        <v>0.88830431942427801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8.4535751837654498</v>
      </c>
      <c r="C29" s="131">
        <f t="shared" si="8"/>
        <v>9.1691084450597646</v>
      </c>
      <c r="D29" s="131">
        <f t="shared" si="8"/>
        <v>9.0485575729159518</v>
      </c>
      <c r="E29" s="131">
        <f t="shared" si="8"/>
        <v>8.8331342871448477</v>
      </c>
      <c r="F29" s="131">
        <f t="shared" si="8"/>
        <v>8.661087197532547</v>
      </c>
      <c r="G29" s="131">
        <f t="shared" si="8"/>
        <v>8.9117867206499994</v>
      </c>
      <c r="H29" s="131">
        <f t="shared" si="8"/>
        <v>9.0275988858073095</v>
      </c>
      <c r="I29" s="131">
        <f t="shared" si="8"/>
        <v>8.7763036443633098</v>
      </c>
      <c r="J29" s="131">
        <f t="shared" si="8"/>
        <v>8.599897150668685</v>
      </c>
      <c r="K29" s="131">
        <f t="shared" si="8"/>
        <v>8.1549224599479402</v>
      </c>
      <c r="L29" s="131">
        <f t="shared" si="8"/>
        <v>7.8850551989986029</v>
      </c>
      <c r="M29" s="131">
        <f t="shared" si="8"/>
        <v>7.1347966575613873</v>
      </c>
      <c r="N29" s="131">
        <f t="shared" si="8"/>
        <v>5.8176502584690208</v>
      </c>
      <c r="O29" s="131">
        <f t="shared" si="8"/>
        <v>6.7406852627266929</v>
      </c>
      <c r="P29" s="131">
        <f t="shared" si="8"/>
        <v>6.0630882745944978</v>
      </c>
      <c r="Q29" s="131">
        <f t="shared" si="8"/>
        <v>6.2362430673377016</v>
      </c>
      <c r="R29" s="131">
        <f t="shared" ref="R29:W29" si="9">SUM(R30:R33)</f>
        <v>6.130801287597536</v>
      </c>
      <c r="S29" s="131">
        <f t="shared" si="9"/>
        <v>5.6624295647517373</v>
      </c>
      <c r="T29" s="131">
        <f t="shared" si="9"/>
        <v>4.7207690925503858</v>
      </c>
      <c r="U29" s="131">
        <f t="shared" si="9"/>
        <v>4.8234208661978348</v>
      </c>
      <c r="V29" s="131">
        <f t="shared" si="9"/>
        <v>4.5202119273573986</v>
      </c>
      <c r="W29" s="131">
        <f t="shared" si="9"/>
        <v>5.9284098924582773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378</v>
      </c>
    </row>
    <row r="31" spans="1:105" ht="12" customHeight="1" x14ac:dyDescent="0.25">
      <c r="A31" s="132" t="s">
        <v>153</v>
      </c>
      <c r="B31" s="133">
        <v>8.4535751837654498</v>
      </c>
      <c r="C31" s="133">
        <v>9.1691084450597646</v>
      </c>
      <c r="D31" s="133">
        <v>9.0485575729159518</v>
      </c>
      <c r="E31" s="133">
        <v>8.8331342871448477</v>
      </c>
      <c r="F31" s="133">
        <v>8.661087197532547</v>
      </c>
      <c r="G31" s="133">
        <v>8.9117867206499994</v>
      </c>
      <c r="H31" s="133">
        <v>9.0275988858073095</v>
      </c>
      <c r="I31" s="133">
        <v>8.7763036443633098</v>
      </c>
      <c r="J31" s="133">
        <v>8.599897150668685</v>
      </c>
      <c r="K31" s="133">
        <v>8.1549224599479402</v>
      </c>
      <c r="L31" s="133">
        <v>7.8850551989986029</v>
      </c>
      <c r="M31" s="133">
        <v>7.1347966575613873</v>
      </c>
      <c r="N31" s="133">
        <v>5.8176502584690208</v>
      </c>
      <c r="O31" s="133">
        <v>6.7406852627266929</v>
      </c>
      <c r="P31" s="133">
        <v>6.0630882745944978</v>
      </c>
      <c r="Q31" s="133">
        <v>6.2362430673377016</v>
      </c>
      <c r="R31" s="133">
        <v>6.130801287597536</v>
      </c>
      <c r="S31" s="133">
        <v>5.6624295647517373</v>
      </c>
      <c r="T31" s="133">
        <v>4.7207690925503858</v>
      </c>
      <c r="U31" s="133">
        <v>4.8234208661978348</v>
      </c>
      <c r="V31" s="133">
        <v>4.5202119273573986</v>
      </c>
      <c r="W31" s="133">
        <v>5.9284098924582773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209737.65051863334</v>
      </c>
      <c r="C3" s="126">
        <f>IF(SER_hh_fec!C3=0,0,11630*1000*SER_hh_fec!C3/SER_hh_num!C3)</f>
        <v>226677.65967494514</v>
      </c>
      <c r="D3" s="126">
        <f>IF(SER_hh_fec!D3=0,0,11630*1000*SER_hh_fec!D3/SER_hh_num!D3)</f>
        <v>229385.02733871734</v>
      </c>
      <c r="E3" s="126">
        <f>IF(SER_hh_fec!E3=0,0,11630*1000*SER_hh_fec!E3/SER_hh_num!E3)</f>
        <v>226176.3993569813</v>
      </c>
      <c r="F3" s="126">
        <f>IF(SER_hh_fec!F3=0,0,11630*1000*SER_hh_fec!F3/SER_hh_num!F3)</f>
        <v>220963.58484003996</v>
      </c>
      <c r="G3" s="126">
        <f>IF(SER_hh_fec!G3=0,0,11630*1000*SER_hh_fec!G3/SER_hh_num!G3)</f>
        <v>214253.78374994837</v>
      </c>
      <c r="H3" s="126">
        <f>IF(SER_hh_fec!H3=0,0,11630*1000*SER_hh_fec!H3/SER_hh_num!H3)</f>
        <v>214373.61157832912</v>
      </c>
      <c r="I3" s="126">
        <f>IF(SER_hh_fec!I3=0,0,11630*1000*SER_hh_fec!I3/SER_hh_num!I3)</f>
        <v>221891.85879759799</v>
      </c>
      <c r="J3" s="126">
        <f>IF(SER_hh_fec!J3=0,0,11630*1000*SER_hh_fec!J3/SER_hh_num!J3)</f>
        <v>214932.52500346873</v>
      </c>
      <c r="K3" s="126">
        <f>IF(SER_hh_fec!K3=0,0,11630*1000*SER_hh_fec!K3/SER_hh_num!K3)</f>
        <v>235604.21708426654</v>
      </c>
      <c r="L3" s="126">
        <f>IF(SER_hh_fec!L3=0,0,11630*1000*SER_hh_fec!L3/SER_hh_num!L3)</f>
        <v>250471.0344382757</v>
      </c>
      <c r="M3" s="126">
        <f>IF(SER_hh_fec!M3=0,0,11630*1000*SER_hh_fec!M3/SER_hh_num!M3)</f>
        <v>217966.95070273726</v>
      </c>
      <c r="N3" s="126">
        <f>IF(SER_hh_fec!N3=0,0,11630*1000*SER_hh_fec!N3/SER_hh_num!N3)</f>
        <v>234103.74219495011</v>
      </c>
      <c r="O3" s="126">
        <f>IF(SER_hh_fec!O3=0,0,11630*1000*SER_hh_fec!O3/SER_hh_num!O3)</f>
        <v>218400.96206104092</v>
      </c>
      <c r="P3" s="126">
        <f>IF(SER_hh_fec!P3=0,0,11630*1000*SER_hh_fec!P3/SER_hh_num!P3)</f>
        <v>224523.09409018359</v>
      </c>
      <c r="Q3" s="126">
        <f>IF(SER_hh_fec!Q3=0,0,11630*1000*SER_hh_fec!Q3/SER_hh_num!Q3)</f>
        <v>206885.75163499307</v>
      </c>
      <c r="R3" s="126">
        <f>IF(SER_hh_fec!R3=0,0,11630*1000*SER_hh_fec!R3/SER_hh_num!R3)</f>
        <v>219892.23842551475</v>
      </c>
      <c r="S3" s="126">
        <f>IF(SER_hh_fec!S3=0,0,11630*1000*SER_hh_fec!S3/SER_hh_num!S3)</f>
        <v>214147.26091123599</v>
      </c>
      <c r="T3" s="126">
        <f>IF(SER_hh_fec!T3=0,0,11630*1000*SER_hh_fec!T3/SER_hh_num!T3)</f>
        <v>218770.20250753633</v>
      </c>
      <c r="U3" s="126">
        <f>IF(SER_hh_fec!U3=0,0,11630*1000*SER_hh_fec!U3/SER_hh_num!U3)</f>
        <v>209049.93412348398</v>
      </c>
      <c r="V3" s="126">
        <f>IF(SER_hh_fec!V3=0,0,11630*1000*SER_hh_fec!V3/SER_hh_num!V3)</f>
        <v>187680.95725682325</v>
      </c>
      <c r="W3" s="126">
        <f>IF(SER_hh_fec!W3=0,0,11630*1000*SER_hh_fec!W3/SER_hh_num!W3)</f>
        <v>213660.81032716166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166034.30306720163</v>
      </c>
      <c r="C4" s="131">
        <f>IF(SER_hh_fec!C4=0,0,11630*1000*SER_hh_fec!C4/SER_hh_num!C4)</f>
        <v>183623.89294443766</v>
      </c>
      <c r="D4" s="131">
        <f>IF(SER_hh_fec!D4=0,0,11630*1000*SER_hh_fec!D4/SER_hh_num!D4)</f>
        <v>186973.71757015775</v>
      </c>
      <c r="E4" s="131">
        <f>IF(SER_hh_fec!E4=0,0,11630*1000*SER_hh_fec!E4/SER_hh_num!E4)</f>
        <v>184022.4416955357</v>
      </c>
      <c r="F4" s="131">
        <f>IF(SER_hh_fec!F4=0,0,11630*1000*SER_hh_fec!F4/SER_hh_num!F4)</f>
        <v>179224.96428108244</v>
      </c>
      <c r="G4" s="131">
        <f>IF(SER_hh_fec!G4=0,0,11630*1000*SER_hh_fec!G4/SER_hh_num!G4)</f>
        <v>172754.50083032614</v>
      </c>
      <c r="H4" s="131">
        <f>IF(SER_hh_fec!H4=0,0,11630*1000*SER_hh_fec!H4/SER_hh_num!H4)</f>
        <v>173116.83318956886</v>
      </c>
      <c r="I4" s="131">
        <f>IF(SER_hh_fec!I4=0,0,11630*1000*SER_hh_fec!I4/SER_hh_num!I4)</f>
        <v>181204.43002998462</v>
      </c>
      <c r="J4" s="131">
        <f>IF(SER_hh_fec!J4=0,0,11630*1000*SER_hh_fec!J4/SER_hh_num!J4)</f>
        <v>174532.68592067415</v>
      </c>
      <c r="K4" s="131">
        <f>IF(SER_hh_fec!K4=0,0,11630*1000*SER_hh_fec!K4/SER_hh_num!K4)</f>
        <v>195222.35335985455</v>
      </c>
      <c r="L4" s="131">
        <f>IF(SER_hh_fec!L4=0,0,11630*1000*SER_hh_fec!L4/SER_hh_num!L4)</f>
        <v>210084.67893134721</v>
      </c>
      <c r="M4" s="131">
        <f>IF(SER_hh_fec!M4=0,0,11630*1000*SER_hh_fec!M4/SER_hh_num!M4)</f>
        <v>177598.2614217326</v>
      </c>
      <c r="N4" s="131">
        <f>IF(SER_hh_fec!N4=0,0,11630*1000*SER_hh_fec!N4/SER_hh_num!N4)</f>
        <v>193840.43355496894</v>
      </c>
      <c r="O4" s="131">
        <f>IF(SER_hh_fec!O4=0,0,11630*1000*SER_hh_fec!O4/SER_hh_num!O4)</f>
        <v>178462.77630798155</v>
      </c>
      <c r="P4" s="131">
        <f>IF(SER_hh_fec!P4=0,0,11630*1000*SER_hh_fec!P4/SER_hh_num!P4)</f>
        <v>184334.58507259577</v>
      </c>
      <c r="Q4" s="131">
        <f>IF(SER_hh_fec!Q4=0,0,11630*1000*SER_hh_fec!Q4/SER_hh_num!Q4)</f>
        <v>166607.22764847559</v>
      </c>
      <c r="R4" s="131">
        <f>IF(SER_hh_fec!R4=0,0,11630*1000*SER_hh_fec!R4/SER_hh_num!R4)</f>
        <v>179391.64056007311</v>
      </c>
      <c r="S4" s="131">
        <f>IF(SER_hh_fec!S4=0,0,11630*1000*SER_hh_fec!S4/SER_hh_num!S4)</f>
        <v>174201.97419767603</v>
      </c>
      <c r="T4" s="131">
        <f>IF(SER_hh_fec!T4=0,0,11630*1000*SER_hh_fec!T4/SER_hh_num!T4)</f>
        <v>179204.13392059534</v>
      </c>
      <c r="U4" s="131">
        <f>IF(SER_hh_fec!U4=0,0,11630*1000*SER_hh_fec!U4/SER_hh_num!U4)</f>
        <v>169502.98854375683</v>
      </c>
      <c r="V4" s="131">
        <f>IF(SER_hh_fec!V4=0,0,11630*1000*SER_hh_fec!V4/SER_hh_num!V4)</f>
        <v>151889.94368531901</v>
      </c>
      <c r="W4" s="131">
        <f>IF(SER_hh_fec!W4=0,0,11630*1000*SER_hh_fec!W4/SER_hh_num!W4)</f>
        <v>174192.95107808837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215351.69775340118</v>
      </c>
      <c r="C5" s="133">
        <f>IF(SER_hh_fec!C5=0,0,11630*1000*SER_hh_fec!C5/SER_hh_num!C5)</f>
        <v>229725.19725195997</v>
      </c>
      <c r="D5" s="133">
        <f>IF(SER_hh_fec!D5=0,0,11630*1000*SER_hh_fec!D5/SER_hh_num!D5)</f>
        <v>232464.19749408748</v>
      </c>
      <c r="E5" s="133">
        <f>IF(SER_hh_fec!E5=0,0,11630*1000*SER_hh_fec!E5/SER_hh_num!E5)</f>
        <v>234587.88001089517</v>
      </c>
      <c r="F5" s="133">
        <f>IF(SER_hh_fec!F5=0,0,11630*1000*SER_hh_fec!F5/SER_hh_num!F5)</f>
        <v>222342.39632335751</v>
      </c>
      <c r="G5" s="133">
        <f>IF(SER_hh_fec!G5=0,0,11630*1000*SER_hh_fec!G5/SER_hh_num!G5)</f>
        <v>216654.01014995223</v>
      </c>
      <c r="H5" s="133">
        <f>IF(SER_hh_fec!H5=0,0,11630*1000*SER_hh_fec!H5/SER_hh_num!H5)</f>
        <v>225671.82828896985</v>
      </c>
      <c r="I5" s="133">
        <f>IF(SER_hh_fec!I5=0,0,11630*1000*SER_hh_fec!I5/SER_hh_num!I5)</f>
        <v>187491.83020956084</v>
      </c>
      <c r="J5" s="133">
        <f>IF(SER_hh_fec!J5=0,0,11630*1000*SER_hh_fec!J5/SER_hh_num!J5)</f>
        <v>223367.94076453862</v>
      </c>
      <c r="K5" s="133">
        <f>IF(SER_hh_fec!K5=0,0,11630*1000*SER_hh_fec!K5/SER_hh_num!K5)</f>
        <v>241257.88308185435</v>
      </c>
      <c r="L5" s="133">
        <f>IF(SER_hh_fec!L5=0,0,11630*1000*SER_hh_fec!L5/SER_hh_num!L5)</f>
        <v>257730.70201102525</v>
      </c>
      <c r="M5" s="133">
        <f>IF(SER_hh_fec!M5=0,0,11630*1000*SER_hh_fec!M5/SER_hh_num!M5)</f>
        <v>205653.73373477676</v>
      </c>
      <c r="N5" s="133">
        <f>IF(SER_hh_fec!N5=0,0,11630*1000*SER_hh_fec!N5/SER_hh_num!N5)</f>
        <v>233767.57173098181</v>
      </c>
      <c r="O5" s="133">
        <f>IF(SER_hh_fec!O5=0,0,11630*1000*SER_hh_fec!O5/SER_hh_num!O5)</f>
        <v>211694.77085014104</v>
      </c>
      <c r="P5" s="133">
        <f>IF(SER_hh_fec!P5=0,0,11630*1000*SER_hh_fec!P5/SER_hh_num!P5)</f>
        <v>217929.72094359912</v>
      </c>
      <c r="Q5" s="133">
        <f>IF(SER_hh_fec!Q5=0,0,11630*1000*SER_hh_fec!Q5/SER_hh_num!Q5)</f>
        <v>196626.26685372044</v>
      </c>
      <c r="R5" s="133">
        <f>IF(SER_hh_fec!R5=0,0,11630*1000*SER_hh_fec!R5/SER_hh_num!R5)</f>
        <v>213805.59542904946</v>
      </c>
      <c r="S5" s="133">
        <f>IF(SER_hh_fec!S5=0,0,11630*1000*SER_hh_fec!S5/SER_hh_num!S5)</f>
        <v>208875.48248691962</v>
      </c>
      <c r="T5" s="133">
        <f>IF(SER_hh_fec!T5=0,0,11630*1000*SER_hh_fec!T5/SER_hh_num!T5)</f>
        <v>209852.00742127723</v>
      </c>
      <c r="U5" s="133">
        <f>IF(SER_hh_fec!U5=0,0,11630*1000*SER_hh_fec!U5/SER_hh_num!U5)</f>
        <v>213902.95770011499</v>
      </c>
      <c r="V5" s="133">
        <f>IF(SER_hh_fec!V5=0,0,11630*1000*SER_hh_fec!V5/SER_hh_num!V5)</f>
        <v>191488.50432692384</v>
      </c>
      <c r="W5" s="133">
        <f>IF(SER_hh_fec!W5=0,0,11630*1000*SER_hh_fec!W5/SER_hh_num!W5)</f>
        <v>208664.06184437493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245115.2062411173</v>
      </c>
      <c r="C7" s="133">
        <f>IF(SER_hh_fec!C7=0,0,11630*1000*SER_hh_fec!C7/SER_hh_num!C7)</f>
        <v>265191.08590867766</v>
      </c>
      <c r="D7" s="133">
        <f>IF(SER_hh_fec!D7=0,0,11630*1000*SER_hh_fec!D7/SER_hh_num!D7)</f>
        <v>267104.78308850911</v>
      </c>
      <c r="E7" s="133">
        <f>IF(SER_hh_fec!E7=0,0,11630*1000*SER_hh_fec!E7/SER_hh_num!E7)</f>
        <v>267006.76596163627</v>
      </c>
      <c r="F7" s="133">
        <f>IF(SER_hh_fec!F7=0,0,11630*1000*SER_hh_fec!F7/SER_hh_num!F7)</f>
        <v>260315.96004309304</v>
      </c>
      <c r="G7" s="133">
        <f>IF(SER_hh_fec!G7=0,0,11630*1000*SER_hh_fec!G7/SER_hh_num!G7)</f>
        <v>250912.07225561407</v>
      </c>
      <c r="H7" s="133">
        <f>IF(SER_hh_fec!H7=0,0,11630*1000*SER_hh_fec!H7/SER_hh_num!H7)</f>
        <v>259192.10323499891</v>
      </c>
      <c r="I7" s="133">
        <f>IF(SER_hh_fec!I7=0,0,11630*1000*SER_hh_fec!I7/SER_hh_num!I7)</f>
        <v>266834.57293639949</v>
      </c>
      <c r="J7" s="133">
        <f>IF(SER_hh_fec!J7=0,0,11630*1000*SER_hh_fec!J7/SER_hh_num!J7)</f>
        <v>232653.57192036629</v>
      </c>
      <c r="K7" s="133">
        <f>IF(SER_hh_fec!K7=0,0,11630*1000*SER_hh_fec!K7/SER_hh_num!K7)</f>
        <v>263377.90773457498</v>
      </c>
      <c r="L7" s="133">
        <f>IF(SER_hh_fec!L7=0,0,11630*1000*SER_hh_fec!L7/SER_hh_num!L7)</f>
        <v>301618.64996191236</v>
      </c>
      <c r="M7" s="133">
        <f>IF(SER_hh_fec!M7=0,0,11630*1000*SER_hh_fec!M7/SER_hh_num!M7)</f>
        <v>243109.07893466169</v>
      </c>
      <c r="N7" s="133">
        <f>IF(SER_hh_fec!N7=0,0,11630*1000*SER_hh_fec!N7/SER_hh_num!N7)</f>
        <v>261238.96378136161</v>
      </c>
      <c r="O7" s="133">
        <f>IF(SER_hh_fec!O7=0,0,11630*1000*SER_hh_fec!O7/SER_hh_num!O7)</f>
        <v>232806.74900649214</v>
      </c>
      <c r="P7" s="133">
        <f>IF(SER_hh_fec!P7=0,0,11630*1000*SER_hh_fec!P7/SER_hh_num!P7)</f>
        <v>234146.41735264225</v>
      </c>
      <c r="Q7" s="133">
        <f>IF(SER_hh_fec!Q7=0,0,11630*1000*SER_hh_fec!Q7/SER_hh_num!Q7)</f>
        <v>211820.99124788085</v>
      </c>
      <c r="R7" s="133">
        <f>IF(SER_hh_fec!R7=0,0,11630*1000*SER_hh_fec!R7/SER_hh_num!R7)</f>
        <v>229614.81608354067</v>
      </c>
      <c r="S7" s="133">
        <f>IF(SER_hh_fec!S7=0,0,11630*1000*SER_hh_fec!S7/SER_hh_num!S7)</f>
        <v>222850.18594880923</v>
      </c>
      <c r="T7" s="133">
        <f>IF(SER_hh_fec!T7=0,0,11630*1000*SER_hh_fec!T7/SER_hh_num!T7)</f>
        <v>218800.6925401754</v>
      </c>
      <c r="U7" s="133">
        <f>IF(SER_hh_fec!U7=0,0,11630*1000*SER_hh_fec!U7/SER_hh_num!U7)</f>
        <v>210674.73133134146</v>
      </c>
      <c r="V7" s="133">
        <f>IF(SER_hh_fec!V7=0,0,11630*1000*SER_hh_fec!V7/SER_hh_num!V7)</f>
        <v>185734.65275321915</v>
      </c>
      <c r="W7" s="133">
        <f>IF(SER_hh_fec!W7=0,0,11630*1000*SER_hh_fec!W7/SER_hh_num!W7)</f>
        <v>214368.62432530033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246043.08345191542</v>
      </c>
      <c r="C9" s="133">
        <f>IF(SER_hh_fec!C9=0,0,11630*1000*SER_hh_fec!C9/SER_hh_num!C9)</f>
        <v>223428.66510739431</v>
      </c>
      <c r="D9" s="133">
        <f>IF(SER_hh_fec!D9=0,0,11630*1000*SER_hh_fec!D9/SER_hh_num!D9)</f>
        <v>242138.6574852448</v>
      </c>
      <c r="E9" s="133">
        <f>IF(SER_hh_fec!E9=0,0,11630*1000*SER_hh_fec!E9/SER_hh_num!E9)</f>
        <v>230480.46872181908</v>
      </c>
      <c r="F9" s="133">
        <f>IF(SER_hh_fec!F9=0,0,11630*1000*SER_hh_fec!F9/SER_hh_num!F9)</f>
        <v>234849.91073817722</v>
      </c>
      <c r="G9" s="133">
        <f>IF(SER_hh_fec!G9=0,0,11630*1000*SER_hh_fec!G9/SER_hh_num!G9)</f>
        <v>225811.07404299034</v>
      </c>
      <c r="H9" s="133">
        <f>IF(SER_hh_fec!H9=0,0,11630*1000*SER_hh_fec!H9/SER_hh_num!H9)</f>
        <v>217204.93293572051</v>
      </c>
      <c r="I9" s="133">
        <f>IF(SER_hh_fec!I9=0,0,11630*1000*SER_hh_fec!I9/SER_hh_num!I9)</f>
        <v>221379.1425602349</v>
      </c>
      <c r="J9" s="133">
        <f>IF(SER_hh_fec!J9=0,0,11630*1000*SER_hh_fec!J9/SER_hh_num!J9)</f>
        <v>223331.37328878394</v>
      </c>
      <c r="K9" s="133">
        <f>IF(SER_hh_fec!K9=0,0,11630*1000*SER_hh_fec!K9/SER_hh_num!K9)</f>
        <v>218682.5430553832</v>
      </c>
      <c r="L9" s="133">
        <f>IF(SER_hh_fec!L9=0,0,11630*1000*SER_hh_fec!L9/SER_hh_num!L9)</f>
        <v>230679.34467813803</v>
      </c>
      <c r="M9" s="133">
        <f>IF(SER_hh_fec!M9=0,0,11630*1000*SER_hh_fec!M9/SER_hh_num!M9)</f>
        <v>293482.09115844819</v>
      </c>
      <c r="N9" s="133">
        <f>IF(SER_hh_fec!N9=0,0,11630*1000*SER_hh_fec!N9/SER_hh_num!N9)</f>
        <v>312034.12765239982</v>
      </c>
      <c r="O9" s="133">
        <f>IF(SER_hh_fec!O9=0,0,11630*1000*SER_hh_fec!O9/SER_hh_num!O9)</f>
        <v>251714.75097957673</v>
      </c>
      <c r="P9" s="133">
        <f>IF(SER_hh_fec!P9=0,0,11630*1000*SER_hh_fec!P9/SER_hh_num!P9)</f>
        <v>215604.8390589495</v>
      </c>
      <c r="Q9" s="133">
        <f>IF(SER_hh_fec!Q9=0,0,11630*1000*SER_hh_fec!Q9/SER_hh_num!Q9)</f>
        <v>187683.42233235153</v>
      </c>
      <c r="R9" s="133">
        <f>IF(SER_hh_fec!R9=0,0,11630*1000*SER_hh_fec!R9/SER_hh_num!R9)</f>
        <v>181676.9834948926</v>
      </c>
      <c r="S9" s="133">
        <f>IF(SER_hh_fec!S9=0,0,11630*1000*SER_hh_fec!S9/SER_hh_num!S9)</f>
        <v>217035.3431029655</v>
      </c>
      <c r="T9" s="133">
        <f>IF(SER_hh_fec!T9=0,0,11630*1000*SER_hh_fec!T9/SER_hh_num!T9)</f>
        <v>199690.14278633689</v>
      </c>
      <c r="U9" s="133">
        <f>IF(SER_hh_fec!U9=0,0,11630*1000*SER_hh_fec!U9/SER_hh_num!U9)</f>
        <v>190148.92896660906</v>
      </c>
      <c r="V9" s="133">
        <f>IF(SER_hh_fec!V9=0,0,11630*1000*SER_hh_fec!V9/SER_hh_num!V9)</f>
        <v>168964.22099771208</v>
      </c>
      <c r="W9" s="133">
        <f>IF(SER_hh_fec!W9=0,0,11630*1000*SER_hh_fec!W9/SER_hh_num!W9)</f>
        <v>203851.63428135536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243134.96794519902</v>
      </c>
      <c r="C10" s="133">
        <f>IF(SER_hh_fec!C10=0,0,11630*1000*SER_hh_fec!C10/SER_hh_num!C10)</f>
        <v>270037.9758111391</v>
      </c>
      <c r="D10" s="133">
        <f>IF(SER_hh_fec!D10=0,0,11630*1000*SER_hh_fec!D10/SER_hh_num!D10)</f>
        <v>270374.54625053459</v>
      </c>
      <c r="E10" s="133">
        <f>IF(SER_hh_fec!E10=0,0,11630*1000*SER_hh_fec!E10/SER_hh_num!E10)</f>
        <v>265213.85990703816</v>
      </c>
      <c r="F10" s="133">
        <f>IF(SER_hh_fec!F10=0,0,11630*1000*SER_hh_fec!F10/SER_hh_num!F10)</f>
        <v>253918.84002070737</v>
      </c>
      <c r="G10" s="133">
        <f>IF(SER_hh_fec!G10=0,0,11630*1000*SER_hh_fec!G10/SER_hh_num!G10)</f>
        <v>246196.79241317278</v>
      </c>
      <c r="H10" s="133">
        <f>IF(SER_hh_fec!H10=0,0,11630*1000*SER_hh_fec!H10/SER_hh_num!H10)</f>
        <v>247494.14991709212</v>
      </c>
      <c r="I10" s="133">
        <f>IF(SER_hh_fec!I10=0,0,11630*1000*SER_hh_fec!I10/SER_hh_num!I10)</f>
        <v>243116.34407184517</v>
      </c>
      <c r="J10" s="133">
        <f>IF(SER_hh_fec!J10=0,0,11630*1000*SER_hh_fec!J10/SER_hh_num!J10)</f>
        <v>254125.25355054197</v>
      </c>
      <c r="K10" s="133">
        <f>IF(SER_hh_fec!K10=0,0,11630*1000*SER_hh_fec!K10/SER_hh_num!K10)</f>
        <v>269153.01369985729</v>
      </c>
      <c r="L10" s="133">
        <f>IF(SER_hh_fec!L10=0,0,11630*1000*SER_hh_fec!L10/SER_hh_num!L10)</f>
        <v>292420.77855018509</v>
      </c>
      <c r="M10" s="133">
        <f>IF(SER_hh_fec!M10=0,0,11630*1000*SER_hh_fec!M10/SER_hh_num!M10)</f>
        <v>247049.93551787263</v>
      </c>
      <c r="N10" s="133">
        <f>IF(SER_hh_fec!N10=0,0,11630*1000*SER_hh_fec!N10/SER_hh_num!N10)</f>
        <v>270723.14305039792</v>
      </c>
      <c r="O10" s="133">
        <f>IF(SER_hh_fec!O10=0,0,11630*1000*SER_hh_fec!O10/SER_hh_num!O10)</f>
        <v>247933.67175980838</v>
      </c>
      <c r="P10" s="133">
        <f>IF(SER_hh_fec!P10=0,0,11630*1000*SER_hh_fec!P10/SER_hh_num!P10)</f>
        <v>255809.59374174022</v>
      </c>
      <c r="Q10" s="133">
        <f>IF(SER_hh_fec!Q10=0,0,11630*1000*SER_hh_fec!Q10/SER_hh_num!Q10)</f>
        <v>231832.66604108279</v>
      </c>
      <c r="R10" s="133">
        <f>IF(SER_hh_fec!R10=0,0,11630*1000*SER_hh_fec!R10/SER_hh_num!R10)</f>
        <v>255385.22871094095</v>
      </c>
      <c r="S10" s="133">
        <f>IF(SER_hh_fec!S10=0,0,11630*1000*SER_hh_fec!S10/SER_hh_num!S10)</f>
        <v>253589.08693936138</v>
      </c>
      <c r="T10" s="133">
        <f>IF(SER_hh_fec!T10=0,0,11630*1000*SER_hh_fec!T10/SER_hh_num!T10)</f>
        <v>258173.81503097664</v>
      </c>
      <c r="U10" s="133">
        <f>IF(SER_hh_fec!U10=0,0,11630*1000*SER_hh_fec!U10/SER_hh_num!U10)</f>
        <v>249970.87403958206</v>
      </c>
      <c r="V10" s="133">
        <f>IF(SER_hh_fec!V10=0,0,11630*1000*SER_hh_fec!V10/SER_hh_num!V10)</f>
        <v>225070.65321290735</v>
      </c>
      <c r="W10" s="133">
        <f>IF(SER_hh_fec!W10=0,0,11630*1000*SER_hh_fec!W10/SER_hh_num!W10)</f>
        <v>265987.86840793863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141415.88316399252</v>
      </c>
      <c r="C12" s="133">
        <f>IF(SER_hh_fec!C12=0,0,11630*1000*SER_hh_fec!C12/SER_hh_num!C12)</f>
        <v>159590.34044536238</v>
      </c>
      <c r="D12" s="133">
        <f>IF(SER_hh_fec!D12=0,0,11630*1000*SER_hh_fec!D12/SER_hh_num!D12)</f>
        <v>162335.41127608545</v>
      </c>
      <c r="E12" s="133">
        <f>IF(SER_hh_fec!E12=0,0,11630*1000*SER_hh_fec!E12/SER_hh_num!E12)</f>
        <v>163290.97330307271</v>
      </c>
      <c r="F12" s="133">
        <f>IF(SER_hh_fec!F12=0,0,11630*1000*SER_hh_fec!F12/SER_hh_num!F12)</f>
        <v>156568.24206613255</v>
      </c>
      <c r="G12" s="133">
        <f>IF(SER_hh_fec!G12=0,0,11630*1000*SER_hh_fec!G12/SER_hh_num!G12)</f>
        <v>150757.24234941095</v>
      </c>
      <c r="H12" s="133">
        <f>IF(SER_hh_fec!H12=0,0,11630*1000*SER_hh_fec!H12/SER_hh_num!H12)</f>
        <v>150460.78219541966</v>
      </c>
      <c r="I12" s="133">
        <f>IF(SER_hh_fec!I12=0,0,11630*1000*SER_hh_fec!I12/SER_hh_num!I12)</f>
        <v>164432.4991360046</v>
      </c>
      <c r="J12" s="133">
        <f>IF(SER_hh_fec!J12=0,0,11630*1000*SER_hh_fec!J12/SER_hh_num!J12)</f>
        <v>158339.59794014998</v>
      </c>
      <c r="K12" s="133">
        <f>IF(SER_hh_fec!K12=0,0,11630*1000*SER_hh_fec!K12/SER_hh_num!K12)</f>
        <v>181960.01016370175</v>
      </c>
      <c r="L12" s="133">
        <f>IF(SER_hh_fec!L12=0,0,11630*1000*SER_hh_fec!L12/SER_hh_num!L12)</f>
        <v>194018.26927091318</v>
      </c>
      <c r="M12" s="133">
        <f>IF(SER_hh_fec!M12=0,0,11630*1000*SER_hh_fec!M12/SER_hh_num!M12)</f>
        <v>159646.38404238349</v>
      </c>
      <c r="N12" s="133">
        <f>IF(SER_hh_fec!N12=0,0,11630*1000*SER_hh_fec!N12/SER_hh_num!N12)</f>
        <v>176412.23935228694</v>
      </c>
      <c r="O12" s="133">
        <f>IF(SER_hh_fec!O12=0,0,11630*1000*SER_hh_fec!O12/SER_hh_num!O12)</f>
        <v>165274.6938412966</v>
      </c>
      <c r="P12" s="133">
        <f>IF(SER_hh_fec!P12=0,0,11630*1000*SER_hh_fec!P12/SER_hh_num!P12)</f>
        <v>177694.75837912093</v>
      </c>
      <c r="Q12" s="133">
        <f>IF(SER_hh_fec!Q12=0,0,11630*1000*SER_hh_fec!Q12/SER_hh_num!Q12)</f>
        <v>156314.84083563619</v>
      </c>
      <c r="R12" s="133">
        <f>IF(SER_hh_fec!R12=0,0,11630*1000*SER_hh_fec!R12/SER_hh_num!R12)</f>
        <v>171801.39203584864</v>
      </c>
      <c r="S12" s="133">
        <f>IF(SER_hh_fec!S12=0,0,11630*1000*SER_hh_fec!S12/SER_hh_num!S12)</f>
        <v>169045.38633138326</v>
      </c>
      <c r="T12" s="133">
        <f>IF(SER_hh_fec!T12=0,0,11630*1000*SER_hh_fec!T12/SER_hh_num!T12)</f>
        <v>171752.85331858951</v>
      </c>
      <c r="U12" s="133">
        <f>IF(SER_hh_fec!U12=0,0,11630*1000*SER_hh_fec!U12/SER_hh_num!U12)</f>
        <v>164893.40889292528</v>
      </c>
      <c r="V12" s="133">
        <f>IF(SER_hh_fec!V12=0,0,11630*1000*SER_hh_fec!V12/SER_hh_num!V12)</f>
        <v>148632.8712076768</v>
      </c>
      <c r="W12" s="133">
        <f>IF(SER_hh_fec!W12=0,0,11630*1000*SER_hh_fec!W12/SER_hh_num!W12)</f>
        <v>173373.50486132025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82354.158153867975</v>
      </c>
      <c r="C13" s="133">
        <f>IF(SER_hh_fec!C13=0,0,11630*1000*SER_hh_fec!C13/SER_hh_num!C13)</f>
        <v>88804.941872072959</v>
      </c>
      <c r="D13" s="133">
        <f>IF(SER_hh_fec!D13=0,0,11630*1000*SER_hh_fec!D13/SER_hh_num!D13)</f>
        <v>87842.68897676855</v>
      </c>
      <c r="E13" s="133">
        <f>IF(SER_hh_fec!E13=0,0,11630*1000*SER_hh_fec!E13/SER_hh_num!E13)</f>
        <v>85040.459300016519</v>
      </c>
      <c r="F13" s="133">
        <f>IF(SER_hh_fec!F13=0,0,11630*1000*SER_hh_fec!F13/SER_hh_num!F13)</f>
        <v>81321.596733847677</v>
      </c>
      <c r="G13" s="133">
        <f>IF(SER_hh_fec!G13=0,0,11630*1000*SER_hh_fec!G13/SER_hh_num!G13)</f>
        <v>77691.503684636991</v>
      </c>
      <c r="H13" s="133">
        <f>IF(SER_hh_fec!H13=0,0,11630*1000*SER_hh_fec!H13/SER_hh_num!H13)</f>
        <v>75417.232144721333</v>
      </c>
      <c r="I13" s="133">
        <f>IF(SER_hh_fec!I13=0,0,11630*1000*SER_hh_fec!I13/SER_hh_num!I13)</f>
        <v>74944.668572969153</v>
      </c>
      <c r="J13" s="133">
        <f>IF(SER_hh_fec!J13=0,0,11630*1000*SER_hh_fec!J13/SER_hh_num!J13)</f>
        <v>74727.677259005344</v>
      </c>
      <c r="K13" s="133">
        <f>IF(SER_hh_fec!K13=0,0,11630*1000*SER_hh_fec!K13/SER_hh_num!K13)</f>
        <v>74593.73759230235</v>
      </c>
      <c r="L13" s="133">
        <f>IF(SER_hh_fec!L13=0,0,11630*1000*SER_hh_fec!L13/SER_hh_num!L13)</f>
        <v>72359.171261561452</v>
      </c>
      <c r="M13" s="133">
        <f>IF(SER_hh_fec!M13=0,0,11630*1000*SER_hh_fec!M13/SER_hh_num!M13)</f>
        <v>66627.055629105875</v>
      </c>
      <c r="N13" s="133">
        <f>IF(SER_hh_fec!N13=0,0,11630*1000*SER_hh_fec!N13/SER_hh_num!N13)</f>
        <v>63595.448794214215</v>
      </c>
      <c r="O13" s="133">
        <f>IF(SER_hh_fec!O13=0,0,11630*1000*SER_hh_fec!O13/SER_hh_num!O13)</f>
        <v>58403.002595143778</v>
      </c>
      <c r="P13" s="133">
        <f>IF(SER_hh_fec!P13=0,0,11630*1000*SER_hh_fec!P13/SER_hh_num!P13)</f>
        <v>55800.927674854589</v>
      </c>
      <c r="Q13" s="133">
        <f>IF(SER_hh_fec!Q13=0,0,11630*1000*SER_hh_fec!Q13/SER_hh_num!Q13)</f>
        <v>55108.283351953993</v>
      </c>
      <c r="R13" s="133">
        <f>IF(SER_hh_fec!R13=0,0,11630*1000*SER_hh_fec!R13/SER_hh_num!R13)</f>
        <v>52258.837739456336</v>
      </c>
      <c r="S13" s="133">
        <f>IF(SER_hh_fec!S13=0,0,11630*1000*SER_hh_fec!S13/SER_hh_num!S13)</f>
        <v>50331.420058619835</v>
      </c>
      <c r="T13" s="133">
        <f>IF(SER_hh_fec!T13=0,0,11630*1000*SER_hh_fec!T13/SER_hh_num!T13)</f>
        <v>50116.758135205077</v>
      </c>
      <c r="U13" s="133">
        <f>IF(SER_hh_fec!U13=0,0,11630*1000*SER_hh_fec!U13/SER_hh_num!U13)</f>
        <v>46930.447542490168</v>
      </c>
      <c r="V13" s="133">
        <f>IF(SER_hh_fec!V13=0,0,11630*1000*SER_hh_fec!V13/SER_hh_num!V13)</f>
        <v>41896.352847227405</v>
      </c>
      <c r="W13" s="133">
        <f>IF(SER_hh_fec!W13=0,0,11630*1000*SER_hh_fec!W13/SER_hh_num!W13)</f>
        <v>50449.242771118748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160095.28552304005</v>
      </c>
      <c r="C14" s="65">
        <f>IF(SER_hh_fec!C14=0,0,11630*1000*SER_hh_fec!C14/SER_hh_num!C14)</f>
        <v>179062.56971295332</v>
      </c>
      <c r="D14" s="65">
        <f>IF(SER_hh_fec!D14=0,0,11630*1000*SER_hh_fec!D14/SER_hh_num!D14)</f>
        <v>185903.23104013025</v>
      </c>
      <c r="E14" s="65">
        <f>IF(SER_hh_fec!E14=0,0,11630*1000*SER_hh_fec!E14/SER_hh_num!E14)</f>
        <v>175737.48072826205</v>
      </c>
      <c r="F14" s="65">
        <f>IF(SER_hh_fec!F14=0,0,11630*1000*SER_hh_fec!F14/SER_hh_num!F14)</f>
        <v>176799.9125270946</v>
      </c>
      <c r="G14" s="65">
        <f>IF(SER_hh_fec!G14=0,0,11630*1000*SER_hh_fec!G14/SER_hh_num!G14)</f>
        <v>172224.68479973022</v>
      </c>
      <c r="H14" s="65">
        <f>IF(SER_hh_fec!H14=0,0,11630*1000*SER_hh_fec!H14/SER_hh_num!H14)</f>
        <v>174255.98605548139</v>
      </c>
      <c r="I14" s="65">
        <f>IF(SER_hh_fec!I14=0,0,11630*1000*SER_hh_fec!I14/SER_hh_num!I14)</f>
        <v>177283.39244209879</v>
      </c>
      <c r="J14" s="65">
        <f>IF(SER_hh_fec!J14=0,0,11630*1000*SER_hh_fec!J14/SER_hh_num!J14)</f>
        <v>180874.69007614901</v>
      </c>
      <c r="K14" s="65">
        <f>IF(SER_hh_fec!K14=0,0,11630*1000*SER_hh_fec!K14/SER_hh_num!K14)</f>
        <v>195223.66254206109</v>
      </c>
      <c r="L14" s="65">
        <f>IF(SER_hh_fec!L14=0,0,11630*1000*SER_hh_fec!L14/SER_hh_num!L14)</f>
        <v>206827.86027125138</v>
      </c>
      <c r="M14" s="65">
        <f>IF(SER_hh_fec!M14=0,0,11630*1000*SER_hh_fec!M14/SER_hh_num!M14)</f>
        <v>182962.76167586524</v>
      </c>
      <c r="N14" s="65">
        <f>IF(SER_hh_fec!N14=0,0,11630*1000*SER_hh_fec!N14/SER_hh_num!N14)</f>
        <v>197842.90674055312</v>
      </c>
      <c r="O14" s="65">
        <f>IF(SER_hh_fec!O14=0,0,11630*1000*SER_hh_fec!O14/SER_hh_num!O14)</f>
        <v>183112.46604518621</v>
      </c>
      <c r="P14" s="65">
        <f>IF(SER_hh_fec!P14=0,0,11630*1000*SER_hh_fec!P14/SER_hh_num!P14)</f>
        <v>181646.6201451729</v>
      </c>
      <c r="Q14" s="65">
        <f>IF(SER_hh_fec!Q14=0,0,11630*1000*SER_hh_fec!Q14/SER_hh_num!Q14)</f>
        <v>176514.70354916441</v>
      </c>
      <c r="R14" s="65">
        <f>IF(SER_hh_fec!R14=0,0,11630*1000*SER_hh_fec!R14/SER_hh_num!R14)</f>
        <v>184424.38106485334</v>
      </c>
      <c r="S14" s="65">
        <f>IF(SER_hh_fec!S14=0,0,11630*1000*SER_hh_fec!S14/SER_hh_num!S14)</f>
        <v>171394.21771029901</v>
      </c>
      <c r="T14" s="65">
        <f>IF(SER_hh_fec!T14=0,0,11630*1000*SER_hh_fec!T14/SER_hh_num!T14)</f>
        <v>191443.84520457487</v>
      </c>
      <c r="U14" s="65">
        <f>IF(SER_hh_fec!U14=0,0,11630*1000*SER_hh_fec!U14/SER_hh_num!U14)</f>
        <v>175094.40007135845</v>
      </c>
      <c r="V14" s="65">
        <f>IF(SER_hh_fec!V14=0,0,11630*1000*SER_hh_fec!V14/SER_hh_num!V14)</f>
        <v>159366.14484863929</v>
      </c>
      <c r="W14" s="65">
        <f>IF(SER_hh_fec!W14=0,0,11630*1000*SER_hh_fec!W14/SER_hh_num!W14)</f>
        <v>174169.06077211522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940.61576111934221</v>
      </c>
      <c r="C15" s="135">
        <f>IF(SER_hh_fec!C15=0,0,11630*1000*SER_hh_fec!C15/SER_hh_num!C15)</f>
        <v>996.94594783562638</v>
      </c>
      <c r="D15" s="135">
        <f>IF(SER_hh_fec!D15=0,0,11630*1000*SER_hh_fec!D15/SER_hh_num!D15)</f>
        <v>986.63095913290636</v>
      </c>
      <c r="E15" s="135">
        <f>IF(SER_hh_fec!E15=0,0,11630*1000*SER_hh_fec!E15/SER_hh_num!E15)</f>
        <v>968.39564289543796</v>
      </c>
      <c r="F15" s="135">
        <f>IF(SER_hh_fec!F15=0,0,11630*1000*SER_hh_fec!F15/SER_hh_num!F15)</f>
        <v>926.05110043315847</v>
      </c>
      <c r="G15" s="135">
        <f>IF(SER_hh_fec!G15=0,0,11630*1000*SER_hh_fec!G15/SER_hh_num!G15)</f>
        <v>877.10489310190826</v>
      </c>
      <c r="H15" s="135">
        <f>IF(SER_hh_fec!H15=0,0,11630*1000*SER_hh_fec!H15/SER_hh_num!H15)</f>
        <v>860.81958017649049</v>
      </c>
      <c r="I15" s="135">
        <f>IF(SER_hh_fec!I15=0,0,11630*1000*SER_hh_fec!I15/SER_hh_num!I15)</f>
        <v>871.80672908329723</v>
      </c>
      <c r="J15" s="135">
        <f>IF(SER_hh_fec!J15=0,0,11630*1000*SER_hh_fec!J15/SER_hh_num!J15)</f>
        <v>789.39977905071896</v>
      </c>
      <c r="K15" s="135">
        <f>IF(SER_hh_fec!K15=0,0,11630*1000*SER_hh_fec!K15/SER_hh_num!K15)</f>
        <v>885.39172256200254</v>
      </c>
      <c r="L15" s="135">
        <f>IF(SER_hh_fec!L15=0,0,11630*1000*SER_hh_fec!L15/SER_hh_num!L15)</f>
        <v>984.12432795129735</v>
      </c>
      <c r="M15" s="135">
        <f>IF(SER_hh_fec!M15=0,0,11630*1000*SER_hh_fec!M15/SER_hh_num!M15)</f>
        <v>842.01738985380871</v>
      </c>
      <c r="N15" s="135">
        <f>IF(SER_hh_fec!N15=0,0,11630*1000*SER_hh_fec!N15/SER_hh_num!N15)</f>
        <v>935.26106533285474</v>
      </c>
      <c r="O15" s="135">
        <f>IF(SER_hh_fec!O15=0,0,11630*1000*SER_hh_fec!O15/SER_hh_num!O15)</f>
        <v>860.61420297376958</v>
      </c>
      <c r="P15" s="135">
        <f>IF(SER_hh_fec!P15=0,0,11630*1000*SER_hh_fec!P15/SER_hh_num!P15)</f>
        <v>883.1119929188493</v>
      </c>
      <c r="Q15" s="135">
        <f>IF(SER_hh_fec!Q15=0,0,11630*1000*SER_hh_fec!Q15/SER_hh_num!Q15)</f>
        <v>787.89698518212504</v>
      </c>
      <c r="R15" s="135">
        <f>IF(SER_hh_fec!R15=0,0,11630*1000*SER_hh_fec!R15/SER_hh_num!R15)</f>
        <v>862.47614923610979</v>
      </c>
      <c r="S15" s="135">
        <f>IF(SER_hh_fec!S15=0,0,11630*1000*SER_hh_fec!S15/SER_hh_num!S15)</f>
        <v>864.00674308029716</v>
      </c>
      <c r="T15" s="135">
        <f>IF(SER_hh_fec!T15=0,0,11630*1000*SER_hh_fec!T15/SER_hh_num!T15)</f>
        <v>871.29613988604842</v>
      </c>
      <c r="U15" s="135">
        <f>IF(SER_hh_fec!U15=0,0,11630*1000*SER_hh_fec!U15/SER_hh_num!U15)</f>
        <v>851.35169048453645</v>
      </c>
      <c r="V15" s="135">
        <f>IF(SER_hh_fec!V15=0,0,11630*1000*SER_hh_fec!V15/SER_hh_num!V15)</f>
        <v>772.37456415699182</v>
      </c>
      <c r="W15" s="135">
        <f>IF(SER_hh_fec!W15=0,0,11630*1000*SER_hh_fec!W15/SER_hh_num!W15)</f>
        <v>907.59159894605784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12550.003198794888</v>
      </c>
      <c r="C16" s="131">
        <f>IF(SER_hh_fec!C16=0,0,11630*1000*SER_hh_fec!C16/SER_hh_num!C16)</f>
        <v>12034.871893061143</v>
      </c>
      <c r="D16" s="131">
        <f>IF(SER_hh_fec!D16=0,0,11630*1000*SER_hh_fec!D16/SER_hh_num!D16)</f>
        <v>11470.181918192206</v>
      </c>
      <c r="E16" s="131">
        <f>IF(SER_hh_fec!E16=0,0,11630*1000*SER_hh_fec!E16/SER_hh_num!E16)</f>
        <v>11419.391421549175</v>
      </c>
      <c r="F16" s="131">
        <f>IF(SER_hh_fec!F16=0,0,11630*1000*SER_hh_fec!F16/SER_hh_num!F16)</f>
        <v>10416.033425225885</v>
      </c>
      <c r="G16" s="131">
        <f>IF(SER_hh_fec!G16=0,0,11630*1000*SER_hh_fec!G16/SER_hh_num!G16)</f>
        <v>9886.9516743848544</v>
      </c>
      <c r="H16" s="131">
        <f>IF(SER_hh_fec!H16=0,0,11630*1000*SER_hh_fec!H16/SER_hh_num!H16)</f>
        <v>9418.1187561902298</v>
      </c>
      <c r="I16" s="131">
        <f>IF(SER_hh_fec!I16=0,0,11630*1000*SER_hh_fec!I16/SER_hh_num!I16)</f>
        <v>8913.9459910562127</v>
      </c>
      <c r="J16" s="131">
        <f>IF(SER_hh_fec!J16=0,0,11630*1000*SER_hh_fec!J16/SER_hh_num!J16)</f>
        <v>8490.7985931437597</v>
      </c>
      <c r="K16" s="131">
        <f>IF(SER_hh_fec!K16=0,0,11630*1000*SER_hh_fec!K16/SER_hh_num!K16)</f>
        <v>8370.0681608458035</v>
      </c>
      <c r="L16" s="131">
        <f>IF(SER_hh_fec!L16=0,0,11630*1000*SER_hh_fec!L16/SER_hh_num!L16)</f>
        <v>8795.7364383568292</v>
      </c>
      <c r="M16" s="131">
        <f>IF(SER_hh_fec!M16=0,0,11630*1000*SER_hh_fec!M16/SER_hh_num!M16)</f>
        <v>8085.8166455057099</v>
      </c>
      <c r="N16" s="131">
        <f>IF(SER_hh_fec!N16=0,0,11630*1000*SER_hh_fec!N16/SER_hh_num!N16)</f>
        <v>7796.5638628977686</v>
      </c>
      <c r="O16" s="131">
        <f>IF(SER_hh_fec!O16=0,0,11630*1000*SER_hh_fec!O16/SER_hh_num!O16)</f>
        <v>7579.1059932264843</v>
      </c>
      <c r="P16" s="131">
        <f>IF(SER_hh_fec!P16=0,0,11630*1000*SER_hh_fec!P16/SER_hh_num!P16)</f>
        <v>7371.1162299513489</v>
      </c>
      <c r="Q16" s="131">
        <f>IF(SER_hh_fec!Q16=0,0,11630*1000*SER_hh_fec!Q16/SER_hh_num!Q16)</f>
        <v>7025.0323453876745</v>
      </c>
      <c r="R16" s="131">
        <f>IF(SER_hh_fec!R16=0,0,11630*1000*SER_hh_fec!R16/SER_hh_num!R16)</f>
        <v>6929.4842818594589</v>
      </c>
      <c r="S16" s="131">
        <f>IF(SER_hh_fec!S16=0,0,11630*1000*SER_hh_fec!S16/SER_hh_num!S16)</f>
        <v>6700.9071404040051</v>
      </c>
      <c r="T16" s="131">
        <f>IF(SER_hh_fec!T16=0,0,11630*1000*SER_hh_fec!T16/SER_hh_num!T16)</f>
        <v>6490.3114195808448</v>
      </c>
      <c r="U16" s="131">
        <f>IF(SER_hh_fec!U16=0,0,11630*1000*SER_hh_fec!U16/SER_hh_num!U16)</f>
        <v>6366.9079207368213</v>
      </c>
      <c r="V16" s="131">
        <f>IF(SER_hh_fec!V16=0,0,11630*1000*SER_hh_fec!V16/SER_hh_num!V16)</f>
        <v>6217.4298916321131</v>
      </c>
      <c r="W16" s="131">
        <f>IF(SER_hh_fec!W16=0,0,11630*1000*SER_hh_fec!W16/SER_hh_num!W16)</f>
        <v>5939.7994924532459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12550.003198794888</v>
      </c>
      <c r="C18" s="133">
        <f>IF(SER_hh_fec!C18=0,0,11630*1000*SER_hh_fec!C18/SER_hh_num!C18)</f>
        <v>12034.871893061143</v>
      </c>
      <c r="D18" s="133">
        <f>IF(SER_hh_fec!D18=0,0,11630*1000*SER_hh_fec!D18/SER_hh_num!D18)</f>
        <v>11470.181918192206</v>
      </c>
      <c r="E18" s="133">
        <f>IF(SER_hh_fec!E18=0,0,11630*1000*SER_hh_fec!E18/SER_hh_num!E18)</f>
        <v>11419.391421549175</v>
      </c>
      <c r="F18" s="133">
        <f>IF(SER_hh_fec!F18=0,0,11630*1000*SER_hh_fec!F18/SER_hh_num!F18)</f>
        <v>10416.033425225885</v>
      </c>
      <c r="G18" s="133">
        <f>IF(SER_hh_fec!G18=0,0,11630*1000*SER_hh_fec!G18/SER_hh_num!G18)</f>
        <v>9886.9516743848544</v>
      </c>
      <c r="H18" s="133">
        <f>IF(SER_hh_fec!H18=0,0,11630*1000*SER_hh_fec!H18/SER_hh_num!H18)</f>
        <v>9418.1187561902298</v>
      </c>
      <c r="I18" s="133">
        <f>IF(SER_hh_fec!I18=0,0,11630*1000*SER_hh_fec!I18/SER_hh_num!I18)</f>
        <v>8913.9459910562127</v>
      </c>
      <c r="J18" s="133">
        <f>IF(SER_hh_fec!J18=0,0,11630*1000*SER_hh_fec!J18/SER_hh_num!J18)</f>
        <v>8490.7985931437597</v>
      </c>
      <c r="K18" s="133">
        <f>IF(SER_hh_fec!K18=0,0,11630*1000*SER_hh_fec!K18/SER_hh_num!K18)</f>
        <v>8370.0681608458035</v>
      </c>
      <c r="L18" s="133">
        <f>IF(SER_hh_fec!L18=0,0,11630*1000*SER_hh_fec!L18/SER_hh_num!L18)</f>
        <v>8795.7364383568292</v>
      </c>
      <c r="M18" s="133">
        <f>IF(SER_hh_fec!M18=0,0,11630*1000*SER_hh_fec!M18/SER_hh_num!M18)</f>
        <v>8085.8166455057099</v>
      </c>
      <c r="N18" s="133">
        <f>IF(SER_hh_fec!N18=0,0,11630*1000*SER_hh_fec!N18/SER_hh_num!N18)</f>
        <v>7796.5638628977686</v>
      </c>
      <c r="O18" s="133">
        <f>IF(SER_hh_fec!O18=0,0,11630*1000*SER_hh_fec!O18/SER_hh_num!O18)</f>
        <v>7579.1059932264843</v>
      </c>
      <c r="P18" s="133">
        <f>IF(SER_hh_fec!P18=0,0,11630*1000*SER_hh_fec!P18/SER_hh_num!P18)</f>
        <v>7371.1162299513489</v>
      </c>
      <c r="Q18" s="133">
        <f>IF(SER_hh_fec!Q18=0,0,11630*1000*SER_hh_fec!Q18/SER_hh_num!Q18)</f>
        <v>7025.0323453876745</v>
      </c>
      <c r="R18" s="133">
        <f>IF(SER_hh_fec!R18=0,0,11630*1000*SER_hh_fec!R18/SER_hh_num!R18)</f>
        <v>6929.4842818594589</v>
      </c>
      <c r="S18" s="133">
        <f>IF(SER_hh_fec!S18=0,0,11630*1000*SER_hh_fec!S18/SER_hh_num!S18)</f>
        <v>6700.9071404040051</v>
      </c>
      <c r="T18" s="133">
        <f>IF(SER_hh_fec!T18=0,0,11630*1000*SER_hh_fec!T18/SER_hh_num!T18)</f>
        <v>6490.3114195808448</v>
      </c>
      <c r="U18" s="133">
        <f>IF(SER_hh_fec!U18=0,0,11630*1000*SER_hh_fec!U18/SER_hh_num!U18)</f>
        <v>6366.9079207368213</v>
      </c>
      <c r="V18" s="133">
        <f>IF(SER_hh_fec!V18=0,0,11630*1000*SER_hh_fec!V18/SER_hh_num!V18)</f>
        <v>6217.4298916321131</v>
      </c>
      <c r="W18" s="133">
        <f>IF(SER_hh_fec!W18=0,0,11630*1000*SER_hh_fec!W18/SER_hh_num!W18)</f>
        <v>5939.7994924532459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22442.684763075755</v>
      </c>
      <c r="C19" s="131">
        <f>IF(SER_hh_fec!C19=0,0,11630*1000*SER_hh_fec!C19/SER_hh_num!C19)</f>
        <v>22348.516781369635</v>
      </c>
      <c r="D19" s="131">
        <f>IF(SER_hh_fec!D19=0,0,11630*1000*SER_hh_fec!D19/SER_hh_num!D19)</f>
        <v>22131.040361046234</v>
      </c>
      <c r="E19" s="131">
        <f>IF(SER_hh_fec!E19=0,0,11630*1000*SER_hh_fec!E19/SER_hh_num!E19)</f>
        <v>22096.986061249532</v>
      </c>
      <c r="F19" s="131">
        <f>IF(SER_hh_fec!F19=0,0,11630*1000*SER_hh_fec!F19/SER_hh_num!F19)</f>
        <v>21832.116824024022</v>
      </c>
      <c r="G19" s="131">
        <f>IF(SER_hh_fec!G19=0,0,11630*1000*SER_hh_fec!G19/SER_hh_num!G19)</f>
        <v>21830.652076725335</v>
      </c>
      <c r="H19" s="131">
        <f>IF(SER_hh_fec!H19=0,0,11630*1000*SER_hh_fec!H19/SER_hh_num!H19)</f>
        <v>21587.961294418739</v>
      </c>
      <c r="I19" s="131">
        <f>IF(SER_hh_fec!I19=0,0,11630*1000*SER_hh_fec!I19/SER_hh_num!I19)</f>
        <v>21342.30256618539</v>
      </c>
      <c r="J19" s="131">
        <f>IF(SER_hh_fec!J19=0,0,11630*1000*SER_hh_fec!J19/SER_hh_num!J19)</f>
        <v>21243.373429815274</v>
      </c>
      <c r="K19" s="131">
        <f>IF(SER_hh_fec!K19=0,0,11630*1000*SER_hh_fec!K19/SER_hh_num!K19)</f>
        <v>21172.183681582246</v>
      </c>
      <c r="L19" s="131">
        <f>IF(SER_hh_fec!L19=0,0,11630*1000*SER_hh_fec!L19/SER_hh_num!L19)</f>
        <v>21326.931936583278</v>
      </c>
      <c r="M19" s="131">
        <f>IF(SER_hh_fec!M19=0,0,11630*1000*SER_hh_fec!M19/SER_hh_num!M19)</f>
        <v>21308.751503739353</v>
      </c>
      <c r="N19" s="131">
        <f>IF(SER_hh_fec!N19=0,0,11630*1000*SER_hh_fec!N19/SER_hh_num!N19)</f>
        <v>21369.523961282379</v>
      </c>
      <c r="O19" s="131">
        <f>IF(SER_hh_fec!O19=0,0,11630*1000*SER_hh_fec!O19/SER_hh_num!O19)</f>
        <v>21280.609601137614</v>
      </c>
      <c r="P19" s="131">
        <f>IF(SER_hh_fec!P19=0,0,11630*1000*SER_hh_fec!P19/SER_hh_num!P19)</f>
        <v>21414.370511675621</v>
      </c>
      <c r="Q19" s="131">
        <f>IF(SER_hh_fec!Q19=0,0,11630*1000*SER_hh_fec!Q19/SER_hh_num!Q19)</f>
        <v>21417.181275118579</v>
      </c>
      <c r="R19" s="131">
        <f>IF(SER_hh_fec!R19=0,0,11630*1000*SER_hh_fec!R19/SER_hh_num!R19)</f>
        <v>21289.835976242968</v>
      </c>
      <c r="S19" s="131">
        <f>IF(SER_hh_fec!S19=0,0,11630*1000*SER_hh_fec!S19/SER_hh_num!S19)</f>
        <v>20970.327358890539</v>
      </c>
      <c r="T19" s="131">
        <f>IF(SER_hh_fec!T19=0,0,11630*1000*SER_hh_fec!T19/SER_hh_num!T19)</f>
        <v>20804.86800574715</v>
      </c>
      <c r="U19" s="131">
        <f>IF(SER_hh_fec!U19=0,0,11630*1000*SER_hh_fec!U19/SER_hh_num!U19)</f>
        <v>20492.240336570037</v>
      </c>
      <c r="V19" s="131">
        <f>IF(SER_hh_fec!V19=0,0,11630*1000*SER_hh_fec!V19/SER_hh_num!V19)</f>
        <v>18393.038450732845</v>
      </c>
      <c r="W19" s="131">
        <f>IF(SER_hh_fec!W19=0,0,11630*1000*SER_hh_fec!W19/SER_hh_num!W19)</f>
        <v>20451.117185796084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29744.384687685499</v>
      </c>
      <c r="C22" s="133">
        <f>IF(SER_hh_fec!C22=0,0,11630*1000*SER_hh_fec!C22/SER_hh_num!C22)</f>
        <v>29550.884485874281</v>
      </c>
      <c r="D22" s="133">
        <f>IF(SER_hh_fec!D22=0,0,11630*1000*SER_hh_fec!D22/SER_hh_num!D22)</f>
        <v>29779.57093065522</v>
      </c>
      <c r="E22" s="133">
        <f>IF(SER_hh_fec!E22=0,0,11630*1000*SER_hh_fec!E22/SER_hh_num!E22)</f>
        <v>29668.117347132007</v>
      </c>
      <c r="F22" s="133">
        <f>IF(SER_hh_fec!F22=0,0,11630*1000*SER_hh_fec!F22/SER_hh_num!F22)</f>
        <v>29330.496647062562</v>
      </c>
      <c r="G22" s="133">
        <f>IF(SER_hh_fec!G22=0,0,11630*1000*SER_hh_fec!G22/SER_hh_num!G22)</f>
        <v>28962.361068479135</v>
      </c>
      <c r="H22" s="133">
        <f>IF(SER_hh_fec!H22=0,0,11630*1000*SER_hh_fec!H22/SER_hh_num!H22)</f>
        <v>29134.429557873671</v>
      </c>
      <c r="I22" s="133">
        <f>IF(SER_hh_fec!I22=0,0,11630*1000*SER_hh_fec!I22/SER_hh_num!I22)</f>
        <v>28845.174917393531</v>
      </c>
      <c r="J22" s="133">
        <f>IF(SER_hh_fec!J22=0,0,11630*1000*SER_hh_fec!J22/SER_hh_num!J22)</f>
        <v>28345.328925624977</v>
      </c>
      <c r="K22" s="133">
        <f>IF(SER_hh_fec!K22=0,0,11630*1000*SER_hh_fec!K22/SER_hh_num!K22)</f>
        <v>27765.640083465434</v>
      </c>
      <c r="L22" s="133">
        <f>IF(SER_hh_fec!L22=0,0,11630*1000*SER_hh_fec!L22/SER_hh_num!L22)</f>
        <v>29192.258828914797</v>
      </c>
      <c r="M22" s="133">
        <f>IF(SER_hh_fec!M22=0,0,11630*1000*SER_hh_fec!M22/SER_hh_num!M22)</f>
        <v>28987.845861806967</v>
      </c>
      <c r="N22" s="133">
        <f>IF(SER_hh_fec!N22=0,0,11630*1000*SER_hh_fec!N22/SER_hh_num!N22)</f>
        <v>28399.443920899183</v>
      </c>
      <c r="O22" s="133">
        <f>IF(SER_hh_fec!O22=0,0,11630*1000*SER_hh_fec!O22/SER_hh_num!O22)</f>
        <v>28518.060792842436</v>
      </c>
      <c r="P22" s="133">
        <f>IF(SER_hh_fec!P22=0,0,11630*1000*SER_hh_fec!P22/SER_hh_num!P22)</f>
        <v>28033.14819183365</v>
      </c>
      <c r="Q22" s="133">
        <f>IF(SER_hh_fec!Q22=0,0,11630*1000*SER_hh_fec!Q22/SER_hh_num!Q22)</f>
        <v>28249.52530303337</v>
      </c>
      <c r="R22" s="133">
        <f>IF(SER_hh_fec!R22=0,0,11630*1000*SER_hh_fec!R22/SER_hh_num!R22)</f>
        <v>29433.954220168038</v>
      </c>
      <c r="S22" s="133">
        <f>IF(SER_hh_fec!S22=0,0,11630*1000*SER_hh_fec!S22/SER_hh_num!S22)</f>
        <v>27847.404900953927</v>
      </c>
      <c r="T22" s="133">
        <f>IF(SER_hh_fec!T22=0,0,11630*1000*SER_hh_fec!T22/SER_hh_num!T22)</f>
        <v>26208.739083738579</v>
      </c>
      <c r="U22" s="133">
        <f>IF(SER_hh_fec!U22=0,0,11630*1000*SER_hh_fec!U22/SER_hh_num!U22)</f>
        <v>26236.526432932336</v>
      </c>
      <c r="V22" s="133">
        <f>IF(SER_hh_fec!V22=0,0,11630*1000*SER_hh_fec!V22/SER_hh_num!V22)</f>
        <v>23466.143931936909</v>
      </c>
      <c r="W22" s="133">
        <f>IF(SER_hh_fec!W22=0,0,11630*1000*SER_hh_fec!W22/SER_hh_num!W22)</f>
        <v>26084.347847911406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29201.421519656651</v>
      </c>
      <c r="C23" s="133">
        <f>IF(SER_hh_fec!C23=0,0,11630*1000*SER_hh_fec!C23/SER_hh_num!C23)</f>
        <v>28906.0620793649</v>
      </c>
      <c r="D23" s="133">
        <f>IF(SER_hh_fec!D23=0,0,11630*1000*SER_hh_fec!D23/SER_hh_num!D23)</f>
        <v>28539.517296874725</v>
      </c>
      <c r="E23" s="133">
        <f>IF(SER_hh_fec!E23=0,0,11630*1000*SER_hh_fec!E23/SER_hh_num!E23)</f>
        <v>28093.624141127722</v>
      </c>
      <c r="F23" s="133">
        <f>IF(SER_hh_fec!F23=0,0,11630*1000*SER_hh_fec!F23/SER_hh_num!F23)</f>
        <v>28173.971398658647</v>
      </c>
      <c r="G23" s="133">
        <f>IF(SER_hh_fec!G23=0,0,11630*1000*SER_hh_fec!G23/SER_hh_num!G23)</f>
        <v>28220.776310202113</v>
      </c>
      <c r="H23" s="133">
        <f>IF(SER_hh_fec!H23=0,0,11630*1000*SER_hh_fec!H23/SER_hh_num!H23)</f>
        <v>27024.657684211801</v>
      </c>
      <c r="I23" s="133">
        <f>IF(SER_hh_fec!I23=0,0,11630*1000*SER_hh_fec!I23/SER_hh_num!I23)</f>
        <v>26915.500461688378</v>
      </c>
      <c r="J23" s="133">
        <f>IF(SER_hh_fec!J23=0,0,11630*1000*SER_hh_fec!J23/SER_hh_num!J23)</f>
        <v>27008.145503775944</v>
      </c>
      <c r="K23" s="133">
        <f>IF(SER_hh_fec!K23=0,0,11630*1000*SER_hh_fec!K23/SER_hh_num!K23)</f>
        <v>26447.378313318321</v>
      </c>
      <c r="L23" s="133">
        <f>IF(SER_hh_fec!L23=0,0,11630*1000*SER_hh_fec!L23/SER_hh_num!L23)</f>
        <v>25815.231520360456</v>
      </c>
      <c r="M23" s="133">
        <f>IF(SER_hh_fec!M23=0,0,11630*1000*SER_hh_fec!M23/SER_hh_num!M23)</f>
        <v>25838.54711529618</v>
      </c>
      <c r="N23" s="133">
        <f>IF(SER_hh_fec!N23=0,0,11630*1000*SER_hh_fec!N23/SER_hh_num!N23)</f>
        <v>25612.302290338524</v>
      </c>
      <c r="O23" s="133">
        <f>IF(SER_hh_fec!O23=0,0,11630*1000*SER_hh_fec!O23/SER_hh_num!O23)</f>
        <v>25272.416672755648</v>
      </c>
      <c r="P23" s="133">
        <f>IF(SER_hh_fec!P23=0,0,11630*1000*SER_hh_fec!P23/SER_hh_num!P23)</f>
        <v>25083.160697643165</v>
      </c>
      <c r="Q23" s="133">
        <f>IF(SER_hh_fec!Q23=0,0,11630*1000*SER_hh_fec!Q23/SER_hh_num!Q23)</f>
        <v>24689.712590329935</v>
      </c>
      <c r="R23" s="133">
        <f>IF(SER_hh_fec!R23=0,0,11630*1000*SER_hh_fec!R23/SER_hh_num!R23)</f>
        <v>23699.025729710149</v>
      </c>
      <c r="S23" s="133">
        <f>IF(SER_hh_fec!S23=0,0,11630*1000*SER_hh_fec!S23/SER_hh_num!S23)</f>
        <v>26643.625602420776</v>
      </c>
      <c r="T23" s="133">
        <f>IF(SER_hh_fec!T23=0,0,11630*1000*SER_hh_fec!T23/SER_hh_num!T23)</f>
        <v>22925.348158794128</v>
      </c>
      <c r="U23" s="133">
        <f>IF(SER_hh_fec!U23=0,0,11630*1000*SER_hh_fec!U23/SER_hh_num!U23)</f>
        <v>21339.212300001218</v>
      </c>
      <c r="V23" s="133">
        <f>IF(SER_hh_fec!V23=0,0,11630*1000*SER_hh_fec!V23/SER_hh_num!V23)</f>
        <v>20002.951396219632</v>
      </c>
      <c r="W23" s="133">
        <f>IF(SER_hh_fec!W23=0,0,11630*1000*SER_hh_fec!W23/SER_hh_num!W23)</f>
        <v>23962.809877236345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30396.734690607827</v>
      </c>
      <c r="C24" s="133">
        <f>IF(SER_hh_fec!C24=0,0,11630*1000*SER_hh_fec!C24/SER_hh_num!C24)</f>
        <v>33368.615329334127</v>
      </c>
      <c r="D24" s="133">
        <f>IF(SER_hh_fec!D24=0,0,11630*1000*SER_hh_fec!D24/SER_hh_num!D24)</f>
        <v>31671.610721949644</v>
      </c>
      <c r="E24" s="133">
        <f>IF(SER_hh_fec!E24=0,0,11630*1000*SER_hh_fec!E24/SER_hh_num!E24)</f>
        <v>30013.533838451287</v>
      </c>
      <c r="F24" s="133">
        <f>IF(SER_hh_fec!F24=0,0,11630*1000*SER_hh_fec!F24/SER_hh_num!F24)</f>
        <v>29365.352061126669</v>
      </c>
      <c r="G24" s="133">
        <f>IF(SER_hh_fec!G24=0,0,11630*1000*SER_hh_fec!G24/SER_hh_num!G24)</f>
        <v>28373.013829773688</v>
      </c>
      <c r="H24" s="133">
        <f>IF(SER_hh_fec!H24=0,0,11630*1000*SER_hh_fec!H24/SER_hh_num!H24)</f>
        <v>27660.331639087406</v>
      </c>
      <c r="I24" s="133">
        <f>IF(SER_hh_fec!I24=0,0,11630*1000*SER_hh_fec!I24/SER_hh_num!I24)</f>
        <v>26612.217397769928</v>
      </c>
      <c r="J24" s="133">
        <f>IF(SER_hh_fec!J24=0,0,11630*1000*SER_hh_fec!J24/SER_hh_num!J24)</f>
        <v>27262.105776979388</v>
      </c>
      <c r="K24" s="133">
        <f>IF(SER_hh_fec!K24=0,0,11630*1000*SER_hh_fec!K24/SER_hh_num!K24)</f>
        <v>25370.325733812759</v>
      </c>
      <c r="L24" s="133">
        <f>IF(SER_hh_fec!L24=0,0,11630*1000*SER_hh_fec!L24/SER_hh_num!L24)</f>
        <v>25193.780488484343</v>
      </c>
      <c r="M24" s="133">
        <f>IF(SER_hh_fec!M24=0,0,11630*1000*SER_hh_fec!M24/SER_hh_num!M24)</f>
        <v>25105.638402064011</v>
      </c>
      <c r="N24" s="133">
        <f>IF(SER_hh_fec!N24=0,0,11630*1000*SER_hh_fec!N24/SER_hh_num!N24)</f>
        <v>24528.59894488049</v>
      </c>
      <c r="O24" s="133">
        <f>IF(SER_hh_fec!O24=0,0,11630*1000*SER_hh_fec!O24/SER_hh_num!O24)</f>
        <v>23798.513604643791</v>
      </c>
      <c r="P24" s="133">
        <f>IF(SER_hh_fec!P24=0,0,11630*1000*SER_hh_fec!P24/SER_hh_num!P24)</f>
        <v>23443.907273747023</v>
      </c>
      <c r="Q24" s="133">
        <f>IF(SER_hh_fec!Q24=0,0,11630*1000*SER_hh_fec!Q24/SER_hh_num!Q24)</f>
        <v>22531.623357296143</v>
      </c>
      <c r="R24" s="133">
        <f>IF(SER_hh_fec!R24=0,0,11630*1000*SER_hh_fec!R24/SER_hh_num!R24)</f>
        <v>24245.889246980641</v>
      </c>
      <c r="S24" s="133">
        <f>IF(SER_hh_fec!S24=0,0,11630*1000*SER_hh_fec!S24/SER_hh_num!S24)</f>
        <v>22992.177893088399</v>
      </c>
      <c r="T24" s="133">
        <f>IF(SER_hh_fec!T24=0,0,11630*1000*SER_hh_fec!T24/SER_hh_num!T24)</f>
        <v>22593.639120977561</v>
      </c>
      <c r="U24" s="133">
        <f>IF(SER_hh_fec!U24=0,0,11630*1000*SER_hh_fec!U24/SER_hh_num!U24)</f>
        <v>22044.179738565341</v>
      </c>
      <c r="V24" s="133">
        <f>IF(SER_hh_fec!V24=0,0,11630*1000*SER_hh_fec!V24/SER_hh_num!V24)</f>
        <v>19367.559400220016</v>
      </c>
      <c r="W24" s="133">
        <f>IF(SER_hh_fec!W24=0,0,11630*1000*SER_hh_fec!W24/SER_hh_num!W24)</f>
        <v>22757.568734330656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19475.502281197667</v>
      </c>
      <c r="C25" s="133">
        <f>IF(SER_hh_fec!C25=0,0,11630*1000*SER_hh_fec!C25/SER_hh_num!C25)</f>
        <v>19573.854304758068</v>
      </c>
      <c r="D25" s="133">
        <f>IF(SER_hh_fec!D25=0,0,11630*1000*SER_hh_fec!D25/SER_hh_num!D25)</f>
        <v>19292.085866889705</v>
      </c>
      <c r="E25" s="133">
        <f>IF(SER_hh_fec!E25=0,0,11630*1000*SER_hh_fec!E25/SER_hh_num!E25)</f>
        <v>19344.143351435188</v>
      </c>
      <c r="F25" s="133">
        <f>IF(SER_hh_fec!F25=0,0,11630*1000*SER_hh_fec!F25/SER_hh_num!F25)</f>
        <v>19080.984618940704</v>
      </c>
      <c r="G25" s="133">
        <f>IF(SER_hh_fec!G25=0,0,11630*1000*SER_hh_fec!G25/SER_hh_num!G25)</f>
        <v>19140.720639482002</v>
      </c>
      <c r="H25" s="133">
        <f>IF(SER_hh_fec!H25=0,0,11630*1000*SER_hh_fec!H25/SER_hh_num!H25)</f>
        <v>19041.078551605209</v>
      </c>
      <c r="I25" s="133">
        <f>IF(SER_hh_fec!I25=0,0,11630*1000*SER_hh_fec!I25/SER_hh_num!I25)</f>
        <v>19041.381932517714</v>
      </c>
      <c r="J25" s="133">
        <f>IF(SER_hh_fec!J25=0,0,11630*1000*SER_hh_fec!J25/SER_hh_num!J25)</f>
        <v>18831.201464449918</v>
      </c>
      <c r="K25" s="133">
        <f>IF(SER_hh_fec!K25=0,0,11630*1000*SER_hh_fec!K25/SER_hh_num!K25)</f>
        <v>18908.464417593874</v>
      </c>
      <c r="L25" s="133">
        <f>IF(SER_hh_fec!L25=0,0,11630*1000*SER_hh_fec!L25/SER_hh_num!L25)</f>
        <v>18867.237947394897</v>
      </c>
      <c r="M25" s="133">
        <f>IF(SER_hh_fec!M25=0,0,11630*1000*SER_hh_fec!M25/SER_hh_num!M25)</f>
        <v>18890.199172028511</v>
      </c>
      <c r="N25" s="133">
        <f>IF(SER_hh_fec!N25=0,0,11630*1000*SER_hh_fec!N25/SER_hh_num!N25)</f>
        <v>19023.010200158744</v>
      </c>
      <c r="O25" s="133">
        <f>IF(SER_hh_fec!O25=0,0,11630*1000*SER_hh_fec!O25/SER_hh_num!O25)</f>
        <v>19148.252199767547</v>
      </c>
      <c r="P25" s="133">
        <f>IF(SER_hh_fec!P25=0,0,11630*1000*SER_hh_fec!P25/SER_hh_num!P25)</f>
        <v>19255.063784508864</v>
      </c>
      <c r="Q25" s="133">
        <f>IF(SER_hh_fec!Q25=0,0,11630*1000*SER_hh_fec!Q25/SER_hh_num!Q25)</f>
        <v>19244.604889256789</v>
      </c>
      <c r="R25" s="133">
        <f>IF(SER_hh_fec!R25=0,0,11630*1000*SER_hh_fec!R25/SER_hh_num!R25)</f>
        <v>19400.156476139513</v>
      </c>
      <c r="S25" s="133">
        <f>IF(SER_hh_fec!S25=0,0,11630*1000*SER_hh_fec!S25/SER_hh_num!S25)</f>
        <v>19182.846685784541</v>
      </c>
      <c r="T25" s="133">
        <f>IF(SER_hh_fec!T25=0,0,11630*1000*SER_hh_fec!T25/SER_hh_num!T25)</f>
        <v>19497.706297059212</v>
      </c>
      <c r="U25" s="133">
        <f>IF(SER_hh_fec!U25=0,0,11630*1000*SER_hh_fec!U25/SER_hh_num!U25)</f>
        <v>18774.926843949841</v>
      </c>
      <c r="V25" s="133">
        <f>IF(SER_hh_fec!V25=0,0,11630*1000*SER_hh_fec!V25/SER_hh_num!V25)</f>
        <v>17033.212838041905</v>
      </c>
      <c r="W25" s="133">
        <f>IF(SER_hh_fec!W25=0,0,11630*1000*SER_hh_fec!W25/SER_hh_num!W25)</f>
        <v>20289.776826707166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24002.196349753172</v>
      </c>
      <c r="C26" s="65">
        <f>IF(SER_hh_fec!C26=0,0,11630*1000*SER_hh_fec!C26/SER_hh_num!C26)</f>
        <v>23557.05390279166</v>
      </c>
      <c r="D26" s="65">
        <f>IF(SER_hh_fec!D26=0,0,11630*1000*SER_hh_fec!D26/SER_hh_num!D26)</f>
        <v>23417.189108122067</v>
      </c>
      <c r="E26" s="65">
        <f>IF(SER_hh_fec!E26=0,0,11630*1000*SER_hh_fec!E26/SER_hh_num!E26)</f>
        <v>23419.483390393696</v>
      </c>
      <c r="F26" s="65">
        <f>IF(SER_hh_fec!F26=0,0,11630*1000*SER_hh_fec!F26/SER_hh_num!F26)</f>
        <v>23259.348297979835</v>
      </c>
      <c r="G26" s="65">
        <f>IF(SER_hh_fec!G26=0,0,11630*1000*SER_hh_fec!G26/SER_hh_num!G26)</f>
        <v>23419.482837045805</v>
      </c>
      <c r="H26" s="65">
        <f>IF(SER_hh_fec!H26=0,0,11630*1000*SER_hh_fec!H26/SER_hh_num!H26)</f>
        <v>23045.618347244646</v>
      </c>
      <c r="I26" s="65">
        <f>IF(SER_hh_fec!I26=0,0,11630*1000*SER_hh_fec!I26/SER_hh_num!I26)</f>
        <v>22571.630672899242</v>
      </c>
      <c r="J26" s="65">
        <f>IF(SER_hh_fec!J26=0,0,11630*1000*SER_hh_fec!J26/SER_hh_num!J26)</f>
        <v>22682.367639274034</v>
      </c>
      <c r="K26" s="65">
        <f>IF(SER_hh_fec!K26=0,0,11630*1000*SER_hh_fec!K26/SER_hh_num!K26)</f>
        <v>22611.343909565276</v>
      </c>
      <c r="L26" s="65">
        <f>IF(SER_hh_fec!L26=0,0,11630*1000*SER_hh_fec!L26/SER_hh_num!L26)</f>
        <v>22693.892457688456</v>
      </c>
      <c r="M26" s="65">
        <f>IF(SER_hh_fec!M26=0,0,11630*1000*SER_hh_fec!M26/SER_hh_num!M26)</f>
        <v>22578.181100777103</v>
      </c>
      <c r="N26" s="65">
        <f>IF(SER_hh_fec!N26=0,0,11630*1000*SER_hh_fec!N26/SER_hh_num!N26)</f>
        <v>22716.400736493822</v>
      </c>
      <c r="O26" s="65">
        <f>IF(SER_hh_fec!O26=0,0,11630*1000*SER_hh_fec!O26/SER_hh_num!O26)</f>
        <v>22300.027065970677</v>
      </c>
      <c r="P26" s="65">
        <f>IF(SER_hh_fec!P26=0,0,11630*1000*SER_hh_fec!P26/SER_hh_num!P26)</f>
        <v>22681.152668435894</v>
      </c>
      <c r="Q26" s="65">
        <f>IF(SER_hh_fec!Q26=0,0,11630*1000*SER_hh_fec!Q26/SER_hh_num!Q26)</f>
        <v>22745.064308572222</v>
      </c>
      <c r="R26" s="65">
        <f>IF(SER_hh_fec!R26=0,0,11630*1000*SER_hh_fec!R26/SER_hh_num!R26)</f>
        <v>21829.894342194828</v>
      </c>
      <c r="S26" s="65">
        <f>IF(SER_hh_fec!S26=0,0,11630*1000*SER_hh_fec!S26/SER_hh_num!S26)</f>
        <v>21728.863092505835</v>
      </c>
      <c r="T26" s="65">
        <f>IF(SER_hh_fec!T26=0,0,11630*1000*SER_hh_fec!T26/SER_hh_num!T26)</f>
        <v>21385.734308431576</v>
      </c>
      <c r="U26" s="65">
        <f>IF(SER_hh_fec!U26=0,0,11630*1000*SER_hh_fec!U26/SER_hh_num!U26)</f>
        <v>21627.079585434043</v>
      </c>
      <c r="V26" s="65">
        <f>IF(SER_hh_fec!V26=0,0,11630*1000*SER_hh_fec!V26/SER_hh_num!V26)</f>
        <v>19205.118972517543</v>
      </c>
      <c r="W26" s="65">
        <f>IF(SER_hh_fec!W26=0,0,11630*1000*SER_hh_fec!W26/SER_hh_num!W26)</f>
        <v>19464.876516537654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19958.060865016734</v>
      </c>
      <c r="C29" s="131">
        <f>IF(SER_hh_fec!C29=0,0,11630*1000*SER_hh_fec!C29/SER_hh_num!C29)</f>
        <v>19398.140941616894</v>
      </c>
      <c r="D29" s="131">
        <f>IF(SER_hh_fec!D29=0,0,11630*1000*SER_hh_fec!D29/SER_hh_num!D29)</f>
        <v>18943.918191161127</v>
      </c>
      <c r="E29" s="131">
        <f>IF(SER_hh_fec!E29=0,0,11630*1000*SER_hh_fec!E29/SER_hh_num!E29)</f>
        <v>18635.062024319232</v>
      </c>
      <c r="F29" s="131">
        <f>IF(SER_hh_fec!F29=0,0,11630*1000*SER_hh_fec!F29/SER_hh_num!F29)</f>
        <v>18517.988273480143</v>
      </c>
      <c r="G29" s="131">
        <f>IF(SER_hh_fec!G29=0,0,11630*1000*SER_hh_fec!G29/SER_hh_num!G29)</f>
        <v>18226.27592466932</v>
      </c>
      <c r="H29" s="131">
        <f>IF(SER_hh_fec!H29=0,0,11630*1000*SER_hh_fec!H29/SER_hh_num!H29)</f>
        <v>18191.623839904478</v>
      </c>
      <c r="I29" s="131">
        <f>IF(SER_hh_fec!I29=0,0,11630*1000*SER_hh_fec!I29/SER_hh_num!I29)</f>
        <v>17811.527641763136</v>
      </c>
      <c r="J29" s="131">
        <f>IF(SER_hh_fec!J29=0,0,11630*1000*SER_hh_fec!J29/SER_hh_num!J29)</f>
        <v>17554.726880984428</v>
      </c>
      <c r="K29" s="131">
        <f>IF(SER_hh_fec!K29=0,0,11630*1000*SER_hh_fec!K29/SER_hh_num!K29)</f>
        <v>17549.509138073168</v>
      </c>
      <c r="L29" s="131">
        <f>IF(SER_hh_fec!L29=0,0,11630*1000*SER_hh_fec!L29/SER_hh_num!L29)</f>
        <v>17257.203322615544</v>
      </c>
      <c r="M29" s="131">
        <f>IF(SER_hh_fec!M29=0,0,11630*1000*SER_hh_fec!M29/SER_hh_num!M29)</f>
        <v>17366.236754212096</v>
      </c>
      <c r="N29" s="131">
        <f>IF(SER_hh_fec!N29=0,0,11630*1000*SER_hh_fec!N29/SER_hh_num!N29)</f>
        <v>17246.488840069473</v>
      </c>
      <c r="O29" s="131">
        <f>IF(SER_hh_fec!O29=0,0,11630*1000*SER_hh_fec!O29/SER_hh_num!O29)</f>
        <v>17026.225606714277</v>
      </c>
      <c r="P29" s="131">
        <f>IF(SER_hh_fec!P29=0,0,11630*1000*SER_hh_fec!P29/SER_hh_num!P29)</f>
        <v>17137.396421415415</v>
      </c>
      <c r="Q29" s="131">
        <f>IF(SER_hh_fec!Q29=0,0,11630*1000*SER_hh_fec!Q29/SER_hh_num!Q29)</f>
        <v>17258.820461258183</v>
      </c>
      <c r="R29" s="131">
        <f>IF(SER_hh_fec!R29=0,0,11630*1000*SER_hh_fec!R29/SER_hh_num!R29)</f>
        <v>17613.086710309861</v>
      </c>
      <c r="S29" s="131">
        <f>IF(SER_hh_fec!S29=0,0,11630*1000*SER_hh_fec!S29/SER_hh_num!S29)</f>
        <v>17431.797937614934</v>
      </c>
      <c r="T29" s="131">
        <f>IF(SER_hh_fec!T29=0,0,11630*1000*SER_hh_fec!T29/SER_hh_num!T29)</f>
        <v>17266.442577090478</v>
      </c>
      <c r="U29" s="131">
        <f>IF(SER_hh_fec!U29=0,0,11630*1000*SER_hh_fec!U29/SER_hh_num!U29)</f>
        <v>17576.303041276038</v>
      </c>
      <c r="V29" s="131">
        <f>IF(SER_hh_fec!V29=0,0,11630*1000*SER_hh_fec!V29/SER_hh_num!V29)</f>
        <v>15945.182141791374</v>
      </c>
      <c r="W29" s="131">
        <f>IF(SER_hh_fec!W29=0,0,11630*1000*SER_hh_fec!W29/SER_hh_num!W29)</f>
        <v>17613.243169217872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0</v>
      </c>
      <c r="M30" s="133">
        <f>IF(SER_hh_fec!M30=0,0,11630*1000*SER_hh_fec!M30/SER_hh_num!M30)</f>
        <v>0</v>
      </c>
      <c r="N30" s="133">
        <f>IF(SER_hh_fec!N30=0,0,11630*1000*SER_hh_fec!N30/SER_hh_num!N30)</f>
        <v>0</v>
      </c>
      <c r="O30" s="133">
        <f>IF(SER_hh_fec!O30=0,0,11630*1000*SER_hh_fec!O30/SER_hh_num!O30)</f>
        <v>0</v>
      </c>
      <c r="P30" s="133">
        <f>IF(SER_hh_fec!P30=0,0,11630*1000*SER_hh_fec!P30/SER_hh_num!P30)</f>
        <v>0</v>
      </c>
      <c r="Q30" s="133">
        <f>IF(SER_hh_fec!Q30=0,0,11630*1000*SER_hh_fec!Q30/SER_hh_num!Q30)</f>
        <v>0</v>
      </c>
      <c r="R30" s="133">
        <f>IF(SER_hh_fec!R30=0,0,11630*1000*SER_hh_fec!R30/SER_hh_num!R30)</f>
        <v>0</v>
      </c>
      <c r="S30" s="133">
        <f>IF(SER_hh_fec!S30=0,0,11630*1000*SER_hh_fec!S30/SER_hh_num!S30)</f>
        <v>0</v>
      </c>
      <c r="T30" s="133">
        <f>IF(SER_hh_fec!T30=0,0,11630*1000*SER_hh_fec!T30/SER_hh_num!T30)</f>
        <v>0</v>
      </c>
      <c r="U30" s="133">
        <f>IF(SER_hh_fec!U30=0,0,11630*1000*SER_hh_fec!U30/SER_hh_num!U30)</f>
        <v>0</v>
      </c>
      <c r="V30" s="133">
        <f>IF(SER_hh_fec!V30=0,0,11630*1000*SER_hh_fec!V30/SER_hh_num!V30)</f>
        <v>0</v>
      </c>
      <c r="W30" s="133">
        <f>IF(SER_hh_fec!W30=0,0,11630*1000*SER_hh_fec!W30/SER_hh_num!W30)</f>
        <v>0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25606.752336878977</v>
      </c>
      <c r="C31" s="133">
        <f>IF(SER_hh_fec!C31=0,0,11630*1000*SER_hh_fec!C31/SER_hh_num!C31)</f>
        <v>25036.656485229421</v>
      </c>
      <c r="D31" s="133">
        <f>IF(SER_hh_fec!D31=0,0,11630*1000*SER_hh_fec!D31/SER_hh_num!D31)</f>
        <v>24668.477732897554</v>
      </c>
      <c r="E31" s="133">
        <f>IF(SER_hh_fec!E31=0,0,11630*1000*SER_hh_fec!E31/SER_hh_num!E31)</f>
        <v>24246.124983322392</v>
      </c>
      <c r="F31" s="133">
        <f>IF(SER_hh_fec!F31=0,0,11630*1000*SER_hh_fec!F31/SER_hh_num!F31)</f>
        <v>24154.619097056289</v>
      </c>
      <c r="G31" s="133">
        <f>IF(SER_hh_fec!G31=0,0,11630*1000*SER_hh_fec!G31/SER_hh_num!G31)</f>
        <v>23888.468887500145</v>
      </c>
      <c r="H31" s="133">
        <f>IF(SER_hh_fec!H31=0,0,11630*1000*SER_hh_fec!H31/SER_hh_num!H31)</f>
        <v>23630.223776725281</v>
      </c>
      <c r="I31" s="133">
        <f>IF(SER_hh_fec!I31=0,0,11630*1000*SER_hh_fec!I31/SER_hh_num!I31)</f>
        <v>23403.752970047895</v>
      </c>
      <c r="J31" s="133">
        <f>IF(SER_hh_fec!J31=0,0,11630*1000*SER_hh_fec!J31/SER_hh_num!J31)</f>
        <v>23541.442459907208</v>
      </c>
      <c r="K31" s="133">
        <f>IF(SER_hh_fec!K31=0,0,11630*1000*SER_hh_fec!K31/SER_hh_num!K31)</f>
        <v>22924.146824119398</v>
      </c>
      <c r="L31" s="133">
        <f>IF(SER_hh_fec!L31=0,0,11630*1000*SER_hh_fec!L31/SER_hh_num!L31)</f>
        <v>22690.44064646478</v>
      </c>
      <c r="M31" s="133">
        <f>IF(SER_hh_fec!M31=0,0,11630*1000*SER_hh_fec!M31/SER_hh_num!M31)</f>
        <v>22156.710100371085</v>
      </c>
      <c r="N31" s="133">
        <f>IF(SER_hh_fec!N31=0,0,11630*1000*SER_hh_fec!N31/SER_hh_num!N31)</f>
        <v>22377.946096103849</v>
      </c>
      <c r="O31" s="133">
        <f>IF(SER_hh_fec!O31=0,0,11630*1000*SER_hh_fec!O31/SER_hh_num!O31)</f>
        <v>22815.110555810308</v>
      </c>
      <c r="P31" s="133">
        <f>IF(SER_hh_fec!P31=0,0,11630*1000*SER_hh_fec!P31/SER_hh_num!P31)</f>
        <v>22560.980784984327</v>
      </c>
      <c r="Q31" s="133">
        <f>IF(SER_hh_fec!Q31=0,0,11630*1000*SER_hh_fec!Q31/SER_hh_num!Q31)</f>
        <v>22667.805175863985</v>
      </c>
      <c r="R31" s="133">
        <f>IF(SER_hh_fec!R31=0,0,11630*1000*SER_hh_fec!R31/SER_hh_num!R31)</f>
        <v>22393.791759311618</v>
      </c>
      <c r="S31" s="133">
        <f>IF(SER_hh_fec!S31=0,0,11630*1000*SER_hh_fec!S31/SER_hh_num!S31)</f>
        <v>25294.373522692855</v>
      </c>
      <c r="T31" s="133">
        <f>IF(SER_hh_fec!T31=0,0,11630*1000*SER_hh_fec!T31/SER_hh_num!T31)</f>
        <v>22829.616014067775</v>
      </c>
      <c r="U31" s="133">
        <f>IF(SER_hh_fec!U31=0,0,11630*1000*SER_hh_fec!U31/SER_hh_num!U31)</f>
        <v>22034.89295413531</v>
      </c>
      <c r="V31" s="133">
        <f>IF(SER_hh_fec!V31=0,0,11630*1000*SER_hh_fec!V31/SER_hh_num!V31)</f>
        <v>21169.094965143631</v>
      </c>
      <c r="W31" s="133">
        <f>IF(SER_hh_fec!W31=0,0,11630*1000*SER_hh_fec!W31/SER_hh_num!W31)</f>
        <v>28709.030998418053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19833.796520735865</v>
      </c>
      <c r="C33" s="68">
        <f>IF(SER_hh_fec!C33=0,0,11630*1000*SER_hh_fec!C33/SER_hh_num!C33)</f>
        <v>19272.335111934608</v>
      </c>
      <c r="D33" s="68">
        <f>IF(SER_hh_fec!D33=0,0,11630*1000*SER_hh_fec!D33/SER_hh_num!D33)</f>
        <v>18812.312477993422</v>
      </c>
      <c r="E33" s="68">
        <f>IF(SER_hh_fec!E33=0,0,11630*1000*SER_hh_fec!E33/SER_hh_num!E33)</f>
        <v>18502.654407222301</v>
      </c>
      <c r="F33" s="68">
        <f>IF(SER_hh_fec!F33=0,0,11630*1000*SER_hh_fec!F33/SER_hh_num!F33)</f>
        <v>18383.237900871558</v>
      </c>
      <c r="G33" s="68">
        <f>IF(SER_hh_fec!G33=0,0,11630*1000*SER_hh_fec!G33/SER_hh_num!G33)</f>
        <v>18089.895763253458</v>
      </c>
      <c r="H33" s="68">
        <f>IF(SER_hh_fec!H33=0,0,11630*1000*SER_hh_fec!H33/SER_hh_num!H33)</f>
        <v>18061.537552430429</v>
      </c>
      <c r="I33" s="68">
        <f>IF(SER_hh_fec!I33=0,0,11630*1000*SER_hh_fec!I33/SER_hh_num!I33)</f>
        <v>17679.915027309886</v>
      </c>
      <c r="J33" s="68">
        <f>IF(SER_hh_fec!J33=0,0,11630*1000*SER_hh_fec!J33/SER_hh_num!J33)</f>
        <v>17417.35847590334</v>
      </c>
      <c r="K33" s="68">
        <f>IF(SER_hh_fec!K33=0,0,11630*1000*SER_hh_fec!K33/SER_hh_num!K33)</f>
        <v>17432.285711465531</v>
      </c>
      <c r="L33" s="68">
        <f>IF(SER_hh_fec!L33=0,0,11630*1000*SER_hh_fec!L33/SER_hh_num!L33)</f>
        <v>17145.640436951544</v>
      </c>
      <c r="M33" s="68">
        <f>IF(SER_hh_fec!M33=0,0,11630*1000*SER_hh_fec!M33/SER_hh_num!M33)</f>
        <v>17273.790839206165</v>
      </c>
      <c r="N33" s="68">
        <f>IF(SER_hh_fec!N33=0,0,11630*1000*SER_hh_fec!N33/SER_hh_num!N33)</f>
        <v>17151.27663802723</v>
      </c>
      <c r="O33" s="68">
        <f>IF(SER_hh_fec!O33=0,0,11630*1000*SER_hh_fec!O33/SER_hh_num!O33)</f>
        <v>16921.917547781668</v>
      </c>
      <c r="P33" s="68">
        <f>IF(SER_hh_fec!P33=0,0,11630*1000*SER_hh_fec!P33/SER_hh_num!P33)</f>
        <v>17043.655319423589</v>
      </c>
      <c r="Q33" s="68">
        <f>IF(SER_hh_fec!Q33=0,0,11630*1000*SER_hh_fec!Q33/SER_hh_num!Q33)</f>
        <v>17168.246357944492</v>
      </c>
      <c r="R33" s="68">
        <f>IF(SER_hh_fec!R33=0,0,11630*1000*SER_hh_fec!R33/SER_hh_num!R33)</f>
        <v>17536.248576969439</v>
      </c>
      <c r="S33" s="68">
        <f>IF(SER_hh_fec!S33=0,0,11630*1000*SER_hh_fec!S33/SER_hh_num!S33)</f>
        <v>17307.912233362833</v>
      </c>
      <c r="T33" s="68">
        <f>IF(SER_hh_fec!T33=0,0,11630*1000*SER_hh_fec!T33/SER_hh_num!T33)</f>
        <v>17184.725850163602</v>
      </c>
      <c r="U33" s="68">
        <f>IF(SER_hh_fec!U33=0,0,11630*1000*SER_hh_fec!U33/SER_hh_num!U33)</f>
        <v>17512.981482129475</v>
      </c>
      <c r="V33" s="68">
        <f>IF(SER_hh_fec!V33=0,0,11630*1000*SER_hh_fec!V33/SER_hh_num!V33)</f>
        <v>15870.65131555995</v>
      </c>
      <c r="W33" s="68">
        <f>IF(SER_hh_fec!W33=0,0,11630*1000*SER_hh_fec!W33/SER_hh_num!W33)</f>
        <v>17459.992718654677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142134.95791644676</v>
      </c>
      <c r="C3" s="126">
        <f>IF(SER_hh_tes!C3=0,0,11630*1000*SER_hh_tes!C3/SER_hh_num!C3)</f>
        <v>155061.29523040561</v>
      </c>
      <c r="D3" s="126">
        <f>IF(SER_hh_tes!D3=0,0,11630*1000*SER_hh_tes!D3/SER_hh_num!D3)</f>
        <v>158177.86432195883</v>
      </c>
      <c r="E3" s="126">
        <f>IF(SER_hh_tes!E3=0,0,11630*1000*SER_hh_tes!E3/SER_hh_num!E3)</f>
        <v>157328.35364564232</v>
      </c>
      <c r="F3" s="126">
        <f>IF(SER_hh_tes!F3=0,0,11630*1000*SER_hh_tes!F3/SER_hh_num!F3)</f>
        <v>154792.95856256378</v>
      </c>
      <c r="G3" s="126">
        <f>IF(SER_hh_tes!G3=0,0,11630*1000*SER_hh_tes!G3/SER_hh_num!G3)</f>
        <v>151599.57664515416</v>
      </c>
      <c r="H3" s="126">
        <f>IF(SER_hh_tes!H3=0,0,11630*1000*SER_hh_tes!H3/SER_hh_num!H3)</f>
        <v>153200.97929887506</v>
      </c>
      <c r="I3" s="126">
        <f>IF(SER_hh_tes!I3=0,0,11630*1000*SER_hh_tes!I3/SER_hh_num!I3)</f>
        <v>161171.8333769578</v>
      </c>
      <c r="J3" s="126">
        <f>IF(SER_hh_tes!J3=0,0,11630*1000*SER_hh_tes!J3/SER_hh_num!J3)</f>
        <v>158669.17822850743</v>
      </c>
      <c r="K3" s="126">
        <f>IF(SER_hh_tes!K3=0,0,11630*1000*SER_hh_tes!K3/SER_hh_num!K3)</f>
        <v>175458.49110362754</v>
      </c>
      <c r="L3" s="126">
        <f>IF(SER_hh_tes!L3=0,0,11630*1000*SER_hh_tes!L3/SER_hh_num!L3)</f>
        <v>187410.94381109872</v>
      </c>
      <c r="M3" s="126">
        <f>IF(SER_hh_tes!M3=0,0,11630*1000*SER_hh_tes!M3/SER_hh_num!M3)</f>
        <v>164857.75413724125</v>
      </c>
      <c r="N3" s="126">
        <f>IF(SER_hh_tes!N3=0,0,11630*1000*SER_hh_tes!N3/SER_hh_num!N3)</f>
        <v>178712.61930941592</v>
      </c>
      <c r="O3" s="126">
        <f>IF(SER_hh_tes!O3=0,0,11630*1000*SER_hh_tes!O3/SER_hh_num!O3)</f>
        <v>169493.85369601464</v>
      </c>
      <c r="P3" s="126">
        <f>IF(SER_hh_tes!P3=0,0,11630*1000*SER_hh_tes!P3/SER_hh_num!P3)</f>
        <v>175752.28611573885</v>
      </c>
      <c r="Q3" s="126">
        <f>IF(SER_hh_tes!Q3=0,0,11630*1000*SER_hh_tes!Q3/SER_hh_num!Q3)</f>
        <v>163785.49046524058</v>
      </c>
      <c r="R3" s="126">
        <f>IF(SER_hh_tes!R3=0,0,11630*1000*SER_hh_tes!R3/SER_hh_num!R3)</f>
        <v>175185.23898656378</v>
      </c>
      <c r="S3" s="126">
        <f>IF(SER_hh_tes!S3=0,0,11630*1000*SER_hh_tes!S3/SER_hh_num!S3)</f>
        <v>172581.75077456309</v>
      </c>
      <c r="T3" s="126">
        <f>IF(SER_hh_tes!T3=0,0,11630*1000*SER_hh_tes!T3/SER_hh_num!T3)</f>
        <v>178447.78214966689</v>
      </c>
      <c r="U3" s="126">
        <f>IF(SER_hh_tes!U3=0,0,11630*1000*SER_hh_tes!U3/SER_hh_num!U3)</f>
        <v>172869.12703074713</v>
      </c>
      <c r="V3" s="126">
        <f>IF(SER_hh_tes!V3=0,0,11630*1000*SER_hh_tes!V3/SER_hh_num!V3)</f>
        <v>157886.48560808587</v>
      </c>
      <c r="W3" s="126">
        <f>IF(SER_hh_tes!W3=0,0,11630*1000*SER_hh_tes!W3/SER_hh_num!W3)</f>
        <v>181650.14071358187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110225.93986562871</v>
      </c>
      <c r="C4" s="131">
        <f>IF(SER_hh_tes!C4=0,0,11630*1000*SER_hh_tes!C4/SER_hh_num!C4)</f>
        <v>123403.74560177943</v>
      </c>
      <c r="D4" s="131">
        <f>IF(SER_hh_tes!D4=0,0,11630*1000*SER_hh_tes!D4/SER_hh_num!D4)</f>
        <v>126719.59205772655</v>
      </c>
      <c r="E4" s="131">
        <f>IF(SER_hh_tes!E4=0,0,11630*1000*SER_hh_tes!E4/SER_hh_num!E4)</f>
        <v>125675.86388441089</v>
      </c>
      <c r="F4" s="131">
        <f>IF(SER_hh_tes!F4=0,0,11630*1000*SER_hh_tes!F4/SER_hh_num!F4)</f>
        <v>123201.61797975286</v>
      </c>
      <c r="G4" s="131">
        <f>IF(SER_hh_tes!G4=0,0,11630*1000*SER_hh_tes!G4/SER_hh_num!G4)</f>
        <v>119765.03285113214</v>
      </c>
      <c r="H4" s="131">
        <f>IF(SER_hh_tes!H4=0,0,11630*1000*SER_hh_tes!H4/SER_hh_num!H4)</f>
        <v>121128.85748518592</v>
      </c>
      <c r="I4" s="131">
        <f>IF(SER_hh_tes!I4=0,0,11630*1000*SER_hh_tes!I4/SER_hh_num!I4)</f>
        <v>129005.27344384538</v>
      </c>
      <c r="J4" s="131">
        <f>IF(SER_hh_tes!J4=0,0,11630*1000*SER_hh_tes!J4/SER_hh_num!J4)</f>
        <v>126195.63018009947</v>
      </c>
      <c r="K4" s="131">
        <f>IF(SER_hh_tes!K4=0,0,11630*1000*SER_hh_tes!K4/SER_hh_num!K4)</f>
        <v>142637.52632770766</v>
      </c>
      <c r="L4" s="131">
        <f>IF(SER_hh_tes!L4=0,0,11630*1000*SER_hh_tes!L4/SER_hh_num!L4)</f>
        <v>154072.86910370638</v>
      </c>
      <c r="M4" s="131">
        <f>IF(SER_hh_tes!M4=0,0,11630*1000*SER_hh_tes!M4/SER_hh_num!M4)</f>
        <v>131505.89989197368</v>
      </c>
      <c r="N4" s="131">
        <f>IF(SER_hh_tes!N4=0,0,11630*1000*SER_hh_tes!N4/SER_hh_num!N4)</f>
        <v>145224.40607919949</v>
      </c>
      <c r="O4" s="131">
        <f>IF(SER_hh_tes!O4=0,0,11630*1000*SER_hh_tes!O4/SER_hh_num!O4)</f>
        <v>135905.12088372753</v>
      </c>
      <c r="P4" s="131">
        <f>IF(SER_hh_tes!P4=0,0,11630*1000*SER_hh_tes!P4/SER_hh_num!P4)</f>
        <v>141618.88328749628</v>
      </c>
      <c r="Q4" s="131">
        <f>IF(SER_hh_tes!Q4=0,0,11630*1000*SER_hh_tes!Q4/SER_hh_num!Q4)</f>
        <v>129278.93921707886</v>
      </c>
      <c r="R4" s="131">
        <f>IF(SER_hh_tes!R4=0,0,11630*1000*SER_hh_tes!R4/SER_hh_num!R4)</f>
        <v>140070.09568900673</v>
      </c>
      <c r="S4" s="131">
        <f>IF(SER_hh_tes!S4=0,0,11630*1000*SER_hh_tes!S4/SER_hh_num!S4)</f>
        <v>137511.67659873661</v>
      </c>
      <c r="T4" s="131">
        <f>IF(SER_hh_tes!T4=0,0,11630*1000*SER_hh_tes!T4/SER_hh_num!T4)</f>
        <v>143217.05642795627</v>
      </c>
      <c r="U4" s="131">
        <f>IF(SER_hh_tes!U4=0,0,11630*1000*SER_hh_tes!U4/SER_hh_num!U4)</f>
        <v>137190.39636068491</v>
      </c>
      <c r="V4" s="131">
        <f>IF(SER_hh_tes!V4=0,0,11630*1000*SER_hh_tes!V4/SER_hh_num!V4)</f>
        <v>124707.88596033449</v>
      </c>
      <c r="W4" s="131">
        <f>IF(SER_hh_tes!W4=0,0,11630*1000*SER_hh_tes!W4/SER_hh_num!W4)</f>
        <v>145150.00683335104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112176.80228001787</v>
      </c>
      <c r="C5" s="133">
        <f>IF(SER_hh_tes!C5=0,0,11630*1000*SER_hh_tes!C5/SER_hh_num!C5)</f>
        <v>120258.68863610539</v>
      </c>
      <c r="D5" s="133">
        <f>IF(SER_hh_tes!D5=0,0,11630*1000*SER_hh_tes!D5/SER_hh_num!D5)</f>
        <v>122776.95969020114</v>
      </c>
      <c r="E5" s="133">
        <f>IF(SER_hh_tes!E5=0,0,11630*1000*SER_hh_tes!E5/SER_hh_num!E5)</f>
        <v>125336.03678555337</v>
      </c>
      <c r="F5" s="133">
        <f>IF(SER_hh_tes!F5=0,0,11630*1000*SER_hh_tes!F5/SER_hh_num!F5)</f>
        <v>120460.47982971053</v>
      </c>
      <c r="G5" s="133">
        <f>IF(SER_hh_tes!G5=0,0,11630*1000*SER_hh_tes!G5/SER_hh_num!G5)</f>
        <v>119053.0726744798</v>
      </c>
      <c r="H5" s="133">
        <f>IF(SER_hh_tes!H5=0,0,11630*1000*SER_hh_tes!H5/SER_hh_num!H5)</f>
        <v>126081.69320303193</v>
      </c>
      <c r="I5" s="133">
        <f>IF(SER_hh_tes!I5=0,0,11630*1000*SER_hh_tes!I5/SER_hh_num!I5)</f>
        <v>106851.89935491269</v>
      </c>
      <c r="J5" s="133">
        <f>IF(SER_hh_tes!J5=0,0,11630*1000*SER_hh_tes!J5/SER_hh_num!J5)</f>
        <v>129692.26235031743</v>
      </c>
      <c r="K5" s="133">
        <f>IF(SER_hh_tes!K5=0,0,11630*1000*SER_hh_tes!K5/SER_hh_num!K5)</f>
        <v>143026.8339729658</v>
      </c>
      <c r="L5" s="133">
        <f>IF(SER_hh_tes!L5=0,0,11630*1000*SER_hh_tes!L5/SER_hh_num!L5)</f>
        <v>156091.36120295399</v>
      </c>
      <c r="M5" s="133">
        <f>IF(SER_hh_tes!M5=0,0,11630*1000*SER_hh_tes!M5/SER_hh_num!M5)</f>
        <v>126965.72968376824</v>
      </c>
      <c r="N5" s="133">
        <f>IF(SER_hh_tes!N5=0,0,11630*1000*SER_hh_tes!N5/SER_hh_num!N5)</f>
        <v>147357.30165447996</v>
      </c>
      <c r="O5" s="133">
        <f>IF(SER_hh_tes!O5=0,0,11630*1000*SER_hh_tes!O5/SER_hh_num!O5)</f>
        <v>135725.83526439339</v>
      </c>
      <c r="P5" s="133">
        <f>IF(SER_hh_tes!P5=0,0,11630*1000*SER_hh_tes!P5/SER_hh_num!P5)</f>
        <v>140158.41815280478</v>
      </c>
      <c r="Q5" s="133">
        <f>IF(SER_hh_tes!Q5=0,0,11630*1000*SER_hh_tes!Q5/SER_hh_num!Q5)</f>
        <v>126968.19652168364</v>
      </c>
      <c r="R5" s="133">
        <f>IF(SER_hh_tes!R5=0,0,11630*1000*SER_hh_tes!R5/SER_hh_num!R5)</f>
        <v>138875.02629981982</v>
      </c>
      <c r="S5" s="133">
        <f>IF(SER_hh_tes!S5=0,0,11630*1000*SER_hh_tes!S5/SER_hh_num!S5)</f>
        <v>136805.5739988258</v>
      </c>
      <c r="T5" s="133">
        <f>IF(SER_hh_tes!T5=0,0,11630*1000*SER_hh_tes!T5/SER_hh_num!T5)</f>
        <v>138775.24852890379</v>
      </c>
      <c r="U5" s="133">
        <f>IF(SER_hh_tes!U5=0,0,11630*1000*SER_hh_tes!U5/SER_hh_num!U5)</f>
        <v>142834.20752371577</v>
      </c>
      <c r="V5" s="133">
        <f>IF(SER_hh_tes!V5=0,0,11630*1000*SER_hh_tes!V5/SER_hh_num!V5)</f>
        <v>129168.18873416627</v>
      </c>
      <c r="W5" s="133">
        <f>IF(SER_hh_tes!W5=0,0,11630*1000*SER_hh_tes!W5/SER_hh_num!W5)</f>
        <v>142426.00780457028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110513.19663141917</v>
      </c>
      <c r="C7" s="133">
        <f>IF(SER_hh_tes!C7=0,0,11630*1000*SER_hh_tes!C7/SER_hh_num!C7)</f>
        <v>120180.71019426054</v>
      </c>
      <c r="D7" s="133">
        <f>IF(SER_hh_tes!D7=0,0,11630*1000*SER_hh_tes!D7/SER_hh_num!D7)</f>
        <v>121928.78718918498</v>
      </c>
      <c r="E7" s="133">
        <f>IF(SER_hh_tes!E7=0,0,11630*1000*SER_hh_tes!E7/SER_hh_num!E7)</f>
        <v>123112.40637518658</v>
      </c>
      <c r="F7" s="133">
        <f>IF(SER_hh_tes!F7=0,0,11630*1000*SER_hh_tes!F7/SER_hh_num!F7)</f>
        <v>121522.20800008856</v>
      </c>
      <c r="G7" s="133">
        <f>IF(SER_hh_tes!G7=0,0,11630*1000*SER_hh_tes!G7/SER_hh_num!G7)</f>
        <v>118620.73441162617</v>
      </c>
      <c r="H7" s="133">
        <f>IF(SER_hh_tes!H7=0,0,11630*1000*SER_hh_tes!H7/SER_hh_num!H7)</f>
        <v>123896.53507340723</v>
      </c>
      <c r="I7" s="133">
        <f>IF(SER_hh_tes!I7=0,0,11630*1000*SER_hh_tes!I7/SER_hh_num!I7)</f>
        <v>128658.41162418808</v>
      </c>
      <c r="J7" s="133">
        <f>IF(SER_hh_tes!J7=0,0,11630*1000*SER_hh_tes!J7/SER_hh_num!J7)</f>
        <v>113491.09685618634</v>
      </c>
      <c r="K7" s="133">
        <f>IF(SER_hh_tes!K7=0,0,11630*1000*SER_hh_tes!K7/SER_hh_num!K7)</f>
        <v>131653.41322746366</v>
      </c>
      <c r="L7" s="133">
        <f>IF(SER_hh_tes!L7=0,0,11630*1000*SER_hh_tes!L7/SER_hh_num!L7)</f>
        <v>156131.99630935321</v>
      </c>
      <c r="M7" s="133">
        <f>IF(SER_hh_tes!M7=0,0,11630*1000*SER_hh_tes!M7/SER_hh_num!M7)</f>
        <v>130565.28994249868</v>
      </c>
      <c r="N7" s="133">
        <f>IF(SER_hh_tes!N7=0,0,11630*1000*SER_hh_tes!N7/SER_hh_num!N7)</f>
        <v>145950.03348194793</v>
      </c>
      <c r="O7" s="133">
        <f>IF(SER_hh_tes!O7=0,0,11630*1000*SER_hh_tes!O7/SER_hh_num!O7)</f>
        <v>134776.11795708656</v>
      </c>
      <c r="P7" s="133">
        <f>IF(SER_hh_tes!P7=0,0,11630*1000*SER_hh_tes!P7/SER_hh_num!P7)</f>
        <v>136515.96132527589</v>
      </c>
      <c r="Q7" s="133">
        <f>IF(SER_hh_tes!Q7=0,0,11630*1000*SER_hh_tes!Q7/SER_hh_num!Q7)</f>
        <v>125132.02309143367</v>
      </c>
      <c r="R7" s="133">
        <f>IF(SER_hh_tes!R7=0,0,11630*1000*SER_hh_tes!R7/SER_hh_num!R7)</f>
        <v>138200.66711832711</v>
      </c>
      <c r="S7" s="133">
        <f>IF(SER_hh_tes!S7=0,0,11630*1000*SER_hh_tes!S7/SER_hh_num!S7)</f>
        <v>137293.03976052182</v>
      </c>
      <c r="T7" s="133">
        <f>IF(SER_hh_tes!T7=0,0,11630*1000*SER_hh_tes!T7/SER_hh_num!T7)</f>
        <v>137855.86663551006</v>
      </c>
      <c r="U7" s="133">
        <f>IF(SER_hh_tes!U7=0,0,11630*1000*SER_hh_tes!U7/SER_hh_num!U7)</f>
        <v>135960.97959634088</v>
      </c>
      <c r="V7" s="133">
        <f>IF(SER_hh_tes!V7=0,0,11630*1000*SER_hh_tes!V7/SER_hh_num!V7)</f>
        <v>122572.82510305123</v>
      </c>
      <c r="W7" s="133">
        <f>IF(SER_hh_tes!W7=0,0,11630*1000*SER_hh_tes!W7/SER_hh_num!W7)</f>
        <v>144128.74275035449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121937.31992391053</v>
      </c>
      <c r="C9" s="133">
        <f>IF(SER_hh_tes!C9=0,0,11630*1000*SER_hh_tes!C9/SER_hh_num!C9)</f>
        <v>112915.20552330989</v>
      </c>
      <c r="D9" s="133">
        <f>IF(SER_hh_tes!D9=0,0,11630*1000*SER_hh_tes!D9/SER_hh_num!D9)</f>
        <v>125285.94087748065</v>
      </c>
      <c r="E9" s="133">
        <f>IF(SER_hh_tes!E9=0,0,11630*1000*SER_hh_tes!E9/SER_hh_num!E9)</f>
        <v>121864.07355645315</v>
      </c>
      <c r="F9" s="133">
        <f>IF(SER_hh_tes!F9=0,0,11630*1000*SER_hh_tes!F9/SER_hh_num!F9)</f>
        <v>126992.49214512564</v>
      </c>
      <c r="G9" s="133">
        <f>IF(SER_hh_tes!G9=0,0,11630*1000*SER_hh_tes!G9/SER_hh_num!G9)</f>
        <v>124023.41537595808</v>
      </c>
      <c r="H9" s="133">
        <f>IF(SER_hh_tes!H9=0,0,11630*1000*SER_hh_tes!H9/SER_hh_num!H9)</f>
        <v>120650.53460493249</v>
      </c>
      <c r="I9" s="133">
        <f>IF(SER_hh_tes!I9=0,0,11630*1000*SER_hh_tes!I9/SER_hh_num!I9)</f>
        <v>124076.48840982113</v>
      </c>
      <c r="J9" s="133">
        <f>IF(SER_hh_tes!J9=0,0,11630*1000*SER_hh_tes!J9/SER_hh_num!J9)</f>
        <v>126761.67016629597</v>
      </c>
      <c r="K9" s="133">
        <f>IF(SER_hh_tes!K9=0,0,11630*1000*SER_hh_tes!K9/SER_hh_num!K9)</f>
        <v>126695.71534937067</v>
      </c>
      <c r="L9" s="133">
        <f>IF(SER_hh_tes!L9=0,0,11630*1000*SER_hh_tes!L9/SER_hh_num!L9)</f>
        <v>137052.15828903325</v>
      </c>
      <c r="M9" s="133">
        <f>IF(SER_hh_tes!M9=0,0,11630*1000*SER_hh_tes!M9/SER_hh_num!M9)</f>
        <v>178654.07972021573</v>
      </c>
      <c r="N9" s="133">
        <f>IF(SER_hh_tes!N9=0,0,11630*1000*SER_hh_tes!N9/SER_hh_num!N9)</f>
        <v>195223.77116004756</v>
      </c>
      <c r="O9" s="133">
        <f>IF(SER_hh_tes!O9=0,0,11630*1000*SER_hh_tes!O9/SER_hh_num!O9)</f>
        <v>162261.21002186849</v>
      </c>
      <c r="P9" s="133">
        <f>IF(SER_hh_tes!P9=0,0,11630*1000*SER_hh_tes!P9/SER_hh_num!P9)</f>
        <v>140745.04061230639</v>
      </c>
      <c r="Q9" s="133">
        <f>IF(SER_hh_tes!Q9=0,0,11630*1000*SER_hh_tes!Q9/SER_hh_num!Q9)</f>
        <v>124025.77461701284</v>
      </c>
      <c r="R9" s="133">
        <f>IF(SER_hh_tes!R9=0,0,11630*1000*SER_hh_tes!R9/SER_hh_num!R9)</f>
        <v>122091.65815166857</v>
      </c>
      <c r="S9" s="133">
        <f>IF(SER_hh_tes!S9=0,0,11630*1000*SER_hh_tes!S9/SER_hh_num!S9)</f>
        <v>148297.06367846704</v>
      </c>
      <c r="T9" s="133">
        <f>IF(SER_hh_tes!T9=0,0,11630*1000*SER_hh_tes!T9/SER_hh_num!T9)</f>
        <v>138509.6292329818</v>
      </c>
      <c r="U9" s="133">
        <f>IF(SER_hh_tes!U9=0,0,11630*1000*SER_hh_tes!U9/SER_hh_num!U9)</f>
        <v>133860.4449788779</v>
      </c>
      <c r="V9" s="133">
        <f>IF(SER_hh_tes!V9=0,0,11630*1000*SER_hh_tes!V9/SER_hh_num!V9)</f>
        <v>120393.77034592908</v>
      </c>
      <c r="W9" s="133">
        <f>IF(SER_hh_tes!W9=0,0,11630*1000*SER_hh_tes!W9/SER_hh_num!W9)</f>
        <v>146825.10753724154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108215.17308695377</v>
      </c>
      <c r="C10" s="133">
        <f>IF(SER_hh_tes!C10=0,0,11630*1000*SER_hh_tes!C10/SER_hh_num!C10)</f>
        <v>122234.80531750771</v>
      </c>
      <c r="D10" s="133">
        <f>IF(SER_hh_tes!D10=0,0,11630*1000*SER_hh_tes!D10/SER_hh_num!D10)</f>
        <v>124701.64691148209</v>
      </c>
      <c r="E10" s="133">
        <f>IF(SER_hh_tes!E10=0,0,11630*1000*SER_hh_tes!E10/SER_hh_num!E10)</f>
        <v>124628.45112200668</v>
      </c>
      <c r="F10" s="133">
        <f>IF(SER_hh_tes!F10=0,0,11630*1000*SER_hh_tes!F10/SER_hh_num!F10)</f>
        <v>121492.22887945871</v>
      </c>
      <c r="G10" s="133">
        <f>IF(SER_hh_tes!G10=0,0,11630*1000*SER_hh_tes!G10/SER_hh_num!G10)</f>
        <v>119786.36471591541</v>
      </c>
      <c r="H10" s="133">
        <f>IF(SER_hh_tes!H10=0,0,11630*1000*SER_hh_tes!H10/SER_hh_num!H10)</f>
        <v>122375.251983907</v>
      </c>
      <c r="I10" s="133">
        <f>IF(SER_hh_tes!I10=0,0,11630*1000*SER_hh_tes!I10/SER_hh_num!I10)</f>
        <v>121946.12704418263</v>
      </c>
      <c r="J10" s="133">
        <f>IF(SER_hh_tes!J10=0,0,11630*1000*SER_hh_tes!J10/SER_hh_num!J10)</f>
        <v>129546.30984820671</v>
      </c>
      <c r="K10" s="133">
        <f>IF(SER_hh_tes!K10=0,0,11630*1000*SER_hh_tes!K10/SER_hh_num!K10)</f>
        <v>139171.81429310769</v>
      </c>
      <c r="L10" s="133">
        <f>IF(SER_hh_tes!L10=0,0,11630*1000*SER_hh_tes!L10/SER_hh_num!L10)</f>
        <v>153409.00263142461</v>
      </c>
      <c r="M10" s="133">
        <f>IF(SER_hh_tes!M10=0,0,11630*1000*SER_hh_tes!M10/SER_hh_num!M10)</f>
        <v>131375.59839542699</v>
      </c>
      <c r="N10" s="133">
        <f>IF(SER_hh_tes!N10=0,0,11630*1000*SER_hh_tes!N10/SER_hh_num!N10)</f>
        <v>145891.3305833656</v>
      </c>
      <c r="O10" s="133">
        <f>IF(SER_hh_tes!O10=0,0,11630*1000*SER_hh_tes!O10/SER_hh_num!O10)</f>
        <v>135034.12717100678</v>
      </c>
      <c r="P10" s="133">
        <f>IF(SER_hh_tes!P10=0,0,11630*1000*SER_hh_tes!P10/SER_hh_num!P10)</f>
        <v>139350.36251437099</v>
      </c>
      <c r="Q10" s="133">
        <f>IF(SER_hh_tes!Q10=0,0,11630*1000*SER_hh_tes!Q10/SER_hh_num!Q10)</f>
        <v>126324.10683650481</v>
      </c>
      <c r="R10" s="133">
        <f>IF(SER_hh_tes!R10=0,0,11630*1000*SER_hh_tes!R10/SER_hh_num!R10)</f>
        <v>139212.36170268609</v>
      </c>
      <c r="S10" s="133">
        <f>IF(SER_hh_tes!S10=0,0,11630*1000*SER_hh_tes!S10/SER_hh_num!S10)</f>
        <v>138303.06720193318</v>
      </c>
      <c r="T10" s="133">
        <f>IF(SER_hh_tes!T10=0,0,11630*1000*SER_hh_tes!T10/SER_hh_num!T10)</f>
        <v>140873.53683348431</v>
      </c>
      <c r="U10" s="133">
        <f>IF(SER_hh_tes!U10=0,0,11630*1000*SER_hh_tes!U10/SER_hh_num!U10)</f>
        <v>136468.0262179905</v>
      </c>
      <c r="V10" s="133">
        <f>IF(SER_hh_tes!V10=0,0,11630*1000*SER_hh_tes!V10/SER_hh_num!V10)</f>
        <v>122935.87173643749</v>
      </c>
      <c r="W10" s="133">
        <f>IF(SER_hh_tes!W10=0,0,11630*1000*SER_hh_tes!W10/SER_hh_num!W10)</f>
        <v>145356.21803312495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108986.49200261186</v>
      </c>
      <c r="C12" s="133">
        <f>IF(SER_hh_tes!C12=0,0,11630*1000*SER_hh_tes!C12/SER_hh_num!C12)</f>
        <v>123381.63445167491</v>
      </c>
      <c r="D12" s="133">
        <f>IF(SER_hh_tes!D12=0,0,11630*1000*SER_hh_tes!D12/SER_hh_num!D12)</f>
        <v>125896.52852031685</v>
      </c>
      <c r="E12" s="133">
        <f>IF(SER_hh_tes!E12=0,0,11630*1000*SER_hh_tes!E12/SER_hh_num!E12)</f>
        <v>127026.80557477305</v>
      </c>
      <c r="F12" s="133">
        <f>IF(SER_hh_tes!F12=0,0,11630*1000*SER_hh_tes!F12/SER_hh_num!F12)</f>
        <v>122183.37922360894</v>
      </c>
      <c r="G12" s="133">
        <f>IF(SER_hh_tes!G12=0,0,11630*1000*SER_hh_tes!G12/SER_hh_num!G12)</f>
        <v>118045.62963836576</v>
      </c>
      <c r="H12" s="133">
        <f>IF(SER_hh_tes!H12=0,0,11630*1000*SER_hh_tes!H12/SER_hh_num!H12)</f>
        <v>118271.29548670443</v>
      </c>
      <c r="I12" s="133">
        <f>IF(SER_hh_tes!I12=0,0,11630*1000*SER_hh_tes!I12/SER_hh_num!I12)</f>
        <v>129811.16966575356</v>
      </c>
      <c r="J12" s="133">
        <f>IF(SER_hh_tes!J12=0,0,11630*1000*SER_hh_tes!J12/SER_hh_num!J12)</f>
        <v>125493.3553524564</v>
      </c>
      <c r="K12" s="133">
        <f>IF(SER_hh_tes!K12=0,0,11630*1000*SER_hh_tes!K12/SER_hh_num!K12)</f>
        <v>144760.83711267274</v>
      </c>
      <c r="L12" s="133">
        <f>IF(SER_hh_tes!L12=0,0,11630*1000*SER_hh_tes!L12/SER_hh_num!L12)</f>
        <v>154929.84452275338</v>
      </c>
      <c r="M12" s="133">
        <f>IF(SER_hh_tes!M12=0,0,11630*1000*SER_hh_tes!M12/SER_hh_num!M12)</f>
        <v>127990.15884175814</v>
      </c>
      <c r="N12" s="133">
        <f>IF(SER_hh_tes!N12=0,0,11630*1000*SER_hh_tes!N12/SER_hh_num!N12)</f>
        <v>142100.69235577236</v>
      </c>
      <c r="O12" s="133">
        <f>IF(SER_hh_tes!O12=0,0,11630*1000*SER_hh_tes!O12/SER_hh_num!O12)</f>
        <v>133761.45199818959</v>
      </c>
      <c r="P12" s="133">
        <f>IF(SER_hh_tes!P12=0,0,11630*1000*SER_hh_tes!P12/SER_hh_num!P12)</f>
        <v>144086.29261800423</v>
      </c>
      <c r="Q12" s="133">
        <f>IF(SER_hh_tes!Q12=0,0,11630*1000*SER_hh_tes!Q12/SER_hh_num!Q12)</f>
        <v>127047.42659720436</v>
      </c>
      <c r="R12" s="133">
        <f>IF(SER_hh_tes!R12=0,0,11630*1000*SER_hh_tes!R12/SER_hh_num!R12)</f>
        <v>140122.42866868712</v>
      </c>
      <c r="S12" s="133">
        <f>IF(SER_hh_tes!S12=0,0,11630*1000*SER_hh_tes!S12/SER_hh_num!S12)</f>
        <v>138514.64903568363</v>
      </c>
      <c r="T12" s="133">
        <f>IF(SER_hh_tes!T12=0,0,11630*1000*SER_hh_tes!T12/SER_hh_num!T12)</f>
        <v>141386.58890117132</v>
      </c>
      <c r="U12" s="133">
        <f>IF(SER_hh_tes!U12=0,0,11630*1000*SER_hh_tes!U12/SER_hh_num!U12)</f>
        <v>136420.53288825601</v>
      </c>
      <c r="V12" s="133">
        <f>IF(SER_hh_tes!V12=0,0,11630*1000*SER_hh_tes!V12/SER_hh_num!V12)</f>
        <v>123618.01992287471</v>
      </c>
      <c r="W12" s="133">
        <f>IF(SER_hh_tes!W12=0,0,11630*1000*SER_hh_tes!W12/SER_hh_num!W12)</f>
        <v>145017.71103216556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110347.71778793073</v>
      </c>
      <c r="C13" s="133">
        <f>IF(SER_hh_tes!C13=0,0,11630*1000*SER_hh_tes!C13/SER_hh_num!C13)</f>
        <v>120118.99547722413</v>
      </c>
      <c r="D13" s="133">
        <f>IF(SER_hh_tes!D13=0,0,11630*1000*SER_hh_tes!D13/SER_hh_num!D13)</f>
        <v>121840.3447754013</v>
      </c>
      <c r="E13" s="133">
        <f>IF(SER_hh_tes!E13=0,0,11630*1000*SER_hh_tes!E13/SER_hh_num!E13)</f>
        <v>121984.45905834225</v>
      </c>
      <c r="F13" s="133">
        <f>IF(SER_hh_tes!F13=0,0,11630*1000*SER_hh_tes!F13/SER_hh_num!F13)</f>
        <v>121500.50797843232</v>
      </c>
      <c r="G13" s="133">
        <f>IF(SER_hh_tes!G13=0,0,11630*1000*SER_hh_tes!G13/SER_hh_num!G13)</f>
        <v>121024.54202744341</v>
      </c>
      <c r="H13" s="133">
        <f>IF(SER_hh_tes!H13=0,0,11630*1000*SER_hh_tes!H13/SER_hh_num!H13)</f>
        <v>122363.4346298225</v>
      </c>
      <c r="I13" s="133">
        <f>IF(SER_hh_tes!I13=0,0,11630*1000*SER_hh_tes!I13/SER_hh_num!I13)</f>
        <v>126222.73777008938</v>
      </c>
      <c r="J13" s="133">
        <f>IF(SER_hh_tes!J13=0,0,11630*1000*SER_hh_tes!J13/SER_hh_num!J13)</f>
        <v>130876.98662519014</v>
      </c>
      <c r="K13" s="133">
        <f>IF(SER_hh_tes!K13=0,0,11630*1000*SER_hh_tes!K13/SER_hh_num!K13)</f>
        <v>136195.17613823756</v>
      </c>
      <c r="L13" s="133">
        <f>IF(SER_hh_tes!L13=0,0,11630*1000*SER_hh_tes!L13/SER_hh_num!L13)</f>
        <v>138867.23934661556</v>
      </c>
      <c r="M13" s="133">
        <f>IF(SER_hh_tes!M13=0,0,11630*1000*SER_hh_tes!M13/SER_hh_num!M13)</f>
        <v>136339.72340986959</v>
      </c>
      <c r="N13" s="133">
        <f>IF(SER_hh_tes!N13=0,0,11630*1000*SER_hh_tes!N13/SER_hh_num!N13)</f>
        <v>137830.03050959416</v>
      </c>
      <c r="O13" s="133">
        <f>IF(SER_hh_tes!O13=0,0,11630*1000*SER_hh_tes!O13/SER_hh_num!O13)</f>
        <v>134767.88291942005</v>
      </c>
      <c r="P13" s="133">
        <f>IF(SER_hh_tes!P13=0,0,11630*1000*SER_hh_tes!P13/SER_hh_num!P13)</f>
        <v>134640.16542316228</v>
      </c>
      <c r="Q13" s="133">
        <f>IF(SER_hh_tes!Q13=0,0,11630*1000*SER_hh_tes!Q13/SER_hh_num!Q13)</f>
        <v>139480.82332206174</v>
      </c>
      <c r="R13" s="133">
        <f>IF(SER_hh_tes!R13=0,0,11630*1000*SER_hh_tes!R13/SER_hh_num!R13)</f>
        <v>136693.98925126181</v>
      </c>
      <c r="S13" s="133">
        <f>IF(SER_hh_tes!S13=0,0,11630*1000*SER_hh_tes!S13/SER_hh_num!S13)</f>
        <v>136277.0280350002</v>
      </c>
      <c r="T13" s="133">
        <f>IF(SER_hh_tes!T13=0,0,11630*1000*SER_hh_tes!T13/SER_hh_num!T13)</f>
        <v>140033.76025878533</v>
      </c>
      <c r="U13" s="133">
        <f>IF(SER_hh_tes!U13=0,0,11630*1000*SER_hh_tes!U13/SER_hh_num!U13)</f>
        <v>135168.31006140995</v>
      </c>
      <c r="V13" s="133">
        <f>IF(SER_hh_tes!V13=0,0,11630*1000*SER_hh_tes!V13/SER_hh_num!V13)</f>
        <v>123852.67812219393</v>
      </c>
      <c r="W13" s="133">
        <f>IF(SER_hh_tes!W13=0,0,11630*1000*SER_hh_tes!W13/SER_hh_num!W13)</f>
        <v>152086.1021621516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109623.96530393357</v>
      </c>
      <c r="C14" s="65">
        <f>IF(SER_hh_tes!C14=0,0,11630*1000*SER_hh_tes!C14/SER_hh_num!C14)</f>
        <v>123177.23466192569</v>
      </c>
      <c r="D14" s="65">
        <f>IF(SER_hh_tes!D14=0,0,11630*1000*SER_hh_tes!D14/SER_hh_num!D14)</f>
        <v>128484.72099256518</v>
      </c>
      <c r="E14" s="65">
        <f>IF(SER_hh_tes!E14=0,0,11630*1000*SER_hh_tes!E14/SER_hh_num!E14)</f>
        <v>122064.41550468899</v>
      </c>
      <c r="F14" s="65">
        <f>IF(SER_hh_tes!F14=0,0,11630*1000*SER_hh_tes!F14/SER_hh_num!F14)</f>
        <v>123572.90792328534</v>
      </c>
      <c r="G14" s="65">
        <f>IF(SER_hh_tes!G14=0,0,11630*1000*SER_hh_tes!G14/SER_hh_num!G14)</f>
        <v>121120.93213083396</v>
      </c>
      <c r="H14" s="65">
        <f>IF(SER_hh_tes!H14=0,0,11630*1000*SER_hh_tes!H14/SER_hh_num!H14)</f>
        <v>123332.43107676477</v>
      </c>
      <c r="I14" s="65">
        <f>IF(SER_hh_tes!I14=0,0,11630*1000*SER_hh_tes!I14/SER_hh_num!I14)</f>
        <v>126201.70185422376</v>
      </c>
      <c r="J14" s="65">
        <f>IF(SER_hh_tes!J14=0,0,11630*1000*SER_hh_tes!J14/SER_hh_num!J14)</f>
        <v>129626.75786200036</v>
      </c>
      <c r="K14" s="65">
        <f>IF(SER_hh_tes!K14=0,0,11630*1000*SER_hh_tes!K14/SER_hh_num!K14)</f>
        <v>140860.02833790024</v>
      </c>
      <c r="L14" s="65">
        <f>IF(SER_hh_tes!L14=0,0,11630*1000*SER_hh_tes!L14/SER_hh_num!L14)</f>
        <v>150442.07246386397</v>
      </c>
      <c r="M14" s="65">
        <f>IF(SER_hh_tes!M14=0,0,11630*1000*SER_hh_tes!M14/SER_hh_num!M14)</f>
        <v>134362.69146251868</v>
      </c>
      <c r="N14" s="65">
        <f>IF(SER_hh_tes!N14=0,0,11630*1000*SER_hh_tes!N14/SER_hh_num!N14)</f>
        <v>146795.63617402152</v>
      </c>
      <c r="O14" s="65">
        <f>IF(SER_hh_tes!O14=0,0,11630*1000*SER_hh_tes!O14/SER_hh_num!O14)</f>
        <v>137247.77856561105</v>
      </c>
      <c r="P14" s="65">
        <f>IF(SER_hh_tes!P14=0,0,11630*1000*SER_hh_tes!P14/SER_hh_num!P14)</f>
        <v>136451.79067079863</v>
      </c>
      <c r="Q14" s="65">
        <f>IF(SER_hh_tes!Q14=0,0,11630*1000*SER_hh_tes!Q14/SER_hh_num!Q14)</f>
        <v>133274.0487837164</v>
      </c>
      <c r="R14" s="65">
        <f>IF(SER_hh_tes!R14=0,0,11630*1000*SER_hh_tes!R14/SER_hh_num!R14)</f>
        <v>140176.21867673565</v>
      </c>
      <c r="S14" s="65">
        <f>IF(SER_hh_tes!S14=0,0,11630*1000*SER_hh_tes!S14/SER_hh_num!S14)</f>
        <v>131600.18008710013</v>
      </c>
      <c r="T14" s="65">
        <f>IF(SER_hh_tes!T14=0,0,11630*1000*SER_hh_tes!T14/SER_hh_num!T14)</f>
        <v>148949.1957957508</v>
      </c>
      <c r="U14" s="65">
        <f>IF(SER_hh_tes!U14=0,0,11630*1000*SER_hh_tes!U14/SER_hh_num!U14)</f>
        <v>137817.54832572816</v>
      </c>
      <c r="V14" s="65">
        <f>IF(SER_hh_tes!V14=0,0,11630*1000*SER_hh_tes!V14/SER_hh_num!V14)</f>
        <v>126975.98823434845</v>
      </c>
      <c r="W14" s="65">
        <f>IF(SER_hh_tes!W14=0,0,11630*1000*SER_hh_tes!W14/SER_hh_num!W14)</f>
        <v>140344.69864378087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940.61576111934221</v>
      </c>
      <c r="C15" s="135">
        <f>IF(SER_hh_tes!C15=0,0,11630*1000*SER_hh_tes!C15/SER_hh_num!C15)</f>
        <v>996.94594783562638</v>
      </c>
      <c r="D15" s="135">
        <f>IF(SER_hh_tes!D15=0,0,11630*1000*SER_hh_tes!D15/SER_hh_num!D15)</f>
        <v>986.63095913290636</v>
      </c>
      <c r="E15" s="135">
        <f>IF(SER_hh_tes!E15=0,0,11630*1000*SER_hh_tes!E15/SER_hh_num!E15)</f>
        <v>968.39564289543796</v>
      </c>
      <c r="F15" s="135">
        <f>IF(SER_hh_tes!F15=0,0,11630*1000*SER_hh_tes!F15/SER_hh_num!F15)</f>
        <v>926.05110043315847</v>
      </c>
      <c r="G15" s="135">
        <f>IF(SER_hh_tes!G15=0,0,11630*1000*SER_hh_tes!G15/SER_hh_num!G15)</f>
        <v>877.10489310190826</v>
      </c>
      <c r="H15" s="135">
        <f>IF(SER_hh_tes!H15=0,0,11630*1000*SER_hh_tes!H15/SER_hh_num!H15)</f>
        <v>860.81958017649049</v>
      </c>
      <c r="I15" s="135">
        <f>IF(SER_hh_tes!I15=0,0,11630*1000*SER_hh_tes!I15/SER_hh_num!I15)</f>
        <v>871.80672908329723</v>
      </c>
      <c r="J15" s="135">
        <f>IF(SER_hh_tes!J15=0,0,11630*1000*SER_hh_tes!J15/SER_hh_num!J15)</f>
        <v>789.39977905071896</v>
      </c>
      <c r="K15" s="135">
        <f>IF(SER_hh_tes!K15=0,0,11630*1000*SER_hh_tes!K15/SER_hh_num!K15)</f>
        <v>885.39172256200254</v>
      </c>
      <c r="L15" s="135">
        <f>IF(SER_hh_tes!L15=0,0,11630*1000*SER_hh_tes!L15/SER_hh_num!L15)</f>
        <v>984.12432795129735</v>
      </c>
      <c r="M15" s="135">
        <f>IF(SER_hh_tes!M15=0,0,11630*1000*SER_hh_tes!M15/SER_hh_num!M15)</f>
        <v>842.01738985380871</v>
      </c>
      <c r="N15" s="135">
        <f>IF(SER_hh_tes!N15=0,0,11630*1000*SER_hh_tes!N15/SER_hh_num!N15)</f>
        <v>935.26106533285474</v>
      </c>
      <c r="O15" s="135">
        <f>IF(SER_hh_tes!O15=0,0,11630*1000*SER_hh_tes!O15/SER_hh_num!O15)</f>
        <v>860.61420297376958</v>
      </c>
      <c r="P15" s="135">
        <f>IF(SER_hh_tes!P15=0,0,11630*1000*SER_hh_tes!P15/SER_hh_num!P15)</f>
        <v>883.1119929188493</v>
      </c>
      <c r="Q15" s="135">
        <f>IF(SER_hh_tes!Q15=0,0,11630*1000*SER_hh_tes!Q15/SER_hh_num!Q15)</f>
        <v>787.89698518212504</v>
      </c>
      <c r="R15" s="135">
        <f>IF(SER_hh_tes!R15=0,0,11630*1000*SER_hh_tes!R15/SER_hh_num!R15)</f>
        <v>862.47614923610979</v>
      </c>
      <c r="S15" s="135">
        <f>IF(SER_hh_tes!S15=0,0,11630*1000*SER_hh_tes!S15/SER_hh_num!S15)</f>
        <v>864.00674308029716</v>
      </c>
      <c r="T15" s="135">
        <f>IF(SER_hh_tes!T15=0,0,11630*1000*SER_hh_tes!T15/SER_hh_num!T15)</f>
        <v>871.29613988604842</v>
      </c>
      <c r="U15" s="135">
        <f>IF(SER_hh_tes!U15=0,0,11630*1000*SER_hh_tes!U15/SER_hh_num!U15)</f>
        <v>851.35169048453645</v>
      </c>
      <c r="V15" s="135">
        <f>IF(SER_hh_tes!V15=0,0,11630*1000*SER_hh_tes!V15/SER_hh_num!V15)</f>
        <v>772.37456415699182</v>
      </c>
      <c r="W15" s="135">
        <f>IF(SER_hh_tes!W15=0,0,11630*1000*SER_hh_tes!W15/SER_hh_num!W15)</f>
        <v>907.59159894605784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23857.105211159673</v>
      </c>
      <c r="C16" s="131">
        <f>IF(SER_hh_tes!C16=0,0,11630*1000*SER_hh_tes!C16/SER_hh_num!C16)</f>
        <v>23863.180459944502</v>
      </c>
      <c r="D16" s="131">
        <f>IF(SER_hh_tes!D16=0,0,11630*1000*SER_hh_tes!D16/SER_hh_num!D16)</f>
        <v>23890.158763235224</v>
      </c>
      <c r="E16" s="131">
        <f>IF(SER_hh_tes!E16=0,0,11630*1000*SER_hh_tes!E16/SER_hh_num!E16)</f>
        <v>24983.776127244935</v>
      </c>
      <c r="F16" s="131">
        <f>IF(SER_hh_tes!F16=0,0,11630*1000*SER_hh_tes!F16/SER_hh_num!F16)</f>
        <v>23989.400036362509</v>
      </c>
      <c r="G16" s="131">
        <f>IF(SER_hh_tes!G16=0,0,11630*1000*SER_hh_tes!G16/SER_hh_num!G16)</f>
        <v>24062.586589319199</v>
      </c>
      <c r="H16" s="131">
        <f>IF(SER_hh_tes!H16=0,0,11630*1000*SER_hh_tes!H16/SER_hh_num!H16)</f>
        <v>24168.261658762771</v>
      </c>
      <c r="I16" s="131">
        <f>IF(SER_hh_tes!I16=0,0,11630*1000*SER_hh_tes!I16/SER_hh_num!I16)</f>
        <v>24201.464555776336</v>
      </c>
      <c r="J16" s="131">
        <f>IF(SER_hh_tes!J16=0,0,11630*1000*SER_hh_tes!J16/SER_hh_num!J16)</f>
        <v>24397.263613893065</v>
      </c>
      <c r="K16" s="131">
        <f>IF(SER_hh_tes!K16=0,0,11630*1000*SER_hh_tes!K16/SER_hh_num!K16)</f>
        <v>24445.796921721656</v>
      </c>
      <c r="L16" s="131">
        <f>IF(SER_hh_tes!L16=0,0,11630*1000*SER_hh_tes!L16/SER_hh_num!L16)</f>
        <v>26223.145063307107</v>
      </c>
      <c r="M16" s="131">
        <f>IF(SER_hh_tes!M16=0,0,11630*1000*SER_hh_tes!M16/SER_hh_num!M16)</f>
        <v>24793.984296283517</v>
      </c>
      <c r="N16" s="131">
        <f>IF(SER_hh_tes!N16=0,0,11630*1000*SER_hh_tes!N16/SER_hh_num!N16)</f>
        <v>24607.80186518636</v>
      </c>
      <c r="O16" s="131">
        <f>IF(SER_hh_tes!O16=0,0,11630*1000*SER_hh_tes!O16/SER_hh_num!O16)</f>
        <v>24730.831376344599</v>
      </c>
      <c r="P16" s="131">
        <f>IF(SER_hh_tes!P16=0,0,11630*1000*SER_hh_tes!P16/SER_hh_num!P16)</f>
        <v>25012.628659112259</v>
      </c>
      <c r="Q16" s="131">
        <f>IF(SER_hh_tes!Q16=0,0,11630*1000*SER_hh_tes!Q16/SER_hh_num!Q16)</f>
        <v>24839.223166197593</v>
      </c>
      <c r="R16" s="131">
        <f>IF(SER_hh_tes!R16=0,0,11630*1000*SER_hh_tes!R16/SER_hh_num!R16)</f>
        <v>25442.172556194204</v>
      </c>
      <c r="S16" s="131">
        <f>IF(SER_hh_tes!S16=0,0,11630*1000*SER_hh_tes!S16/SER_hh_num!S16)</f>
        <v>25492.37128142413</v>
      </c>
      <c r="T16" s="131">
        <f>IF(SER_hh_tes!T16=0,0,11630*1000*SER_hh_tes!T16/SER_hh_num!T16)</f>
        <v>25488.718246979497</v>
      </c>
      <c r="U16" s="131">
        <f>IF(SER_hh_tes!U16=0,0,11630*1000*SER_hh_tes!U16/SER_hh_num!U16)</f>
        <v>25649.297466349191</v>
      </c>
      <c r="V16" s="131">
        <f>IF(SER_hh_tes!V16=0,0,11630*1000*SER_hh_tes!V16/SER_hh_num!V16)</f>
        <v>25673.86712386199</v>
      </c>
      <c r="W16" s="131">
        <f>IF(SER_hh_tes!W16=0,0,11630*1000*SER_hh_tes!W16/SER_hh_num!W16)</f>
        <v>25122.25968458136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23857.105211159673</v>
      </c>
      <c r="C18" s="133">
        <f>IF(SER_hh_tes!C18=0,0,11630*1000*SER_hh_tes!C18/SER_hh_num!C18)</f>
        <v>23863.180459944502</v>
      </c>
      <c r="D18" s="133">
        <f>IF(SER_hh_tes!D18=0,0,11630*1000*SER_hh_tes!D18/SER_hh_num!D18)</f>
        <v>23890.158763235224</v>
      </c>
      <c r="E18" s="133">
        <f>IF(SER_hh_tes!E18=0,0,11630*1000*SER_hh_tes!E18/SER_hh_num!E18)</f>
        <v>24983.776127244935</v>
      </c>
      <c r="F18" s="133">
        <f>IF(SER_hh_tes!F18=0,0,11630*1000*SER_hh_tes!F18/SER_hh_num!F18)</f>
        <v>23989.400036362509</v>
      </c>
      <c r="G18" s="133">
        <f>IF(SER_hh_tes!G18=0,0,11630*1000*SER_hh_tes!G18/SER_hh_num!G18)</f>
        <v>24062.586589319199</v>
      </c>
      <c r="H18" s="133">
        <f>IF(SER_hh_tes!H18=0,0,11630*1000*SER_hh_tes!H18/SER_hh_num!H18)</f>
        <v>24168.261658762771</v>
      </c>
      <c r="I18" s="133">
        <f>IF(SER_hh_tes!I18=0,0,11630*1000*SER_hh_tes!I18/SER_hh_num!I18)</f>
        <v>24201.464555776336</v>
      </c>
      <c r="J18" s="133">
        <f>IF(SER_hh_tes!J18=0,0,11630*1000*SER_hh_tes!J18/SER_hh_num!J18)</f>
        <v>24397.263613893065</v>
      </c>
      <c r="K18" s="133">
        <f>IF(SER_hh_tes!K18=0,0,11630*1000*SER_hh_tes!K18/SER_hh_num!K18)</f>
        <v>24445.796921721656</v>
      </c>
      <c r="L18" s="133">
        <f>IF(SER_hh_tes!L18=0,0,11630*1000*SER_hh_tes!L18/SER_hh_num!L18)</f>
        <v>26223.145063307107</v>
      </c>
      <c r="M18" s="133">
        <f>IF(SER_hh_tes!M18=0,0,11630*1000*SER_hh_tes!M18/SER_hh_num!M18)</f>
        <v>24793.984296283517</v>
      </c>
      <c r="N18" s="133">
        <f>IF(SER_hh_tes!N18=0,0,11630*1000*SER_hh_tes!N18/SER_hh_num!N18)</f>
        <v>24607.80186518636</v>
      </c>
      <c r="O18" s="133">
        <f>IF(SER_hh_tes!O18=0,0,11630*1000*SER_hh_tes!O18/SER_hh_num!O18)</f>
        <v>24730.831376344599</v>
      </c>
      <c r="P18" s="133">
        <f>IF(SER_hh_tes!P18=0,0,11630*1000*SER_hh_tes!P18/SER_hh_num!P18)</f>
        <v>25012.628659112259</v>
      </c>
      <c r="Q18" s="133">
        <f>IF(SER_hh_tes!Q18=0,0,11630*1000*SER_hh_tes!Q18/SER_hh_num!Q18)</f>
        <v>24839.223166197593</v>
      </c>
      <c r="R18" s="133">
        <f>IF(SER_hh_tes!R18=0,0,11630*1000*SER_hh_tes!R18/SER_hh_num!R18)</f>
        <v>25442.172556194204</v>
      </c>
      <c r="S18" s="133">
        <f>IF(SER_hh_tes!S18=0,0,11630*1000*SER_hh_tes!S18/SER_hh_num!S18)</f>
        <v>25492.37128142413</v>
      </c>
      <c r="T18" s="133">
        <f>IF(SER_hh_tes!T18=0,0,11630*1000*SER_hh_tes!T18/SER_hh_num!T18)</f>
        <v>25488.718246979497</v>
      </c>
      <c r="U18" s="133">
        <f>IF(SER_hh_tes!U18=0,0,11630*1000*SER_hh_tes!U18/SER_hh_num!U18)</f>
        <v>25649.297466349191</v>
      </c>
      <c r="V18" s="133">
        <f>IF(SER_hh_tes!V18=0,0,11630*1000*SER_hh_tes!V18/SER_hh_num!V18)</f>
        <v>25673.86712386199</v>
      </c>
      <c r="W18" s="133">
        <f>IF(SER_hh_tes!W18=0,0,11630*1000*SER_hh_tes!W18/SER_hh_num!W18)</f>
        <v>25122.25968458136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15326.865835032335</v>
      </c>
      <c r="C19" s="131">
        <f>IF(SER_hh_tes!C19=0,0,11630*1000*SER_hh_tes!C19/SER_hh_num!C19)</f>
        <v>15327.540149736151</v>
      </c>
      <c r="D19" s="131">
        <f>IF(SER_hh_tes!D19=0,0,11630*1000*SER_hh_tes!D19/SER_hh_num!D19)</f>
        <v>15230.267047461091</v>
      </c>
      <c r="E19" s="131">
        <f>IF(SER_hh_tes!E19=0,0,11630*1000*SER_hh_tes!E19/SER_hh_num!E19)</f>
        <v>15284.923190567959</v>
      </c>
      <c r="F19" s="131">
        <f>IF(SER_hh_tes!F19=0,0,11630*1000*SER_hh_tes!F19/SER_hh_num!F19)</f>
        <v>15183.865960021023</v>
      </c>
      <c r="G19" s="131">
        <f>IF(SER_hh_tes!G19=0,0,11630*1000*SER_hh_tes!G19/SER_hh_num!G19)</f>
        <v>15284.557396352679</v>
      </c>
      <c r="H19" s="131">
        <f>IF(SER_hh_tes!H19=0,0,11630*1000*SER_hh_tes!H19/SER_hh_num!H19)</f>
        <v>15221.729896410283</v>
      </c>
      <c r="I19" s="131">
        <f>IF(SER_hh_tes!I19=0,0,11630*1000*SER_hh_tes!I19/SER_hh_num!I19)</f>
        <v>15169.871198080506</v>
      </c>
      <c r="J19" s="131">
        <f>IF(SER_hh_tes!J19=0,0,11630*1000*SER_hh_tes!J19/SER_hh_num!J19)</f>
        <v>15174.601607781786</v>
      </c>
      <c r="K19" s="131">
        <f>IF(SER_hh_tes!K19=0,0,11630*1000*SER_hh_tes!K19/SER_hh_num!K19)</f>
        <v>15219.553519536819</v>
      </c>
      <c r="L19" s="131">
        <f>IF(SER_hh_tes!L19=0,0,11630*1000*SER_hh_tes!L19/SER_hh_num!L19)</f>
        <v>15380.047337339325</v>
      </c>
      <c r="M19" s="131">
        <f>IF(SER_hh_tes!M19=0,0,11630*1000*SER_hh_tes!M19/SER_hh_num!M19)</f>
        <v>15469.409751327148</v>
      </c>
      <c r="N19" s="131">
        <f>IF(SER_hh_tes!N19=0,0,11630*1000*SER_hh_tes!N19/SER_hh_num!N19)</f>
        <v>15658.77463469919</v>
      </c>
      <c r="O19" s="131">
        <f>IF(SER_hh_tes!O19=0,0,11630*1000*SER_hh_tes!O19/SER_hh_num!O19)</f>
        <v>15753.846940686222</v>
      </c>
      <c r="P19" s="131">
        <f>IF(SER_hh_tes!P19=0,0,11630*1000*SER_hh_tes!P19/SER_hh_num!P19)</f>
        <v>15928.437146191387</v>
      </c>
      <c r="Q19" s="131">
        <f>IF(SER_hh_tes!Q19=0,0,11630*1000*SER_hh_tes!Q19/SER_hh_num!Q19)</f>
        <v>16029.653940313046</v>
      </c>
      <c r="R19" s="131">
        <f>IF(SER_hh_tes!R19=0,0,11630*1000*SER_hh_tes!R19/SER_hh_num!R19)</f>
        <v>16078.828062490249</v>
      </c>
      <c r="S19" s="131">
        <f>IF(SER_hh_tes!S19=0,0,11630*1000*SER_hh_tes!S19/SER_hh_num!S19)</f>
        <v>16055.361863700897</v>
      </c>
      <c r="T19" s="131">
        <f>IF(SER_hh_tes!T19=0,0,11630*1000*SER_hh_tes!T19/SER_hh_num!T19)</f>
        <v>16186.431626991784</v>
      </c>
      <c r="U19" s="131">
        <f>IF(SER_hh_tes!U19=0,0,11630*1000*SER_hh_tes!U19/SER_hh_num!U19)</f>
        <v>16140.07074928936</v>
      </c>
      <c r="V19" s="131">
        <f>IF(SER_hh_tes!V19=0,0,11630*1000*SER_hh_tes!V19/SER_hh_num!V19)</f>
        <v>14699.47289574159</v>
      </c>
      <c r="W19" s="131">
        <f>IF(SER_hh_tes!W19=0,0,11630*1000*SER_hh_tes!W19/SER_hh_num!W19)</f>
        <v>16612.532810234239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15239.875221795601</v>
      </c>
      <c r="C22" s="133">
        <f>IF(SER_hh_tes!C22=0,0,11630*1000*SER_hh_tes!C22/SER_hh_num!C22)</f>
        <v>15191.163969217243</v>
      </c>
      <c r="D22" s="133">
        <f>IF(SER_hh_tes!D22=0,0,11630*1000*SER_hh_tes!D22/SER_hh_num!D22)</f>
        <v>15370.254034238715</v>
      </c>
      <c r="E22" s="133">
        <f>IF(SER_hh_tes!E22=0,0,11630*1000*SER_hh_tes!E22/SER_hh_num!E22)</f>
        <v>15373.155507532278</v>
      </c>
      <c r="F22" s="133">
        <f>IF(SER_hh_tes!F22=0,0,11630*1000*SER_hh_tes!F22/SER_hh_num!F22)</f>
        <v>15260.479708072829</v>
      </c>
      <c r="G22" s="133">
        <f>IF(SER_hh_tes!G22=0,0,11630*1000*SER_hh_tes!G22/SER_hh_num!G22)</f>
        <v>15132.517764809636</v>
      </c>
      <c r="H22" s="133">
        <f>IF(SER_hh_tes!H22=0,0,11630*1000*SER_hh_tes!H22/SER_hh_num!H22)</f>
        <v>15295.895676082464</v>
      </c>
      <c r="I22" s="133">
        <f>IF(SER_hh_tes!I22=0,0,11630*1000*SER_hh_tes!I22/SER_hh_num!I22)</f>
        <v>15222.383834147171</v>
      </c>
      <c r="J22" s="133">
        <f>IF(SER_hh_tes!J22=0,0,11630*1000*SER_hh_tes!J22/SER_hh_num!J22)</f>
        <v>15049.26424122561</v>
      </c>
      <c r="K22" s="133">
        <f>IF(SER_hh_tes!K22=0,0,11630*1000*SER_hh_tes!K22/SER_hh_num!K22)</f>
        <v>14846.850355233018</v>
      </c>
      <c r="L22" s="133">
        <f>IF(SER_hh_tes!L22=0,0,11630*1000*SER_hh_tes!L22/SER_hh_num!L22)</f>
        <v>15745.360582179766</v>
      </c>
      <c r="M22" s="133">
        <f>IF(SER_hh_tes!M22=0,0,11630*1000*SER_hh_tes!M22/SER_hh_num!M22)</f>
        <v>15791.462435998221</v>
      </c>
      <c r="N22" s="133">
        <f>IF(SER_hh_tes!N22=0,0,11630*1000*SER_hh_tes!N22/SER_hh_num!N22)</f>
        <v>15659.042800899619</v>
      </c>
      <c r="O22" s="133">
        <f>IF(SER_hh_tes!O22=0,0,11630*1000*SER_hh_tes!O22/SER_hh_num!O22)</f>
        <v>15941.221369152459</v>
      </c>
      <c r="P22" s="133">
        <f>IF(SER_hh_tes!P22=0,0,11630*1000*SER_hh_tes!P22/SER_hh_num!P22)</f>
        <v>15753.298596349739</v>
      </c>
      <c r="Q22" s="133">
        <f>IF(SER_hh_tes!Q22=0,0,11630*1000*SER_hh_tes!Q22/SER_hh_num!Q22)</f>
        <v>16023.105988858251</v>
      </c>
      <c r="R22" s="133">
        <f>IF(SER_hh_tes!R22=0,0,11630*1000*SER_hh_tes!R22/SER_hh_num!R22)</f>
        <v>16890.840895758454</v>
      </c>
      <c r="S22" s="133">
        <f>IF(SER_hh_tes!S22=0,0,11630*1000*SER_hh_tes!S22/SER_hh_num!S22)</f>
        <v>16150.354537007648</v>
      </c>
      <c r="T22" s="133">
        <f>IF(SER_hh_tes!T22=0,0,11630*1000*SER_hh_tes!T22/SER_hh_num!T22)</f>
        <v>15372.116442245688</v>
      </c>
      <c r="U22" s="133">
        <f>IF(SER_hh_tes!U22=0,0,11630*1000*SER_hh_tes!U22/SER_hh_num!U22)</f>
        <v>15732.572897631786</v>
      </c>
      <c r="V22" s="133">
        <f>IF(SER_hh_tes!V22=0,0,11630*1000*SER_hh_tes!V22/SER_hh_num!V22)</f>
        <v>14528.666853818208</v>
      </c>
      <c r="W22" s="133">
        <f>IF(SER_hh_tes!W22=0,0,11630*1000*SER_hh_tes!W22/SER_hh_num!W22)</f>
        <v>16821.453512171611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15285.214397489683</v>
      </c>
      <c r="C23" s="133">
        <f>IF(SER_hh_tes!C23=0,0,11630*1000*SER_hh_tes!C23/SER_hh_num!C23)</f>
        <v>15258.918406914399</v>
      </c>
      <c r="D23" s="133">
        <f>IF(SER_hh_tes!D23=0,0,11630*1000*SER_hh_tes!D23/SER_hh_num!D23)</f>
        <v>15220.782890151555</v>
      </c>
      <c r="E23" s="133">
        <f>IF(SER_hh_tes!E23=0,0,11630*1000*SER_hh_tes!E23/SER_hh_num!E23)</f>
        <v>15148.497436283436</v>
      </c>
      <c r="F23" s="133">
        <f>IF(SER_hh_tes!F23=0,0,11630*1000*SER_hh_tes!F23/SER_hh_num!F23)</f>
        <v>15370.022716947242</v>
      </c>
      <c r="G23" s="133">
        <f>IF(SER_hh_tes!G23=0,0,11630*1000*SER_hh_tes!G23/SER_hh_num!G23)</f>
        <v>15568.469889522721</v>
      </c>
      <c r="H23" s="133">
        <f>IF(SER_hh_tes!H23=0,0,11630*1000*SER_hh_tes!H23/SER_hh_num!H23)</f>
        <v>15066.995643736625</v>
      </c>
      <c r="I23" s="133">
        <f>IF(SER_hh_tes!I23=0,0,11630*1000*SER_hh_tes!I23/SER_hh_num!I23)</f>
        <v>15179.412721131504</v>
      </c>
      <c r="J23" s="133">
        <f>IF(SER_hh_tes!J23=0,0,11630*1000*SER_hh_tes!J23/SER_hh_num!J23)</f>
        <v>15418.087474651074</v>
      </c>
      <c r="K23" s="133">
        <f>IF(SER_hh_tes!K23=0,0,11630*1000*SER_hh_tes!K23/SER_hh_num!K23)</f>
        <v>15294.898984770809</v>
      </c>
      <c r="L23" s="133">
        <f>IF(SER_hh_tes!L23=0,0,11630*1000*SER_hh_tes!L23/SER_hh_num!L23)</f>
        <v>15149.279916438363</v>
      </c>
      <c r="M23" s="133">
        <f>IF(SER_hh_tes!M23=0,0,11630*1000*SER_hh_tes!M23/SER_hh_num!M23)</f>
        <v>15450.314987209247</v>
      </c>
      <c r="N23" s="133">
        <f>IF(SER_hh_tes!N23=0,0,11630*1000*SER_hh_tes!N23/SER_hh_num!N23)</f>
        <v>15681.450346963593</v>
      </c>
      <c r="O23" s="133">
        <f>IF(SER_hh_tes!O23=0,0,11630*1000*SER_hh_tes!O23/SER_hh_num!O23)</f>
        <v>15867.16631526188</v>
      </c>
      <c r="P23" s="133">
        <f>IF(SER_hh_tes!P23=0,0,11630*1000*SER_hh_tes!P23/SER_hh_num!P23)</f>
        <v>15859.226254166348</v>
      </c>
      <c r="Q23" s="133">
        <f>IF(SER_hh_tes!Q23=0,0,11630*1000*SER_hh_tes!Q23/SER_hh_num!Q23)</f>
        <v>15834.584010147239</v>
      </c>
      <c r="R23" s="133">
        <f>IF(SER_hh_tes!R23=0,0,11630*1000*SER_hh_tes!R23/SER_hh_num!R23)</f>
        <v>15502.62889107002</v>
      </c>
      <c r="S23" s="133">
        <f>IF(SER_hh_tes!S23=0,0,11630*1000*SER_hh_tes!S23/SER_hh_num!S23)</f>
        <v>17880.65027680498</v>
      </c>
      <c r="T23" s="133">
        <f>IF(SER_hh_tes!T23=0,0,11630*1000*SER_hh_tes!T23/SER_hh_num!T23)</f>
        <v>15796.962125880998</v>
      </c>
      <c r="U23" s="133">
        <f>IF(SER_hh_tes!U23=0,0,11630*1000*SER_hh_tes!U23/SER_hh_num!U23)</f>
        <v>15110.739265116652</v>
      </c>
      <c r="V23" s="133">
        <f>IF(SER_hh_tes!V23=0,0,11630*1000*SER_hh_tes!V23/SER_hh_num!V23)</f>
        <v>14549.973297395656</v>
      </c>
      <c r="W23" s="133">
        <f>IF(SER_hh_tes!W23=0,0,11630*1000*SER_hh_tes!W23/SER_hh_num!W23)</f>
        <v>17867.941902088845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14002.402050864543</v>
      </c>
      <c r="C24" s="133">
        <f>IF(SER_hh_tes!C24=0,0,11630*1000*SER_hh_tes!C24/SER_hh_num!C24)</f>
        <v>15976.211991604037</v>
      </c>
      <c r="D24" s="133">
        <f>IF(SER_hh_tes!D24=0,0,11630*1000*SER_hh_tes!D24/SER_hh_num!D24)</f>
        <v>15614.043454438612</v>
      </c>
      <c r="E24" s="133">
        <f>IF(SER_hh_tes!E24=0,0,11630*1000*SER_hh_tes!E24/SER_hh_num!E24)</f>
        <v>15186.726509146065</v>
      </c>
      <c r="F24" s="133">
        <f>IF(SER_hh_tes!F24=0,0,11630*1000*SER_hh_tes!F24/SER_hh_num!F24)</f>
        <v>15221.037285529908</v>
      </c>
      <c r="G24" s="133">
        <f>IF(SER_hh_tes!G24=0,0,11630*1000*SER_hh_tes!G24/SER_hh_num!G24)</f>
        <v>15066.862244962789</v>
      </c>
      <c r="H24" s="133">
        <f>IF(SER_hh_tes!H24=0,0,11630*1000*SER_hh_tes!H24/SER_hh_num!H24)</f>
        <v>15098.541488609319</v>
      </c>
      <c r="I24" s="133">
        <f>IF(SER_hh_tes!I24=0,0,11630*1000*SER_hh_tes!I24/SER_hh_num!I24)</f>
        <v>14934.216017014627</v>
      </c>
      <c r="J24" s="133">
        <f>IF(SER_hh_tes!J24=0,0,11630*1000*SER_hh_tes!J24/SER_hh_num!J24)</f>
        <v>15752.31772625331</v>
      </c>
      <c r="K24" s="133">
        <f>IF(SER_hh_tes!K24=0,0,11630*1000*SER_hh_tes!K24/SER_hh_num!K24)</f>
        <v>15042.524714664316</v>
      </c>
      <c r="L24" s="133">
        <f>IF(SER_hh_tes!L24=0,0,11630*1000*SER_hh_tes!L24/SER_hh_num!L24)</f>
        <v>15351.341292865505</v>
      </c>
      <c r="M24" s="133">
        <f>IF(SER_hh_tes!M24=0,0,11630*1000*SER_hh_tes!M24/SER_hh_num!M24)</f>
        <v>15724.383715003052</v>
      </c>
      <c r="N24" s="133">
        <f>IF(SER_hh_tes!N24=0,0,11630*1000*SER_hh_tes!N24/SER_hh_num!N24)</f>
        <v>15802.103914876116</v>
      </c>
      <c r="O24" s="133">
        <f>IF(SER_hh_tes!O24=0,0,11630*1000*SER_hh_tes!O24/SER_hh_num!O24)</f>
        <v>15719.861959299082</v>
      </c>
      <c r="P24" s="133">
        <f>IF(SER_hh_tes!P24=0,0,11630*1000*SER_hh_tes!P24/SER_hh_num!P24)</f>
        <v>15643.518917498093</v>
      </c>
      <c r="Q24" s="133">
        <f>IF(SER_hh_tes!Q24=0,0,11630*1000*SER_hh_tes!Q24/SER_hh_num!Q24)</f>
        <v>15250.552586483518</v>
      </c>
      <c r="R24" s="133">
        <f>IF(SER_hh_tes!R24=0,0,11630*1000*SER_hh_tes!R24/SER_hh_num!R24)</f>
        <v>16746.800393317106</v>
      </c>
      <c r="S24" s="133">
        <f>IF(SER_hh_tes!S24=0,0,11630*1000*SER_hh_tes!S24/SER_hh_num!S24)</f>
        <v>16215.244207131414</v>
      </c>
      <c r="T24" s="133">
        <f>IF(SER_hh_tes!T24=0,0,11630*1000*SER_hh_tes!T24/SER_hh_num!T24)</f>
        <v>16219.282622829909</v>
      </c>
      <c r="U24" s="133">
        <f>IF(SER_hh_tes!U24=0,0,11630*1000*SER_hh_tes!U24/SER_hh_num!U24)</f>
        <v>16083.568318905673</v>
      </c>
      <c r="V24" s="133">
        <f>IF(SER_hh_tes!V24=0,0,11630*1000*SER_hh_tes!V24/SER_hh_num!V24)</f>
        <v>14353.653540656065</v>
      </c>
      <c r="W24" s="133">
        <f>IF(SER_hh_tes!W24=0,0,11630*1000*SER_hh_tes!W24/SER_hh_num!W24)</f>
        <v>17151.337839555701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15259.671009765954</v>
      </c>
      <c r="C25" s="133">
        <f>IF(SER_hh_tes!C25=0,0,11630*1000*SER_hh_tes!C25/SER_hh_num!C25)</f>
        <v>15387.684556195856</v>
      </c>
      <c r="D25" s="133">
        <f>IF(SER_hh_tes!D25=0,0,11630*1000*SER_hh_tes!D25/SER_hh_num!D25)</f>
        <v>15215.956293564197</v>
      </c>
      <c r="E25" s="133">
        <f>IF(SER_hh_tes!E25=0,0,11630*1000*SER_hh_tes!E25/SER_hh_num!E25)</f>
        <v>15307.761398161188</v>
      </c>
      <c r="F25" s="133">
        <f>IF(SER_hh_tes!F25=0,0,11630*1000*SER_hh_tes!F25/SER_hh_num!F25)</f>
        <v>15156.312396431418</v>
      </c>
      <c r="G25" s="133">
        <f>IF(SER_hh_tes!G25=0,0,11630*1000*SER_hh_tes!G25/SER_hh_num!G25)</f>
        <v>15261.203264755493</v>
      </c>
      <c r="H25" s="133">
        <f>IF(SER_hh_tes!H25=0,0,11630*1000*SER_hh_tes!H25/SER_hh_num!H25)</f>
        <v>15243.642011221194</v>
      </c>
      <c r="I25" s="133">
        <f>IF(SER_hh_tes!I25=0,0,11630*1000*SER_hh_tes!I25/SER_hh_num!I25)</f>
        <v>15305.734305857442</v>
      </c>
      <c r="J25" s="133">
        <f>IF(SER_hh_tes!J25=0,0,11630*1000*SER_hh_tes!J25/SER_hh_num!J25)</f>
        <v>15192.880346133339</v>
      </c>
      <c r="K25" s="133">
        <f>IF(SER_hh_tes!K25=0,0,11630*1000*SER_hh_tes!K25/SER_hh_num!K25)</f>
        <v>15311.169174085249</v>
      </c>
      <c r="L25" s="133">
        <f>IF(SER_hh_tes!L25=0,0,11630*1000*SER_hh_tes!L25/SER_hh_num!L25)</f>
        <v>15337.833202063064</v>
      </c>
      <c r="M25" s="133">
        <f>IF(SER_hh_tes!M25=0,0,11630*1000*SER_hh_tes!M25/SER_hh_num!M25)</f>
        <v>15423.915628290817</v>
      </c>
      <c r="N25" s="133">
        <f>IF(SER_hh_tes!N25=0,0,11630*1000*SER_hh_tes!N25/SER_hh_num!N25)</f>
        <v>15611.026051037263</v>
      </c>
      <c r="O25" s="133">
        <f>IF(SER_hh_tes!O25=0,0,11630*1000*SER_hh_tes!O25/SER_hh_num!O25)</f>
        <v>15795.108390649246</v>
      </c>
      <c r="P25" s="133">
        <f>IF(SER_hh_tes!P25=0,0,11630*1000*SER_hh_tes!P25/SER_hh_num!P25)</f>
        <v>15913.926811217876</v>
      </c>
      <c r="Q25" s="133">
        <f>IF(SER_hh_tes!Q25=0,0,11630*1000*SER_hh_tes!Q25/SER_hh_num!Q25)</f>
        <v>15951.884517658071</v>
      </c>
      <c r="R25" s="133">
        <f>IF(SER_hh_tes!R25=0,0,11630*1000*SER_hh_tes!R25/SER_hh_num!R25)</f>
        <v>16151.473643488553</v>
      </c>
      <c r="S25" s="133">
        <f>IF(SER_hh_tes!S25=0,0,11630*1000*SER_hh_tes!S25/SER_hh_num!S25)</f>
        <v>16061.980599132377</v>
      </c>
      <c r="T25" s="133">
        <f>IF(SER_hh_tes!T25=0,0,11630*1000*SER_hh_tes!T25/SER_hh_num!T25)</f>
        <v>16422.193714814159</v>
      </c>
      <c r="U25" s="133">
        <f>IF(SER_hh_tes!U25=0,0,11630*1000*SER_hh_tes!U25/SER_hh_num!U25)</f>
        <v>15906.806576753563</v>
      </c>
      <c r="V25" s="133">
        <f>IF(SER_hh_tes!V25=0,0,11630*1000*SER_hh_tes!V25/SER_hh_num!V25)</f>
        <v>14522.927864090279</v>
      </c>
      <c r="W25" s="133">
        <f>IF(SER_hh_tes!W25=0,0,11630*1000*SER_hh_tes!W25/SER_hh_num!W25)</f>
        <v>17405.784752884214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15496.410547446878</v>
      </c>
      <c r="C26" s="65">
        <f>IF(SER_hh_tes!C26=0,0,11630*1000*SER_hh_tes!C26/SER_hh_num!C26)</f>
        <v>15243.966492872541</v>
      </c>
      <c r="D26" s="65">
        <f>IF(SER_hh_tes!D26=0,0,11630*1000*SER_hh_tes!D26/SER_hh_num!D26)</f>
        <v>15194.508119535518</v>
      </c>
      <c r="E26" s="65">
        <f>IF(SER_hh_tes!E26=0,0,11630*1000*SER_hh_tes!E26/SER_hh_num!E26)</f>
        <v>15243.997941237931</v>
      </c>
      <c r="F26" s="65">
        <f>IF(SER_hh_tes!F26=0,0,11630*1000*SER_hh_tes!F26/SER_hh_num!F26)</f>
        <v>15195.473676780119</v>
      </c>
      <c r="G26" s="65">
        <f>IF(SER_hh_tes!G26=0,0,11630*1000*SER_hh_tes!G26/SER_hh_num!G26)</f>
        <v>15361.801205040514</v>
      </c>
      <c r="H26" s="65">
        <f>IF(SER_hh_tes!H26=0,0,11630*1000*SER_hh_tes!H26/SER_hh_num!H26)</f>
        <v>15183.837688570786</v>
      </c>
      <c r="I26" s="65">
        <f>IF(SER_hh_tes!I26=0,0,11630*1000*SER_hh_tes!I26/SER_hh_num!I26)</f>
        <v>14948.114963856446</v>
      </c>
      <c r="J26" s="65">
        <f>IF(SER_hh_tes!J26=0,0,11630*1000*SER_hh_tes!J26/SER_hh_num!J26)</f>
        <v>15116.231269719841</v>
      </c>
      <c r="K26" s="65">
        <f>IF(SER_hh_tes!K26=0,0,11630*1000*SER_hh_tes!K26/SER_hh_num!K26)</f>
        <v>15178.848322338401</v>
      </c>
      <c r="L26" s="65">
        <f>IF(SER_hh_tes!L26=0,0,11630*1000*SER_hh_tes!L26/SER_hh_num!L26)</f>
        <v>15361.005303436974</v>
      </c>
      <c r="M26" s="65">
        <f>IF(SER_hh_tes!M26=0,0,11630*1000*SER_hh_tes!M26/SER_hh_num!M26)</f>
        <v>15432.152273451869</v>
      </c>
      <c r="N26" s="65">
        <f>IF(SER_hh_tes!N26=0,0,11630*1000*SER_hh_tes!N26/SER_hh_num!N26)</f>
        <v>15718.977083243102</v>
      </c>
      <c r="O26" s="65">
        <f>IF(SER_hh_tes!O26=0,0,11630*1000*SER_hh_tes!O26/SER_hh_num!O26)</f>
        <v>15643.213005108753</v>
      </c>
      <c r="P26" s="65">
        <f>IF(SER_hh_tes!P26=0,0,11630*1000*SER_hh_tes!P26/SER_hh_num!P26)</f>
        <v>16019.418021527907</v>
      </c>
      <c r="Q26" s="65">
        <f>IF(SER_hh_tes!Q26=0,0,11630*1000*SER_hh_tes!Q26/SER_hh_num!Q26)</f>
        <v>16218.058939773069</v>
      </c>
      <c r="R26" s="65">
        <f>IF(SER_hh_tes!R26=0,0,11630*1000*SER_hh_tes!R26/SER_hh_num!R26)</f>
        <v>15749.899420039117</v>
      </c>
      <c r="S26" s="65">
        <f>IF(SER_hh_tes!S26=0,0,11630*1000*SER_hh_tes!S26/SER_hh_num!S26)</f>
        <v>15959.198610828194</v>
      </c>
      <c r="T26" s="65">
        <f>IF(SER_hh_tes!T26=0,0,11630*1000*SER_hh_tes!T26/SER_hh_num!T26)</f>
        <v>16019.772201221906</v>
      </c>
      <c r="U26" s="65">
        <f>IF(SER_hh_tes!U26=0,0,11630*1000*SER_hh_tes!U26/SER_hh_num!U26)</f>
        <v>16543.089151588701</v>
      </c>
      <c r="V26" s="65">
        <f>IF(SER_hh_tes!V26=0,0,11630*1000*SER_hh_tes!V26/SER_hh_num!V26)</f>
        <v>14988.107299635441</v>
      </c>
      <c r="W26" s="65">
        <f>IF(SER_hh_tes!W26=0,0,11630*1000*SER_hh_tes!W26/SER_hh_num!W26)</f>
        <v>15506.975117702677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14105.952946718144</v>
      </c>
      <c r="C29" s="131">
        <f>IF(SER_hh_tes!C29=0,0,11630*1000*SER_hh_tes!C29/SER_hh_num!C29)</f>
        <v>13738.226333672224</v>
      </c>
      <c r="D29" s="131">
        <f>IF(SER_hh_tes!D29=0,0,11630*1000*SER_hh_tes!D29/SER_hh_num!D29)</f>
        <v>13444.645462776176</v>
      </c>
      <c r="E29" s="131">
        <f>IF(SER_hh_tes!E29=0,0,11630*1000*SER_hh_tes!E29/SER_hh_num!E29)</f>
        <v>13256.659062067614</v>
      </c>
      <c r="F29" s="131">
        <f>IF(SER_hh_tes!F29=0,0,11630*1000*SER_hh_tes!F29/SER_hh_num!F29)</f>
        <v>13209.553542697286</v>
      </c>
      <c r="G29" s="131">
        <f>IF(SER_hh_tes!G29=0,0,11630*1000*SER_hh_tes!G29/SER_hh_num!G29)</f>
        <v>13039.623319603515</v>
      </c>
      <c r="H29" s="131">
        <f>IF(SER_hh_tes!H29=0,0,11630*1000*SER_hh_tes!H29/SER_hh_num!H29)</f>
        <v>13059.699315284637</v>
      </c>
      <c r="I29" s="131">
        <f>IF(SER_hh_tes!I29=0,0,11630*1000*SER_hh_tes!I29/SER_hh_num!I29)</f>
        <v>12832.95123631282</v>
      </c>
      <c r="J29" s="131">
        <f>IF(SER_hh_tes!J29=0,0,11630*1000*SER_hh_tes!J29/SER_hh_num!J29)</f>
        <v>12696.547428063566</v>
      </c>
      <c r="K29" s="131">
        <f>IF(SER_hh_tes!K29=0,0,11630*1000*SER_hh_tes!K29/SER_hh_num!K29)</f>
        <v>12752.681232549028</v>
      </c>
      <c r="L29" s="131">
        <f>IF(SER_hh_tes!L29=0,0,11630*1000*SER_hh_tes!L29/SER_hh_num!L29)</f>
        <v>12584.982904310127</v>
      </c>
      <c r="M29" s="131">
        <f>IF(SER_hh_tes!M29=0,0,11630*1000*SER_hh_tes!M29/SER_hh_num!M29)</f>
        <v>12688.955894180912</v>
      </c>
      <c r="N29" s="131">
        <f>IF(SER_hh_tes!N29=0,0,11630*1000*SER_hh_tes!N29/SER_hh_num!N29)</f>
        <v>12630.182830648815</v>
      </c>
      <c r="O29" s="131">
        <f>IF(SER_hh_tes!O29=0,0,11630*1000*SER_hh_tes!O29/SER_hh_num!O29)</f>
        <v>12511.744159994063</v>
      </c>
      <c r="P29" s="131">
        <f>IF(SER_hh_tes!P29=0,0,11630*1000*SER_hh_tes!P29/SER_hh_num!P29)</f>
        <v>12650.959925920226</v>
      </c>
      <c r="Q29" s="131">
        <f>IF(SER_hh_tes!Q29=0,0,11630*1000*SER_hh_tes!Q29/SER_hh_num!Q29)</f>
        <v>12810.67317634328</v>
      </c>
      <c r="R29" s="131">
        <f>IF(SER_hh_tes!R29=0,0,11630*1000*SER_hh_tes!R29/SER_hh_num!R29)</f>
        <v>13170.319161383481</v>
      </c>
      <c r="S29" s="131">
        <f>IF(SER_hh_tes!S29=0,0,11630*1000*SER_hh_tes!S29/SER_hh_num!S29)</f>
        <v>13144.037944244374</v>
      </c>
      <c r="T29" s="131">
        <f>IF(SER_hh_tes!T29=0,0,11630*1000*SER_hh_tes!T29/SER_hh_num!T29)</f>
        <v>13174.088005830034</v>
      </c>
      <c r="U29" s="131">
        <f>IF(SER_hh_tes!U29=0,0,11630*1000*SER_hh_tes!U29/SER_hh_num!U29)</f>
        <v>13582.868141933299</v>
      </c>
      <c r="V29" s="131">
        <f>IF(SER_hh_tes!V29=0,0,11630*1000*SER_hh_tes!V29/SER_hh_num!V29)</f>
        <v>12480.054056230409</v>
      </c>
      <c r="W29" s="131">
        <f>IF(SER_hh_tes!W29=0,0,11630*1000*SER_hh_tes!W29/SER_hh_num!W29)</f>
        <v>13951.531388119594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0</v>
      </c>
      <c r="M30" s="133">
        <f>IF(SER_hh_tes!M30=0,0,11630*1000*SER_hh_tes!M30/SER_hh_num!M30)</f>
        <v>0</v>
      </c>
      <c r="N30" s="133">
        <f>IF(SER_hh_tes!N30=0,0,11630*1000*SER_hh_tes!N30/SER_hh_num!N30)</f>
        <v>0</v>
      </c>
      <c r="O30" s="133">
        <f>IF(SER_hh_tes!O30=0,0,11630*1000*SER_hh_tes!O30/SER_hh_num!O30)</f>
        <v>0</v>
      </c>
      <c r="P30" s="133">
        <f>IF(SER_hh_tes!P30=0,0,11630*1000*SER_hh_tes!P30/SER_hh_num!P30)</f>
        <v>0</v>
      </c>
      <c r="Q30" s="133">
        <f>IF(SER_hh_tes!Q30=0,0,11630*1000*SER_hh_tes!Q30/SER_hh_num!Q30)</f>
        <v>0</v>
      </c>
      <c r="R30" s="133">
        <f>IF(SER_hh_tes!R30=0,0,11630*1000*SER_hh_tes!R30/SER_hh_num!R30)</f>
        <v>0</v>
      </c>
      <c r="S30" s="133">
        <f>IF(SER_hh_tes!S30=0,0,11630*1000*SER_hh_tes!S30/SER_hh_num!S30)</f>
        <v>0</v>
      </c>
      <c r="T30" s="133">
        <f>IF(SER_hh_tes!T30=0,0,11630*1000*SER_hh_tes!T30/SER_hh_num!T30)</f>
        <v>0</v>
      </c>
      <c r="U30" s="133">
        <f>IF(SER_hh_tes!U30=0,0,11630*1000*SER_hh_tes!U30/SER_hh_num!U30)</f>
        <v>0</v>
      </c>
      <c r="V30" s="133">
        <f>IF(SER_hh_tes!V30=0,0,11630*1000*SER_hh_tes!V30/SER_hh_num!V30)</f>
        <v>0</v>
      </c>
      <c r="W30" s="133">
        <f>IF(SER_hh_tes!W30=0,0,11630*1000*SER_hh_tes!W30/SER_hh_num!W30)</f>
        <v>0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13962.204334365593</v>
      </c>
      <c r="C31" s="133">
        <f>IF(SER_hh_tes!C31=0,0,11630*1000*SER_hh_tes!C31/SER_hh_num!C31)</f>
        <v>13672.446920161134</v>
      </c>
      <c r="D31" s="133">
        <f>IF(SER_hh_tes!D31=0,0,11630*1000*SER_hh_tes!D31/SER_hh_num!D31)</f>
        <v>13497.15442092382</v>
      </c>
      <c r="E31" s="133">
        <f>IF(SER_hh_tes!E31=0,0,11630*1000*SER_hh_tes!E31/SER_hh_num!E31)</f>
        <v>13292.828588856923</v>
      </c>
      <c r="F31" s="133">
        <f>IF(SER_hh_tes!F31=0,0,11630*1000*SER_hh_tes!F31/SER_hh_num!F31)</f>
        <v>13270.621012360556</v>
      </c>
      <c r="G31" s="133">
        <f>IF(SER_hh_tes!G31=0,0,11630*1000*SER_hh_tes!G31/SER_hh_num!G31)</f>
        <v>13153.170943492762</v>
      </c>
      <c r="H31" s="133">
        <f>IF(SER_hh_tes!H31=0,0,11630*1000*SER_hh_tes!H31/SER_hh_num!H31)</f>
        <v>13040.726243080426</v>
      </c>
      <c r="I31" s="133">
        <f>IF(SER_hh_tes!I31=0,0,11630*1000*SER_hh_tes!I31/SER_hh_num!I31)</f>
        <v>12947.059453813963</v>
      </c>
      <c r="J31" s="133">
        <f>IF(SER_hh_tes!J31=0,0,11630*1000*SER_hh_tes!J31/SER_hh_num!J31)</f>
        <v>13056.836175379942</v>
      </c>
      <c r="K31" s="133">
        <f>IF(SER_hh_tes!K31=0,0,11630*1000*SER_hh_tes!K31/SER_hh_num!K31)</f>
        <v>12749.183697646413</v>
      </c>
      <c r="L31" s="133">
        <f>IF(SER_hh_tes!L31=0,0,11630*1000*SER_hh_tes!L31/SER_hh_num!L31)</f>
        <v>12645.565411946045</v>
      </c>
      <c r="M31" s="133">
        <f>IF(SER_hh_tes!M31=0,0,11630*1000*SER_hh_tes!M31/SER_hh_num!M31)</f>
        <v>12356.006126482809</v>
      </c>
      <c r="N31" s="133">
        <f>IF(SER_hh_tes!N31=0,0,11630*1000*SER_hh_tes!N31/SER_hh_num!N31)</f>
        <v>12495.321359166781</v>
      </c>
      <c r="O31" s="133">
        <f>IF(SER_hh_tes!O31=0,0,11630*1000*SER_hh_tes!O31/SER_hh_num!O31)</f>
        <v>12763.184527961543</v>
      </c>
      <c r="P31" s="133">
        <f>IF(SER_hh_tes!P31=0,0,11630*1000*SER_hh_tes!P31/SER_hh_num!P31)</f>
        <v>12641.534471627803</v>
      </c>
      <c r="Q31" s="133">
        <f>IF(SER_hh_tes!Q31=0,0,11630*1000*SER_hh_tes!Q31/SER_hh_num!Q31)</f>
        <v>12719.394773903645</v>
      </c>
      <c r="R31" s="133">
        <f>IF(SER_hh_tes!R31=0,0,11630*1000*SER_hh_tes!R31/SER_hh_num!R31)</f>
        <v>12588.065320016343</v>
      </c>
      <c r="S31" s="133">
        <f>IF(SER_hh_tes!S31=0,0,11630*1000*SER_hh_tes!S31/SER_hh_num!S31)</f>
        <v>14259.705928068741</v>
      </c>
      <c r="T31" s="133">
        <f>IF(SER_hh_tes!T31=0,0,11630*1000*SER_hh_tes!T31/SER_hh_num!T31)</f>
        <v>12904.216739353142</v>
      </c>
      <c r="U31" s="133">
        <f>IF(SER_hh_tes!U31=0,0,11630*1000*SER_hh_tes!U31/SER_hh_num!U31)</f>
        <v>12509.370287359141</v>
      </c>
      <c r="V31" s="133">
        <f>IF(SER_hh_tes!V31=0,0,11630*1000*SER_hh_tes!V31/SER_hh_num!V31)</f>
        <v>12092.545218220645</v>
      </c>
      <c r="W31" s="133">
        <f>IF(SER_hh_tes!W31=0,0,11630*1000*SER_hh_tes!W31/SER_hh_num!W31)</f>
        <v>16479.304397045958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14109.115241409623</v>
      </c>
      <c r="C33" s="68">
        <f>IF(SER_hh_tes!C33=0,0,11630*1000*SER_hh_tes!C33/SER_hh_num!C33)</f>
        <v>13739.693995440426</v>
      </c>
      <c r="D33" s="68">
        <f>IF(SER_hh_tes!D33=0,0,11630*1000*SER_hh_tes!D33/SER_hh_num!D33)</f>
        <v>13443.438299354371</v>
      </c>
      <c r="E33" s="68">
        <f>IF(SER_hh_tes!E33=0,0,11630*1000*SER_hh_tes!E33/SER_hh_num!E33)</f>
        <v>13255.805548056334</v>
      </c>
      <c r="F33" s="68">
        <f>IF(SER_hh_tes!F33=0,0,11630*1000*SER_hh_tes!F33/SER_hh_num!F33)</f>
        <v>13208.093652108571</v>
      </c>
      <c r="G33" s="68">
        <f>IF(SER_hh_tes!G33=0,0,11630*1000*SER_hh_tes!G33/SER_hh_num!G33)</f>
        <v>13036.888399869049</v>
      </c>
      <c r="H33" s="68">
        <f>IF(SER_hh_tes!H33=0,0,11630*1000*SER_hh_tes!H33/SER_hh_num!H33)</f>
        <v>13060.153133648499</v>
      </c>
      <c r="I33" s="68">
        <f>IF(SER_hh_tes!I33=0,0,11630*1000*SER_hh_tes!I33/SER_hh_num!I33)</f>
        <v>12830.265707752309</v>
      </c>
      <c r="J33" s="68">
        <f>IF(SER_hh_tes!J33=0,0,11630*1000*SER_hh_tes!J33/SER_hh_num!J33)</f>
        <v>12688.280409205721</v>
      </c>
      <c r="K33" s="68">
        <f>IF(SER_hh_tes!K33=0,0,11630*1000*SER_hh_tes!K33/SER_hh_num!K33)</f>
        <v>12752.757515463321</v>
      </c>
      <c r="L33" s="68">
        <f>IF(SER_hh_tes!L33=0,0,11630*1000*SER_hh_tes!L33/SER_hh_num!L33)</f>
        <v>12583.738938885874</v>
      </c>
      <c r="M33" s="68">
        <f>IF(SER_hh_tes!M33=0,0,11630*1000*SER_hh_tes!M33/SER_hh_num!M33)</f>
        <v>12695.381114342203</v>
      </c>
      <c r="N33" s="68">
        <f>IF(SER_hh_tes!N33=0,0,11630*1000*SER_hh_tes!N33/SER_hh_num!N33)</f>
        <v>12632.685133022154</v>
      </c>
      <c r="O33" s="68">
        <f>IF(SER_hh_tes!O33=0,0,11630*1000*SER_hh_tes!O33/SER_hh_num!O33)</f>
        <v>12507.213536747857</v>
      </c>
      <c r="P33" s="68">
        <f>IF(SER_hh_tes!P33=0,0,11630*1000*SER_hh_tes!P33/SER_hh_num!P33)</f>
        <v>12651.122835246037</v>
      </c>
      <c r="Q33" s="68">
        <f>IF(SER_hh_tes!Q33=0,0,11630*1000*SER_hh_tes!Q33/SER_hh_num!Q33)</f>
        <v>12812.201644233113</v>
      </c>
      <c r="R33" s="68">
        <f>IF(SER_hh_tes!R33=0,0,11630*1000*SER_hh_tes!R33/SER_hh_num!R33)</f>
        <v>13179.677466872392</v>
      </c>
      <c r="S33" s="68">
        <f>IF(SER_hh_tes!S33=0,0,11630*1000*SER_hh_tes!S33/SER_hh_num!S33)</f>
        <v>13126.459059006065</v>
      </c>
      <c r="T33" s="68">
        <f>IF(SER_hh_tes!T33=0,0,11630*1000*SER_hh_tes!T33/SER_hh_num!T33)</f>
        <v>13178.052109562899</v>
      </c>
      <c r="U33" s="68">
        <f>IF(SER_hh_tes!U33=0,0,11630*1000*SER_hh_tes!U33/SER_hh_num!U33)</f>
        <v>13598.114118625634</v>
      </c>
      <c r="V33" s="68">
        <f>IF(SER_hh_tes!V33=0,0,11630*1000*SER_hh_tes!V33/SER_hh_num!V33)</f>
        <v>12485.582738435774</v>
      </c>
      <c r="W33" s="68">
        <f>IF(SER_hh_tes!W33=0,0,11630*1000*SER_hh_tes!W33/SER_hh_num!W33)</f>
        <v>13916.618828641844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11121.999178058708</v>
      </c>
      <c r="C3" s="126">
        <f>IF(SER_hh_emi!C3=0,0,1000000*SER_hh_emi!C3/SER_hh_num!C3)</f>
        <v>11427.63868571821</v>
      </c>
      <c r="D3" s="126">
        <f>IF(SER_hh_emi!D3=0,0,1000000*SER_hh_emi!D3/SER_hh_num!D3)</f>
        <v>11157.852192505121</v>
      </c>
      <c r="E3" s="126">
        <f>IF(SER_hh_emi!E3=0,0,1000000*SER_hh_emi!E3/SER_hh_num!E3)</f>
        <v>10868.233339633534</v>
      </c>
      <c r="F3" s="126">
        <f>IF(SER_hh_emi!F3=0,0,1000000*SER_hh_emi!F3/SER_hh_num!F3)</f>
        <v>10390.71941781293</v>
      </c>
      <c r="G3" s="126">
        <f>IF(SER_hh_emi!G3=0,0,1000000*SER_hh_emi!G3/SER_hh_num!G3)</f>
        <v>9767.8982247114236</v>
      </c>
      <c r="H3" s="126">
        <f>IF(SER_hh_emi!H3=0,0,1000000*SER_hh_emi!H3/SER_hh_num!H3)</f>
        <v>9486.2005853922365</v>
      </c>
      <c r="I3" s="126">
        <f>IF(SER_hh_emi!I3=0,0,1000000*SER_hh_emi!I3/SER_hh_num!I3)</f>
        <v>8891.1850440107264</v>
      </c>
      <c r="J3" s="126">
        <f>IF(SER_hh_emi!J3=0,0,1000000*SER_hh_emi!J3/SER_hh_num!J3)</f>
        <v>7510.463582235282</v>
      </c>
      <c r="K3" s="126">
        <f>IF(SER_hh_emi!K3=0,0,1000000*SER_hh_emi!K3/SER_hh_num!K3)</f>
        <v>7969.6200638263181</v>
      </c>
      <c r="L3" s="126">
        <f>IF(SER_hh_emi!L3=0,0,1000000*SER_hh_emi!L3/SER_hh_num!L3)</f>
        <v>9278.770723981399</v>
      </c>
      <c r="M3" s="126">
        <f>IF(SER_hh_emi!M3=0,0,1000000*SER_hh_emi!M3/SER_hh_num!M3)</f>
        <v>8118.0719408056548</v>
      </c>
      <c r="N3" s="126">
        <f>IF(SER_hh_emi!N3=0,0,1000000*SER_hh_emi!N3/SER_hh_num!N3)</f>
        <v>8749.1514633436036</v>
      </c>
      <c r="O3" s="126">
        <f>IF(SER_hh_emi!O3=0,0,1000000*SER_hh_emi!O3/SER_hh_num!O3)</f>
        <v>7917.459313046872</v>
      </c>
      <c r="P3" s="126">
        <f>IF(SER_hh_emi!P3=0,0,1000000*SER_hh_emi!P3/SER_hh_num!P3)</f>
        <v>7797.023685463987</v>
      </c>
      <c r="Q3" s="126">
        <f>IF(SER_hh_emi!Q3=0,0,1000000*SER_hh_emi!Q3/SER_hh_num!Q3)</f>
        <v>7183.0224964393838</v>
      </c>
      <c r="R3" s="126">
        <f>IF(SER_hh_emi!R3=0,0,1000000*SER_hh_emi!R3/SER_hh_num!R3)</f>
        <v>7815.3421519174308</v>
      </c>
      <c r="S3" s="126">
        <f>IF(SER_hh_emi!S3=0,0,1000000*SER_hh_emi!S3/SER_hh_num!S3)</f>
        <v>7641.1968352108352</v>
      </c>
      <c r="T3" s="126">
        <f>IF(SER_hh_emi!T3=0,0,1000000*SER_hh_emi!T3/SER_hh_num!T3)</f>
        <v>7472.2063559215421</v>
      </c>
      <c r="U3" s="126">
        <f>IF(SER_hh_emi!U3=0,0,1000000*SER_hh_emi!U3/SER_hh_num!U3)</f>
        <v>7372.7621325002747</v>
      </c>
      <c r="V3" s="126">
        <f>IF(SER_hh_emi!V3=0,0,1000000*SER_hh_emi!V3/SER_hh_num!V3)</f>
        <v>6630.2721820342413</v>
      </c>
      <c r="W3" s="126">
        <f>IF(SER_hh_emi!W3=0,0,1000000*SER_hh_emi!W3/SER_hh_num!W3)</f>
        <v>7576.9021520625965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10326.114751142715</v>
      </c>
      <c r="C4" s="131">
        <f>IF(SER_hh_emi!C4=0,0,1000000*SER_hh_emi!C4/SER_hh_num!C4)</f>
        <v>10619.60823026204</v>
      </c>
      <c r="D4" s="131">
        <f>IF(SER_hh_emi!D4=0,0,1000000*SER_hh_emi!D4/SER_hh_num!D4)</f>
        <v>10333.829274158317</v>
      </c>
      <c r="E4" s="131">
        <f>IF(SER_hh_emi!E4=0,0,1000000*SER_hh_emi!E4/SER_hh_num!E4)</f>
        <v>10042.647335666188</v>
      </c>
      <c r="F4" s="131">
        <f>IF(SER_hh_emi!F4=0,0,1000000*SER_hh_emi!F4/SER_hh_num!F4)</f>
        <v>9576.0793827319631</v>
      </c>
      <c r="G4" s="131">
        <f>IF(SER_hh_emi!G4=0,0,1000000*SER_hh_emi!G4/SER_hh_num!G4)</f>
        <v>8960.8850493301507</v>
      </c>
      <c r="H4" s="131">
        <f>IF(SER_hh_emi!H4=0,0,1000000*SER_hh_emi!H4/SER_hh_num!H4)</f>
        <v>8680.2881891864236</v>
      </c>
      <c r="I4" s="131">
        <f>IF(SER_hh_emi!I4=0,0,1000000*SER_hh_emi!I4/SER_hh_num!I4)</f>
        <v>8102.1321474832948</v>
      </c>
      <c r="J4" s="131">
        <f>IF(SER_hh_emi!J4=0,0,1000000*SER_hh_emi!J4/SER_hh_num!J4)</f>
        <v>6712.715014799498</v>
      </c>
      <c r="K4" s="131">
        <f>IF(SER_hh_emi!K4=0,0,1000000*SER_hh_emi!K4/SER_hh_num!K4)</f>
        <v>7200.8472181718125</v>
      </c>
      <c r="L4" s="131">
        <f>IF(SER_hh_emi!L4=0,0,1000000*SER_hh_emi!L4/SER_hh_num!L4)</f>
        <v>8469.2224650526477</v>
      </c>
      <c r="M4" s="131">
        <f>IF(SER_hh_emi!M4=0,0,1000000*SER_hh_emi!M4/SER_hh_num!M4)</f>
        <v>7313.3927721179298</v>
      </c>
      <c r="N4" s="131">
        <f>IF(SER_hh_emi!N4=0,0,1000000*SER_hh_emi!N4/SER_hh_num!N4)</f>
        <v>7979.6357613276368</v>
      </c>
      <c r="O4" s="131">
        <f>IF(SER_hh_emi!O4=0,0,1000000*SER_hh_emi!O4/SER_hh_num!O4)</f>
        <v>7147.0846894825818</v>
      </c>
      <c r="P4" s="131">
        <f>IF(SER_hh_emi!P4=0,0,1000000*SER_hh_emi!P4/SER_hh_num!P4)</f>
        <v>7062.7349644947253</v>
      </c>
      <c r="Q4" s="131">
        <f>IF(SER_hh_emi!Q4=0,0,1000000*SER_hh_emi!Q4/SER_hh_num!Q4)</f>
        <v>6457.7324997096339</v>
      </c>
      <c r="R4" s="131">
        <f>IF(SER_hh_emi!R4=0,0,1000000*SER_hh_emi!R4/SER_hh_num!R4)</f>
        <v>7092.9989878478682</v>
      </c>
      <c r="S4" s="131">
        <f>IF(SER_hh_emi!S4=0,0,1000000*SER_hh_emi!S4/SER_hh_num!S4)</f>
        <v>7009.9912897300674</v>
      </c>
      <c r="T4" s="131">
        <f>IF(SER_hh_emi!T4=0,0,1000000*SER_hh_emi!T4/SER_hh_num!T4)</f>
        <v>6932.4269625367524</v>
      </c>
      <c r="U4" s="131">
        <f>IF(SER_hh_emi!U4=0,0,1000000*SER_hh_emi!U4/SER_hh_num!U4)</f>
        <v>6860.9204621497774</v>
      </c>
      <c r="V4" s="131">
        <f>IF(SER_hh_emi!V4=0,0,1000000*SER_hh_emi!V4/SER_hh_num!V4)</f>
        <v>6181.1202594124807</v>
      </c>
      <c r="W4" s="131">
        <f>IF(SER_hh_emi!W4=0,0,1000000*SER_hh_emi!W4/SER_hh_num!W4)</f>
        <v>7075.2631365673005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81049.420403753655</v>
      </c>
      <c r="C5" s="133">
        <f>IF(SER_hh_emi!C5=0,0,1000000*SER_hh_emi!C5/SER_hh_num!C5)</f>
        <v>86459.007677432048</v>
      </c>
      <c r="D5" s="133">
        <f>IF(SER_hh_emi!D5=0,0,1000000*SER_hh_emi!D5/SER_hh_num!D5)</f>
        <v>87489.853426158777</v>
      </c>
      <c r="E5" s="133">
        <f>IF(SER_hh_emi!E5=0,0,1000000*SER_hh_emi!E5/SER_hh_num!E5)</f>
        <v>88289.119180292488</v>
      </c>
      <c r="F5" s="133">
        <f>IF(SER_hh_emi!F5=0,0,1000000*SER_hh_emi!F5/SER_hh_num!F5)</f>
        <v>83680.428532424718</v>
      </c>
      <c r="G5" s="133">
        <f>IF(SER_hh_emi!G5=0,0,1000000*SER_hh_emi!G5/SER_hh_num!G5)</f>
        <v>81539.556613619803</v>
      </c>
      <c r="H5" s="133">
        <f>IF(SER_hh_emi!H5=0,0,1000000*SER_hh_emi!H5/SER_hh_num!H5)</f>
        <v>84933.488219911422</v>
      </c>
      <c r="I5" s="133">
        <f>IF(SER_hh_emi!I5=0,0,1000000*SER_hh_emi!I5/SER_hh_num!I5)</f>
        <v>70564.125230741978</v>
      </c>
      <c r="J5" s="133">
        <f>IF(SER_hh_emi!J5=0,0,1000000*SER_hh_emi!J5/SER_hh_num!J5)</f>
        <v>84066.400797436523</v>
      </c>
      <c r="K5" s="133">
        <f>IF(SER_hh_emi!K5=0,0,1000000*SER_hh_emi!K5/SER_hh_num!K5)</f>
        <v>90799.430864073773</v>
      </c>
      <c r="L5" s="133">
        <f>IF(SER_hh_emi!L5=0,0,1000000*SER_hh_emi!L5/SER_hh_num!L5)</f>
        <v>96999.114639746243</v>
      </c>
      <c r="M5" s="133">
        <f>IF(SER_hh_emi!M5=0,0,1000000*SER_hh_emi!M5/SER_hh_num!M5)</f>
        <v>78205.755080180432</v>
      </c>
      <c r="N5" s="133">
        <f>IF(SER_hh_emi!N5=0,0,1000000*SER_hh_emi!N5/SER_hh_num!N5)</f>
        <v>89507.826582247784</v>
      </c>
      <c r="O5" s="133">
        <f>IF(SER_hh_emi!O5=0,0,1000000*SER_hh_emi!O5/SER_hh_num!O5)</f>
        <v>80779.676151713575</v>
      </c>
      <c r="P5" s="133">
        <f>IF(SER_hh_emi!P5=0,0,1000000*SER_hh_emi!P5/SER_hh_num!P5)</f>
        <v>82874.052764766748</v>
      </c>
      <c r="Q5" s="133">
        <f>IF(SER_hh_emi!Q5=0,0,1000000*SER_hh_emi!Q5/SER_hh_num!Q5)</f>
        <v>74772.800807612599</v>
      </c>
      <c r="R5" s="133">
        <f>IF(SER_hh_emi!R5=0,0,1000000*SER_hh_emi!R5/SER_hh_num!R5)</f>
        <v>81585.136415151079</v>
      </c>
      <c r="S5" s="133">
        <f>IF(SER_hh_emi!S5=0,0,1000000*SER_hh_emi!S5/SER_hh_num!S5)</f>
        <v>79703.876310060703</v>
      </c>
      <c r="T5" s="133">
        <f>IF(SER_hh_emi!T5=0,0,1000000*SER_hh_emi!T5/SER_hh_num!T5)</f>
        <v>79802.269559754408</v>
      </c>
      <c r="U5" s="133">
        <f>IF(SER_hh_emi!U5=0,0,1000000*SER_hh_emi!U5/SER_hh_num!U5)</f>
        <v>80783.703300405468</v>
      </c>
      <c r="V5" s="133">
        <f>IF(SER_hh_emi!V5=0,0,1000000*SER_hh_emi!V5/SER_hh_num!V5)</f>
        <v>72318.544284328556</v>
      </c>
      <c r="W5" s="133">
        <f>IF(SER_hh_emi!W5=0,0,1000000*SER_hh_emi!W5/SER_hh_num!W5)</f>
        <v>79077.836845286467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65662.306889628235</v>
      </c>
      <c r="C7" s="133">
        <f>IF(SER_hh_emi!C7=0,0,1000000*SER_hh_emi!C7/SER_hh_num!C7)</f>
        <v>71064.048579229275</v>
      </c>
      <c r="D7" s="133">
        <f>IF(SER_hh_emi!D7=0,0,1000000*SER_hh_emi!D7/SER_hh_num!D7)</f>
        <v>71583.550708801282</v>
      </c>
      <c r="E7" s="133">
        <f>IF(SER_hh_emi!E7=0,0,1000000*SER_hh_emi!E7/SER_hh_num!E7)</f>
        <v>71572.371884550957</v>
      </c>
      <c r="F7" s="133">
        <f>IF(SER_hh_emi!F7=0,0,1000000*SER_hh_emi!F7/SER_hh_num!F7)</f>
        <v>69781.5125400502</v>
      </c>
      <c r="G7" s="133">
        <f>IF(SER_hh_emi!G7=0,0,1000000*SER_hh_emi!G7/SER_hh_num!G7)</f>
        <v>67260.055964481508</v>
      </c>
      <c r="H7" s="133">
        <f>IF(SER_hh_emi!H7=0,0,1000000*SER_hh_emi!H7/SER_hh_num!H7)</f>
        <v>69492.936337438194</v>
      </c>
      <c r="I7" s="133">
        <f>IF(SER_hh_emi!I7=0,0,1000000*SER_hh_emi!I7/SER_hh_num!I7)</f>
        <v>71548.857226366687</v>
      </c>
      <c r="J7" s="133">
        <f>IF(SER_hh_emi!J7=0,0,1000000*SER_hh_emi!J7/SER_hh_num!J7)</f>
        <v>62452.454362980796</v>
      </c>
      <c r="K7" s="133">
        <f>IF(SER_hh_emi!K7=0,0,1000000*SER_hh_emi!K7/SER_hh_num!K7)</f>
        <v>69882.528606325825</v>
      </c>
      <c r="L7" s="133">
        <f>IF(SER_hh_emi!L7=0,0,1000000*SER_hh_emi!L7/SER_hh_num!L7)</f>
        <v>79141.653755031497</v>
      </c>
      <c r="M7" s="133">
        <f>IF(SER_hh_emi!M7=0,0,1000000*SER_hh_emi!M7/SER_hh_num!M7)</f>
        <v>63660.962497104767</v>
      </c>
      <c r="N7" s="133">
        <f>IF(SER_hh_emi!N7=0,0,1000000*SER_hh_emi!N7/SER_hh_num!N7)</f>
        <v>69137.102803988237</v>
      </c>
      <c r="O7" s="133">
        <f>IF(SER_hh_emi!O7=0,0,1000000*SER_hh_emi!O7/SER_hh_num!O7)</f>
        <v>61872.210889175898</v>
      </c>
      <c r="P7" s="133">
        <f>IF(SER_hh_emi!P7=0,0,1000000*SER_hh_emi!P7/SER_hh_num!P7)</f>
        <v>62225.569328828453</v>
      </c>
      <c r="Q7" s="133">
        <f>IF(SER_hh_emi!Q7=0,0,1000000*SER_hh_emi!Q7/SER_hh_num!Q7)</f>
        <v>56392.197390043242</v>
      </c>
      <c r="R7" s="133">
        <f>IF(SER_hh_emi!R7=0,0,1000000*SER_hh_emi!R7/SER_hh_num!R7)</f>
        <v>61186.848328354186</v>
      </c>
      <c r="S7" s="133">
        <f>IF(SER_hh_emi!S7=0,0,1000000*SER_hh_emi!S7/SER_hh_num!S7)</f>
        <v>59250.411546176329</v>
      </c>
      <c r="T7" s="133">
        <f>IF(SER_hh_emi!T7=0,0,1000000*SER_hh_emi!T7/SER_hh_num!T7)</f>
        <v>58190.425416187572</v>
      </c>
      <c r="U7" s="133">
        <f>IF(SER_hh_emi!U7=0,0,1000000*SER_hh_emi!U7/SER_hh_num!U7)</f>
        <v>56039.785999327978</v>
      </c>
      <c r="V7" s="133">
        <f>IF(SER_hh_emi!V7=0,0,1000000*SER_hh_emi!V7/SER_hh_num!V7)</f>
        <v>49355.395761789317</v>
      </c>
      <c r="W7" s="133">
        <f>IF(SER_hh_emi!W7=0,0,1000000*SER_hh_emi!W7/SER_hh_num!W7)</f>
        <v>55586.829979243317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36840.096222480584</v>
      </c>
      <c r="C9" s="133">
        <f>IF(SER_hh_emi!C9=0,0,1000000*SER_hh_emi!C9/SER_hh_num!C9)</f>
        <v>36196.50680025365</v>
      </c>
      <c r="D9" s="133">
        <f>IF(SER_hh_emi!D9=0,0,1000000*SER_hh_emi!D9/SER_hh_num!D9)</f>
        <v>37772.81300790461</v>
      </c>
      <c r="E9" s="133">
        <f>IF(SER_hh_emi!E9=0,0,1000000*SER_hh_emi!E9/SER_hh_num!E9)</f>
        <v>34520.499067835393</v>
      </c>
      <c r="F9" s="133">
        <f>IF(SER_hh_emi!F9=0,0,1000000*SER_hh_emi!F9/SER_hh_num!F9)</f>
        <v>33673.068891002971</v>
      </c>
      <c r="G9" s="133">
        <f>IF(SER_hh_emi!G9=0,0,1000000*SER_hh_emi!G9/SER_hh_num!G9)</f>
        <v>33023.665780946758</v>
      </c>
      <c r="H9" s="133">
        <f>IF(SER_hh_emi!H9=0,0,1000000*SER_hh_emi!H9/SER_hh_num!H9)</f>
        <v>32183.419793425033</v>
      </c>
      <c r="I9" s="133">
        <f>IF(SER_hh_emi!I9=0,0,1000000*SER_hh_emi!I9/SER_hh_num!I9)</f>
        <v>32160.278028900713</v>
      </c>
      <c r="J9" s="133">
        <f>IF(SER_hh_emi!J9=0,0,1000000*SER_hh_emi!J9/SER_hh_num!J9)</f>
        <v>32044.242637215124</v>
      </c>
      <c r="K9" s="133">
        <f>IF(SER_hh_emi!K9=0,0,1000000*SER_hh_emi!K9/SER_hh_num!K9)</f>
        <v>31901.611901705073</v>
      </c>
      <c r="L9" s="133">
        <f>IF(SER_hh_emi!L9=0,0,1000000*SER_hh_emi!L9/SER_hh_num!L9)</f>
        <v>34588.280592525436</v>
      </c>
      <c r="M9" s="133">
        <f>IF(SER_hh_emi!M9=0,0,1000000*SER_hh_emi!M9/SER_hh_num!M9)</f>
        <v>43083.540357088641</v>
      </c>
      <c r="N9" s="133">
        <f>IF(SER_hh_emi!N9=0,0,1000000*SER_hh_emi!N9/SER_hh_num!N9)</f>
        <v>38302.003081420742</v>
      </c>
      <c r="O9" s="133">
        <f>IF(SER_hh_emi!O9=0,0,1000000*SER_hh_emi!O9/SER_hh_num!O9)</f>
        <v>36030.697641099396</v>
      </c>
      <c r="P9" s="133">
        <f>IF(SER_hh_emi!P9=0,0,1000000*SER_hh_emi!P9/SER_hh_num!P9)</f>
        <v>29152.518750652685</v>
      </c>
      <c r="Q9" s="133">
        <f>IF(SER_hh_emi!Q9=0,0,1000000*SER_hh_emi!Q9/SER_hh_num!Q9)</f>
        <v>26708.558891856366</v>
      </c>
      <c r="R9" s="133">
        <f>IF(SER_hh_emi!R9=0,0,1000000*SER_hh_emi!R9/SER_hh_num!R9)</f>
        <v>26621.536197919489</v>
      </c>
      <c r="S9" s="133">
        <f>IF(SER_hh_emi!S9=0,0,1000000*SER_hh_emi!S9/SER_hh_num!S9)</f>
        <v>26284.961869264171</v>
      </c>
      <c r="T9" s="133">
        <f>IF(SER_hh_emi!T9=0,0,1000000*SER_hh_emi!T9/SER_hh_num!T9)</f>
        <v>23724.165742751786</v>
      </c>
      <c r="U9" s="133">
        <f>IF(SER_hh_emi!U9=0,0,1000000*SER_hh_emi!U9/SER_hh_num!U9)</f>
        <v>24521.417921673747</v>
      </c>
      <c r="V9" s="133">
        <f>IF(SER_hh_emi!V9=0,0,1000000*SER_hh_emi!V9/SER_hh_num!V9)</f>
        <v>21004.3118314934</v>
      </c>
      <c r="W9" s="133">
        <f>IF(SER_hh_emi!W9=0,0,1000000*SER_hh_emi!W9/SER_hh_num!W9)</f>
        <v>25146.554153974317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6437.4602255201844</v>
      </c>
      <c r="K10" s="133">
        <f>IF(SER_hh_emi!K10=0,0,1000000*SER_hh_emi!K10/SER_hh_num!K10)</f>
        <v>2376.0118026040964</v>
      </c>
      <c r="L10" s="133">
        <f>IF(SER_hh_emi!L10=0,0,1000000*SER_hh_emi!L10/SER_hh_num!L10)</f>
        <v>2941.7663406344795</v>
      </c>
      <c r="M10" s="133">
        <f>IF(SER_hh_emi!M10=0,0,1000000*SER_hh_emi!M10/SER_hh_num!M10)</f>
        <v>3173.6829563092524</v>
      </c>
      <c r="N10" s="133">
        <f>IF(SER_hh_emi!N10=0,0,1000000*SER_hh_emi!N10/SER_hh_num!N10)</f>
        <v>2418.5143359591029</v>
      </c>
      <c r="O10" s="133">
        <f>IF(SER_hh_emi!O10=0,0,1000000*SER_hh_emi!O10/SER_hh_num!O10)</f>
        <v>713.88201714877653</v>
      </c>
      <c r="P10" s="133">
        <f>IF(SER_hh_emi!P10=0,0,1000000*SER_hh_emi!P10/SER_hh_num!P10)</f>
        <v>1632.2431820830943</v>
      </c>
      <c r="Q10" s="133">
        <f>IF(SER_hh_emi!Q10=0,0,1000000*SER_hh_emi!Q10/SER_hh_num!Q10)</f>
        <v>1689.168762773643</v>
      </c>
      <c r="R10" s="133">
        <f>IF(SER_hh_emi!R10=0,0,1000000*SER_hh_emi!R10/SER_hh_num!R10)</f>
        <v>1875.5246138897808</v>
      </c>
      <c r="S10" s="133">
        <f>IF(SER_hh_emi!S10=0,0,1000000*SER_hh_emi!S10/SER_hh_num!S10)</f>
        <v>1712.1025450196648</v>
      </c>
      <c r="T10" s="133">
        <f>IF(SER_hh_emi!T10=0,0,1000000*SER_hh_emi!T10/SER_hh_num!T10)</f>
        <v>2066.7956674975858</v>
      </c>
      <c r="U10" s="133">
        <f>IF(SER_hh_emi!U10=0,0,1000000*SER_hh_emi!U10/SER_hh_num!U10)</f>
        <v>1495.5311513691674</v>
      </c>
      <c r="V10" s="133">
        <f>IF(SER_hh_emi!V10=0,0,1000000*SER_hh_emi!V10/SER_hh_num!V10)</f>
        <v>1834.1488346225833</v>
      </c>
      <c r="W10" s="133">
        <f>IF(SER_hh_emi!W10=0,0,1000000*SER_hh_emi!W10/SER_hh_num!W10)</f>
        <v>2217.0751573168463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713.35432245830168</v>
      </c>
      <c r="C19" s="131">
        <f>IF(SER_hh_emi!C19=0,0,1000000*SER_hh_emi!C19/SER_hh_num!C19)</f>
        <v>719.50734188454987</v>
      </c>
      <c r="D19" s="131">
        <f>IF(SER_hh_emi!D19=0,0,1000000*SER_hh_emi!D19/SER_hh_num!D19)</f>
        <v>737.54226373045481</v>
      </c>
      <c r="E19" s="131">
        <f>IF(SER_hh_emi!E19=0,0,1000000*SER_hh_emi!E19/SER_hh_num!E19)</f>
        <v>741.86703985020245</v>
      </c>
      <c r="F19" s="131">
        <f>IF(SER_hh_emi!F19=0,0,1000000*SER_hh_emi!F19/SER_hh_num!F19)</f>
        <v>733.77836489964511</v>
      </c>
      <c r="G19" s="131">
        <f>IF(SER_hh_emi!G19=0,0,1000000*SER_hh_emi!G19/SER_hh_num!G19)</f>
        <v>724.84598810305386</v>
      </c>
      <c r="H19" s="131">
        <f>IF(SER_hh_emi!H19=0,0,1000000*SER_hh_emi!H19/SER_hh_num!H19)</f>
        <v>724.12071931711159</v>
      </c>
      <c r="I19" s="131">
        <f>IF(SER_hh_emi!I19=0,0,1000000*SER_hh_emi!I19/SER_hh_num!I19)</f>
        <v>710.87593512673345</v>
      </c>
      <c r="J19" s="131">
        <f>IF(SER_hh_emi!J19=0,0,1000000*SER_hh_emi!J19/SER_hh_num!J19)</f>
        <v>721.98174688914969</v>
      </c>
      <c r="K19" s="131">
        <f>IF(SER_hh_emi!K19=0,0,1000000*SER_hh_emi!K19/SER_hh_num!K19)</f>
        <v>697.3911993956043</v>
      </c>
      <c r="L19" s="131">
        <f>IF(SER_hh_emi!L19=0,0,1000000*SER_hh_emi!L19/SER_hh_num!L19)</f>
        <v>741.09454252484466</v>
      </c>
      <c r="M19" s="131">
        <f>IF(SER_hh_emi!M19=0,0,1000000*SER_hh_emi!M19/SER_hh_num!M19)</f>
        <v>743.09866505410605</v>
      </c>
      <c r="N19" s="131">
        <f>IF(SER_hh_emi!N19=0,0,1000000*SER_hh_emi!N19/SER_hh_num!N19)</f>
        <v>719.47686722222522</v>
      </c>
      <c r="O19" s="131">
        <f>IF(SER_hh_emi!O19=0,0,1000000*SER_hh_emi!O19/SER_hh_num!O19)</f>
        <v>712.57117081046079</v>
      </c>
      <c r="P19" s="131">
        <f>IF(SER_hh_emi!P19=0,0,1000000*SER_hh_emi!P19/SER_hh_num!P19)</f>
        <v>682.45922254149787</v>
      </c>
      <c r="Q19" s="131">
        <f>IF(SER_hh_emi!Q19=0,0,1000000*SER_hh_emi!Q19/SER_hh_num!Q19)</f>
        <v>672.16361911871945</v>
      </c>
      <c r="R19" s="131">
        <f>IF(SER_hh_emi!R19=0,0,1000000*SER_hh_emi!R19/SER_hh_num!R19)</f>
        <v>670.43675636682133</v>
      </c>
      <c r="S19" s="131">
        <f>IF(SER_hh_emi!S19=0,0,1000000*SER_hh_emi!S19/SER_hh_num!S19)</f>
        <v>583.68650970691135</v>
      </c>
      <c r="T19" s="131">
        <f>IF(SER_hh_emi!T19=0,0,1000000*SER_hh_emi!T19/SER_hh_num!T19)</f>
        <v>500.5159489530098</v>
      </c>
      <c r="U19" s="131">
        <f>IF(SER_hh_emi!U19=0,0,1000000*SER_hh_emi!U19/SER_hh_num!U19)</f>
        <v>472.0499986532177</v>
      </c>
      <c r="V19" s="131">
        <f>IF(SER_hh_emi!V19=0,0,1000000*SER_hh_emi!V19/SER_hh_num!V19)</f>
        <v>412.13471848507527</v>
      </c>
      <c r="W19" s="131">
        <f>IF(SER_hh_emi!W19=0,0,1000000*SER_hh_emi!W19/SER_hh_num!W19)</f>
        <v>453.39214104802977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7968.0283633024992</v>
      </c>
      <c r="C22" s="133">
        <f>IF(SER_hh_emi!C22=0,0,1000000*SER_hh_emi!C22/SER_hh_num!C22)</f>
        <v>7918.8389137126951</v>
      </c>
      <c r="D22" s="133">
        <f>IF(SER_hh_emi!D22=0,0,1000000*SER_hh_emi!D22/SER_hh_num!D22)</f>
        <v>7980.8657903910434</v>
      </c>
      <c r="E22" s="133">
        <f>IF(SER_hh_emi!E22=0,0,1000000*SER_hh_emi!E22/SER_hh_num!E22)</f>
        <v>7952.673110120827</v>
      </c>
      <c r="F22" s="133">
        <f>IF(SER_hh_emi!F22=0,0,1000000*SER_hh_emi!F22/SER_hh_num!F22)</f>
        <v>7862.4699739657872</v>
      </c>
      <c r="G22" s="133">
        <f>IF(SER_hh_emi!G22=0,0,1000000*SER_hh_emi!G22/SER_hh_num!G22)</f>
        <v>7763.7158260958904</v>
      </c>
      <c r="H22" s="133">
        <f>IF(SER_hh_emi!H22=0,0,1000000*SER_hh_emi!H22/SER_hh_num!H22)</f>
        <v>7811.3377422507256</v>
      </c>
      <c r="I22" s="133">
        <f>IF(SER_hh_emi!I22=0,0,1000000*SER_hh_emi!I22/SER_hh_num!I22)</f>
        <v>7734.5273482461471</v>
      </c>
      <c r="J22" s="133">
        <f>IF(SER_hh_emi!J22=0,0,1000000*SER_hh_emi!J22/SER_hh_num!J22)</f>
        <v>7608.8896745466582</v>
      </c>
      <c r="K22" s="133">
        <f>IF(SER_hh_emi!K22=0,0,1000000*SER_hh_emi!K22/SER_hh_num!K22)</f>
        <v>7367.1066571047941</v>
      </c>
      <c r="L22" s="133">
        <f>IF(SER_hh_emi!L22=0,0,1000000*SER_hh_emi!L22/SER_hh_num!L22)</f>
        <v>7659.7506183950427</v>
      </c>
      <c r="M22" s="133">
        <f>IF(SER_hh_emi!M22=0,0,1000000*SER_hh_emi!M22/SER_hh_num!M22)</f>
        <v>7590.8072885106758</v>
      </c>
      <c r="N22" s="133">
        <f>IF(SER_hh_emi!N22=0,0,1000000*SER_hh_emi!N22/SER_hh_num!N22)</f>
        <v>7515.9357758690912</v>
      </c>
      <c r="O22" s="133">
        <f>IF(SER_hh_emi!O22=0,0,1000000*SER_hh_emi!O22/SER_hh_num!O22)</f>
        <v>7579.1422673742209</v>
      </c>
      <c r="P22" s="133">
        <f>IF(SER_hh_emi!P22=0,0,1000000*SER_hh_emi!P22/SER_hh_num!P22)</f>
        <v>7449.947883204637</v>
      </c>
      <c r="Q22" s="133">
        <f>IF(SER_hh_emi!Q22=0,0,1000000*SER_hh_emi!Q22/SER_hh_num!Q22)</f>
        <v>7520.750411367062</v>
      </c>
      <c r="R22" s="133">
        <f>IF(SER_hh_emi!R22=0,0,1000000*SER_hh_emi!R22/SER_hh_num!R22)</f>
        <v>7843.4437432726281</v>
      </c>
      <c r="S22" s="133">
        <f>IF(SER_hh_emi!S22=0,0,1000000*SER_hh_emi!S22/SER_hh_num!S22)</f>
        <v>7403.9435679606822</v>
      </c>
      <c r="T22" s="133">
        <f>IF(SER_hh_emi!T22=0,0,1000000*SER_hh_emi!T22/SER_hh_num!T22)</f>
        <v>6970.2598250440951</v>
      </c>
      <c r="U22" s="133">
        <f>IF(SER_hh_emi!U22=0,0,1000000*SER_hh_emi!U22/SER_hh_num!U22)</f>
        <v>6978.9543215546946</v>
      </c>
      <c r="V22" s="133">
        <f>IF(SER_hh_emi!V22=0,0,1000000*SER_hh_emi!V22/SER_hh_num!V22)</f>
        <v>6235.6744075253537</v>
      </c>
      <c r="W22" s="133">
        <f>IF(SER_hh_emi!W22=0,0,1000000*SER_hh_emi!W22/SER_hh_num!W22)</f>
        <v>6763.7986366000423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4372.3365986331746</v>
      </c>
      <c r="C23" s="133">
        <f>IF(SER_hh_emi!C23=0,0,1000000*SER_hh_emi!C23/SER_hh_num!C23)</f>
        <v>4682.9195892181824</v>
      </c>
      <c r="D23" s="133">
        <f>IF(SER_hh_emi!D23=0,0,1000000*SER_hh_emi!D23/SER_hh_num!D23)</f>
        <v>4452.0683371526475</v>
      </c>
      <c r="E23" s="133">
        <f>IF(SER_hh_emi!E23=0,0,1000000*SER_hh_emi!E23/SER_hh_num!E23)</f>
        <v>4207.7575221631269</v>
      </c>
      <c r="F23" s="133">
        <f>IF(SER_hh_emi!F23=0,0,1000000*SER_hh_emi!F23/SER_hh_num!F23)</f>
        <v>4039.618652007257</v>
      </c>
      <c r="G23" s="133">
        <f>IF(SER_hh_emi!G23=0,0,1000000*SER_hh_emi!G23/SER_hh_num!G23)</f>
        <v>4127.138090532917</v>
      </c>
      <c r="H23" s="133">
        <f>IF(SER_hh_emi!H23=0,0,1000000*SER_hh_emi!H23/SER_hh_num!H23)</f>
        <v>4004.2640434966088</v>
      </c>
      <c r="I23" s="133">
        <f>IF(SER_hh_emi!I23=0,0,1000000*SER_hh_emi!I23/SER_hh_num!I23)</f>
        <v>3910.0791886904194</v>
      </c>
      <c r="J23" s="133">
        <f>IF(SER_hh_emi!J23=0,0,1000000*SER_hh_emi!J23/SER_hh_num!J23)</f>
        <v>3875.2081938130086</v>
      </c>
      <c r="K23" s="133">
        <f>IF(SER_hh_emi!K23=0,0,1000000*SER_hh_emi!K23/SER_hh_num!K23)</f>
        <v>3858.1680411288007</v>
      </c>
      <c r="L23" s="133">
        <f>IF(SER_hh_emi!L23=0,0,1000000*SER_hh_emi!L23/SER_hh_num!L23)</f>
        <v>3870.7603952711279</v>
      </c>
      <c r="M23" s="133">
        <f>IF(SER_hh_emi!M23=0,0,1000000*SER_hh_emi!M23/SER_hh_num!M23)</f>
        <v>3793.1312367860442</v>
      </c>
      <c r="N23" s="133">
        <f>IF(SER_hh_emi!N23=0,0,1000000*SER_hh_emi!N23/SER_hh_num!N23)</f>
        <v>3143.8948317206</v>
      </c>
      <c r="O23" s="133">
        <f>IF(SER_hh_emi!O23=0,0,1000000*SER_hh_emi!O23/SER_hh_num!O23)</f>
        <v>3617.518640652966</v>
      </c>
      <c r="P23" s="133">
        <f>IF(SER_hh_emi!P23=0,0,1000000*SER_hh_emi!P23/SER_hh_num!P23)</f>
        <v>3391.562618702384</v>
      </c>
      <c r="Q23" s="133">
        <f>IF(SER_hh_emi!Q23=0,0,1000000*SER_hh_emi!Q23/SER_hh_num!Q23)</f>
        <v>3513.5049997869078</v>
      </c>
      <c r="R23" s="133">
        <f>IF(SER_hh_emi!R23=0,0,1000000*SER_hh_emi!R23/SER_hh_num!R23)</f>
        <v>3472.6714368671824</v>
      </c>
      <c r="S23" s="133">
        <f>IF(SER_hh_emi!S23=0,0,1000000*SER_hh_emi!S23/SER_hh_num!S23)</f>
        <v>3226.7863519644952</v>
      </c>
      <c r="T23" s="133">
        <f>IF(SER_hh_emi!T23=0,0,1000000*SER_hh_emi!T23/SER_hh_num!T23)</f>
        <v>2723.6435000773349</v>
      </c>
      <c r="U23" s="133">
        <f>IF(SER_hh_emi!U23=0,0,1000000*SER_hh_emi!U23/SER_hh_num!U23)</f>
        <v>2751.8837248856594</v>
      </c>
      <c r="V23" s="133">
        <f>IF(SER_hh_emi!V23=0,0,1000000*SER_hh_emi!V23/SER_hh_num!V23)</f>
        <v>2486.6106338695968</v>
      </c>
      <c r="W23" s="133">
        <f>IF(SER_hh_emi!W23=0,0,1000000*SER_hh_emi!W23/SER_hh_num!W23)</f>
        <v>2955.9836416500475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690.59929759528848</v>
      </c>
      <c r="K24" s="133">
        <f>IF(SER_hh_emi!K24=0,0,1000000*SER_hh_emi!K24/SER_hh_num!K24)</f>
        <v>223.96254290754578</v>
      </c>
      <c r="L24" s="133">
        <f>IF(SER_hh_emi!L24=0,0,1000000*SER_hh_emi!L24/SER_hh_num!L24)</f>
        <v>253.45057831325585</v>
      </c>
      <c r="M24" s="133">
        <f>IF(SER_hh_emi!M24=0,0,1000000*SER_hh_emi!M24/SER_hh_num!M24)</f>
        <v>322.51510827910903</v>
      </c>
      <c r="N24" s="133">
        <f>IF(SER_hh_emi!N24=0,0,1000000*SER_hh_emi!N24/SER_hh_num!N24)</f>
        <v>219.12706656978065</v>
      </c>
      <c r="O24" s="133">
        <f>IF(SER_hh_emi!O24=0,0,1000000*SER_hh_emi!O24/SER_hh_num!O24)</f>
        <v>68.523693359748762</v>
      </c>
      <c r="P24" s="133">
        <f>IF(SER_hh_emi!P24=0,0,1000000*SER_hh_emi!P24/SER_hh_num!P24)</f>
        <v>149.58843899965115</v>
      </c>
      <c r="Q24" s="133">
        <f>IF(SER_hh_emi!Q24=0,0,1000000*SER_hh_emi!Q24/SER_hh_num!Q24)</f>
        <v>164.16890250911027</v>
      </c>
      <c r="R24" s="133">
        <f>IF(SER_hh_emi!R24=0,0,1000000*SER_hh_emi!R24/SER_hh_num!R24)</f>
        <v>178.05948408953387</v>
      </c>
      <c r="S24" s="133">
        <f>IF(SER_hh_emi!S24=0,0,1000000*SER_hh_emi!S24/SER_hh_num!S24)</f>
        <v>155.23131046926534</v>
      </c>
      <c r="T24" s="133">
        <f>IF(SER_hh_emi!T24=0,0,1000000*SER_hh_emi!T24/SER_hh_num!T24)</f>
        <v>180.87208202209655</v>
      </c>
      <c r="U24" s="133">
        <f>IF(SER_hh_emi!U24=0,0,1000000*SER_hh_emi!U24/SER_hh_num!U24)</f>
        <v>131.8863952933379</v>
      </c>
      <c r="V24" s="133">
        <f>IF(SER_hh_emi!V24=0,0,1000000*SER_hh_emi!V24/SER_hh_num!V24)</f>
        <v>157.83037902233283</v>
      </c>
      <c r="W24" s="133">
        <f>IF(SER_hh_emi!W24=0,0,1000000*SER_hh_emi!W24/SER_hh_num!W24)</f>
        <v>189.69000572775448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82.530104457691394</v>
      </c>
      <c r="C29" s="131">
        <f>IF(SER_hh_emi!C29=0,0,1000000*SER_hh_emi!C29/SER_hh_num!C29)</f>
        <v>88.523113571619533</v>
      </c>
      <c r="D29" s="131">
        <f>IF(SER_hh_emi!D29=0,0,1000000*SER_hh_emi!D29/SER_hh_num!D29)</f>
        <v>86.48065461634711</v>
      </c>
      <c r="E29" s="131">
        <f>IF(SER_hh_emi!E29=0,0,1000000*SER_hh_emi!E29/SER_hh_num!E29)</f>
        <v>83.718964117139592</v>
      </c>
      <c r="F29" s="131">
        <f>IF(SER_hh_emi!F29=0,0,1000000*SER_hh_emi!F29/SER_hh_num!F29)</f>
        <v>80.861670181320576</v>
      </c>
      <c r="G29" s="131">
        <f>IF(SER_hh_emi!G29=0,0,1000000*SER_hh_emi!G29/SER_hh_num!G29)</f>
        <v>82.16718727821781</v>
      </c>
      <c r="H29" s="131">
        <f>IF(SER_hh_emi!H29=0,0,1000000*SER_hh_emi!H29/SER_hh_num!H29)</f>
        <v>81.791676888700323</v>
      </c>
      <c r="I29" s="131">
        <f>IF(SER_hh_emi!I29=0,0,1000000*SER_hh_emi!I29/SER_hh_num!I29)</f>
        <v>78.176961400697621</v>
      </c>
      <c r="J29" s="131">
        <f>IF(SER_hh_emi!J29=0,0,1000000*SER_hh_emi!J29/SER_hh_num!J29)</f>
        <v>75.766820546635515</v>
      </c>
      <c r="K29" s="131">
        <f>IF(SER_hh_emi!K29=0,0,1000000*SER_hh_emi!K29/SER_hh_num!K29)</f>
        <v>71.381646258901498</v>
      </c>
      <c r="L29" s="131">
        <f>IF(SER_hh_emi!L29=0,0,1000000*SER_hh_emi!L29/SER_hh_num!L29)</f>
        <v>68.453716403905943</v>
      </c>
      <c r="M29" s="131">
        <f>IF(SER_hh_emi!M29=0,0,1000000*SER_hh_emi!M29/SER_hh_num!M29)</f>
        <v>61.580503633619095</v>
      </c>
      <c r="N29" s="131">
        <f>IF(SER_hh_emi!N29=0,0,1000000*SER_hh_emi!N29/SER_hh_num!N29)</f>
        <v>50.038834793741373</v>
      </c>
      <c r="O29" s="131">
        <f>IF(SER_hh_emi!O29=0,0,1000000*SER_hh_emi!O29/SER_hh_num!O29)</f>
        <v>57.80345275382907</v>
      </c>
      <c r="P29" s="131">
        <f>IF(SER_hh_emi!P29=0,0,1000000*SER_hh_emi!P29/SER_hh_num!P29)</f>
        <v>51.82949842776398</v>
      </c>
      <c r="Q29" s="131">
        <f>IF(SER_hh_emi!Q29=0,0,1000000*SER_hh_emi!Q29/SER_hh_num!Q29)</f>
        <v>53.126377611030314</v>
      </c>
      <c r="R29" s="131">
        <f>IF(SER_hh_emi!R29=0,0,1000000*SER_hh_emi!R29/SER_hh_num!R29)</f>
        <v>51.906407702740495</v>
      </c>
      <c r="S29" s="131">
        <f>IF(SER_hh_emi!S29=0,0,1000000*SER_hh_emi!S29/SER_hh_num!S29)</f>
        <v>47.51903577385572</v>
      </c>
      <c r="T29" s="131">
        <f>IF(SER_hh_emi!T29=0,0,1000000*SER_hh_emi!T29/SER_hh_num!T29)</f>
        <v>39.263444431780144</v>
      </c>
      <c r="U29" s="131">
        <f>IF(SER_hh_emi!U29=0,0,1000000*SER_hh_emi!U29/SER_hh_num!U29)</f>
        <v>39.791671697279867</v>
      </c>
      <c r="V29" s="131">
        <f>IF(SER_hh_emi!V29=0,0,1000000*SER_hh_emi!V29/SER_hh_num!V29)</f>
        <v>37.017204136684811</v>
      </c>
      <c r="W29" s="131">
        <f>IF(SER_hh_emi!W29=0,0,1000000*SER_hh_emi!W29/SER_hh_num!W29)</f>
        <v>48.246874447266357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0</v>
      </c>
      <c r="M30" s="133">
        <f>IF(SER_hh_emi!M30=0,0,1000000*SER_hh_emi!M30/SER_hh_num!M30)</f>
        <v>0</v>
      </c>
      <c r="N30" s="133">
        <f>IF(SER_hh_emi!N30=0,0,1000000*SER_hh_emi!N30/SER_hh_num!N30)</f>
        <v>0</v>
      </c>
      <c r="O30" s="133">
        <f>IF(SER_hh_emi!O30=0,0,1000000*SER_hh_emi!O30/SER_hh_num!O30)</f>
        <v>0</v>
      </c>
      <c r="P30" s="133">
        <f>IF(SER_hh_emi!P30=0,0,1000000*SER_hh_emi!P30/SER_hh_num!P30)</f>
        <v>0</v>
      </c>
      <c r="Q30" s="133">
        <f>IF(SER_hh_emi!Q30=0,0,1000000*SER_hh_emi!Q30/SER_hh_num!Q30)</f>
        <v>0</v>
      </c>
      <c r="R30" s="133">
        <f>IF(SER_hh_emi!R30=0,0,1000000*SER_hh_emi!R30/SER_hh_num!R30)</f>
        <v>0</v>
      </c>
      <c r="S30" s="133">
        <f>IF(SER_hh_emi!S30=0,0,1000000*SER_hh_emi!S30/SER_hh_num!S30)</f>
        <v>0</v>
      </c>
      <c r="T30" s="133">
        <f>IF(SER_hh_emi!T30=0,0,1000000*SER_hh_emi!T30/SER_hh_num!T30)</f>
        <v>0</v>
      </c>
      <c r="U30" s="133">
        <f>IF(SER_hh_emi!U30=0,0,1000000*SER_hh_emi!U30/SER_hh_num!U30)</f>
        <v>0</v>
      </c>
      <c r="V30" s="133">
        <f>IF(SER_hh_emi!V30=0,0,1000000*SER_hh_emi!V30/SER_hh_num!V30)</f>
        <v>0</v>
      </c>
      <c r="W30" s="133">
        <f>IF(SER_hh_emi!W30=0,0,1000000*SER_hh_emi!W30/SER_hh_num!W30)</f>
        <v>0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3834.1058273243948</v>
      </c>
      <c r="C31" s="133">
        <f>IF(SER_hh_emi!C31=0,0,1000000*SER_hh_emi!C31/SER_hh_num!C31)</f>
        <v>4056.0574726954746</v>
      </c>
      <c r="D31" s="133">
        <f>IF(SER_hh_emi!D31=0,0,1000000*SER_hh_emi!D31/SER_hh_num!D31)</f>
        <v>3848.1992353954424</v>
      </c>
      <c r="E31" s="133">
        <f>IF(SER_hh_emi!E31=0,0,1000000*SER_hh_emi!E31/SER_hh_num!E31)</f>
        <v>3631.4935470545797</v>
      </c>
      <c r="F31" s="133">
        <f>IF(SER_hh_emi!F31=0,0,1000000*SER_hh_emi!F31/SER_hh_num!F31)</f>
        <v>3463.3189782128056</v>
      </c>
      <c r="G31" s="133">
        <f>IF(SER_hh_emi!G31=0,0,1000000*SER_hh_emi!G31/SER_hh_num!G31)</f>
        <v>3493.561225474532</v>
      </c>
      <c r="H31" s="133">
        <f>IF(SER_hh_emi!H31=0,0,1000000*SER_hh_emi!H31/SER_hh_num!H31)</f>
        <v>3501.3081947083842</v>
      </c>
      <c r="I31" s="133">
        <f>IF(SER_hh_emi!I31=0,0,1000000*SER_hh_emi!I31/SER_hh_num!I31)</f>
        <v>3399.9192233372096</v>
      </c>
      <c r="J31" s="133">
        <f>IF(SER_hh_emi!J31=0,0,1000000*SER_hh_emi!J31/SER_hh_num!J31)</f>
        <v>3377.7954396037853</v>
      </c>
      <c r="K31" s="133">
        <f>IF(SER_hh_emi!K31=0,0,1000000*SER_hh_emi!K31/SER_hh_num!K31)</f>
        <v>3344.1957686377814</v>
      </c>
      <c r="L31" s="133">
        <f>IF(SER_hh_emi!L31=0,0,1000000*SER_hh_emi!L31/SER_hh_num!L31)</f>
        <v>3402.2262762321234</v>
      </c>
      <c r="M31" s="133">
        <f>IF(SER_hh_emi!M31=0,0,1000000*SER_hh_emi!M31/SER_hh_num!M31)</f>
        <v>3252.6329290541867</v>
      </c>
      <c r="N31" s="133">
        <f>IF(SER_hh_emi!N31=0,0,1000000*SER_hh_emi!N31/SER_hh_num!N31)</f>
        <v>2746.8795377525271</v>
      </c>
      <c r="O31" s="133">
        <f>IF(SER_hh_emi!O31=0,0,1000000*SER_hh_emi!O31/SER_hh_num!O31)</f>
        <v>3265.777420217039</v>
      </c>
      <c r="P31" s="133">
        <f>IF(SER_hh_emi!P31=0,0,1000000*SER_hh_emi!P31/SER_hh_num!P31)</f>
        <v>3050.5317887950705</v>
      </c>
      <c r="Q31" s="133">
        <f>IF(SER_hh_emi!Q31=0,0,1000000*SER_hh_emi!Q31/SER_hh_num!Q31)</f>
        <v>3225.7745621059639</v>
      </c>
      <c r="R31" s="133">
        <f>IF(SER_hh_emi!R31=0,0,1000000*SER_hh_emi!R31/SER_hh_num!R31)</f>
        <v>3281.4125733540968</v>
      </c>
      <c r="S31" s="133">
        <f>IF(SER_hh_emi!S31=0,0,1000000*SER_hh_emi!S31/SER_hh_num!S31)</f>
        <v>3063.3796046549182</v>
      </c>
      <c r="T31" s="133">
        <f>IF(SER_hh_emi!T31=0,0,1000000*SER_hh_emi!T31/SER_hh_num!T31)</f>
        <v>2712.2700530122625</v>
      </c>
      <c r="U31" s="133">
        <f>IF(SER_hh_emi!U31=0,0,1000000*SER_hh_emi!U31/SER_hh_num!U31)</f>
        <v>2841.5980143784022</v>
      </c>
      <c r="V31" s="133">
        <f>IF(SER_hh_emi!V31=0,0,1000000*SER_hh_emi!V31/SER_hh_num!V31)</f>
        <v>2631.5764912406785</v>
      </c>
      <c r="W31" s="133">
        <f>IF(SER_hh_emi!W31=0,0,1000000*SER_hh_emi!W31/SER_hh_num!W31)</f>
        <v>3541.4638948316565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233.04183390959261</v>
      </c>
      <c r="C3" s="126">
        <f>IF(SER_hh_fech!C3=0,0,SER_hh_fech!C3/SER_summary!C$26)</f>
        <v>251.86406630549459</v>
      </c>
      <c r="D3" s="126">
        <f>IF(SER_hh_fech!D3=0,0,SER_hh_fech!D3/SER_summary!D$26)</f>
        <v>254.87225259857485</v>
      </c>
      <c r="E3" s="126">
        <f>IF(SER_hh_fech!E3=0,0,SER_hh_fech!E3/SER_summary!E$26)</f>
        <v>251.3071103966459</v>
      </c>
      <c r="F3" s="126">
        <f>IF(SER_hh_fech!F3=0,0,SER_hh_fech!F3/SER_summary!F$26)</f>
        <v>245.51509426671106</v>
      </c>
      <c r="G3" s="126">
        <f>IF(SER_hh_fech!G3=0,0,SER_hh_fech!G3/SER_summary!G$26)</f>
        <v>238.0597597221649</v>
      </c>
      <c r="H3" s="126">
        <f>IF(SER_hh_fech!H3=0,0,SER_hh_fech!H3/SER_summary!H$26)</f>
        <v>238.19290175369903</v>
      </c>
      <c r="I3" s="126">
        <f>IF(SER_hh_fech!I3=0,0,SER_hh_fech!I3/SER_summary!I$26)</f>
        <v>246.54650977510889</v>
      </c>
      <c r="J3" s="126">
        <f>IF(SER_hh_fech!J3=0,0,SER_hh_fech!J3/SER_summary!J$26)</f>
        <v>238.8139166705208</v>
      </c>
      <c r="K3" s="126">
        <f>IF(SER_hh_fech!K3=0,0,SER_hh_fech!K3/SER_summary!K$26)</f>
        <v>261.78246342696286</v>
      </c>
      <c r="L3" s="126">
        <f>IF(SER_hh_fech!L3=0,0,SER_hh_fech!L3/SER_summary!L$26)</f>
        <v>278.30114937586188</v>
      </c>
      <c r="M3" s="126">
        <f>IF(SER_hh_fech!M3=0,0,SER_hh_fech!M3/SER_summary!M$26)</f>
        <v>242.18550078081918</v>
      </c>
      <c r="N3" s="126">
        <f>IF(SER_hh_fech!N3=0,0,SER_hh_fech!N3/SER_summary!N$26)</f>
        <v>260.11526910550015</v>
      </c>
      <c r="O3" s="126">
        <f>IF(SER_hh_fech!O3=0,0,SER_hh_fech!O3/SER_summary!O$26)</f>
        <v>242.6677356233788</v>
      </c>
      <c r="P3" s="126">
        <f>IF(SER_hh_fech!P3=0,0,SER_hh_fech!P3/SER_summary!P$26)</f>
        <v>249.47010454464839</v>
      </c>
      <c r="Q3" s="126">
        <f>IF(SER_hh_fech!Q3=0,0,SER_hh_fech!Q3/SER_summary!Q$26)</f>
        <v>229.87305737221448</v>
      </c>
      <c r="R3" s="126">
        <f>IF(SER_hh_fech!R3=0,0,SER_hh_fech!R3/SER_summary!R$26)</f>
        <v>244.32470936168306</v>
      </c>
      <c r="S3" s="126">
        <f>IF(SER_hh_fech!S3=0,0,SER_hh_fech!S3/SER_summary!S$26)</f>
        <v>237.94140101248442</v>
      </c>
      <c r="T3" s="126">
        <f>IF(SER_hh_fech!T3=0,0,SER_hh_fech!T3/SER_summary!T$26)</f>
        <v>243.0780027861515</v>
      </c>
      <c r="U3" s="126">
        <f>IF(SER_hh_fech!U3=0,0,SER_hh_fech!U3/SER_summary!U$26)</f>
        <v>232.27770458164886</v>
      </c>
      <c r="V3" s="126">
        <f>IF(SER_hh_fech!V3=0,0,SER_hh_fech!V3/SER_summary!V$26)</f>
        <v>208.53439695202584</v>
      </c>
      <c r="W3" s="126">
        <f>IF(SER_hh_fech!W3=0,0,SER_hh_fech!W3/SER_summary!W$26)</f>
        <v>237.40090036351299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184.48255896355738</v>
      </c>
      <c r="C4" s="131">
        <f>IF(SER_hh_fech!C4=0,0,SER_hh_fech!C4/SER_summary!C$26)</f>
        <v>204.02654771604185</v>
      </c>
      <c r="D4" s="131">
        <f>IF(SER_hh_fech!D4=0,0,SER_hh_fech!D4/SER_summary!D$26)</f>
        <v>207.74857507795309</v>
      </c>
      <c r="E4" s="131">
        <f>IF(SER_hh_fech!E4=0,0,SER_hh_fech!E4/SER_summary!E$26)</f>
        <v>204.46937966170634</v>
      </c>
      <c r="F4" s="131">
        <f>IF(SER_hh_fech!F4=0,0,SER_hh_fech!F4/SER_summary!F$26)</f>
        <v>199.1388492012027</v>
      </c>
      <c r="G4" s="131">
        <f>IF(SER_hh_fech!G4=0,0,SER_hh_fech!G4/SER_summary!G$26)</f>
        <v>191.94944536702906</v>
      </c>
      <c r="H4" s="131">
        <f>IF(SER_hh_fech!H4=0,0,SER_hh_fech!H4/SER_summary!H$26)</f>
        <v>192.35203687729873</v>
      </c>
      <c r="I4" s="131">
        <f>IF(SER_hh_fech!I4=0,0,SER_hh_fech!I4/SER_summary!I$26)</f>
        <v>201.33825558887179</v>
      </c>
      <c r="J4" s="131">
        <f>IF(SER_hh_fech!J4=0,0,SER_hh_fech!J4/SER_summary!J$26)</f>
        <v>193.9252065785268</v>
      </c>
      <c r="K4" s="131">
        <f>IF(SER_hh_fech!K4=0,0,SER_hh_fech!K4/SER_summary!K$26)</f>
        <v>216.91372595539397</v>
      </c>
      <c r="L4" s="131">
        <f>IF(SER_hh_fech!L4=0,0,SER_hh_fech!L4/SER_summary!L$26)</f>
        <v>233.42742103483025</v>
      </c>
      <c r="M4" s="131">
        <f>IF(SER_hh_fech!M4=0,0,SER_hh_fech!M4/SER_summary!M$26)</f>
        <v>197.33140157970288</v>
      </c>
      <c r="N4" s="131">
        <f>IF(SER_hh_fech!N4=0,0,SER_hh_fech!N4/SER_summary!N$26)</f>
        <v>215.37825950552107</v>
      </c>
      <c r="O4" s="131">
        <f>IF(SER_hh_fech!O4=0,0,SER_hh_fech!O4/SER_summary!O$26)</f>
        <v>198.29197367553505</v>
      </c>
      <c r="P4" s="131">
        <f>IF(SER_hh_fech!P4=0,0,SER_hh_fech!P4/SER_summary!P$26)</f>
        <v>204.81620563621749</v>
      </c>
      <c r="Q4" s="131">
        <f>IF(SER_hh_fech!Q4=0,0,SER_hh_fech!Q4/SER_summary!Q$26)</f>
        <v>185.11914183163952</v>
      </c>
      <c r="R4" s="131">
        <f>IF(SER_hh_fech!R4=0,0,SER_hh_fech!R4/SER_summary!R$26)</f>
        <v>199.32404506674789</v>
      </c>
      <c r="S4" s="131">
        <f>IF(SER_hh_fech!S4=0,0,SER_hh_fech!S4/SER_summary!S$26)</f>
        <v>193.5577491085289</v>
      </c>
      <c r="T4" s="131">
        <f>IF(SER_hh_fech!T4=0,0,SER_hh_fech!T4/SER_summary!T$26)</f>
        <v>199.11570435621707</v>
      </c>
      <c r="U4" s="131">
        <f>IF(SER_hh_fech!U4=0,0,SER_hh_fech!U4/SER_summary!U$26)</f>
        <v>188.33665393750758</v>
      </c>
      <c r="V4" s="131">
        <f>IF(SER_hh_fech!V4=0,0,SER_hh_fech!V4/SER_summary!V$26)</f>
        <v>168.76660409479891</v>
      </c>
      <c r="W4" s="131">
        <f>IF(SER_hh_fech!W4=0,0,SER_hh_fech!W4/SER_summary!W$26)</f>
        <v>193.54772342009821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239.27966417044576</v>
      </c>
      <c r="C5" s="133">
        <f>IF(SER_hh_fech!C5=0,0,SER_hh_fech!C5/SER_summary!C$26)</f>
        <v>255.25021916884441</v>
      </c>
      <c r="D5" s="133">
        <f>IF(SER_hh_fech!D5=0,0,SER_hh_fech!D5/SER_summary!D$26)</f>
        <v>258.29355277120834</v>
      </c>
      <c r="E5" s="133">
        <f>IF(SER_hh_fech!E5=0,0,SER_hh_fech!E5/SER_summary!E$26)</f>
        <v>260.65320001210574</v>
      </c>
      <c r="F5" s="133">
        <f>IF(SER_hh_fech!F5=0,0,SER_hh_fech!F5/SER_summary!F$26)</f>
        <v>247.04710702595278</v>
      </c>
      <c r="G5" s="133">
        <f>IF(SER_hh_fech!G5=0,0,SER_hh_fech!G5/SER_summary!G$26)</f>
        <v>240.72667794439138</v>
      </c>
      <c r="H5" s="133">
        <f>IF(SER_hh_fech!H5=0,0,SER_hh_fech!H5/SER_summary!H$26)</f>
        <v>250.74647587663316</v>
      </c>
      <c r="I5" s="133">
        <f>IF(SER_hh_fech!I5=0,0,SER_hh_fech!I5/SER_summary!I$26)</f>
        <v>208.32425578840093</v>
      </c>
      <c r="J5" s="133">
        <f>IF(SER_hh_fech!J5=0,0,SER_hh_fech!J5/SER_summary!J$26)</f>
        <v>248.18660084948732</v>
      </c>
      <c r="K5" s="133">
        <f>IF(SER_hh_fech!K5=0,0,SER_hh_fech!K5/SER_summary!K$26)</f>
        <v>268.06431453539375</v>
      </c>
      <c r="L5" s="133">
        <f>IF(SER_hh_fech!L5=0,0,SER_hh_fech!L5/SER_summary!L$26)</f>
        <v>286.36744667891696</v>
      </c>
      <c r="M5" s="133">
        <f>IF(SER_hh_fech!M5=0,0,SER_hh_fech!M5/SER_summary!M$26)</f>
        <v>228.50414859419641</v>
      </c>
      <c r="N5" s="133">
        <f>IF(SER_hh_fech!N5=0,0,SER_hh_fech!N5/SER_summary!N$26)</f>
        <v>259.74174636775763</v>
      </c>
      <c r="O5" s="133">
        <f>IF(SER_hh_fech!O5=0,0,SER_hh_fech!O5/SER_summary!O$26)</f>
        <v>235.21641205571225</v>
      </c>
      <c r="P5" s="133">
        <f>IF(SER_hh_fech!P5=0,0,SER_hh_fech!P5/SER_summary!P$26)</f>
        <v>242.14413438177678</v>
      </c>
      <c r="Q5" s="133">
        <f>IF(SER_hh_fech!Q5=0,0,SER_hh_fech!Q5/SER_summary!Q$26)</f>
        <v>218.47362983746714</v>
      </c>
      <c r="R5" s="133">
        <f>IF(SER_hh_fech!R5=0,0,SER_hh_fech!R5/SER_summary!R$26)</f>
        <v>237.56177269894383</v>
      </c>
      <c r="S5" s="133">
        <f>IF(SER_hh_fech!S5=0,0,SER_hh_fech!S5/SER_summary!S$26)</f>
        <v>232.08386942991066</v>
      </c>
      <c r="T5" s="133">
        <f>IF(SER_hh_fech!T5=0,0,SER_hh_fech!T5/SER_summary!T$26)</f>
        <v>233.16889713475251</v>
      </c>
      <c r="U5" s="133">
        <f>IF(SER_hh_fech!U5=0,0,SER_hh_fech!U5/SER_summary!U$26)</f>
        <v>237.66995300012778</v>
      </c>
      <c r="V5" s="133">
        <f>IF(SER_hh_fech!V5=0,0,SER_hh_fech!V5/SER_summary!V$26)</f>
        <v>212.76500480769315</v>
      </c>
      <c r="W5" s="133">
        <f>IF(SER_hh_fech!W5=0,0,SER_hh_fech!W5/SER_summary!W$26)</f>
        <v>231.84895760486106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272.35022915679701</v>
      </c>
      <c r="C7" s="133">
        <f>IF(SER_hh_fech!C7=0,0,SER_hh_fech!C7/SER_summary!C$26)</f>
        <v>294.65676212075294</v>
      </c>
      <c r="D7" s="133">
        <f>IF(SER_hh_fech!D7=0,0,SER_hh_fech!D7/SER_summary!D$26)</f>
        <v>296.78309232056574</v>
      </c>
      <c r="E7" s="133">
        <f>IF(SER_hh_fech!E7=0,0,SER_hh_fech!E7/SER_summary!E$26)</f>
        <v>296.67418440181808</v>
      </c>
      <c r="F7" s="133">
        <f>IF(SER_hh_fech!F7=0,0,SER_hh_fech!F7/SER_summary!F$26)</f>
        <v>289.23995560343673</v>
      </c>
      <c r="G7" s="133">
        <f>IF(SER_hh_fech!G7=0,0,SER_hh_fech!G7/SER_summary!G$26)</f>
        <v>278.79119139512676</v>
      </c>
      <c r="H7" s="133">
        <f>IF(SER_hh_fech!H7=0,0,SER_hh_fech!H7/SER_summary!H$26)</f>
        <v>287.99122581666546</v>
      </c>
      <c r="I7" s="133">
        <f>IF(SER_hh_fech!I7=0,0,SER_hh_fech!I7/SER_summary!I$26)</f>
        <v>296.48285881822164</v>
      </c>
      <c r="J7" s="133">
        <f>IF(SER_hh_fech!J7=0,0,SER_hh_fech!J7/SER_summary!J$26)</f>
        <v>258.50396880040694</v>
      </c>
      <c r="K7" s="133">
        <f>IF(SER_hh_fech!K7=0,0,SER_hh_fech!K7/SER_summary!K$26)</f>
        <v>292.64211970508336</v>
      </c>
      <c r="L7" s="133">
        <f>IF(SER_hh_fech!L7=0,0,SER_hh_fech!L7/SER_summary!L$26)</f>
        <v>335.13183329101372</v>
      </c>
      <c r="M7" s="133">
        <f>IF(SER_hh_fech!M7=0,0,SER_hh_fech!M7/SER_summary!M$26)</f>
        <v>270.12119881629076</v>
      </c>
      <c r="N7" s="133">
        <f>IF(SER_hh_fech!N7=0,0,SER_hh_fech!N7/SER_summary!N$26)</f>
        <v>290.26551531262407</v>
      </c>
      <c r="O7" s="133">
        <f>IF(SER_hh_fech!O7=0,0,SER_hh_fech!O7/SER_summary!O$26)</f>
        <v>258.67416556276908</v>
      </c>
      <c r="P7" s="133">
        <f>IF(SER_hh_fech!P7=0,0,SER_hh_fech!P7/SER_summary!P$26)</f>
        <v>260.16268594738023</v>
      </c>
      <c r="Q7" s="133">
        <f>IF(SER_hh_fech!Q7=0,0,SER_hh_fech!Q7/SER_summary!Q$26)</f>
        <v>235.35665694208981</v>
      </c>
      <c r="R7" s="133">
        <f>IF(SER_hh_fech!R7=0,0,SER_hh_fech!R7/SER_summary!R$26)</f>
        <v>255.12757342615632</v>
      </c>
      <c r="S7" s="133">
        <f>IF(SER_hh_fech!S7=0,0,SER_hh_fech!S7/SER_summary!S$26)</f>
        <v>247.61131772089911</v>
      </c>
      <c r="T7" s="133">
        <f>IF(SER_hh_fech!T7=0,0,SER_hh_fech!T7/SER_summary!T$26)</f>
        <v>243.11188060019492</v>
      </c>
      <c r="U7" s="133">
        <f>IF(SER_hh_fech!U7=0,0,SER_hh_fech!U7/SER_summary!U$26)</f>
        <v>234.08303481260162</v>
      </c>
      <c r="V7" s="133">
        <f>IF(SER_hh_fech!V7=0,0,SER_hh_fech!V7/SER_summary!V$26)</f>
        <v>206.37183639246572</v>
      </c>
      <c r="W7" s="133">
        <f>IF(SER_hh_fech!W7=0,0,SER_hh_fech!W7/SER_summary!W$26)</f>
        <v>238.18736036144486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273.38120383546158</v>
      </c>
      <c r="C9" s="133">
        <f>IF(SER_hh_fech!C9=0,0,SER_hh_fech!C9/SER_summary!C$26)</f>
        <v>248.25407234154923</v>
      </c>
      <c r="D9" s="133">
        <f>IF(SER_hh_fech!D9=0,0,SER_hh_fech!D9/SER_summary!D$26)</f>
        <v>269.04295276138316</v>
      </c>
      <c r="E9" s="133">
        <f>IF(SER_hh_fech!E9=0,0,SER_hh_fech!E9/SER_summary!E$26)</f>
        <v>256.08940969091009</v>
      </c>
      <c r="F9" s="133">
        <f>IF(SER_hh_fech!F9=0,0,SER_hh_fech!F9/SER_summary!F$26)</f>
        <v>260.94434526464136</v>
      </c>
      <c r="G9" s="133">
        <f>IF(SER_hh_fech!G9=0,0,SER_hh_fech!G9/SER_summary!G$26)</f>
        <v>250.9011933811004</v>
      </c>
      <c r="H9" s="133">
        <f>IF(SER_hh_fech!H9=0,0,SER_hh_fech!H9/SER_summary!H$26)</f>
        <v>241.33881437302279</v>
      </c>
      <c r="I9" s="133">
        <f>IF(SER_hh_fech!I9=0,0,SER_hh_fech!I9/SER_summary!I$26)</f>
        <v>245.97682506692766</v>
      </c>
      <c r="J9" s="133">
        <f>IF(SER_hh_fech!J9=0,0,SER_hh_fech!J9/SER_summary!J$26)</f>
        <v>248.14597032087102</v>
      </c>
      <c r="K9" s="133">
        <f>IF(SER_hh_fech!K9=0,0,SER_hh_fech!K9/SER_summary!K$26)</f>
        <v>242.98060339487026</v>
      </c>
      <c r="L9" s="133">
        <f>IF(SER_hh_fech!L9=0,0,SER_hh_fech!L9/SER_summary!L$26)</f>
        <v>256.31038297570893</v>
      </c>
      <c r="M9" s="133">
        <f>IF(SER_hh_fech!M9=0,0,SER_hh_fech!M9/SER_summary!M$26)</f>
        <v>326.09121239827579</v>
      </c>
      <c r="N9" s="133">
        <f>IF(SER_hh_fech!N9=0,0,SER_hh_fech!N9/SER_summary!N$26)</f>
        <v>346.70458628044429</v>
      </c>
      <c r="O9" s="133">
        <f>IF(SER_hh_fech!O9=0,0,SER_hh_fech!O9/SER_summary!O$26)</f>
        <v>279.68305664397411</v>
      </c>
      <c r="P9" s="133">
        <f>IF(SER_hh_fech!P9=0,0,SER_hh_fech!P9/SER_summary!P$26)</f>
        <v>239.56093228772164</v>
      </c>
      <c r="Q9" s="133">
        <f>IF(SER_hh_fech!Q9=0,0,SER_hh_fech!Q9/SER_summary!Q$26)</f>
        <v>208.53713592483501</v>
      </c>
      <c r="R9" s="133">
        <f>IF(SER_hh_fech!R9=0,0,SER_hh_fech!R9/SER_summary!R$26)</f>
        <v>201.86331499432512</v>
      </c>
      <c r="S9" s="133">
        <f>IF(SER_hh_fech!S9=0,0,SER_hh_fech!S9/SER_summary!S$26)</f>
        <v>241.15038122551721</v>
      </c>
      <c r="T9" s="133">
        <f>IF(SER_hh_fech!T9=0,0,SER_hh_fech!T9/SER_summary!T$26)</f>
        <v>221.87793642926323</v>
      </c>
      <c r="U9" s="133">
        <f>IF(SER_hh_fech!U9=0,0,SER_hh_fech!U9/SER_summary!U$26)</f>
        <v>211.27658774067675</v>
      </c>
      <c r="V9" s="133">
        <f>IF(SER_hh_fech!V9=0,0,SER_hh_fech!V9/SER_summary!V$26)</f>
        <v>187.73802333079121</v>
      </c>
      <c r="W9" s="133">
        <f>IF(SER_hh_fech!W9=0,0,SER_hh_fech!W9/SER_summary!W$26)</f>
        <v>226.50181586817266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270.14996438355445</v>
      </c>
      <c r="C10" s="133">
        <f>IF(SER_hh_fech!C10=0,0,SER_hh_fech!C10/SER_summary!C$26)</f>
        <v>300.04219534571013</v>
      </c>
      <c r="D10" s="133">
        <f>IF(SER_hh_fech!D10=0,0,SER_hh_fech!D10/SER_summary!D$26)</f>
        <v>300.41616250059406</v>
      </c>
      <c r="E10" s="133">
        <f>IF(SER_hh_fech!E10=0,0,SER_hh_fech!E10/SER_summary!E$26)</f>
        <v>294.68206656337571</v>
      </c>
      <c r="F10" s="133">
        <f>IF(SER_hh_fech!F10=0,0,SER_hh_fech!F10/SER_summary!F$26)</f>
        <v>282.13204446745266</v>
      </c>
      <c r="G10" s="133">
        <f>IF(SER_hh_fech!G10=0,0,SER_hh_fech!G10/SER_summary!G$26)</f>
        <v>273.551991570192</v>
      </c>
      <c r="H10" s="133">
        <f>IF(SER_hh_fech!H10=0,0,SER_hh_fech!H10/SER_summary!H$26)</f>
        <v>274.99349990788011</v>
      </c>
      <c r="I10" s="133">
        <f>IF(SER_hh_fech!I10=0,0,SER_hh_fech!I10/SER_summary!I$26)</f>
        <v>270.12927119093911</v>
      </c>
      <c r="J10" s="133">
        <f>IF(SER_hh_fech!J10=0,0,SER_hh_fech!J10/SER_summary!J$26)</f>
        <v>282.3613928339355</v>
      </c>
      <c r="K10" s="133">
        <f>IF(SER_hh_fech!K10=0,0,SER_hh_fech!K10/SER_summary!K$26)</f>
        <v>299.0589041109526</v>
      </c>
      <c r="L10" s="133">
        <f>IF(SER_hh_fech!L10=0,0,SER_hh_fech!L10/SER_summary!L$26)</f>
        <v>324.91197616687231</v>
      </c>
      <c r="M10" s="133">
        <f>IF(SER_hh_fech!M10=0,0,SER_hh_fech!M10/SER_summary!M$26)</f>
        <v>274.49992835319182</v>
      </c>
      <c r="N10" s="133">
        <f>IF(SER_hh_fech!N10=0,0,SER_hh_fech!N10/SER_summary!N$26)</f>
        <v>300.80349227821995</v>
      </c>
      <c r="O10" s="133">
        <f>IF(SER_hh_fech!O10=0,0,SER_hh_fech!O10/SER_summary!O$26)</f>
        <v>275.48185751089818</v>
      </c>
      <c r="P10" s="133">
        <f>IF(SER_hh_fech!P10=0,0,SER_hh_fech!P10/SER_summary!P$26)</f>
        <v>284.23288193526685</v>
      </c>
      <c r="Q10" s="133">
        <f>IF(SER_hh_fech!Q10=0,0,SER_hh_fech!Q10/SER_summary!Q$26)</f>
        <v>257.59185115675865</v>
      </c>
      <c r="R10" s="133">
        <f>IF(SER_hh_fech!R10=0,0,SER_hh_fech!R10/SER_summary!R$26)</f>
        <v>283.76136523437884</v>
      </c>
      <c r="S10" s="133">
        <f>IF(SER_hh_fech!S10=0,0,SER_hh_fech!S10/SER_summary!S$26)</f>
        <v>281.76565215484595</v>
      </c>
      <c r="T10" s="133">
        <f>IF(SER_hh_fech!T10=0,0,SER_hh_fech!T10/SER_summary!T$26)</f>
        <v>286.85979447886297</v>
      </c>
      <c r="U10" s="133">
        <f>IF(SER_hh_fech!U10=0,0,SER_hh_fech!U10/SER_summary!U$26)</f>
        <v>277.74541559953565</v>
      </c>
      <c r="V10" s="133">
        <f>IF(SER_hh_fech!V10=0,0,SER_hh_fech!V10/SER_summary!V$26)</f>
        <v>250.07850356989704</v>
      </c>
      <c r="W10" s="133">
        <f>IF(SER_hh_fech!W10=0,0,SER_hh_fech!W10/SER_summary!W$26)</f>
        <v>295.54207600882074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157.12875907110279</v>
      </c>
      <c r="C12" s="133">
        <f>IF(SER_hh_fech!C12=0,0,SER_hh_fech!C12/SER_summary!C$26)</f>
        <v>177.32260049484708</v>
      </c>
      <c r="D12" s="133">
        <f>IF(SER_hh_fech!D12=0,0,SER_hh_fech!D12/SER_summary!D$26)</f>
        <v>180.37267919565053</v>
      </c>
      <c r="E12" s="133">
        <f>IF(SER_hh_fech!E12=0,0,SER_hh_fech!E12/SER_summary!E$26)</f>
        <v>181.43441478119189</v>
      </c>
      <c r="F12" s="133">
        <f>IF(SER_hh_fech!F12=0,0,SER_hh_fech!F12/SER_summary!F$26)</f>
        <v>173.96471340681393</v>
      </c>
      <c r="G12" s="133">
        <f>IF(SER_hh_fech!G12=0,0,SER_hh_fech!G12/SER_summary!G$26)</f>
        <v>167.50804705490108</v>
      </c>
      <c r="H12" s="133">
        <f>IF(SER_hh_fech!H12=0,0,SER_hh_fech!H12/SER_summary!H$26)</f>
        <v>167.17864688379962</v>
      </c>
      <c r="I12" s="133">
        <f>IF(SER_hh_fech!I12=0,0,SER_hh_fech!I12/SER_summary!I$26)</f>
        <v>182.70277681778288</v>
      </c>
      <c r="J12" s="133">
        <f>IF(SER_hh_fech!J12=0,0,SER_hh_fech!J12/SER_summary!J$26)</f>
        <v>175.93288660016663</v>
      </c>
      <c r="K12" s="133">
        <f>IF(SER_hh_fech!K12=0,0,SER_hh_fech!K12/SER_summary!K$26)</f>
        <v>202.17778907077974</v>
      </c>
      <c r="L12" s="133">
        <f>IF(SER_hh_fech!L12=0,0,SER_hh_fech!L12/SER_summary!L$26)</f>
        <v>215.57585474545908</v>
      </c>
      <c r="M12" s="133">
        <f>IF(SER_hh_fech!M12=0,0,SER_hh_fech!M12/SER_summary!M$26)</f>
        <v>177.38487115820388</v>
      </c>
      <c r="N12" s="133">
        <f>IF(SER_hh_fech!N12=0,0,SER_hh_fech!N12/SER_summary!N$26)</f>
        <v>196.01359928031886</v>
      </c>
      <c r="O12" s="133">
        <f>IF(SER_hh_fech!O12=0,0,SER_hh_fech!O12/SER_summary!O$26)</f>
        <v>183.63854871255177</v>
      </c>
      <c r="P12" s="133">
        <f>IF(SER_hh_fech!P12=0,0,SER_hh_fech!P12/SER_summary!P$26)</f>
        <v>197.43862042124545</v>
      </c>
      <c r="Q12" s="133">
        <f>IF(SER_hh_fech!Q12=0,0,SER_hh_fech!Q12/SER_summary!Q$26)</f>
        <v>173.68315648404018</v>
      </c>
      <c r="R12" s="133">
        <f>IF(SER_hh_fech!R12=0,0,SER_hh_fech!R12/SER_summary!R$26)</f>
        <v>190.89043559538737</v>
      </c>
      <c r="S12" s="133">
        <f>IF(SER_hh_fech!S12=0,0,SER_hh_fech!S12/SER_summary!S$26)</f>
        <v>187.82820703487025</v>
      </c>
      <c r="T12" s="133">
        <f>IF(SER_hh_fech!T12=0,0,SER_hh_fech!T12/SER_summary!T$26)</f>
        <v>190.83650368732171</v>
      </c>
      <c r="U12" s="133">
        <f>IF(SER_hh_fech!U12=0,0,SER_hh_fech!U12/SER_summary!U$26)</f>
        <v>183.21489876991697</v>
      </c>
      <c r="V12" s="133">
        <f>IF(SER_hh_fech!V12=0,0,SER_hh_fech!V12/SER_summary!V$26)</f>
        <v>165.14763467519646</v>
      </c>
      <c r="W12" s="133">
        <f>IF(SER_hh_fech!W12=0,0,SER_hh_fech!W12/SER_summary!W$26)</f>
        <v>192.6372276236892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91.504620170964415</v>
      </c>
      <c r="C13" s="133">
        <f>IF(SER_hh_fech!C13=0,0,SER_hh_fech!C13/SER_summary!C$26)</f>
        <v>98.672157635636623</v>
      </c>
      <c r="D13" s="133">
        <f>IF(SER_hh_fech!D13=0,0,SER_hh_fech!D13/SER_summary!D$26)</f>
        <v>97.602987751965074</v>
      </c>
      <c r="E13" s="133">
        <f>IF(SER_hh_fech!E13=0,0,SER_hh_fech!E13/SER_summary!E$26)</f>
        <v>94.489399222240579</v>
      </c>
      <c r="F13" s="133">
        <f>IF(SER_hh_fech!F13=0,0,SER_hh_fech!F13/SER_summary!F$26)</f>
        <v>90.357329704275202</v>
      </c>
      <c r="G13" s="133">
        <f>IF(SER_hh_fech!G13=0,0,SER_hh_fech!G13/SER_summary!G$26)</f>
        <v>86.323892982930005</v>
      </c>
      <c r="H13" s="133">
        <f>IF(SER_hh_fech!H13=0,0,SER_hh_fech!H13/SER_summary!H$26)</f>
        <v>83.79692460524592</v>
      </c>
      <c r="I13" s="133">
        <f>IF(SER_hh_fech!I13=0,0,SER_hh_fech!I13/SER_summary!I$26)</f>
        <v>83.271853969965719</v>
      </c>
      <c r="J13" s="133">
        <f>IF(SER_hh_fech!J13=0,0,SER_hh_fech!J13/SER_summary!J$26)</f>
        <v>83.030752510005925</v>
      </c>
      <c r="K13" s="133">
        <f>IF(SER_hh_fech!K13=0,0,SER_hh_fech!K13/SER_summary!K$26)</f>
        <v>82.881930658113731</v>
      </c>
      <c r="L13" s="133">
        <f>IF(SER_hh_fech!L13=0,0,SER_hh_fech!L13/SER_summary!L$26)</f>
        <v>80.399079179512725</v>
      </c>
      <c r="M13" s="133">
        <f>IF(SER_hh_fech!M13=0,0,SER_hh_fech!M13/SER_summary!M$26)</f>
        <v>74.030061810117644</v>
      </c>
      <c r="N13" s="133">
        <f>IF(SER_hh_fech!N13=0,0,SER_hh_fech!N13/SER_summary!N$26)</f>
        <v>70.661609771349134</v>
      </c>
      <c r="O13" s="133">
        <f>IF(SER_hh_fech!O13=0,0,SER_hh_fech!O13/SER_summary!O$26)</f>
        <v>64.892225105715312</v>
      </c>
      <c r="P13" s="133">
        <f>IF(SER_hh_fech!P13=0,0,SER_hh_fech!P13/SER_summary!P$26)</f>
        <v>62.001030749838428</v>
      </c>
      <c r="Q13" s="133">
        <f>IF(SER_hh_fech!Q13=0,0,SER_hh_fech!Q13/SER_summary!Q$26)</f>
        <v>61.231425946615538</v>
      </c>
      <c r="R13" s="133">
        <f>IF(SER_hh_fech!R13=0,0,SER_hh_fech!R13/SER_summary!R$26)</f>
        <v>58.065375266062595</v>
      </c>
      <c r="S13" s="133">
        <f>IF(SER_hh_fech!S13=0,0,SER_hh_fech!S13/SER_summary!S$26)</f>
        <v>55.923800065133143</v>
      </c>
      <c r="T13" s="133">
        <f>IF(SER_hh_fech!T13=0,0,SER_hh_fech!T13/SER_summary!T$26)</f>
        <v>55.685286816894539</v>
      </c>
      <c r="U13" s="133">
        <f>IF(SER_hh_fech!U13=0,0,SER_hh_fech!U13/SER_summary!U$26)</f>
        <v>52.144941713877962</v>
      </c>
      <c r="V13" s="133">
        <f>IF(SER_hh_fech!V13=0,0,SER_hh_fech!V13/SER_summary!V$26)</f>
        <v>46.551503163586005</v>
      </c>
      <c r="W13" s="133">
        <f>IF(SER_hh_fech!W13=0,0,SER_hh_fech!W13/SER_summary!W$26)</f>
        <v>56.054714190131946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177.88365058115559</v>
      </c>
      <c r="C14" s="65">
        <f>IF(SER_hh_fech!C14=0,0,SER_hh_fech!C14/SER_summary!C$26)</f>
        <v>198.95841079217035</v>
      </c>
      <c r="D14" s="65">
        <f>IF(SER_hh_fech!D14=0,0,SER_hh_fech!D14/SER_summary!D$26)</f>
        <v>206.55914560014475</v>
      </c>
      <c r="E14" s="65">
        <f>IF(SER_hh_fech!E14=0,0,SER_hh_fech!E14/SER_summary!E$26)</f>
        <v>195.26386747584672</v>
      </c>
      <c r="F14" s="65">
        <f>IF(SER_hh_fech!F14=0,0,SER_hh_fech!F14/SER_summary!F$26)</f>
        <v>196.44434725232733</v>
      </c>
      <c r="G14" s="65">
        <f>IF(SER_hh_fech!G14=0,0,SER_hh_fech!G14/SER_summary!G$26)</f>
        <v>191.36076088858917</v>
      </c>
      <c r="H14" s="65">
        <f>IF(SER_hh_fech!H14=0,0,SER_hh_fech!H14/SER_summary!H$26)</f>
        <v>193.61776228386822</v>
      </c>
      <c r="I14" s="65">
        <f>IF(SER_hh_fech!I14=0,0,SER_hh_fech!I14/SER_summary!I$26)</f>
        <v>196.98154715788755</v>
      </c>
      <c r="J14" s="65">
        <f>IF(SER_hh_fech!J14=0,0,SER_hh_fech!J14/SER_summary!J$26)</f>
        <v>200.97187786238777</v>
      </c>
      <c r="K14" s="65">
        <f>IF(SER_hh_fech!K14=0,0,SER_hh_fech!K14/SER_summary!K$26)</f>
        <v>216.91518060229012</v>
      </c>
      <c r="L14" s="65">
        <f>IF(SER_hh_fech!L14=0,0,SER_hh_fech!L14/SER_summary!L$26)</f>
        <v>229.80873363472375</v>
      </c>
      <c r="M14" s="65">
        <f>IF(SER_hh_fech!M14=0,0,SER_hh_fech!M14/SER_summary!M$26)</f>
        <v>203.29195741762805</v>
      </c>
      <c r="N14" s="65">
        <f>IF(SER_hh_fech!N14=0,0,SER_hh_fech!N14/SER_summary!N$26)</f>
        <v>219.82545193394793</v>
      </c>
      <c r="O14" s="65">
        <f>IF(SER_hh_fech!O14=0,0,SER_hh_fech!O14/SER_summary!O$26)</f>
        <v>203.45829560576246</v>
      </c>
      <c r="P14" s="65">
        <f>IF(SER_hh_fech!P14=0,0,SER_hh_fech!P14/SER_summary!P$26)</f>
        <v>201.82957793908096</v>
      </c>
      <c r="Q14" s="65">
        <f>IF(SER_hh_fech!Q14=0,0,SER_hh_fech!Q14/SER_summary!Q$26)</f>
        <v>196.12744838796041</v>
      </c>
      <c r="R14" s="65">
        <f>IF(SER_hh_fech!R14=0,0,SER_hh_fech!R14/SER_summary!R$26)</f>
        <v>204.91597896094817</v>
      </c>
      <c r="S14" s="65">
        <f>IF(SER_hh_fech!S14=0,0,SER_hh_fech!S14/SER_summary!S$26)</f>
        <v>190.43801967810998</v>
      </c>
      <c r="T14" s="65">
        <f>IF(SER_hh_fech!T14=0,0,SER_hh_fech!T14/SER_summary!T$26)</f>
        <v>212.71538356063877</v>
      </c>
      <c r="U14" s="65">
        <f>IF(SER_hh_fech!U14=0,0,SER_hh_fech!U14/SER_summary!U$26)</f>
        <v>194.54933341262051</v>
      </c>
      <c r="V14" s="65">
        <f>IF(SER_hh_fech!V14=0,0,SER_hh_fech!V14/SER_summary!V$26)</f>
        <v>177.07349427626588</v>
      </c>
      <c r="W14" s="65">
        <f>IF(SER_hh_fech!W14=0,0,SER_hh_fech!W14/SER_summary!W$26)</f>
        <v>193.52117863568361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1.0451286234659358</v>
      </c>
      <c r="C15" s="135">
        <f>IF(SER_hh_fech!C15=0,0,SER_hh_fech!C15/SER_summary!C$26)</f>
        <v>1.1077177198173627</v>
      </c>
      <c r="D15" s="135">
        <f>IF(SER_hh_fech!D15=0,0,SER_hh_fech!D15/SER_summary!D$26)</f>
        <v>1.096256621258785</v>
      </c>
      <c r="E15" s="135">
        <f>IF(SER_hh_fech!E15=0,0,SER_hh_fech!E15/SER_summary!E$26)</f>
        <v>1.0759951587727088</v>
      </c>
      <c r="F15" s="135">
        <f>IF(SER_hh_fech!F15=0,0,SER_hh_fech!F15/SER_summary!F$26)</f>
        <v>1.0289456671479538</v>
      </c>
      <c r="G15" s="135">
        <f>IF(SER_hh_fech!G15=0,0,SER_hh_fech!G15/SER_summary!G$26)</f>
        <v>0.97456099233545379</v>
      </c>
      <c r="H15" s="135">
        <f>IF(SER_hh_fech!H15=0,0,SER_hh_fech!H15/SER_summary!H$26)</f>
        <v>0.95646620019610051</v>
      </c>
      <c r="I15" s="135">
        <f>IF(SER_hh_fech!I15=0,0,SER_hh_fech!I15/SER_summary!I$26)</f>
        <v>0.96867414342588576</v>
      </c>
      <c r="J15" s="135">
        <f>IF(SER_hh_fech!J15=0,0,SER_hh_fech!J15/SER_summary!J$26)</f>
        <v>0.87711086561190987</v>
      </c>
      <c r="K15" s="135">
        <f>IF(SER_hh_fech!K15=0,0,SER_hh_fech!K15/SER_summary!K$26)</f>
        <v>0.98376858062444739</v>
      </c>
      <c r="L15" s="135">
        <f>IF(SER_hh_fech!L15=0,0,SER_hh_fech!L15/SER_summary!L$26)</f>
        <v>1.0934714755014414</v>
      </c>
      <c r="M15" s="135">
        <f>IF(SER_hh_fech!M15=0,0,SER_hh_fech!M15/SER_summary!M$26)</f>
        <v>0.93557487761534297</v>
      </c>
      <c r="N15" s="135">
        <f>IF(SER_hh_fech!N15=0,0,SER_hh_fech!N15/SER_summary!N$26)</f>
        <v>1.0391789614809499</v>
      </c>
      <c r="O15" s="135">
        <f>IF(SER_hh_fech!O15=0,0,SER_hh_fech!O15/SER_summary!O$26)</f>
        <v>0.9562380033041884</v>
      </c>
      <c r="P15" s="135">
        <f>IF(SER_hh_fech!P15=0,0,SER_hh_fech!P15/SER_summary!P$26)</f>
        <v>0.98123554768761023</v>
      </c>
      <c r="Q15" s="135">
        <f>IF(SER_hh_fech!Q15=0,0,SER_hh_fech!Q15/SER_summary!Q$26)</f>
        <v>0.87544109464680553</v>
      </c>
      <c r="R15" s="135">
        <f>IF(SER_hh_fech!R15=0,0,SER_hh_fech!R15/SER_summary!R$26)</f>
        <v>0.95830683248456638</v>
      </c>
      <c r="S15" s="135">
        <f>IF(SER_hh_fech!S15=0,0,SER_hh_fech!S15/SER_summary!S$26)</f>
        <v>0.96000749231144111</v>
      </c>
      <c r="T15" s="135">
        <f>IF(SER_hh_fech!T15=0,0,SER_hh_fech!T15/SER_summary!T$26)</f>
        <v>0.9681068220956095</v>
      </c>
      <c r="U15" s="135">
        <f>IF(SER_hh_fech!U15=0,0,SER_hh_fech!U15/SER_summary!U$26)</f>
        <v>0.94594632276059609</v>
      </c>
      <c r="V15" s="135">
        <f>IF(SER_hh_fech!V15=0,0,SER_hh_fech!V15/SER_summary!V$26)</f>
        <v>0.85819396017443539</v>
      </c>
      <c r="W15" s="135">
        <f>IF(SER_hh_fech!W15=0,0,SER_hh_fech!W15/SER_summary!W$26)</f>
        <v>1.0084351099400644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13.944447998660987</v>
      </c>
      <c r="C16" s="131">
        <f>IF(SER_hh_fech!C16=0,0,SER_hh_fech!C16/SER_summary!C$26)</f>
        <v>13.372079881179047</v>
      </c>
      <c r="D16" s="131">
        <f>IF(SER_hh_fech!D16=0,0,SER_hh_fech!D16/SER_summary!D$26)</f>
        <v>12.744646575769119</v>
      </c>
      <c r="E16" s="131">
        <f>IF(SER_hh_fech!E16=0,0,SER_hh_fech!E16/SER_summary!E$26)</f>
        <v>12.688212690610195</v>
      </c>
      <c r="F16" s="131">
        <f>IF(SER_hh_fech!F16=0,0,SER_hh_fech!F16/SER_summary!F$26)</f>
        <v>11.573370472473206</v>
      </c>
      <c r="G16" s="131">
        <f>IF(SER_hh_fech!G16=0,0,SER_hh_fech!G16/SER_summary!G$26)</f>
        <v>10.985501860427618</v>
      </c>
      <c r="H16" s="131">
        <f>IF(SER_hh_fech!H16=0,0,SER_hh_fech!H16/SER_summary!H$26)</f>
        <v>10.464576395766922</v>
      </c>
      <c r="I16" s="131">
        <f>IF(SER_hh_fech!I16=0,0,SER_hh_fech!I16/SER_summary!I$26)</f>
        <v>9.9043844345069036</v>
      </c>
      <c r="J16" s="131">
        <f>IF(SER_hh_fech!J16=0,0,SER_hh_fech!J16/SER_summary!J$26)</f>
        <v>9.43422065904862</v>
      </c>
      <c r="K16" s="131">
        <f>IF(SER_hh_fech!K16=0,0,SER_hh_fech!K16/SER_summary!K$26)</f>
        <v>9.3000757342731166</v>
      </c>
      <c r="L16" s="131">
        <f>IF(SER_hh_fech!L16=0,0,SER_hh_fech!L16/SER_summary!L$26)</f>
        <v>9.7730404870631435</v>
      </c>
      <c r="M16" s="131">
        <f>IF(SER_hh_fech!M16=0,0,SER_hh_fech!M16/SER_summary!M$26)</f>
        <v>8.9842407172285661</v>
      </c>
      <c r="N16" s="131">
        <f>IF(SER_hh_fech!N16=0,0,SER_hh_fech!N16/SER_summary!N$26)</f>
        <v>8.6628487365530766</v>
      </c>
      <c r="O16" s="131">
        <f>IF(SER_hh_fech!O16=0,0,SER_hh_fech!O16/SER_summary!O$26)</f>
        <v>8.4212288813627598</v>
      </c>
      <c r="P16" s="131">
        <f>IF(SER_hh_fech!P16=0,0,SER_hh_fech!P16/SER_summary!P$26)</f>
        <v>8.1901291443903865</v>
      </c>
      <c r="Q16" s="131">
        <f>IF(SER_hh_fech!Q16=0,0,SER_hh_fech!Q16/SER_summary!Q$26)</f>
        <v>7.805591494875193</v>
      </c>
      <c r="R16" s="131">
        <f>IF(SER_hh_fech!R16=0,0,SER_hh_fech!R16/SER_summary!R$26)</f>
        <v>7.6994269798438433</v>
      </c>
      <c r="S16" s="131">
        <f>IF(SER_hh_fech!S16=0,0,SER_hh_fech!S16/SER_summary!S$26)</f>
        <v>7.4454523782266717</v>
      </c>
      <c r="T16" s="131">
        <f>IF(SER_hh_fech!T16=0,0,SER_hh_fech!T16/SER_summary!T$26)</f>
        <v>7.211457132867606</v>
      </c>
      <c r="U16" s="131">
        <f>IF(SER_hh_fech!U16=0,0,SER_hh_fech!U16/SER_summary!U$26)</f>
        <v>7.0743421341520234</v>
      </c>
      <c r="V16" s="131">
        <f>IF(SER_hh_fech!V16=0,0,SER_hh_fech!V16/SER_summary!V$26)</f>
        <v>6.908255435146792</v>
      </c>
      <c r="W16" s="131">
        <f>IF(SER_hh_fech!W16=0,0,SER_hh_fech!W16/SER_summary!W$26)</f>
        <v>6.5997772138369406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13.944447998660987</v>
      </c>
      <c r="C18" s="133">
        <f>IF(SER_hh_fech!C18=0,0,SER_hh_fech!C18/SER_summary!C$26)</f>
        <v>13.372079881179047</v>
      </c>
      <c r="D18" s="133">
        <f>IF(SER_hh_fech!D18=0,0,SER_hh_fech!D18/SER_summary!D$26)</f>
        <v>12.744646575769119</v>
      </c>
      <c r="E18" s="133">
        <f>IF(SER_hh_fech!E18=0,0,SER_hh_fech!E18/SER_summary!E$26)</f>
        <v>12.688212690610195</v>
      </c>
      <c r="F18" s="133">
        <f>IF(SER_hh_fech!F18=0,0,SER_hh_fech!F18/SER_summary!F$26)</f>
        <v>11.573370472473206</v>
      </c>
      <c r="G18" s="133">
        <f>IF(SER_hh_fech!G18=0,0,SER_hh_fech!G18/SER_summary!G$26)</f>
        <v>10.985501860427618</v>
      </c>
      <c r="H18" s="133">
        <f>IF(SER_hh_fech!H18=0,0,SER_hh_fech!H18/SER_summary!H$26)</f>
        <v>10.464576395766922</v>
      </c>
      <c r="I18" s="133">
        <f>IF(SER_hh_fech!I18=0,0,SER_hh_fech!I18/SER_summary!I$26)</f>
        <v>9.9043844345069036</v>
      </c>
      <c r="J18" s="133">
        <f>IF(SER_hh_fech!J18=0,0,SER_hh_fech!J18/SER_summary!J$26)</f>
        <v>9.43422065904862</v>
      </c>
      <c r="K18" s="133">
        <f>IF(SER_hh_fech!K18=0,0,SER_hh_fech!K18/SER_summary!K$26)</f>
        <v>9.3000757342731166</v>
      </c>
      <c r="L18" s="133">
        <f>IF(SER_hh_fech!L18=0,0,SER_hh_fech!L18/SER_summary!L$26)</f>
        <v>9.7730404870631435</v>
      </c>
      <c r="M18" s="133">
        <f>IF(SER_hh_fech!M18=0,0,SER_hh_fech!M18/SER_summary!M$26)</f>
        <v>8.9842407172285661</v>
      </c>
      <c r="N18" s="133">
        <f>IF(SER_hh_fech!N18=0,0,SER_hh_fech!N18/SER_summary!N$26)</f>
        <v>8.6628487365530766</v>
      </c>
      <c r="O18" s="133">
        <f>IF(SER_hh_fech!O18=0,0,SER_hh_fech!O18/SER_summary!O$26)</f>
        <v>8.4212288813627598</v>
      </c>
      <c r="P18" s="133">
        <f>IF(SER_hh_fech!P18=0,0,SER_hh_fech!P18/SER_summary!P$26)</f>
        <v>8.1901291443903865</v>
      </c>
      <c r="Q18" s="133">
        <f>IF(SER_hh_fech!Q18=0,0,SER_hh_fech!Q18/SER_summary!Q$26)</f>
        <v>7.805591494875193</v>
      </c>
      <c r="R18" s="133">
        <f>IF(SER_hh_fech!R18=0,0,SER_hh_fech!R18/SER_summary!R$26)</f>
        <v>7.6994269798438433</v>
      </c>
      <c r="S18" s="133">
        <f>IF(SER_hh_fech!S18=0,0,SER_hh_fech!S18/SER_summary!S$26)</f>
        <v>7.4454523782266717</v>
      </c>
      <c r="T18" s="133">
        <f>IF(SER_hh_fech!T18=0,0,SER_hh_fech!T18/SER_summary!T$26)</f>
        <v>7.211457132867606</v>
      </c>
      <c r="U18" s="133">
        <f>IF(SER_hh_fech!U18=0,0,SER_hh_fech!U18/SER_summary!U$26)</f>
        <v>7.0743421341520234</v>
      </c>
      <c r="V18" s="133">
        <f>IF(SER_hh_fech!V18=0,0,SER_hh_fech!V18/SER_summary!V$26)</f>
        <v>6.908255435146792</v>
      </c>
      <c r="W18" s="133">
        <f>IF(SER_hh_fech!W18=0,0,SER_hh_fech!W18/SER_summary!W$26)</f>
        <v>6.5997772138369406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24.936316403417504</v>
      </c>
      <c r="C19" s="131">
        <f>IF(SER_hh_fech!C19=0,0,SER_hh_fech!C19/SER_summary!C$26)</f>
        <v>24.831685312632928</v>
      </c>
      <c r="D19" s="131">
        <f>IF(SER_hh_fech!D19=0,0,SER_hh_fech!D19/SER_summary!D$26)</f>
        <v>24.590044845606929</v>
      </c>
      <c r="E19" s="131">
        <f>IF(SER_hh_fech!E19=0,0,SER_hh_fech!E19/SER_summary!E$26)</f>
        <v>24.552206734721704</v>
      </c>
      <c r="F19" s="131">
        <f>IF(SER_hh_fech!F19=0,0,SER_hh_fech!F19/SER_summary!F$26)</f>
        <v>24.257907582248915</v>
      </c>
      <c r="G19" s="131">
        <f>IF(SER_hh_fech!G19=0,0,SER_hh_fech!G19/SER_summary!G$26)</f>
        <v>24.256280085250374</v>
      </c>
      <c r="H19" s="131">
        <f>IF(SER_hh_fech!H19=0,0,SER_hh_fech!H19/SER_summary!H$26)</f>
        <v>23.986623660465266</v>
      </c>
      <c r="I19" s="131">
        <f>IF(SER_hh_fech!I19=0,0,SER_hh_fech!I19/SER_summary!I$26)</f>
        <v>23.713669517983767</v>
      </c>
      <c r="J19" s="131">
        <f>IF(SER_hh_fech!J19=0,0,SER_hh_fech!J19/SER_summary!J$26)</f>
        <v>23.6037482553503</v>
      </c>
      <c r="K19" s="131">
        <f>IF(SER_hh_fech!K19=0,0,SER_hh_fech!K19/SER_summary!K$26)</f>
        <v>23.524648535091387</v>
      </c>
      <c r="L19" s="131">
        <f>IF(SER_hh_fech!L19=0,0,SER_hh_fech!L19/SER_summary!L$26)</f>
        <v>23.696591040648087</v>
      </c>
      <c r="M19" s="131">
        <f>IF(SER_hh_fech!M19=0,0,SER_hh_fech!M19/SER_summary!M$26)</f>
        <v>23.676390559710391</v>
      </c>
      <c r="N19" s="131">
        <f>IF(SER_hh_fech!N19=0,0,SER_hh_fech!N19/SER_summary!N$26)</f>
        <v>23.743915512535981</v>
      </c>
      <c r="O19" s="131">
        <f>IF(SER_hh_fech!O19=0,0,SER_hh_fech!O19/SER_summary!O$26)</f>
        <v>23.645121779041794</v>
      </c>
      <c r="P19" s="131">
        <f>IF(SER_hh_fech!P19=0,0,SER_hh_fech!P19/SER_summary!P$26)</f>
        <v>23.793745012972909</v>
      </c>
      <c r="Q19" s="131">
        <f>IF(SER_hh_fech!Q19=0,0,SER_hh_fech!Q19/SER_summary!Q$26)</f>
        <v>23.796868083465085</v>
      </c>
      <c r="R19" s="131">
        <f>IF(SER_hh_fech!R19=0,0,SER_hh_fech!R19/SER_summary!R$26)</f>
        <v>23.655373306936632</v>
      </c>
      <c r="S19" s="131">
        <f>IF(SER_hh_fech!S19=0,0,SER_hh_fech!S19/SER_summary!S$26)</f>
        <v>23.300363732100596</v>
      </c>
      <c r="T19" s="131">
        <f>IF(SER_hh_fech!T19=0,0,SER_hh_fech!T19/SER_summary!T$26)</f>
        <v>23.116520006385727</v>
      </c>
      <c r="U19" s="131">
        <f>IF(SER_hh_fech!U19=0,0,SER_hh_fech!U19/SER_summary!U$26)</f>
        <v>22.769155929522263</v>
      </c>
      <c r="V19" s="131">
        <f>IF(SER_hh_fech!V19=0,0,SER_hh_fech!V19/SER_summary!V$26)</f>
        <v>20.436709389703161</v>
      </c>
      <c r="W19" s="131">
        <f>IF(SER_hh_fech!W19=0,0,SER_hh_fech!W19/SER_summary!W$26)</f>
        <v>22.72346353977343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33.049316319650551</v>
      </c>
      <c r="C22" s="133">
        <f>IF(SER_hh_fech!C22=0,0,SER_hh_fech!C22/SER_summary!C$26)</f>
        <v>32.834316095415865</v>
      </c>
      <c r="D22" s="133">
        <f>IF(SER_hh_fech!D22=0,0,SER_hh_fech!D22/SER_summary!D$26)</f>
        <v>33.08841214517247</v>
      </c>
      <c r="E22" s="133">
        <f>IF(SER_hh_fech!E22=0,0,SER_hh_fech!E22/SER_summary!E$26)</f>
        <v>32.964574830146674</v>
      </c>
      <c r="F22" s="133">
        <f>IF(SER_hh_fech!F22=0,0,SER_hh_fech!F22/SER_summary!F$26)</f>
        <v>32.5894407189584</v>
      </c>
      <c r="G22" s="133">
        <f>IF(SER_hh_fech!G22=0,0,SER_hh_fech!G22/SER_summary!G$26)</f>
        <v>32.180401187199045</v>
      </c>
      <c r="H22" s="133">
        <f>IF(SER_hh_fech!H22=0,0,SER_hh_fech!H22/SER_summary!H$26)</f>
        <v>32.37158839763741</v>
      </c>
      <c r="I22" s="133">
        <f>IF(SER_hh_fech!I22=0,0,SER_hh_fech!I22/SER_summary!I$26)</f>
        <v>32.050194352659481</v>
      </c>
      <c r="J22" s="133">
        <f>IF(SER_hh_fech!J22=0,0,SER_hh_fech!J22/SER_summary!J$26)</f>
        <v>31.494809917361081</v>
      </c>
      <c r="K22" s="133">
        <f>IF(SER_hh_fech!K22=0,0,SER_hh_fech!K22/SER_summary!K$26)</f>
        <v>30.850711203850487</v>
      </c>
      <c r="L22" s="133">
        <f>IF(SER_hh_fech!L22=0,0,SER_hh_fech!L22/SER_summary!L$26)</f>
        <v>32.435843143238664</v>
      </c>
      <c r="M22" s="133">
        <f>IF(SER_hh_fech!M22=0,0,SER_hh_fech!M22/SER_summary!M$26)</f>
        <v>32.208717624229962</v>
      </c>
      <c r="N22" s="133">
        <f>IF(SER_hh_fech!N22=0,0,SER_hh_fech!N22/SER_summary!N$26)</f>
        <v>31.554937689887986</v>
      </c>
      <c r="O22" s="133">
        <f>IF(SER_hh_fech!O22=0,0,SER_hh_fech!O22/SER_summary!O$26)</f>
        <v>31.686734214269375</v>
      </c>
      <c r="P22" s="133">
        <f>IF(SER_hh_fech!P22=0,0,SER_hh_fech!P22/SER_summary!P$26)</f>
        <v>31.147942435370719</v>
      </c>
      <c r="Q22" s="133">
        <f>IF(SER_hh_fech!Q22=0,0,SER_hh_fech!Q22/SER_summary!Q$26)</f>
        <v>31.388361447814852</v>
      </c>
      <c r="R22" s="133">
        <f>IF(SER_hh_fech!R22=0,0,SER_hh_fech!R22/SER_summary!R$26)</f>
        <v>32.704393577964488</v>
      </c>
      <c r="S22" s="133">
        <f>IF(SER_hh_fech!S22=0,0,SER_hh_fech!S22/SER_summary!S$26)</f>
        <v>30.941561001059913</v>
      </c>
      <c r="T22" s="133">
        <f>IF(SER_hh_fech!T22=0,0,SER_hh_fech!T22/SER_summary!T$26)</f>
        <v>29.12082120415398</v>
      </c>
      <c r="U22" s="133">
        <f>IF(SER_hh_fech!U22=0,0,SER_hh_fech!U22/SER_summary!U$26)</f>
        <v>29.151696036591485</v>
      </c>
      <c r="V22" s="133">
        <f>IF(SER_hh_fech!V22=0,0,SER_hh_fech!V22/SER_summary!V$26)</f>
        <v>26.073493257707678</v>
      </c>
      <c r="W22" s="133">
        <f>IF(SER_hh_fech!W22=0,0,SER_hh_fech!W22/SER_summary!W$26)</f>
        <v>28.982608719901567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32.446023910729615</v>
      </c>
      <c r="C23" s="133">
        <f>IF(SER_hh_fech!C23=0,0,SER_hh_fech!C23/SER_summary!C$26)</f>
        <v>32.117846754849886</v>
      </c>
      <c r="D23" s="133">
        <f>IF(SER_hh_fech!D23=0,0,SER_hh_fech!D23/SER_summary!D$26)</f>
        <v>31.710574774305254</v>
      </c>
      <c r="E23" s="133">
        <f>IF(SER_hh_fech!E23=0,0,SER_hh_fech!E23/SER_summary!E$26)</f>
        <v>31.215137934586359</v>
      </c>
      <c r="F23" s="133">
        <f>IF(SER_hh_fech!F23=0,0,SER_hh_fech!F23/SER_summary!F$26)</f>
        <v>31.304412665176272</v>
      </c>
      <c r="G23" s="133">
        <f>IF(SER_hh_fech!G23=0,0,SER_hh_fech!G23/SER_summary!G$26)</f>
        <v>31.356418122446797</v>
      </c>
      <c r="H23" s="133">
        <f>IF(SER_hh_fech!H23=0,0,SER_hh_fech!H23/SER_summary!H$26)</f>
        <v>30.027397426902002</v>
      </c>
      <c r="I23" s="133">
        <f>IF(SER_hh_fech!I23=0,0,SER_hh_fech!I23/SER_summary!I$26)</f>
        <v>29.906111624098198</v>
      </c>
      <c r="J23" s="133">
        <f>IF(SER_hh_fech!J23=0,0,SER_hh_fech!J23/SER_summary!J$26)</f>
        <v>30.009050559751046</v>
      </c>
      <c r="K23" s="133">
        <f>IF(SER_hh_fech!K23=0,0,SER_hh_fech!K23/SER_summary!K$26)</f>
        <v>29.385975903687026</v>
      </c>
      <c r="L23" s="133">
        <f>IF(SER_hh_fech!L23=0,0,SER_hh_fech!L23/SER_summary!L$26)</f>
        <v>28.683590578178283</v>
      </c>
      <c r="M23" s="133">
        <f>IF(SER_hh_fech!M23=0,0,SER_hh_fech!M23/SER_summary!M$26)</f>
        <v>28.709496794773532</v>
      </c>
      <c r="N23" s="133">
        <f>IF(SER_hh_fech!N23=0,0,SER_hh_fech!N23/SER_summary!N$26)</f>
        <v>28.458113655931697</v>
      </c>
      <c r="O23" s="133">
        <f>IF(SER_hh_fech!O23=0,0,SER_hh_fech!O23/SER_summary!O$26)</f>
        <v>28.080462969728497</v>
      </c>
      <c r="P23" s="133">
        <f>IF(SER_hh_fech!P23=0,0,SER_hh_fech!P23/SER_summary!P$26)</f>
        <v>27.870178552936846</v>
      </c>
      <c r="Q23" s="133">
        <f>IF(SER_hh_fech!Q23=0,0,SER_hh_fech!Q23/SER_summary!Q$26)</f>
        <v>27.433013989255478</v>
      </c>
      <c r="R23" s="133">
        <f>IF(SER_hh_fech!R23=0,0,SER_hh_fech!R23/SER_summary!R$26)</f>
        <v>26.332250810789056</v>
      </c>
      <c r="S23" s="133">
        <f>IF(SER_hh_fech!S23=0,0,SER_hh_fech!S23/SER_summary!S$26)</f>
        <v>29.604028447134191</v>
      </c>
      <c r="T23" s="133">
        <f>IF(SER_hh_fech!T23=0,0,SER_hh_fech!T23/SER_summary!T$26)</f>
        <v>25.472609065326811</v>
      </c>
      <c r="U23" s="133">
        <f>IF(SER_hh_fech!U23=0,0,SER_hh_fech!U23/SER_summary!U$26)</f>
        <v>23.710235888890242</v>
      </c>
      <c r="V23" s="133">
        <f>IF(SER_hh_fech!V23=0,0,SER_hh_fech!V23/SER_summary!V$26)</f>
        <v>22.225501551355148</v>
      </c>
      <c r="W23" s="133">
        <f>IF(SER_hh_fech!W23=0,0,SER_hh_fech!W23/SER_summary!W$26)</f>
        <v>26.625344308040386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33.774149656230918</v>
      </c>
      <c r="C24" s="133">
        <f>IF(SER_hh_fech!C24=0,0,SER_hh_fech!C24/SER_summary!C$26)</f>
        <v>37.076239254815697</v>
      </c>
      <c r="D24" s="133">
        <f>IF(SER_hh_fech!D24=0,0,SER_hh_fech!D24/SER_summary!D$26)</f>
        <v>35.190678579944056</v>
      </c>
      <c r="E24" s="133">
        <f>IF(SER_hh_fech!E24=0,0,SER_hh_fech!E24/SER_summary!E$26)</f>
        <v>33.348370931612543</v>
      </c>
      <c r="F24" s="133">
        <f>IF(SER_hh_fech!F24=0,0,SER_hh_fech!F24/SER_summary!F$26)</f>
        <v>32.628168956807407</v>
      </c>
      <c r="G24" s="133">
        <f>IF(SER_hh_fech!G24=0,0,SER_hh_fech!G24/SER_summary!G$26)</f>
        <v>31.525570921970768</v>
      </c>
      <c r="H24" s="133">
        <f>IF(SER_hh_fech!H24=0,0,SER_hh_fech!H24/SER_summary!H$26)</f>
        <v>30.733701821208228</v>
      </c>
      <c r="I24" s="133">
        <f>IF(SER_hh_fech!I24=0,0,SER_hh_fech!I24/SER_summary!I$26)</f>
        <v>29.569130441966585</v>
      </c>
      <c r="J24" s="133">
        <f>IF(SER_hh_fech!J24=0,0,SER_hh_fech!J24/SER_summary!J$26)</f>
        <v>30.291228641088203</v>
      </c>
      <c r="K24" s="133">
        <f>IF(SER_hh_fech!K24=0,0,SER_hh_fech!K24/SER_summary!K$26)</f>
        <v>28.189250815347513</v>
      </c>
      <c r="L24" s="133">
        <f>IF(SER_hh_fech!L24=0,0,SER_hh_fech!L24/SER_summary!L$26)</f>
        <v>27.99308943164927</v>
      </c>
      <c r="M24" s="133">
        <f>IF(SER_hh_fech!M24=0,0,SER_hh_fech!M24/SER_summary!M$26)</f>
        <v>27.895153780071123</v>
      </c>
      <c r="N24" s="133">
        <f>IF(SER_hh_fech!N24=0,0,SER_hh_fech!N24/SER_summary!N$26)</f>
        <v>27.253998827644992</v>
      </c>
      <c r="O24" s="133">
        <f>IF(SER_hh_fech!O24=0,0,SER_hh_fech!O24/SER_summary!O$26)</f>
        <v>26.442792894048658</v>
      </c>
      <c r="P24" s="133">
        <f>IF(SER_hh_fech!P24=0,0,SER_hh_fech!P24/SER_summary!P$26)</f>
        <v>26.048785859718912</v>
      </c>
      <c r="Q24" s="133">
        <f>IF(SER_hh_fech!Q24=0,0,SER_hh_fech!Q24/SER_summary!Q$26)</f>
        <v>25.035137063662379</v>
      </c>
      <c r="R24" s="133">
        <f>IF(SER_hh_fech!R24=0,0,SER_hh_fech!R24/SER_summary!R$26)</f>
        <v>26.939876941089601</v>
      </c>
      <c r="S24" s="133">
        <f>IF(SER_hh_fech!S24=0,0,SER_hh_fech!S24/SER_summary!S$26)</f>
        <v>25.546864325653775</v>
      </c>
      <c r="T24" s="133">
        <f>IF(SER_hh_fech!T24=0,0,SER_hh_fech!T24/SER_summary!T$26)</f>
        <v>25.104043467752849</v>
      </c>
      <c r="U24" s="133">
        <f>IF(SER_hh_fech!U24=0,0,SER_hh_fech!U24/SER_summary!U$26)</f>
        <v>24.49353304285038</v>
      </c>
      <c r="V24" s="133">
        <f>IF(SER_hh_fech!V24=0,0,SER_hh_fech!V24/SER_summary!V$26)</f>
        <v>21.519510444688908</v>
      </c>
      <c r="W24" s="133">
        <f>IF(SER_hh_fech!W24=0,0,SER_hh_fech!W24/SER_summary!W$26)</f>
        <v>25.286187482589622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21.63944697910852</v>
      </c>
      <c r="C25" s="133">
        <f>IF(SER_hh_fech!C25=0,0,SER_hh_fech!C25/SER_summary!C$26)</f>
        <v>21.748727005286742</v>
      </c>
      <c r="D25" s="133">
        <f>IF(SER_hh_fech!D25=0,0,SER_hh_fech!D25/SER_summary!D$26)</f>
        <v>21.435650963210787</v>
      </c>
      <c r="E25" s="133">
        <f>IF(SER_hh_fech!E25=0,0,SER_hh_fech!E25/SER_summary!E$26)</f>
        <v>21.493492612705765</v>
      </c>
      <c r="F25" s="133">
        <f>IF(SER_hh_fech!F25=0,0,SER_hh_fech!F25/SER_summary!F$26)</f>
        <v>21.201094021045225</v>
      </c>
      <c r="G25" s="133">
        <f>IF(SER_hh_fech!G25=0,0,SER_hh_fech!G25/SER_summary!G$26)</f>
        <v>21.267467377202227</v>
      </c>
      <c r="H25" s="133">
        <f>IF(SER_hh_fech!H25=0,0,SER_hh_fech!H25/SER_summary!H$26)</f>
        <v>21.156753946228012</v>
      </c>
      <c r="I25" s="133">
        <f>IF(SER_hh_fech!I25=0,0,SER_hh_fech!I25/SER_summary!I$26)</f>
        <v>21.157091036130794</v>
      </c>
      <c r="J25" s="133">
        <f>IF(SER_hh_fech!J25=0,0,SER_hh_fech!J25/SER_summary!J$26)</f>
        <v>20.923557182722128</v>
      </c>
      <c r="K25" s="133">
        <f>IF(SER_hh_fech!K25=0,0,SER_hh_fech!K25/SER_summary!K$26)</f>
        <v>21.009404908437642</v>
      </c>
      <c r="L25" s="133">
        <f>IF(SER_hh_fech!L25=0,0,SER_hh_fech!L25/SER_summary!L$26)</f>
        <v>20.963597719327662</v>
      </c>
      <c r="M25" s="133">
        <f>IF(SER_hh_fech!M25=0,0,SER_hh_fech!M25/SER_summary!M$26)</f>
        <v>20.989110191142789</v>
      </c>
      <c r="N25" s="133">
        <f>IF(SER_hh_fech!N25=0,0,SER_hh_fech!N25/SER_summary!N$26)</f>
        <v>21.136678000176385</v>
      </c>
      <c r="O25" s="133">
        <f>IF(SER_hh_fech!O25=0,0,SER_hh_fech!O25/SER_summary!O$26)</f>
        <v>21.275835777519497</v>
      </c>
      <c r="P25" s="133">
        <f>IF(SER_hh_fech!P25=0,0,SER_hh_fech!P25/SER_summary!P$26)</f>
        <v>21.394515316120959</v>
      </c>
      <c r="Q25" s="133">
        <f>IF(SER_hh_fech!Q25=0,0,SER_hh_fech!Q25/SER_summary!Q$26)</f>
        <v>21.382894321396428</v>
      </c>
      <c r="R25" s="133">
        <f>IF(SER_hh_fech!R25=0,0,SER_hh_fech!R25/SER_summary!R$26)</f>
        <v>21.555729417932792</v>
      </c>
      <c r="S25" s="133">
        <f>IF(SER_hh_fech!S25=0,0,SER_hh_fech!S25/SER_summary!S$26)</f>
        <v>21.314274095316154</v>
      </c>
      <c r="T25" s="133">
        <f>IF(SER_hh_fech!T25=0,0,SER_hh_fech!T25/SER_summary!T$26)</f>
        <v>21.664118107843571</v>
      </c>
      <c r="U25" s="133">
        <f>IF(SER_hh_fech!U25=0,0,SER_hh_fech!U25/SER_summary!U$26)</f>
        <v>20.861029826610935</v>
      </c>
      <c r="V25" s="133">
        <f>IF(SER_hh_fech!V25=0,0,SER_hh_fech!V25/SER_summary!V$26)</f>
        <v>18.925792042268785</v>
      </c>
      <c r="W25" s="133">
        <f>IF(SER_hh_fech!W25=0,0,SER_hh_fech!W25/SER_summary!W$26)</f>
        <v>22.544196474119076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26.669107055281302</v>
      </c>
      <c r="C26" s="65">
        <f>IF(SER_hh_fech!C26=0,0,SER_hh_fech!C26/SER_summary!C$26)</f>
        <v>26.174504336435177</v>
      </c>
      <c r="D26" s="65">
        <f>IF(SER_hh_fech!D26=0,0,SER_hh_fech!D26/SER_summary!D$26)</f>
        <v>26.019099009024522</v>
      </c>
      <c r="E26" s="65">
        <f>IF(SER_hh_fech!E26=0,0,SER_hh_fech!E26/SER_summary!E$26)</f>
        <v>26.021648211548552</v>
      </c>
      <c r="F26" s="65">
        <f>IF(SER_hh_fech!F26=0,0,SER_hh_fech!F26/SER_summary!F$26)</f>
        <v>25.843720331088708</v>
      </c>
      <c r="G26" s="65">
        <f>IF(SER_hh_fech!G26=0,0,SER_hh_fech!G26/SER_summary!G$26)</f>
        <v>26.021647596717564</v>
      </c>
      <c r="H26" s="65">
        <f>IF(SER_hh_fech!H26=0,0,SER_hh_fech!H26/SER_summary!H$26)</f>
        <v>25.606242608049609</v>
      </c>
      <c r="I26" s="65">
        <f>IF(SER_hh_fech!I26=0,0,SER_hh_fech!I26/SER_summary!I$26)</f>
        <v>25.079589636554715</v>
      </c>
      <c r="J26" s="65">
        <f>IF(SER_hh_fech!J26=0,0,SER_hh_fech!J26/SER_summary!J$26)</f>
        <v>25.202630710304479</v>
      </c>
      <c r="K26" s="65">
        <f>IF(SER_hh_fech!K26=0,0,SER_hh_fech!K26/SER_summary!K$26)</f>
        <v>25.123715455072531</v>
      </c>
      <c r="L26" s="65">
        <f>IF(SER_hh_fech!L26=0,0,SER_hh_fech!L26/SER_summary!L$26)</f>
        <v>25.215436064098284</v>
      </c>
      <c r="M26" s="65">
        <f>IF(SER_hh_fech!M26=0,0,SER_hh_fech!M26/SER_summary!M$26)</f>
        <v>25.086867889752337</v>
      </c>
      <c r="N26" s="65">
        <f>IF(SER_hh_fech!N26=0,0,SER_hh_fech!N26/SER_summary!N$26)</f>
        <v>25.240445262770915</v>
      </c>
      <c r="O26" s="65">
        <f>IF(SER_hh_fech!O26=0,0,SER_hh_fech!O26/SER_summary!O$26)</f>
        <v>24.777807851078531</v>
      </c>
      <c r="P26" s="65">
        <f>IF(SER_hh_fech!P26=0,0,SER_hh_fech!P26/SER_summary!P$26)</f>
        <v>25.201280742706547</v>
      </c>
      <c r="Q26" s="65">
        <f>IF(SER_hh_fech!Q26=0,0,SER_hh_fech!Q26/SER_summary!Q$26)</f>
        <v>25.272293676191357</v>
      </c>
      <c r="R26" s="65">
        <f>IF(SER_hh_fech!R26=0,0,SER_hh_fech!R26/SER_summary!R$26)</f>
        <v>24.255438157994252</v>
      </c>
      <c r="S26" s="65">
        <f>IF(SER_hh_fech!S26=0,0,SER_hh_fech!S26/SER_summary!S$26)</f>
        <v>24.143181213895371</v>
      </c>
      <c r="T26" s="65">
        <f>IF(SER_hh_fech!T26=0,0,SER_hh_fech!T26/SER_summary!T$26)</f>
        <v>23.761927009368421</v>
      </c>
      <c r="U26" s="65">
        <f>IF(SER_hh_fech!U26=0,0,SER_hh_fech!U26/SER_summary!U$26)</f>
        <v>24.030088428260047</v>
      </c>
      <c r="V26" s="65">
        <f>IF(SER_hh_fech!V26=0,0,SER_hh_fech!V26/SER_summary!V$26)</f>
        <v>21.339021080575048</v>
      </c>
      <c r="W26" s="65">
        <f>IF(SER_hh_fech!W26=0,0,SER_hh_fech!W26/SER_summary!W$26)</f>
        <v>21.62764057393073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22.175623183351927</v>
      </c>
      <c r="C29" s="131">
        <f>IF(SER_hh_fech!C29=0,0,SER_hh_fech!C29/SER_summary!C$26)</f>
        <v>21.553489935129882</v>
      </c>
      <c r="D29" s="131">
        <f>IF(SER_hh_fech!D29=0,0,SER_hh_fech!D29/SER_summary!D$26)</f>
        <v>21.048797990179033</v>
      </c>
      <c r="E29" s="131">
        <f>IF(SER_hh_fech!E29=0,0,SER_hh_fech!E29/SER_summary!E$26)</f>
        <v>20.705624471465814</v>
      </c>
      <c r="F29" s="131">
        <f>IF(SER_hh_fech!F29=0,0,SER_hh_fech!F29/SER_summary!F$26)</f>
        <v>20.575542526089048</v>
      </c>
      <c r="G29" s="131">
        <f>IF(SER_hh_fech!G29=0,0,SER_hh_fech!G29/SER_summary!G$26)</f>
        <v>20.251417694077027</v>
      </c>
      <c r="H29" s="131">
        <f>IF(SER_hh_fech!H29=0,0,SER_hh_fech!H29/SER_summary!H$26)</f>
        <v>20.212915377671642</v>
      </c>
      <c r="I29" s="131">
        <f>IF(SER_hh_fech!I29=0,0,SER_hh_fech!I29/SER_summary!I$26)</f>
        <v>19.790586268625706</v>
      </c>
      <c r="J29" s="131">
        <f>IF(SER_hh_fech!J29=0,0,SER_hh_fech!J29/SER_summary!J$26)</f>
        <v>19.505252089982694</v>
      </c>
      <c r="K29" s="131">
        <f>IF(SER_hh_fech!K29=0,0,SER_hh_fech!K29/SER_summary!K$26)</f>
        <v>19.499454597859078</v>
      </c>
      <c r="L29" s="131">
        <f>IF(SER_hh_fech!L29=0,0,SER_hh_fech!L29/SER_summary!L$26)</f>
        <v>19.174670358461714</v>
      </c>
      <c r="M29" s="131">
        <f>IF(SER_hh_fech!M29=0,0,SER_hh_fech!M29/SER_summary!M$26)</f>
        <v>19.295818615791216</v>
      </c>
      <c r="N29" s="131">
        <f>IF(SER_hh_fech!N29=0,0,SER_hh_fech!N29/SER_summary!N$26)</f>
        <v>19.162765377854971</v>
      </c>
      <c r="O29" s="131">
        <f>IF(SER_hh_fech!O29=0,0,SER_hh_fech!O29/SER_summary!O$26)</f>
        <v>18.918028451904753</v>
      </c>
      <c r="P29" s="131">
        <f>IF(SER_hh_fech!P29=0,0,SER_hh_fech!P29/SER_summary!P$26)</f>
        <v>19.041551579350458</v>
      </c>
      <c r="Q29" s="131">
        <f>IF(SER_hh_fech!Q29=0,0,SER_hh_fech!Q29/SER_summary!Q$26)</f>
        <v>19.176467179175756</v>
      </c>
      <c r="R29" s="131">
        <f>IF(SER_hh_fech!R29=0,0,SER_hh_fech!R29/SER_summary!R$26)</f>
        <v>19.570096344788734</v>
      </c>
      <c r="S29" s="131">
        <f>IF(SER_hh_fech!S29=0,0,SER_hh_fech!S29/SER_summary!S$26)</f>
        <v>19.368664375127704</v>
      </c>
      <c r="T29" s="131">
        <f>IF(SER_hh_fech!T29=0,0,SER_hh_fech!T29/SER_summary!T$26)</f>
        <v>19.1849361967672</v>
      </c>
      <c r="U29" s="131">
        <f>IF(SER_hh_fech!U29=0,0,SER_hh_fech!U29/SER_summary!U$26)</f>
        <v>19.529225601417821</v>
      </c>
      <c r="V29" s="131">
        <f>IF(SER_hh_fech!V29=0,0,SER_hh_fech!V29/SER_summary!V$26)</f>
        <v>17.716869046434859</v>
      </c>
      <c r="W29" s="131">
        <f>IF(SER_hh_fech!W29=0,0,SER_hh_fech!W29/SER_summary!W$26)</f>
        <v>19.570270188019862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0</v>
      </c>
      <c r="M30" s="133">
        <f>IF(SER_hh_fech!M30=0,0,SER_hh_fech!M30/SER_summary!M$26)</f>
        <v>0</v>
      </c>
      <c r="N30" s="133">
        <f>IF(SER_hh_fech!N30=0,0,SER_hh_fech!N30/SER_summary!N$26)</f>
        <v>0</v>
      </c>
      <c r="O30" s="133">
        <f>IF(SER_hh_fech!O30=0,0,SER_hh_fech!O30/SER_summary!O$26)</f>
        <v>0</v>
      </c>
      <c r="P30" s="133">
        <f>IF(SER_hh_fech!P30=0,0,SER_hh_fech!P30/SER_summary!P$26)</f>
        <v>0</v>
      </c>
      <c r="Q30" s="133">
        <f>IF(SER_hh_fech!Q30=0,0,SER_hh_fech!Q30/SER_summary!Q$26)</f>
        <v>0</v>
      </c>
      <c r="R30" s="133">
        <f>IF(SER_hh_fech!R30=0,0,SER_hh_fech!R30/SER_summary!R$26)</f>
        <v>0</v>
      </c>
      <c r="S30" s="133">
        <f>IF(SER_hh_fech!S30=0,0,SER_hh_fech!S30/SER_summary!S$26)</f>
        <v>0</v>
      </c>
      <c r="T30" s="133">
        <f>IF(SER_hh_fech!T30=0,0,SER_hh_fech!T30/SER_summary!T$26)</f>
        <v>0</v>
      </c>
      <c r="U30" s="133">
        <f>IF(SER_hh_fech!U30=0,0,SER_hh_fech!U30/SER_summary!U$26)</f>
        <v>0</v>
      </c>
      <c r="V30" s="133">
        <f>IF(SER_hh_fech!V30=0,0,SER_hh_fech!V30/SER_summary!V$26)</f>
        <v>0</v>
      </c>
      <c r="W30" s="133">
        <f>IF(SER_hh_fech!W30=0,0,SER_hh_fech!W30/SER_summary!W$26)</f>
        <v>0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28.451947040976641</v>
      </c>
      <c r="C31" s="133">
        <f>IF(SER_hh_fech!C31=0,0,SER_hh_fech!C31/SER_summary!C$26)</f>
        <v>27.818507205810469</v>
      </c>
      <c r="D31" s="133">
        <f>IF(SER_hh_fech!D31=0,0,SER_hh_fech!D31/SER_summary!D$26)</f>
        <v>27.409419703219509</v>
      </c>
      <c r="E31" s="133">
        <f>IF(SER_hh_fech!E31=0,0,SER_hh_fech!E31/SER_summary!E$26)</f>
        <v>26.940138870358215</v>
      </c>
      <c r="F31" s="133">
        <f>IF(SER_hh_fech!F31=0,0,SER_hh_fech!F31/SER_summary!F$26)</f>
        <v>26.838465663395876</v>
      </c>
      <c r="G31" s="133">
        <f>IF(SER_hh_fech!G31=0,0,SER_hh_fech!G31/SER_summary!G$26)</f>
        <v>26.542743208333498</v>
      </c>
      <c r="H31" s="133">
        <f>IF(SER_hh_fech!H31=0,0,SER_hh_fech!H31/SER_summary!H$26)</f>
        <v>26.255804196361424</v>
      </c>
      <c r="I31" s="133">
        <f>IF(SER_hh_fech!I31=0,0,SER_hh_fech!I31/SER_summary!I$26)</f>
        <v>26.004169966719882</v>
      </c>
      <c r="J31" s="133">
        <f>IF(SER_hh_fech!J31=0,0,SER_hh_fech!J31/SER_summary!J$26)</f>
        <v>26.157158288785784</v>
      </c>
      <c r="K31" s="133">
        <f>IF(SER_hh_fech!K31=0,0,SER_hh_fech!K31/SER_summary!K$26)</f>
        <v>25.471274249021558</v>
      </c>
      <c r="L31" s="133">
        <f>IF(SER_hh_fech!L31=0,0,SER_hh_fech!L31/SER_summary!L$26)</f>
        <v>25.2116007182942</v>
      </c>
      <c r="M31" s="133">
        <f>IF(SER_hh_fech!M31=0,0,SER_hh_fech!M31/SER_summary!M$26)</f>
        <v>24.618566778190093</v>
      </c>
      <c r="N31" s="133">
        <f>IF(SER_hh_fech!N31=0,0,SER_hh_fech!N31/SER_summary!N$26)</f>
        <v>24.864384551226504</v>
      </c>
      <c r="O31" s="133">
        <f>IF(SER_hh_fech!O31=0,0,SER_hh_fech!O31/SER_summary!O$26)</f>
        <v>25.350122839789233</v>
      </c>
      <c r="P31" s="133">
        <f>IF(SER_hh_fech!P31=0,0,SER_hh_fech!P31/SER_summary!P$26)</f>
        <v>25.067756427760362</v>
      </c>
      <c r="Q31" s="133">
        <f>IF(SER_hh_fech!Q31=0,0,SER_hh_fech!Q31/SER_summary!Q$26)</f>
        <v>25.186450195404426</v>
      </c>
      <c r="R31" s="133">
        <f>IF(SER_hh_fech!R31=0,0,SER_hh_fech!R31/SER_summary!R$26)</f>
        <v>24.881990843679574</v>
      </c>
      <c r="S31" s="133">
        <f>IF(SER_hh_fech!S31=0,0,SER_hh_fech!S31/SER_summary!S$26)</f>
        <v>28.104859469658724</v>
      </c>
      <c r="T31" s="133">
        <f>IF(SER_hh_fech!T31=0,0,SER_hh_fech!T31/SER_summary!T$26)</f>
        <v>25.366240015630865</v>
      </c>
      <c r="U31" s="133">
        <f>IF(SER_hh_fech!U31=0,0,SER_hh_fech!U31/SER_summary!U$26)</f>
        <v>24.483214393483678</v>
      </c>
      <c r="V31" s="133">
        <f>IF(SER_hh_fech!V31=0,0,SER_hh_fech!V31/SER_summary!V$26)</f>
        <v>23.521216627937367</v>
      </c>
      <c r="W31" s="133">
        <f>IF(SER_hh_fech!W31=0,0,SER_hh_fech!W31/SER_summary!W$26)</f>
        <v>31.89892333157562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22.037551689706515</v>
      </c>
      <c r="C33" s="68">
        <f>IF(SER_hh_fech!C33=0,0,SER_hh_fech!C33/SER_summary!C$26)</f>
        <v>21.413705679927343</v>
      </c>
      <c r="D33" s="68">
        <f>IF(SER_hh_fech!D33=0,0,SER_hh_fech!D33/SER_summary!D$26)</f>
        <v>20.902569419992695</v>
      </c>
      <c r="E33" s="68">
        <f>IF(SER_hh_fech!E33=0,0,SER_hh_fech!E33/SER_summary!E$26)</f>
        <v>20.558504896913668</v>
      </c>
      <c r="F33" s="68">
        <f>IF(SER_hh_fech!F33=0,0,SER_hh_fech!F33/SER_summary!F$26)</f>
        <v>20.425819889857287</v>
      </c>
      <c r="G33" s="68">
        <f>IF(SER_hh_fech!G33=0,0,SER_hh_fech!G33/SER_summary!G$26)</f>
        <v>20.099884181392735</v>
      </c>
      <c r="H33" s="68">
        <f>IF(SER_hh_fech!H33=0,0,SER_hh_fech!H33/SER_summary!H$26)</f>
        <v>20.068375058256031</v>
      </c>
      <c r="I33" s="68">
        <f>IF(SER_hh_fech!I33=0,0,SER_hh_fech!I33/SER_summary!I$26)</f>
        <v>19.644350030344317</v>
      </c>
      <c r="J33" s="68">
        <f>IF(SER_hh_fech!J33=0,0,SER_hh_fech!J33/SER_summary!J$26)</f>
        <v>19.352620528781486</v>
      </c>
      <c r="K33" s="68">
        <f>IF(SER_hh_fech!K33=0,0,SER_hh_fech!K33/SER_summary!K$26)</f>
        <v>19.369206346072815</v>
      </c>
      <c r="L33" s="68">
        <f>IF(SER_hh_fech!L33=0,0,SER_hh_fech!L33/SER_summary!L$26)</f>
        <v>19.050711596612828</v>
      </c>
      <c r="M33" s="68">
        <f>IF(SER_hh_fech!M33=0,0,SER_hh_fech!M33/SER_summary!M$26)</f>
        <v>19.193100932451294</v>
      </c>
      <c r="N33" s="68">
        <f>IF(SER_hh_fech!N33=0,0,SER_hh_fech!N33/SER_summary!N$26)</f>
        <v>19.056974042252481</v>
      </c>
      <c r="O33" s="68">
        <f>IF(SER_hh_fech!O33=0,0,SER_hh_fech!O33/SER_summary!O$26)</f>
        <v>18.802130608646298</v>
      </c>
      <c r="P33" s="68">
        <f>IF(SER_hh_fech!P33=0,0,SER_hh_fech!P33/SER_summary!P$26)</f>
        <v>18.937394799359542</v>
      </c>
      <c r="Q33" s="68">
        <f>IF(SER_hh_fech!Q33=0,0,SER_hh_fech!Q33/SER_summary!Q$26)</f>
        <v>19.075829286604989</v>
      </c>
      <c r="R33" s="68">
        <f>IF(SER_hh_fech!R33=0,0,SER_hh_fech!R33/SER_summary!R$26)</f>
        <v>19.484720641077153</v>
      </c>
      <c r="S33" s="68">
        <f>IF(SER_hh_fech!S33=0,0,SER_hh_fech!S33/SER_summary!S$26)</f>
        <v>19.231013592625366</v>
      </c>
      <c r="T33" s="68">
        <f>IF(SER_hh_fech!T33=0,0,SER_hh_fech!T33/SER_summary!T$26)</f>
        <v>19.094139833515115</v>
      </c>
      <c r="U33" s="68">
        <f>IF(SER_hh_fech!U33=0,0,SER_hh_fech!U33/SER_summary!U$26)</f>
        <v>19.458868313477193</v>
      </c>
      <c r="V33" s="68">
        <f>IF(SER_hh_fech!V33=0,0,SER_hh_fech!V33/SER_summary!V$26)</f>
        <v>17.634057017288832</v>
      </c>
      <c r="W33" s="68">
        <f>IF(SER_hh_fech!W33=0,0,SER_hh_fech!W33/SER_summary!W$26)</f>
        <v>19.399991909616311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157.92773101827419</v>
      </c>
      <c r="C3" s="126">
        <f>IF(SER_hh_tesh!C3=0,0,SER_hh_tesh!C3/SER_summary!C$26)</f>
        <v>172.29032803378402</v>
      </c>
      <c r="D3" s="126">
        <f>IF(SER_hh_tesh!D3=0,0,SER_hh_tesh!D3/SER_summary!D$26)</f>
        <v>175.75318257995428</v>
      </c>
      <c r="E3" s="126">
        <f>IF(SER_hh_tesh!E3=0,0,SER_hh_tesh!E3/SER_summary!E$26)</f>
        <v>174.80928182849146</v>
      </c>
      <c r="F3" s="126">
        <f>IF(SER_hh_tesh!F3=0,0,SER_hh_tesh!F3/SER_summary!F$26)</f>
        <v>171.99217618062642</v>
      </c>
      <c r="G3" s="126">
        <f>IF(SER_hh_tesh!G3=0,0,SER_hh_tesh!G3/SER_summary!G$26)</f>
        <v>168.44397405017131</v>
      </c>
      <c r="H3" s="126">
        <f>IF(SER_hh_tesh!H3=0,0,SER_hh_tesh!H3/SER_summary!H$26)</f>
        <v>170.2233103320834</v>
      </c>
      <c r="I3" s="126">
        <f>IF(SER_hh_tesh!I3=0,0,SER_hh_tesh!I3/SER_summary!I$26)</f>
        <v>179.07981486328646</v>
      </c>
      <c r="J3" s="126">
        <f>IF(SER_hh_tesh!J3=0,0,SER_hh_tesh!J3/SER_summary!J$26)</f>
        <v>176.29908692056378</v>
      </c>
      <c r="K3" s="126">
        <f>IF(SER_hh_tesh!K3=0,0,SER_hh_tesh!K3/SER_summary!K$26)</f>
        <v>194.95387900403063</v>
      </c>
      <c r="L3" s="126">
        <f>IF(SER_hh_tesh!L3=0,0,SER_hh_tesh!L3/SER_summary!L$26)</f>
        <v>208.23438201233191</v>
      </c>
      <c r="M3" s="126">
        <f>IF(SER_hh_tesh!M3=0,0,SER_hh_tesh!M3/SER_summary!M$26)</f>
        <v>183.17528237471251</v>
      </c>
      <c r="N3" s="126">
        <f>IF(SER_hh_tesh!N3=0,0,SER_hh_tesh!N3/SER_summary!N$26)</f>
        <v>198.56957701046215</v>
      </c>
      <c r="O3" s="126">
        <f>IF(SER_hh_tesh!O3=0,0,SER_hh_tesh!O3/SER_summary!O$26)</f>
        <v>188.32650410668293</v>
      </c>
      <c r="P3" s="126">
        <f>IF(SER_hh_tesh!P3=0,0,SER_hh_tesh!P3/SER_summary!P$26)</f>
        <v>195.28031790637647</v>
      </c>
      <c r="Q3" s="126">
        <f>IF(SER_hh_tesh!Q3=0,0,SER_hh_tesh!Q3/SER_summary!Q$26)</f>
        <v>181.98387829471173</v>
      </c>
      <c r="R3" s="126">
        <f>IF(SER_hh_tesh!R3=0,0,SER_hh_tesh!R3/SER_summary!R$26)</f>
        <v>194.65026554062644</v>
      </c>
      <c r="S3" s="126">
        <f>IF(SER_hh_tesh!S3=0,0,SER_hh_tesh!S3/SER_summary!S$26)</f>
        <v>191.75750086062564</v>
      </c>
      <c r="T3" s="126">
        <f>IF(SER_hh_tesh!T3=0,0,SER_hh_tesh!T3/SER_summary!T$26)</f>
        <v>198.2753134996299</v>
      </c>
      <c r="U3" s="126">
        <f>IF(SER_hh_tesh!U3=0,0,SER_hh_tesh!U3/SER_summary!U$26)</f>
        <v>192.07680781194125</v>
      </c>
      <c r="V3" s="126">
        <f>IF(SER_hh_tesh!V3=0,0,SER_hh_tesh!V3/SER_summary!V$26)</f>
        <v>175.42942845342876</v>
      </c>
      <c r="W3" s="126">
        <f>IF(SER_hh_tesh!W3=0,0,SER_hh_tesh!W3/SER_summary!W$26)</f>
        <v>201.83348968175767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122.47326651736523</v>
      </c>
      <c r="C4" s="131">
        <f>IF(SER_hh_tesh!C4=0,0,SER_hh_tesh!C4/SER_summary!C$26)</f>
        <v>137.11527289086604</v>
      </c>
      <c r="D4" s="131">
        <f>IF(SER_hh_tesh!D4=0,0,SER_hh_tesh!D4/SER_summary!D$26)</f>
        <v>140.79954673080729</v>
      </c>
      <c r="E4" s="131">
        <f>IF(SER_hh_tesh!E4=0,0,SER_hh_tesh!E4/SER_summary!E$26)</f>
        <v>139.63984876045654</v>
      </c>
      <c r="F4" s="131">
        <f>IF(SER_hh_tesh!F4=0,0,SER_hh_tesh!F4/SER_summary!F$26)</f>
        <v>136.89068664416985</v>
      </c>
      <c r="G4" s="131">
        <f>IF(SER_hh_tesh!G4=0,0,SER_hh_tesh!G4/SER_summary!G$26)</f>
        <v>133.07225872348016</v>
      </c>
      <c r="H4" s="131">
        <f>IF(SER_hh_tesh!H4=0,0,SER_hh_tesh!H4/SER_summary!H$26)</f>
        <v>134.58761942798435</v>
      </c>
      <c r="I4" s="131">
        <f>IF(SER_hh_tesh!I4=0,0,SER_hh_tesh!I4/SER_summary!I$26)</f>
        <v>143.33919271538375</v>
      </c>
      <c r="J4" s="131">
        <f>IF(SER_hh_tesh!J4=0,0,SER_hh_tesh!J4/SER_summary!J$26)</f>
        <v>140.21736686677718</v>
      </c>
      <c r="K4" s="131">
        <f>IF(SER_hh_tesh!K4=0,0,SER_hh_tesh!K4/SER_summary!K$26)</f>
        <v>158.48614036411965</v>
      </c>
      <c r="L4" s="131">
        <f>IF(SER_hh_tesh!L4=0,0,SER_hh_tesh!L4/SER_summary!L$26)</f>
        <v>171.19207678189599</v>
      </c>
      <c r="M4" s="131">
        <f>IF(SER_hh_tesh!M4=0,0,SER_hh_tesh!M4/SER_summary!M$26)</f>
        <v>146.11766654663742</v>
      </c>
      <c r="N4" s="131">
        <f>IF(SER_hh_tesh!N4=0,0,SER_hh_tesh!N4/SER_summary!N$26)</f>
        <v>161.36045119911057</v>
      </c>
      <c r="O4" s="131">
        <f>IF(SER_hh_tesh!O4=0,0,SER_hh_tesh!O4/SER_summary!O$26)</f>
        <v>151.00568987080837</v>
      </c>
      <c r="P4" s="131">
        <f>IF(SER_hh_tesh!P4=0,0,SER_hh_tesh!P4/SER_summary!P$26)</f>
        <v>157.35431476388473</v>
      </c>
      <c r="Q4" s="131">
        <f>IF(SER_hh_tesh!Q4=0,0,SER_hh_tesh!Q4/SER_summary!Q$26)</f>
        <v>143.64326579675426</v>
      </c>
      <c r="R4" s="131">
        <f>IF(SER_hh_tesh!R4=0,0,SER_hh_tesh!R4/SER_summary!R$26)</f>
        <v>155.63343965445193</v>
      </c>
      <c r="S4" s="131">
        <f>IF(SER_hh_tesh!S4=0,0,SER_hh_tesh!S4/SER_summary!S$26)</f>
        <v>152.79075177637398</v>
      </c>
      <c r="T4" s="131">
        <f>IF(SER_hh_tesh!T4=0,0,SER_hh_tesh!T4/SER_summary!T$26)</f>
        <v>159.13006269772922</v>
      </c>
      <c r="U4" s="131">
        <f>IF(SER_hh_tesh!U4=0,0,SER_hh_tesh!U4/SER_summary!U$26)</f>
        <v>152.43377373409436</v>
      </c>
      <c r="V4" s="131">
        <f>IF(SER_hh_tesh!V4=0,0,SER_hh_tesh!V4/SER_summary!V$26)</f>
        <v>138.564317733705</v>
      </c>
      <c r="W4" s="131">
        <f>IF(SER_hh_tesh!W4=0,0,SER_hh_tesh!W4/SER_summary!W$26)</f>
        <v>161.27778537039006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124.64089142224208</v>
      </c>
      <c r="C5" s="133">
        <f>IF(SER_hh_tesh!C5=0,0,SER_hh_tesh!C5/SER_summary!C$26)</f>
        <v>133.6207651512282</v>
      </c>
      <c r="D5" s="133">
        <f>IF(SER_hh_tesh!D5=0,0,SER_hh_tesh!D5/SER_summary!D$26)</f>
        <v>136.41884410022351</v>
      </c>
      <c r="E5" s="133">
        <f>IF(SER_hh_tesh!E5=0,0,SER_hh_tesh!E5/SER_summary!E$26)</f>
        <v>139.2622630950593</v>
      </c>
      <c r="F5" s="133">
        <f>IF(SER_hh_tesh!F5=0,0,SER_hh_tesh!F5/SER_summary!F$26)</f>
        <v>133.84497758856725</v>
      </c>
      <c r="G5" s="133">
        <f>IF(SER_hh_tesh!G5=0,0,SER_hh_tesh!G5/SER_summary!G$26)</f>
        <v>132.28119186053314</v>
      </c>
      <c r="H5" s="133">
        <f>IF(SER_hh_tesh!H5=0,0,SER_hh_tesh!H5/SER_summary!H$26)</f>
        <v>140.09077022559103</v>
      </c>
      <c r="I5" s="133">
        <f>IF(SER_hh_tesh!I5=0,0,SER_hh_tesh!I5/SER_summary!I$26)</f>
        <v>118.72433261656965</v>
      </c>
      <c r="J5" s="133">
        <f>IF(SER_hh_tesh!J5=0,0,SER_hh_tesh!J5/SER_summary!J$26)</f>
        <v>144.10251372257491</v>
      </c>
      <c r="K5" s="133">
        <f>IF(SER_hh_tesh!K5=0,0,SER_hh_tesh!K5/SER_summary!K$26)</f>
        <v>158.91870441440648</v>
      </c>
      <c r="L5" s="133">
        <f>IF(SER_hh_tesh!L5=0,0,SER_hh_tesh!L5/SER_summary!L$26)</f>
        <v>173.43484578106001</v>
      </c>
      <c r="M5" s="133">
        <f>IF(SER_hh_tesh!M5=0,0,SER_hh_tesh!M5/SER_summary!M$26)</f>
        <v>141.0730329819647</v>
      </c>
      <c r="N5" s="133">
        <f>IF(SER_hh_tesh!N5=0,0,SER_hh_tesh!N5/SER_summary!N$26)</f>
        <v>163.73033517164441</v>
      </c>
      <c r="O5" s="133">
        <f>IF(SER_hh_tesh!O5=0,0,SER_hh_tesh!O5/SER_summary!O$26)</f>
        <v>150.80648362710377</v>
      </c>
      <c r="P5" s="133">
        <f>IF(SER_hh_tesh!P5=0,0,SER_hh_tesh!P5/SER_summary!P$26)</f>
        <v>155.73157572533862</v>
      </c>
      <c r="Q5" s="133">
        <f>IF(SER_hh_tesh!Q5=0,0,SER_hh_tesh!Q5/SER_summary!Q$26)</f>
        <v>141.07577391298182</v>
      </c>
      <c r="R5" s="133">
        <f>IF(SER_hh_tesh!R5=0,0,SER_hh_tesh!R5/SER_summary!R$26)</f>
        <v>154.30558477757756</v>
      </c>
      <c r="S5" s="133">
        <f>IF(SER_hh_tesh!S5=0,0,SER_hh_tesh!S5/SER_summary!S$26)</f>
        <v>152.00619333202866</v>
      </c>
      <c r="T5" s="133">
        <f>IF(SER_hh_tesh!T5=0,0,SER_hh_tesh!T5/SER_summary!T$26)</f>
        <v>154.1947205876709</v>
      </c>
      <c r="U5" s="133">
        <f>IF(SER_hh_tesh!U5=0,0,SER_hh_tesh!U5/SER_summary!U$26)</f>
        <v>158.70467502635086</v>
      </c>
      <c r="V5" s="133">
        <f>IF(SER_hh_tesh!V5=0,0,SER_hh_tesh!V5/SER_summary!V$26)</f>
        <v>143.5202097046292</v>
      </c>
      <c r="W5" s="133">
        <f>IF(SER_hh_tesh!W5=0,0,SER_hh_tesh!W5/SER_summary!W$26)</f>
        <v>158.25111978285588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122.79244070157685</v>
      </c>
      <c r="C7" s="133">
        <f>IF(SER_hh_tesh!C7=0,0,SER_hh_tesh!C7/SER_summary!C$26)</f>
        <v>133.53412243806727</v>
      </c>
      <c r="D7" s="133">
        <f>IF(SER_hh_tesh!D7=0,0,SER_hh_tesh!D7/SER_summary!D$26)</f>
        <v>135.47643021020554</v>
      </c>
      <c r="E7" s="133">
        <f>IF(SER_hh_tesh!E7=0,0,SER_hh_tesh!E7/SER_summary!E$26)</f>
        <v>136.79156263909618</v>
      </c>
      <c r="F7" s="133">
        <f>IF(SER_hh_tesh!F7=0,0,SER_hh_tesh!F7/SER_summary!F$26)</f>
        <v>135.02467555565397</v>
      </c>
      <c r="G7" s="133">
        <f>IF(SER_hh_tesh!G7=0,0,SER_hh_tesh!G7/SER_summary!G$26)</f>
        <v>131.80081601291798</v>
      </c>
      <c r="H7" s="133">
        <f>IF(SER_hh_tesh!H7=0,0,SER_hh_tesh!H7/SER_summary!H$26)</f>
        <v>137.66281674823026</v>
      </c>
      <c r="I7" s="133">
        <f>IF(SER_hh_tesh!I7=0,0,SER_hh_tesh!I7/SER_summary!I$26)</f>
        <v>142.95379069354232</v>
      </c>
      <c r="J7" s="133">
        <f>IF(SER_hh_tesh!J7=0,0,SER_hh_tesh!J7/SER_summary!J$26)</f>
        <v>126.10121872909592</v>
      </c>
      <c r="K7" s="133">
        <f>IF(SER_hh_tesh!K7=0,0,SER_hh_tesh!K7/SER_summary!K$26)</f>
        <v>146.28157025273742</v>
      </c>
      <c r="L7" s="133">
        <f>IF(SER_hh_tesh!L7=0,0,SER_hh_tesh!L7/SER_summary!L$26)</f>
        <v>173.47999589928133</v>
      </c>
      <c r="M7" s="133">
        <f>IF(SER_hh_tesh!M7=0,0,SER_hh_tesh!M7/SER_summary!M$26)</f>
        <v>145.07254438055409</v>
      </c>
      <c r="N7" s="133">
        <f>IF(SER_hh_tesh!N7=0,0,SER_hh_tesh!N7/SER_summary!N$26)</f>
        <v>162.16670386883106</v>
      </c>
      <c r="O7" s="133">
        <f>IF(SER_hh_tesh!O7=0,0,SER_hh_tesh!O7/SER_summary!O$26)</f>
        <v>149.75124217454064</v>
      </c>
      <c r="P7" s="133">
        <f>IF(SER_hh_tesh!P7=0,0,SER_hh_tesh!P7/SER_summary!P$26)</f>
        <v>151.68440147252875</v>
      </c>
      <c r="Q7" s="133">
        <f>IF(SER_hh_tesh!Q7=0,0,SER_hh_tesh!Q7/SER_summary!Q$26)</f>
        <v>139.03558121270407</v>
      </c>
      <c r="R7" s="133">
        <f>IF(SER_hh_tesh!R7=0,0,SER_hh_tesh!R7/SER_summary!R$26)</f>
        <v>153.55629679814123</v>
      </c>
      <c r="S7" s="133">
        <f>IF(SER_hh_tesh!S7=0,0,SER_hh_tesh!S7/SER_summary!S$26)</f>
        <v>152.54782195613532</v>
      </c>
      <c r="T7" s="133">
        <f>IF(SER_hh_tesh!T7=0,0,SER_hh_tesh!T7/SER_summary!T$26)</f>
        <v>153.17318515056675</v>
      </c>
      <c r="U7" s="133">
        <f>IF(SER_hh_tesh!U7=0,0,SER_hh_tesh!U7/SER_summary!U$26)</f>
        <v>151.06775510704543</v>
      </c>
      <c r="V7" s="133">
        <f>IF(SER_hh_tesh!V7=0,0,SER_hh_tesh!V7/SER_summary!V$26)</f>
        <v>136.19202789227916</v>
      </c>
      <c r="W7" s="133">
        <f>IF(SER_hh_tesh!W7=0,0,SER_hh_tesh!W7/SER_summary!W$26)</f>
        <v>160.14304750039389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135.48591102656727</v>
      </c>
      <c r="C9" s="133">
        <f>IF(SER_hh_tesh!C9=0,0,SER_hh_tesh!C9/SER_summary!C$26)</f>
        <v>125.46133947034433</v>
      </c>
      <c r="D9" s="133">
        <f>IF(SER_hh_tesh!D9=0,0,SER_hh_tesh!D9/SER_summary!D$26)</f>
        <v>139.20660097497853</v>
      </c>
      <c r="E9" s="133">
        <f>IF(SER_hh_tesh!E9=0,0,SER_hh_tesh!E9/SER_summary!E$26)</f>
        <v>135.40452617383684</v>
      </c>
      <c r="F9" s="133">
        <f>IF(SER_hh_tesh!F9=0,0,SER_hh_tesh!F9/SER_summary!F$26)</f>
        <v>141.10276905013959</v>
      </c>
      <c r="G9" s="133">
        <f>IF(SER_hh_tesh!G9=0,0,SER_hh_tesh!G9/SER_summary!G$26)</f>
        <v>137.80379486217566</v>
      </c>
      <c r="H9" s="133">
        <f>IF(SER_hh_tesh!H9=0,0,SER_hh_tesh!H9/SER_summary!H$26)</f>
        <v>134.05614956103611</v>
      </c>
      <c r="I9" s="133">
        <f>IF(SER_hh_tesh!I9=0,0,SER_hh_tesh!I9/SER_summary!I$26)</f>
        <v>137.86276489980125</v>
      </c>
      <c r="J9" s="133">
        <f>IF(SER_hh_tesh!J9=0,0,SER_hh_tesh!J9/SER_summary!J$26)</f>
        <v>140.84630018477327</v>
      </c>
      <c r="K9" s="133">
        <f>IF(SER_hh_tesh!K9=0,0,SER_hh_tesh!K9/SER_summary!K$26)</f>
        <v>140.77301705485633</v>
      </c>
      <c r="L9" s="133">
        <f>IF(SER_hh_tesh!L9=0,0,SER_hh_tesh!L9/SER_summary!L$26)</f>
        <v>152.28017587670362</v>
      </c>
      <c r="M9" s="133">
        <f>IF(SER_hh_tesh!M9=0,0,SER_hh_tesh!M9/SER_summary!M$26)</f>
        <v>198.50453302246191</v>
      </c>
      <c r="N9" s="133">
        <f>IF(SER_hh_tesh!N9=0,0,SER_hh_tesh!N9/SER_summary!N$26)</f>
        <v>216.91530128894175</v>
      </c>
      <c r="O9" s="133">
        <f>IF(SER_hh_tesh!O9=0,0,SER_hh_tesh!O9/SER_summary!O$26)</f>
        <v>180.29023335763165</v>
      </c>
      <c r="P9" s="133">
        <f>IF(SER_hh_tesh!P9=0,0,SER_hh_tesh!P9/SER_summary!P$26)</f>
        <v>156.38337845811819</v>
      </c>
      <c r="Q9" s="133">
        <f>IF(SER_hh_tesh!Q9=0,0,SER_hh_tesh!Q9/SER_summary!Q$26)</f>
        <v>137.80641624112536</v>
      </c>
      <c r="R9" s="133">
        <f>IF(SER_hh_tesh!R9=0,0,SER_hh_tesh!R9/SER_summary!R$26)</f>
        <v>135.6573979462984</v>
      </c>
      <c r="S9" s="133">
        <f>IF(SER_hh_tesh!S9=0,0,SER_hh_tesh!S9/SER_summary!S$26)</f>
        <v>164.77451519829668</v>
      </c>
      <c r="T9" s="133">
        <f>IF(SER_hh_tesh!T9=0,0,SER_hh_tesh!T9/SER_summary!T$26)</f>
        <v>153.89958803664646</v>
      </c>
      <c r="U9" s="133">
        <f>IF(SER_hh_tesh!U9=0,0,SER_hh_tesh!U9/SER_summary!U$26)</f>
        <v>148.73382775430878</v>
      </c>
      <c r="V9" s="133">
        <f>IF(SER_hh_tesh!V9=0,0,SER_hh_tesh!V9/SER_summary!V$26)</f>
        <v>133.7708559399212</v>
      </c>
      <c r="W9" s="133">
        <f>IF(SER_hh_tesh!W9=0,0,SER_hh_tesh!W9/SER_summary!W$26)</f>
        <v>163.13900837471283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120.23908120772641</v>
      </c>
      <c r="C10" s="133">
        <f>IF(SER_hh_tesh!C10=0,0,SER_hh_tesh!C10/SER_summary!C$26)</f>
        <v>135.81645035278635</v>
      </c>
      <c r="D10" s="133">
        <f>IF(SER_hh_tesh!D10=0,0,SER_hh_tesh!D10/SER_summary!D$26)</f>
        <v>138.55738545720234</v>
      </c>
      <c r="E10" s="133">
        <f>IF(SER_hh_tesh!E10=0,0,SER_hh_tesh!E10/SER_summary!E$26)</f>
        <v>138.47605680222964</v>
      </c>
      <c r="F10" s="133">
        <f>IF(SER_hh_tesh!F10=0,0,SER_hh_tesh!F10/SER_summary!F$26)</f>
        <v>134.9913654216208</v>
      </c>
      <c r="G10" s="133">
        <f>IF(SER_hh_tesh!G10=0,0,SER_hh_tesh!G10/SER_summary!G$26)</f>
        <v>133.09596079546159</v>
      </c>
      <c r="H10" s="133">
        <f>IF(SER_hh_tesh!H10=0,0,SER_hh_tesh!H10/SER_summary!H$26)</f>
        <v>135.97250220434111</v>
      </c>
      <c r="I10" s="133">
        <f>IF(SER_hh_tesh!I10=0,0,SER_hh_tesh!I10/SER_summary!I$26)</f>
        <v>135.49569671575847</v>
      </c>
      <c r="J10" s="133">
        <f>IF(SER_hh_tesh!J10=0,0,SER_hh_tesh!J10/SER_summary!J$26)</f>
        <v>143.94034427578521</v>
      </c>
      <c r="K10" s="133">
        <f>IF(SER_hh_tesh!K10=0,0,SER_hh_tesh!K10/SER_summary!K$26)</f>
        <v>154.63534921456412</v>
      </c>
      <c r="L10" s="133">
        <f>IF(SER_hh_tesh!L10=0,0,SER_hh_tesh!L10/SER_summary!L$26)</f>
        <v>170.45444736824956</v>
      </c>
      <c r="M10" s="133">
        <f>IF(SER_hh_tesh!M10=0,0,SER_hh_tesh!M10/SER_summary!M$26)</f>
        <v>145.97288710602999</v>
      </c>
      <c r="N10" s="133">
        <f>IF(SER_hh_tesh!N10=0,0,SER_hh_tesh!N10/SER_summary!N$26)</f>
        <v>162.1014784259618</v>
      </c>
      <c r="O10" s="133">
        <f>IF(SER_hh_tesh!O10=0,0,SER_hh_tesh!O10/SER_summary!O$26)</f>
        <v>150.03791907889644</v>
      </c>
      <c r="P10" s="133">
        <f>IF(SER_hh_tesh!P10=0,0,SER_hh_tesh!P10/SER_summary!P$26)</f>
        <v>154.83373612707885</v>
      </c>
      <c r="Q10" s="133">
        <f>IF(SER_hh_tesh!Q10=0,0,SER_hh_tesh!Q10/SER_summary!Q$26)</f>
        <v>140.36011870722754</v>
      </c>
      <c r="R10" s="133">
        <f>IF(SER_hh_tesh!R10=0,0,SER_hh_tesh!R10/SER_summary!R$26)</f>
        <v>154.68040189187343</v>
      </c>
      <c r="S10" s="133">
        <f>IF(SER_hh_tesh!S10=0,0,SER_hh_tesh!S10/SER_summary!S$26)</f>
        <v>153.67007466881464</v>
      </c>
      <c r="T10" s="133">
        <f>IF(SER_hh_tesh!T10=0,0,SER_hh_tesh!T10/SER_summary!T$26)</f>
        <v>156.52615203720481</v>
      </c>
      <c r="U10" s="133">
        <f>IF(SER_hh_tesh!U10=0,0,SER_hh_tesh!U10/SER_summary!U$26)</f>
        <v>151.63114024221167</v>
      </c>
      <c r="V10" s="133">
        <f>IF(SER_hh_tesh!V10=0,0,SER_hh_tesh!V10/SER_summary!V$26)</f>
        <v>136.59541304048611</v>
      </c>
      <c r="W10" s="133">
        <f>IF(SER_hh_tesh!W10=0,0,SER_hh_tesh!W10/SER_summary!W$26)</f>
        <v>161.5069089256944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121.0961022251243</v>
      </c>
      <c r="C12" s="133">
        <f>IF(SER_hh_tesh!C12=0,0,SER_hh_tesh!C12/SER_summary!C$26)</f>
        <v>137.09070494630546</v>
      </c>
      <c r="D12" s="133">
        <f>IF(SER_hh_tesh!D12=0,0,SER_hh_tesh!D12/SER_summary!D$26)</f>
        <v>139.88503168924095</v>
      </c>
      <c r="E12" s="133">
        <f>IF(SER_hh_tesh!E12=0,0,SER_hh_tesh!E12/SER_summary!E$26)</f>
        <v>141.14089508308118</v>
      </c>
      <c r="F12" s="133">
        <f>IF(SER_hh_tesh!F12=0,0,SER_hh_tesh!F12/SER_summary!F$26)</f>
        <v>135.75931024845437</v>
      </c>
      <c r="G12" s="133">
        <f>IF(SER_hh_tesh!G12=0,0,SER_hh_tesh!G12/SER_summary!G$26)</f>
        <v>131.16181070929531</v>
      </c>
      <c r="H12" s="133">
        <f>IF(SER_hh_tesh!H12=0,0,SER_hh_tesh!H12/SER_summary!H$26)</f>
        <v>131.41255054078269</v>
      </c>
      <c r="I12" s="133">
        <f>IF(SER_hh_tesh!I12=0,0,SER_hh_tesh!I12/SER_summary!I$26)</f>
        <v>144.23463296194839</v>
      </c>
      <c r="J12" s="133">
        <f>IF(SER_hh_tesh!J12=0,0,SER_hh_tesh!J12/SER_summary!J$26)</f>
        <v>139.43706150272934</v>
      </c>
      <c r="K12" s="133">
        <f>IF(SER_hh_tesh!K12=0,0,SER_hh_tesh!K12/SER_summary!K$26)</f>
        <v>160.84537456963639</v>
      </c>
      <c r="L12" s="133">
        <f>IF(SER_hh_tesh!L12=0,0,SER_hh_tesh!L12/SER_summary!L$26)</f>
        <v>172.14427169194821</v>
      </c>
      <c r="M12" s="133">
        <f>IF(SER_hh_tesh!M12=0,0,SER_hh_tesh!M12/SER_summary!M$26)</f>
        <v>142.21128760195347</v>
      </c>
      <c r="N12" s="133">
        <f>IF(SER_hh_tesh!N12=0,0,SER_hh_tesh!N12/SER_summary!N$26)</f>
        <v>157.88965817308042</v>
      </c>
      <c r="O12" s="133">
        <f>IF(SER_hh_tesh!O12=0,0,SER_hh_tesh!O12/SER_summary!O$26)</f>
        <v>148.62383555354398</v>
      </c>
      <c r="P12" s="133">
        <f>IF(SER_hh_tesh!P12=0,0,SER_hh_tesh!P12/SER_summary!P$26)</f>
        <v>160.09588068667134</v>
      </c>
      <c r="Q12" s="133">
        <f>IF(SER_hh_tesh!Q12=0,0,SER_hh_tesh!Q12/SER_summary!Q$26)</f>
        <v>141.16380733022706</v>
      </c>
      <c r="R12" s="133">
        <f>IF(SER_hh_tesh!R12=0,0,SER_hh_tesh!R12/SER_summary!R$26)</f>
        <v>155.69158740965236</v>
      </c>
      <c r="S12" s="133">
        <f>IF(SER_hh_tesh!S12=0,0,SER_hh_tesh!S12/SER_summary!S$26)</f>
        <v>153.90516559520401</v>
      </c>
      <c r="T12" s="133">
        <f>IF(SER_hh_tesh!T12=0,0,SER_hh_tesh!T12/SER_summary!T$26)</f>
        <v>157.09620989019038</v>
      </c>
      <c r="U12" s="133">
        <f>IF(SER_hh_tesh!U12=0,0,SER_hh_tesh!U12/SER_summary!U$26)</f>
        <v>151.57836987584002</v>
      </c>
      <c r="V12" s="133">
        <f>IF(SER_hh_tesh!V12=0,0,SER_hh_tesh!V12/SER_summary!V$26)</f>
        <v>137.35335546986079</v>
      </c>
      <c r="W12" s="133">
        <f>IF(SER_hh_tesh!W12=0,0,SER_hh_tesh!W12/SER_summary!W$26)</f>
        <v>161.13079003573952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122.60857531992303</v>
      </c>
      <c r="C13" s="133">
        <f>IF(SER_hh_tesh!C13=0,0,SER_hh_tesh!C13/SER_summary!C$26)</f>
        <v>133.46555053024903</v>
      </c>
      <c r="D13" s="133">
        <f>IF(SER_hh_tesh!D13=0,0,SER_hh_tesh!D13/SER_summary!D$26)</f>
        <v>135.37816086155701</v>
      </c>
      <c r="E13" s="133">
        <f>IF(SER_hh_tesh!E13=0,0,SER_hh_tesh!E13/SER_summary!E$26)</f>
        <v>135.5382878426025</v>
      </c>
      <c r="F13" s="133">
        <f>IF(SER_hh_tesh!F13=0,0,SER_hh_tesh!F13/SER_summary!F$26)</f>
        <v>135.00056442048034</v>
      </c>
      <c r="G13" s="133">
        <f>IF(SER_hh_tesh!G13=0,0,SER_hh_tesh!G13/SER_summary!G$26)</f>
        <v>134.47171336382604</v>
      </c>
      <c r="H13" s="133">
        <f>IF(SER_hh_tesh!H13=0,0,SER_hh_tesh!H13/SER_summary!H$26)</f>
        <v>135.95937181091389</v>
      </c>
      <c r="I13" s="133">
        <f>IF(SER_hh_tesh!I13=0,0,SER_hh_tesh!I13/SER_summary!I$26)</f>
        <v>140.24748641121042</v>
      </c>
      <c r="J13" s="133">
        <f>IF(SER_hh_tesh!J13=0,0,SER_hh_tesh!J13/SER_summary!J$26)</f>
        <v>145.41887402798903</v>
      </c>
      <c r="K13" s="133">
        <f>IF(SER_hh_tesh!K13=0,0,SER_hh_tesh!K13/SER_summary!K$26)</f>
        <v>151.32797348693063</v>
      </c>
      <c r="L13" s="133">
        <f>IF(SER_hh_tesh!L13=0,0,SER_hh_tesh!L13/SER_summary!L$26)</f>
        <v>154.29693260735061</v>
      </c>
      <c r="M13" s="133">
        <f>IF(SER_hh_tesh!M13=0,0,SER_hh_tesh!M13/SER_summary!M$26)</f>
        <v>151.48858156652176</v>
      </c>
      <c r="N13" s="133">
        <f>IF(SER_hh_tesh!N13=0,0,SER_hh_tesh!N13/SER_summary!N$26)</f>
        <v>153.14447834399354</v>
      </c>
      <c r="O13" s="133">
        <f>IF(SER_hh_tesh!O13=0,0,SER_hh_tesh!O13/SER_summary!O$26)</f>
        <v>149.74209213268895</v>
      </c>
      <c r="P13" s="133">
        <f>IF(SER_hh_tesh!P13=0,0,SER_hh_tesh!P13/SER_summary!P$26)</f>
        <v>149.60018380351363</v>
      </c>
      <c r="Q13" s="133">
        <f>IF(SER_hh_tesh!Q13=0,0,SER_hh_tesh!Q13/SER_summary!Q$26)</f>
        <v>154.97869258006858</v>
      </c>
      <c r="R13" s="133">
        <f>IF(SER_hh_tesh!R13=0,0,SER_hh_tesh!R13/SER_summary!R$26)</f>
        <v>151.88221027917979</v>
      </c>
      <c r="S13" s="133">
        <f>IF(SER_hh_tesh!S13=0,0,SER_hh_tesh!S13/SER_summary!S$26)</f>
        <v>151.4189200388891</v>
      </c>
      <c r="T13" s="133">
        <f>IF(SER_hh_tesh!T13=0,0,SER_hh_tesh!T13/SER_summary!T$26)</f>
        <v>155.59306695420594</v>
      </c>
      <c r="U13" s="133">
        <f>IF(SER_hh_tesh!U13=0,0,SER_hh_tesh!U13/SER_summary!U$26)</f>
        <v>150.18701117934438</v>
      </c>
      <c r="V13" s="133">
        <f>IF(SER_hh_tesh!V13=0,0,SER_hh_tesh!V13/SER_summary!V$26)</f>
        <v>137.6140868024377</v>
      </c>
      <c r="W13" s="133">
        <f>IF(SER_hh_tesh!W13=0,0,SER_hh_tesh!W13/SER_summary!W$26)</f>
        <v>168.98455795794624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121.80440589325951</v>
      </c>
      <c r="C14" s="65">
        <f>IF(SER_hh_tesh!C14=0,0,SER_hh_tesh!C14/SER_summary!C$26)</f>
        <v>136.86359406880632</v>
      </c>
      <c r="D14" s="65">
        <f>IF(SER_hh_tesh!D14=0,0,SER_hh_tesh!D14/SER_summary!D$26)</f>
        <v>142.76080110285022</v>
      </c>
      <c r="E14" s="65">
        <f>IF(SER_hh_tesh!E14=0,0,SER_hh_tesh!E14/SER_summary!E$26)</f>
        <v>135.62712833854332</v>
      </c>
      <c r="F14" s="65">
        <f>IF(SER_hh_tesh!F14=0,0,SER_hh_tesh!F14/SER_summary!F$26)</f>
        <v>137.30323102587261</v>
      </c>
      <c r="G14" s="65">
        <f>IF(SER_hh_tesh!G14=0,0,SER_hh_tesh!G14/SER_summary!G$26)</f>
        <v>134.5788134787044</v>
      </c>
      <c r="H14" s="65">
        <f>IF(SER_hh_tesh!H14=0,0,SER_hh_tesh!H14/SER_summary!H$26)</f>
        <v>137.03603452973863</v>
      </c>
      <c r="I14" s="65">
        <f>IF(SER_hh_tesh!I14=0,0,SER_hh_tesh!I14/SER_summary!I$26)</f>
        <v>140.22411317135973</v>
      </c>
      <c r="J14" s="65">
        <f>IF(SER_hh_tesh!J14=0,0,SER_hh_tesh!J14/SER_summary!J$26)</f>
        <v>144.02973095777816</v>
      </c>
      <c r="K14" s="65">
        <f>IF(SER_hh_tesh!K14=0,0,SER_hh_tesh!K14/SER_summary!K$26)</f>
        <v>156.51114259766695</v>
      </c>
      <c r="L14" s="65">
        <f>IF(SER_hh_tesh!L14=0,0,SER_hh_tesh!L14/SER_summary!L$26)</f>
        <v>167.15785829318219</v>
      </c>
      <c r="M14" s="65">
        <f>IF(SER_hh_tesh!M14=0,0,SER_hh_tesh!M14/SER_summary!M$26)</f>
        <v>149.29187940279854</v>
      </c>
      <c r="N14" s="65">
        <f>IF(SER_hh_tesh!N14=0,0,SER_hh_tesh!N14/SER_summary!N$26)</f>
        <v>163.10626241557949</v>
      </c>
      <c r="O14" s="65">
        <f>IF(SER_hh_tesh!O14=0,0,SER_hh_tesh!O14/SER_summary!O$26)</f>
        <v>152.49753173956785</v>
      </c>
      <c r="P14" s="65">
        <f>IF(SER_hh_tesh!P14=0,0,SER_hh_tesh!P14/SER_summary!P$26)</f>
        <v>151.61310074533179</v>
      </c>
      <c r="Q14" s="65">
        <f>IF(SER_hh_tesh!Q14=0,0,SER_hh_tesh!Q14/SER_summary!Q$26)</f>
        <v>148.08227642635154</v>
      </c>
      <c r="R14" s="65">
        <f>IF(SER_hh_tesh!R14=0,0,SER_hh_tesh!R14/SER_summary!R$26)</f>
        <v>155.75135408526182</v>
      </c>
      <c r="S14" s="65">
        <f>IF(SER_hh_tesh!S14=0,0,SER_hh_tesh!S14/SER_summary!S$26)</f>
        <v>146.22242231900012</v>
      </c>
      <c r="T14" s="65">
        <f>IF(SER_hh_tesh!T14=0,0,SER_hh_tesh!T14/SER_summary!T$26)</f>
        <v>165.49910643972314</v>
      </c>
      <c r="U14" s="65">
        <f>IF(SER_hh_tesh!U14=0,0,SER_hh_tesh!U14/SER_summary!U$26)</f>
        <v>153.13060925080907</v>
      </c>
      <c r="V14" s="65">
        <f>IF(SER_hh_tesh!V14=0,0,SER_hh_tesh!V14/SER_summary!V$26)</f>
        <v>141.08443137149828</v>
      </c>
      <c r="W14" s="65">
        <f>IF(SER_hh_tesh!W14=0,0,SER_hh_tesh!W14/SER_summary!W$26)</f>
        <v>155.93855404864541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1.0451286234659358</v>
      </c>
      <c r="C15" s="135">
        <f>IF(SER_hh_tesh!C15=0,0,SER_hh_tesh!C15/SER_summary!C$26)</f>
        <v>1.1077177198173627</v>
      </c>
      <c r="D15" s="135">
        <f>IF(SER_hh_tesh!D15=0,0,SER_hh_tesh!D15/SER_summary!D$26)</f>
        <v>1.096256621258785</v>
      </c>
      <c r="E15" s="135">
        <f>IF(SER_hh_tesh!E15=0,0,SER_hh_tesh!E15/SER_summary!E$26)</f>
        <v>1.0759951587727088</v>
      </c>
      <c r="F15" s="135">
        <f>IF(SER_hh_tesh!F15=0,0,SER_hh_tesh!F15/SER_summary!F$26)</f>
        <v>1.0289456671479538</v>
      </c>
      <c r="G15" s="135">
        <f>IF(SER_hh_tesh!G15=0,0,SER_hh_tesh!G15/SER_summary!G$26)</f>
        <v>0.97456099233545379</v>
      </c>
      <c r="H15" s="135">
        <f>IF(SER_hh_tesh!H15=0,0,SER_hh_tesh!H15/SER_summary!H$26)</f>
        <v>0.95646620019610051</v>
      </c>
      <c r="I15" s="135">
        <f>IF(SER_hh_tesh!I15=0,0,SER_hh_tesh!I15/SER_summary!I$26)</f>
        <v>0.96867414342588576</v>
      </c>
      <c r="J15" s="135">
        <f>IF(SER_hh_tesh!J15=0,0,SER_hh_tesh!J15/SER_summary!J$26)</f>
        <v>0.87711086561190987</v>
      </c>
      <c r="K15" s="135">
        <f>IF(SER_hh_tesh!K15=0,0,SER_hh_tesh!K15/SER_summary!K$26)</f>
        <v>0.98376858062444739</v>
      </c>
      <c r="L15" s="135">
        <f>IF(SER_hh_tesh!L15=0,0,SER_hh_tesh!L15/SER_summary!L$26)</f>
        <v>1.0934714755014414</v>
      </c>
      <c r="M15" s="135">
        <f>IF(SER_hh_tesh!M15=0,0,SER_hh_tesh!M15/SER_summary!M$26)</f>
        <v>0.93557487761534297</v>
      </c>
      <c r="N15" s="135">
        <f>IF(SER_hh_tesh!N15=0,0,SER_hh_tesh!N15/SER_summary!N$26)</f>
        <v>1.0391789614809499</v>
      </c>
      <c r="O15" s="135">
        <f>IF(SER_hh_tesh!O15=0,0,SER_hh_tesh!O15/SER_summary!O$26)</f>
        <v>0.9562380033041884</v>
      </c>
      <c r="P15" s="135">
        <f>IF(SER_hh_tesh!P15=0,0,SER_hh_tesh!P15/SER_summary!P$26)</f>
        <v>0.98123554768761023</v>
      </c>
      <c r="Q15" s="135">
        <f>IF(SER_hh_tesh!Q15=0,0,SER_hh_tesh!Q15/SER_summary!Q$26)</f>
        <v>0.87544109464680553</v>
      </c>
      <c r="R15" s="135">
        <f>IF(SER_hh_tesh!R15=0,0,SER_hh_tesh!R15/SER_summary!R$26)</f>
        <v>0.95830683248456638</v>
      </c>
      <c r="S15" s="135">
        <f>IF(SER_hh_tesh!S15=0,0,SER_hh_tesh!S15/SER_summary!S$26)</f>
        <v>0.96000749231144111</v>
      </c>
      <c r="T15" s="135">
        <f>IF(SER_hh_tesh!T15=0,0,SER_hh_tesh!T15/SER_summary!T$26)</f>
        <v>0.9681068220956095</v>
      </c>
      <c r="U15" s="135">
        <f>IF(SER_hh_tesh!U15=0,0,SER_hh_tesh!U15/SER_summary!U$26)</f>
        <v>0.94594632276059609</v>
      </c>
      <c r="V15" s="135">
        <f>IF(SER_hh_tesh!V15=0,0,SER_hh_tesh!V15/SER_summary!V$26)</f>
        <v>0.85819396017443539</v>
      </c>
      <c r="W15" s="135">
        <f>IF(SER_hh_tesh!W15=0,0,SER_hh_tesh!W15/SER_summary!W$26)</f>
        <v>1.0084351099400644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26.507894679066304</v>
      </c>
      <c r="C16" s="131">
        <f>IF(SER_hh_tesh!C16=0,0,SER_hh_tesh!C16/SER_summary!C$26)</f>
        <v>26.514644955493893</v>
      </c>
      <c r="D16" s="131">
        <f>IF(SER_hh_tesh!D16=0,0,SER_hh_tesh!D16/SER_summary!D$26)</f>
        <v>26.544620848039141</v>
      </c>
      <c r="E16" s="131">
        <f>IF(SER_hh_tesh!E16=0,0,SER_hh_tesh!E16/SER_summary!E$26)</f>
        <v>27.759751252494372</v>
      </c>
      <c r="F16" s="131">
        <f>IF(SER_hh_tesh!F16=0,0,SER_hh_tesh!F16/SER_summary!F$26)</f>
        <v>26.654888929291676</v>
      </c>
      <c r="G16" s="131">
        <f>IF(SER_hh_tesh!G16=0,0,SER_hh_tesh!G16/SER_summary!G$26)</f>
        <v>26.73620732146578</v>
      </c>
      <c r="H16" s="131">
        <f>IF(SER_hh_tesh!H16=0,0,SER_hh_tesh!H16/SER_summary!H$26)</f>
        <v>26.853624065291967</v>
      </c>
      <c r="I16" s="131">
        <f>IF(SER_hh_tesh!I16=0,0,SER_hh_tesh!I16/SER_summary!I$26)</f>
        <v>26.890516173084819</v>
      </c>
      <c r="J16" s="131">
        <f>IF(SER_hh_tesh!J16=0,0,SER_hh_tesh!J16/SER_summary!J$26)</f>
        <v>27.108070682103403</v>
      </c>
      <c r="K16" s="131">
        <f>IF(SER_hh_tesh!K16=0,0,SER_hh_tesh!K16/SER_summary!K$26)</f>
        <v>27.161996579690733</v>
      </c>
      <c r="L16" s="131">
        <f>IF(SER_hh_tesh!L16=0,0,SER_hh_tesh!L16/SER_summary!L$26)</f>
        <v>29.136827848119008</v>
      </c>
      <c r="M16" s="131">
        <f>IF(SER_hh_tesh!M16=0,0,SER_hh_tesh!M16/SER_summary!M$26)</f>
        <v>27.548871440315018</v>
      </c>
      <c r="N16" s="131">
        <f>IF(SER_hh_tesh!N16=0,0,SER_hh_tesh!N16/SER_summary!N$26)</f>
        <v>27.342002072429292</v>
      </c>
      <c r="O16" s="131">
        <f>IF(SER_hh_tesh!O16=0,0,SER_hh_tesh!O16/SER_summary!O$26)</f>
        <v>27.478701529271778</v>
      </c>
      <c r="P16" s="131">
        <f>IF(SER_hh_tesh!P16=0,0,SER_hh_tesh!P16/SER_summary!P$26)</f>
        <v>27.791809621235839</v>
      </c>
      <c r="Q16" s="131">
        <f>IF(SER_hh_tesh!Q16=0,0,SER_hh_tesh!Q16/SER_summary!Q$26)</f>
        <v>27.599136851330655</v>
      </c>
      <c r="R16" s="131">
        <f>IF(SER_hh_tesh!R16=0,0,SER_hh_tesh!R16/SER_summary!R$26)</f>
        <v>28.269080617993559</v>
      </c>
      <c r="S16" s="131">
        <f>IF(SER_hh_tesh!S16=0,0,SER_hh_tesh!S16/SER_summary!S$26)</f>
        <v>28.324856979360142</v>
      </c>
      <c r="T16" s="131">
        <f>IF(SER_hh_tesh!T16=0,0,SER_hh_tesh!T16/SER_summary!T$26)</f>
        <v>28.320798052199446</v>
      </c>
      <c r="U16" s="131">
        <f>IF(SER_hh_tesh!U16=0,0,SER_hh_tesh!U16/SER_summary!U$26)</f>
        <v>28.499219407054657</v>
      </c>
      <c r="V16" s="131">
        <f>IF(SER_hh_tesh!V16=0,0,SER_hh_tesh!V16/SER_summary!V$26)</f>
        <v>28.526519026513323</v>
      </c>
      <c r="W16" s="131">
        <f>IF(SER_hh_tesh!W16=0,0,SER_hh_tesh!W16/SER_summary!W$26)</f>
        <v>27.913621871757069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26.507894679066304</v>
      </c>
      <c r="C18" s="133">
        <f>IF(SER_hh_tesh!C18=0,0,SER_hh_tesh!C18/SER_summary!C$26)</f>
        <v>26.514644955493893</v>
      </c>
      <c r="D18" s="133">
        <f>IF(SER_hh_tesh!D18=0,0,SER_hh_tesh!D18/SER_summary!D$26)</f>
        <v>26.544620848039141</v>
      </c>
      <c r="E18" s="133">
        <f>IF(SER_hh_tesh!E18=0,0,SER_hh_tesh!E18/SER_summary!E$26)</f>
        <v>27.759751252494372</v>
      </c>
      <c r="F18" s="133">
        <f>IF(SER_hh_tesh!F18=0,0,SER_hh_tesh!F18/SER_summary!F$26)</f>
        <v>26.654888929291676</v>
      </c>
      <c r="G18" s="133">
        <f>IF(SER_hh_tesh!G18=0,0,SER_hh_tesh!G18/SER_summary!G$26)</f>
        <v>26.73620732146578</v>
      </c>
      <c r="H18" s="133">
        <f>IF(SER_hh_tesh!H18=0,0,SER_hh_tesh!H18/SER_summary!H$26)</f>
        <v>26.853624065291967</v>
      </c>
      <c r="I18" s="133">
        <f>IF(SER_hh_tesh!I18=0,0,SER_hh_tesh!I18/SER_summary!I$26)</f>
        <v>26.890516173084819</v>
      </c>
      <c r="J18" s="133">
        <f>IF(SER_hh_tesh!J18=0,0,SER_hh_tesh!J18/SER_summary!J$26)</f>
        <v>27.108070682103403</v>
      </c>
      <c r="K18" s="133">
        <f>IF(SER_hh_tesh!K18=0,0,SER_hh_tesh!K18/SER_summary!K$26)</f>
        <v>27.161996579690733</v>
      </c>
      <c r="L18" s="133">
        <f>IF(SER_hh_tesh!L18=0,0,SER_hh_tesh!L18/SER_summary!L$26)</f>
        <v>29.136827848119008</v>
      </c>
      <c r="M18" s="133">
        <f>IF(SER_hh_tesh!M18=0,0,SER_hh_tesh!M18/SER_summary!M$26)</f>
        <v>27.548871440315018</v>
      </c>
      <c r="N18" s="133">
        <f>IF(SER_hh_tesh!N18=0,0,SER_hh_tesh!N18/SER_summary!N$26)</f>
        <v>27.342002072429292</v>
      </c>
      <c r="O18" s="133">
        <f>IF(SER_hh_tesh!O18=0,0,SER_hh_tesh!O18/SER_summary!O$26)</f>
        <v>27.478701529271778</v>
      </c>
      <c r="P18" s="133">
        <f>IF(SER_hh_tesh!P18=0,0,SER_hh_tesh!P18/SER_summary!P$26)</f>
        <v>27.791809621235839</v>
      </c>
      <c r="Q18" s="133">
        <f>IF(SER_hh_tesh!Q18=0,0,SER_hh_tesh!Q18/SER_summary!Q$26)</f>
        <v>27.599136851330655</v>
      </c>
      <c r="R18" s="133">
        <f>IF(SER_hh_tesh!R18=0,0,SER_hh_tesh!R18/SER_summary!R$26)</f>
        <v>28.269080617993559</v>
      </c>
      <c r="S18" s="133">
        <f>IF(SER_hh_tesh!S18=0,0,SER_hh_tesh!S18/SER_summary!S$26)</f>
        <v>28.324856979360142</v>
      </c>
      <c r="T18" s="133">
        <f>IF(SER_hh_tesh!T18=0,0,SER_hh_tesh!T18/SER_summary!T$26)</f>
        <v>28.320798052199446</v>
      </c>
      <c r="U18" s="133">
        <f>IF(SER_hh_tesh!U18=0,0,SER_hh_tesh!U18/SER_summary!U$26)</f>
        <v>28.499219407054657</v>
      </c>
      <c r="V18" s="133">
        <f>IF(SER_hh_tesh!V18=0,0,SER_hh_tesh!V18/SER_summary!V$26)</f>
        <v>28.526519026513323</v>
      </c>
      <c r="W18" s="133">
        <f>IF(SER_hh_tesh!W18=0,0,SER_hh_tesh!W18/SER_summary!W$26)</f>
        <v>27.913621871757069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17.029850927813705</v>
      </c>
      <c r="C19" s="131">
        <f>IF(SER_hh_tesh!C19=0,0,SER_hh_tesh!C19/SER_summary!C$26)</f>
        <v>17.0306001663735</v>
      </c>
      <c r="D19" s="131">
        <f>IF(SER_hh_tesh!D19=0,0,SER_hh_tesh!D19/SER_summary!D$26)</f>
        <v>16.922518941623437</v>
      </c>
      <c r="E19" s="131">
        <f>IF(SER_hh_tesh!E19=0,0,SER_hh_tesh!E19/SER_summary!E$26)</f>
        <v>16.983247989519953</v>
      </c>
      <c r="F19" s="131">
        <f>IF(SER_hh_tesh!F19=0,0,SER_hh_tesh!F19/SER_summary!F$26)</f>
        <v>16.870962177801136</v>
      </c>
      <c r="G19" s="131">
        <f>IF(SER_hh_tesh!G19=0,0,SER_hh_tesh!G19/SER_summary!G$26)</f>
        <v>16.982841551502979</v>
      </c>
      <c r="H19" s="131">
        <f>IF(SER_hh_tesh!H19=0,0,SER_hh_tesh!H19/SER_summary!H$26)</f>
        <v>16.913033218233647</v>
      </c>
      <c r="I19" s="131">
        <f>IF(SER_hh_tesh!I19=0,0,SER_hh_tesh!I19/SER_summary!I$26)</f>
        <v>16.855412442311671</v>
      </c>
      <c r="J19" s="131">
        <f>IF(SER_hh_tesh!J19=0,0,SER_hh_tesh!J19/SER_summary!J$26)</f>
        <v>16.86066845309087</v>
      </c>
      <c r="K19" s="131">
        <f>IF(SER_hh_tesh!K19=0,0,SER_hh_tesh!K19/SER_summary!K$26)</f>
        <v>16.910615021707578</v>
      </c>
      <c r="L19" s="131">
        <f>IF(SER_hh_tesh!L19=0,0,SER_hh_tesh!L19/SER_summary!L$26)</f>
        <v>17.088941485932583</v>
      </c>
      <c r="M19" s="131">
        <f>IF(SER_hh_tesh!M19=0,0,SER_hh_tesh!M19/SER_summary!M$26)</f>
        <v>17.188233057030164</v>
      </c>
      <c r="N19" s="131">
        <f>IF(SER_hh_tesh!N19=0,0,SER_hh_tesh!N19/SER_summary!N$26)</f>
        <v>17.3986384829991</v>
      </c>
      <c r="O19" s="131">
        <f>IF(SER_hh_tesh!O19=0,0,SER_hh_tesh!O19/SER_summary!O$26)</f>
        <v>17.504274378540249</v>
      </c>
      <c r="P19" s="131">
        <f>IF(SER_hh_tesh!P19=0,0,SER_hh_tesh!P19/SER_summary!P$26)</f>
        <v>17.698263495768206</v>
      </c>
      <c r="Q19" s="131">
        <f>IF(SER_hh_tesh!Q19=0,0,SER_hh_tesh!Q19/SER_summary!Q$26)</f>
        <v>17.810726600347827</v>
      </c>
      <c r="R19" s="131">
        <f>IF(SER_hh_tesh!R19=0,0,SER_hh_tesh!R19/SER_summary!R$26)</f>
        <v>17.865364513878056</v>
      </c>
      <c r="S19" s="131">
        <f>IF(SER_hh_tesh!S19=0,0,SER_hh_tesh!S19/SER_summary!S$26)</f>
        <v>17.839290959667661</v>
      </c>
      <c r="T19" s="131">
        <f>IF(SER_hh_tesh!T19=0,0,SER_hh_tesh!T19/SER_summary!T$26)</f>
        <v>17.984924029990871</v>
      </c>
      <c r="U19" s="131">
        <f>IF(SER_hh_tesh!U19=0,0,SER_hh_tesh!U19/SER_summary!U$26)</f>
        <v>17.933411943654843</v>
      </c>
      <c r="V19" s="131">
        <f>IF(SER_hh_tesh!V19=0,0,SER_hh_tesh!V19/SER_summary!V$26)</f>
        <v>16.332747661935102</v>
      </c>
      <c r="W19" s="131">
        <f>IF(SER_hh_tesh!W19=0,0,SER_hh_tesh!W19/SER_summary!W$26)</f>
        <v>18.458369789149156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16.933194690884001</v>
      </c>
      <c r="C22" s="133">
        <f>IF(SER_hh_tesh!C22=0,0,SER_hh_tesh!C22/SER_summary!C$26)</f>
        <v>16.879071076908048</v>
      </c>
      <c r="D22" s="133">
        <f>IF(SER_hh_tesh!D22=0,0,SER_hh_tesh!D22/SER_summary!D$26)</f>
        <v>17.07806003804302</v>
      </c>
      <c r="E22" s="133">
        <f>IF(SER_hh_tesh!E22=0,0,SER_hh_tesh!E22/SER_summary!E$26)</f>
        <v>17.081283897258086</v>
      </c>
      <c r="F22" s="133">
        <f>IF(SER_hh_tesh!F22=0,0,SER_hh_tesh!F22/SER_summary!F$26)</f>
        <v>16.956088564525366</v>
      </c>
      <c r="G22" s="133">
        <f>IF(SER_hh_tesh!G22=0,0,SER_hh_tesh!G22/SER_summary!G$26)</f>
        <v>16.813908627566263</v>
      </c>
      <c r="H22" s="133">
        <f>IF(SER_hh_tesh!H22=0,0,SER_hh_tesh!H22/SER_summary!H$26)</f>
        <v>16.995439640091625</v>
      </c>
      <c r="I22" s="133">
        <f>IF(SER_hh_tesh!I22=0,0,SER_hh_tesh!I22/SER_summary!I$26)</f>
        <v>16.913759815719079</v>
      </c>
      <c r="J22" s="133">
        <f>IF(SER_hh_tesh!J22=0,0,SER_hh_tesh!J22/SER_summary!J$26)</f>
        <v>16.721404712472896</v>
      </c>
      <c r="K22" s="133">
        <f>IF(SER_hh_tesh!K22=0,0,SER_hh_tesh!K22/SER_summary!K$26)</f>
        <v>16.496500394703357</v>
      </c>
      <c r="L22" s="133">
        <f>IF(SER_hh_tesh!L22=0,0,SER_hh_tesh!L22/SER_summary!L$26)</f>
        <v>17.49484509131085</v>
      </c>
      <c r="M22" s="133">
        <f>IF(SER_hh_tesh!M22=0,0,SER_hh_tesh!M22/SER_summary!M$26)</f>
        <v>17.546069373331356</v>
      </c>
      <c r="N22" s="133">
        <f>IF(SER_hh_tesh!N22=0,0,SER_hh_tesh!N22/SER_summary!N$26)</f>
        <v>17.398936445444022</v>
      </c>
      <c r="O22" s="133">
        <f>IF(SER_hh_tesh!O22=0,0,SER_hh_tesh!O22/SER_summary!O$26)</f>
        <v>17.712468187947177</v>
      </c>
      <c r="P22" s="133">
        <f>IF(SER_hh_tesh!P22=0,0,SER_hh_tesh!P22/SER_summary!P$26)</f>
        <v>17.503665107055262</v>
      </c>
      <c r="Q22" s="133">
        <f>IF(SER_hh_tesh!Q22=0,0,SER_hh_tesh!Q22/SER_summary!Q$26)</f>
        <v>17.803451098731387</v>
      </c>
      <c r="R22" s="133">
        <f>IF(SER_hh_tesh!R22=0,0,SER_hh_tesh!R22/SER_summary!R$26)</f>
        <v>18.767600995287172</v>
      </c>
      <c r="S22" s="133">
        <f>IF(SER_hh_tesh!S22=0,0,SER_hh_tesh!S22/SER_summary!S$26)</f>
        <v>17.944838374452939</v>
      </c>
      <c r="T22" s="133">
        <f>IF(SER_hh_tesh!T22=0,0,SER_hh_tesh!T22/SER_summary!T$26)</f>
        <v>17.080129380272989</v>
      </c>
      <c r="U22" s="133">
        <f>IF(SER_hh_tesh!U22=0,0,SER_hh_tesh!U22/SER_summary!U$26)</f>
        <v>17.480636552924206</v>
      </c>
      <c r="V22" s="133">
        <f>IF(SER_hh_tesh!V22=0,0,SER_hh_tesh!V22/SER_summary!V$26)</f>
        <v>16.14296317090912</v>
      </c>
      <c r="W22" s="133">
        <f>IF(SER_hh_tesh!W22=0,0,SER_hh_tesh!W22/SER_summary!W$26)</f>
        <v>18.690503902412903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16.983571552766314</v>
      </c>
      <c r="C23" s="133">
        <f>IF(SER_hh_tesh!C23=0,0,SER_hh_tesh!C23/SER_summary!C$26)</f>
        <v>16.954353785460444</v>
      </c>
      <c r="D23" s="133">
        <f>IF(SER_hh_tesh!D23=0,0,SER_hh_tesh!D23/SER_summary!D$26)</f>
        <v>16.911980989057284</v>
      </c>
      <c r="E23" s="133">
        <f>IF(SER_hh_tesh!E23=0,0,SER_hh_tesh!E23/SER_summary!E$26)</f>
        <v>16.831663818092707</v>
      </c>
      <c r="F23" s="133">
        <f>IF(SER_hh_tesh!F23=0,0,SER_hh_tesh!F23/SER_summary!F$26)</f>
        <v>17.07780301883027</v>
      </c>
      <c r="G23" s="133">
        <f>IF(SER_hh_tesh!G23=0,0,SER_hh_tesh!G23/SER_summary!G$26)</f>
        <v>17.298299877247469</v>
      </c>
      <c r="H23" s="133">
        <f>IF(SER_hh_tesh!H23=0,0,SER_hh_tesh!H23/SER_summary!H$26)</f>
        <v>16.741106270818474</v>
      </c>
      <c r="I23" s="133">
        <f>IF(SER_hh_tesh!I23=0,0,SER_hh_tesh!I23/SER_summary!I$26)</f>
        <v>16.866014134590561</v>
      </c>
      <c r="J23" s="133">
        <f>IF(SER_hh_tesh!J23=0,0,SER_hh_tesh!J23/SER_summary!J$26)</f>
        <v>17.13120830516786</v>
      </c>
      <c r="K23" s="133">
        <f>IF(SER_hh_tesh!K23=0,0,SER_hh_tesh!K23/SER_summary!K$26)</f>
        <v>16.9943322053009</v>
      </c>
      <c r="L23" s="133">
        <f>IF(SER_hh_tesh!L23=0,0,SER_hh_tesh!L23/SER_summary!L$26)</f>
        <v>16.83253324048707</v>
      </c>
      <c r="M23" s="133">
        <f>IF(SER_hh_tesh!M23=0,0,SER_hh_tesh!M23/SER_summary!M$26)</f>
        <v>17.16701665245472</v>
      </c>
      <c r="N23" s="133">
        <f>IF(SER_hh_tesh!N23=0,0,SER_hh_tesh!N23/SER_summary!N$26)</f>
        <v>17.423833718848439</v>
      </c>
      <c r="O23" s="133">
        <f>IF(SER_hh_tesh!O23=0,0,SER_hh_tesh!O23/SER_summary!O$26)</f>
        <v>17.630184794735424</v>
      </c>
      <c r="P23" s="133">
        <f>IF(SER_hh_tesh!P23=0,0,SER_hh_tesh!P23/SER_summary!P$26)</f>
        <v>17.621362504629271</v>
      </c>
      <c r="Q23" s="133">
        <f>IF(SER_hh_tesh!Q23=0,0,SER_hh_tesh!Q23/SER_summary!Q$26)</f>
        <v>17.593982233496931</v>
      </c>
      <c r="R23" s="133">
        <f>IF(SER_hh_tesh!R23=0,0,SER_hh_tesh!R23/SER_summary!R$26)</f>
        <v>17.225143212300022</v>
      </c>
      <c r="S23" s="133">
        <f>IF(SER_hh_tesh!S23=0,0,SER_hh_tesh!S23/SER_summary!S$26)</f>
        <v>19.867389196449974</v>
      </c>
      <c r="T23" s="133">
        <f>IF(SER_hh_tesh!T23=0,0,SER_hh_tesh!T23/SER_summary!T$26)</f>
        <v>17.552180139867779</v>
      </c>
      <c r="U23" s="133">
        <f>IF(SER_hh_tesh!U23=0,0,SER_hh_tesh!U23/SER_summary!U$26)</f>
        <v>16.789710294574057</v>
      </c>
      <c r="V23" s="133">
        <f>IF(SER_hh_tesh!V23=0,0,SER_hh_tesh!V23/SER_summary!V$26)</f>
        <v>16.166636997106284</v>
      </c>
      <c r="W23" s="133">
        <f>IF(SER_hh_tesh!W23=0,0,SER_hh_tesh!W23/SER_summary!W$26)</f>
        <v>19.85326878009872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15.558224500960604</v>
      </c>
      <c r="C24" s="133">
        <f>IF(SER_hh_tesh!C24=0,0,SER_hh_tesh!C24/SER_summary!C$26)</f>
        <v>17.75134665733782</v>
      </c>
      <c r="D24" s="133">
        <f>IF(SER_hh_tesh!D24=0,0,SER_hh_tesh!D24/SER_summary!D$26)</f>
        <v>17.348937171598461</v>
      </c>
      <c r="E24" s="133">
        <f>IF(SER_hh_tesh!E24=0,0,SER_hh_tesh!E24/SER_summary!E$26)</f>
        <v>16.874140565717848</v>
      </c>
      <c r="F24" s="133">
        <f>IF(SER_hh_tesh!F24=0,0,SER_hh_tesh!F24/SER_summary!F$26)</f>
        <v>16.912263650588788</v>
      </c>
      <c r="G24" s="133">
        <f>IF(SER_hh_tesh!G24=0,0,SER_hh_tesh!G24/SER_summary!G$26)</f>
        <v>16.740958049958657</v>
      </c>
      <c r="H24" s="133">
        <f>IF(SER_hh_tesh!H24=0,0,SER_hh_tesh!H24/SER_summary!H$26)</f>
        <v>16.776157209565909</v>
      </c>
      <c r="I24" s="133">
        <f>IF(SER_hh_tesh!I24=0,0,SER_hh_tesh!I24/SER_summary!I$26)</f>
        <v>16.593573352238476</v>
      </c>
      <c r="J24" s="133">
        <f>IF(SER_hh_tesh!J24=0,0,SER_hh_tesh!J24/SER_summary!J$26)</f>
        <v>17.502575251392564</v>
      </c>
      <c r="K24" s="133">
        <f>IF(SER_hh_tesh!K24=0,0,SER_hh_tesh!K24/SER_summary!K$26)</f>
        <v>16.71391634962702</v>
      </c>
      <c r="L24" s="133">
        <f>IF(SER_hh_tesh!L24=0,0,SER_hh_tesh!L24/SER_summary!L$26)</f>
        <v>17.057045880961674</v>
      </c>
      <c r="M24" s="133">
        <f>IF(SER_hh_tesh!M24=0,0,SER_hh_tesh!M24/SER_summary!M$26)</f>
        <v>17.471537461114501</v>
      </c>
      <c r="N24" s="133">
        <f>IF(SER_hh_tesh!N24=0,0,SER_hh_tesh!N24/SER_summary!N$26)</f>
        <v>17.557893238751241</v>
      </c>
      <c r="O24" s="133">
        <f>IF(SER_hh_tesh!O24=0,0,SER_hh_tesh!O24/SER_summary!O$26)</f>
        <v>17.46651328811009</v>
      </c>
      <c r="P24" s="133">
        <f>IF(SER_hh_tesh!P24=0,0,SER_hh_tesh!P24/SER_summary!P$26)</f>
        <v>17.38168768610899</v>
      </c>
      <c r="Q24" s="133">
        <f>IF(SER_hh_tesh!Q24=0,0,SER_hh_tesh!Q24/SER_summary!Q$26)</f>
        <v>16.94505842942613</v>
      </c>
      <c r="R24" s="133">
        <f>IF(SER_hh_tesh!R24=0,0,SER_hh_tesh!R24/SER_summary!R$26)</f>
        <v>18.607555992574561</v>
      </c>
      <c r="S24" s="133">
        <f>IF(SER_hh_tesh!S24=0,0,SER_hh_tesh!S24/SER_summary!S$26)</f>
        <v>18.016938007923791</v>
      </c>
      <c r="T24" s="133">
        <f>IF(SER_hh_tesh!T24=0,0,SER_hh_tesh!T24/SER_summary!T$26)</f>
        <v>18.021425136477678</v>
      </c>
      <c r="U24" s="133">
        <f>IF(SER_hh_tesh!U24=0,0,SER_hh_tesh!U24/SER_summary!U$26)</f>
        <v>17.870631465450746</v>
      </c>
      <c r="V24" s="133">
        <f>IF(SER_hh_tesh!V24=0,0,SER_hh_tesh!V24/SER_summary!V$26)</f>
        <v>15.948503934062295</v>
      </c>
      <c r="W24" s="133">
        <f>IF(SER_hh_tesh!W24=0,0,SER_hh_tesh!W24/SER_summary!W$26)</f>
        <v>19.05704204395078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16.955190010851059</v>
      </c>
      <c r="C25" s="133">
        <f>IF(SER_hh_tesh!C25=0,0,SER_hh_tesh!C25/SER_summary!C$26)</f>
        <v>17.097427284662061</v>
      </c>
      <c r="D25" s="133">
        <f>IF(SER_hh_tesh!D25=0,0,SER_hh_tesh!D25/SER_summary!D$26)</f>
        <v>16.90661810396022</v>
      </c>
      <c r="E25" s="133">
        <f>IF(SER_hh_tesh!E25=0,0,SER_hh_tesh!E25/SER_summary!E$26)</f>
        <v>17.008623775734655</v>
      </c>
      <c r="F25" s="133">
        <f>IF(SER_hh_tesh!F25=0,0,SER_hh_tesh!F25/SER_summary!F$26)</f>
        <v>16.84034710714602</v>
      </c>
      <c r="G25" s="133">
        <f>IF(SER_hh_tesh!G25=0,0,SER_hh_tesh!G25/SER_summary!G$26)</f>
        <v>16.956892516394994</v>
      </c>
      <c r="H25" s="133">
        <f>IF(SER_hh_tesh!H25=0,0,SER_hh_tesh!H25/SER_summary!H$26)</f>
        <v>16.937380012467994</v>
      </c>
      <c r="I25" s="133">
        <f>IF(SER_hh_tesh!I25=0,0,SER_hh_tesh!I25/SER_summary!I$26)</f>
        <v>17.006371450952713</v>
      </c>
      <c r="J25" s="133">
        <f>IF(SER_hh_tesh!J25=0,0,SER_hh_tesh!J25/SER_summary!J$26)</f>
        <v>16.880978162370376</v>
      </c>
      <c r="K25" s="133">
        <f>IF(SER_hh_tesh!K25=0,0,SER_hh_tesh!K25/SER_summary!K$26)</f>
        <v>17.012410193428057</v>
      </c>
      <c r="L25" s="133">
        <f>IF(SER_hh_tesh!L25=0,0,SER_hh_tesh!L25/SER_summary!L$26)</f>
        <v>17.042036891181183</v>
      </c>
      <c r="M25" s="133">
        <f>IF(SER_hh_tesh!M25=0,0,SER_hh_tesh!M25/SER_summary!M$26)</f>
        <v>17.13768403143424</v>
      </c>
      <c r="N25" s="133">
        <f>IF(SER_hh_tesh!N25=0,0,SER_hh_tesh!N25/SER_summary!N$26)</f>
        <v>17.345584501152516</v>
      </c>
      <c r="O25" s="133">
        <f>IF(SER_hh_tesh!O25=0,0,SER_hh_tesh!O25/SER_summary!O$26)</f>
        <v>17.550120434054719</v>
      </c>
      <c r="P25" s="133">
        <f>IF(SER_hh_tesh!P25=0,0,SER_hh_tesh!P25/SER_summary!P$26)</f>
        <v>17.682140901353193</v>
      </c>
      <c r="Q25" s="133">
        <f>IF(SER_hh_tesh!Q25=0,0,SER_hh_tesh!Q25/SER_summary!Q$26)</f>
        <v>17.724316130731186</v>
      </c>
      <c r="R25" s="133">
        <f>IF(SER_hh_tesh!R25=0,0,SER_hh_tesh!R25/SER_summary!R$26)</f>
        <v>17.946081826098393</v>
      </c>
      <c r="S25" s="133">
        <f>IF(SER_hh_tesh!S25=0,0,SER_hh_tesh!S25/SER_summary!S$26)</f>
        <v>17.846645110147083</v>
      </c>
      <c r="T25" s="133">
        <f>IF(SER_hh_tesh!T25=0,0,SER_hh_tesh!T25/SER_summary!T$26)</f>
        <v>18.246881905349067</v>
      </c>
      <c r="U25" s="133">
        <f>IF(SER_hh_tesh!U25=0,0,SER_hh_tesh!U25/SER_summary!U$26)</f>
        <v>17.67422952972618</v>
      </c>
      <c r="V25" s="133">
        <f>IF(SER_hh_tesh!V25=0,0,SER_hh_tesh!V25/SER_summary!V$26)</f>
        <v>16.136586515655868</v>
      </c>
      <c r="W25" s="133">
        <f>IF(SER_hh_tesh!W25=0,0,SER_hh_tesh!W25/SER_summary!W$26)</f>
        <v>19.339760836538019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17.218233941607643</v>
      </c>
      <c r="C26" s="65">
        <f>IF(SER_hh_tesh!C26=0,0,SER_hh_tesh!C26/SER_summary!C$26)</f>
        <v>16.937740547636157</v>
      </c>
      <c r="D26" s="65">
        <f>IF(SER_hh_tesh!D26=0,0,SER_hh_tesh!D26/SER_summary!D$26)</f>
        <v>16.88278679948391</v>
      </c>
      <c r="E26" s="65">
        <f>IF(SER_hh_tesh!E26=0,0,SER_hh_tesh!E26/SER_summary!E$26)</f>
        <v>16.937775490264368</v>
      </c>
      <c r="F26" s="65">
        <f>IF(SER_hh_tesh!F26=0,0,SER_hh_tesh!F26/SER_summary!F$26)</f>
        <v>16.883859640866799</v>
      </c>
      <c r="G26" s="65">
        <f>IF(SER_hh_tesh!G26=0,0,SER_hh_tesh!G26/SER_summary!G$26)</f>
        <v>17.068668005600575</v>
      </c>
      <c r="H26" s="65">
        <f>IF(SER_hh_tesh!H26=0,0,SER_hh_tesh!H26/SER_summary!H$26)</f>
        <v>16.870930765078651</v>
      </c>
      <c r="I26" s="65">
        <f>IF(SER_hh_tesh!I26=0,0,SER_hh_tesh!I26/SER_summary!I$26)</f>
        <v>16.609016626507163</v>
      </c>
      <c r="J26" s="65">
        <f>IF(SER_hh_tesh!J26=0,0,SER_hh_tesh!J26/SER_summary!J$26)</f>
        <v>16.795812521910932</v>
      </c>
      <c r="K26" s="65">
        <f>IF(SER_hh_tesh!K26=0,0,SER_hh_tesh!K26/SER_summary!K$26)</f>
        <v>16.865387024820446</v>
      </c>
      <c r="L26" s="65">
        <f>IF(SER_hh_tesh!L26=0,0,SER_hh_tesh!L26/SER_summary!L$26)</f>
        <v>17.067783670485525</v>
      </c>
      <c r="M26" s="65">
        <f>IF(SER_hh_tesh!M26=0,0,SER_hh_tesh!M26/SER_summary!M$26)</f>
        <v>17.146835859390965</v>
      </c>
      <c r="N26" s="65">
        <f>IF(SER_hh_tesh!N26=0,0,SER_hh_tesh!N26/SER_summary!N$26)</f>
        <v>17.465530092492337</v>
      </c>
      <c r="O26" s="65">
        <f>IF(SER_hh_tesh!O26=0,0,SER_hh_tesh!O26/SER_summary!O$26)</f>
        <v>17.381347783454171</v>
      </c>
      <c r="P26" s="65">
        <f>IF(SER_hh_tesh!P26=0,0,SER_hh_tesh!P26/SER_summary!P$26)</f>
        <v>17.799353357253228</v>
      </c>
      <c r="Q26" s="65">
        <f>IF(SER_hh_tesh!Q26=0,0,SER_hh_tesh!Q26/SER_summary!Q$26)</f>
        <v>18.020065488636742</v>
      </c>
      <c r="R26" s="65">
        <f>IF(SER_hh_tesh!R26=0,0,SER_hh_tesh!R26/SER_summary!R$26)</f>
        <v>17.499888244487909</v>
      </c>
      <c r="S26" s="65">
        <f>IF(SER_hh_tesh!S26=0,0,SER_hh_tesh!S26/SER_summary!S$26)</f>
        <v>17.732442900920212</v>
      </c>
      <c r="T26" s="65">
        <f>IF(SER_hh_tesh!T26=0,0,SER_hh_tesh!T26/SER_summary!T$26)</f>
        <v>17.799746890246563</v>
      </c>
      <c r="U26" s="65">
        <f>IF(SER_hh_tesh!U26=0,0,SER_hh_tesh!U26/SER_summary!U$26)</f>
        <v>18.381210168431892</v>
      </c>
      <c r="V26" s="65">
        <f>IF(SER_hh_tesh!V26=0,0,SER_hh_tesh!V26/SER_summary!V$26)</f>
        <v>16.653452555150491</v>
      </c>
      <c r="W26" s="65">
        <f>IF(SER_hh_tesh!W26=0,0,SER_hh_tesh!W26/SER_summary!W$26)</f>
        <v>17.229972353002978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15.673281051909049</v>
      </c>
      <c r="C29" s="131">
        <f>IF(SER_hh_tesh!C29=0,0,SER_hh_tesh!C29/SER_summary!C$26)</f>
        <v>15.264695926302471</v>
      </c>
      <c r="D29" s="131">
        <f>IF(SER_hh_tesh!D29=0,0,SER_hh_tesh!D29/SER_summary!D$26)</f>
        <v>14.938494958640197</v>
      </c>
      <c r="E29" s="131">
        <f>IF(SER_hh_tesh!E29=0,0,SER_hh_tesh!E29/SER_summary!E$26)</f>
        <v>14.729621180075126</v>
      </c>
      <c r="F29" s="131">
        <f>IF(SER_hh_tesh!F29=0,0,SER_hh_tesh!F29/SER_summary!F$26)</f>
        <v>14.677281714108094</v>
      </c>
      <c r="G29" s="131">
        <f>IF(SER_hh_tesh!G29=0,0,SER_hh_tesh!G29/SER_summary!G$26)</f>
        <v>14.48847035511502</v>
      </c>
      <c r="H29" s="131">
        <f>IF(SER_hh_tesh!H29=0,0,SER_hh_tesh!H29/SER_summary!H$26)</f>
        <v>14.51077701698293</v>
      </c>
      <c r="I29" s="131">
        <f>IF(SER_hh_tesh!I29=0,0,SER_hh_tesh!I29/SER_summary!I$26)</f>
        <v>14.258834707014245</v>
      </c>
      <c r="J29" s="131">
        <f>IF(SER_hh_tesh!J29=0,0,SER_hh_tesh!J29/SER_summary!J$26)</f>
        <v>14.107274920070628</v>
      </c>
      <c r="K29" s="131">
        <f>IF(SER_hh_tesh!K29=0,0,SER_hh_tesh!K29/SER_summary!K$26)</f>
        <v>14.169645813943367</v>
      </c>
      <c r="L29" s="131">
        <f>IF(SER_hh_tesh!L29=0,0,SER_hh_tesh!L29/SER_summary!L$26)</f>
        <v>13.983314338122364</v>
      </c>
      <c r="M29" s="131">
        <f>IF(SER_hh_tesh!M29=0,0,SER_hh_tesh!M29/SER_summary!M$26)</f>
        <v>14.098839882423235</v>
      </c>
      <c r="N29" s="131">
        <f>IF(SER_hh_tesh!N29=0,0,SER_hh_tesh!N29/SER_summary!N$26)</f>
        <v>14.033536478498686</v>
      </c>
      <c r="O29" s="131">
        <f>IF(SER_hh_tesh!O29=0,0,SER_hh_tesh!O29/SER_summary!O$26)</f>
        <v>13.901937955548959</v>
      </c>
      <c r="P29" s="131">
        <f>IF(SER_hh_tesh!P29=0,0,SER_hh_tesh!P29/SER_summary!P$26)</f>
        <v>14.05662213991136</v>
      </c>
      <c r="Q29" s="131">
        <f>IF(SER_hh_tesh!Q29=0,0,SER_hh_tesh!Q29/SER_summary!Q$26)</f>
        <v>14.234081307048086</v>
      </c>
      <c r="R29" s="131">
        <f>IF(SER_hh_tesh!R29=0,0,SER_hh_tesh!R29/SER_summary!R$26)</f>
        <v>14.633687957092755</v>
      </c>
      <c r="S29" s="131">
        <f>IF(SER_hh_tesh!S29=0,0,SER_hh_tesh!S29/SER_summary!S$26)</f>
        <v>14.604486604715969</v>
      </c>
      <c r="T29" s="131">
        <f>IF(SER_hh_tesh!T29=0,0,SER_hh_tesh!T29/SER_summary!T$26)</f>
        <v>14.637875562033372</v>
      </c>
      <c r="U29" s="131">
        <f>IF(SER_hh_tesh!U29=0,0,SER_hh_tesh!U29/SER_summary!U$26)</f>
        <v>15.09207571325922</v>
      </c>
      <c r="V29" s="131">
        <f>IF(SER_hh_tesh!V29=0,0,SER_hh_tesh!V29/SER_summary!V$26)</f>
        <v>13.866726729144899</v>
      </c>
      <c r="W29" s="131">
        <f>IF(SER_hh_tesh!W29=0,0,SER_hh_tesh!W29/SER_summary!W$26)</f>
        <v>15.501701542355107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0</v>
      </c>
      <c r="M30" s="133">
        <f>IF(SER_hh_tesh!M30=0,0,SER_hh_tesh!M30/SER_summary!M$26)</f>
        <v>0</v>
      </c>
      <c r="N30" s="133">
        <f>IF(SER_hh_tesh!N30=0,0,SER_hh_tesh!N30/SER_summary!N$26)</f>
        <v>0</v>
      </c>
      <c r="O30" s="133">
        <f>IF(SER_hh_tesh!O30=0,0,SER_hh_tesh!O30/SER_summary!O$26)</f>
        <v>0</v>
      </c>
      <c r="P30" s="133">
        <f>IF(SER_hh_tesh!P30=0,0,SER_hh_tesh!P30/SER_summary!P$26)</f>
        <v>0</v>
      </c>
      <c r="Q30" s="133">
        <f>IF(SER_hh_tesh!Q30=0,0,SER_hh_tesh!Q30/SER_summary!Q$26)</f>
        <v>0</v>
      </c>
      <c r="R30" s="133">
        <f>IF(SER_hh_tesh!R30=0,0,SER_hh_tesh!R30/SER_summary!R$26)</f>
        <v>0</v>
      </c>
      <c r="S30" s="133">
        <f>IF(SER_hh_tesh!S30=0,0,SER_hh_tesh!S30/SER_summary!S$26)</f>
        <v>0</v>
      </c>
      <c r="T30" s="133">
        <f>IF(SER_hh_tesh!T30=0,0,SER_hh_tesh!T30/SER_summary!T$26)</f>
        <v>0</v>
      </c>
      <c r="U30" s="133">
        <f>IF(SER_hh_tesh!U30=0,0,SER_hh_tesh!U30/SER_summary!U$26)</f>
        <v>0</v>
      </c>
      <c r="V30" s="133">
        <f>IF(SER_hh_tesh!V30=0,0,SER_hh_tesh!V30/SER_summary!V$26)</f>
        <v>0</v>
      </c>
      <c r="W30" s="133">
        <f>IF(SER_hh_tesh!W30=0,0,SER_hh_tesh!W30/SER_summary!W$26)</f>
        <v>0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15.513560371517325</v>
      </c>
      <c r="C31" s="133">
        <f>IF(SER_hh_tesh!C31=0,0,SER_hh_tesh!C31/SER_summary!C$26)</f>
        <v>15.191607689067926</v>
      </c>
      <c r="D31" s="133">
        <f>IF(SER_hh_tesh!D31=0,0,SER_hh_tesh!D31/SER_summary!D$26)</f>
        <v>14.996838245470913</v>
      </c>
      <c r="E31" s="133">
        <f>IF(SER_hh_tesh!E31=0,0,SER_hh_tesh!E31/SER_summary!E$26)</f>
        <v>14.769809543174359</v>
      </c>
      <c r="F31" s="133">
        <f>IF(SER_hh_tesh!F31=0,0,SER_hh_tesh!F31/SER_summary!F$26)</f>
        <v>14.745134458178395</v>
      </c>
      <c r="G31" s="133">
        <f>IF(SER_hh_tesh!G31=0,0,SER_hh_tesh!G31/SER_summary!G$26)</f>
        <v>14.614634381658625</v>
      </c>
      <c r="H31" s="133">
        <f>IF(SER_hh_tesh!H31=0,0,SER_hh_tesh!H31/SER_summary!H$26)</f>
        <v>14.489695825644917</v>
      </c>
      <c r="I31" s="133">
        <f>IF(SER_hh_tesh!I31=0,0,SER_hh_tesh!I31/SER_summary!I$26)</f>
        <v>14.385621615348848</v>
      </c>
      <c r="J31" s="133">
        <f>IF(SER_hh_tesh!J31=0,0,SER_hh_tesh!J31/SER_summary!J$26)</f>
        <v>14.507595750422155</v>
      </c>
      <c r="K31" s="133">
        <f>IF(SER_hh_tesh!K31=0,0,SER_hh_tesh!K31/SER_summary!K$26)</f>
        <v>14.165759664051572</v>
      </c>
      <c r="L31" s="133">
        <f>IF(SER_hh_tesh!L31=0,0,SER_hh_tesh!L31/SER_summary!L$26)</f>
        <v>14.050628235495605</v>
      </c>
      <c r="M31" s="133">
        <f>IF(SER_hh_tesh!M31=0,0,SER_hh_tesh!M31/SER_summary!M$26)</f>
        <v>13.72889569609201</v>
      </c>
      <c r="N31" s="133">
        <f>IF(SER_hh_tesh!N31=0,0,SER_hh_tesh!N31/SER_summary!N$26)</f>
        <v>13.883690399074203</v>
      </c>
      <c r="O31" s="133">
        <f>IF(SER_hh_tesh!O31=0,0,SER_hh_tesh!O31/SER_summary!O$26)</f>
        <v>14.181316142179492</v>
      </c>
      <c r="P31" s="133">
        <f>IF(SER_hh_tesh!P31=0,0,SER_hh_tesh!P31/SER_summary!P$26)</f>
        <v>14.04614941291978</v>
      </c>
      <c r="Q31" s="133">
        <f>IF(SER_hh_tesh!Q31=0,0,SER_hh_tesh!Q31/SER_summary!Q$26)</f>
        <v>14.132660859892937</v>
      </c>
      <c r="R31" s="133">
        <f>IF(SER_hh_tesh!R31=0,0,SER_hh_tesh!R31/SER_summary!R$26)</f>
        <v>13.986739244462603</v>
      </c>
      <c r="S31" s="133">
        <f>IF(SER_hh_tesh!S31=0,0,SER_hh_tesh!S31/SER_summary!S$26)</f>
        <v>15.844117697854154</v>
      </c>
      <c r="T31" s="133">
        <f>IF(SER_hh_tesh!T31=0,0,SER_hh_tesh!T31/SER_summary!T$26)</f>
        <v>14.33801859928127</v>
      </c>
      <c r="U31" s="133">
        <f>IF(SER_hh_tesh!U31=0,0,SER_hh_tesh!U31/SER_summary!U$26)</f>
        <v>13.899300319287935</v>
      </c>
      <c r="V31" s="133">
        <f>IF(SER_hh_tesh!V31=0,0,SER_hh_tesh!V31/SER_summary!V$26)</f>
        <v>13.436161353578495</v>
      </c>
      <c r="W31" s="133">
        <f>IF(SER_hh_tesh!W31=0,0,SER_hh_tesh!W31/SER_summary!W$26)</f>
        <v>18.310338218939957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15.67679471267736</v>
      </c>
      <c r="C33" s="68">
        <f>IF(SER_hh_tesh!C33=0,0,SER_hh_tesh!C33/SER_summary!C$26)</f>
        <v>15.266326661600473</v>
      </c>
      <c r="D33" s="68">
        <f>IF(SER_hh_tesh!D33=0,0,SER_hh_tesh!D33/SER_summary!D$26)</f>
        <v>14.937153665949303</v>
      </c>
      <c r="E33" s="68">
        <f>IF(SER_hh_tesh!E33=0,0,SER_hh_tesh!E33/SER_summary!E$26)</f>
        <v>14.728672831173705</v>
      </c>
      <c r="F33" s="68">
        <f>IF(SER_hh_tesh!F33=0,0,SER_hh_tesh!F33/SER_summary!F$26)</f>
        <v>14.675659613453968</v>
      </c>
      <c r="G33" s="68">
        <f>IF(SER_hh_tesh!G33=0,0,SER_hh_tesh!G33/SER_summary!G$26)</f>
        <v>14.485431555410056</v>
      </c>
      <c r="H33" s="68">
        <f>IF(SER_hh_tesh!H33=0,0,SER_hh_tesh!H33/SER_summary!H$26)</f>
        <v>14.511281259609444</v>
      </c>
      <c r="I33" s="68">
        <f>IF(SER_hh_tesh!I33=0,0,SER_hh_tesh!I33/SER_summary!I$26)</f>
        <v>14.255850786391454</v>
      </c>
      <c r="J33" s="68">
        <f>IF(SER_hh_tesh!J33=0,0,SER_hh_tesh!J33/SER_summary!J$26)</f>
        <v>14.098089343561911</v>
      </c>
      <c r="K33" s="68">
        <f>IF(SER_hh_tesh!K33=0,0,SER_hh_tesh!K33/SER_summary!K$26)</f>
        <v>14.169730572737025</v>
      </c>
      <c r="L33" s="68">
        <f>IF(SER_hh_tesh!L33=0,0,SER_hh_tesh!L33/SER_summary!L$26)</f>
        <v>13.981932154317638</v>
      </c>
      <c r="M33" s="68">
        <f>IF(SER_hh_tesh!M33=0,0,SER_hh_tesh!M33/SER_summary!M$26)</f>
        <v>14.10597901593578</v>
      </c>
      <c r="N33" s="68">
        <f>IF(SER_hh_tesh!N33=0,0,SER_hh_tesh!N33/SER_summary!N$26)</f>
        <v>14.036316814469062</v>
      </c>
      <c r="O33" s="68">
        <f>IF(SER_hh_tesh!O33=0,0,SER_hh_tesh!O33/SER_summary!O$26)</f>
        <v>13.896903929719841</v>
      </c>
      <c r="P33" s="68">
        <f>IF(SER_hh_tesh!P33=0,0,SER_hh_tesh!P33/SER_summary!P$26)</f>
        <v>14.056803150273373</v>
      </c>
      <c r="Q33" s="68">
        <f>IF(SER_hh_tesh!Q33=0,0,SER_hh_tesh!Q33/SER_summary!Q$26)</f>
        <v>14.235779604703458</v>
      </c>
      <c r="R33" s="68">
        <f>IF(SER_hh_tesh!R33=0,0,SER_hh_tesh!R33/SER_summary!R$26)</f>
        <v>14.644086074302658</v>
      </c>
      <c r="S33" s="68">
        <f>IF(SER_hh_tesh!S33=0,0,SER_hh_tesh!S33/SER_summary!S$26)</f>
        <v>14.584954510006737</v>
      </c>
      <c r="T33" s="68">
        <f>IF(SER_hh_tesh!T33=0,0,SER_hh_tesh!T33/SER_summary!T$26)</f>
        <v>14.642280121736556</v>
      </c>
      <c r="U33" s="68">
        <f>IF(SER_hh_tesh!U33=0,0,SER_hh_tesh!U33/SER_summary!U$26)</f>
        <v>15.109015687361815</v>
      </c>
      <c r="V33" s="68">
        <f>IF(SER_hh_tesh!V33=0,0,SER_hh_tesh!V33/SER_summary!V$26)</f>
        <v>13.872869709373083</v>
      </c>
      <c r="W33" s="68">
        <f>IF(SER_hh_tesh!W33=0,0,SER_hh_tesh!W33/SER_summary!W$26)</f>
        <v>15.462909809602051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12.357776864509676</v>
      </c>
      <c r="C3" s="126">
        <f>IF(SER_hh_emih!C3=0,0,SER_hh_emih!C3/SER_summary!C$26)</f>
        <v>12.697376317464677</v>
      </c>
      <c r="D3" s="126">
        <f>IF(SER_hh_emih!D3=0,0,SER_hh_emih!D3/SER_summary!D$26)</f>
        <v>12.397613547227914</v>
      </c>
      <c r="E3" s="126">
        <f>IF(SER_hh_emih!E3=0,0,SER_hh_emih!E3/SER_summary!E$26)</f>
        <v>12.075814821815039</v>
      </c>
      <c r="F3" s="126">
        <f>IF(SER_hh_emih!F3=0,0,SER_hh_emih!F3/SER_summary!F$26)</f>
        <v>11.545243797569922</v>
      </c>
      <c r="G3" s="126">
        <f>IF(SER_hh_emih!G3=0,0,SER_hh_emih!G3/SER_summary!G$26)</f>
        <v>10.85322024967936</v>
      </c>
      <c r="H3" s="126">
        <f>IF(SER_hh_emih!H3=0,0,SER_hh_emih!H3/SER_summary!H$26)</f>
        <v>10.54022287265804</v>
      </c>
      <c r="I3" s="126">
        <f>IF(SER_hh_emih!I3=0,0,SER_hh_emih!I3/SER_summary!I$26)</f>
        <v>9.8790944933452511</v>
      </c>
      <c r="J3" s="126">
        <f>IF(SER_hh_emih!J3=0,0,SER_hh_emih!J3/SER_summary!J$26)</f>
        <v>8.3449595358169795</v>
      </c>
      <c r="K3" s="126">
        <f>IF(SER_hh_emih!K3=0,0,SER_hh_emih!K3/SER_summary!K$26)</f>
        <v>8.8551334042514664</v>
      </c>
      <c r="L3" s="126">
        <f>IF(SER_hh_emih!L3=0,0,SER_hh_emih!L3/SER_summary!L$26)</f>
        <v>10.309745248868222</v>
      </c>
      <c r="M3" s="126">
        <f>IF(SER_hh_emih!M3=0,0,SER_hh_emih!M3/SER_summary!M$26)</f>
        <v>9.0200799342285052</v>
      </c>
      <c r="N3" s="126">
        <f>IF(SER_hh_emih!N3=0,0,SER_hh_emih!N3/SER_summary!N$26)</f>
        <v>9.7212794037151156</v>
      </c>
      <c r="O3" s="126">
        <f>IF(SER_hh_emih!O3=0,0,SER_hh_emih!O3/SER_summary!O$26)</f>
        <v>8.7971770144965244</v>
      </c>
      <c r="P3" s="126">
        <f>IF(SER_hh_emih!P3=0,0,SER_hh_emih!P3/SER_summary!P$26)</f>
        <v>8.6633596505155399</v>
      </c>
      <c r="Q3" s="126">
        <f>IF(SER_hh_emih!Q3=0,0,SER_hh_emih!Q3/SER_summary!Q$26)</f>
        <v>7.9811361071548701</v>
      </c>
      <c r="R3" s="126">
        <f>IF(SER_hh_emih!R3=0,0,SER_hh_emih!R3/SER_summary!R$26)</f>
        <v>8.6837135021304785</v>
      </c>
      <c r="S3" s="126">
        <f>IF(SER_hh_emih!S3=0,0,SER_hh_emih!S3/SER_summary!S$26)</f>
        <v>8.4902187057898164</v>
      </c>
      <c r="T3" s="126">
        <f>IF(SER_hh_emih!T3=0,0,SER_hh_emih!T3/SER_summary!T$26)</f>
        <v>8.3024515065794926</v>
      </c>
      <c r="U3" s="126">
        <f>IF(SER_hh_emih!U3=0,0,SER_hh_emih!U3/SER_summary!U$26)</f>
        <v>8.1919579250003061</v>
      </c>
      <c r="V3" s="126">
        <f>IF(SER_hh_emih!V3=0,0,SER_hh_emih!V3/SER_summary!V$26)</f>
        <v>7.3669690911491568</v>
      </c>
      <c r="W3" s="126">
        <f>IF(SER_hh_emih!W3=0,0,SER_hh_emih!W3/SER_summary!W$26)</f>
        <v>8.4187801689584418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11.473460834603017</v>
      </c>
      <c r="C4" s="131">
        <f>IF(SER_hh_emih!C4=0,0,SER_hh_emih!C4/SER_summary!C$26)</f>
        <v>11.799564700291155</v>
      </c>
      <c r="D4" s="131">
        <f>IF(SER_hh_emih!D4=0,0,SER_hh_emih!D4/SER_summary!D$26)</f>
        <v>11.482032526842577</v>
      </c>
      <c r="E4" s="131">
        <f>IF(SER_hh_emih!E4=0,0,SER_hh_emih!E4/SER_summary!E$26)</f>
        <v>11.158497039629099</v>
      </c>
      <c r="F4" s="131">
        <f>IF(SER_hh_emih!F4=0,0,SER_hh_emih!F4/SER_summary!F$26)</f>
        <v>10.640088203035514</v>
      </c>
      <c r="G4" s="131">
        <f>IF(SER_hh_emih!G4=0,0,SER_hh_emih!G4/SER_summary!G$26)</f>
        <v>9.9565389437001688</v>
      </c>
      <c r="H4" s="131">
        <f>IF(SER_hh_emih!H4=0,0,SER_hh_emih!H4/SER_summary!H$26)</f>
        <v>9.6447646546515813</v>
      </c>
      <c r="I4" s="131">
        <f>IF(SER_hh_emih!I4=0,0,SER_hh_emih!I4/SER_summary!I$26)</f>
        <v>9.0023690527592173</v>
      </c>
      <c r="J4" s="131">
        <f>IF(SER_hh_emih!J4=0,0,SER_hh_emih!J4/SER_summary!J$26)</f>
        <v>7.4585722386661084</v>
      </c>
      <c r="K4" s="131">
        <f>IF(SER_hh_emih!K4=0,0,SER_hh_emih!K4/SER_summary!K$26)</f>
        <v>8.0009413535242366</v>
      </c>
      <c r="L4" s="131">
        <f>IF(SER_hh_emih!L4=0,0,SER_hh_emih!L4/SER_summary!L$26)</f>
        <v>9.4102471833918315</v>
      </c>
      <c r="M4" s="131">
        <f>IF(SER_hh_emih!M4=0,0,SER_hh_emih!M4/SER_summary!M$26)</f>
        <v>8.1259919690199212</v>
      </c>
      <c r="N4" s="131">
        <f>IF(SER_hh_emih!N4=0,0,SER_hh_emih!N4/SER_summary!N$26)</f>
        <v>8.8662619570307086</v>
      </c>
      <c r="O4" s="131">
        <f>IF(SER_hh_emih!O4=0,0,SER_hh_emih!O4/SER_summary!O$26)</f>
        <v>7.9412052105362019</v>
      </c>
      <c r="P4" s="131">
        <f>IF(SER_hh_emih!P4=0,0,SER_hh_emih!P4/SER_summary!P$26)</f>
        <v>7.8474832938830268</v>
      </c>
      <c r="Q4" s="131">
        <f>IF(SER_hh_emih!Q4=0,0,SER_hh_emih!Q4/SER_summary!Q$26)</f>
        <v>7.1752583330107038</v>
      </c>
      <c r="R4" s="131">
        <f>IF(SER_hh_emih!R4=0,0,SER_hh_emih!R4/SER_summary!R$26)</f>
        <v>7.8811099864976315</v>
      </c>
      <c r="S4" s="131">
        <f>IF(SER_hh_emih!S4=0,0,SER_hh_emih!S4/SER_summary!S$26)</f>
        <v>7.7888792108111851</v>
      </c>
      <c r="T4" s="131">
        <f>IF(SER_hh_emih!T4=0,0,SER_hh_emih!T4/SER_summary!T$26)</f>
        <v>7.7026966250408373</v>
      </c>
      <c r="U4" s="131">
        <f>IF(SER_hh_emih!U4=0,0,SER_hh_emih!U4/SER_summary!U$26)</f>
        <v>7.6232449579441974</v>
      </c>
      <c r="V4" s="131">
        <f>IF(SER_hh_emih!V4=0,0,SER_hh_emih!V4/SER_summary!V$26)</f>
        <v>6.867911399347201</v>
      </c>
      <c r="W4" s="131">
        <f>IF(SER_hh_emih!W4=0,0,SER_hh_emih!W4/SER_summary!W$26)</f>
        <v>7.8614034850747796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90.054911559726278</v>
      </c>
      <c r="C5" s="133">
        <f>IF(SER_hh_emih!C5=0,0,SER_hh_emih!C5/SER_summary!C$26)</f>
        <v>96.065564086035607</v>
      </c>
      <c r="D5" s="133">
        <f>IF(SER_hh_emih!D5=0,0,SER_hh_emih!D5/SER_summary!D$26)</f>
        <v>97.210948251287547</v>
      </c>
      <c r="E5" s="133">
        <f>IF(SER_hh_emih!E5=0,0,SER_hh_emih!E5/SER_summary!E$26)</f>
        <v>98.099021311436104</v>
      </c>
      <c r="F5" s="133">
        <f>IF(SER_hh_emih!F5=0,0,SER_hh_emih!F5/SER_summary!F$26)</f>
        <v>92.978253924916359</v>
      </c>
      <c r="G5" s="133">
        <f>IF(SER_hh_emih!G5=0,0,SER_hh_emih!G5/SER_summary!G$26)</f>
        <v>90.59950734846646</v>
      </c>
      <c r="H5" s="133">
        <f>IF(SER_hh_emih!H5=0,0,SER_hh_emih!H5/SER_summary!H$26)</f>
        <v>94.370542466568253</v>
      </c>
      <c r="I5" s="133">
        <f>IF(SER_hh_emih!I5=0,0,SER_hh_emih!I5/SER_summary!I$26)</f>
        <v>78.404583589713312</v>
      </c>
      <c r="J5" s="133">
        <f>IF(SER_hh_emih!J5=0,0,SER_hh_emih!J5/SER_summary!J$26)</f>
        <v>93.407111997151674</v>
      </c>
      <c r="K5" s="133">
        <f>IF(SER_hh_emih!K5=0,0,SER_hh_emih!K5/SER_summary!K$26)</f>
        <v>100.88825651563754</v>
      </c>
      <c r="L5" s="133">
        <f>IF(SER_hh_emih!L5=0,0,SER_hh_emih!L5/SER_summary!L$26)</f>
        <v>107.77679404416249</v>
      </c>
      <c r="M5" s="133">
        <f>IF(SER_hh_emih!M5=0,0,SER_hh_emih!M5/SER_summary!M$26)</f>
        <v>86.895283422422708</v>
      </c>
      <c r="N5" s="133">
        <f>IF(SER_hh_emih!N5=0,0,SER_hh_emih!N5/SER_summary!N$26)</f>
        <v>99.453140646941989</v>
      </c>
      <c r="O5" s="133">
        <f>IF(SER_hh_emih!O5=0,0,SER_hh_emih!O5/SER_summary!O$26)</f>
        <v>89.755195724126196</v>
      </c>
      <c r="P5" s="133">
        <f>IF(SER_hh_emih!P5=0,0,SER_hh_emih!P5/SER_summary!P$26)</f>
        <v>92.082280849740826</v>
      </c>
      <c r="Q5" s="133">
        <f>IF(SER_hh_emih!Q5=0,0,SER_hh_emih!Q5/SER_summary!Q$26)</f>
        <v>83.080889786236213</v>
      </c>
      <c r="R5" s="133">
        <f>IF(SER_hh_emih!R5=0,0,SER_hh_emih!R5/SER_summary!R$26)</f>
        <v>90.650151572390087</v>
      </c>
      <c r="S5" s="133">
        <f>IF(SER_hh_emih!S5=0,0,SER_hh_emih!S5/SER_summary!S$26)</f>
        <v>88.559862566734097</v>
      </c>
      <c r="T5" s="133">
        <f>IF(SER_hh_emih!T5=0,0,SER_hh_emih!T5/SER_summary!T$26)</f>
        <v>88.669188399727133</v>
      </c>
      <c r="U5" s="133">
        <f>IF(SER_hh_emih!U5=0,0,SER_hh_emih!U5/SER_summary!U$26)</f>
        <v>89.759670333783859</v>
      </c>
      <c r="V5" s="133">
        <f>IF(SER_hh_emih!V5=0,0,SER_hh_emih!V5/SER_summary!V$26)</f>
        <v>80.353938093698389</v>
      </c>
      <c r="W5" s="133">
        <f>IF(SER_hh_emih!W5=0,0,SER_hh_emih!W5/SER_summary!W$26)</f>
        <v>87.86426316142942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72.958118766253591</v>
      </c>
      <c r="C7" s="133">
        <f>IF(SER_hh_emih!C7=0,0,SER_hh_emih!C7/SER_summary!C$26)</f>
        <v>78.960053976921415</v>
      </c>
      <c r="D7" s="133">
        <f>IF(SER_hh_emih!D7=0,0,SER_hh_emih!D7/SER_summary!D$26)</f>
        <v>79.537278565334773</v>
      </c>
      <c r="E7" s="133">
        <f>IF(SER_hh_emih!E7=0,0,SER_hh_emih!E7/SER_summary!E$26)</f>
        <v>79.524857649501058</v>
      </c>
      <c r="F7" s="133">
        <f>IF(SER_hh_emih!F7=0,0,SER_hh_emih!F7/SER_summary!F$26)</f>
        <v>77.535013933389109</v>
      </c>
      <c r="G7" s="133">
        <f>IF(SER_hh_emih!G7=0,0,SER_hh_emih!G7/SER_summary!G$26)</f>
        <v>74.733395516090567</v>
      </c>
      <c r="H7" s="133">
        <f>IF(SER_hh_emih!H7=0,0,SER_hh_emih!H7/SER_summary!H$26)</f>
        <v>77.21437370826466</v>
      </c>
      <c r="I7" s="133">
        <f>IF(SER_hh_emih!I7=0,0,SER_hh_emih!I7/SER_summary!I$26)</f>
        <v>79.498730251518538</v>
      </c>
      <c r="J7" s="133">
        <f>IF(SER_hh_emih!J7=0,0,SER_hh_emih!J7/SER_summary!J$26)</f>
        <v>69.391615958867547</v>
      </c>
      <c r="K7" s="133">
        <f>IF(SER_hh_emih!K7=0,0,SER_hh_emih!K7/SER_summary!K$26)</f>
        <v>77.647254007028707</v>
      </c>
      <c r="L7" s="133">
        <f>IF(SER_hh_emih!L7=0,0,SER_hh_emih!L7/SER_summary!L$26)</f>
        <v>87.935170838923881</v>
      </c>
      <c r="M7" s="133">
        <f>IF(SER_hh_emih!M7=0,0,SER_hh_emih!M7/SER_summary!M$26)</f>
        <v>70.734402774560849</v>
      </c>
      <c r="N7" s="133">
        <f>IF(SER_hh_emih!N7=0,0,SER_hh_emih!N7/SER_summary!N$26)</f>
        <v>76.8190031155425</v>
      </c>
      <c r="O7" s="133">
        <f>IF(SER_hh_emih!O7=0,0,SER_hh_emih!O7/SER_summary!O$26)</f>
        <v>68.74690098797322</v>
      </c>
      <c r="P7" s="133">
        <f>IF(SER_hh_emih!P7=0,0,SER_hh_emih!P7/SER_summary!P$26)</f>
        <v>69.139521476476048</v>
      </c>
      <c r="Q7" s="133">
        <f>IF(SER_hh_emih!Q7=0,0,SER_hh_emih!Q7/SER_summary!Q$26)</f>
        <v>62.657997100048036</v>
      </c>
      <c r="R7" s="133">
        <f>IF(SER_hh_emih!R7=0,0,SER_hh_emih!R7/SER_summary!R$26)</f>
        <v>67.985387031504658</v>
      </c>
      <c r="S7" s="133">
        <f>IF(SER_hh_emih!S7=0,0,SER_hh_emih!S7/SER_summary!S$26)</f>
        <v>65.833790606862578</v>
      </c>
      <c r="T7" s="133">
        <f>IF(SER_hh_emih!T7=0,0,SER_hh_emih!T7/SER_summary!T$26)</f>
        <v>64.656028240208428</v>
      </c>
      <c r="U7" s="133">
        <f>IF(SER_hh_emih!U7=0,0,SER_hh_emih!U7/SER_summary!U$26)</f>
        <v>62.266428888142201</v>
      </c>
      <c r="V7" s="133">
        <f>IF(SER_hh_emih!V7=0,0,SER_hh_emih!V7/SER_summary!V$26)</f>
        <v>54.839328624210353</v>
      </c>
      <c r="W7" s="133">
        <f>IF(SER_hh_emih!W7=0,0,SER_hh_emih!W7/SER_summary!W$26)</f>
        <v>61.763144421381469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40.93344024720065</v>
      </c>
      <c r="C9" s="133">
        <f>IF(SER_hh_emih!C9=0,0,SER_hh_emih!C9/SER_summary!C$26)</f>
        <v>40.218340889170719</v>
      </c>
      <c r="D9" s="133">
        <f>IF(SER_hh_emih!D9=0,0,SER_hh_emih!D9/SER_summary!D$26)</f>
        <v>41.96979223100513</v>
      </c>
      <c r="E9" s="133">
        <f>IF(SER_hh_emih!E9=0,0,SER_hh_emih!E9/SER_summary!E$26)</f>
        <v>38.356110075372662</v>
      </c>
      <c r="F9" s="133">
        <f>IF(SER_hh_emih!F9=0,0,SER_hh_emih!F9/SER_summary!F$26)</f>
        <v>37.414520990003304</v>
      </c>
      <c r="G9" s="133">
        <f>IF(SER_hh_emih!G9=0,0,SER_hh_emih!G9/SER_summary!G$26)</f>
        <v>36.692961978829736</v>
      </c>
      <c r="H9" s="133">
        <f>IF(SER_hh_emih!H9=0,0,SER_hh_emih!H9/SER_summary!H$26)</f>
        <v>35.759355326027816</v>
      </c>
      <c r="I9" s="133">
        <f>IF(SER_hh_emih!I9=0,0,SER_hh_emih!I9/SER_summary!I$26)</f>
        <v>35.733642254334129</v>
      </c>
      <c r="J9" s="133">
        <f>IF(SER_hh_emih!J9=0,0,SER_hh_emih!J9/SER_summary!J$26)</f>
        <v>35.604714041350135</v>
      </c>
      <c r="K9" s="133">
        <f>IF(SER_hh_emih!K9=0,0,SER_hh_emih!K9/SER_summary!K$26)</f>
        <v>35.446235446338974</v>
      </c>
      <c r="L9" s="133">
        <f>IF(SER_hh_emih!L9=0,0,SER_hh_emih!L9/SER_summary!L$26)</f>
        <v>38.431422880583817</v>
      </c>
      <c r="M9" s="133">
        <f>IF(SER_hh_emih!M9=0,0,SER_hh_emih!M9/SER_summary!M$26)</f>
        <v>47.870600396765155</v>
      </c>
      <c r="N9" s="133">
        <f>IF(SER_hh_emih!N9=0,0,SER_hh_emih!N9/SER_summary!N$26)</f>
        <v>42.557781201578607</v>
      </c>
      <c r="O9" s="133">
        <f>IF(SER_hh_emih!O9=0,0,SER_hh_emih!O9/SER_summary!O$26)</f>
        <v>40.034108490110441</v>
      </c>
      <c r="P9" s="133">
        <f>IF(SER_hh_emih!P9=0,0,SER_hh_emih!P9/SER_summary!P$26)</f>
        <v>32.391687500725205</v>
      </c>
      <c r="Q9" s="133">
        <f>IF(SER_hh_emih!Q9=0,0,SER_hh_emih!Q9/SER_summary!Q$26)</f>
        <v>29.676176546507069</v>
      </c>
      <c r="R9" s="133">
        <f>IF(SER_hh_emih!R9=0,0,SER_hh_emih!R9/SER_summary!R$26)</f>
        <v>29.57948466435499</v>
      </c>
      <c r="S9" s="133">
        <f>IF(SER_hh_emih!S9=0,0,SER_hh_emih!S9/SER_summary!S$26)</f>
        <v>29.205513188071297</v>
      </c>
      <c r="T9" s="133">
        <f>IF(SER_hh_emih!T9=0,0,SER_hh_emih!T9/SER_summary!T$26)</f>
        <v>26.360184158613098</v>
      </c>
      <c r="U9" s="133">
        <f>IF(SER_hh_emih!U9=0,0,SER_hh_emih!U9/SER_summary!U$26)</f>
        <v>27.24601991297083</v>
      </c>
      <c r="V9" s="133">
        <f>IF(SER_hh_emih!V9=0,0,SER_hh_emih!V9/SER_summary!V$26)</f>
        <v>23.33812425721489</v>
      </c>
      <c r="W9" s="133">
        <f>IF(SER_hh_emih!W9=0,0,SER_hh_emih!W9/SER_summary!W$26)</f>
        <v>27.940615726638132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7.1527335839113153</v>
      </c>
      <c r="K10" s="133">
        <f>IF(SER_hh_emih!K10=0,0,SER_hh_emih!K10/SER_summary!K$26)</f>
        <v>2.6400131140045517</v>
      </c>
      <c r="L10" s="133">
        <f>IF(SER_hh_emih!L10=0,0,SER_hh_emih!L10/SER_summary!L$26)</f>
        <v>3.2686292673716437</v>
      </c>
      <c r="M10" s="133">
        <f>IF(SER_hh_emih!M10=0,0,SER_hh_emih!M10/SER_summary!M$26)</f>
        <v>3.5263143958991692</v>
      </c>
      <c r="N10" s="133">
        <f>IF(SER_hh_emih!N10=0,0,SER_hh_emih!N10/SER_summary!N$26)</f>
        <v>2.6872381510656704</v>
      </c>
      <c r="O10" s="133">
        <f>IF(SER_hh_emih!O10=0,0,SER_hh_emih!O10/SER_summary!O$26)</f>
        <v>0.79320224127641836</v>
      </c>
      <c r="P10" s="133">
        <f>IF(SER_hh_emih!P10=0,0,SER_hh_emih!P10/SER_summary!P$26)</f>
        <v>1.8136035356478823</v>
      </c>
      <c r="Q10" s="133">
        <f>IF(SER_hh_emih!Q10=0,0,SER_hh_emih!Q10/SER_summary!Q$26)</f>
        <v>1.8768541808596031</v>
      </c>
      <c r="R10" s="133">
        <f>IF(SER_hh_emih!R10=0,0,SER_hh_emih!R10/SER_summary!R$26)</f>
        <v>2.0839162376553118</v>
      </c>
      <c r="S10" s="133">
        <f>IF(SER_hh_emih!S10=0,0,SER_hh_emih!S10/SER_summary!S$26)</f>
        <v>1.9023361611329608</v>
      </c>
      <c r="T10" s="133">
        <f>IF(SER_hh_emih!T10=0,0,SER_hh_emih!T10/SER_summary!T$26)</f>
        <v>2.2964396305528734</v>
      </c>
      <c r="U10" s="133">
        <f>IF(SER_hh_emih!U10=0,0,SER_hh_emih!U10/SER_summary!U$26)</f>
        <v>1.6617012792990749</v>
      </c>
      <c r="V10" s="133">
        <f>IF(SER_hh_emih!V10=0,0,SER_hh_emih!V10/SER_summary!V$26)</f>
        <v>2.0379431495806482</v>
      </c>
      <c r="W10" s="133">
        <f>IF(SER_hh_emih!W10=0,0,SER_hh_emih!W10/SER_summary!W$26)</f>
        <v>2.4634168414631628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0.79261591384255747</v>
      </c>
      <c r="C19" s="131">
        <f>IF(SER_hh_emih!C19=0,0,SER_hh_emih!C19/SER_summary!C$26)</f>
        <v>0.79945260209394431</v>
      </c>
      <c r="D19" s="131">
        <f>IF(SER_hh_emih!D19=0,0,SER_hh_emih!D19/SER_summary!D$26)</f>
        <v>0.81949140414494992</v>
      </c>
      <c r="E19" s="131">
        <f>IF(SER_hh_emih!E19=0,0,SER_hh_emih!E19/SER_summary!E$26)</f>
        <v>0.82429671094466939</v>
      </c>
      <c r="F19" s="131">
        <f>IF(SER_hh_emih!F19=0,0,SER_hh_emih!F19/SER_summary!F$26)</f>
        <v>0.81530929433293897</v>
      </c>
      <c r="G19" s="131">
        <f>IF(SER_hh_emih!G19=0,0,SER_hh_emih!G19/SER_summary!G$26)</f>
        <v>0.80538443122561554</v>
      </c>
      <c r="H19" s="131">
        <f>IF(SER_hh_emih!H19=0,0,SER_hh_emih!H19/SER_summary!H$26)</f>
        <v>0.80457857701901292</v>
      </c>
      <c r="I19" s="131">
        <f>IF(SER_hh_emih!I19=0,0,SER_hh_emih!I19/SER_summary!I$26)</f>
        <v>0.78986215014081496</v>
      </c>
      <c r="J19" s="131">
        <f>IF(SER_hh_emih!J19=0,0,SER_hh_emih!J19/SER_summary!J$26)</f>
        <v>0.80220194098794395</v>
      </c>
      <c r="K19" s="131">
        <f>IF(SER_hh_emih!K19=0,0,SER_hh_emih!K19/SER_summary!K$26)</f>
        <v>0.77487911043956048</v>
      </c>
      <c r="L19" s="131">
        <f>IF(SER_hh_emih!L19=0,0,SER_hh_emih!L19/SER_summary!L$26)</f>
        <v>0.82343838058316077</v>
      </c>
      <c r="M19" s="131">
        <f>IF(SER_hh_emih!M19=0,0,SER_hh_emih!M19/SER_summary!M$26)</f>
        <v>0.82566518339345119</v>
      </c>
      <c r="N19" s="131">
        <f>IF(SER_hh_emih!N19=0,0,SER_hh_emih!N19/SER_summary!N$26)</f>
        <v>0.79941874135802815</v>
      </c>
      <c r="O19" s="131">
        <f>IF(SER_hh_emih!O19=0,0,SER_hh_emih!O19/SER_summary!O$26)</f>
        <v>0.79174574534495645</v>
      </c>
      <c r="P19" s="131">
        <f>IF(SER_hh_emih!P19=0,0,SER_hh_emih!P19/SER_summary!P$26)</f>
        <v>0.75828802504610859</v>
      </c>
      <c r="Q19" s="131">
        <f>IF(SER_hh_emih!Q19=0,0,SER_hh_emih!Q19/SER_summary!Q$26)</f>
        <v>0.74684846568746599</v>
      </c>
      <c r="R19" s="131">
        <f>IF(SER_hh_emih!R19=0,0,SER_hh_emih!R19/SER_summary!R$26)</f>
        <v>0.74492972929646817</v>
      </c>
      <c r="S19" s="131">
        <f>IF(SER_hh_emih!S19=0,0,SER_hh_emih!S19/SER_summary!S$26)</f>
        <v>0.64854056634101254</v>
      </c>
      <c r="T19" s="131">
        <f>IF(SER_hh_emih!T19=0,0,SER_hh_emih!T19/SER_summary!T$26)</f>
        <v>0.55612883217001097</v>
      </c>
      <c r="U19" s="131">
        <f>IF(SER_hh_emih!U19=0,0,SER_hh_emih!U19/SER_summary!U$26)</f>
        <v>0.5244999985035752</v>
      </c>
      <c r="V19" s="131">
        <f>IF(SER_hh_emih!V19=0,0,SER_hh_emih!V19/SER_summary!V$26)</f>
        <v>0.45792746498341697</v>
      </c>
      <c r="W19" s="131">
        <f>IF(SER_hh_emih!W19=0,0,SER_hh_emih!W19/SER_summary!W$26)</f>
        <v>0.50376904560892199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8.8533648481138876</v>
      </c>
      <c r="C22" s="133">
        <f>IF(SER_hh_emih!C22=0,0,SER_hh_emih!C22/SER_summary!C$26)</f>
        <v>8.7987099041252161</v>
      </c>
      <c r="D22" s="133">
        <f>IF(SER_hh_emih!D22=0,0,SER_hh_emih!D22/SER_summary!D$26)</f>
        <v>8.8676286559900497</v>
      </c>
      <c r="E22" s="133">
        <f>IF(SER_hh_emih!E22=0,0,SER_hh_emih!E22/SER_summary!E$26)</f>
        <v>8.8363034556898086</v>
      </c>
      <c r="F22" s="133">
        <f>IF(SER_hh_emih!F22=0,0,SER_hh_emih!F22/SER_summary!F$26)</f>
        <v>8.7360777488508745</v>
      </c>
      <c r="G22" s="133">
        <f>IF(SER_hh_emih!G22=0,0,SER_hh_emih!G22/SER_summary!G$26)</f>
        <v>8.6263509178843236</v>
      </c>
      <c r="H22" s="133">
        <f>IF(SER_hh_emih!H22=0,0,SER_hh_emih!H22/SER_summary!H$26)</f>
        <v>8.6792641580563625</v>
      </c>
      <c r="I22" s="133">
        <f>IF(SER_hh_emih!I22=0,0,SER_hh_emih!I22/SER_summary!I$26)</f>
        <v>8.5939192758290517</v>
      </c>
      <c r="J22" s="133">
        <f>IF(SER_hh_emih!J22=0,0,SER_hh_emih!J22/SER_summary!J$26)</f>
        <v>8.4543218606073971</v>
      </c>
      <c r="K22" s="133">
        <f>IF(SER_hh_emih!K22=0,0,SER_hh_emih!K22/SER_summary!K$26)</f>
        <v>8.1856740634497722</v>
      </c>
      <c r="L22" s="133">
        <f>IF(SER_hh_emih!L22=0,0,SER_hh_emih!L22/SER_summary!L$26)</f>
        <v>8.5108340204389368</v>
      </c>
      <c r="M22" s="133">
        <f>IF(SER_hh_emih!M22=0,0,SER_hh_emih!M22/SER_summary!M$26)</f>
        <v>8.4342303205674174</v>
      </c>
      <c r="N22" s="133">
        <f>IF(SER_hh_emih!N22=0,0,SER_hh_emih!N22/SER_summary!N$26)</f>
        <v>8.3510397509656578</v>
      </c>
      <c r="O22" s="133">
        <f>IF(SER_hh_emih!O22=0,0,SER_hh_emih!O22/SER_summary!O$26)</f>
        <v>8.4212691859713562</v>
      </c>
      <c r="P22" s="133">
        <f>IF(SER_hh_emih!P22=0,0,SER_hh_emih!P22/SER_summary!P$26)</f>
        <v>8.277719870227374</v>
      </c>
      <c r="Q22" s="133">
        <f>IF(SER_hh_emih!Q22=0,0,SER_hh_emih!Q22/SER_summary!Q$26)</f>
        <v>8.356389345963402</v>
      </c>
      <c r="R22" s="133">
        <f>IF(SER_hh_emih!R22=0,0,SER_hh_emih!R22/SER_summary!R$26)</f>
        <v>8.7149374925251415</v>
      </c>
      <c r="S22" s="133">
        <f>IF(SER_hh_emih!S22=0,0,SER_hh_emih!S22/SER_summary!S$26)</f>
        <v>8.2266039644007574</v>
      </c>
      <c r="T22" s="133">
        <f>IF(SER_hh_emih!T22=0,0,SER_hh_emih!T22/SER_summary!T$26)</f>
        <v>7.7447331389378844</v>
      </c>
      <c r="U22" s="133">
        <f>IF(SER_hh_emih!U22=0,0,SER_hh_emih!U22/SER_summary!U$26)</f>
        <v>7.7543936906163271</v>
      </c>
      <c r="V22" s="133">
        <f>IF(SER_hh_emih!V22=0,0,SER_hh_emih!V22/SER_summary!V$26)</f>
        <v>6.9285271194726148</v>
      </c>
      <c r="W22" s="133">
        <f>IF(SER_hh_emih!W22=0,0,SER_hh_emih!W22/SER_summary!W$26)</f>
        <v>7.5153318184444924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4.8581517762590831</v>
      </c>
      <c r="C23" s="133">
        <f>IF(SER_hh_emih!C23=0,0,SER_hh_emih!C23/SER_summary!C$26)</f>
        <v>5.203243988020203</v>
      </c>
      <c r="D23" s="133">
        <f>IF(SER_hh_emih!D23=0,0,SER_hh_emih!D23/SER_summary!D$26)</f>
        <v>4.9467425968362759</v>
      </c>
      <c r="E23" s="133">
        <f>IF(SER_hh_emih!E23=0,0,SER_hh_emih!E23/SER_summary!E$26)</f>
        <v>4.6752861357368074</v>
      </c>
      <c r="F23" s="133">
        <f>IF(SER_hh_emih!F23=0,0,SER_hh_emih!F23/SER_summary!F$26)</f>
        <v>4.4884651688969521</v>
      </c>
      <c r="G23" s="133">
        <f>IF(SER_hh_emih!G23=0,0,SER_hh_emih!G23/SER_summary!G$26)</f>
        <v>4.5857089894810192</v>
      </c>
      <c r="H23" s="133">
        <f>IF(SER_hh_emih!H23=0,0,SER_hh_emih!H23/SER_summary!H$26)</f>
        <v>4.4491822705517876</v>
      </c>
      <c r="I23" s="133">
        <f>IF(SER_hh_emih!I23=0,0,SER_hh_emih!I23/SER_summary!I$26)</f>
        <v>4.3445324318782435</v>
      </c>
      <c r="J23" s="133">
        <f>IF(SER_hh_emih!J23=0,0,SER_hh_emih!J23/SER_summary!J$26)</f>
        <v>4.3057868820144538</v>
      </c>
      <c r="K23" s="133">
        <f>IF(SER_hh_emih!K23=0,0,SER_hh_emih!K23/SER_summary!K$26)</f>
        <v>4.2868533790320011</v>
      </c>
      <c r="L23" s="133">
        <f>IF(SER_hh_emih!L23=0,0,SER_hh_emih!L23/SER_summary!L$26)</f>
        <v>4.3008448836345865</v>
      </c>
      <c r="M23" s="133">
        <f>IF(SER_hh_emih!M23=0,0,SER_hh_emih!M23/SER_summary!M$26)</f>
        <v>4.2145902630956043</v>
      </c>
      <c r="N23" s="133">
        <f>IF(SER_hh_emih!N23=0,0,SER_hh_emih!N23/SER_summary!N$26)</f>
        <v>3.493216479689556</v>
      </c>
      <c r="O23" s="133">
        <f>IF(SER_hh_emih!O23=0,0,SER_hh_emih!O23/SER_summary!O$26)</f>
        <v>4.0194651562810737</v>
      </c>
      <c r="P23" s="133">
        <f>IF(SER_hh_emih!P23=0,0,SER_hh_emih!P23/SER_summary!P$26)</f>
        <v>3.768402909669315</v>
      </c>
      <c r="Q23" s="133">
        <f>IF(SER_hh_emih!Q23=0,0,SER_hh_emih!Q23/SER_summary!Q$26)</f>
        <v>3.9038944442076748</v>
      </c>
      <c r="R23" s="133">
        <f>IF(SER_hh_emih!R23=0,0,SER_hh_emih!R23/SER_summary!R$26)</f>
        <v>3.8585238187413138</v>
      </c>
      <c r="S23" s="133">
        <f>IF(SER_hh_emih!S23=0,0,SER_hh_emih!S23/SER_summary!S$26)</f>
        <v>3.5853181688494389</v>
      </c>
      <c r="T23" s="133">
        <f>IF(SER_hh_emih!T23=0,0,SER_hh_emih!T23/SER_summary!T$26)</f>
        <v>3.0262705556414837</v>
      </c>
      <c r="U23" s="133">
        <f>IF(SER_hh_emih!U23=0,0,SER_hh_emih!U23/SER_summary!U$26)</f>
        <v>3.0576485832062881</v>
      </c>
      <c r="V23" s="133">
        <f>IF(SER_hh_emih!V23=0,0,SER_hh_emih!V23/SER_summary!V$26)</f>
        <v>2.7629007042995521</v>
      </c>
      <c r="W23" s="133">
        <f>IF(SER_hh_emih!W23=0,0,SER_hh_emih!W23/SER_summary!W$26)</f>
        <v>3.2844262685000531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0.76733255288365376</v>
      </c>
      <c r="K24" s="133">
        <f>IF(SER_hh_emih!K24=0,0,SER_hh_emih!K24/SER_summary!K$26)</f>
        <v>0.24884726989727313</v>
      </c>
      <c r="L24" s="133">
        <f>IF(SER_hh_emih!L24=0,0,SER_hh_emih!L24/SER_summary!L$26)</f>
        <v>0.2816117536813954</v>
      </c>
      <c r="M24" s="133">
        <f>IF(SER_hh_emih!M24=0,0,SER_hh_emih!M24/SER_summary!M$26)</f>
        <v>0.35835012031012115</v>
      </c>
      <c r="N24" s="133">
        <f>IF(SER_hh_emih!N24=0,0,SER_hh_emih!N24/SER_summary!N$26)</f>
        <v>0.24347451841086742</v>
      </c>
      <c r="O24" s="133">
        <f>IF(SER_hh_emih!O24=0,0,SER_hh_emih!O24/SER_summary!O$26)</f>
        <v>7.6137437066387509E-2</v>
      </c>
      <c r="P24" s="133">
        <f>IF(SER_hh_emih!P24=0,0,SER_hh_emih!P24/SER_summary!P$26)</f>
        <v>0.16620937666627902</v>
      </c>
      <c r="Q24" s="133">
        <f>IF(SER_hh_emih!Q24=0,0,SER_hh_emih!Q24/SER_summary!Q$26)</f>
        <v>0.18240989167678917</v>
      </c>
      <c r="R24" s="133">
        <f>IF(SER_hh_emih!R24=0,0,SER_hh_emih!R24/SER_summary!R$26)</f>
        <v>0.19784387121059319</v>
      </c>
      <c r="S24" s="133">
        <f>IF(SER_hh_emih!S24=0,0,SER_hh_emih!S24/SER_summary!S$26)</f>
        <v>0.17247923385473923</v>
      </c>
      <c r="T24" s="133">
        <f>IF(SER_hh_emih!T24=0,0,SER_hh_emih!T24/SER_summary!T$26)</f>
        <v>0.20096898002455174</v>
      </c>
      <c r="U24" s="133">
        <f>IF(SER_hh_emih!U24=0,0,SER_hh_emih!U24/SER_summary!U$26)</f>
        <v>0.14654043921481988</v>
      </c>
      <c r="V24" s="133">
        <f>IF(SER_hh_emih!V24=0,0,SER_hh_emih!V24/SER_summary!V$26)</f>
        <v>0.17536708780259203</v>
      </c>
      <c r="W24" s="133">
        <f>IF(SER_hh_emih!W24=0,0,SER_hh_emih!W24/SER_summary!W$26)</f>
        <v>0.21076667303083835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9.1700116064101556E-2</v>
      </c>
      <c r="C29" s="131">
        <f>IF(SER_hh_emih!C29=0,0,SER_hh_emih!C29/SER_summary!C$26)</f>
        <v>9.8359015079577256E-2</v>
      </c>
      <c r="D29" s="131">
        <f>IF(SER_hh_emih!D29=0,0,SER_hh_emih!D29/SER_summary!D$26)</f>
        <v>9.6089616240385686E-2</v>
      </c>
      <c r="E29" s="131">
        <f>IF(SER_hh_emih!E29=0,0,SER_hh_emih!E29/SER_summary!E$26)</f>
        <v>9.3021071241266212E-2</v>
      </c>
      <c r="F29" s="131">
        <f>IF(SER_hh_emih!F29=0,0,SER_hh_emih!F29/SER_summary!F$26)</f>
        <v>8.9846300201467305E-2</v>
      </c>
      <c r="G29" s="131">
        <f>IF(SER_hh_emih!G29=0,0,SER_hh_emih!G29/SER_summary!G$26)</f>
        <v>9.1296874753575355E-2</v>
      </c>
      <c r="H29" s="131">
        <f>IF(SER_hh_emih!H29=0,0,SER_hh_emih!H29/SER_summary!H$26)</f>
        <v>9.0879640987444804E-2</v>
      </c>
      <c r="I29" s="131">
        <f>IF(SER_hh_emih!I29=0,0,SER_hh_emih!I29/SER_summary!I$26)</f>
        <v>8.6863290445219579E-2</v>
      </c>
      <c r="J29" s="131">
        <f>IF(SER_hh_emih!J29=0,0,SER_hh_emih!J29/SER_summary!J$26)</f>
        <v>8.418535616292834E-2</v>
      </c>
      <c r="K29" s="131">
        <f>IF(SER_hh_emih!K29=0,0,SER_hh_emih!K29/SER_summary!K$26)</f>
        <v>7.9312940287668346E-2</v>
      </c>
      <c r="L29" s="131">
        <f>IF(SER_hh_emih!L29=0,0,SER_hh_emih!L29/SER_summary!L$26)</f>
        <v>7.6059684893228827E-2</v>
      </c>
      <c r="M29" s="131">
        <f>IF(SER_hh_emih!M29=0,0,SER_hh_emih!M29/SER_summary!M$26)</f>
        <v>6.8422781815132325E-2</v>
      </c>
      <c r="N29" s="131">
        <f>IF(SER_hh_emih!N29=0,0,SER_hh_emih!N29/SER_summary!N$26)</f>
        <v>5.5598705326379311E-2</v>
      </c>
      <c r="O29" s="131">
        <f>IF(SER_hh_emih!O29=0,0,SER_hh_emih!O29/SER_summary!O$26)</f>
        <v>6.4226058615365636E-2</v>
      </c>
      <c r="P29" s="131">
        <f>IF(SER_hh_emih!P29=0,0,SER_hh_emih!P29/SER_summary!P$26)</f>
        <v>5.7588331586404418E-2</v>
      </c>
      <c r="Q29" s="131">
        <f>IF(SER_hh_emih!Q29=0,0,SER_hh_emih!Q29/SER_summary!Q$26)</f>
        <v>5.902930845670034E-2</v>
      </c>
      <c r="R29" s="131">
        <f>IF(SER_hh_emih!R29=0,0,SER_hh_emih!R29/SER_summary!R$26)</f>
        <v>5.7673786336378326E-2</v>
      </c>
      <c r="S29" s="131">
        <f>IF(SER_hh_emih!S29=0,0,SER_hh_emih!S29/SER_summary!S$26)</f>
        <v>5.2798928637617461E-2</v>
      </c>
      <c r="T29" s="131">
        <f>IF(SER_hh_emih!T29=0,0,SER_hh_emih!T29/SER_summary!T$26)</f>
        <v>4.3626049368644608E-2</v>
      </c>
      <c r="U29" s="131">
        <f>IF(SER_hh_emih!U29=0,0,SER_hh_emih!U29/SER_summary!U$26)</f>
        <v>4.4212968552533184E-2</v>
      </c>
      <c r="V29" s="131">
        <f>IF(SER_hh_emih!V29=0,0,SER_hh_emih!V29/SER_summary!V$26)</f>
        <v>4.113022681853868E-2</v>
      </c>
      <c r="W29" s="131">
        <f>IF(SER_hh_emih!W29=0,0,SER_hh_emih!W29/SER_summary!W$26)</f>
        <v>5.3607638274740403E-2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0</v>
      </c>
      <c r="M30" s="133">
        <f>IF(SER_hh_emih!M30=0,0,SER_hh_emih!M30/SER_summary!M$26)</f>
        <v>0</v>
      </c>
      <c r="N30" s="133">
        <f>IF(SER_hh_emih!N30=0,0,SER_hh_emih!N30/SER_summary!N$26)</f>
        <v>0</v>
      </c>
      <c r="O30" s="133">
        <f>IF(SER_hh_emih!O30=0,0,SER_hh_emih!O30/SER_summary!O$26)</f>
        <v>0</v>
      </c>
      <c r="P30" s="133">
        <f>IF(SER_hh_emih!P30=0,0,SER_hh_emih!P30/SER_summary!P$26)</f>
        <v>0</v>
      </c>
      <c r="Q30" s="133">
        <f>IF(SER_hh_emih!Q30=0,0,SER_hh_emih!Q30/SER_summary!Q$26)</f>
        <v>0</v>
      </c>
      <c r="R30" s="133">
        <f>IF(SER_hh_emih!R30=0,0,SER_hh_emih!R30/SER_summary!R$26)</f>
        <v>0</v>
      </c>
      <c r="S30" s="133">
        <f>IF(SER_hh_emih!S30=0,0,SER_hh_emih!S30/SER_summary!S$26)</f>
        <v>0</v>
      </c>
      <c r="T30" s="133">
        <f>IF(SER_hh_emih!T30=0,0,SER_hh_emih!T30/SER_summary!T$26)</f>
        <v>0</v>
      </c>
      <c r="U30" s="133">
        <f>IF(SER_hh_emih!U30=0,0,SER_hh_emih!U30/SER_summary!U$26)</f>
        <v>0</v>
      </c>
      <c r="V30" s="133">
        <f>IF(SER_hh_emih!V30=0,0,SER_hh_emih!V30/SER_summary!V$26)</f>
        <v>0</v>
      </c>
      <c r="W30" s="133">
        <f>IF(SER_hh_emih!W30=0,0,SER_hh_emih!W30/SER_summary!W$26)</f>
        <v>0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4.2601175859159941</v>
      </c>
      <c r="C31" s="133">
        <f>IF(SER_hh_emih!C31=0,0,SER_hh_emih!C31/SER_summary!C$26)</f>
        <v>4.5067305252171943</v>
      </c>
      <c r="D31" s="133">
        <f>IF(SER_hh_emih!D31=0,0,SER_hh_emih!D31/SER_summary!D$26)</f>
        <v>4.2757769282171587</v>
      </c>
      <c r="E31" s="133">
        <f>IF(SER_hh_emih!E31=0,0,SER_hh_emih!E31/SER_summary!E$26)</f>
        <v>4.0349928300606441</v>
      </c>
      <c r="F31" s="133">
        <f>IF(SER_hh_emih!F31=0,0,SER_hh_emih!F31/SER_summary!F$26)</f>
        <v>3.8481321980142287</v>
      </c>
      <c r="G31" s="133">
        <f>IF(SER_hh_emih!G31=0,0,SER_hh_emih!G31/SER_summary!G$26)</f>
        <v>3.8817346949717026</v>
      </c>
      <c r="H31" s="133">
        <f>IF(SER_hh_emih!H31=0,0,SER_hh_emih!H31/SER_summary!H$26)</f>
        <v>3.8903424385648715</v>
      </c>
      <c r="I31" s="133">
        <f>IF(SER_hh_emih!I31=0,0,SER_hh_emih!I31/SER_summary!I$26)</f>
        <v>3.777688025930233</v>
      </c>
      <c r="J31" s="133">
        <f>IF(SER_hh_emih!J31=0,0,SER_hh_emih!J31/SER_summary!J$26)</f>
        <v>3.7531060440042054</v>
      </c>
      <c r="K31" s="133">
        <f>IF(SER_hh_emih!K31=0,0,SER_hh_emih!K31/SER_summary!K$26)</f>
        <v>3.7157730762642021</v>
      </c>
      <c r="L31" s="133">
        <f>IF(SER_hh_emih!L31=0,0,SER_hh_emih!L31/SER_summary!L$26)</f>
        <v>3.7802514180356925</v>
      </c>
      <c r="M31" s="133">
        <f>IF(SER_hh_emih!M31=0,0,SER_hh_emih!M31/SER_summary!M$26)</f>
        <v>3.614036587837985</v>
      </c>
      <c r="N31" s="133">
        <f>IF(SER_hh_emih!N31=0,0,SER_hh_emih!N31/SER_summary!N$26)</f>
        <v>3.0520883752805861</v>
      </c>
      <c r="O31" s="133">
        <f>IF(SER_hh_emih!O31=0,0,SER_hh_emih!O31/SER_summary!O$26)</f>
        <v>3.6286415780189323</v>
      </c>
      <c r="P31" s="133">
        <f>IF(SER_hh_emih!P31=0,0,SER_hh_emih!P31/SER_summary!P$26)</f>
        <v>3.3894797653278559</v>
      </c>
      <c r="Q31" s="133">
        <f>IF(SER_hh_emih!Q31=0,0,SER_hh_emih!Q31/SER_summary!Q$26)</f>
        <v>3.5841939578955149</v>
      </c>
      <c r="R31" s="133">
        <f>IF(SER_hh_emih!R31=0,0,SER_hh_emih!R31/SER_summary!R$26)</f>
        <v>3.6460139703934411</v>
      </c>
      <c r="S31" s="133">
        <f>IF(SER_hh_emih!S31=0,0,SER_hh_emih!S31/SER_summary!S$26)</f>
        <v>3.403755116283242</v>
      </c>
      <c r="T31" s="133">
        <f>IF(SER_hh_emih!T31=0,0,SER_hh_emih!T31/SER_summary!T$26)</f>
        <v>3.0136333922358474</v>
      </c>
      <c r="U31" s="133">
        <f>IF(SER_hh_emih!U31=0,0,SER_hh_emih!U31/SER_summary!U$26)</f>
        <v>3.1573311270871134</v>
      </c>
      <c r="V31" s="133">
        <f>IF(SER_hh_emih!V31=0,0,SER_hh_emih!V31/SER_summary!V$26)</f>
        <v>2.9239738791563092</v>
      </c>
      <c r="W31" s="133">
        <f>IF(SER_hh_emih!W31=0,0,SER_hh_emih!W31/SER_summary!W$26)</f>
        <v>3.9349598831462855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1558.1589690393594</v>
      </c>
      <c r="D3" s="125">
        <f t="shared" si="0"/>
        <v>1466.7444077772261</v>
      </c>
      <c r="E3" s="125">
        <f t="shared" si="0"/>
        <v>1297.0850109787361</v>
      </c>
      <c r="F3" s="125">
        <f t="shared" si="0"/>
        <v>2022.6287178743185</v>
      </c>
      <c r="G3" s="125">
        <f t="shared" si="0"/>
        <v>1777.5355844073774</v>
      </c>
      <c r="H3" s="125">
        <f t="shared" si="0"/>
        <v>2347.8721346777315</v>
      </c>
      <c r="I3" s="125">
        <f t="shared" si="0"/>
        <v>2330.5650164476615</v>
      </c>
      <c r="J3" s="125">
        <f t="shared" si="0"/>
        <v>1692.0208049281271</v>
      </c>
      <c r="K3" s="125">
        <f t="shared" si="0"/>
        <v>1193.1951888225808</v>
      </c>
      <c r="L3" s="125">
        <f t="shared" si="0"/>
        <v>1401.0377194621337</v>
      </c>
      <c r="M3" s="125">
        <f t="shared" si="0"/>
        <v>1133.8626431368127</v>
      </c>
      <c r="N3" s="125">
        <f t="shared" si="0"/>
        <v>864.9706895609919</v>
      </c>
      <c r="O3" s="125">
        <f t="shared" si="0"/>
        <v>816.16993190463552</v>
      </c>
      <c r="P3" s="125">
        <f t="shared" si="0"/>
        <v>833.95167260198821</v>
      </c>
      <c r="Q3" s="125">
        <f t="shared" si="0"/>
        <v>871.49135942790986</v>
      </c>
      <c r="R3" s="125">
        <f t="shared" si="0"/>
        <v>1335.7618878075193</v>
      </c>
      <c r="S3" s="125">
        <f t="shared" si="0"/>
        <v>1660.6616799743013</v>
      </c>
      <c r="T3" s="125">
        <f t="shared" si="0"/>
        <v>1689.3147127290786</v>
      </c>
      <c r="U3" s="125">
        <f t="shared" si="0"/>
        <v>1606.6261106869929</v>
      </c>
      <c r="V3" s="125">
        <f t="shared" si="0"/>
        <v>1522.3335210939986</v>
      </c>
      <c r="W3" s="125">
        <f t="shared" si="0"/>
        <v>1398.1474878422689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1558.1589690393594</v>
      </c>
      <c r="D4" s="140">
        <f t="shared" si="1"/>
        <v>1466.7444077772261</v>
      </c>
      <c r="E4" s="140">
        <f t="shared" si="1"/>
        <v>1297.0850109787361</v>
      </c>
      <c r="F4" s="140">
        <f t="shared" si="1"/>
        <v>2022.6287178743185</v>
      </c>
      <c r="G4" s="140">
        <f t="shared" si="1"/>
        <v>1777.5355844073774</v>
      </c>
      <c r="H4" s="140">
        <f t="shared" si="1"/>
        <v>2347.8721346777315</v>
      </c>
      <c r="I4" s="140">
        <f t="shared" si="1"/>
        <v>2330.5650164476615</v>
      </c>
      <c r="J4" s="140">
        <f t="shared" si="1"/>
        <v>1692.0208049281271</v>
      </c>
      <c r="K4" s="140">
        <f t="shared" si="1"/>
        <v>1193.1951888225808</v>
      </c>
      <c r="L4" s="140">
        <f t="shared" si="1"/>
        <v>1401.0377194621337</v>
      </c>
      <c r="M4" s="140">
        <f t="shared" si="1"/>
        <v>1133.8626431368127</v>
      </c>
      <c r="N4" s="140">
        <f t="shared" si="1"/>
        <v>864.9706895609919</v>
      </c>
      <c r="O4" s="140">
        <f t="shared" si="1"/>
        <v>816.16993190463552</v>
      </c>
      <c r="P4" s="140">
        <f t="shared" si="1"/>
        <v>833.95167260198821</v>
      </c>
      <c r="Q4" s="140">
        <f t="shared" si="1"/>
        <v>871.49135942790986</v>
      </c>
      <c r="R4" s="140">
        <f t="shared" ref="R4:W4" si="2">SUM(R5:R14)</f>
        <v>1335.7618878075193</v>
      </c>
      <c r="S4" s="140">
        <f t="shared" si="2"/>
        <v>1660.6616799743013</v>
      </c>
      <c r="T4" s="140">
        <f t="shared" si="2"/>
        <v>1689.3147127290786</v>
      </c>
      <c r="U4" s="140">
        <f t="shared" si="2"/>
        <v>1606.6261106869929</v>
      </c>
      <c r="V4" s="140">
        <f t="shared" si="2"/>
        <v>1522.3335210939986</v>
      </c>
      <c r="W4" s="140">
        <f t="shared" si="2"/>
        <v>1398.1474878422689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0.68061169078319739</v>
      </c>
      <c r="D5" s="141">
        <v>1.0435531573188328</v>
      </c>
      <c r="E5" s="141">
        <v>1.1340592369204261</v>
      </c>
      <c r="F5" s="141">
        <v>1.8891563751644156</v>
      </c>
      <c r="G5" s="141">
        <v>1.6008340276292545</v>
      </c>
      <c r="H5" s="141">
        <v>2.3116878381041857</v>
      </c>
      <c r="I5" s="141">
        <v>2.8904533751616235</v>
      </c>
      <c r="J5" s="141">
        <v>1.9494628091055302</v>
      </c>
      <c r="K5" s="141">
        <v>1.6910944570368138</v>
      </c>
      <c r="L5" s="141">
        <v>2.0410305949393108</v>
      </c>
      <c r="M5" s="141">
        <v>1.2466181390118447</v>
      </c>
      <c r="N5" s="141">
        <v>1.0840968429132112</v>
      </c>
      <c r="O5" s="141">
        <v>0.83426481620884119</v>
      </c>
      <c r="P5" s="141">
        <v>0.77955775725207099</v>
      </c>
      <c r="Q5" s="141">
        <v>0.76993744033792599</v>
      </c>
      <c r="R5" s="141">
        <v>1.3073095842904652</v>
      </c>
      <c r="S5" s="141">
        <v>1.7549122683907115</v>
      </c>
      <c r="T5" s="141">
        <v>1.9409026851382634</v>
      </c>
      <c r="U5" s="141">
        <v>1.6897979128342564</v>
      </c>
      <c r="V5" s="141">
        <v>1.5808805299196436</v>
      </c>
      <c r="W5" s="141">
        <v>1.8708688893296654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102.4195480378894</v>
      </c>
      <c r="D7" s="141">
        <v>118.69636175104168</v>
      </c>
      <c r="E7" s="141">
        <v>132.35200941227899</v>
      </c>
      <c r="F7" s="141">
        <v>215.06519752059017</v>
      </c>
      <c r="G7" s="141">
        <v>171.62421075716577</v>
      </c>
      <c r="H7" s="141">
        <v>141.17899632069484</v>
      </c>
      <c r="I7" s="141">
        <v>53.720010553393024</v>
      </c>
      <c r="J7" s="141">
        <v>56.504606663747211</v>
      </c>
      <c r="K7" s="141">
        <v>136.0961651750064</v>
      </c>
      <c r="L7" s="141">
        <v>246.6324915951989</v>
      </c>
      <c r="M7" s="141">
        <v>194.62917526959731</v>
      </c>
      <c r="N7" s="141">
        <v>132.58081355424363</v>
      </c>
      <c r="O7" s="141">
        <v>95.589081411522017</v>
      </c>
      <c r="P7" s="141">
        <v>53.076449744527217</v>
      </c>
      <c r="Q7" s="141">
        <v>83.932264305132847</v>
      </c>
      <c r="R7" s="141">
        <v>147.46962697637323</v>
      </c>
      <c r="S7" s="141">
        <v>186.57733772647299</v>
      </c>
      <c r="T7" s="141">
        <v>180.92853204581144</v>
      </c>
      <c r="U7" s="141">
        <v>203.05533242496318</v>
      </c>
      <c r="V7" s="141">
        <v>190.11993930060399</v>
      </c>
      <c r="W7" s="141">
        <v>150.25451681253193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29.08181705122934</v>
      </c>
      <c r="D9" s="141">
        <v>35.094822756624779</v>
      </c>
      <c r="E9" s="141">
        <v>30.527690548781337</v>
      </c>
      <c r="F9" s="141">
        <v>49.387763354906639</v>
      </c>
      <c r="G9" s="141">
        <v>27.205504193812811</v>
      </c>
      <c r="H9" s="141">
        <v>16.463598008299655</v>
      </c>
      <c r="I9" s="141">
        <v>5.3298943082020926</v>
      </c>
      <c r="J9" s="141">
        <v>9.8797998728567187</v>
      </c>
      <c r="K9" s="141">
        <v>17.949101092697241</v>
      </c>
      <c r="L9" s="141">
        <v>28.174137133882429</v>
      </c>
      <c r="M9" s="141">
        <v>19.75088063645611</v>
      </c>
      <c r="N9" s="141">
        <v>16.666477822108003</v>
      </c>
      <c r="O9" s="141">
        <v>23.394129176821892</v>
      </c>
      <c r="P9" s="141">
        <v>30.11273253505113</v>
      </c>
      <c r="Q9" s="141">
        <v>20.000417168625507</v>
      </c>
      <c r="R9" s="141">
        <v>35.468770670717959</v>
      </c>
      <c r="S9" s="141">
        <v>30.375481032394127</v>
      </c>
      <c r="T9" s="141">
        <v>26.507089668298239</v>
      </c>
      <c r="U9" s="141">
        <v>30.218388961363484</v>
      </c>
      <c r="V9" s="141">
        <v>24.069960249276921</v>
      </c>
      <c r="W9" s="141">
        <v>27.407165837928108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36.203193648271395</v>
      </c>
      <c r="D10" s="141">
        <v>39.704595631255096</v>
      </c>
      <c r="E10" s="141">
        <v>37.530911565017142</v>
      </c>
      <c r="F10" s="141">
        <v>55.174545399426457</v>
      </c>
      <c r="G10" s="141">
        <v>47.625443984923699</v>
      </c>
      <c r="H10" s="141">
        <v>59.700878514815273</v>
      </c>
      <c r="I10" s="141">
        <v>49.823248127360309</v>
      </c>
      <c r="J10" s="141">
        <v>52.536936107175499</v>
      </c>
      <c r="K10" s="141">
        <v>31.392482850714998</v>
      </c>
      <c r="L10" s="141">
        <v>41.597777055462593</v>
      </c>
      <c r="M10" s="141">
        <v>29.989615666305276</v>
      </c>
      <c r="N10" s="141">
        <v>22.182253410135196</v>
      </c>
      <c r="O10" s="141">
        <v>18.057349118848428</v>
      </c>
      <c r="P10" s="141">
        <v>19.051164701870256</v>
      </c>
      <c r="Q10" s="141">
        <v>23.661777754167623</v>
      </c>
      <c r="R10" s="141">
        <v>40.177609541378295</v>
      </c>
      <c r="S10" s="141">
        <v>48.483905961973988</v>
      </c>
      <c r="T10" s="141">
        <v>45.514529604561744</v>
      </c>
      <c r="U10" s="141">
        <v>45.666317035066477</v>
      </c>
      <c r="V10" s="141">
        <v>42.03283321512518</v>
      </c>
      <c r="W10" s="141">
        <v>39.301120051169335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943.62469755312748</v>
      </c>
      <c r="D12" s="141">
        <v>864.01973712653239</v>
      </c>
      <c r="E12" s="141">
        <v>732.37545534397668</v>
      </c>
      <c r="F12" s="141">
        <v>1050.5354939637818</v>
      </c>
      <c r="G12" s="141">
        <v>981.69094798830815</v>
      </c>
      <c r="H12" s="141">
        <v>1462.509405600026</v>
      </c>
      <c r="I12" s="141">
        <v>1711.8626752160878</v>
      </c>
      <c r="J12" s="141">
        <v>1133.2156619105383</v>
      </c>
      <c r="K12" s="141">
        <v>729.77850479636265</v>
      </c>
      <c r="L12" s="141">
        <v>708.04556348954929</v>
      </c>
      <c r="M12" s="141">
        <v>528.45051035291544</v>
      </c>
      <c r="N12" s="141">
        <v>450.45326593608377</v>
      </c>
      <c r="O12" s="141">
        <v>445.63443460965391</v>
      </c>
      <c r="P12" s="141">
        <v>556.49350352150725</v>
      </c>
      <c r="Q12" s="141">
        <v>461.80024762786439</v>
      </c>
      <c r="R12" s="141">
        <v>787.71891591790916</v>
      </c>
      <c r="S12" s="141">
        <v>972.24821840795778</v>
      </c>
      <c r="T12" s="141">
        <v>917.64323965103438</v>
      </c>
      <c r="U12" s="141">
        <v>919.03385220215728</v>
      </c>
      <c r="V12" s="141">
        <v>883.40637823415409</v>
      </c>
      <c r="W12" s="141">
        <v>889.66859385657756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8.9695195826714613</v>
      </c>
      <c r="D13" s="141">
        <v>16.587936970152285</v>
      </c>
      <c r="E13" s="141">
        <v>18.178047190406851</v>
      </c>
      <c r="F13" s="141">
        <v>32.301194905353796</v>
      </c>
      <c r="G13" s="141">
        <v>31.109055498436735</v>
      </c>
      <c r="H13" s="141">
        <v>39.262301078497785</v>
      </c>
      <c r="I13" s="141">
        <v>35.446621994243898</v>
      </c>
      <c r="J13" s="141">
        <v>28.777842050303594</v>
      </c>
      <c r="K13" s="141">
        <v>22.943525705768874</v>
      </c>
      <c r="L13" s="141">
        <v>34.536536756914423</v>
      </c>
      <c r="M13" s="141">
        <v>43.900304027277699</v>
      </c>
      <c r="N13" s="141">
        <v>33.199879068574809</v>
      </c>
      <c r="O13" s="141">
        <v>47.279555146519172</v>
      </c>
      <c r="P13" s="141">
        <v>91.535242697754228</v>
      </c>
      <c r="Q13" s="141">
        <v>96.687651912284593</v>
      </c>
      <c r="R13" s="141">
        <v>86.383934238281057</v>
      </c>
      <c r="S13" s="141">
        <v>106.20797468565692</v>
      </c>
      <c r="T13" s="141">
        <v>116.70522134065249</v>
      </c>
      <c r="U13" s="141">
        <v>145.17020200905131</v>
      </c>
      <c r="V13" s="141">
        <v>153.99010386547502</v>
      </c>
      <c r="W13" s="141">
        <v>124.37335038412859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437.17958147538707</v>
      </c>
      <c r="D14" s="142">
        <v>391.59740038430118</v>
      </c>
      <c r="E14" s="142">
        <v>344.98683768135481</v>
      </c>
      <c r="F14" s="142">
        <v>618.275366355095</v>
      </c>
      <c r="G14" s="142">
        <v>516.67958795710115</v>
      </c>
      <c r="H14" s="142">
        <v>626.44526731729377</v>
      </c>
      <c r="I14" s="142">
        <v>471.4921128732127</v>
      </c>
      <c r="J14" s="142">
        <v>409.15649551440021</v>
      </c>
      <c r="K14" s="142">
        <v>253.34431474499391</v>
      </c>
      <c r="L14" s="142">
        <v>340.01018283618657</v>
      </c>
      <c r="M14" s="142">
        <v>315.89553904524905</v>
      </c>
      <c r="N14" s="142">
        <v>208.80390292693332</v>
      </c>
      <c r="O14" s="142">
        <v>185.38111762506119</v>
      </c>
      <c r="P14" s="142">
        <v>82.90302164402604</v>
      </c>
      <c r="Q14" s="142">
        <v>184.6390632194971</v>
      </c>
      <c r="R14" s="142">
        <v>237.23572087856928</v>
      </c>
      <c r="S14" s="142">
        <v>315.01384989145487</v>
      </c>
      <c r="T14" s="142">
        <v>400.075197733582</v>
      </c>
      <c r="U14" s="142">
        <v>261.79222014155687</v>
      </c>
      <c r="V14" s="142">
        <v>227.13342569944373</v>
      </c>
      <c r="W14" s="142">
        <v>165.27187201060383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1112.0098679813009</v>
      </c>
      <c r="D15" s="144">
        <f t="shared" si="3"/>
        <v>1058.5590704227727</v>
      </c>
      <c r="E15" s="144">
        <f t="shared" si="3"/>
        <v>933.92012610697452</v>
      </c>
      <c r="F15" s="144">
        <f t="shared" si="3"/>
        <v>1372.0521566138696</v>
      </c>
      <c r="G15" s="144">
        <f t="shared" si="3"/>
        <v>1229.7469409518396</v>
      </c>
      <c r="H15" s="144">
        <f t="shared" si="3"/>
        <v>1682.1645662819399</v>
      </c>
      <c r="I15" s="144">
        <f t="shared" si="3"/>
        <v>1823.6262815802049</v>
      </c>
      <c r="J15" s="144">
        <f t="shared" si="3"/>
        <v>1254.0864673634233</v>
      </c>
      <c r="K15" s="144">
        <f t="shared" si="3"/>
        <v>916.9073483718181</v>
      </c>
      <c r="L15" s="144">
        <f t="shared" si="3"/>
        <v>1026.4909998690325</v>
      </c>
      <c r="M15" s="144">
        <f t="shared" si="3"/>
        <v>774.06680006428599</v>
      </c>
      <c r="N15" s="144">
        <f t="shared" si="3"/>
        <v>622.96690756548378</v>
      </c>
      <c r="O15" s="144">
        <f t="shared" si="3"/>
        <v>583.50925913305514</v>
      </c>
      <c r="P15" s="144">
        <f t="shared" si="3"/>
        <v>659.51340826020794</v>
      </c>
      <c r="Q15" s="144">
        <f t="shared" si="3"/>
        <v>590.16464429612824</v>
      </c>
      <c r="R15" s="144">
        <f t="shared" ref="R15:W15" si="4">SUM(R5:R12)</f>
        <v>1012.1422326906691</v>
      </c>
      <c r="S15" s="144">
        <f t="shared" si="4"/>
        <v>1239.4398553971896</v>
      </c>
      <c r="T15" s="144">
        <f t="shared" si="4"/>
        <v>1172.5342936548441</v>
      </c>
      <c r="U15" s="144">
        <f t="shared" si="4"/>
        <v>1199.6636885363846</v>
      </c>
      <c r="V15" s="144">
        <f t="shared" si="4"/>
        <v>1141.2099915290798</v>
      </c>
      <c r="W15" s="144">
        <f t="shared" si="4"/>
        <v>1108.5022654475365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1558.1589690393594</v>
      </c>
      <c r="D16" s="140">
        <f t="shared" si="5"/>
        <v>1466.7444077772261</v>
      </c>
      <c r="E16" s="140">
        <f t="shared" si="5"/>
        <v>1297.0850109787361</v>
      </c>
      <c r="F16" s="140">
        <f t="shared" si="5"/>
        <v>2022.6287178743182</v>
      </c>
      <c r="G16" s="140">
        <f t="shared" si="5"/>
        <v>1777.5355844073777</v>
      </c>
      <c r="H16" s="140">
        <f t="shared" si="5"/>
        <v>2347.8721346777315</v>
      </c>
      <c r="I16" s="140">
        <f t="shared" si="5"/>
        <v>2330.5650164476615</v>
      </c>
      <c r="J16" s="140">
        <f t="shared" si="5"/>
        <v>1692.0208049281266</v>
      </c>
      <c r="K16" s="140">
        <f t="shared" si="5"/>
        <v>1193.1951888225808</v>
      </c>
      <c r="L16" s="140">
        <f t="shared" si="5"/>
        <v>1401.0377194621335</v>
      </c>
      <c r="M16" s="140">
        <f t="shared" si="5"/>
        <v>1133.8626431368129</v>
      </c>
      <c r="N16" s="140">
        <f t="shared" si="5"/>
        <v>864.9706895609919</v>
      </c>
      <c r="O16" s="140">
        <f t="shared" si="5"/>
        <v>816.16993190463552</v>
      </c>
      <c r="P16" s="140">
        <f t="shared" si="5"/>
        <v>833.95167260198821</v>
      </c>
      <c r="Q16" s="140">
        <f t="shared" si="5"/>
        <v>871.49135942790997</v>
      </c>
      <c r="R16" s="140">
        <f t="shared" ref="R16:W16" si="6">SUM(R17:R18)</f>
        <v>1335.7618878075195</v>
      </c>
      <c r="S16" s="140">
        <f t="shared" si="6"/>
        <v>1660.6616799743017</v>
      </c>
      <c r="T16" s="140">
        <f t="shared" si="6"/>
        <v>1689.3147127290786</v>
      </c>
      <c r="U16" s="140">
        <f t="shared" si="6"/>
        <v>1606.6261106869929</v>
      </c>
      <c r="V16" s="140">
        <f t="shared" si="6"/>
        <v>1522.3335210939986</v>
      </c>
      <c r="W16" s="140">
        <f t="shared" si="6"/>
        <v>1398.1474878422691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1558.1589690393594</v>
      </c>
      <c r="D18" s="141">
        <v>1466.7444077772261</v>
      </c>
      <c r="E18" s="141">
        <v>1297.0850109787361</v>
      </c>
      <c r="F18" s="141">
        <v>2022.6287178743182</v>
      </c>
      <c r="G18" s="141">
        <v>1777.5355844073777</v>
      </c>
      <c r="H18" s="141">
        <v>2347.8721346777315</v>
      </c>
      <c r="I18" s="141">
        <v>2330.5650164476615</v>
      </c>
      <c r="J18" s="141">
        <v>1692.0208049281266</v>
      </c>
      <c r="K18" s="141">
        <v>1193.1951888225808</v>
      </c>
      <c r="L18" s="141">
        <v>1401.0377194621335</v>
      </c>
      <c r="M18" s="141">
        <v>1133.8626431368129</v>
      </c>
      <c r="N18" s="141">
        <v>864.9706895609919</v>
      </c>
      <c r="O18" s="141">
        <v>816.16993190463552</v>
      </c>
      <c r="P18" s="141">
        <v>833.95167260198821</v>
      </c>
      <c r="Q18" s="141">
        <v>871.49135942790997</v>
      </c>
      <c r="R18" s="141">
        <v>1335.7618878075195</v>
      </c>
      <c r="S18" s="141">
        <v>1660.6616799743017</v>
      </c>
      <c r="T18" s="141">
        <v>1689.3147127290786</v>
      </c>
      <c r="U18" s="141">
        <v>1606.6261106869929</v>
      </c>
      <c r="V18" s="141">
        <v>1522.3335210939986</v>
      </c>
      <c r="W18" s="141">
        <v>1398.1474878422691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1558.1589690393594</v>
      </c>
      <c r="D19" s="140">
        <f t="shared" si="7"/>
        <v>1466.7444077772257</v>
      </c>
      <c r="E19" s="140">
        <f t="shared" si="7"/>
        <v>1297.0850109787361</v>
      </c>
      <c r="F19" s="140">
        <f t="shared" si="7"/>
        <v>2022.6287178743185</v>
      </c>
      <c r="G19" s="140">
        <f t="shared" si="7"/>
        <v>1777.5355844073774</v>
      </c>
      <c r="H19" s="140">
        <f t="shared" si="7"/>
        <v>2347.8721346777311</v>
      </c>
      <c r="I19" s="140">
        <f t="shared" si="7"/>
        <v>2330.5650164476615</v>
      </c>
      <c r="J19" s="140">
        <f t="shared" si="7"/>
        <v>1692.0208049281266</v>
      </c>
      <c r="K19" s="140">
        <f t="shared" si="7"/>
        <v>1193.1951888225808</v>
      </c>
      <c r="L19" s="140">
        <f t="shared" si="7"/>
        <v>1401.0377194621337</v>
      </c>
      <c r="M19" s="140">
        <f t="shared" si="7"/>
        <v>1133.8626431368129</v>
      </c>
      <c r="N19" s="140">
        <f t="shared" si="7"/>
        <v>864.97068956099201</v>
      </c>
      <c r="O19" s="140">
        <f t="shared" si="7"/>
        <v>816.16993190463552</v>
      </c>
      <c r="P19" s="140">
        <f t="shared" si="7"/>
        <v>833.95167260198809</v>
      </c>
      <c r="Q19" s="140">
        <f t="shared" si="7"/>
        <v>871.49135942791008</v>
      </c>
      <c r="R19" s="140">
        <f t="shared" ref="R19:W19" si="8">SUM(R20:R26)</f>
        <v>1335.7618878075193</v>
      </c>
      <c r="S19" s="140">
        <f t="shared" si="8"/>
        <v>1660.6616799743019</v>
      </c>
      <c r="T19" s="140">
        <f t="shared" si="8"/>
        <v>1689.3147127290786</v>
      </c>
      <c r="U19" s="140">
        <f t="shared" si="8"/>
        <v>1606.6261106869929</v>
      </c>
      <c r="V19" s="140">
        <f t="shared" si="8"/>
        <v>1522.3335210939986</v>
      </c>
      <c r="W19" s="140">
        <f t="shared" si="8"/>
        <v>1398.1474878422691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140.67507057189704</v>
      </c>
      <c r="D22" s="141">
        <v>152.94431259171182</v>
      </c>
      <c r="E22" s="141">
        <v>124.63868702775187</v>
      </c>
      <c r="F22" s="141">
        <v>171.72176465948385</v>
      </c>
      <c r="G22" s="141">
        <v>142.99381425890462</v>
      </c>
      <c r="H22" s="141">
        <v>189.47758204786317</v>
      </c>
      <c r="I22" s="141">
        <v>180.97550141282568</v>
      </c>
      <c r="J22" s="141">
        <v>151.04252582970423</v>
      </c>
      <c r="K22" s="141">
        <v>120.31579838308888</v>
      </c>
      <c r="L22" s="141">
        <v>155.39100366944675</v>
      </c>
      <c r="M22" s="141">
        <v>108.68959007819286</v>
      </c>
      <c r="N22" s="141">
        <v>67.24781735670814</v>
      </c>
      <c r="O22" s="141">
        <v>55.03843296659543</v>
      </c>
      <c r="P22" s="141">
        <v>33.30917547743077</v>
      </c>
      <c r="Q22" s="141">
        <v>42.801689082514756</v>
      </c>
      <c r="R22" s="141">
        <v>53.066333421168366</v>
      </c>
      <c r="S22" s="141">
        <v>27.801494838048068</v>
      </c>
      <c r="T22" s="141">
        <v>22.788685245421672</v>
      </c>
      <c r="U22" s="141">
        <v>65.135490801905902</v>
      </c>
      <c r="V22" s="141">
        <v>93.982488074702871</v>
      </c>
      <c r="W22" s="141">
        <v>120.06259511262022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21.518849305734914</v>
      </c>
      <c r="D23" s="141">
        <v>23.237492391241066</v>
      </c>
      <c r="E23" s="141">
        <v>21.108780697446932</v>
      </c>
      <c r="F23" s="141">
        <v>30.615031027598537</v>
      </c>
      <c r="G23" s="141">
        <v>23.854199264167164</v>
      </c>
      <c r="H23" s="141">
        <v>23.985304484094641</v>
      </c>
      <c r="I23" s="141">
        <v>23.252822331696734</v>
      </c>
      <c r="J23" s="141">
        <v>16.362768100997545</v>
      </c>
      <c r="K23" s="141">
        <v>10.644200893482447</v>
      </c>
      <c r="L23" s="141">
        <v>11.630297055386919</v>
      </c>
      <c r="M23" s="141">
        <v>11.485520425291352</v>
      </c>
      <c r="N23" s="141">
        <v>9.5095872988180545</v>
      </c>
      <c r="O23" s="141">
        <v>9.0931614277010517</v>
      </c>
      <c r="P23" s="141">
        <v>5.5399154825733534</v>
      </c>
      <c r="Q23" s="141">
        <v>9.8118553276092939</v>
      </c>
      <c r="R23" s="141">
        <v>15.233117281576979</v>
      </c>
      <c r="S23" s="141">
        <v>18.035791859919392</v>
      </c>
      <c r="T23" s="141">
        <v>17.805174369354962</v>
      </c>
      <c r="U23" s="141">
        <v>17.786121547924523</v>
      </c>
      <c r="V23" s="141">
        <v>17.32885639460283</v>
      </c>
      <c r="W23" s="141">
        <v>16.2651316803234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69.066108546252082</v>
      </c>
      <c r="D24" s="141">
        <v>52.573393702822599</v>
      </c>
      <c r="E24" s="141">
        <v>42.130021447461331</v>
      </c>
      <c r="F24" s="141">
        <v>54.541774862716728</v>
      </c>
      <c r="G24" s="141">
        <v>48.304681857688038</v>
      </c>
      <c r="H24" s="141">
        <v>72.325943605950656</v>
      </c>
      <c r="I24" s="141">
        <v>73.013584580793534</v>
      </c>
      <c r="J24" s="141">
        <v>62.026208903646172</v>
      </c>
      <c r="K24" s="141">
        <v>35.88056529082516</v>
      </c>
      <c r="L24" s="141">
        <v>42.781268798185749</v>
      </c>
      <c r="M24" s="141">
        <v>32.526435788749353</v>
      </c>
      <c r="N24" s="141">
        <v>22.910851195780104</v>
      </c>
      <c r="O24" s="141">
        <v>20.17396130032126</v>
      </c>
      <c r="P24" s="141">
        <v>35.345831751401079</v>
      </c>
      <c r="Q24" s="141">
        <v>44.163532853449937</v>
      </c>
      <c r="R24" s="141">
        <v>82.469053825436021</v>
      </c>
      <c r="S24" s="141">
        <v>76.321858065633108</v>
      </c>
      <c r="T24" s="141">
        <v>66.829817950738999</v>
      </c>
      <c r="U24" s="141">
        <v>59.027285605002739</v>
      </c>
      <c r="V24" s="141">
        <v>56.392300942383464</v>
      </c>
      <c r="W24" s="141">
        <v>64.610033705900705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906.5051651611094</v>
      </c>
      <c r="D25" s="141">
        <v>824.75835396282196</v>
      </c>
      <c r="E25" s="141">
        <v>724.99724158403387</v>
      </c>
      <c r="F25" s="141">
        <v>1184.4094691785851</v>
      </c>
      <c r="G25" s="141">
        <v>1051.8970361315792</v>
      </c>
      <c r="H25" s="141">
        <v>1438.9082106316214</v>
      </c>
      <c r="I25" s="141">
        <v>1401.0255873570432</v>
      </c>
      <c r="J25" s="141">
        <v>874.49450097817578</v>
      </c>
      <c r="K25" s="141">
        <v>557.84763171834084</v>
      </c>
      <c r="L25" s="141">
        <v>622.64325948087344</v>
      </c>
      <c r="M25" s="141">
        <v>512.10396836434381</v>
      </c>
      <c r="N25" s="141">
        <v>394.44537554268243</v>
      </c>
      <c r="O25" s="141">
        <v>388.36653223495915</v>
      </c>
      <c r="P25" s="141">
        <v>396.07979077940104</v>
      </c>
      <c r="Q25" s="141">
        <v>434.64080349649589</v>
      </c>
      <c r="R25" s="141">
        <v>739.90255188326171</v>
      </c>
      <c r="S25" s="141">
        <v>886.69372837975425</v>
      </c>
      <c r="T25" s="141">
        <v>877.64462473734125</v>
      </c>
      <c r="U25" s="141">
        <v>769.67388235337239</v>
      </c>
      <c r="V25" s="141">
        <v>764.0418228610007</v>
      </c>
      <c r="W25" s="141">
        <v>640.07756739349986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420.39377545436571</v>
      </c>
      <c r="D26" s="142">
        <v>413.23085512862838</v>
      </c>
      <c r="E26" s="142">
        <v>384.21028022204217</v>
      </c>
      <c r="F26" s="142">
        <v>581.34067814593413</v>
      </c>
      <c r="G26" s="142">
        <v>510.48585289503865</v>
      </c>
      <c r="H26" s="142">
        <v>623.17509390820146</v>
      </c>
      <c r="I26" s="142">
        <v>652.29752076530247</v>
      </c>
      <c r="J26" s="142">
        <v>588.09480111560288</v>
      </c>
      <c r="K26" s="142">
        <v>468.50699253684354</v>
      </c>
      <c r="L26" s="142">
        <v>568.59189045824075</v>
      </c>
      <c r="M26" s="142">
        <v>469.05712848023569</v>
      </c>
      <c r="N26" s="142">
        <v>370.85705816700323</v>
      </c>
      <c r="O26" s="142">
        <v>343.49784397505863</v>
      </c>
      <c r="P26" s="142">
        <v>363.67695911118193</v>
      </c>
      <c r="Q26" s="142">
        <v>340.07347866784011</v>
      </c>
      <c r="R26" s="142">
        <v>445.09083139607628</v>
      </c>
      <c r="S26" s="142">
        <v>651.80880683094711</v>
      </c>
      <c r="T26" s="142">
        <v>704.24641042622181</v>
      </c>
      <c r="U26" s="142">
        <v>695.00333037878727</v>
      </c>
      <c r="V26" s="142">
        <v>590.58805282130879</v>
      </c>
      <c r="W26" s="142">
        <v>557.13215994992493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1558.1589690393596</v>
      </c>
      <c r="D29" s="140">
        <f t="shared" si="9"/>
        <v>1466.7444077772263</v>
      </c>
      <c r="E29" s="140">
        <f t="shared" si="9"/>
        <v>1297.0850109787364</v>
      </c>
      <c r="F29" s="140">
        <f t="shared" si="9"/>
        <v>2022.6287178743182</v>
      </c>
      <c r="G29" s="140">
        <f t="shared" si="9"/>
        <v>1777.5355844073777</v>
      </c>
      <c r="H29" s="140">
        <f t="shared" si="9"/>
        <v>2347.8721346777315</v>
      </c>
      <c r="I29" s="140">
        <f t="shared" si="9"/>
        <v>2330.5650164476615</v>
      </c>
      <c r="J29" s="140">
        <f t="shared" si="9"/>
        <v>1692.0208049281266</v>
      </c>
      <c r="K29" s="140">
        <f t="shared" si="9"/>
        <v>1193.1951888225808</v>
      </c>
      <c r="L29" s="140">
        <f t="shared" si="9"/>
        <v>1401.0377194621335</v>
      </c>
      <c r="M29" s="140">
        <f t="shared" si="9"/>
        <v>1133.8626431368127</v>
      </c>
      <c r="N29" s="140">
        <f t="shared" si="9"/>
        <v>864.97068956099201</v>
      </c>
      <c r="O29" s="140">
        <f t="shared" si="9"/>
        <v>816.16993190463552</v>
      </c>
      <c r="P29" s="140">
        <f t="shared" si="9"/>
        <v>833.95167260198821</v>
      </c>
      <c r="Q29" s="140">
        <f t="shared" si="9"/>
        <v>871.49135942790997</v>
      </c>
      <c r="R29" s="140">
        <f t="shared" ref="R29:W29" si="10">SUM(R30:R33)</f>
        <v>1335.7618878075195</v>
      </c>
      <c r="S29" s="140">
        <f t="shared" si="10"/>
        <v>1660.6616799743017</v>
      </c>
      <c r="T29" s="140">
        <f t="shared" si="10"/>
        <v>1689.3147127290786</v>
      </c>
      <c r="U29" s="140">
        <f t="shared" si="10"/>
        <v>1606.6261106869927</v>
      </c>
      <c r="V29" s="140">
        <f t="shared" si="10"/>
        <v>1522.3335210939986</v>
      </c>
      <c r="W29" s="140">
        <f t="shared" si="10"/>
        <v>1398.1474878422689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37.631976098790496</v>
      </c>
      <c r="D31" s="141">
        <v>40.093795287712013</v>
      </c>
      <c r="E31" s="141">
        <v>34.879409667369181</v>
      </c>
      <c r="F31" s="141">
        <v>49.162644290751182</v>
      </c>
      <c r="G31" s="141">
        <v>41.509312446084522</v>
      </c>
      <c r="H31" s="141">
        <v>48.726377035493122</v>
      </c>
      <c r="I31" s="141">
        <v>44.879772255372174</v>
      </c>
      <c r="J31" s="141">
        <v>30.130564694510209</v>
      </c>
      <c r="K31" s="141">
        <v>16.858298532382641</v>
      </c>
      <c r="L31" s="141">
        <v>16.149381508090812</v>
      </c>
      <c r="M31" s="141">
        <v>7.1226027676046781</v>
      </c>
      <c r="N31" s="141">
        <v>13.392129233882285</v>
      </c>
      <c r="O31" s="141">
        <v>15.406961987888099</v>
      </c>
      <c r="P31" s="141">
        <v>13.868033049073807</v>
      </c>
      <c r="Q31" s="141">
        <v>14.736839526702793</v>
      </c>
      <c r="R31" s="141">
        <v>19.002570335146704</v>
      </c>
      <c r="S31" s="141">
        <v>26.210000471634437</v>
      </c>
      <c r="T31" s="141">
        <v>13.839713489874255</v>
      </c>
      <c r="U31" s="141">
        <v>18.75146476195625</v>
      </c>
      <c r="V31" s="141">
        <v>23.270543416705976</v>
      </c>
      <c r="W31" s="141">
        <v>13.371773985677347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1520.526992940569</v>
      </c>
      <c r="D33" s="153">
        <v>1426.6506124895143</v>
      </c>
      <c r="E33" s="153">
        <v>1262.2056013113672</v>
      </c>
      <c r="F33" s="153">
        <v>1973.4660735835671</v>
      </c>
      <c r="G33" s="153">
        <v>1736.0262719612931</v>
      </c>
      <c r="H33" s="153">
        <v>2299.1457576422386</v>
      </c>
      <c r="I33" s="153">
        <v>2285.6852441922892</v>
      </c>
      <c r="J33" s="153">
        <v>1661.8902402336164</v>
      </c>
      <c r="K33" s="153">
        <v>1176.3368902901982</v>
      </c>
      <c r="L33" s="153">
        <v>1384.8883379540428</v>
      </c>
      <c r="M33" s="153">
        <v>1126.7400403692081</v>
      </c>
      <c r="N33" s="153">
        <v>851.5785603271097</v>
      </c>
      <c r="O33" s="153">
        <v>800.76296991674747</v>
      </c>
      <c r="P33" s="153">
        <v>820.08363955291441</v>
      </c>
      <c r="Q33" s="153">
        <v>856.75451990120723</v>
      </c>
      <c r="R33" s="153">
        <v>1316.7593174723729</v>
      </c>
      <c r="S33" s="153">
        <v>1634.4516795026673</v>
      </c>
      <c r="T33" s="153">
        <v>1675.4749992392044</v>
      </c>
      <c r="U33" s="153">
        <v>1587.8746459250365</v>
      </c>
      <c r="V33" s="153">
        <v>1499.0629776772926</v>
      </c>
      <c r="W33" s="153">
        <v>1384.7757138565917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28.841506401841542</v>
      </c>
      <c r="D3" s="126">
        <f t="shared" si="0"/>
        <v>27.414706982016781</v>
      </c>
      <c r="E3" s="126">
        <f t="shared" si="0"/>
        <v>23.870842826475346</v>
      </c>
      <c r="F3" s="126">
        <f t="shared" si="0"/>
        <v>36.049883009791621</v>
      </c>
      <c r="G3" s="126">
        <f t="shared" si="0"/>
        <v>30.191756982769888</v>
      </c>
      <c r="H3" s="126">
        <f t="shared" si="0"/>
        <v>38.762454212110292</v>
      </c>
      <c r="I3" s="126">
        <f t="shared" si="0"/>
        <v>38.921315519266237</v>
      </c>
      <c r="J3" s="126">
        <f t="shared" si="0"/>
        <v>27.501830103363304</v>
      </c>
      <c r="K3" s="126">
        <f t="shared" si="0"/>
        <v>21.14317732022327</v>
      </c>
      <c r="L3" s="126">
        <f t="shared" si="0"/>
        <v>26.336680465965671</v>
      </c>
      <c r="M3" s="126">
        <f t="shared" si="0"/>
        <v>18.068710427488519</v>
      </c>
      <c r="N3" s="126">
        <f t="shared" si="0"/>
        <v>14.191770368684461</v>
      </c>
      <c r="O3" s="126">
        <f t="shared" si="0"/>
        <v>11.89113604214343</v>
      </c>
      <c r="P3" s="126">
        <f t="shared" si="0"/>
        <v>11.489963983018022</v>
      </c>
      <c r="Q3" s="126">
        <f t="shared" si="0"/>
        <v>10.687890135295481</v>
      </c>
      <c r="R3" s="126">
        <f t="shared" ref="R3:W3" si="1">SUM(R4,R16,R19,R29)</f>
        <v>17.013742120448924</v>
      </c>
      <c r="S3" s="126">
        <f t="shared" si="1"/>
        <v>19.749737911718938</v>
      </c>
      <c r="T3" s="126">
        <f t="shared" si="1"/>
        <v>19.335201421087113</v>
      </c>
      <c r="U3" s="126">
        <f t="shared" si="1"/>
        <v>16.589140973501792</v>
      </c>
      <c r="V3" s="126">
        <f t="shared" si="1"/>
        <v>13.217028807728896</v>
      </c>
      <c r="W3" s="126">
        <f t="shared" si="1"/>
        <v>12.051464834120921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22.159151434665304</v>
      </c>
      <c r="D4" s="131">
        <f t="shared" si="2"/>
        <v>21.24440006420398</v>
      </c>
      <c r="E4" s="131">
        <f t="shared" si="2"/>
        <v>18.460391768962403</v>
      </c>
      <c r="F4" s="131">
        <f t="shared" si="2"/>
        <v>27.83733814318213</v>
      </c>
      <c r="G4" s="131">
        <f t="shared" si="2"/>
        <v>23.077107095463933</v>
      </c>
      <c r="H4" s="131">
        <f t="shared" si="2"/>
        <v>29.487243698352835</v>
      </c>
      <c r="I4" s="131">
        <f t="shared" si="2"/>
        <v>29.886988746713616</v>
      </c>
      <c r="J4" s="131">
        <f t="shared" si="2"/>
        <v>20.990230948747424</v>
      </c>
      <c r="K4" s="131">
        <f t="shared" si="2"/>
        <v>16.578802761242045</v>
      </c>
      <c r="L4" s="131">
        <f t="shared" si="2"/>
        <v>20.968620820750388</v>
      </c>
      <c r="M4" s="131">
        <f t="shared" si="2"/>
        <v>13.822942028642636</v>
      </c>
      <c r="N4" s="131">
        <f t="shared" si="2"/>
        <v>11.01575394489997</v>
      </c>
      <c r="O4" s="131">
        <f t="shared" si="2"/>
        <v>8.9782788338214221</v>
      </c>
      <c r="P4" s="131">
        <f t="shared" si="2"/>
        <v>8.5700980366650583</v>
      </c>
      <c r="Q4" s="131">
        <f t="shared" si="2"/>
        <v>7.6983596681598643</v>
      </c>
      <c r="R4" s="131">
        <f t="shared" ref="R4:W4" si="3">SUM(R5:R15)</f>
        <v>12.472141008165252</v>
      </c>
      <c r="S4" s="131">
        <f t="shared" si="3"/>
        <v>14.250575693528559</v>
      </c>
      <c r="T4" s="131">
        <f t="shared" si="3"/>
        <v>13.853076636169735</v>
      </c>
      <c r="U4" s="131">
        <f t="shared" si="3"/>
        <v>11.425998156236941</v>
      </c>
      <c r="V4" s="131">
        <f t="shared" si="3"/>
        <v>8.7945346232302661</v>
      </c>
      <c r="W4" s="131">
        <f t="shared" si="3"/>
        <v>7.6842394057711969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1.1684365665197604E-2</v>
      </c>
      <c r="D5" s="133">
        <v>1.789465984053103E-2</v>
      </c>
      <c r="E5" s="133">
        <v>1.9397732228435653E-2</v>
      </c>
      <c r="F5" s="133">
        <v>3.0313650073720749E-2</v>
      </c>
      <c r="G5" s="133">
        <v>2.4740765789890422E-2</v>
      </c>
      <c r="H5" s="133">
        <v>3.6833820791322788E-2</v>
      </c>
      <c r="I5" s="133">
        <v>3.7949127804620127E-2</v>
      </c>
      <c r="J5" s="133">
        <v>3.0120458199401248E-2</v>
      </c>
      <c r="K5" s="133">
        <v>2.7862961524410933E-2</v>
      </c>
      <c r="L5" s="133">
        <v>3.5411392565451554E-2</v>
      </c>
      <c r="M5" s="133">
        <v>1.6919728485730028E-2</v>
      </c>
      <c r="N5" s="133">
        <v>1.6371057183966954E-2</v>
      </c>
      <c r="O5" s="133">
        <v>1.108499020528364E-2</v>
      </c>
      <c r="P5" s="133">
        <v>1.0170761328613701E-2</v>
      </c>
      <c r="Q5" s="133">
        <v>8.5936396873637008E-3</v>
      </c>
      <c r="R5" s="133">
        <v>1.4946460400872275E-2</v>
      </c>
      <c r="S5" s="133">
        <v>1.835814218119829E-2</v>
      </c>
      <c r="T5" s="133">
        <v>1.8956628925934995E-2</v>
      </c>
      <c r="U5" s="133">
        <v>1.5457281252338972E-2</v>
      </c>
      <c r="V5" s="133">
        <v>1.1743234984558324E-2</v>
      </c>
      <c r="W5" s="133">
        <v>1.2337543132611485E-2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2.0335327685898181</v>
      </c>
      <c r="D7" s="133">
        <v>2.333318600587265</v>
      </c>
      <c r="E7" s="133">
        <v>2.559264353870121</v>
      </c>
      <c r="F7" s="133">
        <v>3.9950304119451649</v>
      </c>
      <c r="G7" s="133">
        <v>3.0227420813394925</v>
      </c>
      <c r="H7" s="133">
        <v>2.5177369933740832</v>
      </c>
      <c r="I7" s="133">
        <v>0.96188550150213115</v>
      </c>
      <c r="J7" s="133">
        <v>0.8605393989140836</v>
      </c>
      <c r="K7" s="133">
        <v>2.3124551195680318</v>
      </c>
      <c r="L7" s="133">
        <v>4.7688415415494241</v>
      </c>
      <c r="M7" s="133">
        <v>2.9809215701047562</v>
      </c>
      <c r="N7" s="133">
        <v>2.117658523194911</v>
      </c>
      <c r="O7" s="133">
        <v>1.2954534395686865</v>
      </c>
      <c r="P7" s="133">
        <v>0.66277961595914048</v>
      </c>
      <c r="Q7" s="133">
        <v>0.87906200811697266</v>
      </c>
      <c r="R7" s="133">
        <v>1.5868265559763377</v>
      </c>
      <c r="S7" s="133">
        <v>1.8536019919816873</v>
      </c>
      <c r="T7" s="133">
        <v>1.6679538455551406</v>
      </c>
      <c r="U7" s="133">
        <v>1.6909441298037611</v>
      </c>
      <c r="V7" s="133">
        <v>1.2884249534716703</v>
      </c>
      <c r="W7" s="133">
        <v>0.96685594812684883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0.47529678114333046</v>
      </c>
      <c r="D9" s="133">
        <v>0.62108166709148638</v>
      </c>
      <c r="E9" s="133">
        <v>0.51218470849142728</v>
      </c>
      <c r="F9" s="133">
        <v>0.84102909848140228</v>
      </c>
      <c r="G9" s="133">
        <v>0.43980723073474126</v>
      </c>
      <c r="H9" s="133">
        <v>0.25120656755919085</v>
      </c>
      <c r="I9" s="133">
        <v>8.0957457954050127E-2</v>
      </c>
      <c r="J9" s="133">
        <v>0.14811082856880328</v>
      </c>
      <c r="K9" s="133">
        <v>0.25925428398877376</v>
      </c>
      <c r="L9" s="133">
        <v>0.42347015926169734</v>
      </c>
      <c r="M9" s="133">
        <v>0.36964561200292567</v>
      </c>
      <c r="N9" s="133">
        <v>0.32295890921299791</v>
      </c>
      <c r="O9" s="133">
        <v>0.35410022825752158</v>
      </c>
      <c r="P9" s="133">
        <v>0.36962278394567666</v>
      </c>
      <c r="Q9" s="133">
        <v>0.20183796825558567</v>
      </c>
      <c r="R9" s="133">
        <v>0.33055785227229445</v>
      </c>
      <c r="S9" s="133">
        <v>0.32092680096577297</v>
      </c>
      <c r="T9" s="133">
        <v>0.24223939377043241</v>
      </c>
      <c r="U9" s="133">
        <v>0.24467138234883093</v>
      </c>
      <c r="V9" s="133">
        <v>0.15822842892821021</v>
      </c>
      <c r="W9" s="133">
        <v>0.17753531404805048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0.69410053929170279</v>
      </c>
      <c r="D10" s="133">
        <v>0.76757615291312209</v>
      </c>
      <c r="E10" s="133">
        <v>0.71568589833814267</v>
      </c>
      <c r="F10" s="133">
        <v>1.0111132474353617</v>
      </c>
      <c r="G10" s="133">
        <v>0.84684738957413375</v>
      </c>
      <c r="H10" s="133">
        <v>1.0658305789304354</v>
      </c>
      <c r="I10" s="133">
        <v>0.86927896536349158</v>
      </c>
      <c r="J10" s="133">
        <v>0.95292245813615184</v>
      </c>
      <c r="K10" s="133">
        <v>0.59671204173452708</v>
      </c>
      <c r="L10" s="133">
        <v>0.84828957429757712</v>
      </c>
      <c r="M10" s="133">
        <v>0.5079246092430596</v>
      </c>
      <c r="N10" s="133">
        <v>0.40303234081683853</v>
      </c>
      <c r="O10" s="133">
        <v>0.29215455113139382</v>
      </c>
      <c r="P10" s="133">
        <v>0.3046415566779892</v>
      </c>
      <c r="Q10" s="133">
        <v>0.32682712652487089</v>
      </c>
      <c r="R10" s="133">
        <v>0.57991808022590552</v>
      </c>
      <c r="S10" s="133">
        <v>0.6548615803727087</v>
      </c>
      <c r="T10" s="133">
        <v>0.58426624173886466</v>
      </c>
      <c r="U10" s="133">
        <v>0.52375013538663162</v>
      </c>
      <c r="V10" s="133">
        <v>0.39440725933482312</v>
      </c>
      <c r="W10" s="133">
        <v>0.35378596271914453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12.452019087490255</v>
      </c>
      <c r="D12" s="133">
        <v>11.479175766689252</v>
      </c>
      <c r="E12" s="133">
        <v>9.6721606985383204</v>
      </c>
      <c r="F12" s="133">
        <v>13.130800722045663</v>
      </c>
      <c r="G12" s="133">
        <v>11.644826520005807</v>
      </c>
      <c r="H12" s="133">
        <v>17.05336231046827</v>
      </c>
      <c r="I12" s="133">
        <v>21.460544250718463</v>
      </c>
      <c r="J12" s="133">
        <v>13.412045120535138</v>
      </c>
      <c r="K12" s="133">
        <v>9.6987335238811276</v>
      </c>
      <c r="L12" s="133">
        <v>9.7767050590719595</v>
      </c>
      <c r="M12" s="133">
        <v>5.8259211956723265</v>
      </c>
      <c r="N12" s="133">
        <v>5.3014193374317076</v>
      </c>
      <c r="O12" s="133">
        <v>4.7203343493094581</v>
      </c>
      <c r="P12" s="133">
        <v>6.0388906824750022</v>
      </c>
      <c r="Q12" s="133">
        <v>4.1804959607111192</v>
      </c>
      <c r="R12" s="133">
        <v>7.4178009554571629</v>
      </c>
      <c r="S12" s="133">
        <v>8.4817718829772968</v>
      </c>
      <c r="T12" s="133">
        <v>7.5875659170090382</v>
      </c>
      <c r="U12" s="133">
        <v>6.7311443152503641</v>
      </c>
      <c r="V12" s="133">
        <v>5.302835717903692</v>
      </c>
      <c r="W12" s="133">
        <v>5.0662760311770763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6.2059151875996921E-2</v>
      </c>
      <c r="D13" s="133">
        <v>0.10837913852069138</v>
      </c>
      <c r="E13" s="133">
        <v>0.11076057229672392</v>
      </c>
      <c r="F13" s="133">
        <v>0.18282403954700743</v>
      </c>
      <c r="G13" s="133">
        <v>0.16353901928658854</v>
      </c>
      <c r="H13" s="133">
        <v>0.19465502770239484</v>
      </c>
      <c r="I13" s="133">
        <v>0.1689622309446383</v>
      </c>
      <c r="J13" s="133">
        <v>0.13234699798320343</v>
      </c>
      <c r="K13" s="133">
        <v>0.10195840751931283</v>
      </c>
      <c r="L13" s="133">
        <v>0.14516084088665701</v>
      </c>
      <c r="M13" s="133">
        <v>0.16708504292374263</v>
      </c>
      <c r="N13" s="133">
        <v>0.1169572763768043</v>
      </c>
      <c r="O13" s="133">
        <v>0.14833341855106744</v>
      </c>
      <c r="P13" s="133">
        <v>0.26199299657604463</v>
      </c>
      <c r="Q13" s="133">
        <v>0.26302609349669459</v>
      </c>
      <c r="R13" s="133">
        <v>0.21487653671042334</v>
      </c>
      <c r="S13" s="133">
        <v>0.24558801668256222</v>
      </c>
      <c r="T13" s="133">
        <v>0.25721162784002288</v>
      </c>
      <c r="U13" s="133">
        <v>0.28367329685638631</v>
      </c>
      <c r="V13" s="133">
        <v>0.24905011299944452</v>
      </c>
      <c r="W13" s="133">
        <v>0.19885952419957634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6.3522045421512612</v>
      </c>
      <c r="D14" s="65">
        <v>5.838463414554699</v>
      </c>
      <c r="E14" s="65">
        <v>4.7994497790430843</v>
      </c>
      <c r="F14" s="65">
        <v>8.5432217243098609</v>
      </c>
      <c r="G14" s="65">
        <v>6.8529692489166374</v>
      </c>
      <c r="H14" s="65">
        <v>8.2731964739347674</v>
      </c>
      <c r="I14" s="65">
        <v>6.216340628512687</v>
      </c>
      <c r="J14" s="65">
        <v>5.3921881562389853</v>
      </c>
      <c r="K14" s="65">
        <v>3.5194227301809859</v>
      </c>
      <c r="L14" s="65">
        <v>4.880915367480938</v>
      </c>
      <c r="M14" s="65">
        <v>3.8980757061365985</v>
      </c>
      <c r="N14" s="65">
        <v>2.6918650284909931</v>
      </c>
      <c r="O14" s="65">
        <v>2.1214339456742439</v>
      </c>
      <c r="P14" s="65">
        <v>0.88829881801201882</v>
      </c>
      <c r="Q14" s="65">
        <v>1.8102388821633772</v>
      </c>
      <c r="R14" s="65">
        <v>2.2768262818684688</v>
      </c>
      <c r="S14" s="65">
        <v>2.6180164188803978</v>
      </c>
      <c r="T14" s="65">
        <v>3.4437643491836125</v>
      </c>
      <c r="U14" s="65">
        <v>1.8879920051974788</v>
      </c>
      <c r="V14" s="65">
        <v>1.3526433491666645</v>
      </c>
      <c r="W14" s="65">
        <v>0.87598092628030511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7.8254198457743326E-2</v>
      </c>
      <c r="D15" s="135">
        <v>7.8510664006933212E-2</v>
      </c>
      <c r="E15" s="135">
        <v>7.148802615614519E-2</v>
      </c>
      <c r="F15" s="135">
        <v>0.10300524934394989</v>
      </c>
      <c r="G15" s="135">
        <v>8.16348398166441E-2</v>
      </c>
      <c r="H15" s="135">
        <v>9.4421925592370642E-2</v>
      </c>
      <c r="I15" s="135">
        <v>9.1070583913536091E-2</v>
      </c>
      <c r="J15" s="135">
        <v>6.1957530171657324E-2</v>
      </c>
      <c r="K15" s="135">
        <v>6.2403692844875007E-2</v>
      </c>
      <c r="L15" s="135">
        <v>8.9826885636683826E-2</v>
      </c>
      <c r="M15" s="135">
        <v>5.6448564073497631E-2</v>
      </c>
      <c r="N15" s="135">
        <v>4.5491472191753056E-2</v>
      </c>
      <c r="O15" s="135">
        <v>3.5383911123765925E-2</v>
      </c>
      <c r="P15" s="135">
        <v>3.3700821690573722E-2</v>
      </c>
      <c r="Q15" s="135">
        <v>2.827798920387992E-2</v>
      </c>
      <c r="R15" s="135">
        <v>5.0388285253785595E-2</v>
      </c>
      <c r="S15" s="135">
        <v>5.7450859486935138E-2</v>
      </c>
      <c r="T15" s="135">
        <v>5.1118632146690227E-2</v>
      </c>
      <c r="U15" s="135">
        <v>4.8365610141150338E-2</v>
      </c>
      <c r="V15" s="135">
        <v>3.7201566441202052E-2</v>
      </c>
      <c r="W15" s="135">
        <v>3.2608156087583599E-2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1.2696635899839597</v>
      </c>
      <c r="D16" s="131">
        <f t="shared" si="4"/>
        <v>1.1470546749157668</v>
      </c>
      <c r="E16" s="131">
        <f t="shared" si="4"/>
        <v>1.0170604873785372</v>
      </c>
      <c r="F16" s="131">
        <f t="shared" si="4"/>
        <v>1.4635114496871817</v>
      </c>
      <c r="G16" s="131">
        <f t="shared" si="4"/>
        <v>1.2386753867279896</v>
      </c>
      <c r="H16" s="131">
        <f t="shared" si="4"/>
        <v>1.5811421170545101</v>
      </c>
      <c r="I16" s="131">
        <f t="shared" si="4"/>
        <v>1.5105113399024441</v>
      </c>
      <c r="J16" s="131">
        <f t="shared" si="4"/>
        <v>1.0582361095939894</v>
      </c>
      <c r="K16" s="131">
        <f t="shared" si="4"/>
        <v>0.71409960106166193</v>
      </c>
      <c r="L16" s="131">
        <f t="shared" si="4"/>
        <v>0.85934747693343916</v>
      </c>
      <c r="M16" s="131">
        <f t="shared" si="4"/>
        <v>0.62358747654638824</v>
      </c>
      <c r="N16" s="131">
        <f t="shared" si="4"/>
        <v>0.44386040662973653</v>
      </c>
      <c r="O16" s="131">
        <f t="shared" si="4"/>
        <v>0.39215111316004347</v>
      </c>
      <c r="P16" s="131">
        <f t="shared" si="4"/>
        <v>0.37567991777886378</v>
      </c>
      <c r="Q16" s="131">
        <f t="shared" si="4"/>
        <v>0.3635728804593944</v>
      </c>
      <c r="R16" s="131">
        <f t="shared" ref="R16:W16" si="5">SUM(R17:R18)</f>
        <v>0.54210706049442103</v>
      </c>
      <c r="S16" s="131">
        <f t="shared" si="5"/>
        <v>0.64559894713040633</v>
      </c>
      <c r="T16" s="131">
        <f t="shared" si="5"/>
        <v>0.6277944271106769</v>
      </c>
      <c r="U16" s="131">
        <f t="shared" si="5"/>
        <v>0.57129660837364327</v>
      </c>
      <c r="V16" s="131">
        <f t="shared" si="5"/>
        <v>0.51156628713615482</v>
      </c>
      <c r="W16" s="131">
        <f t="shared" si="5"/>
        <v>0.40673698966410193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1.2696635899839597</v>
      </c>
      <c r="D18" s="133">
        <v>1.1470546749157668</v>
      </c>
      <c r="E18" s="133">
        <v>1.0170604873785372</v>
      </c>
      <c r="F18" s="133">
        <v>1.4635114496871817</v>
      </c>
      <c r="G18" s="133">
        <v>1.2386753867279896</v>
      </c>
      <c r="H18" s="133">
        <v>1.5811421170545101</v>
      </c>
      <c r="I18" s="133">
        <v>1.5105113399024441</v>
      </c>
      <c r="J18" s="133">
        <v>1.0582361095939894</v>
      </c>
      <c r="K18" s="133">
        <v>0.71409960106166193</v>
      </c>
      <c r="L18" s="133">
        <v>0.85934747693343916</v>
      </c>
      <c r="M18" s="133">
        <v>0.62358747654638824</v>
      </c>
      <c r="N18" s="133">
        <v>0.44386040662973653</v>
      </c>
      <c r="O18" s="133">
        <v>0.39215111316004347</v>
      </c>
      <c r="P18" s="133">
        <v>0.37567991777886378</v>
      </c>
      <c r="Q18" s="133">
        <v>0.3635728804593944</v>
      </c>
      <c r="R18" s="133">
        <v>0.54210706049442103</v>
      </c>
      <c r="S18" s="133">
        <v>0.64559894713040633</v>
      </c>
      <c r="T18" s="133">
        <v>0.6277944271106769</v>
      </c>
      <c r="U18" s="133">
        <v>0.57129660837364327</v>
      </c>
      <c r="V18" s="133">
        <v>0.51156628713615482</v>
      </c>
      <c r="W18" s="133">
        <v>0.40673698966410193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2.8557471897738504</v>
      </c>
      <c r="D19" s="131">
        <f t="shared" si="6"/>
        <v>2.6702887876347483</v>
      </c>
      <c r="E19" s="131">
        <f t="shared" si="6"/>
        <v>2.3466002644248292</v>
      </c>
      <c r="F19" s="131">
        <f t="shared" si="6"/>
        <v>3.5783440722682238</v>
      </c>
      <c r="G19" s="131">
        <f t="shared" si="6"/>
        <v>3.1324397130086203</v>
      </c>
      <c r="H19" s="131">
        <f t="shared" si="6"/>
        <v>4.0764295171086573</v>
      </c>
      <c r="I19" s="131">
        <f t="shared" si="6"/>
        <v>4.0053468640528163</v>
      </c>
      <c r="J19" s="131">
        <f t="shared" si="6"/>
        <v>2.9336843549260934</v>
      </c>
      <c r="K19" s="131">
        <f t="shared" si="6"/>
        <v>2.0725840462598573</v>
      </c>
      <c r="L19" s="131">
        <f t="shared" si="6"/>
        <v>2.4566364512084364</v>
      </c>
      <c r="M19" s="131">
        <f t="shared" si="6"/>
        <v>1.9566692540052353</v>
      </c>
      <c r="N19" s="131">
        <f t="shared" si="6"/>
        <v>1.4707436507194593</v>
      </c>
      <c r="O19" s="131">
        <f t="shared" si="6"/>
        <v>1.3483328683003857</v>
      </c>
      <c r="P19" s="131">
        <f t="shared" si="6"/>
        <v>1.3449907474872118</v>
      </c>
      <c r="Q19" s="131">
        <f t="shared" si="6"/>
        <v>1.3715003514241215</v>
      </c>
      <c r="R19" s="131">
        <f t="shared" ref="R19:W19" si="7">SUM(R20:R27)</f>
        <v>2.0557223349900764</v>
      </c>
      <c r="S19" s="131">
        <f t="shared" si="7"/>
        <v>2.4848212044813782</v>
      </c>
      <c r="T19" s="131">
        <f t="shared" si="7"/>
        <v>2.496246822164073</v>
      </c>
      <c r="U19" s="131">
        <f t="shared" si="7"/>
        <v>2.3207682919210937</v>
      </c>
      <c r="V19" s="131">
        <f t="shared" si="7"/>
        <v>1.9615557169873523</v>
      </c>
      <c r="W19" s="131">
        <f t="shared" si="7"/>
        <v>1.9864008777242086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0.34562298056719815</v>
      </c>
      <c r="D22" s="133">
        <v>0.37777933752852721</v>
      </c>
      <c r="E22" s="133">
        <v>0.30567684205801732</v>
      </c>
      <c r="F22" s="133">
        <v>0.41489710804751978</v>
      </c>
      <c r="G22" s="133">
        <v>0.33969268082013421</v>
      </c>
      <c r="H22" s="133">
        <v>0.45080126031736295</v>
      </c>
      <c r="I22" s="133">
        <v>0.42417227772131622</v>
      </c>
      <c r="J22" s="133">
        <v>0.34591856291850342</v>
      </c>
      <c r="K22" s="133">
        <v>0.26814238198493934</v>
      </c>
      <c r="L22" s="133">
        <v>0.36157632119186145</v>
      </c>
      <c r="M22" s="133">
        <v>0.24665285730831721</v>
      </c>
      <c r="N22" s="133">
        <v>0.14500940250979585</v>
      </c>
      <c r="O22" s="133">
        <v>0.11398603336882175</v>
      </c>
      <c r="P22" s="133">
        <v>6.3768288747846777E-2</v>
      </c>
      <c r="Q22" s="133">
        <v>7.8589137742720638E-2</v>
      </c>
      <c r="R22" s="133">
        <v>9.8587455928524484E-2</v>
      </c>
      <c r="S22" s="133">
        <v>4.7474230086599303E-2</v>
      </c>
      <c r="T22" s="133">
        <v>3.5714205322919905E-2</v>
      </c>
      <c r="U22" s="133">
        <v>0.10122437761152429</v>
      </c>
      <c r="V22" s="133">
        <v>0.13147455253439944</v>
      </c>
      <c r="W22" s="133">
        <v>0.18952813602311516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4.8636035016470569E-2</v>
      </c>
      <c r="D23" s="133">
        <v>5.1701442100112044E-2</v>
      </c>
      <c r="E23" s="133">
        <v>4.610057945682338E-2</v>
      </c>
      <c r="F23" s="133">
        <v>6.6897194782189626E-2</v>
      </c>
      <c r="G23" s="133">
        <v>5.2032591529564021E-2</v>
      </c>
      <c r="H23" s="133">
        <v>4.9875381462464133E-2</v>
      </c>
      <c r="I23" s="133">
        <v>4.7955613617104979E-2</v>
      </c>
      <c r="J23" s="133">
        <v>3.3710065643981539E-2</v>
      </c>
      <c r="K23" s="133">
        <v>2.1367410188363203E-2</v>
      </c>
      <c r="L23" s="133">
        <v>2.2687260100562243E-2</v>
      </c>
      <c r="M23" s="133">
        <v>2.2252691398955124E-2</v>
      </c>
      <c r="N23" s="133">
        <v>1.8050323370332331E-2</v>
      </c>
      <c r="O23" s="133">
        <v>1.6699305575866775E-2</v>
      </c>
      <c r="P23" s="133">
        <v>9.6732119703715636E-3</v>
      </c>
      <c r="Q23" s="133">
        <v>1.637000666097483E-2</v>
      </c>
      <c r="R23" s="133">
        <v>2.4126698454700876E-2</v>
      </c>
      <c r="S23" s="133">
        <v>3.2016745090685687E-2</v>
      </c>
      <c r="T23" s="133">
        <v>2.7198554984314983E-2</v>
      </c>
      <c r="U23" s="133">
        <v>2.5381628154573458E-2</v>
      </c>
      <c r="V23" s="133">
        <v>2.3325276549876612E-2</v>
      </c>
      <c r="W23" s="133">
        <v>2.6237245132745401E-2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0.16245240406457989</v>
      </c>
      <c r="D24" s="133">
        <v>0.118070001778308</v>
      </c>
      <c r="E24" s="133">
        <v>8.9902794741554007E-2</v>
      </c>
      <c r="F24" s="133">
        <v>0.113964217919215</v>
      </c>
      <c r="G24" s="133">
        <v>9.7605677894151893E-2</v>
      </c>
      <c r="H24" s="133">
        <v>0.14309104396766009</v>
      </c>
      <c r="I24" s="133">
        <v>0.1396037004557053</v>
      </c>
      <c r="J24" s="133">
        <v>0.12221768043065201</v>
      </c>
      <c r="K24" s="133">
        <v>6.595640422785351E-2</v>
      </c>
      <c r="L24" s="133">
        <v>7.8416877876737984E-2</v>
      </c>
      <c r="M24" s="133">
        <v>5.9746093724236775E-2</v>
      </c>
      <c r="N24" s="133">
        <v>4.1452783344558521E-2</v>
      </c>
      <c r="O24" s="133">
        <v>3.566829562973748E-2</v>
      </c>
      <c r="P24" s="133">
        <v>6.1168301551948814E-2</v>
      </c>
      <c r="Q24" s="133">
        <v>7.3122533315241225E-2</v>
      </c>
      <c r="R24" s="133">
        <v>0.14635714446910958</v>
      </c>
      <c r="S24" s="133">
        <v>0.12770366853313192</v>
      </c>
      <c r="T24" s="133">
        <v>0.10885381996094844</v>
      </c>
      <c r="U24" s="133">
        <v>9.2876006450942641E-2</v>
      </c>
      <c r="V24" s="133">
        <v>7.7305298999190433E-2</v>
      </c>
      <c r="W24" s="133">
        <v>0.1026984031368021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1.4785373395591499</v>
      </c>
      <c r="D25" s="133">
        <v>1.3238883868737283</v>
      </c>
      <c r="E25" s="133">
        <v>1.1648485610140094</v>
      </c>
      <c r="F25" s="133">
        <v>1.8742621791966039</v>
      </c>
      <c r="G25" s="133">
        <v>1.6667166784620839</v>
      </c>
      <c r="H25" s="133">
        <v>2.264058530070614</v>
      </c>
      <c r="I25" s="133">
        <v>2.1997816288199288</v>
      </c>
      <c r="J25" s="133">
        <v>1.3537491146809266</v>
      </c>
      <c r="K25" s="133">
        <v>0.86389773137890513</v>
      </c>
      <c r="L25" s="133">
        <v>0.95835279857816358</v>
      </c>
      <c r="M25" s="133">
        <v>0.78512136638078089</v>
      </c>
      <c r="N25" s="133">
        <v>0.60504198841220758</v>
      </c>
      <c r="O25" s="133">
        <v>0.59447682113865397</v>
      </c>
      <c r="P25" s="133">
        <v>0.60145004465300311</v>
      </c>
      <c r="Q25" s="133">
        <v>0.6514677881378953</v>
      </c>
      <c r="R25" s="133">
        <v>1.1076978776087154</v>
      </c>
      <c r="S25" s="133">
        <v>1.3020147796156838</v>
      </c>
      <c r="T25" s="133">
        <v>1.2991004561852522</v>
      </c>
      <c r="U25" s="133">
        <v>1.0874587390549098</v>
      </c>
      <c r="V25" s="133">
        <v>0.97081195874981441</v>
      </c>
      <c r="W25" s="133">
        <v>0.95179003271736617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0.820498430566452</v>
      </c>
      <c r="D26" s="65">
        <v>0.79884961935407273</v>
      </c>
      <c r="E26" s="65">
        <v>0.74007148715442528</v>
      </c>
      <c r="F26" s="65">
        <v>1.1083233723226957</v>
      </c>
      <c r="G26" s="65">
        <v>0.97639208430268631</v>
      </c>
      <c r="H26" s="65">
        <v>1.1686033012905563</v>
      </c>
      <c r="I26" s="65">
        <v>1.1938336434387609</v>
      </c>
      <c r="J26" s="65">
        <v>1.0780889312520296</v>
      </c>
      <c r="K26" s="65">
        <v>0.85322011847979617</v>
      </c>
      <c r="L26" s="65">
        <v>1.035603193461111</v>
      </c>
      <c r="M26" s="65">
        <v>0.84289624519294504</v>
      </c>
      <c r="N26" s="65">
        <v>0.6611891530825651</v>
      </c>
      <c r="O26" s="65">
        <v>0.58750241258730573</v>
      </c>
      <c r="P26" s="65">
        <v>0.60893090056404164</v>
      </c>
      <c r="Q26" s="65">
        <v>0.55195088556728955</v>
      </c>
      <c r="R26" s="65">
        <v>0.67895315852902605</v>
      </c>
      <c r="S26" s="65">
        <v>0.97561178115527758</v>
      </c>
      <c r="T26" s="65">
        <v>1.0253797857106373</v>
      </c>
      <c r="U26" s="65">
        <v>1.0138275406491437</v>
      </c>
      <c r="V26" s="65">
        <v>0.75863863015407162</v>
      </c>
      <c r="W26" s="65">
        <v>0.71614706071417988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2.5569441874184262</v>
      </c>
      <c r="D29" s="131">
        <f t="shared" si="8"/>
        <v>2.3529634552622825</v>
      </c>
      <c r="E29" s="131">
        <f t="shared" si="8"/>
        <v>2.0467903057095764</v>
      </c>
      <c r="F29" s="131">
        <f t="shared" si="8"/>
        <v>3.1706893446540843</v>
      </c>
      <c r="G29" s="131">
        <f t="shared" si="8"/>
        <v>2.7435347875693457</v>
      </c>
      <c r="H29" s="131">
        <f t="shared" si="8"/>
        <v>3.6176388795942853</v>
      </c>
      <c r="I29" s="131">
        <f t="shared" si="8"/>
        <v>3.5184685685973625</v>
      </c>
      <c r="J29" s="131">
        <f t="shared" si="8"/>
        <v>2.5196786900957986</v>
      </c>
      <c r="K29" s="131">
        <f t="shared" si="8"/>
        <v>1.7776909116597088</v>
      </c>
      <c r="L29" s="131">
        <f t="shared" si="8"/>
        <v>2.0520757170734054</v>
      </c>
      <c r="M29" s="131">
        <f t="shared" si="8"/>
        <v>1.6655116682942575</v>
      </c>
      <c r="N29" s="131">
        <f t="shared" si="8"/>
        <v>1.2614123664352945</v>
      </c>
      <c r="O29" s="131">
        <f t="shared" si="8"/>
        <v>1.172373226861579</v>
      </c>
      <c r="P29" s="131">
        <f t="shared" si="8"/>
        <v>1.1991952810868869</v>
      </c>
      <c r="Q29" s="131">
        <f t="shared" si="8"/>
        <v>1.2544572352521013</v>
      </c>
      <c r="R29" s="131">
        <f t="shared" ref="R29:W29" si="9">SUM(R30:R33)</f>
        <v>1.9437717167991744</v>
      </c>
      <c r="S29" s="131">
        <f t="shared" si="9"/>
        <v>2.3687420665785934</v>
      </c>
      <c r="T29" s="131">
        <f t="shared" si="9"/>
        <v>2.3580835356426268</v>
      </c>
      <c r="U29" s="131">
        <f t="shared" si="9"/>
        <v>2.2710779169701136</v>
      </c>
      <c r="V29" s="131">
        <f t="shared" si="9"/>
        <v>1.9493721803751225</v>
      </c>
      <c r="W29" s="131">
        <f t="shared" si="9"/>
        <v>1.974087560961415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8.0146717329649245E-2</v>
      </c>
      <c r="D31" s="133">
        <v>8.4106683655556333E-2</v>
      </c>
      <c r="E31" s="133">
        <v>7.1902191929317655E-2</v>
      </c>
      <c r="F31" s="133">
        <v>0.10095562261075261</v>
      </c>
      <c r="G31" s="133">
        <v>8.4303007085505782E-2</v>
      </c>
      <c r="H31" s="133">
        <v>9.7905975696679845E-2</v>
      </c>
      <c r="I31" s="133">
        <v>8.9342287927350411E-2</v>
      </c>
      <c r="J31" s="133">
        <v>6.0366895410312836E-2</v>
      </c>
      <c r="K31" s="133">
        <v>3.291571836786733E-2</v>
      </c>
      <c r="L31" s="133">
        <v>3.1217093368699413E-2</v>
      </c>
      <c r="M31" s="133">
        <v>1.3439418624056688E-2</v>
      </c>
      <c r="N31" s="133">
        <v>2.5554106735482602E-2</v>
      </c>
      <c r="O31" s="133">
        <v>3.0028919257814975E-2</v>
      </c>
      <c r="P31" s="133">
        <v>2.677184513469303E-2</v>
      </c>
      <c r="Q31" s="133">
        <v>2.8624271604025479E-2</v>
      </c>
      <c r="R31" s="133">
        <v>3.6299350361194874E-2</v>
      </c>
      <c r="S31" s="133">
        <v>5.613939633108924E-2</v>
      </c>
      <c r="T31" s="133">
        <v>2.6511152647780065E-2</v>
      </c>
      <c r="U31" s="133">
        <v>3.4403311260898989E-2</v>
      </c>
      <c r="V31" s="133">
        <v>4.0816068520573845E-2</v>
      </c>
      <c r="W31" s="133">
        <v>3.1638555159402157E-2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2.4767974700887772</v>
      </c>
      <c r="D33" s="68">
        <v>2.2688567716067261</v>
      </c>
      <c r="E33" s="68">
        <v>1.9748881137802587</v>
      </c>
      <c r="F33" s="68">
        <v>3.0697337220433316</v>
      </c>
      <c r="G33" s="68">
        <v>2.6592317804838399</v>
      </c>
      <c r="H33" s="68">
        <v>3.5197329038976055</v>
      </c>
      <c r="I33" s="68">
        <v>3.4291262806700122</v>
      </c>
      <c r="J33" s="68">
        <v>2.4593117946854859</v>
      </c>
      <c r="K33" s="68">
        <v>1.7447751932918414</v>
      </c>
      <c r="L33" s="68">
        <v>2.0208586237047061</v>
      </c>
      <c r="M33" s="68">
        <v>1.6520722496702007</v>
      </c>
      <c r="N33" s="68">
        <v>1.235858259699812</v>
      </c>
      <c r="O33" s="68">
        <v>1.142344307603764</v>
      </c>
      <c r="P33" s="68">
        <v>1.1724234359521939</v>
      </c>
      <c r="Q33" s="68">
        <v>1.2258329636480758</v>
      </c>
      <c r="R33" s="68">
        <v>1.9074723664379796</v>
      </c>
      <c r="S33" s="68">
        <v>2.3126026702475042</v>
      </c>
      <c r="T33" s="68">
        <v>2.3315723829948469</v>
      </c>
      <c r="U33" s="68">
        <v>2.2366746057092146</v>
      </c>
      <c r="V33" s="68">
        <v>1.9085561118545487</v>
      </c>
      <c r="W33" s="68">
        <v>1.942449005802013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23.447173173967226</v>
      </c>
      <c r="D3" s="126">
        <f t="shared" si="0"/>
        <v>22.238712077460839</v>
      </c>
      <c r="E3" s="126">
        <f t="shared" si="0"/>
        <v>19.451829006849703</v>
      </c>
      <c r="F3" s="126">
        <f t="shared" si="0"/>
        <v>29.402740713523542</v>
      </c>
      <c r="G3" s="126">
        <f t="shared" si="0"/>
        <v>25.024552617460476</v>
      </c>
      <c r="H3" s="126">
        <f t="shared" si="0"/>
        <v>32.816062113251022</v>
      </c>
      <c r="I3" s="126">
        <f t="shared" si="0"/>
        <v>33.635167282073681</v>
      </c>
      <c r="J3" s="126">
        <f t="shared" si="0"/>
        <v>23.690436589072675</v>
      </c>
      <c r="K3" s="126">
        <f t="shared" si="0"/>
        <v>17.795342378908082</v>
      </c>
      <c r="L3" s="126">
        <f t="shared" si="0"/>
        <v>21.823809022094292</v>
      </c>
      <c r="M3" s="126">
        <f t="shared" si="0"/>
        <v>15.385370226476729</v>
      </c>
      <c r="N3" s="126">
        <f t="shared" si="0"/>
        <v>12.210200639651289</v>
      </c>
      <c r="O3" s="126">
        <f t="shared" si="0"/>
        <v>10.683602291247004</v>
      </c>
      <c r="P3" s="126">
        <f t="shared" si="0"/>
        <v>10.91555811558937</v>
      </c>
      <c r="Q3" s="126">
        <f t="shared" si="0"/>
        <v>10.359863196995587</v>
      </c>
      <c r="R3" s="126">
        <f t="shared" ref="R3:W3" si="1">SUM(R4,R16,R19,R29)</f>
        <v>16.109688107421206</v>
      </c>
      <c r="S3" s="126">
        <f t="shared" si="1"/>
        <v>18.986122750820346</v>
      </c>
      <c r="T3" s="126">
        <f t="shared" si="1"/>
        <v>18.877400011612924</v>
      </c>
      <c r="U3" s="126">
        <f t="shared" si="1"/>
        <v>16.567519101621539</v>
      </c>
      <c r="V3" s="126">
        <f t="shared" si="1"/>
        <v>13.584713763634356</v>
      </c>
      <c r="W3" s="126">
        <f t="shared" si="1"/>
        <v>12.200525660652429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16.378267723775409</v>
      </c>
      <c r="D4" s="131">
        <f t="shared" si="2"/>
        <v>15.658394971596641</v>
      </c>
      <c r="E4" s="131">
        <f t="shared" si="2"/>
        <v>13.553972161848618</v>
      </c>
      <c r="F4" s="131">
        <f t="shared" si="2"/>
        <v>20.435856339022667</v>
      </c>
      <c r="G4" s="131">
        <f t="shared" si="2"/>
        <v>17.181223015375181</v>
      </c>
      <c r="H4" s="131">
        <f t="shared" si="2"/>
        <v>22.484401621858609</v>
      </c>
      <c r="I4" s="131">
        <f t="shared" si="2"/>
        <v>23.477429889214104</v>
      </c>
      <c r="J4" s="131">
        <f t="shared" si="2"/>
        <v>16.36277402214856</v>
      </c>
      <c r="K4" s="131">
        <f t="shared" si="2"/>
        <v>12.657655660927933</v>
      </c>
      <c r="L4" s="131">
        <f t="shared" si="2"/>
        <v>15.645032866285844</v>
      </c>
      <c r="M4" s="131">
        <f t="shared" si="2"/>
        <v>10.539951710816034</v>
      </c>
      <c r="N4" s="131">
        <f t="shared" si="2"/>
        <v>8.557143979017745</v>
      </c>
      <c r="O4" s="131">
        <f t="shared" si="2"/>
        <v>7.2752597206949803</v>
      </c>
      <c r="P4" s="131">
        <f t="shared" si="2"/>
        <v>7.4408338863569652</v>
      </c>
      <c r="Q4" s="131">
        <f t="shared" si="2"/>
        <v>6.7757611728941987</v>
      </c>
      <c r="R4" s="131">
        <f t="shared" ref="R4:W4" si="3">SUM(R5:R15)</f>
        <v>10.589689093214767</v>
      </c>
      <c r="S4" s="131">
        <f t="shared" si="3"/>
        <v>12.215262713133084</v>
      </c>
      <c r="T4" s="131">
        <f t="shared" si="3"/>
        <v>12.061949580995201</v>
      </c>
      <c r="U4" s="131">
        <f t="shared" si="3"/>
        <v>10.132106932541756</v>
      </c>
      <c r="V4" s="131">
        <f t="shared" si="3"/>
        <v>7.9246031704274698</v>
      </c>
      <c r="W4" s="131">
        <f t="shared" si="3"/>
        <v>6.9131413600118226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6.967874256833856E-3</v>
      </c>
      <c r="D5" s="133">
        <v>1.0784602823517443E-2</v>
      </c>
      <c r="E5" s="133">
        <v>1.1812995909117443E-2</v>
      </c>
      <c r="F5" s="133">
        <v>1.8652099931387733E-2</v>
      </c>
      <c r="G5" s="133">
        <v>1.5379030293046297E-2</v>
      </c>
      <c r="H5" s="133">
        <v>2.3127934201055893E-2</v>
      </c>
      <c r="I5" s="133">
        <v>2.4066529580681791E-2</v>
      </c>
      <c r="J5" s="133">
        <v>1.9290182937990074E-2</v>
      </c>
      <c r="K5" s="133">
        <v>1.8017813297086498E-2</v>
      </c>
      <c r="L5" s="133">
        <v>2.3118233381798938E-2</v>
      </c>
      <c r="M5" s="133">
        <v>1.1145061120628999E-2</v>
      </c>
      <c r="N5" s="133">
        <v>1.0872356524568742E-2</v>
      </c>
      <c r="O5" s="133">
        <v>7.4170858091086147E-3</v>
      </c>
      <c r="P5" s="133">
        <v>6.855365584638614E-3</v>
      </c>
      <c r="Q5" s="133">
        <v>5.8428155340794694E-3</v>
      </c>
      <c r="R5" s="133">
        <v>1.0283939807409938E-2</v>
      </c>
      <c r="S5" s="133">
        <v>1.2804845441401199E-2</v>
      </c>
      <c r="T5" s="133">
        <v>1.3409644114999713E-2</v>
      </c>
      <c r="U5" s="133">
        <v>1.1080333749896804E-2</v>
      </c>
      <c r="V5" s="133">
        <v>8.5137014125730073E-3</v>
      </c>
      <c r="W5" s="133">
        <v>9.0248104069460874E-3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1.0478604993391478</v>
      </c>
      <c r="D7" s="133">
        <v>1.2181456338499954</v>
      </c>
      <c r="E7" s="133">
        <v>1.3540587389876542</v>
      </c>
      <c r="F7" s="133">
        <v>2.1415892615681549</v>
      </c>
      <c r="G7" s="133">
        <v>1.6421058735433969</v>
      </c>
      <c r="H7" s="133">
        <v>1.3862814491875031</v>
      </c>
      <c r="I7" s="133">
        <v>0.53690718480206667</v>
      </c>
      <c r="J7" s="133">
        <v>0.48724224824908158</v>
      </c>
      <c r="K7" s="133">
        <v>1.3293415089910303</v>
      </c>
      <c r="L7" s="133">
        <v>2.7858784237511052</v>
      </c>
      <c r="M7" s="133">
        <v>1.7859495028091914</v>
      </c>
      <c r="N7" s="133">
        <v>1.31535362238053</v>
      </c>
      <c r="O7" s="133">
        <v>0.84337748778598565</v>
      </c>
      <c r="P7" s="133">
        <v>0.45420084240629399</v>
      </c>
      <c r="Q7" s="133">
        <v>0.62734909629813129</v>
      </c>
      <c r="R7" s="133">
        <v>1.1544628071461303</v>
      </c>
      <c r="S7" s="133">
        <v>1.3669470848395879</v>
      </c>
      <c r="T7" s="133">
        <v>1.2421678634142344</v>
      </c>
      <c r="U7" s="133">
        <v>1.2688665837706747</v>
      </c>
      <c r="V7" s="133">
        <v>0.97315175073071747</v>
      </c>
      <c r="W7" s="133">
        <v>0.73334005212262654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0.27958924860274226</v>
      </c>
      <c r="D9" s="133">
        <v>0.37024825908331738</v>
      </c>
      <c r="E9" s="133">
        <v>0.30937509165373345</v>
      </c>
      <c r="F9" s="133">
        <v>0.51456567111444917</v>
      </c>
      <c r="G9" s="133">
        <v>0.27251411073874066</v>
      </c>
      <c r="H9" s="133">
        <v>0.157606818812217</v>
      </c>
      <c r="I9" s="133">
        <v>5.142296255957312E-2</v>
      </c>
      <c r="J9" s="133">
        <v>9.524618143862959E-2</v>
      </c>
      <c r="K9" s="133">
        <v>0.16881272740792361</v>
      </c>
      <c r="L9" s="133">
        <v>0.27924882248592658</v>
      </c>
      <c r="M9" s="133">
        <v>0.24766874799547314</v>
      </c>
      <c r="N9" s="133">
        <v>0.22077540423673886</v>
      </c>
      <c r="O9" s="133">
        <v>0.2480780481354907</v>
      </c>
      <c r="P9" s="133">
        <v>0.26592540339452708</v>
      </c>
      <c r="Q9" s="133">
        <v>0.14844093979281786</v>
      </c>
      <c r="R9" s="133">
        <v>0.24611265786411796</v>
      </c>
      <c r="S9" s="133">
        <v>0.2411942240213793</v>
      </c>
      <c r="T9" s="133">
        <v>0.18341101629057316</v>
      </c>
      <c r="U9" s="133">
        <v>0.18639171412359615</v>
      </c>
      <c r="V9" s="133">
        <v>0.12117873666058356</v>
      </c>
      <c r="W9" s="133">
        <v>0.13646137142082729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0.37676113741258893</v>
      </c>
      <c r="D10" s="133">
        <v>0.41685297788360798</v>
      </c>
      <c r="E10" s="133">
        <v>0.38886922192333345</v>
      </c>
      <c r="F10" s="133">
        <v>0.54967037749902525</v>
      </c>
      <c r="G10" s="133">
        <v>0.46060711213553868</v>
      </c>
      <c r="H10" s="133">
        <v>0.58001322626995</v>
      </c>
      <c r="I10" s="133">
        <v>0.47329735427024483</v>
      </c>
      <c r="J10" s="133">
        <v>0.5191082071678651</v>
      </c>
      <c r="K10" s="133">
        <v>0.32522945262994929</v>
      </c>
      <c r="L10" s="133">
        <v>0.46258591719437414</v>
      </c>
      <c r="M10" s="133">
        <v>0.27711051176048124</v>
      </c>
      <c r="N10" s="133">
        <v>0.21997467498804663</v>
      </c>
      <c r="O10" s="133">
        <v>0.15951200929944387</v>
      </c>
      <c r="P10" s="133">
        <v>0.16637934783005581</v>
      </c>
      <c r="Q10" s="133">
        <v>0.17855932673068733</v>
      </c>
      <c r="R10" s="133">
        <v>0.31699930906946544</v>
      </c>
      <c r="S10" s="133">
        <v>0.35817535635043735</v>
      </c>
      <c r="T10" s="133">
        <v>0.31975150066530905</v>
      </c>
      <c r="U10" s="133">
        <v>0.2867881890621749</v>
      </c>
      <c r="V10" s="133">
        <v>0.2160623836854714</v>
      </c>
      <c r="W10" s="133">
        <v>0.19388016265716768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9.9123922192498508</v>
      </c>
      <c r="D12" s="133">
        <v>9.1579089323983336</v>
      </c>
      <c r="E12" s="133">
        <v>7.7335598817994597</v>
      </c>
      <c r="F12" s="133">
        <v>10.52249668132924</v>
      </c>
      <c r="G12" s="133">
        <v>9.3530539351429596</v>
      </c>
      <c r="H12" s="133">
        <v>13.729093868711535</v>
      </c>
      <c r="I12" s="133">
        <v>17.31838471348728</v>
      </c>
      <c r="J12" s="133">
        <v>10.850245907443531</v>
      </c>
      <c r="K12" s="133">
        <v>7.8667842820626301</v>
      </c>
      <c r="L12" s="133">
        <v>7.951995384378769</v>
      </c>
      <c r="M12" s="133">
        <v>4.7567050192969971</v>
      </c>
      <c r="N12" s="133">
        <v>4.350777601439983</v>
      </c>
      <c r="O12" s="133">
        <v>3.8999098297617723</v>
      </c>
      <c r="P12" s="133">
        <v>5.0280919338503418</v>
      </c>
      <c r="Q12" s="133">
        <v>3.5060993204923663</v>
      </c>
      <c r="R12" s="133">
        <v>6.2556181441679293</v>
      </c>
      <c r="S12" s="133">
        <v>7.1912184670478094</v>
      </c>
      <c r="T12" s="133">
        <v>6.4661710418275549</v>
      </c>
      <c r="U12" s="133">
        <v>5.7644309766069464</v>
      </c>
      <c r="V12" s="133">
        <v>4.5622471664807849</v>
      </c>
      <c r="W12" s="133">
        <v>4.377201939434153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9.1729861619222336E-2</v>
      </c>
      <c r="D13" s="133">
        <v>0.17019982221789348</v>
      </c>
      <c r="E13" s="133">
        <v>0.18445651261266288</v>
      </c>
      <c r="F13" s="133">
        <v>0.32223886651972522</v>
      </c>
      <c r="G13" s="133">
        <v>0.3045652743839159</v>
      </c>
      <c r="H13" s="133">
        <v>0.38242556838666086</v>
      </c>
      <c r="I13" s="133">
        <v>0.3496669703408119</v>
      </c>
      <c r="J13" s="133">
        <v>0.28814921248397668</v>
      </c>
      <c r="K13" s="133">
        <v>0.23328368723424681</v>
      </c>
      <c r="L13" s="133">
        <v>0.34866266675453134</v>
      </c>
      <c r="M13" s="133">
        <v>0.42224453384688121</v>
      </c>
      <c r="N13" s="133">
        <v>0.311782423293056</v>
      </c>
      <c r="O13" s="133">
        <v>0.41777747290120265</v>
      </c>
      <c r="P13" s="133">
        <v>0.77752607203431745</v>
      </c>
      <c r="Q13" s="133">
        <v>0.81320562709507938</v>
      </c>
      <c r="R13" s="133">
        <v>0.67586303115685886</v>
      </c>
      <c r="S13" s="133">
        <v>0.78079747273548339</v>
      </c>
      <c r="T13" s="133">
        <v>0.82335181911412436</v>
      </c>
      <c r="U13" s="133">
        <v>0.91297225178331187</v>
      </c>
      <c r="V13" s="133">
        <v>0.80674993806320239</v>
      </c>
      <c r="W13" s="133">
        <v>0.64892177783325122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4.584712684837279</v>
      </c>
      <c r="D14" s="65">
        <v>4.2357440793330419</v>
      </c>
      <c r="E14" s="65">
        <v>3.5003516928065124</v>
      </c>
      <c r="F14" s="65">
        <v>6.2636381317167311</v>
      </c>
      <c r="G14" s="65">
        <v>5.0513628393209373</v>
      </c>
      <c r="H14" s="65">
        <v>6.1314308306973144</v>
      </c>
      <c r="I14" s="65">
        <v>4.6326135902599122</v>
      </c>
      <c r="J14" s="65">
        <v>4.0415345522558308</v>
      </c>
      <c r="K14" s="65">
        <v>2.6537824964601908</v>
      </c>
      <c r="L14" s="65">
        <v>3.7037165327026536</v>
      </c>
      <c r="M14" s="65">
        <v>2.9826797699128837</v>
      </c>
      <c r="N14" s="65">
        <v>2.0821164239630701</v>
      </c>
      <c r="O14" s="65">
        <v>1.6638038758782103</v>
      </c>
      <c r="P14" s="65">
        <v>0.70815409956621722</v>
      </c>
      <c r="Q14" s="65">
        <v>1.4679860577471575</v>
      </c>
      <c r="R14" s="65">
        <v>1.8799609187490727</v>
      </c>
      <c r="S14" s="65">
        <v>2.2066744032100498</v>
      </c>
      <c r="T14" s="65">
        <v>2.9625680634217151</v>
      </c>
      <c r="U14" s="65">
        <v>1.6532112733040041</v>
      </c>
      <c r="V14" s="65">
        <v>1.1994979269529347</v>
      </c>
      <c r="W14" s="65">
        <v>0.7817030900492683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7.8254198457743326E-2</v>
      </c>
      <c r="D15" s="135">
        <v>7.8510664006933212E-2</v>
      </c>
      <c r="E15" s="135">
        <v>7.148802615614519E-2</v>
      </c>
      <c r="F15" s="135">
        <v>0.10300524934394989</v>
      </c>
      <c r="G15" s="135">
        <v>8.16348398166441E-2</v>
      </c>
      <c r="H15" s="135">
        <v>9.4421925592370642E-2</v>
      </c>
      <c r="I15" s="135">
        <v>9.1070583913536091E-2</v>
      </c>
      <c r="J15" s="135">
        <v>6.1957530171657324E-2</v>
      </c>
      <c r="K15" s="135">
        <v>6.2403692844875007E-2</v>
      </c>
      <c r="L15" s="135">
        <v>8.9826885636683826E-2</v>
      </c>
      <c r="M15" s="135">
        <v>5.6448564073497631E-2</v>
      </c>
      <c r="N15" s="135">
        <v>4.5491472191753056E-2</v>
      </c>
      <c r="O15" s="135">
        <v>3.5383911123765925E-2</v>
      </c>
      <c r="P15" s="135">
        <v>3.3700821690573722E-2</v>
      </c>
      <c r="Q15" s="135">
        <v>2.827798920387992E-2</v>
      </c>
      <c r="R15" s="135">
        <v>5.0388285253785595E-2</v>
      </c>
      <c r="S15" s="135">
        <v>5.7450859486935138E-2</v>
      </c>
      <c r="T15" s="135">
        <v>5.1118632146690227E-2</v>
      </c>
      <c r="U15" s="135">
        <v>4.8365610141150338E-2</v>
      </c>
      <c r="V15" s="135">
        <v>3.7201566441202052E-2</v>
      </c>
      <c r="W15" s="135">
        <v>3.2608156087583599E-2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3.1750716882776784</v>
      </c>
      <c r="D16" s="131">
        <f t="shared" si="4"/>
        <v>2.9706388595702937</v>
      </c>
      <c r="E16" s="131">
        <f t="shared" si="4"/>
        <v>2.7255348264889898</v>
      </c>
      <c r="F16" s="131">
        <f t="shared" si="4"/>
        <v>4.0538261882435629</v>
      </c>
      <c r="G16" s="131">
        <f t="shared" si="4"/>
        <v>3.5437302285503929</v>
      </c>
      <c r="H16" s="131">
        <f t="shared" si="4"/>
        <v>4.668532805077616</v>
      </c>
      <c r="I16" s="131">
        <f t="shared" si="4"/>
        <v>4.5999660733670202</v>
      </c>
      <c r="J16" s="131">
        <f t="shared" si="4"/>
        <v>3.3225145132342391</v>
      </c>
      <c r="K16" s="131">
        <f t="shared" si="4"/>
        <v>2.3110940292042934</v>
      </c>
      <c r="L16" s="131">
        <f t="shared" si="4"/>
        <v>2.8664131318668113</v>
      </c>
      <c r="M16" s="131">
        <f t="shared" si="4"/>
        <v>2.1539009732562575</v>
      </c>
      <c r="N16" s="131">
        <f t="shared" si="4"/>
        <v>1.5967015620538203</v>
      </c>
      <c r="O16" s="131">
        <f t="shared" si="4"/>
        <v>1.4777748214642528</v>
      </c>
      <c r="P16" s="131">
        <f t="shared" si="4"/>
        <v>1.485404055278239</v>
      </c>
      <c r="Q16" s="131">
        <f t="shared" si="4"/>
        <v>1.4955017529199082</v>
      </c>
      <c r="R16" s="131">
        <f t="shared" ref="R16:W16" si="5">SUM(R17:R18)</f>
        <v>2.2840995214651918</v>
      </c>
      <c r="S16" s="131">
        <f t="shared" si="5"/>
        <v>2.7715491416557745</v>
      </c>
      <c r="T16" s="131">
        <f t="shared" si="5"/>
        <v>2.7368765089103038</v>
      </c>
      <c r="U16" s="131">
        <f t="shared" si="5"/>
        <v>2.5251711052073591</v>
      </c>
      <c r="V16" s="131">
        <f t="shared" si="5"/>
        <v>2.2927465977737036</v>
      </c>
      <c r="W16" s="131">
        <f t="shared" si="5"/>
        <v>1.8475085921421857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3.1750716882776784</v>
      </c>
      <c r="D18" s="133">
        <v>2.9706388595702937</v>
      </c>
      <c r="E18" s="133">
        <v>2.7255348264889898</v>
      </c>
      <c r="F18" s="133">
        <v>4.0538261882435629</v>
      </c>
      <c r="G18" s="133">
        <v>3.5437302285503929</v>
      </c>
      <c r="H18" s="133">
        <v>4.668532805077616</v>
      </c>
      <c r="I18" s="133">
        <v>4.5999660733670202</v>
      </c>
      <c r="J18" s="133">
        <v>3.3225145132342391</v>
      </c>
      <c r="K18" s="133">
        <v>2.3110940292042934</v>
      </c>
      <c r="L18" s="133">
        <v>2.8664131318668113</v>
      </c>
      <c r="M18" s="133">
        <v>2.1539009732562575</v>
      </c>
      <c r="N18" s="133">
        <v>1.5967015620538203</v>
      </c>
      <c r="O18" s="133">
        <v>1.4777748214642528</v>
      </c>
      <c r="P18" s="133">
        <v>1.485404055278239</v>
      </c>
      <c r="Q18" s="133">
        <v>1.4955017529199082</v>
      </c>
      <c r="R18" s="133">
        <v>2.2840995214651918</v>
      </c>
      <c r="S18" s="133">
        <v>2.7715491416557745</v>
      </c>
      <c r="T18" s="133">
        <v>2.7368765089103038</v>
      </c>
      <c r="U18" s="133">
        <v>2.5251711052073591</v>
      </c>
      <c r="V18" s="133">
        <v>2.2927465977737036</v>
      </c>
      <c r="W18" s="133">
        <v>1.8475085921421857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2.0532407446723391</v>
      </c>
      <c r="D19" s="131">
        <f t="shared" si="6"/>
        <v>1.9140426805107489</v>
      </c>
      <c r="E19" s="131">
        <f t="shared" si="6"/>
        <v>1.6938011219824414</v>
      </c>
      <c r="F19" s="131">
        <f t="shared" si="6"/>
        <v>2.6157113642883689</v>
      </c>
      <c r="G19" s="131">
        <f t="shared" si="6"/>
        <v>2.3066191629458799</v>
      </c>
      <c r="H19" s="131">
        <f t="shared" si="6"/>
        <v>3.0266166789955427</v>
      </c>
      <c r="I19" s="131">
        <f t="shared" si="6"/>
        <v>2.9862313292139846</v>
      </c>
      <c r="J19" s="131">
        <f t="shared" si="6"/>
        <v>2.158205730001634</v>
      </c>
      <c r="K19" s="131">
        <f t="shared" si="6"/>
        <v>1.5182118922853847</v>
      </c>
      <c r="L19" s="131">
        <f t="shared" si="6"/>
        <v>1.7963448498621628</v>
      </c>
      <c r="M19" s="131">
        <f t="shared" si="6"/>
        <v>1.4539937975454988</v>
      </c>
      <c r="N19" s="131">
        <f t="shared" si="6"/>
        <v>1.1169687892843196</v>
      </c>
      <c r="O19" s="131">
        <f t="shared" si="6"/>
        <v>1.0524976410967242</v>
      </c>
      <c r="P19" s="131">
        <f t="shared" si="6"/>
        <v>1.0821583444612102</v>
      </c>
      <c r="Q19" s="131">
        <f t="shared" si="6"/>
        <v>1.1286385043506806</v>
      </c>
      <c r="R19" s="131">
        <f t="shared" ref="R19:W19" si="7">SUM(R20:R27)</f>
        <v>1.7231162853111581</v>
      </c>
      <c r="S19" s="131">
        <f t="shared" si="7"/>
        <v>2.1224140814127859</v>
      </c>
      <c r="T19" s="131">
        <f t="shared" si="7"/>
        <v>2.164722888970708</v>
      </c>
      <c r="U19" s="131">
        <f t="shared" si="7"/>
        <v>2.0334852893669564</v>
      </c>
      <c r="V19" s="131">
        <f t="shared" si="7"/>
        <v>1.7338235881730943</v>
      </c>
      <c r="W19" s="131">
        <f t="shared" si="7"/>
        <v>1.7638866021578306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0.18338900955080759</v>
      </c>
      <c r="D22" s="133">
        <v>0.20128988102275264</v>
      </c>
      <c r="E22" s="133">
        <v>0.16366279369184303</v>
      </c>
      <c r="F22" s="133">
        <v>0.22323475846902707</v>
      </c>
      <c r="G22" s="133">
        <v>0.18378196449762504</v>
      </c>
      <c r="H22" s="133">
        <v>0.24537250983162634</v>
      </c>
      <c r="I22" s="133">
        <v>0.23242778529989558</v>
      </c>
      <c r="J22" s="133">
        <v>0.19104193497423638</v>
      </c>
      <c r="K22" s="133">
        <v>0.14949075852671229</v>
      </c>
      <c r="L22" s="133">
        <v>0.20382593037239422</v>
      </c>
      <c r="M22" s="133">
        <v>0.14226325356435876</v>
      </c>
      <c r="N22" s="133">
        <v>8.6795386079196471E-2</v>
      </c>
      <c r="O22" s="133">
        <v>7.1879040311571357E-2</v>
      </c>
      <c r="P22" s="133">
        <v>4.270183881191756E-2</v>
      </c>
      <c r="Q22" s="133">
        <v>5.5412580068077026E-2</v>
      </c>
      <c r="R22" s="133">
        <v>7.1871979130629871E-2</v>
      </c>
      <c r="S22" s="133">
        <v>3.5704079825321602E-2</v>
      </c>
      <c r="T22" s="133">
        <v>2.7605409043541647E-2</v>
      </c>
      <c r="U22" s="133">
        <v>8.000303846984852E-2</v>
      </c>
      <c r="V22" s="133">
        <v>0.10556994752830187</v>
      </c>
      <c r="W22" s="133">
        <v>0.15330982456400585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2.817776291137563E-2</v>
      </c>
      <c r="D23" s="133">
        <v>3.0285143133575575E-2</v>
      </c>
      <c r="E23" s="133">
        <v>2.7312608681723603E-2</v>
      </c>
      <c r="F23" s="133">
        <v>4.0084675777311458E-2</v>
      </c>
      <c r="G23" s="133">
        <v>3.1541758184473495E-2</v>
      </c>
      <c r="H23" s="133">
        <v>3.0594185234850736E-2</v>
      </c>
      <c r="I23" s="133">
        <v>2.9775890944529197E-2</v>
      </c>
      <c r="J23" s="133">
        <v>2.1199128346616695E-2</v>
      </c>
      <c r="K23" s="133">
        <v>1.362086202358298E-2</v>
      </c>
      <c r="L23" s="133">
        <v>1.4672374296448564E-2</v>
      </c>
      <c r="M23" s="133">
        <v>1.4703058667477164E-2</v>
      </c>
      <c r="N23" s="133">
        <v>1.2287575898571228E-2</v>
      </c>
      <c r="O23" s="133">
        <v>1.1817663251416307E-2</v>
      </c>
      <c r="P23" s="133">
        <v>7.1486578757725093E-3</v>
      </c>
      <c r="Q23" s="133">
        <v>1.2553622050630949E-2</v>
      </c>
      <c r="R23" s="133">
        <v>1.8943805778081135E-2</v>
      </c>
      <c r="S23" s="133">
        <v>2.5673894052361403E-2</v>
      </c>
      <c r="T23" s="133">
        <v>2.2209296028235844E-2</v>
      </c>
      <c r="U23" s="133">
        <v>2.1034085855617241E-2</v>
      </c>
      <c r="V23" s="133">
        <v>1.9542230482202255E-2</v>
      </c>
      <c r="W23" s="133">
        <v>2.2105149741024788E-2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9.4692663897754409E-2</v>
      </c>
      <c r="D24" s="133">
        <v>7.0292386099465365E-2</v>
      </c>
      <c r="E24" s="133">
        <v>5.4653127849548087E-2</v>
      </c>
      <c r="F24" s="133">
        <v>7.0724869869102952E-2</v>
      </c>
      <c r="G24" s="133">
        <v>6.1819285732758855E-2</v>
      </c>
      <c r="H24" s="133">
        <v>9.2466365854622742E-2</v>
      </c>
      <c r="I24" s="133">
        <v>9.2015131531438532E-2</v>
      </c>
      <c r="J24" s="133">
        <v>8.2136082290883969E-2</v>
      </c>
      <c r="K24" s="133">
        <v>4.5176517483195212E-2</v>
      </c>
      <c r="L24" s="133">
        <v>5.4716321760425159E-2</v>
      </c>
      <c r="M24" s="133">
        <v>4.2393793044230861E-2</v>
      </c>
      <c r="N24" s="133">
        <v>2.9840046777905544E-2</v>
      </c>
      <c r="O24" s="133">
        <v>2.5979443644051203E-2</v>
      </c>
      <c r="P24" s="133">
        <v>4.5008424179235978E-2</v>
      </c>
      <c r="Q24" s="133">
        <v>5.4453100219465339E-2</v>
      </c>
      <c r="R24" s="133">
        <v>0.11090380421516124</v>
      </c>
      <c r="S24" s="133">
        <v>9.8640809288504772E-2</v>
      </c>
      <c r="T24" s="133">
        <v>8.5684145138600912E-2</v>
      </c>
      <c r="U24" s="133">
        <v>7.4367329790586065E-2</v>
      </c>
      <c r="V24" s="133">
        <v>6.2778779618974254E-2</v>
      </c>
      <c r="W24" s="133">
        <v>8.4339698284274123E-2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1.1970425587778495</v>
      </c>
      <c r="D25" s="133">
        <v>1.0745618497960592</v>
      </c>
      <c r="E25" s="133">
        <v>0.94793624220027728</v>
      </c>
      <c r="F25" s="133">
        <v>1.5292226437057248</v>
      </c>
      <c r="G25" s="133">
        <v>1.3635061810249676</v>
      </c>
      <c r="H25" s="133">
        <v>1.8572019804257975</v>
      </c>
      <c r="I25" s="133">
        <v>1.8094805379817049</v>
      </c>
      <c r="J25" s="133">
        <v>1.1167733127558974</v>
      </c>
      <c r="K25" s="133">
        <v>0.71484274177154483</v>
      </c>
      <c r="L25" s="133">
        <v>0.79555163275636076</v>
      </c>
      <c r="M25" s="133">
        <v>0.65464164694391513</v>
      </c>
      <c r="N25" s="133">
        <v>0.50750660121645996</v>
      </c>
      <c r="O25" s="133">
        <v>0.50252626329397487</v>
      </c>
      <c r="P25" s="133">
        <v>0.51299863443986327</v>
      </c>
      <c r="Q25" s="133">
        <v>0.56033874583552334</v>
      </c>
      <c r="R25" s="133">
        <v>0.95884529226215376</v>
      </c>
      <c r="S25" s="133">
        <v>1.1340195932349799</v>
      </c>
      <c r="T25" s="133">
        <v>1.1381947612711025</v>
      </c>
      <c r="U25" s="133">
        <v>0.95814623811445454</v>
      </c>
      <c r="V25" s="133">
        <v>0.85992330412186313</v>
      </c>
      <c r="W25" s="133">
        <v>0.84718619356979263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0.54993874953455202</v>
      </c>
      <c r="D26" s="65">
        <v>0.53761342045889615</v>
      </c>
      <c r="E26" s="65">
        <v>0.50023634955904939</v>
      </c>
      <c r="F26" s="65">
        <v>0.7524444164672025</v>
      </c>
      <c r="G26" s="65">
        <v>0.66596997350605502</v>
      </c>
      <c r="H26" s="65">
        <v>0.80098163764864516</v>
      </c>
      <c r="I26" s="65">
        <v>0.82253198345641643</v>
      </c>
      <c r="J26" s="65">
        <v>0.74705527163399976</v>
      </c>
      <c r="K26" s="65">
        <v>0.59508101248034928</v>
      </c>
      <c r="L26" s="65">
        <v>0.72757859067653419</v>
      </c>
      <c r="M26" s="65">
        <v>0.59999204532551698</v>
      </c>
      <c r="N26" s="65">
        <v>0.48053917931218648</v>
      </c>
      <c r="O26" s="65">
        <v>0.44029523059571035</v>
      </c>
      <c r="P26" s="65">
        <v>0.47430078915442087</v>
      </c>
      <c r="Q26" s="65">
        <v>0.44588045617698385</v>
      </c>
      <c r="R26" s="65">
        <v>0.56255140392513203</v>
      </c>
      <c r="S26" s="65">
        <v>0.82837570501161806</v>
      </c>
      <c r="T26" s="65">
        <v>0.891029277489227</v>
      </c>
      <c r="U26" s="65">
        <v>0.89993459713645019</v>
      </c>
      <c r="V26" s="65">
        <v>0.68600932642175294</v>
      </c>
      <c r="W26" s="65">
        <v>0.65694573599873329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1.8405930172417979</v>
      </c>
      <c r="D29" s="131">
        <f t="shared" si="8"/>
        <v>1.6956355657831523</v>
      </c>
      <c r="E29" s="131">
        <f t="shared" si="8"/>
        <v>1.4785208965296524</v>
      </c>
      <c r="F29" s="131">
        <f t="shared" si="8"/>
        <v>2.2973468219689424</v>
      </c>
      <c r="G29" s="131">
        <f t="shared" si="8"/>
        <v>1.9929802105890195</v>
      </c>
      <c r="H29" s="131">
        <f t="shared" si="8"/>
        <v>2.6365110073192541</v>
      </c>
      <c r="I29" s="131">
        <f t="shared" si="8"/>
        <v>2.5715399902785663</v>
      </c>
      <c r="J29" s="131">
        <f t="shared" si="8"/>
        <v>1.8469423236882445</v>
      </c>
      <c r="K29" s="131">
        <f t="shared" si="8"/>
        <v>1.3083807964904715</v>
      </c>
      <c r="L29" s="131">
        <f t="shared" si="8"/>
        <v>1.5160181740794718</v>
      </c>
      <c r="M29" s="131">
        <f t="shared" si="8"/>
        <v>1.237523744858938</v>
      </c>
      <c r="N29" s="131">
        <f t="shared" si="8"/>
        <v>0.9393863092954039</v>
      </c>
      <c r="O29" s="131">
        <f t="shared" si="8"/>
        <v>0.87807010799104623</v>
      </c>
      <c r="P29" s="131">
        <f t="shared" si="8"/>
        <v>0.90716182949295732</v>
      </c>
      <c r="Q29" s="131">
        <f t="shared" si="8"/>
        <v>0.95996176683080003</v>
      </c>
      <c r="R29" s="131">
        <f t="shared" ref="R29:W29" si="9">SUM(R30:R33)</f>
        <v>1.5127832074300873</v>
      </c>
      <c r="S29" s="131">
        <f t="shared" si="9"/>
        <v>1.8768968146187019</v>
      </c>
      <c r="T29" s="131">
        <f t="shared" si="9"/>
        <v>1.9138510327367126</v>
      </c>
      <c r="U29" s="131">
        <f t="shared" si="9"/>
        <v>1.8767557745054682</v>
      </c>
      <c r="V29" s="131">
        <f t="shared" si="9"/>
        <v>1.6335404072600868</v>
      </c>
      <c r="W29" s="131">
        <f t="shared" si="9"/>
        <v>1.6759891063405907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4.4240859476481993E-2</v>
      </c>
      <c r="D31" s="133">
        <v>4.6530709055817451E-2</v>
      </c>
      <c r="E31" s="133">
        <v>3.9866381254415953E-2</v>
      </c>
      <c r="F31" s="133">
        <v>5.6097920924165982E-2</v>
      </c>
      <c r="G31" s="133">
        <v>4.6945750846964882E-2</v>
      </c>
      <c r="H31" s="133">
        <v>5.4636916916335918E-2</v>
      </c>
      <c r="I31" s="133">
        <v>4.9962259644362308E-2</v>
      </c>
      <c r="J31" s="133">
        <v>3.3827157961126973E-2</v>
      </c>
      <c r="K31" s="133">
        <v>1.8480614343861501E-2</v>
      </c>
      <c r="L31" s="133">
        <v>1.7559592452539484E-2</v>
      </c>
      <c r="M31" s="133">
        <v>7.5672333132439252E-3</v>
      </c>
      <c r="N31" s="133">
        <v>1.4388560486745595E-2</v>
      </c>
      <c r="O31" s="133">
        <v>1.6908159833766558E-2</v>
      </c>
      <c r="P31" s="133">
        <v>1.507422337433708E-2</v>
      </c>
      <c r="Q31" s="133">
        <v>1.611725534478076E-2</v>
      </c>
      <c r="R31" s="133">
        <v>2.0567979073691449E-2</v>
      </c>
      <c r="S31" s="133">
        <v>3.2136448761827162E-2</v>
      </c>
      <c r="T31" s="133">
        <v>1.5356032887694486E-2</v>
      </c>
      <c r="U31" s="133">
        <v>2.0169304912955911E-2</v>
      </c>
      <c r="V31" s="133">
        <v>2.4196053183068247E-2</v>
      </c>
      <c r="W31" s="133">
        <v>1.8947337389378968E-2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1.7963521577653159</v>
      </c>
      <c r="D33" s="68">
        <v>1.649104856727335</v>
      </c>
      <c r="E33" s="68">
        <v>1.4386545152752364</v>
      </c>
      <c r="F33" s="68">
        <v>2.2412489010447763</v>
      </c>
      <c r="G33" s="68">
        <v>1.9460344597420547</v>
      </c>
      <c r="H33" s="68">
        <v>2.581874090402918</v>
      </c>
      <c r="I33" s="68">
        <v>2.521577730634204</v>
      </c>
      <c r="J33" s="68">
        <v>1.8131151657271176</v>
      </c>
      <c r="K33" s="68">
        <v>1.2899001821466101</v>
      </c>
      <c r="L33" s="68">
        <v>1.4984585816269322</v>
      </c>
      <c r="M33" s="68">
        <v>1.2299565115456941</v>
      </c>
      <c r="N33" s="68">
        <v>0.92499774880865826</v>
      </c>
      <c r="O33" s="68">
        <v>0.86116194815727964</v>
      </c>
      <c r="P33" s="68">
        <v>0.89208760611862026</v>
      </c>
      <c r="Q33" s="68">
        <v>0.94384451148601922</v>
      </c>
      <c r="R33" s="68">
        <v>1.4922152283563959</v>
      </c>
      <c r="S33" s="68">
        <v>1.8447603658568748</v>
      </c>
      <c r="T33" s="68">
        <v>1.8984949998490181</v>
      </c>
      <c r="U33" s="68">
        <v>1.8565864695925123</v>
      </c>
      <c r="V33" s="68">
        <v>1.6093443540770185</v>
      </c>
      <c r="W33" s="68">
        <v>1.6570417689512118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0.81296631484096527</v>
      </c>
      <c r="D3" s="127">
        <f>IF(SER_hh_tes_in!D3=0,"",SER_hh_tes_in!D3/SER_hh_fec_in!D3)</f>
        <v>0.81119641701984124</v>
      </c>
      <c r="E3" s="127">
        <f>IF(SER_hh_tes_in!E3=0,"",SER_hh_tes_in!E3/SER_hh_fec_in!E3)</f>
        <v>0.81487818206718365</v>
      </c>
      <c r="F3" s="127">
        <f>IF(SER_hh_tes_in!F3=0,"",SER_hh_tes_in!F3/SER_hh_fec_in!F3)</f>
        <v>0.81561265276609562</v>
      </c>
      <c r="G3" s="127">
        <f>IF(SER_hh_tes_in!G3=0,"",SER_hh_tes_in!G3/SER_hh_fec_in!G3)</f>
        <v>0.82885380376311713</v>
      </c>
      <c r="H3" s="127">
        <f>IF(SER_hh_tes_in!H3=0,"",SER_hh_tes_in!H3/SER_hh_fec_in!H3)</f>
        <v>0.84659402455994437</v>
      </c>
      <c r="I3" s="127">
        <f>IF(SER_hh_tes_in!I3=0,"",SER_hh_tes_in!I3/SER_hh_fec_in!I3)</f>
        <v>0.86418372126769749</v>
      </c>
      <c r="J3" s="127">
        <f>IF(SER_hh_tes_in!J3=0,"",SER_hh_tes_in!J3/SER_hh_fec_in!J3)</f>
        <v>0.86141309505709884</v>
      </c>
      <c r="K3" s="127">
        <f>IF(SER_hh_tes_in!K3=0,"",SER_hh_tes_in!K3/SER_hh_fec_in!K3)</f>
        <v>0.8416588533213023</v>
      </c>
      <c r="L3" s="127">
        <f>IF(SER_hh_tes_in!L3=0,"",SER_hh_tes_in!L3/SER_hh_fec_in!L3)</f>
        <v>0.82864691509990163</v>
      </c>
      <c r="M3" s="127">
        <f>IF(SER_hh_tes_in!M3=0,"",SER_hh_tes_in!M3/SER_hh_fec_in!M3)</f>
        <v>0.85149243429517052</v>
      </c>
      <c r="N3" s="127">
        <f>IF(SER_hh_tes_in!N3=0,"",SER_hh_tes_in!N3/SER_hh_fec_in!N3)</f>
        <v>0.86037191431692683</v>
      </c>
      <c r="O3" s="127">
        <f>IF(SER_hh_tes_in!O3=0,"",SER_hh_tes_in!O3/SER_hh_fec_in!O3)</f>
        <v>0.89845093466117953</v>
      </c>
      <c r="P3" s="127">
        <f>IF(SER_hh_tes_in!P3=0,"",SER_hh_tes_in!P3/SER_hh_fec_in!P3)</f>
        <v>0.95000803585828342</v>
      </c>
      <c r="Q3" s="127">
        <f>IF(SER_hh_tes_in!Q3=0,"",SER_hh_tes_in!Q3/SER_hh_fec_in!Q3)</f>
        <v>0.96930854133533573</v>
      </c>
      <c r="R3" s="127">
        <f>IF(SER_hh_tes_in!R3=0,"",SER_hh_tes_in!R3/SER_hh_fec_in!R3)</f>
        <v>0.94686330575440369</v>
      </c>
      <c r="S3" s="127">
        <f>IF(SER_hh_tes_in!S3=0,"",SER_hh_tes_in!S3/SER_hh_fec_in!S3)</f>
        <v>0.96133542813013817</v>
      </c>
      <c r="T3" s="127">
        <f>IF(SER_hh_tes_in!T3=0,"",SER_hh_tes_in!T3/SER_hh_fec_in!T3)</f>
        <v>0.97632290455609594</v>
      </c>
      <c r="U3" s="127">
        <f>IF(SER_hh_tes_in!U3=0,"",SER_hh_tes_in!U3/SER_hh_fec_in!U3)</f>
        <v>0.99869662498409106</v>
      </c>
      <c r="V3" s="127">
        <f>IF(SER_hh_tes_in!V3=0,"",SER_hh_tes_in!V3/SER_hh_fec_in!V3)</f>
        <v>1.0278190326475229</v>
      </c>
      <c r="W3" s="127">
        <f>IF(SER_hh_tes_in!W3=0,"",SER_hh_tes_in!W3/SER_hh_fec_in!W3)</f>
        <v>1.0123686894981827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0.73911980664357013</v>
      </c>
      <c r="D4" s="136">
        <f>IF(SER_hh_tes_in!D4=0,"",SER_hh_tes_in!D4/SER_hh_fec_in!D4)</f>
        <v>0.73705988045199977</v>
      </c>
      <c r="E4" s="136">
        <f>IF(SER_hh_tes_in!E4=0,"",SER_hh_tes_in!E4/SER_hh_fec_in!E4)</f>
        <v>0.73421909629442506</v>
      </c>
      <c r="F4" s="136">
        <f>IF(SER_hh_tes_in!F4=0,"",SER_hh_tes_in!F4/SER_hh_fec_in!F4)</f>
        <v>0.7341167547669345</v>
      </c>
      <c r="G4" s="136">
        <f>IF(SER_hh_tes_in!G4=0,"",SER_hh_tes_in!G4/SER_hh_fec_in!G4)</f>
        <v>0.74451372714530351</v>
      </c>
      <c r="H4" s="136">
        <f>IF(SER_hh_tes_in!H4=0,"",SER_hh_tes_in!H4/SER_hh_fec_in!H4)</f>
        <v>0.76251282933964404</v>
      </c>
      <c r="I4" s="136">
        <f>IF(SER_hh_tes_in!I4=0,"",SER_hh_tes_in!I4/SER_hh_fec_in!I4)</f>
        <v>0.78554015890261575</v>
      </c>
      <c r="J4" s="136">
        <f>IF(SER_hh_tes_in!J4=0,"",SER_hh_tes_in!J4/SER_hh_fec_in!J4)</f>
        <v>0.7795423529213239</v>
      </c>
      <c r="K4" s="136">
        <f>IF(SER_hh_tes_in!K4=0,"",SER_hh_tes_in!K4/SER_hh_fec_in!K4)</f>
        <v>0.76348430240807397</v>
      </c>
      <c r="L4" s="136">
        <f>IF(SER_hh_tes_in!L4=0,"",SER_hh_tes_in!L4/SER_hh_fec_in!L4)</f>
        <v>0.74611644704851732</v>
      </c>
      <c r="M4" s="136">
        <f>IF(SER_hh_tes_in!M4=0,"",SER_hh_tes_in!M4/SER_hh_fec_in!M4)</f>
        <v>0.76249699152149453</v>
      </c>
      <c r="N4" s="136">
        <f>IF(SER_hh_tes_in!N4=0,"",SER_hh_tes_in!N4/SER_hh_fec_in!N4)</f>
        <v>0.77680965114326084</v>
      </c>
      <c r="O4" s="136">
        <f>IF(SER_hh_tes_in!O4=0,"",SER_hh_tes_in!O4/SER_hh_fec_in!O4)</f>
        <v>0.81031786329567734</v>
      </c>
      <c r="P4" s="136">
        <f>IF(SER_hh_tes_in!P4=0,"",SER_hh_tes_in!P4/SER_hh_fec_in!P4)</f>
        <v>0.86823206158473165</v>
      </c>
      <c r="Q4" s="136">
        <f>IF(SER_hh_tes_in!Q4=0,"",SER_hh_tes_in!Q4/SER_hh_fec_in!Q4)</f>
        <v>0.88015648332442831</v>
      </c>
      <c r="R4" s="136">
        <f>IF(SER_hh_tes_in!R4=0,"",SER_hh_tes_in!R4/SER_hh_fec_in!R4)</f>
        <v>0.84906746053319293</v>
      </c>
      <c r="S4" s="136">
        <f>IF(SER_hh_tes_in!S4=0,"",SER_hh_tes_in!S4/SER_hh_fec_in!S4)</f>
        <v>0.85717678891248261</v>
      </c>
      <c r="T4" s="136">
        <f>IF(SER_hh_tes_in!T4=0,"",SER_hh_tes_in!T4/SER_hh_fec_in!T4)</f>
        <v>0.8707054683796388</v>
      </c>
      <c r="U4" s="136">
        <f>IF(SER_hh_tes_in!U4=0,"",SER_hh_tes_in!U4/SER_hh_fec_in!U4)</f>
        <v>0.88675902043718535</v>
      </c>
      <c r="V4" s="136">
        <f>IF(SER_hh_tes_in!V4=0,"",SER_hh_tes_in!V4/SER_hh_fec_in!V4)</f>
        <v>0.90108271897583736</v>
      </c>
      <c r="W4" s="136">
        <f>IF(SER_hh_tes_in!W4=0,"",SER_hh_tes_in!W4/SER_hh_fec_in!W4)</f>
        <v>0.89965200131840684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0.59634168054051706</v>
      </c>
      <c r="D5" s="137">
        <f>IF(SER_hh_tes_in!D5=0,"",SER_hh_tes_in!D5/SER_hh_fec_in!D5)</f>
        <v>0.60267157462756249</v>
      </c>
      <c r="E5" s="137">
        <f>IF(SER_hh_tes_in!E5=0,"",SER_hh_tes_in!E5/SER_hh_fec_in!E5)</f>
        <v>0.60898850288285022</v>
      </c>
      <c r="F5" s="137">
        <f>IF(SER_hh_tes_in!F5=0,"",SER_hh_tes_in!F5/SER_hh_fec_in!F5)</f>
        <v>0.61530366307017093</v>
      </c>
      <c r="G5" s="137">
        <f>IF(SER_hh_tes_in!G5=0,"",SER_hh_tes_in!G5/SER_hh_fec_in!G5)</f>
        <v>0.62160688248908125</v>
      </c>
      <c r="H5" s="137">
        <f>IF(SER_hh_tes_in!H5=0,"",SER_hh_tes_in!H5/SER_hh_fec_in!H5)</f>
        <v>0.62789940614860973</v>
      </c>
      <c r="I5" s="137">
        <f>IF(SER_hh_tes_in!I5=0,"",SER_hh_tes_in!I5/SER_hh_fec_in!I5)</f>
        <v>0.63417872749507054</v>
      </c>
      <c r="J5" s="137">
        <f>IF(SER_hh_tes_in!J5=0,"",SER_hh_tes_in!J5/SER_hh_fec_in!J5)</f>
        <v>0.64043457806274462</v>
      </c>
      <c r="K5" s="137">
        <f>IF(SER_hh_tes_in!K5=0,"",SER_hh_tes_in!K5/SER_hh_fec_in!K5)</f>
        <v>0.64665822695483999</v>
      </c>
      <c r="L5" s="137">
        <f>IF(SER_hh_tes_in!L5=0,"",SER_hh_tes_in!L5/SER_hh_fec_in!L5)</f>
        <v>0.65284733829851693</v>
      </c>
      <c r="M5" s="137">
        <f>IF(SER_hh_tes_in!M5=0,"",SER_hh_tes_in!M5/SER_hh_fec_in!M5)</f>
        <v>0.65870212574797882</v>
      </c>
      <c r="N5" s="137">
        <f>IF(SER_hh_tes_in!N5=0,"",SER_hh_tes_in!N5/SER_hh_fec_in!N5)</f>
        <v>0.66412061251710841</v>
      </c>
      <c r="O5" s="137">
        <f>IF(SER_hh_tes_in!O5=0,"",SER_hh_tes_in!O5/SER_hh_fec_in!O5)</f>
        <v>0.66911072285596374</v>
      </c>
      <c r="P5" s="137">
        <f>IF(SER_hh_tes_in!P5=0,"",SER_hh_tes_in!P5/SER_hh_fec_in!P5)</f>
        <v>0.67402678748858391</v>
      </c>
      <c r="Q5" s="137">
        <f>IF(SER_hh_tes_in!Q5=0,"",SER_hh_tes_in!Q5/SER_hh_fec_in!Q5)</f>
        <v>0.67989998960171549</v>
      </c>
      <c r="R5" s="137">
        <f>IF(SER_hh_tes_in!R5=0,"",SER_hh_tes_in!R5/SER_hh_fec_in!R5)</f>
        <v>0.68805185519440892</v>
      </c>
      <c r="S5" s="137">
        <f>IF(SER_hh_tes_in!S5=0,"",SER_hh_tes_in!S5/SER_hh_fec_in!S5)</f>
        <v>0.69750224804966565</v>
      </c>
      <c r="T5" s="137">
        <f>IF(SER_hh_tes_in!T5=0,"",SER_hh_tes_in!T5/SER_hh_fec_in!T5)</f>
        <v>0.70738548332576545</v>
      </c>
      <c r="U5" s="137">
        <f>IF(SER_hh_tes_in!U5=0,"",SER_hh_tes_in!U5/SER_hh_fec_in!U5)</f>
        <v>0.7168358761810163</v>
      </c>
      <c r="V5" s="137">
        <f>IF(SER_hh_tes_in!V5=0,"",SER_hh_tes_in!V5/SER_hh_fec_in!V5)</f>
        <v>0.72498774177371339</v>
      </c>
      <c r="W5" s="137">
        <f>IF(SER_hh_tes_in!W5=0,"",SER_hh_tes_in!W5/SER_hh_fec_in!W5)</f>
        <v>0.73149170057132817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0.51529068797145638</v>
      </c>
      <c r="D7" s="137">
        <f>IF(SER_hh_tes_in!D7=0,"",SER_hh_tes_in!D7/SER_hh_fec_in!D7)</f>
        <v>0.52206571084780473</v>
      </c>
      <c r="E7" s="137">
        <f>IF(SER_hh_tes_in!E7=0,"",SER_hh_tes_in!E7/SER_hh_fec_in!E7)</f>
        <v>0.5290812326362635</v>
      </c>
      <c r="F7" s="137">
        <f>IF(SER_hh_tes_in!F7=0,"",SER_hh_tes_in!F7/SER_hh_fec_in!F7)</f>
        <v>0.53606331885854741</v>
      </c>
      <c r="G7" s="137">
        <f>IF(SER_hh_tes_in!G7=0,"",SER_hh_tes_in!G7/SER_hh_fec_in!G7)</f>
        <v>0.54325040951417103</v>
      </c>
      <c r="H7" s="137">
        <f>IF(SER_hh_tes_in!H7=0,"",SER_hh_tes_in!H7/SER_hh_fec_in!H7)</f>
        <v>0.55060614068736069</v>
      </c>
      <c r="I7" s="137">
        <f>IF(SER_hh_tes_in!I7=0,"",SER_hh_tes_in!I7/SER_hh_fec_in!I7)</f>
        <v>0.55818201227027964</v>
      </c>
      <c r="J7" s="137">
        <f>IF(SER_hh_tes_in!J7=0,"",SER_hh_tes_in!J7/SER_hh_fec_in!J7)</f>
        <v>0.56620562505788063</v>
      </c>
      <c r="K7" s="137">
        <f>IF(SER_hh_tes_in!K7=0,"",SER_hh_tes_in!K7/SER_hh_fec_in!K7)</f>
        <v>0.5748615390379348</v>
      </c>
      <c r="L7" s="137">
        <f>IF(SER_hh_tes_in!L7=0,"",SER_hh_tes_in!L7/SER_hh_fec_in!L7)</f>
        <v>0.5841834750596383</v>
      </c>
      <c r="M7" s="137">
        <f>IF(SER_hh_tes_in!M7=0,"",SER_hh_tes_in!M7/SER_hh_fec_in!M7)</f>
        <v>0.59912663275687228</v>
      </c>
      <c r="N7" s="137">
        <f>IF(SER_hh_tes_in!N7=0,"",SER_hh_tes_in!N7/SER_hh_fec_in!N7)</f>
        <v>0.621135847906232</v>
      </c>
      <c r="O7" s="137">
        <f>IF(SER_hh_tes_in!O7=0,"",SER_hh_tes_in!O7/SER_hh_fec_in!O7)</f>
        <v>0.65102879194699825</v>
      </c>
      <c r="P7" s="137">
        <f>IF(SER_hh_tes_in!P7=0,"",SER_hh_tes_in!P7/SER_hh_fec_in!P7)</f>
        <v>0.68529693953999771</v>
      </c>
      <c r="Q7" s="137">
        <f>IF(SER_hh_tes_in!Q7=0,"",SER_hh_tes_in!Q7/SER_hh_fec_in!Q7)</f>
        <v>0.71365738765342357</v>
      </c>
      <c r="R7" s="137">
        <f>IF(SER_hh_tes_in!R7=0,"",SER_hh_tes_in!R7/SER_hh_fec_in!R7)</f>
        <v>0.72752929600161376</v>
      </c>
      <c r="S7" s="137">
        <f>IF(SER_hh_tes_in!S7=0,"",SER_hh_tes_in!S7/SER_hh_fec_in!S7)</f>
        <v>0.73745447553073884</v>
      </c>
      <c r="T7" s="137">
        <f>IF(SER_hh_tes_in!T7=0,"",SER_hh_tes_in!T7/SER_hh_fec_in!T7)</f>
        <v>0.74472556103661669</v>
      </c>
      <c r="U7" s="137">
        <f>IF(SER_hh_tes_in!U7=0,"",SER_hh_tes_in!U7/SER_hh_fec_in!U7)</f>
        <v>0.75038941938189896</v>
      </c>
      <c r="V7" s="137">
        <f>IF(SER_hh_tes_in!V7=0,"",SER_hh_tes_in!V7/SER_hh_fec_in!V7)</f>
        <v>0.75530340211787506</v>
      </c>
      <c r="W7" s="137">
        <f>IF(SER_hh_tes_in!W7=0,"",SER_hh_tes_in!W7/SER_hh_fec_in!W7)</f>
        <v>0.75847912353786784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0.58824140977809258</v>
      </c>
      <c r="D9" s="137">
        <f>IF(SER_hh_tes_in!D9=0,"",SER_hh_tes_in!D9/SER_hh_fec_in!D9)</f>
        <v>0.59613458052494595</v>
      </c>
      <c r="E9" s="137">
        <f>IF(SER_hh_tes_in!E9=0,"",SER_hh_tes_in!E9/SER_hh_fec_in!E9)</f>
        <v>0.60403031665071982</v>
      </c>
      <c r="F9" s="137">
        <f>IF(SER_hh_tes_in!F9=0,"",SER_hh_tes_in!F9/SER_hh_fec_in!F9)</f>
        <v>0.61182861811032541</v>
      </c>
      <c r="G9" s="137">
        <f>IF(SER_hh_tes_in!G9=0,"",SER_hh_tes_in!G9/SER_hh_fec_in!G9)</f>
        <v>0.61962171536715982</v>
      </c>
      <c r="H9" s="137">
        <f>IF(SER_hh_tes_in!H9=0,"",SER_hh_tes_in!H9/SER_hh_fec_in!H9)</f>
        <v>0.62739927679271645</v>
      </c>
      <c r="I9" s="137">
        <f>IF(SER_hh_tes_in!I9=0,"",SER_hh_tes_in!I9/SER_hh_fec_in!I9)</f>
        <v>0.63518499541771423</v>
      </c>
      <c r="J9" s="137">
        <f>IF(SER_hh_tes_in!J9=0,"",SER_hh_tes_in!J9/SER_hh_fec_in!J9)</f>
        <v>0.64307371958549275</v>
      </c>
      <c r="K9" s="137">
        <f>IF(SER_hh_tes_in!K9=0,"",SER_hh_tes_in!K9/SER_hh_fec_in!K9)</f>
        <v>0.6511473014472291</v>
      </c>
      <c r="L9" s="137">
        <f>IF(SER_hh_tes_in!L9=0,"",SER_hh_tes_in!L9/SER_hh_fec_in!L9)</f>
        <v>0.65942975290817496</v>
      </c>
      <c r="M9" s="137">
        <f>IF(SER_hh_tes_in!M9=0,"",SER_hh_tes_in!M9/SER_hh_fec_in!M9)</f>
        <v>0.67001674023256874</v>
      </c>
      <c r="N9" s="137">
        <f>IF(SER_hh_tes_in!N9=0,"",SER_hh_tes_in!N9/SER_hh_fec_in!N9)</f>
        <v>0.68360214856662471</v>
      </c>
      <c r="O9" s="137">
        <f>IF(SER_hh_tes_in!O9=0,"",SER_hh_tes_in!O9/SER_hh_fec_in!O9)</f>
        <v>0.70058708901784272</v>
      </c>
      <c r="P9" s="137">
        <f>IF(SER_hh_tes_in!P9=0,"",SER_hh_tes_in!P9/SER_hh_fec_in!P9)</f>
        <v>0.7194507886007645</v>
      </c>
      <c r="Q9" s="137">
        <f>IF(SER_hh_tes_in!Q9=0,"",SER_hh_tes_in!Q9/SER_hh_fec_in!Q9)</f>
        <v>0.73544606634589382</v>
      </c>
      <c r="R9" s="137">
        <f>IF(SER_hh_tes_in!R9=0,"",SER_hh_tes_in!R9/SER_hh_fec_in!R9)</f>
        <v>0.7445373212958335</v>
      </c>
      <c r="S9" s="137">
        <f>IF(SER_hh_tes_in!S9=0,"",SER_hh_tes_in!S9/SER_hh_fec_in!S9)</f>
        <v>0.75155525588871841</v>
      </c>
      <c r="T9" s="137">
        <f>IF(SER_hh_tes_in!T9=0,"",SER_hh_tes_in!T9/SER_hh_fec_in!T9)</f>
        <v>0.75714776789934402</v>
      </c>
      <c r="U9" s="137">
        <f>IF(SER_hh_tes_in!U9=0,"",SER_hh_tes_in!U9/SER_hh_fec_in!U9)</f>
        <v>0.76180431211139865</v>
      </c>
      <c r="V9" s="137">
        <f>IF(SER_hh_tes_in!V9=0,"",SER_hh_tes_in!V9/SER_hh_fec_in!V9)</f>
        <v>0.76584680440430553</v>
      </c>
      <c r="W9" s="137">
        <f>IF(SER_hh_tes_in!W9=0,"",SER_hh_tes_in!W9/SER_hh_fec_in!W9)</f>
        <v>0.76864353524557705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0.54280484754709468</v>
      </c>
      <c r="D10" s="137">
        <f>IF(SER_hh_tes_in!D10=0,"",SER_hh_tes_in!D10/SER_hh_fec_in!D10)</f>
        <v>0.54307703060023205</v>
      </c>
      <c r="E10" s="137">
        <f>IF(SER_hh_tes_in!E10=0,"",SER_hh_tes_in!E10/SER_hh_fec_in!E10)</f>
        <v>0.54335180115509696</v>
      </c>
      <c r="F10" s="137">
        <f>IF(SER_hh_tes_in!F10=0,"",SER_hh_tes_in!F10/SER_hh_fec_in!F10)</f>
        <v>0.54362889507504397</v>
      </c>
      <c r="G10" s="137">
        <f>IF(SER_hh_tes_in!G10=0,"",SER_hh_tes_in!G10/SER_hh_fec_in!G10)</f>
        <v>0.5439080497929748</v>
      </c>
      <c r="H10" s="137">
        <f>IF(SER_hh_tes_in!H10=0,"",SER_hh_tes_in!H10/SER_hh_fec_in!H10)</f>
        <v>0.54418895248060462</v>
      </c>
      <c r="I10" s="137">
        <f>IF(SER_hh_tes_in!I10=0,"",SER_hh_tes_in!I10/SER_hh_fec_in!I10)</f>
        <v>0.54447119179092773</v>
      </c>
      <c r="J10" s="137">
        <f>IF(SER_hh_tes_in!J10=0,"",SER_hh_tes_in!J10/SER_hh_fec_in!J10)</f>
        <v>0.54475388079655884</v>
      </c>
      <c r="K10" s="137">
        <f>IF(SER_hh_tes_in!K10=0,"",SER_hh_tes_in!K10/SER_hh_fec_in!K10)</f>
        <v>0.54503584624263635</v>
      </c>
      <c r="L10" s="137">
        <f>IF(SER_hh_tes_in!L10=0,"",SER_hh_tes_in!L10/SER_hh_fec_in!L10)</f>
        <v>0.54531604679618584</v>
      </c>
      <c r="M10" s="137">
        <f>IF(SER_hh_tes_in!M10=0,"",SER_hh_tes_in!M10/SER_hh_fec_in!M10)</f>
        <v>0.54557410040330256</v>
      </c>
      <c r="N10" s="137">
        <f>IF(SER_hh_tes_in!N10=0,"",SER_hh_tes_in!N10/SER_hh_fec_in!N10)</f>
        <v>0.54579906550977253</v>
      </c>
      <c r="O10" s="137">
        <f>IF(SER_hh_tes_in!O10=0,"",SER_hh_tes_in!O10/SER_hh_fec_in!O10)</f>
        <v>0.54598502293296403</v>
      </c>
      <c r="P10" s="137">
        <f>IF(SER_hh_tes_in!P10=0,"",SER_hh_tes_in!P10/SER_hh_fec_in!P10)</f>
        <v>0.54614790458782136</v>
      </c>
      <c r="Q10" s="137">
        <f>IF(SER_hh_tes_in!Q10=0,"",SER_hh_tes_in!Q10/SER_hh_fec_in!Q10)</f>
        <v>0.5463418187752519</v>
      </c>
      <c r="R10" s="137">
        <f>IF(SER_hh_tes_in!R10=0,"",SER_hh_tes_in!R10/SER_hh_fec_in!R10)</f>
        <v>0.54662773912132423</v>
      </c>
      <c r="S10" s="137">
        <f>IF(SER_hh_tes_in!S10=0,"",SER_hh_tes_in!S10/SER_hh_fec_in!S10)</f>
        <v>0.54694819040473408</v>
      </c>
      <c r="T10" s="137">
        <f>IF(SER_hh_tes_in!T10=0,"",SER_hh_tes_in!T10/SER_hh_fec_in!T10)</f>
        <v>0.54727019605596283</v>
      </c>
      <c r="U10" s="137">
        <f>IF(SER_hh_tes_in!U10=0,"",SER_hh_tes_in!U10/SER_hh_fec_in!U10)</f>
        <v>0.54756680654692003</v>
      </c>
      <c r="V10" s="137">
        <f>IF(SER_hh_tes_in!V10=0,"",SER_hh_tes_in!V10/SER_hh_fec_in!V10)</f>
        <v>0.54781543334132732</v>
      </c>
      <c r="W10" s="137">
        <f>IF(SER_hh_tes_in!W10=0,"",SER_hh_tes_in!W10/SER_hh_fec_in!W10)</f>
        <v>0.54801541917331753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0.79604698238924121</v>
      </c>
      <c r="D12" s="137">
        <f>IF(SER_hh_tes_in!D12=0,"",SER_hh_tes_in!D12/SER_hh_fec_in!D12)</f>
        <v>0.79778453771682223</v>
      </c>
      <c r="E12" s="137">
        <f>IF(SER_hh_tes_in!E12=0,"",SER_hh_tes_in!E12/SER_hh_fec_in!E12)</f>
        <v>0.79956900250511487</v>
      </c>
      <c r="F12" s="137">
        <f>IF(SER_hh_tes_in!F12=0,"",SER_hh_tes_in!F12/SER_hh_fec_in!F12)</f>
        <v>0.80135986403804993</v>
      </c>
      <c r="G12" s="137">
        <f>IF(SER_hh_tes_in!G12=0,"",SER_hh_tes_in!G12/SER_hh_fec_in!G12)</f>
        <v>0.8031939264251311</v>
      </c>
      <c r="H12" s="137">
        <f>IF(SER_hh_tes_in!H12=0,"",SER_hh_tes_in!H12/SER_hh_fec_in!H12)</f>
        <v>0.80506668531189773</v>
      </c>
      <c r="I12" s="137">
        <f>IF(SER_hh_tes_in!I12=0,"",SER_hh_tes_in!I12/SER_hh_fec_in!I12)</f>
        <v>0.80698720923200673</v>
      </c>
      <c r="J12" s="137">
        <f>IF(SER_hh_tes_in!J12=0,"",SER_hh_tes_in!J12/SER_hh_fec_in!J12)</f>
        <v>0.80899264876694721</v>
      </c>
      <c r="K12" s="137">
        <f>IF(SER_hh_tes_in!K12=0,"",SER_hh_tes_in!K12/SER_hh_fec_in!K12)</f>
        <v>0.81111459168274902</v>
      </c>
      <c r="L12" s="137">
        <f>IF(SER_hh_tes_in!L12=0,"",SER_hh_tes_in!L12/SER_hh_fec_in!L12)</f>
        <v>0.81336148900185823</v>
      </c>
      <c r="M12" s="137">
        <f>IF(SER_hh_tes_in!M12=0,"",SER_hh_tes_in!M12/SER_hh_fec_in!M12)</f>
        <v>0.81647259884504164</v>
      </c>
      <c r="N12" s="137">
        <f>IF(SER_hh_tes_in!N12=0,"",SER_hh_tes_in!N12/SER_hh_fec_in!N12)</f>
        <v>0.82068165608414845</v>
      </c>
      <c r="O12" s="137">
        <f>IF(SER_hh_tes_in!O12=0,"",SER_hh_tes_in!O12/SER_hh_fec_in!O12)</f>
        <v>0.82619355773649672</v>
      </c>
      <c r="P12" s="137">
        <f>IF(SER_hh_tes_in!P12=0,"",SER_hh_tes_in!P12/SER_hh_fec_in!P12)</f>
        <v>0.83261847220417129</v>
      </c>
      <c r="Q12" s="137">
        <f>IF(SER_hh_tes_in!Q12=0,"",SER_hh_tes_in!Q12/SER_hh_fec_in!Q12)</f>
        <v>0.83868023159050364</v>
      </c>
      <c r="R12" s="137">
        <f>IF(SER_hh_tes_in!R12=0,"",SER_hh_tes_in!R12/SER_hh_fec_in!R12)</f>
        <v>0.84332515549177234</v>
      </c>
      <c r="S12" s="137">
        <f>IF(SER_hh_tes_in!S12=0,"",SER_hh_tes_in!S12/SER_hh_fec_in!S12)</f>
        <v>0.84784388996365301</v>
      </c>
      <c r="T12" s="137">
        <f>IF(SER_hh_tes_in!T12=0,"",SER_hh_tes_in!T12/SER_hh_fec_in!T12)</f>
        <v>0.85220624275992729</v>
      </c>
      <c r="U12" s="137">
        <f>IF(SER_hh_tes_in!U12=0,"",SER_hh_tes_in!U12/SER_hh_fec_in!U12)</f>
        <v>0.85638202163439114</v>
      </c>
      <c r="V12" s="137">
        <f>IF(SER_hh_tes_in!V12=0,"",SER_hh_tes_in!V12/SER_hh_fec_in!V12)</f>
        <v>0.86034103434083464</v>
      </c>
      <c r="W12" s="137">
        <f>IF(SER_hh_tes_in!W12=0,"",SER_hh_tes_in!W12/SER_hh_fec_in!W12)</f>
        <v>0.86398804812401298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1.4781036937551411</v>
      </c>
      <c r="D13" s="137">
        <f>IF(SER_hh_tes_in!D13=0,"",SER_hh_tes_in!D13/SER_hh_fec_in!D13)</f>
        <v>1.5704112852437879</v>
      </c>
      <c r="E13" s="137">
        <f>IF(SER_hh_tes_in!E13=0,"",SER_hh_tes_in!E13/SER_hh_fec_in!E13)</f>
        <v>1.6653625815376789</v>
      </c>
      <c r="F13" s="137">
        <f>IF(SER_hh_tes_in!F13=0,"",SER_hh_tes_in!F13/SER_hh_fec_in!F13)</f>
        <v>1.7625628846083541</v>
      </c>
      <c r="G13" s="137">
        <f>IF(SER_hh_tes_in!G13=0,"",SER_hh_tes_in!G13/SER_hh_fec_in!G13)</f>
        <v>1.8623401052087183</v>
      </c>
      <c r="H13" s="137">
        <f>IF(SER_hh_tes_in!H13=0,"",SER_hh_tes_in!H13/SER_hh_fec_in!H13)</f>
        <v>1.9646323698936026</v>
      </c>
      <c r="I13" s="137">
        <f>IF(SER_hh_tes_in!I13=0,"",SER_hh_tes_in!I13/SER_hh_fec_in!I13)</f>
        <v>2.0694978302895564</v>
      </c>
      <c r="J13" s="137">
        <f>IF(SER_hh_tes_in!J13=0,"",SER_hh_tes_in!J13/SER_hh_fec_in!J13)</f>
        <v>2.1772251496066923</v>
      </c>
      <c r="K13" s="137">
        <f>IF(SER_hh_tes_in!K13=0,"",SER_hh_tes_in!K13/SER_hh_fec_in!K13)</f>
        <v>2.2880279607158291</v>
      </c>
      <c r="L13" s="137">
        <f>IF(SER_hh_tes_in!L13=0,"",SER_hh_tes_in!L13/SER_hh_fec_in!L13)</f>
        <v>2.4019058075501953</v>
      </c>
      <c r="M13" s="137">
        <f>IF(SER_hh_tes_in!M13=0,"",SER_hh_tes_in!M13/SER_hh_fec_in!M13)</f>
        <v>2.5271234723241687</v>
      </c>
      <c r="N13" s="137">
        <f>IF(SER_hh_tes_in!N13=0,"",SER_hh_tes_in!N13/SER_hh_fec_in!N13)</f>
        <v>2.6657804708839019</v>
      </c>
      <c r="O13" s="137">
        <f>IF(SER_hh_tes_in!O13=0,"",SER_hh_tes_in!O13/SER_hh_fec_in!O13)</f>
        <v>2.8164757273316159</v>
      </c>
      <c r="P13" s="137">
        <f>IF(SER_hh_tes_in!P13=0,"",SER_hh_tes_in!P13/SER_hh_fec_in!P13)</f>
        <v>2.9677360929326868</v>
      </c>
      <c r="Q13" s="137">
        <f>IF(SER_hh_tes_in!Q13=0,"",SER_hh_tes_in!Q13/SER_hh_fec_in!Q13)</f>
        <v>3.0917298595141047</v>
      </c>
      <c r="R13" s="137">
        <f>IF(SER_hh_tes_in!R13=0,"",SER_hh_tes_in!R13/SER_hh_fec_in!R13)</f>
        <v>3.1453551956102137</v>
      </c>
      <c r="S13" s="137">
        <f>IF(SER_hh_tes_in!S13=0,"",SER_hh_tes_in!S13/SER_hh_fec_in!S13)</f>
        <v>3.1792979286310725</v>
      </c>
      <c r="T13" s="137">
        <f>IF(SER_hh_tes_in!T13=0,"",SER_hh_tes_in!T13/SER_hh_fec_in!T13)</f>
        <v>3.2010676423471103</v>
      </c>
      <c r="U13" s="137">
        <f>IF(SER_hh_tes_in!U13=0,"",SER_hh_tes_in!U13/SER_hh_fec_in!U13)</f>
        <v>3.2183933486186302</v>
      </c>
      <c r="V13" s="137">
        <f>IF(SER_hh_tes_in!V13=0,"",SER_hh_tes_in!V13/SER_hh_fec_in!V13)</f>
        <v>3.239307657190269</v>
      </c>
      <c r="W13" s="137">
        <f>IF(SER_hh_tes_in!W13=0,"",SER_hh_tes_in!W13/SER_hh_fec_in!W13)</f>
        <v>3.2632169892048535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0.72175142573173556</v>
      </c>
      <c r="D14" s="138">
        <f>IF(SER_hh_tes_in!D14=0,"",SER_hh_tes_in!D14/SER_hh_fec_in!D14)</f>
        <v>0.72548953013454875</v>
      </c>
      <c r="E14" s="138">
        <f>IF(SER_hh_tes_in!E14=0,"",SER_hh_tes_in!E14/SER_hh_fec_in!E14)</f>
        <v>0.72932353789613225</v>
      </c>
      <c r="F14" s="138">
        <f>IF(SER_hh_tes_in!F14=0,"",SER_hh_tes_in!F14/SER_hh_fec_in!F14)</f>
        <v>0.73317049865315542</v>
      </c>
      <c r="G14" s="138">
        <f>IF(SER_hh_tes_in!G14=0,"",SER_hh_tes_in!G14/SER_hh_fec_in!G14)</f>
        <v>0.73710572101567362</v>
      </c>
      <c r="H14" s="138">
        <f>IF(SER_hh_tes_in!H14=0,"",SER_hh_tes_in!H14/SER_hh_fec_in!H14)</f>
        <v>0.74111993472109339</v>
      </c>
      <c r="I14" s="138">
        <f>IF(SER_hh_tes_in!I14=0,"",SER_hh_tes_in!I14/SER_hh_fec_in!I14)</f>
        <v>0.74523161890636369</v>
      </c>
      <c r="J14" s="138">
        <f>IF(SER_hh_tes_in!J14=0,"",SER_hh_tes_in!J14/SER_hh_fec_in!J14)</f>
        <v>0.74951660349233318</v>
      </c>
      <c r="K14" s="138">
        <f>IF(SER_hh_tes_in!K14=0,"",SER_hh_tes_in!K14/SER_hh_fec_in!K14)</f>
        <v>0.75403914218730994</v>
      </c>
      <c r="L14" s="138">
        <f>IF(SER_hh_tes_in!L14=0,"",SER_hh_tes_in!L14/SER_hh_fec_in!L14)</f>
        <v>0.75881597074570006</v>
      </c>
      <c r="M14" s="138">
        <f>IF(SER_hh_tes_in!M14=0,"",SER_hh_tes_in!M14/SER_hh_fec_in!M14)</f>
        <v>0.76516722474562504</v>
      </c>
      <c r="N14" s="138">
        <f>IF(SER_hh_tes_in!N14=0,"",SER_hh_tes_in!N14/SER_hh_fec_in!N14)</f>
        <v>0.77348470370011968</v>
      </c>
      <c r="O14" s="138">
        <f>IF(SER_hh_tes_in!O14=0,"",SER_hh_tes_in!O14/SER_hh_fec_in!O14)</f>
        <v>0.78428266846150263</v>
      </c>
      <c r="P14" s="138">
        <f>IF(SER_hh_tes_in!P14=0,"",SER_hh_tes_in!P14/SER_hh_fec_in!P14)</f>
        <v>0.79720256878314999</v>
      </c>
      <c r="Q14" s="138">
        <f>IF(SER_hh_tes_in!Q14=0,"",SER_hh_tes_in!Q14/SER_hh_fec_in!Q14)</f>
        <v>0.81093499438748062</v>
      </c>
      <c r="R14" s="138">
        <f>IF(SER_hh_tes_in!R14=0,"",SER_hh_tes_in!R14/SER_hh_fec_in!R14)</f>
        <v>0.82569361295596511</v>
      </c>
      <c r="S14" s="138">
        <f>IF(SER_hh_tes_in!S14=0,"",SER_hh_tes_in!S14/SER_hh_fec_in!S14)</f>
        <v>0.84288027656974762</v>
      </c>
      <c r="T14" s="138">
        <f>IF(SER_hh_tes_in!T14=0,"",SER_hh_tes_in!T14/SER_hh_fec_in!T14)</f>
        <v>0.8602702633018513</v>
      </c>
      <c r="U14" s="138">
        <f>IF(SER_hh_tes_in!U14=0,"",SER_hh_tes_in!U14/SER_hh_fec_in!U14)</f>
        <v>0.87564527220075949</v>
      </c>
      <c r="V14" s="138">
        <f>IF(SER_hh_tes_in!V14=0,"",SER_hh_tes_in!V14/SER_hh_fec_in!V14)</f>
        <v>0.88678063415010355</v>
      </c>
      <c r="W14" s="138">
        <f>IF(SER_hh_tes_in!W14=0,"",SER_hh_tes_in!W14/SER_hh_fec_in!W14)</f>
        <v>0.8923745558806051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2.5007188623230432</v>
      </c>
      <c r="D16" s="136">
        <f>IF(SER_hh_tes_in!D16=0,"",SER_hh_tes_in!D16/SER_hh_fec_in!D16)</f>
        <v>2.5897970903509377</v>
      </c>
      <c r="E16" s="136">
        <f>IF(SER_hh_tes_in!E16=0,"",SER_hh_tes_in!E16/SER_hh_fec_in!E16)</f>
        <v>2.6798158618019148</v>
      </c>
      <c r="F16" s="136">
        <f>IF(SER_hh_tes_in!F16=0,"",SER_hh_tes_in!F16/SER_hh_fec_in!F16)</f>
        <v>2.7699313108278369</v>
      </c>
      <c r="G16" s="136">
        <f>IF(SER_hh_tes_in!G16=0,"",SER_hh_tes_in!G16/SER_hh_fec_in!G16)</f>
        <v>2.8609030796287134</v>
      </c>
      <c r="H16" s="136">
        <f>IF(SER_hh_tes_in!H16=0,"",SER_hh_tes_in!H16/SER_hh_fec_in!H16)</f>
        <v>2.9526332609332848</v>
      </c>
      <c r="I16" s="136">
        <f>IF(SER_hh_tes_in!I16=0,"",SER_hh_tes_in!I16/SER_hh_fec_in!I16)</f>
        <v>3.0453038993167092</v>
      </c>
      <c r="J16" s="136">
        <f>IF(SER_hh_tes_in!J16=0,"",SER_hh_tes_in!J16/SER_hh_fec_in!J16)</f>
        <v>3.1396722178654244</v>
      </c>
      <c r="K16" s="136">
        <f>IF(SER_hh_tes_in!K16=0,"",SER_hh_tes_in!K16/SER_hh_fec_in!K16)</f>
        <v>3.236374905921187</v>
      </c>
      <c r="L16" s="136">
        <f>IF(SER_hh_tes_in!L16=0,"",SER_hh_tes_in!L16/SER_hh_fec_in!L16)</f>
        <v>3.3355693811955298</v>
      </c>
      <c r="M16" s="136">
        <f>IF(SER_hh_tes_in!M16=0,"",SER_hh_tes_in!M16/SER_hh_fec_in!M16)</f>
        <v>3.454047834932795</v>
      </c>
      <c r="N16" s="136">
        <f>IF(SER_hh_tes_in!N16=0,"",SER_hh_tes_in!N16/SER_hh_fec_in!N16)</f>
        <v>3.597305680354975</v>
      </c>
      <c r="O16" s="136">
        <f>IF(SER_hh_tes_in!O16=0,"",SER_hh_tes_in!O16/SER_hh_fec_in!O16)</f>
        <v>3.7683810446335464</v>
      </c>
      <c r="P16" s="136">
        <f>IF(SER_hh_tes_in!P16=0,"",SER_hh_tes_in!P16/SER_hh_fec_in!P16)</f>
        <v>3.9539085934122022</v>
      </c>
      <c r="Q16" s="136">
        <f>IF(SER_hh_tes_in!Q16=0,"",SER_hh_tes_in!Q16/SER_hh_fec_in!Q16)</f>
        <v>4.1133479236137171</v>
      </c>
      <c r="R16" s="136">
        <f>IF(SER_hh_tes_in!R16=0,"",SER_hh_tes_in!R16/SER_hh_fec_in!R16)</f>
        <v>4.2133734974453407</v>
      </c>
      <c r="S16" s="136">
        <f>IF(SER_hh_tes_in!S16=0,"",SER_hh_tes_in!S16/SER_hh_fec_in!S16)</f>
        <v>4.2929889430193597</v>
      </c>
      <c r="T16" s="136">
        <f>IF(SER_hh_tes_in!T16=0,"",SER_hh_tes_in!T16/SER_hh_fec_in!T16)</f>
        <v>4.3595106785294968</v>
      </c>
      <c r="U16" s="136">
        <f>IF(SER_hh_tes_in!U16=0,"",SER_hh_tes_in!U16/SER_hh_fec_in!U16)</f>
        <v>4.4200701845508412</v>
      </c>
      <c r="V16" s="136">
        <f>IF(SER_hh_tes_in!V16=0,"",SER_hh_tes_in!V16/SER_hh_fec_in!V16)</f>
        <v>4.4818172256990083</v>
      </c>
      <c r="W16" s="136">
        <f>IF(SER_hh_tes_in!W16=0,"",SER_hh_tes_in!W16/SER_hh_fec_in!W16)</f>
        <v>4.5422684415005499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2.5007188623230432</v>
      </c>
      <c r="D18" s="137">
        <f>IF(SER_hh_tes_in!D18=0,"",SER_hh_tes_in!D18/SER_hh_fec_in!D18)</f>
        <v>2.5897970903509377</v>
      </c>
      <c r="E18" s="137">
        <f>IF(SER_hh_tes_in!E18=0,"",SER_hh_tes_in!E18/SER_hh_fec_in!E18)</f>
        <v>2.6798158618019148</v>
      </c>
      <c r="F18" s="137">
        <f>IF(SER_hh_tes_in!F18=0,"",SER_hh_tes_in!F18/SER_hh_fec_in!F18)</f>
        <v>2.7699313108278369</v>
      </c>
      <c r="G18" s="137">
        <f>IF(SER_hh_tes_in!G18=0,"",SER_hh_tes_in!G18/SER_hh_fec_in!G18)</f>
        <v>2.8609030796287134</v>
      </c>
      <c r="H18" s="137">
        <f>IF(SER_hh_tes_in!H18=0,"",SER_hh_tes_in!H18/SER_hh_fec_in!H18)</f>
        <v>2.9526332609332848</v>
      </c>
      <c r="I18" s="137">
        <f>IF(SER_hh_tes_in!I18=0,"",SER_hh_tes_in!I18/SER_hh_fec_in!I18)</f>
        <v>3.0453038993167092</v>
      </c>
      <c r="J18" s="137">
        <f>IF(SER_hh_tes_in!J18=0,"",SER_hh_tes_in!J18/SER_hh_fec_in!J18)</f>
        <v>3.1396722178654244</v>
      </c>
      <c r="K18" s="137">
        <f>IF(SER_hh_tes_in!K18=0,"",SER_hh_tes_in!K18/SER_hh_fec_in!K18)</f>
        <v>3.236374905921187</v>
      </c>
      <c r="L18" s="137">
        <f>IF(SER_hh_tes_in!L18=0,"",SER_hh_tes_in!L18/SER_hh_fec_in!L18)</f>
        <v>3.3355693811955298</v>
      </c>
      <c r="M18" s="137">
        <f>IF(SER_hh_tes_in!M18=0,"",SER_hh_tes_in!M18/SER_hh_fec_in!M18)</f>
        <v>3.454047834932795</v>
      </c>
      <c r="N18" s="137">
        <f>IF(SER_hh_tes_in!N18=0,"",SER_hh_tes_in!N18/SER_hh_fec_in!N18)</f>
        <v>3.597305680354975</v>
      </c>
      <c r="O18" s="137">
        <f>IF(SER_hh_tes_in!O18=0,"",SER_hh_tes_in!O18/SER_hh_fec_in!O18)</f>
        <v>3.7683810446335464</v>
      </c>
      <c r="P18" s="137">
        <f>IF(SER_hh_tes_in!P18=0,"",SER_hh_tes_in!P18/SER_hh_fec_in!P18)</f>
        <v>3.9539085934122022</v>
      </c>
      <c r="Q18" s="137">
        <f>IF(SER_hh_tes_in!Q18=0,"",SER_hh_tes_in!Q18/SER_hh_fec_in!Q18)</f>
        <v>4.1133479236137171</v>
      </c>
      <c r="R18" s="137">
        <f>IF(SER_hh_tes_in!R18=0,"",SER_hh_tes_in!R18/SER_hh_fec_in!R18)</f>
        <v>4.2133734974453407</v>
      </c>
      <c r="S18" s="137">
        <f>IF(SER_hh_tes_in!S18=0,"",SER_hh_tes_in!S18/SER_hh_fec_in!S18)</f>
        <v>4.2929889430193597</v>
      </c>
      <c r="T18" s="137">
        <f>IF(SER_hh_tes_in!T18=0,"",SER_hh_tes_in!T18/SER_hh_fec_in!T18)</f>
        <v>4.3595106785294968</v>
      </c>
      <c r="U18" s="137">
        <f>IF(SER_hh_tes_in!U18=0,"",SER_hh_tes_in!U18/SER_hh_fec_in!U18)</f>
        <v>4.4200701845508412</v>
      </c>
      <c r="V18" s="137">
        <f>IF(SER_hh_tes_in!V18=0,"",SER_hh_tes_in!V18/SER_hh_fec_in!V18)</f>
        <v>4.4818172256990083</v>
      </c>
      <c r="W18" s="137">
        <f>IF(SER_hh_tes_in!W18=0,"",SER_hh_tes_in!W18/SER_hh_fec_in!W18)</f>
        <v>4.5422684415005499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0.71898547323264195</v>
      </c>
      <c r="D19" s="136">
        <f>IF(SER_hh_tes_in!D19=0,"",SER_hh_tes_in!D19/SER_hh_fec_in!D19)</f>
        <v>0.71679238941273593</v>
      </c>
      <c r="E19" s="136">
        <f>IF(SER_hh_tes_in!E19=0,"",SER_hh_tes_in!E19/SER_hh_fec_in!E19)</f>
        <v>0.72181067549551559</v>
      </c>
      <c r="F19" s="136">
        <f>IF(SER_hh_tes_in!F19=0,"",SER_hh_tes_in!F19/SER_hh_fec_in!F19)</f>
        <v>0.73098374875681926</v>
      </c>
      <c r="G19" s="136">
        <f>IF(SER_hh_tes_in!G19=0,"",SER_hh_tes_in!G19/SER_hh_fec_in!G19)</f>
        <v>0.73636506182921457</v>
      </c>
      <c r="H19" s="136">
        <f>IF(SER_hh_tes_in!H19=0,"",SER_hh_tes_in!H19/SER_hh_fec_in!H19)</f>
        <v>0.74246756046999451</v>
      </c>
      <c r="I19" s="136">
        <f>IF(SER_hh_tes_in!I19=0,"",SER_hh_tes_in!I19/SER_hh_fec_in!I19)</f>
        <v>0.7455612286703085</v>
      </c>
      <c r="J19" s="136">
        <f>IF(SER_hh_tes_in!J19=0,"",SER_hh_tes_in!J19/SER_hh_fec_in!J19)</f>
        <v>0.7356639191185258</v>
      </c>
      <c r="K19" s="136">
        <f>IF(SER_hh_tes_in!K19=0,"",SER_hh_tes_in!K19/SER_hh_fec_in!K19)</f>
        <v>0.73252126736434109</v>
      </c>
      <c r="L19" s="136">
        <f>IF(SER_hh_tes_in!L19=0,"",SER_hh_tes_in!L19/SER_hh_fec_in!L19)</f>
        <v>0.7312212798025236</v>
      </c>
      <c r="M19" s="136">
        <f>IF(SER_hh_tes_in!M19=0,"",SER_hh_tes_in!M19/SER_hh_fec_in!M19)</f>
        <v>0.7430963585538144</v>
      </c>
      <c r="N19" s="136">
        <f>IF(SER_hh_tes_in!N19=0,"",SER_hh_tes_in!N19/SER_hh_fec_in!N19)</f>
        <v>0.75945851524697738</v>
      </c>
      <c r="O19" s="136">
        <f>IF(SER_hh_tes_in!O19=0,"",SER_hh_tes_in!O19/SER_hh_fec_in!O19)</f>
        <v>0.78059184481902399</v>
      </c>
      <c r="P19" s="136">
        <f>IF(SER_hh_tes_in!P19=0,"",SER_hh_tes_in!P19/SER_hh_fec_in!P19)</f>
        <v>0.80458422965582477</v>
      </c>
      <c r="Q19" s="136">
        <f>IF(SER_hh_tes_in!Q19=0,"",SER_hh_tes_in!Q19/SER_hh_fec_in!Q19)</f>
        <v>0.82292250467069794</v>
      </c>
      <c r="R19" s="136">
        <f>IF(SER_hh_tes_in!R19=0,"",SER_hh_tes_in!R19/SER_hh_fec_in!R19)</f>
        <v>0.83820477891508438</v>
      </c>
      <c r="S19" s="136">
        <f>IF(SER_hh_tes_in!S19=0,"",SER_hh_tes_in!S19/SER_hh_fec_in!S19)</f>
        <v>0.85415162973698444</v>
      </c>
      <c r="T19" s="136">
        <f>IF(SER_hh_tes_in!T19=0,"",SER_hh_tes_in!T19/SER_hh_fec_in!T19)</f>
        <v>0.86719104447133288</v>
      </c>
      <c r="U19" s="136">
        <f>IF(SER_hh_tes_in!U19=0,"",SER_hh_tes_in!U19/SER_hh_fec_in!U19)</f>
        <v>0.876212113223794</v>
      </c>
      <c r="V19" s="136">
        <f>IF(SER_hh_tes_in!V19=0,"",SER_hh_tes_in!V19/SER_hh_fec_in!V19)</f>
        <v>0.8839022889627528</v>
      </c>
      <c r="W19" s="136">
        <f>IF(SER_hh_tes_in!W19=0,"",SER_hh_tes_in!W19/SER_hh_fec_in!W19)</f>
        <v>0.88798118342491394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0.53060421286180059</v>
      </c>
      <c r="D22" s="137">
        <f>IF(SER_hh_tes_in!D22=0,"",SER_hh_tes_in!D22/SER_hh_fec_in!D22)</f>
        <v>0.53282395575049857</v>
      </c>
      <c r="E22" s="137">
        <f>IF(SER_hh_tes_in!E22=0,"",SER_hh_tes_in!E22/SER_hh_fec_in!E22)</f>
        <v>0.535411163599956</v>
      </c>
      <c r="F22" s="137">
        <f>IF(SER_hh_tes_in!F22=0,"",SER_hh_tes_in!F22/SER_hh_fec_in!F22)</f>
        <v>0.5380484803076987</v>
      </c>
      <c r="G22" s="137">
        <f>IF(SER_hh_tes_in!G22=0,"",SER_hh_tes_in!G22/SER_hh_fec_in!G22)</f>
        <v>0.54102421063036321</v>
      </c>
      <c r="H22" s="137">
        <f>IF(SER_hh_tes_in!H22=0,"",SER_hh_tes_in!H22/SER_hh_fec_in!H22)</f>
        <v>0.54430306973606224</v>
      </c>
      <c r="I22" s="137">
        <f>IF(SER_hh_tes_in!I22=0,"",SER_hh_tes_in!I22/SER_hh_fec_in!I22)</f>
        <v>0.54795609592525529</v>
      </c>
      <c r="J22" s="137">
        <f>IF(SER_hh_tes_in!J22=0,"",SER_hh_tes_in!J22/SER_hh_fec_in!J22)</f>
        <v>0.55227430804066113</v>
      </c>
      <c r="K22" s="137">
        <f>IF(SER_hh_tes_in!K22=0,"",SER_hh_tes_in!K22/SER_hh_fec_in!K22)</f>
        <v>0.55750514864565004</v>
      </c>
      <c r="L22" s="137">
        <f>IF(SER_hh_tes_in!L22=0,"",SER_hh_tes_in!L22/SER_hh_fec_in!L22)</f>
        <v>0.56371481877055518</v>
      </c>
      <c r="M22" s="137">
        <f>IF(SER_hh_tes_in!M22=0,"",SER_hh_tes_in!M22/SER_hh_fec_in!M22)</f>
        <v>0.57677520997265008</v>
      </c>
      <c r="N22" s="137">
        <f>IF(SER_hh_tes_in!N22=0,"",SER_hh_tes_in!N22/SER_hh_fec_in!N22)</f>
        <v>0.59855005659604155</v>
      </c>
      <c r="O22" s="137">
        <f>IF(SER_hh_tes_in!O22=0,"",SER_hh_tes_in!O22/SER_hh_fec_in!O22)</f>
        <v>0.63059515439926006</v>
      </c>
      <c r="P22" s="137">
        <f>IF(SER_hh_tes_in!P22=0,"",SER_hh_tes_in!P22/SER_hh_fec_in!P22)</f>
        <v>0.66964065761227509</v>
      </c>
      <c r="Q22" s="137">
        <f>IF(SER_hh_tes_in!Q22=0,"",SER_hh_tes_in!Q22/SER_hh_fec_in!Q22)</f>
        <v>0.70509209872594192</v>
      </c>
      <c r="R22" s="137">
        <f>IF(SER_hh_tes_in!R22=0,"",SER_hh_tes_in!R22/SER_hh_fec_in!R22)</f>
        <v>0.72901748456453497</v>
      </c>
      <c r="S22" s="137">
        <f>IF(SER_hh_tes_in!S22=0,"",SER_hh_tes_in!S22/SER_hh_fec_in!S22)</f>
        <v>0.75207285637265975</v>
      </c>
      <c r="T22" s="137">
        <f>IF(SER_hh_tes_in!T22=0,"",SER_hh_tes_in!T22/SER_hh_fec_in!T22)</f>
        <v>0.77295319310452737</v>
      </c>
      <c r="U22" s="137">
        <f>IF(SER_hh_tes_in!U22=0,"",SER_hh_tes_in!U22/SER_hh_fec_in!U22)</f>
        <v>0.79035347371442133</v>
      </c>
      <c r="V22" s="137">
        <f>IF(SER_hh_tes_in!V22=0,"",SER_hh_tes_in!V22/SER_hh_fec_in!V22)</f>
        <v>0.80296867715659426</v>
      </c>
      <c r="W22" s="137">
        <f>IF(SER_hh_tes_in!W22=0,"",SER_hh_tes_in!W22/SER_hh_fec_in!W22)</f>
        <v>0.80890271904171496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0.57935978748747186</v>
      </c>
      <c r="D23" s="137">
        <f>IF(SER_hh_tes_in!D23=0,"",SER_hh_tes_in!D23/SER_hh_fec_in!D23)</f>
        <v>0.585769794872123</v>
      </c>
      <c r="E23" s="137">
        <f>IF(SER_hh_tes_in!E23=0,"",SER_hh_tes_in!E23/SER_hh_fec_in!E23)</f>
        <v>0.59245694964211659</v>
      </c>
      <c r="F23" s="137">
        <f>IF(SER_hh_tes_in!F23=0,"",SER_hh_tes_in!F23/SER_hh_fec_in!F23)</f>
        <v>0.59919815633260909</v>
      </c>
      <c r="G23" s="137">
        <f>IF(SER_hh_tes_in!G23=0,"",SER_hh_tes_in!G23/SER_hh_fec_in!G23)</f>
        <v>0.60619233555860874</v>
      </c>
      <c r="H23" s="137">
        <f>IF(SER_hh_tes_in!H23=0,"",SER_hh_tes_in!H23/SER_hh_fec_in!H23)</f>
        <v>0.61341255621023583</v>
      </c>
      <c r="I23" s="137">
        <f>IF(SER_hh_tes_in!I23=0,"",SER_hh_tes_in!I23/SER_hh_fec_in!I23)</f>
        <v>0.62090522253079095</v>
      </c>
      <c r="J23" s="137">
        <f>IF(SER_hh_tes_in!J23=0,"",SER_hh_tes_in!J23/SER_hh_fec_in!J23)</f>
        <v>0.62886642139783266</v>
      </c>
      <c r="K23" s="137">
        <f>IF(SER_hh_tes_in!K23=0,"",SER_hh_tes_in!K23/SER_hh_fec_in!K23)</f>
        <v>0.63745965952396832</v>
      </c>
      <c r="L23" s="137">
        <f>IF(SER_hh_tes_in!L23=0,"",SER_hh_tes_in!L23/SER_hh_fec_in!L23)</f>
        <v>0.64672306093431475</v>
      </c>
      <c r="M23" s="137">
        <f>IF(SER_hh_tes_in!M23=0,"",SER_hh_tes_in!M23/SER_hh_fec_in!M23)</f>
        <v>0.66073170224108468</v>
      </c>
      <c r="N23" s="137">
        <f>IF(SER_hh_tes_in!N23=0,"",SER_hh_tes_in!N23/SER_hh_fec_in!N23)</f>
        <v>0.68073993171597114</v>
      </c>
      <c r="O23" s="137">
        <f>IF(SER_hh_tes_in!O23=0,"",SER_hh_tes_in!O23/SER_hh_fec_in!O23)</f>
        <v>0.70767393277087887</v>
      </c>
      <c r="P23" s="137">
        <f>IF(SER_hh_tes_in!P23=0,"",SER_hh_tes_in!P23/SER_hh_fec_in!P23)</f>
        <v>0.73901594399754666</v>
      </c>
      <c r="Q23" s="137">
        <f>IF(SER_hh_tes_in!Q23=0,"",SER_hh_tes_in!Q23/SER_hh_fec_in!Q23)</f>
        <v>0.76686725366814146</v>
      </c>
      <c r="R23" s="137">
        <f>IF(SER_hh_tes_in!R23=0,"",SER_hh_tes_in!R23/SER_hh_fec_in!R23)</f>
        <v>0.78518019420059115</v>
      </c>
      <c r="S23" s="137">
        <f>IF(SER_hh_tes_in!S23=0,"",SER_hh_tes_in!S23/SER_hh_fec_in!S23)</f>
        <v>0.80188957308563047</v>
      </c>
      <c r="T23" s="137">
        <f>IF(SER_hh_tes_in!T23=0,"",SER_hh_tes_in!T23/SER_hh_fec_in!T23)</f>
        <v>0.81656161663895843</v>
      </c>
      <c r="U23" s="137">
        <f>IF(SER_hh_tes_in!U23=0,"",SER_hh_tes_in!U23/SER_hh_fec_in!U23)</f>
        <v>0.82871302532367908</v>
      </c>
      <c r="V23" s="137">
        <f>IF(SER_hh_tes_in!V23=0,"",SER_hh_tes_in!V23/SER_hh_fec_in!V23)</f>
        <v>0.83781345273291652</v>
      </c>
      <c r="W23" s="137">
        <f>IF(SER_hh_tes_in!W23=0,"",SER_hh_tes_in!W23/SER_hh_fec_in!W23)</f>
        <v>0.84251031803016729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0.58289481428733503</v>
      </c>
      <c r="D24" s="137">
        <f>IF(SER_hh_tes_in!D24=0,"",SER_hh_tes_in!D24/SER_hh_fec_in!D24)</f>
        <v>0.59534500754432607</v>
      </c>
      <c r="E24" s="137">
        <f>IF(SER_hh_tes_in!E24=0,"",SER_hh_tes_in!E24/SER_hh_fec_in!E24)</f>
        <v>0.60791355826769244</v>
      </c>
      <c r="F24" s="137">
        <f>IF(SER_hh_tes_in!F24=0,"",SER_hh_tes_in!F24/SER_hh_fec_in!F24)</f>
        <v>0.62058838432285113</v>
      </c>
      <c r="G24" s="137">
        <f>IF(SER_hh_tes_in!G24=0,"",SER_hh_tes_in!G24/SER_hh_fec_in!G24)</f>
        <v>0.63335747536939957</v>
      </c>
      <c r="H24" s="137">
        <f>IF(SER_hh_tes_in!H24=0,"",SER_hh_tes_in!H24/SER_hh_fec_in!H24)</f>
        <v>0.64620652202049067</v>
      </c>
      <c r="I24" s="137">
        <f>IF(SER_hh_tes_in!I24=0,"",SER_hh_tes_in!I24/SER_hh_fec_in!I24)</f>
        <v>0.65911670844738035</v>
      </c>
      <c r="J24" s="137">
        <f>IF(SER_hh_tes_in!J24=0,"",SER_hh_tes_in!J24/SER_hh_fec_in!J24)</f>
        <v>0.6720474648305006</v>
      </c>
      <c r="K24" s="137">
        <f>IF(SER_hh_tes_in!K24=0,"",SER_hh_tes_in!K24/SER_hh_fec_in!K24)</f>
        <v>0.68494512416304654</v>
      </c>
      <c r="L24" s="137">
        <f>IF(SER_hh_tes_in!L24=0,"",SER_hh_tes_in!L24/SER_hh_fec_in!L24)</f>
        <v>0.69776205380725198</v>
      </c>
      <c r="M24" s="137">
        <f>IF(SER_hh_tes_in!M24=0,"",SER_hh_tes_in!M24/SER_hh_fec_in!M24)</f>
        <v>0.70956593814991575</v>
      </c>
      <c r="N24" s="137">
        <f>IF(SER_hh_tes_in!N24=0,"",SER_hh_tes_in!N24/SER_hh_fec_in!N24)</f>
        <v>0.71985628877735242</v>
      </c>
      <c r="O24" s="137">
        <f>IF(SER_hh_tes_in!O24=0,"",SER_hh_tes_in!O24/SER_hh_fec_in!O24)</f>
        <v>0.7283623505237391</v>
      </c>
      <c r="P24" s="137">
        <f>IF(SER_hh_tes_in!P24=0,"",SER_hh_tes_in!P24/SER_hh_fec_in!P24)</f>
        <v>0.73581288081068219</v>
      </c>
      <c r="Q24" s="137">
        <f>IF(SER_hh_tes_in!Q24=0,"",SER_hh_tes_in!Q24/SER_hh_fec_in!Q24)</f>
        <v>0.74468290075113497</v>
      </c>
      <c r="R24" s="137">
        <f>IF(SER_hh_tes_in!R24=0,"",SER_hh_tes_in!R24/SER_hh_fec_in!R24)</f>
        <v>0.75776146506171294</v>
      </c>
      <c r="S24" s="137">
        <f>IF(SER_hh_tes_in!S24=0,"",SER_hh_tes_in!S24/SER_hh_fec_in!S24)</f>
        <v>0.77241954300563442</v>
      </c>
      <c r="T24" s="137">
        <f>IF(SER_hh_tes_in!T24=0,"",SER_hh_tes_in!T24/SER_hh_fec_in!T24)</f>
        <v>0.78714872081972231</v>
      </c>
      <c r="U24" s="137">
        <f>IF(SER_hh_tes_in!U24=0,"",SER_hh_tes_in!U24/SER_hh_fec_in!U24)</f>
        <v>0.80071627358210207</v>
      </c>
      <c r="V24" s="137">
        <f>IF(SER_hh_tes_in!V24=0,"",SER_hh_tes_in!V24/SER_hh_fec_in!V24)</f>
        <v>0.81208895679495008</v>
      </c>
      <c r="W24" s="137">
        <f>IF(SER_hh_tes_in!W24=0,"",SER_hh_tes_in!W24/SER_hh_fec_in!W24)</f>
        <v>0.82123670581252572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0.80961266702589152</v>
      </c>
      <c r="D25" s="137">
        <f>IF(SER_hh_tes_in!D25=0,"",SER_hh_tes_in!D25/SER_hh_fec_in!D25)</f>
        <v>0.81167102940872782</v>
      </c>
      <c r="E25" s="137">
        <f>IF(SER_hh_tes_in!E25=0,"",SER_hh_tes_in!E25/SER_hh_fec_in!E25)</f>
        <v>0.81378496220580954</v>
      </c>
      <c r="F25" s="137">
        <f>IF(SER_hh_tes_in!F25=0,"",SER_hh_tes_in!F25/SER_hh_fec_in!F25)</f>
        <v>0.81590647278665196</v>
      </c>
      <c r="G25" s="137">
        <f>IF(SER_hh_tes_in!G25=0,"",SER_hh_tes_in!G25/SER_hh_fec_in!G25)</f>
        <v>0.81807916045041595</v>
      </c>
      <c r="H25" s="137">
        <f>IF(SER_hh_tes_in!H25=0,"",SER_hh_tes_in!H25/SER_hh_fec_in!H25)</f>
        <v>0.82029768919793478</v>
      </c>
      <c r="I25" s="137">
        <f>IF(SER_hh_tes_in!I25=0,"",SER_hh_tes_in!I25/SER_hh_fec_in!I25)</f>
        <v>0.82257280189779536</v>
      </c>
      <c r="J25" s="137">
        <f>IF(SER_hh_tes_in!J25=0,"",SER_hh_tes_in!J25/SER_hh_fec_in!J25)</f>
        <v>0.82494850829070832</v>
      </c>
      <c r="K25" s="137">
        <f>IF(SER_hh_tes_in!K25=0,"",SER_hh_tes_in!K25/SER_hh_fec_in!K25)</f>
        <v>0.82746222823221549</v>
      </c>
      <c r="L25" s="137">
        <f>IF(SER_hh_tes_in!L25=0,"",SER_hh_tes_in!L25/SER_hh_fec_in!L25)</f>
        <v>0.83012397306781105</v>
      </c>
      <c r="M25" s="137">
        <f>IF(SER_hh_tes_in!M25=0,"",SER_hh_tes_in!M25/SER_hh_fec_in!M25)</f>
        <v>0.83380949108754276</v>
      </c>
      <c r="N25" s="137">
        <f>IF(SER_hh_tes_in!N25=0,"",SER_hh_tes_in!N25/SER_hh_fec_in!N25)</f>
        <v>0.83879567193062643</v>
      </c>
      <c r="O25" s="137">
        <f>IF(SER_hh_tes_in!O25=0,"",SER_hh_tes_in!O25/SER_hh_fec_in!O25)</f>
        <v>0.84532524301190071</v>
      </c>
      <c r="P25" s="137">
        <f>IF(SER_hh_tes_in!P25=0,"",SER_hh_tes_in!P25/SER_hh_fec_in!P25)</f>
        <v>0.85293639762855045</v>
      </c>
      <c r="Q25" s="137">
        <f>IF(SER_hh_tes_in!Q25=0,"",SER_hh_tes_in!Q25/SER_hh_fec_in!Q25)</f>
        <v>0.86011734737822099</v>
      </c>
      <c r="R25" s="137">
        <f>IF(SER_hh_tes_in!R25=0,"",SER_hh_tes_in!R25/SER_hh_fec_in!R25)</f>
        <v>0.86561986950096648</v>
      </c>
      <c r="S25" s="137">
        <f>IF(SER_hh_tes_in!S25=0,"",SER_hh_tes_in!S25/SER_hh_fec_in!S25)</f>
        <v>0.87097290367910329</v>
      </c>
      <c r="T25" s="137">
        <f>IF(SER_hh_tes_in!T25=0,"",SER_hh_tes_in!T25/SER_hh_fec_in!T25)</f>
        <v>0.87614068323350325</v>
      </c>
      <c r="U25" s="137">
        <f>IF(SER_hh_tes_in!U25=0,"",SER_hh_tes_in!U25/SER_hh_fec_in!U25)</f>
        <v>0.88108744148505502</v>
      </c>
      <c r="V25" s="137">
        <f>IF(SER_hh_tes_in!V25=0,"",SER_hh_tes_in!V25/SER_hh_fec_in!V25)</f>
        <v>0.8857774117546402</v>
      </c>
      <c r="W25" s="137">
        <f>IF(SER_hh_tes_in!W25=0,"",SER_hh_tes_in!W25/SER_hh_fec_in!W25)</f>
        <v>0.89009777834200576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0.6702496056633378</v>
      </c>
      <c r="D26" s="138">
        <f>IF(SER_hh_tes_in!D26=0,"",SER_hh_tes_in!D26/SER_hh_fec_in!D26)</f>
        <v>0.67298451101922685</v>
      </c>
      <c r="E26" s="138">
        <f>IF(SER_hh_tes_in!E26=0,"",SER_hh_tes_in!E26/SER_hh_fec_in!E26)</f>
        <v>0.67592976927466564</v>
      </c>
      <c r="F26" s="138">
        <f>IF(SER_hh_tes_in!F26=0,"",SER_hh_tes_in!F26/SER_hh_fec_in!F26)</f>
        <v>0.67890331942591509</v>
      </c>
      <c r="G26" s="138">
        <f>IF(SER_hh_tes_in!G26=0,"",SER_hh_tes_in!G26/SER_hh_fec_in!G26)</f>
        <v>0.68207227835288464</v>
      </c>
      <c r="H26" s="138">
        <f>IF(SER_hh_tes_in!H26=0,"",SER_hh_tes_in!H26/SER_hh_fec_in!H26)</f>
        <v>0.68541791450021983</v>
      </c>
      <c r="I26" s="138">
        <f>IF(SER_hh_tes_in!I26=0,"",SER_hh_tes_in!I26/SER_hh_fec_in!I26)</f>
        <v>0.68898375244909837</v>
      </c>
      <c r="J26" s="138">
        <f>IF(SER_hh_tes_in!J26=0,"",SER_hh_tes_in!J26/SER_hh_fec_in!J26)</f>
        <v>0.69294401415142381</v>
      </c>
      <c r="K26" s="138">
        <f>IF(SER_hh_tes_in!K26=0,"",SER_hh_tes_in!K26/SER_hh_fec_in!K26)</f>
        <v>0.69745309515277265</v>
      </c>
      <c r="L26" s="138">
        <f>IF(SER_hh_tes_in!L26=0,"",SER_hh_tes_in!L26/SER_hh_fec_in!L26)</f>
        <v>0.70256503192586595</v>
      </c>
      <c r="M26" s="138">
        <f>IF(SER_hh_tes_in!M26=0,"",SER_hh_tes_in!M26/SER_hh_fec_in!M26)</f>
        <v>0.71182194575819291</v>
      </c>
      <c r="N26" s="138">
        <f>IF(SER_hh_tes_in!N26=0,"",SER_hh_tes_in!N26/SER_hh_fec_in!N26)</f>
        <v>0.72678019152588824</v>
      </c>
      <c r="O26" s="138">
        <f>IF(SER_hh_tes_in!O26=0,"",SER_hh_tes_in!O26/SER_hh_fec_in!O26)</f>
        <v>0.74943561279466286</v>
      </c>
      <c r="P26" s="138">
        <f>IF(SER_hh_tes_in!P26=0,"",SER_hh_tes_in!P26/SER_hh_fec_in!P26)</f>
        <v>0.77890740758119625</v>
      </c>
      <c r="Q26" s="138">
        <f>IF(SER_hh_tes_in!Q26=0,"",SER_hh_tes_in!Q26/SER_hh_fec_in!Q26)</f>
        <v>0.80782632628392725</v>
      </c>
      <c r="R26" s="138">
        <f>IF(SER_hh_tes_in!R26=0,"",SER_hh_tes_in!R26/SER_hh_fec_in!R26)</f>
        <v>0.82855701731164755</v>
      </c>
      <c r="S26" s="138">
        <f>IF(SER_hh_tes_in!S26=0,"",SER_hh_tes_in!S26/SER_hh_fec_in!S26)</f>
        <v>0.84908333520807955</v>
      </c>
      <c r="T26" s="138">
        <f>IF(SER_hh_tes_in!T26=0,"",SER_hh_tes_in!T26/SER_hh_fec_in!T26)</f>
        <v>0.8689748812160375</v>
      </c>
      <c r="U26" s="138">
        <f>IF(SER_hh_tes_in!U26=0,"",SER_hh_tes_in!U26/SER_hh_fec_in!U26)</f>
        <v>0.88766043636990866</v>
      </c>
      <c r="V26" s="138">
        <f>IF(SER_hh_tes_in!V26=0,"",SER_hh_tes_in!V26/SER_hh_fec_in!V26)</f>
        <v>0.90426363640674556</v>
      </c>
      <c r="W26" s="138">
        <f>IF(SER_hh_tes_in!W26=0,"",SER_hh_tes_in!W26/SER_hh_fec_in!W26)</f>
        <v>0.91733356462231674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0.71984090474032614</v>
      </c>
      <c r="D29" s="136">
        <f>IF(SER_hh_tes_in!D29=0,"",SER_hh_tes_in!D29/SER_hh_fec_in!D29)</f>
        <v>0.72063829210392116</v>
      </c>
      <c r="E29" s="136">
        <f>IF(SER_hh_tes_in!E29=0,"",SER_hh_tes_in!E29/SER_hh_fec_in!E29)</f>
        <v>0.72236070906007255</v>
      </c>
      <c r="F29" s="136">
        <f>IF(SER_hh_tes_in!F29=0,"",SER_hh_tes_in!F29/SER_hh_fec_in!F29)</f>
        <v>0.72455752432585863</v>
      </c>
      <c r="G29" s="136">
        <f>IF(SER_hh_tes_in!G29=0,"",SER_hh_tes_in!G29/SER_hh_fec_in!G29)</f>
        <v>0.72642789864338286</v>
      </c>
      <c r="H29" s="136">
        <f>IF(SER_hh_tes_in!H29=0,"",SER_hh_tes_in!H29/SER_hh_fec_in!H29)</f>
        <v>0.7287933083069188</v>
      </c>
      <c r="I29" s="136">
        <f>IF(SER_hh_tes_in!I29=0,"",SER_hh_tes_in!I29/SER_hh_fec_in!I29)</f>
        <v>0.73086910971147623</v>
      </c>
      <c r="J29" s="136">
        <f>IF(SER_hh_tes_in!J29=0,"",SER_hh_tes_in!J29/SER_hh_fec_in!J29)</f>
        <v>0.73300708179502982</v>
      </c>
      <c r="K29" s="136">
        <f>IF(SER_hh_tes_in!K29=0,"",SER_hh_tes_in!K29/SER_hh_fec_in!K29)</f>
        <v>0.73600016060661833</v>
      </c>
      <c r="L29" s="136">
        <f>IF(SER_hh_tes_in!L29=0,"",SER_hh_tes_in!L29/SER_hh_fec_in!L29)</f>
        <v>0.73877301966301756</v>
      </c>
      <c r="M29" s="136">
        <f>IF(SER_hh_tes_in!M29=0,"",SER_hh_tes_in!M29/SER_hh_fec_in!M29)</f>
        <v>0.74302916540137753</v>
      </c>
      <c r="N29" s="136">
        <f>IF(SER_hh_tes_in!N29=0,"",SER_hh_tes_in!N29/SER_hh_fec_in!N29)</f>
        <v>0.74470992539107206</v>
      </c>
      <c r="O29" s="136">
        <f>IF(SER_hh_tes_in!O29=0,"",SER_hh_tes_in!O29/SER_hh_fec_in!O29)</f>
        <v>0.7489680656915233</v>
      </c>
      <c r="P29" s="136">
        <f>IF(SER_hh_tes_in!P29=0,"",SER_hh_tes_in!P29/SER_hh_fec_in!P29)</f>
        <v>0.75647548301787348</v>
      </c>
      <c r="Q29" s="136">
        <f>IF(SER_hh_tes_in!Q29=0,"",SER_hh_tes_in!Q29/SER_hh_fec_in!Q29)</f>
        <v>0.7652407271084708</v>
      </c>
      <c r="R29" s="136">
        <f>IF(SER_hh_tes_in!R29=0,"",SER_hh_tes_in!R29/SER_hh_fec_in!R29)</f>
        <v>0.77827205445771197</v>
      </c>
      <c r="S29" s="136">
        <f>IF(SER_hh_tes_in!S29=0,"",SER_hh_tes_in!S29/SER_hh_fec_in!S29)</f>
        <v>0.79236014807204747</v>
      </c>
      <c r="T29" s="136">
        <f>IF(SER_hh_tes_in!T29=0,"",SER_hh_tes_in!T29/SER_hh_fec_in!T29)</f>
        <v>0.81161290675614184</v>
      </c>
      <c r="U29" s="136">
        <f>IF(SER_hh_tes_in!U29=0,"",SER_hh_tes_in!U29/SER_hh_fec_in!U29)</f>
        <v>0.82637225278879123</v>
      </c>
      <c r="V29" s="136">
        <f>IF(SER_hh_tes_in!V29=0,"",SER_hh_tes_in!V29/SER_hh_fec_in!V29)</f>
        <v>0.83798282529390589</v>
      </c>
      <c r="W29" s="136">
        <f>IF(SER_hh_tes_in!W29=0,"",SER_hh_tes_in!W29/SER_hh_fec_in!W29)</f>
        <v>0.84899430981893975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0.55199839682162077</v>
      </c>
      <c r="D31" s="137">
        <f>IF(SER_hh_tes_in!D31=0,"",SER_hh_tes_in!D31/SER_hh_fec_in!D31)</f>
        <v>0.55323438082965593</v>
      </c>
      <c r="E31" s="137">
        <f>IF(SER_hh_tes_in!E31=0,"",SER_hh_tes_in!E31/SER_hh_fec_in!E31)</f>
        <v>0.55445293369645787</v>
      </c>
      <c r="F31" s="137">
        <f>IF(SER_hh_tes_in!F31=0,"",SER_hh_tes_in!F31/SER_hh_fec_in!F31)</f>
        <v>0.55566910958945526</v>
      </c>
      <c r="G31" s="137">
        <f>IF(SER_hh_tes_in!G31=0,"",SER_hh_tes_in!G31/SER_hh_fec_in!G31)</f>
        <v>0.55686923242665998</v>
      </c>
      <c r="H31" s="137">
        <f>IF(SER_hh_tes_in!H31=0,"",SER_hh_tes_in!H31/SER_hh_fec_in!H31)</f>
        <v>0.55805497598640186</v>
      </c>
      <c r="I31" s="137">
        <f>IF(SER_hh_tes_in!I31=0,"",SER_hh_tes_in!I31/SER_hh_fec_in!I31)</f>
        <v>0.55922297048167857</v>
      </c>
      <c r="J31" s="137">
        <f>IF(SER_hh_tes_in!J31=0,"",SER_hh_tes_in!J31/SER_hh_fec_in!J31)</f>
        <v>0.56035941108457399</v>
      </c>
      <c r="K31" s="137">
        <f>IF(SER_hh_tes_in!K31=0,"",SER_hh_tes_in!K31/SER_hh_fec_in!K31)</f>
        <v>0.5614525600602559</v>
      </c>
      <c r="L31" s="137">
        <f>IF(SER_hh_tes_in!L31=0,"",SER_hh_tes_in!L31/SER_hh_fec_in!L31)</f>
        <v>0.56249927708343406</v>
      </c>
      <c r="M31" s="137">
        <f>IF(SER_hh_tes_in!M31=0,"",SER_hh_tes_in!M31/SER_hh_fec_in!M31)</f>
        <v>0.56306254942445988</v>
      </c>
      <c r="N31" s="137">
        <f>IF(SER_hh_tes_in!N31=0,"",SER_hh_tes_in!N31/SER_hh_fec_in!N31)</f>
        <v>0.56306254942445988</v>
      </c>
      <c r="O31" s="137">
        <f>IF(SER_hh_tes_in!O31=0,"",SER_hh_tes_in!O31/SER_hh_fec_in!O31)</f>
        <v>0.56306254942445988</v>
      </c>
      <c r="P31" s="137">
        <f>IF(SER_hh_tes_in!P31=0,"",SER_hh_tes_in!P31/SER_hh_fec_in!P31)</f>
        <v>0.56306254942445988</v>
      </c>
      <c r="Q31" s="137">
        <f>IF(SER_hh_tes_in!Q31=0,"",SER_hh_tes_in!Q31/SER_hh_fec_in!Q31)</f>
        <v>0.56306254942445988</v>
      </c>
      <c r="R31" s="137">
        <f>IF(SER_hh_tes_in!R31=0,"",SER_hh_tes_in!R31/SER_hh_fec_in!R31)</f>
        <v>0.56662113423603455</v>
      </c>
      <c r="S31" s="137">
        <f>IF(SER_hh_tes_in!S31=0,"",SER_hh_tes_in!S31/SER_hh_fec_in!S31)</f>
        <v>0.57244022668677019</v>
      </c>
      <c r="T31" s="137">
        <f>IF(SER_hh_tes_in!T31=0,"",SER_hh_tes_in!T31/SER_hh_fec_in!T31)</f>
        <v>0.57922916787929013</v>
      </c>
      <c r="U31" s="137">
        <f>IF(SER_hh_tes_in!U31=0,"",SER_hh_tes_in!U31/SER_hh_fec_in!U31)</f>
        <v>0.58626057125725839</v>
      </c>
      <c r="V31" s="137">
        <f>IF(SER_hh_tes_in!V31=0,"",SER_hh_tes_in!V31/SER_hh_fec_in!V31)</f>
        <v>0.59280705026433222</v>
      </c>
      <c r="W31" s="137">
        <f>IF(SER_hh_tes_in!W31=0,"",SER_hh_tes_in!W31/SER_hh_fec_in!W31)</f>
        <v>0.59886860490050886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0.72527212235117811</v>
      </c>
      <c r="D33" s="150">
        <f>IF(SER_hh_tes_in!D33=0,"",SER_hh_tes_in!D33/SER_hh_fec_in!D33)</f>
        <v>0.72684396713129484</v>
      </c>
      <c r="E33" s="150">
        <f>IF(SER_hh_tes_in!E33=0,"",SER_hh_tes_in!E33/SER_hh_fec_in!E33)</f>
        <v>0.72847393492151635</v>
      </c>
      <c r="F33" s="150">
        <f>IF(SER_hh_tes_in!F33=0,"",SER_hh_tes_in!F33/SER_hh_fec_in!F33)</f>
        <v>0.73011182857675216</v>
      </c>
      <c r="G33" s="150">
        <f>IF(SER_hh_tes_in!G33=0,"",SER_hh_tes_in!G33/SER_hh_fec_in!G33)</f>
        <v>0.73180325010555458</v>
      </c>
      <c r="H33" s="150">
        <f>IF(SER_hh_tes_in!H33=0,"",SER_hh_tes_in!H33/SER_hh_fec_in!H33)</f>
        <v>0.73354261840262314</v>
      </c>
      <c r="I33" s="150">
        <f>IF(SER_hh_tes_in!I33=0,"",SER_hh_tes_in!I33/SER_hh_fec_in!I33)</f>
        <v>0.73534116980419761</v>
      </c>
      <c r="J33" s="150">
        <f>IF(SER_hh_tes_in!J33=0,"",SER_hh_tes_in!J33/SER_hh_fec_in!J33)</f>
        <v>0.73724493561378279</v>
      </c>
      <c r="K33" s="150">
        <f>IF(SER_hh_tes_in!K33=0,"",SER_hh_tes_in!K33/SER_hh_fec_in!K33)</f>
        <v>0.73929305454702998</v>
      </c>
      <c r="L33" s="150">
        <f>IF(SER_hh_tes_in!L33=0,"",SER_hh_tes_in!L33/SER_hh_fec_in!L33)</f>
        <v>0.74149599781498199</v>
      </c>
      <c r="M33" s="150">
        <f>IF(SER_hh_tes_in!M33=0,"",SER_hh_tes_in!M33/SER_hh_fec_in!M33)</f>
        <v>0.74449317322001352</v>
      </c>
      <c r="N33" s="150">
        <f>IF(SER_hh_tes_in!N33=0,"",SER_hh_tes_in!N33/SER_hh_fec_in!N33)</f>
        <v>0.74846588720727469</v>
      </c>
      <c r="O33" s="150">
        <f>IF(SER_hh_tes_in!O33=0,"",SER_hh_tes_in!O33/SER_hh_fec_in!O33)</f>
        <v>0.75385498262226569</v>
      </c>
      <c r="P33" s="150">
        <f>IF(SER_hh_tes_in!P33=0,"",SER_hh_tes_in!P33/SER_hh_fec_in!P33)</f>
        <v>0.76089199410629615</v>
      </c>
      <c r="Q33" s="150">
        <f>IF(SER_hh_tes_in!Q33=0,"",SER_hh_tes_in!Q33/SER_hh_fec_in!Q33)</f>
        <v>0.76996176434768104</v>
      </c>
      <c r="R33" s="150">
        <f>IF(SER_hh_tes_in!R33=0,"",SER_hh_tes_in!R33/SER_hh_fec_in!R33)</f>
        <v>0.78229978824960056</v>
      </c>
      <c r="S33" s="150">
        <f>IF(SER_hh_tes_in!S33=0,"",SER_hh_tes_in!S33/SER_hh_fec_in!S33)</f>
        <v>0.79769879607526395</v>
      </c>
      <c r="T33" s="150">
        <f>IF(SER_hh_tes_in!T33=0,"",SER_hh_tes_in!T33/SER_hh_fec_in!T33)</f>
        <v>0.81425522694279318</v>
      </c>
      <c r="U33" s="150">
        <f>IF(SER_hh_tes_in!U33=0,"",SER_hh_tes_in!U33/SER_hh_fec_in!U33)</f>
        <v>0.83006551997035694</v>
      </c>
      <c r="V33" s="150">
        <f>IF(SER_hh_tes_in!V33=0,"",SER_hh_tes_in!V33/SER_hh_fec_in!V33)</f>
        <v>0.84322611427610306</v>
      </c>
      <c r="W33" s="150">
        <f>IF(SER_hh_tes_in!W33=0,"",SER_hh_tes_in!W33/SER_hh_fec_in!W33)</f>
        <v>0.85306835031534844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8.6039990319861399</v>
      </c>
      <c r="D3" s="126">
        <f t="shared" si="0"/>
        <v>9.9015018779799426</v>
      </c>
      <c r="E3" s="126">
        <f t="shared" si="0"/>
        <v>10.114007004351237</v>
      </c>
      <c r="F3" s="126">
        <f t="shared" si="0"/>
        <v>15.56337418112023</v>
      </c>
      <c r="G3" s="126">
        <f t="shared" si="0"/>
        <v>11.570815604114927</v>
      </c>
      <c r="H3" s="126">
        <f t="shared" si="0"/>
        <v>10.10515157925205</v>
      </c>
      <c r="I3" s="126">
        <f t="shared" si="0"/>
        <v>4.8572186374643511</v>
      </c>
      <c r="J3" s="126">
        <f t="shared" si="0"/>
        <v>4.619170907388785</v>
      </c>
      <c r="K3" s="126">
        <f t="shared" si="0"/>
        <v>8.68516739697559</v>
      </c>
      <c r="L3" s="126">
        <f t="shared" si="0"/>
        <v>16.751820956867423</v>
      </c>
      <c r="M3" s="126">
        <f t="shared" si="0"/>
        <v>10.681096504268966</v>
      </c>
      <c r="N3" s="126">
        <f t="shared" si="0"/>
        <v>7.6066189675594478</v>
      </c>
      <c r="O3" s="126">
        <f t="shared" si="0"/>
        <v>5.0838266942399537</v>
      </c>
      <c r="P3" s="126">
        <f t="shared" si="0"/>
        <v>2.9562423669103319</v>
      </c>
      <c r="Q3" s="126">
        <f t="shared" si="0"/>
        <v>3.445495240454449</v>
      </c>
      <c r="R3" s="126">
        <f t="shared" ref="R3:W3" si="1">SUM(R4,R16,R19,R29)</f>
        <v>6.017958157340086</v>
      </c>
      <c r="S3" s="126">
        <f t="shared" si="1"/>
        <v>6.5974897658088114</v>
      </c>
      <c r="T3" s="126">
        <f t="shared" si="1"/>
        <v>5.8267605403423968</v>
      </c>
      <c r="U3" s="126">
        <f t="shared" si="1"/>
        <v>6.1116657885793364</v>
      </c>
      <c r="V3" s="126">
        <f t="shared" si="1"/>
        <v>4.8059025021750266</v>
      </c>
      <c r="W3" s="126">
        <f t="shared" si="1"/>
        <v>3.9236848510598175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7.2842145064320114</v>
      </c>
      <c r="D4" s="131">
        <f t="shared" si="2"/>
        <v>8.4776442310375941</v>
      </c>
      <c r="E4" s="131">
        <f t="shared" si="2"/>
        <v>8.9555185985173136</v>
      </c>
      <c r="F4" s="131">
        <f t="shared" si="2"/>
        <v>13.98999566785788</v>
      </c>
      <c r="G4" s="131">
        <f t="shared" si="2"/>
        <v>10.279918858774998</v>
      </c>
      <c r="H4" s="131">
        <f t="shared" si="2"/>
        <v>8.44481975759075</v>
      </c>
      <c r="I4" s="131">
        <f t="shared" si="2"/>
        <v>3.3024866633484931</v>
      </c>
      <c r="J4" s="131">
        <f t="shared" si="2"/>
        <v>3.3462531569964988</v>
      </c>
      <c r="K4" s="131">
        <f t="shared" si="2"/>
        <v>7.7588633220872438</v>
      </c>
      <c r="L4" s="131">
        <f t="shared" si="2"/>
        <v>15.545263328699871</v>
      </c>
      <c r="M4" s="131">
        <f t="shared" si="2"/>
        <v>9.8600637842003582</v>
      </c>
      <c r="N4" s="131">
        <f t="shared" si="2"/>
        <v>7.0937406992385945</v>
      </c>
      <c r="O4" s="131">
        <f t="shared" si="2"/>
        <v>4.6525271876813594</v>
      </c>
      <c r="P4" s="131">
        <f t="shared" si="2"/>
        <v>2.697301925071145</v>
      </c>
      <c r="Q4" s="131">
        <f t="shared" si="2"/>
        <v>3.1215042834949336</v>
      </c>
      <c r="R4" s="131">
        <f t="shared" ref="R4:W4" si="3">SUM(R5:R15)</f>
        <v>5.5969475884783275</v>
      </c>
      <c r="S4" s="131">
        <f t="shared" si="3"/>
        <v>6.3164980445204382</v>
      </c>
      <c r="T4" s="131">
        <f t="shared" si="3"/>
        <v>5.6319504327881393</v>
      </c>
      <c r="U4" s="131">
        <f t="shared" si="3"/>
        <v>5.702390976026348</v>
      </c>
      <c r="V4" s="131">
        <f t="shared" si="3"/>
        <v>4.2995282240417927</v>
      </c>
      <c r="W4" s="131">
        <f t="shared" si="3"/>
        <v>3.2591352531390179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5.1143031609520051E-2</v>
      </c>
      <c r="D5" s="133">
        <v>7.832578850145136E-2</v>
      </c>
      <c r="E5" s="133">
        <v>8.4904808779374411E-2</v>
      </c>
      <c r="F5" s="133">
        <v>0.13268430724810007</v>
      </c>
      <c r="G5" s="133">
        <v>0.10829152416933532</v>
      </c>
      <c r="H5" s="133">
        <v>0.16122340869911142</v>
      </c>
      <c r="I5" s="133">
        <v>0.16610516124518945</v>
      </c>
      <c r="J5" s="133">
        <v>0.13183869710390081</v>
      </c>
      <c r="K5" s="133">
        <v>0.12195752536418844</v>
      </c>
      <c r="L5" s="133">
        <v>0.15499737180481196</v>
      </c>
      <c r="M5" s="133">
        <v>7.4829909341945472E-2</v>
      </c>
      <c r="N5" s="133">
        <v>7.2900949759464845E-2</v>
      </c>
      <c r="O5" s="133">
        <v>4.9193418785490772E-2</v>
      </c>
      <c r="P5" s="133">
        <v>4.4981640739720788E-2</v>
      </c>
      <c r="Q5" s="133">
        <v>3.8006595629777595E-2</v>
      </c>
      <c r="R5" s="133">
        <v>6.6330007717138109E-2</v>
      </c>
      <c r="S5" s="133">
        <v>8.1470507390508082E-2</v>
      </c>
      <c r="T5" s="133">
        <v>8.383839168299824E-2</v>
      </c>
      <c r="U5" s="133">
        <v>6.7892186017670469E-2</v>
      </c>
      <c r="V5" s="133">
        <v>5.1579180129119211E-2</v>
      </c>
      <c r="W5" s="133">
        <v>5.4377034896085231E-2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6.3375575210504804</v>
      </c>
      <c r="D7" s="133">
        <v>7.2725267839940715</v>
      </c>
      <c r="E7" s="133">
        <v>7.9784404111581422</v>
      </c>
      <c r="F7" s="133">
        <v>12.454875409712646</v>
      </c>
      <c r="G7" s="133">
        <v>9.4235919812583813</v>
      </c>
      <c r="H7" s="133">
        <v>7.8507106783051013</v>
      </c>
      <c r="I7" s="133">
        <v>2.9996024243014823</v>
      </c>
      <c r="J7" s="133">
        <v>2.6865211232756736</v>
      </c>
      <c r="K7" s="133">
        <v>7.1357938507750918</v>
      </c>
      <c r="L7" s="133">
        <v>14.552564609073432</v>
      </c>
      <c r="M7" s="133">
        <v>9.0782531060639258</v>
      </c>
      <c r="N7" s="133">
        <v>6.5179176523200324</v>
      </c>
      <c r="O7" s="133">
        <v>4.0040693604784288</v>
      </c>
      <c r="P7" s="133">
        <v>2.0484728842981079</v>
      </c>
      <c r="Q7" s="133">
        <v>2.7217563651169807</v>
      </c>
      <c r="R7" s="133">
        <v>4.9177602301972492</v>
      </c>
      <c r="S7" s="133">
        <v>5.7315828257153516</v>
      </c>
      <c r="T7" s="133">
        <v>5.1590125416912249</v>
      </c>
      <c r="U7" s="133">
        <v>5.2310996417776989</v>
      </c>
      <c r="V7" s="133">
        <v>3.9818100887592629</v>
      </c>
      <c r="W7" s="133">
        <v>2.9157626925933804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0.89551395377201115</v>
      </c>
      <c r="D9" s="133">
        <v>1.1267916585420705</v>
      </c>
      <c r="E9" s="133">
        <v>0.89217337857979584</v>
      </c>
      <c r="F9" s="133">
        <v>1.4024359508971345</v>
      </c>
      <c r="G9" s="133">
        <v>0.74803535334728244</v>
      </c>
      <c r="H9" s="133">
        <v>0.43288567058653826</v>
      </c>
      <c r="I9" s="133">
        <v>0.13677907780182125</v>
      </c>
      <c r="J9" s="133">
        <v>0.24715352066371418</v>
      </c>
      <c r="K9" s="133">
        <v>0.43984956614253129</v>
      </c>
      <c r="L9" s="133">
        <v>0.73845288487025706</v>
      </c>
      <c r="M9" s="133">
        <v>0.6310954497146688</v>
      </c>
      <c r="N9" s="133">
        <v>0.46104824703719222</v>
      </c>
      <c r="O9" s="133">
        <v>0.58948115505596621</v>
      </c>
      <c r="P9" s="133">
        <v>0.58124071435987112</v>
      </c>
      <c r="Q9" s="133">
        <v>0.3340466509787352</v>
      </c>
      <c r="R9" s="133">
        <v>0.56332677696149602</v>
      </c>
      <c r="S9" s="133">
        <v>0.45202514154241918</v>
      </c>
      <c r="T9" s="133">
        <v>0.33470238545143716</v>
      </c>
      <c r="U9" s="133">
        <v>0.36695650092999749</v>
      </c>
      <c r="V9" s="133">
        <v>0.22875886733107062</v>
      </c>
      <c r="W9" s="133">
        <v>0.25469988669235882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0.28073981595320985</v>
      </c>
      <c r="K10" s="133">
        <v>6.1262379805432074E-2</v>
      </c>
      <c r="L10" s="133">
        <v>9.9248462951369451E-2</v>
      </c>
      <c r="M10" s="133">
        <v>7.5885319079818173E-2</v>
      </c>
      <c r="N10" s="133">
        <v>4.187385012190533E-2</v>
      </c>
      <c r="O10" s="133">
        <v>9.783253361473343E-3</v>
      </c>
      <c r="P10" s="133">
        <v>2.2606685673445117E-2</v>
      </c>
      <c r="Q10" s="133">
        <v>2.7694671769440085E-2</v>
      </c>
      <c r="R10" s="133">
        <v>4.9530573602444859E-2</v>
      </c>
      <c r="S10" s="133">
        <v>5.1419569872159558E-2</v>
      </c>
      <c r="T10" s="133">
        <v>5.4397113962479454E-2</v>
      </c>
      <c r="U10" s="133">
        <v>3.6442647300981824E-2</v>
      </c>
      <c r="V10" s="133">
        <v>3.738008782233971E-2</v>
      </c>
      <c r="W10" s="133">
        <v>3.4295638957193723E-2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1.1687788664266399</v>
      </c>
      <c r="D19" s="131">
        <f t="shared" si="6"/>
        <v>1.2712678755930713</v>
      </c>
      <c r="E19" s="131">
        <f t="shared" si="6"/>
        <v>1.0332421412786699</v>
      </c>
      <c r="F19" s="131">
        <f t="shared" si="6"/>
        <v>1.4050326202960155</v>
      </c>
      <c r="G19" s="131">
        <f t="shared" si="6"/>
        <v>1.1475120411182753</v>
      </c>
      <c r="H19" s="131">
        <f t="shared" si="6"/>
        <v>1.4916177058016491</v>
      </c>
      <c r="I19" s="131">
        <f t="shared" si="6"/>
        <v>1.4037865756283747</v>
      </c>
      <c r="J19" s="131">
        <f t="shared" si="6"/>
        <v>1.1721831121732704</v>
      </c>
      <c r="K19" s="131">
        <f t="shared" si="6"/>
        <v>0.87045942607242521</v>
      </c>
      <c r="L19" s="131">
        <f t="shared" si="6"/>
        <v>1.1521208463750112</v>
      </c>
      <c r="M19" s="131">
        <f t="shared" si="6"/>
        <v>0.79808761896353797</v>
      </c>
      <c r="N19" s="131">
        <f t="shared" si="6"/>
        <v>0.47639784998000051</v>
      </c>
      <c r="O19" s="131">
        <f t="shared" si="6"/>
        <v>0.38130947380350244</v>
      </c>
      <c r="P19" s="131">
        <f t="shared" si="6"/>
        <v>0.21684107170645245</v>
      </c>
      <c r="Q19" s="131">
        <f t="shared" si="6"/>
        <v>0.2766171048113294</v>
      </c>
      <c r="R19" s="131">
        <f t="shared" ref="R19:W19" si="7">SUM(R20:R27)</f>
        <v>0.35915030475306103</v>
      </c>
      <c r="S19" s="131">
        <f t="shared" si="7"/>
        <v>0.20191942662086387</v>
      </c>
      <c r="T19" s="131">
        <f t="shared" si="7"/>
        <v>0.1581796244021719</v>
      </c>
      <c r="U19" s="131">
        <f t="shared" si="7"/>
        <v>0.35767695668807076</v>
      </c>
      <c r="V19" s="131">
        <f t="shared" si="7"/>
        <v>0.44736441709296443</v>
      </c>
      <c r="W19" s="131">
        <f t="shared" si="7"/>
        <v>0.61915954998910361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1.0771429670447348</v>
      </c>
      <c r="D22" s="133">
        <v>1.1774690134147408</v>
      </c>
      <c r="E22" s="133">
        <v>0.95293964679455578</v>
      </c>
      <c r="F22" s="133">
        <v>1.2934799627885469</v>
      </c>
      <c r="G22" s="133">
        <v>1.0590136825865866</v>
      </c>
      <c r="H22" s="133">
        <v>1.4056711552798322</v>
      </c>
      <c r="I22" s="133">
        <v>1.3227647059731908</v>
      </c>
      <c r="J22" s="133">
        <v>1.0799244373778032</v>
      </c>
      <c r="K22" s="133">
        <v>0.8274360632165445</v>
      </c>
      <c r="L22" s="133">
        <v>1.1033838573604695</v>
      </c>
      <c r="M22" s="133">
        <v>0.75116940024023615</v>
      </c>
      <c r="N22" s="133">
        <v>0.44632282968125447</v>
      </c>
      <c r="O22" s="133">
        <v>0.35231523557228678</v>
      </c>
      <c r="P22" s="133">
        <v>0.19709056710957945</v>
      </c>
      <c r="Q22" s="133">
        <v>0.24332809734150437</v>
      </c>
      <c r="R22" s="133">
        <v>0.30553400315595131</v>
      </c>
      <c r="S22" s="133">
        <v>0.14679660628628621</v>
      </c>
      <c r="T22" s="133">
        <v>0.11046470720306763</v>
      </c>
      <c r="U22" s="133">
        <v>0.31314742819105851</v>
      </c>
      <c r="V22" s="133">
        <v>0.40631524427246524</v>
      </c>
      <c r="W22" s="133">
        <v>0.57156298131442085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9.1635899381904973E-2</v>
      </c>
      <c r="D23" s="133">
        <v>9.37988621783305E-2</v>
      </c>
      <c r="E23" s="133">
        <v>8.0302494484114126E-2</v>
      </c>
      <c r="F23" s="133">
        <v>0.11155265750746858</v>
      </c>
      <c r="G23" s="133">
        <v>8.8498358531688637E-2</v>
      </c>
      <c r="H23" s="133">
        <v>8.5946550521816822E-2</v>
      </c>
      <c r="I23" s="133">
        <v>8.1021869655183903E-2</v>
      </c>
      <c r="J23" s="133">
        <v>5.6252209823028677E-2</v>
      </c>
      <c r="K23" s="133">
        <v>3.625184493131859E-2</v>
      </c>
      <c r="L23" s="133">
        <v>3.9562345314416138E-2</v>
      </c>
      <c r="M23" s="133">
        <v>3.7991989705194108E-2</v>
      </c>
      <c r="N23" s="133">
        <v>2.576820056961987E-2</v>
      </c>
      <c r="O23" s="133">
        <v>2.7799829409698738E-2</v>
      </c>
      <c r="P23" s="133">
        <v>1.5211358390286775E-2</v>
      </c>
      <c r="Q23" s="133">
        <v>2.7092751422634766E-2</v>
      </c>
      <c r="R23" s="133">
        <v>4.1115995840912266E-2</v>
      </c>
      <c r="S23" s="133">
        <v>4.5095559759398961E-2</v>
      </c>
      <c r="T23" s="133">
        <v>3.7580267570804411E-2</v>
      </c>
      <c r="U23" s="133">
        <v>3.8067195951137313E-2</v>
      </c>
      <c r="V23" s="133">
        <v>3.3722535702826767E-2</v>
      </c>
      <c r="W23" s="133">
        <v>3.7641093538276132E-2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3.6006464972438625E-2</v>
      </c>
      <c r="K24" s="133">
        <v>6.7715179245620488E-3</v>
      </c>
      <c r="L24" s="133">
        <v>9.1746437001255995E-3</v>
      </c>
      <c r="M24" s="133">
        <v>8.9262290181077331E-3</v>
      </c>
      <c r="N24" s="133">
        <v>4.3068197291261552E-3</v>
      </c>
      <c r="O24" s="133">
        <v>1.1944088215169245E-3</v>
      </c>
      <c r="P24" s="133">
        <v>4.5391462065862082E-3</v>
      </c>
      <c r="Q24" s="133">
        <v>6.1962560471902775E-3</v>
      </c>
      <c r="R24" s="133">
        <v>1.2500305756197495E-2</v>
      </c>
      <c r="S24" s="133">
        <v>1.0027260575178703E-2</v>
      </c>
      <c r="T24" s="133">
        <v>1.0134649628299847E-2</v>
      </c>
      <c r="U24" s="133">
        <v>6.462332545874902E-3</v>
      </c>
      <c r="V24" s="133">
        <v>7.3266371176724234E-3</v>
      </c>
      <c r="W24" s="133">
        <v>9.9554751364065459E-3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0.15100565912748787</v>
      </c>
      <c r="D29" s="131">
        <f t="shared" si="8"/>
        <v>0.15258977134927681</v>
      </c>
      <c r="E29" s="131">
        <f t="shared" si="8"/>
        <v>0.12524626455525265</v>
      </c>
      <c r="F29" s="131">
        <f t="shared" si="8"/>
        <v>0.16834589296633468</v>
      </c>
      <c r="G29" s="131">
        <f t="shared" si="8"/>
        <v>0.14338470422165212</v>
      </c>
      <c r="H29" s="131">
        <f t="shared" si="8"/>
        <v>0.16871411585965101</v>
      </c>
      <c r="I29" s="131">
        <f t="shared" si="8"/>
        <v>0.15094539848748337</v>
      </c>
      <c r="J29" s="131">
        <f t="shared" si="8"/>
        <v>0.10073463821901552</v>
      </c>
      <c r="K29" s="131">
        <f t="shared" si="8"/>
        <v>5.5844648815921279E-2</v>
      </c>
      <c r="L29" s="131">
        <f t="shared" si="8"/>
        <v>5.443678179253781E-2</v>
      </c>
      <c r="M29" s="131">
        <f t="shared" si="8"/>
        <v>2.2945101105070392E-2</v>
      </c>
      <c r="N29" s="131">
        <f t="shared" si="8"/>
        <v>3.6480418340852479E-2</v>
      </c>
      <c r="O29" s="131">
        <f t="shared" si="8"/>
        <v>4.999003275509218E-2</v>
      </c>
      <c r="P29" s="131">
        <f t="shared" si="8"/>
        <v>4.2099370132734557E-2</v>
      </c>
      <c r="Q29" s="131">
        <f t="shared" si="8"/>
        <v>4.7373852148186221E-2</v>
      </c>
      <c r="R29" s="131">
        <f t="shared" ref="R29:W29" si="9">SUM(R30:R33)</f>
        <v>6.186026410869773E-2</v>
      </c>
      <c r="S29" s="131">
        <f t="shared" si="9"/>
        <v>7.9072294667508897E-2</v>
      </c>
      <c r="T29" s="131">
        <f t="shared" si="9"/>
        <v>3.6630483152085266E-2</v>
      </c>
      <c r="U29" s="131">
        <f t="shared" si="9"/>
        <v>5.15978558649174E-2</v>
      </c>
      <c r="V29" s="131">
        <f t="shared" si="9"/>
        <v>5.9009861040269479E-2</v>
      </c>
      <c r="W29" s="131">
        <f t="shared" si="9"/>
        <v>4.5390047931695779E-2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0.15100565912748787</v>
      </c>
      <c r="D31" s="133">
        <v>0.15258977134927681</v>
      </c>
      <c r="E31" s="133">
        <v>0.12524626455525265</v>
      </c>
      <c r="F31" s="133">
        <v>0.16834589296633468</v>
      </c>
      <c r="G31" s="133">
        <v>0.14338470422165212</v>
      </c>
      <c r="H31" s="133">
        <v>0.16871411585965101</v>
      </c>
      <c r="I31" s="133">
        <v>0.15094539848748337</v>
      </c>
      <c r="J31" s="133">
        <v>0.10073463821901552</v>
      </c>
      <c r="K31" s="133">
        <v>5.5844648815921279E-2</v>
      </c>
      <c r="L31" s="133">
        <v>5.443678179253781E-2</v>
      </c>
      <c r="M31" s="133">
        <v>2.2945101105070392E-2</v>
      </c>
      <c r="N31" s="133">
        <v>3.6480418340852479E-2</v>
      </c>
      <c r="O31" s="133">
        <v>4.999003275509218E-2</v>
      </c>
      <c r="P31" s="133">
        <v>4.2099370132734557E-2</v>
      </c>
      <c r="Q31" s="133">
        <v>4.7373852148186221E-2</v>
      </c>
      <c r="R31" s="133">
        <v>6.186026410869773E-2</v>
      </c>
      <c r="S31" s="133">
        <v>7.9072294667508897E-2</v>
      </c>
      <c r="T31" s="133">
        <v>3.6630483152085266E-2</v>
      </c>
      <c r="U31" s="133">
        <v>5.15978558649174E-2</v>
      </c>
      <c r="V31" s="133">
        <v>5.9009861040269479E-2</v>
      </c>
      <c r="W31" s="133">
        <v>4.5390047931695779E-2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215271.17971808446</v>
      </c>
      <c r="D3" s="126">
        <f>IF(SER_hh_fec_in!D3=0,0,11630*1000*SER_hh_fec_in!D3/SER_hh_num_in!D3)</f>
        <v>217374.64312819837</v>
      </c>
      <c r="E3" s="126">
        <f>IF(SER_hh_fec_in!E3=0,0,11630*1000*SER_hh_fec_in!E3/SER_hh_num_in!E3)</f>
        <v>214032.15650640146</v>
      </c>
      <c r="F3" s="126">
        <f>IF(SER_hh_fec_in!F3=0,0,11630*1000*SER_hh_fec_in!F3/SER_hh_num_in!F3)</f>
        <v>207284.77535140407</v>
      </c>
      <c r="G3" s="126">
        <f>IF(SER_hh_fec_in!G3=0,0,11630*1000*SER_hh_fec_in!G3/SER_hh_num_in!G3)</f>
        <v>197537.61150535787</v>
      </c>
      <c r="H3" s="126">
        <f>IF(SER_hh_fec_in!H3=0,0,11630*1000*SER_hh_fec_in!H3/SER_hh_num_in!H3)</f>
        <v>192006.76894984336</v>
      </c>
      <c r="I3" s="126">
        <f>IF(SER_hh_fec_in!I3=0,0,11630*1000*SER_hh_fec_in!I3/SER_hh_num_in!I3)</f>
        <v>194225.39010691093</v>
      </c>
      <c r="J3" s="126">
        <f>IF(SER_hh_fec_in!J3=0,0,11630*1000*SER_hh_fec_in!J3/SER_hh_num_in!J3)</f>
        <v>189032.1225191445</v>
      </c>
      <c r="K3" s="126">
        <f>IF(SER_hh_fec_in!K3=0,0,11630*1000*SER_hh_fec_in!K3/SER_hh_num_in!K3)</f>
        <v>206081.2468384495</v>
      </c>
      <c r="L3" s="126">
        <f>IF(SER_hh_fec_in!L3=0,0,11630*1000*SER_hh_fec_in!L3/SER_hh_num_in!L3)</f>
        <v>218620.51932247001</v>
      </c>
      <c r="M3" s="126">
        <f>IF(SER_hh_fec_in!M3=0,0,11630*1000*SER_hh_fec_in!M3/SER_hh_num_in!M3)</f>
        <v>185330.29864212216</v>
      </c>
      <c r="N3" s="126">
        <f>IF(SER_hh_fec_in!N3=0,0,11630*1000*SER_hh_fec_in!N3/SER_hh_num_in!N3)</f>
        <v>190816.04889013068</v>
      </c>
      <c r="O3" s="126">
        <f>IF(SER_hh_fec_in!O3=0,0,11630*1000*SER_hh_fec_in!O3/SER_hh_num_in!O3)</f>
        <v>169442.54715118185</v>
      </c>
      <c r="P3" s="126">
        <f>IF(SER_hh_fec_in!P3=0,0,11630*1000*SER_hh_fec_in!P3/SER_hh_num_in!P3)</f>
        <v>160235.04180472461</v>
      </c>
      <c r="Q3" s="126">
        <f>IF(SER_hh_fec_in!Q3=0,0,11630*1000*SER_hh_fec_in!Q3/SER_hh_num_in!Q3)</f>
        <v>142629.25378294426</v>
      </c>
      <c r="R3" s="126">
        <f>IF(SER_hh_fec_in!R3=0,0,11630*1000*SER_hh_fec_in!R3/SER_hh_num_in!R3)</f>
        <v>148132.55466181831</v>
      </c>
      <c r="S3" s="126">
        <f>IF(SER_hh_fec_in!S3=0,0,11630*1000*SER_hh_fec_in!S3/SER_hh_num_in!S3)</f>
        <v>138312.00820918905</v>
      </c>
      <c r="T3" s="126">
        <f>IF(SER_hh_fec_in!T3=0,0,11630*1000*SER_hh_fec_in!T3/SER_hh_num_in!T3)</f>
        <v>133112.19681735293</v>
      </c>
      <c r="U3" s="126">
        <f>IF(SER_hh_fec_in!U3=0,0,11630*1000*SER_hh_fec_in!U3/SER_hh_num_in!U3)</f>
        <v>120085.0081039255</v>
      </c>
      <c r="V3" s="126">
        <f>IF(SER_hh_fec_in!V3=0,0,11630*1000*SER_hh_fec_in!V3/SER_hh_num_in!V3)</f>
        <v>100972.64686349619</v>
      </c>
      <c r="W3" s="126">
        <f>IF(SER_hh_fec_in!W3=0,0,11630*1000*SER_hh_fec_in!W3/SER_hh_num_in!W3)</f>
        <v>100245.88767607771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165394.5048649575</v>
      </c>
      <c r="D4" s="131">
        <f>IF(SER_hh_fec_in!D4=0,0,11630*1000*SER_hh_fec_in!D4/SER_hh_num_in!D4)</f>
        <v>168449.50724654028</v>
      </c>
      <c r="E4" s="131">
        <f>IF(SER_hh_fec_in!E4=0,0,11630*1000*SER_hh_fec_in!E4/SER_hh_num_in!E4)</f>
        <v>165520.65165800636</v>
      </c>
      <c r="F4" s="131">
        <f>IF(SER_hh_fec_in!F4=0,0,11630*1000*SER_hh_fec_in!F4/SER_hh_num_in!F4)</f>
        <v>160063.10982544109</v>
      </c>
      <c r="G4" s="131">
        <f>IF(SER_hh_fec_in!G4=0,0,11630*1000*SER_hh_fec_in!G4/SER_hh_num_in!G4)</f>
        <v>150988.11966103312</v>
      </c>
      <c r="H4" s="131">
        <f>IF(SER_hh_fec_in!H4=0,0,11630*1000*SER_hh_fec_in!H4/SER_hh_num_in!H4)</f>
        <v>146062.74300321509</v>
      </c>
      <c r="I4" s="131">
        <f>IF(SER_hh_fec_in!I4=0,0,11630*1000*SER_hh_fec_in!I4/SER_hh_num_in!I4)</f>
        <v>149142.23661268334</v>
      </c>
      <c r="J4" s="131">
        <f>IF(SER_hh_fec_in!J4=0,0,11630*1000*SER_hh_fec_in!J4/SER_hh_num_in!J4)</f>
        <v>144275.0498238123</v>
      </c>
      <c r="K4" s="131">
        <f>IF(SER_hh_fec_in!K4=0,0,11630*1000*SER_hh_fec_in!K4/SER_hh_num_in!K4)</f>
        <v>161592.56919524388</v>
      </c>
      <c r="L4" s="131">
        <f>IF(SER_hh_fec_in!L4=0,0,11630*1000*SER_hh_fec_in!L4/SER_hh_num_in!L4)</f>
        <v>174060.31026698422</v>
      </c>
      <c r="M4" s="131">
        <f>IF(SER_hh_fec_in!M4=0,0,11630*1000*SER_hh_fec_in!M4/SER_hh_num_in!M4)</f>
        <v>141781.56125540184</v>
      </c>
      <c r="N4" s="131">
        <f>IF(SER_hh_fec_in!N4=0,0,11630*1000*SER_hh_fec_in!N4/SER_hh_num_in!N4)</f>
        <v>148112.78569937363</v>
      </c>
      <c r="O4" s="131">
        <f>IF(SER_hh_fec_in!O4=0,0,11630*1000*SER_hh_fec_in!O4/SER_hh_num_in!O4)</f>
        <v>127935.83634436521</v>
      </c>
      <c r="P4" s="131">
        <f>IF(SER_hh_fec_in!P4=0,0,11630*1000*SER_hh_fec_in!P4/SER_hh_num_in!P4)</f>
        <v>119515.60676823926</v>
      </c>
      <c r="Q4" s="131">
        <f>IF(SER_hh_fec_in!Q4=0,0,11630*1000*SER_hh_fec_in!Q4/SER_hh_num_in!Q4)</f>
        <v>102734.14873495982</v>
      </c>
      <c r="R4" s="131">
        <f>IF(SER_hh_fec_in!R4=0,0,11630*1000*SER_hh_fec_in!R4/SER_hh_num_in!R4)</f>
        <v>108590.46155527343</v>
      </c>
      <c r="S4" s="131">
        <f>IF(SER_hh_fec_in!S4=0,0,11630*1000*SER_hh_fec_in!S4/SER_hh_num_in!S4)</f>
        <v>99800.096138969049</v>
      </c>
      <c r="T4" s="131">
        <f>IF(SER_hh_fec_in!T4=0,0,11630*1000*SER_hh_fec_in!T4/SER_hh_num_in!T4)</f>
        <v>95370.791519585851</v>
      </c>
      <c r="U4" s="131">
        <f>IF(SER_hh_fec_in!U4=0,0,11630*1000*SER_hh_fec_in!U4/SER_hh_num_in!U4)</f>
        <v>82710.194782166407</v>
      </c>
      <c r="V4" s="131">
        <f>IF(SER_hh_fec_in!V4=0,0,11630*1000*SER_hh_fec_in!V4/SER_hh_num_in!V4)</f>
        <v>67186.615975365203</v>
      </c>
      <c r="W4" s="131">
        <f>IF(SER_hh_fec_in!W4=0,0,11630*1000*SER_hh_fec_in!W4/SER_hh_num_in!W4)</f>
        <v>63918.6531222384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199657.41777058953</v>
      </c>
      <c r="D5" s="133">
        <f>IF(SER_hh_fec_in!D5=0,0,11630*1000*SER_hh_fec_in!D5/SER_hh_num_in!D5)</f>
        <v>199429.12585313691</v>
      </c>
      <c r="E5" s="133">
        <f>IF(SER_hh_fec_in!E5=0,0,11630*1000*SER_hh_fec_in!E5/SER_hh_num_in!E5)</f>
        <v>198927.5502303731</v>
      </c>
      <c r="F5" s="133">
        <f>IF(SER_hh_fec_in!F5=0,0,11630*1000*SER_hh_fec_in!F5/SER_hh_num_in!F5)</f>
        <v>186616.49982611401</v>
      </c>
      <c r="G5" s="133">
        <f>IF(SER_hh_fec_in!G5=0,0,11630*1000*SER_hh_fec_in!G5/SER_hh_num_in!G5)</f>
        <v>179740.74836636573</v>
      </c>
      <c r="H5" s="133">
        <f>IF(SER_hh_fec_in!H5=0,0,11630*1000*SER_hh_fec_in!H5/SER_hh_num_in!H5)</f>
        <v>185309.33491193003</v>
      </c>
      <c r="I5" s="133">
        <f>IF(SER_hh_fec_in!I5=0,0,11630*1000*SER_hh_fec_in!I5/SER_hh_num_in!I5)</f>
        <v>152691.7403893614</v>
      </c>
      <c r="J5" s="133">
        <f>IF(SER_hh_fec_in!J5=0,0,11630*1000*SER_hh_fec_in!J5/SER_hh_num_in!J5)</f>
        <v>179691.00370771613</v>
      </c>
      <c r="K5" s="133">
        <f>IF(SER_hh_fec_in!K5=0,0,11630*1000*SER_hh_fec_in!K5/SER_hh_num_in!K5)</f>
        <v>191619.24467347772</v>
      </c>
      <c r="L5" s="133">
        <f>IF(SER_hh_fec_in!L5=0,0,11630*1000*SER_hh_fec_in!L5/SER_hh_num_in!L5)</f>
        <v>201777.71786338525</v>
      </c>
      <c r="M5" s="133">
        <f>IF(SER_hh_fec_in!M5=0,0,11630*1000*SER_hh_fec_in!M5/SER_hh_num_in!M5)</f>
        <v>157848.21039506033</v>
      </c>
      <c r="N5" s="133">
        <f>IF(SER_hh_fec_in!N5=0,0,11630*1000*SER_hh_fec_in!N5/SER_hh_num_in!N5)</f>
        <v>175625.81820448861</v>
      </c>
      <c r="O5" s="133">
        <f>IF(SER_hh_fec_in!O5=0,0,11630*1000*SER_hh_fec_in!O5/SER_hh_num_in!O5)</f>
        <v>154529.39352434184</v>
      </c>
      <c r="P5" s="133">
        <f>IF(SER_hh_fec_in!P5=0,0,11630*1000*SER_hh_fec_in!P5/SER_hh_num_in!P5)</f>
        <v>151734.68951002872</v>
      </c>
      <c r="Q5" s="133">
        <f>IF(SER_hh_fec_in!Q5=0,0,11630*1000*SER_hh_fec_in!Q5/SER_hh_num_in!Q5)</f>
        <v>129807.98741281415</v>
      </c>
      <c r="R5" s="133">
        <f>IF(SER_hh_fec_in!R5=0,0,11630*1000*SER_hh_fec_in!R5/SER_hh_num_in!R5)</f>
        <v>132965.70035971116</v>
      </c>
      <c r="S5" s="133">
        <f>IF(SER_hh_fec_in!S5=0,0,11630*1000*SER_hh_fec_in!S5/SER_hh_num_in!S5)</f>
        <v>121661.46274829139</v>
      </c>
      <c r="T5" s="133">
        <f>IF(SER_hh_fec_in!T5=0,0,11630*1000*SER_hh_fec_in!T5/SER_hh_num_in!T5)</f>
        <v>113589.20573234138</v>
      </c>
      <c r="U5" s="133">
        <f>IF(SER_hh_fec_in!U5=0,0,11630*1000*SER_hh_fec_in!U5/SER_hh_num_in!U5)</f>
        <v>106384.42597149473</v>
      </c>
      <c r="V5" s="133">
        <f>IF(SER_hh_fec_in!V5=0,0,11630*1000*SER_hh_fec_in!V5/SER_hh_num_in!V5)</f>
        <v>86390.982927315432</v>
      </c>
      <c r="W5" s="133">
        <f>IF(SER_hh_fec_in!W5=0,0,11630*1000*SER_hh_fec_in!W5/SER_hh_num_in!W5)</f>
        <v>76694.645707472664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230912.81451418274</v>
      </c>
      <c r="D7" s="133">
        <f>IF(SER_hh_fec_in!D7=0,0,11630*1000*SER_hh_fec_in!D7/SER_hh_num_in!D7)</f>
        <v>228621.12135961693</v>
      </c>
      <c r="E7" s="133">
        <f>IF(SER_hh_fec_in!E7=0,0,11630*1000*SER_hh_fec_in!E7/SER_hh_num_in!E7)</f>
        <v>224886.98560513221</v>
      </c>
      <c r="F7" s="133">
        <f>IF(SER_hh_fec_in!F7=0,0,11630*1000*SER_hh_fec_in!F7/SER_hh_num_in!F7)</f>
        <v>216037.76076542563</v>
      </c>
      <c r="G7" s="133">
        <f>IF(SER_hh_fec_in!G7=0,0,11630*1000*SER_hh_fec_in!G7/SER_hh_num_in!G7)</f>
        <v>204834.09800333492</v>
      </c>
      <c r="H7" s="133">
        <f>IF(SER_hh_fec_in!H7=0,0,11630*1000*SER_hh_fec_in!H7/SER_hh_num_in!H7)</f>
        <v>207405.36479255569</v>
      </c>
      <c r="I7" s="133">
        <f>IF(SER_hh_fec_in!I7=0,0,11630*1000*SER_hh_fec_in!I7/SER_hh_num_in!I7)</f>
        <v>208241.36606137015</v>
      </c>
      <c r="J7" s="133">
        <f>IF(SER_hh_fec_in!J7=0,0,11630*1000*SER_hh_fec_in!J7/SER_hh_num_in!J7)</f>
        <v>177119.59785735261</v>
      </c>
      <c r="K7" s="133">
        <f>IF(SER_hh_fec_in!K7=0,0,11630*1000*SER_hh_fec_in!K7/SER_hh_num_in!K7)</f>
        <v>197609.1905748655</v>
      </c>
      <c r="L7" s="133">
        <f>IF(SER_hh_fec_in!L7=0,0,11630*1000*SER_hh_fec_in!L7/SER_hh_num_in!L7)</f>
        <v>224875.59027400854</v>
      </c>
      <c r="M7" s="133">
        <f>IF(SER_hh_fec_in!M7=0,0,11630*1000*SER_hh_fec_in!M7/SER_hh_num_in!M7)</f>
        <v>178123.95193216321</v>
      </c>
      <c r="N7" s="133">
        <f>IF(SER_hh_fec_in!N7=0,0,11630*1000*SER_hh_fec_in!N7/SER_hh_num_in!N7)</f>
        <v>185761.18191249785</v>
      </c>
      <c r="O7" s="133">
        <f>IF(SER_hh_fec_in!O7=0,0,11630*1000*SER_hh_fec_in!O7/SER_hh_num_in!O7)</f>
        <v>157613.43533915162</v>
      </c>
      <c r="P7" s="133">
        <f>IF(SER_hh_fec_in!P7=0,0,11630*1000*SER_hh_fec_in!P7/SER_hh_num_in!P7)</f>
        <v>145226.8750209616</v>
      </c>
      <c r="Q7" s="133">
        <f>IF(SER_hh_fec_in!Q7=0,0,11630*1000*SER_hh_fec_in!Q7/SER_hh_num_in!Q7)</f>
        <v>121806.4499872569</v>
      </c>
      <c r="R7" s="133">
        <f>IF(SER_hh_fec_in!R7=0,0,11630*1000*SER_hh_fec_in!R7/SER_hh_num_in!R7)</f>
        <v>125143.00893269047</v>
      </c>
      <c r="S7" s="133">
        <f>IF(SER_hh_fec_in!S7=0,0,11630*1000*SER_hh_fec_in!S7/SER_hh_num_in!S7)</f>
        <v>115541.31616108005</v>
      </c>
      <c r="T7" s="133">
        <f>IF(SER_hh_fec_in!T7=0,0,11630*1000*SER_hh_fec_in!T7/SER_hh_num_in!T7)</f>
        <v>107215.28000290523</v>
      </c>
      <c r="U7" s="133">
        <f>IF(SER_hh_fec_in!U7=0,0,11630*1000*SER_hh_fec_in!U7/SER_hh_num_in!U7)</f>
        <v>96848.873628497153</v>
      </c>
      <c r="V7" s="133">
        <f>IF(SER_hh_fec_in!V7=0,0,11630*1000*SER_hh_fec_in!V7/SER_hh_num_in!V7)</f>
        <v>78815.416541782586</v>
      </c>
      <c r="W7" s="133">
        <f>IF(SER_hh_fec_in!W7=0,0,11630*1000*SER_hh_fec_in!W7/SER_hh_num_in!W7)</f>
        <v>74836.583387005405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190074.14684438598</v>
      </c>
      <c r="D9" s="133">
        <f>IF(SER_hh_fec_in!D9=0,0,11630*1000*SER_hh_fec_in!D9/SER_hh_num_in!D9)</f>
        <v>205818.95621371907</v>
      </c>
      <c r="E9" s="133">
        <f>IF(SER_hh_fec_in!E9=0,0,11630*1000*SER_hh_fec_in!E9/SER_hh_num_in!E9)</f>
        <v>195124.75567835217</v>
      </c>
      <c r="F9" s="133">
        <f>IF(SER_hh_fec_in!F9=0,0,11630*1000*SER_hh_fec_in!F9/SER_hh_num_in!F9)</f>
        <v>198048.4182903771</v>
      </c>
      <c r="G9" s="133">
        <f>IF(SER_hh_fec_in!G9=0,0,11630*1000*SER_hh_fec_in!G9/SER_hh_num_in!G9)</f>
        <v>188011.88380872965</v>
      </c>
      <c r="H9" s="133">
        <f>IF(SER_hh_fec_in!H9=0,0,11630*1000*SER_hh_fec_in!H9/SER_hh_num_in!H9)</f>
        <v>177454.06436919695</v>
      </c>
      <c r="I9" s="133">
        <f>IF(SER_hh_fec_in!I9=0,0,11630*1000*SER_hh_fec_in!I9/SER_hh_num_in!I9)</f>
        <v>176651.76484957474</v>
      </c>
      <c r="J9" s="133">
        <f>IF(SER_hh_fec_in!J9=0,0,11630*1000*SER_hh_fec_in!J9/SER_hh_num_in!J9)</f>
        <v>174348.56560076427</v>
      </c>
      <c r="K9" s="133">
        <f>IF(SER_hh_fec_in!K9=0,0,11630*1000*SER_hh_fec_in!K9/SER_hh_num_in!K9)</f>
        <v>167982.07928174027</v>
      </c>
      <c r="L9" s="133">
        <f>IF(SER_hh_fec_in!L9=0,0,11630*1000*SER_hh_fec_in!L9/SER_hh_num_in!L9)</f>
        <v>174804.21596623622</v>
      </c>
      <c r="M9" s="133">
        <f>IF(SER_hh_fec_in!M9=0,0,11630*1000*SER_hh_fec_in!M9/SER_hh_num_in!M9)</f>
        <v>217660.09054092431</v>
      </c>
      <c r="N9" s="133">
        <f>IF(SER_hh_fec_in!N9=0,0,11630*1000*SER_hh_fec_in!N9/SER_hh_num_in!N9)</f>
        <v>225363.28036658315</v>
      </c>
      <c r="O9" s="133">
        <f>IF(SER_hh_fec_in!O9=0,0,11630*1000*SER_hh_fec_in!O9/SER_hh_num_in!O9)</f>
        <v>176035.00534292741</v>
      </c>
      <c r="P9" s="133">
        <f>IF(SER_hh_fec_in!P9=0,0,11630*1000*SER_hh_fec_in!P9/SER_hh_num_in!P9)</f>
        <v>142753.99857135283</v>
      </c>
      <c r="Q9" s="133">
        <f>IF(SER_hh_fec_in!Q9=0,0,11630*1000*SER_hh_fec_in!Q9/SER_hh_num_in!Q9)</f>
        <v>117366.33046308506</v>
      </c>
      <c r="R9" s="133">
        <f>IF(SER_hh_fec_in!R9=0,0,11630*1000*SER_hh_fec_in!R9/SER_hh_num_in!R9)</f>
        <v>108387.96353042495</v>
      </c>
      <c r="S9" s="133">
        <f>IF(SER_hh_fec_in!S9=0,0,11630*1000*SER_hh_fec_in!S9/SER_hh_num_in!S9)</f>
        <v>122874.71896334812</v>
      </c>
      <c r="T9" s="133">
        <f>IF(SER_hh_fec_in!T9=0,0,11630*1000*SER_hh_fec_in!T9/SER_hh_num_in!T9)</f>
        <v>106282.66568696436</v>
      </c>
      <c r="U9" s="133">
        <f>IF(SER_hh_fec_in!U9=0,0,11630*1000*SER_hh_fec_in!U9/SER_hh_num_in!U9)</f>
        <v>94165.449400864105</v>
      </c>
      <c r="V9" s="133">
        <f>IF(SER_hh_fec_in!V9=0,0,11630*1000*SER_hh_fec_in!V9/SER_hh_num_in!V9)</f>
        <v>76452.001140731649</v>
      </c>
      <c r="W9" s="133">
        <f>IF(SER_hh_fec_in!W9=0,0,11630*1000*SER_hh_fec_in!W9/SER_hh_num_in!W9)</f>
        <v>75335.615312747512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222974.50745337599</v>
      </c>
      <c r="D10" s="133">
        <f>IF(SER_hh_fec_in!D10=0,0,11630*1000*SER_hh_fec_in!D10/SER_hh_num_in!D10)</f>
        <v>224833.18407989095</v>
      </c>
      <c r="E10" s="133">
        <f>IF(SER_hh_fec_in!E10=0,0,11630*1000*SER_hh_fec_in!E10/SER_hh_num_in!E10)</f>
        <v>221775.24207621248</v>
      </c>
      <c r="F10" s="133">
        <f>IF(SER_hh_fec_in!F10=0,0,11630*1000*SER_hh_fec_in!F10/SER_hh_num_in!F10)</f>
        <v>213128.11881899973</v>
      </c>
      <c r="G10" s="133">
        <f>IF(SER_hh_fec_in!G10=0,0,11630*1000*SER_hh_fec_in!G10/SER_hh_num_in!G10)</f>
        <v>206797.7601188331</v>
      </c>
      <c r="H10" s="133">
        <f>IF(SER_hh_fec_in!H10=0,0,11630*1000*SER_hh_fec_in!H10/SER_hh_num_in!H10)</f>
        <v>207628.59678664344</v>
      </c>
      <c r="I10" s="133">
        <f>IF(SER_hh_fec_in!I10=0,0,11630*1000*SER_hh_fec_in!I10/SER_hh_num_in!I10)</f>
        <v>202911.58740462933</v>
      </c>
      <c r="J10" s="133">
        <f>IF(SER_hh_fec_in!J10=0,0,11630*1000*SER_hh_fec_in!J10/SER_hh_num_in!J10)</f>
        <v>210946.60270091004</v>
      </c>
      <c r="K10" s="133">
        <f>IF(SER_hh_fec_in!K10=0,0,11630*1000*SER_hh_fec_in!K10/SER_hh_num_in!K10)</f>
        <v>221064.42100722494</v>
      </c>
      <c r="L10" s="133">
        <f>IF(SER_hh_fec_in!L10=0,0,11630*1000*SER_hh_fec_in!L10/SER_hh_num_in!L10)</f>
        <v>237166.70570946476</v>
      </c>
      <c r="M10" s="133">
        <f>IF(SER_hh_fec_in!M10=0,0,11630*1000*SER_hh_fec_in!M10/SER_hh_num_in!M10)</f>
        <v>196973.62151038685</v>
      </c>
      <c r="N10" s="133">
        <f>IF(SER_hh_fec_in!N10=0,0,11630*1000*SER_hh_fec_in!N10/SER_hh_num_in!N10)</f>
        <v>211307.0316633473</v>
      </c>
      <c r="O10" s="133">
        <f>IF(SER_hh_fec_in!O10=0,0,11630*1000*SER_hh_fec_in!O10/SER_hh_num_in!O10)</f>
        <v>188164.79690872785</v>
      </c>
      <c r="P10" s="133">
        <f>IF(SER_hh_fec_in!P10=0,0,11630*1000*SER_hh_fec_in!P10/SER_hh_num_in!P10)</f>
        <v>185971.90038555488</v>
      </c>
      <c r="Q10" s="133">
        <f>IF(SER_hh_fec_in!Q10=0,0,11630*1000*SER_hh_fec_in!Q10/SER_hh_num_in!Q10)</f>
        <v>160638.7956549362</v>
      </c>
      <c r="R10" s="133">
        <f>IF(SER_hh_fec_in!R10=0,0,11630*1000*SER_hh_fec_in!R10/SER_hh_num_in!R10)</f>
        <v>167865.81755396075</v>
      </c>
      <c r="S10" s="133">
        <f>IF(SER_hh_fec_in!S10=0,0,11630*1000*SER_hh_fec_in!S10/SER_hh_num_in!S10)</f>
        <v>157083.88234454286</v>
      </c>
      <c r="T10" s="133">
        <f>IF(SER_hh_fec_in!T10=0,0,11630*1000*SER_hh_fec_in!T10/SER_hh_num_in!T10)</f>
        <v>149293.34545384289</v>
      </c>
      <c r="U10" s="133">
        <f>IF(SER_hh_fec_in!U10=0,0,11630*1000*SER_hh_fec_in!U10/SER_hh_num_in!U10)</f>
        <v>133385.27102742213</v>
      </c>
      <c r="V10" s="133">
        <f>IF(SER_hh_fec_in!V10=0,0,11630*1000*SER_hh_fec_in!V10/SER_hh_num_in!V10)</f>
        <v>109127.93821410576</v>
      </c>
      <c r="W10" s="133">
        <f>IF(SER_hh_fec_in!W10=0,0,11630*1000*SER_hh_fec_in!W10/SER_hh_num_in!W10)</f>
        <v>104692.45510221102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153468.83391567681</v>
      </c>
      <c r="D12" s="133">
        <f>IF(SER_hh_fec_in!D12=0,0,11630*1000*SER_hh_fec_in!D12/SER_hh_num_in!D12)</f>
        <v>154513.61633310124</v>
      </c>
      <c r="E12" s="133">
        <f>IF(SER_hh_fec_in!E12=0,0,11630*1000*SER_hh_fec_in!E12/SER_hh_num_in!E12)</f>
        <v>153592.29764352014</v>
      </c>
      <c r="F12" s="133">
        <f>IF(SER_hh_fec_in!F12=0,0,11630*1000*SER_hh_fec_in!F12/SER_hh_num_in!F12)</f>
        <v>145365.11452953907</v>
      </c>
      <c r="G12" s="133">
        <f>IF(SER_hh_fec_in!G12=0,0,11630*1000*SER_hh_fec_in!G12/SER_hh_num_in!G12)</f>
        <v>137955.16063908994</v>
      </c>
      <c r="H12" s="133">
        <f>IF(SER_hh_fec_in!H12=0,0,11630*1000*SER_hh_fec_in!H12/SER_hh_num_in!H12)</f>
        <v>135609.79704563101</v>
      </c>
      <c r="I12" s="133">
        <f>IF(SER_hh_fec_in!I12=0,0,11630*1000*SER_hh_fec_in!I12/SER_hh_num_in!I12)</f>
        <v>145797.98557985999</v>
      </c>
      <c r="J12" s="133">
        <f>IF(SER_hh_fec_in!J12=0,0,11630*1000*SER_hh_fec_in!J12/SER_hh_num_in!J12)</f>
        <v>137645.54267529852</v>
      </c>
      <c r="K12" s="133">
        <f>IF(SER_hh_fec_in!K12=0,0,11630*1000*SER_hh_fec_in!K12/SER_hh_num_in!K12)</f>
        <v>154562.33657390633</v>
      </c>
      <c r="L12" s="133">
        <f>IF(SER_hh_fec_in!L12=0,0,11630*1000*SER_hh_fec_in!L12/SER_hh_num_in!L12)</f>
        <v>160587.23576577447</v>
      </c>
      <c r="M12" s="133">
        <f>IF(SER_hh_fec_in!M12=0,0,11630*1000*SER_hh_fec_in!M12/SER_hh_num_in!M12)</f>
        <v>128215.34311778787</v>
      </c>
      <c r="N12" s="133">
        <f>IF(SER_hh_fec_in!N12=0,0,11630*1000*SER_hh_fec_in!N12/SER_hh_num_in!N12)</f>
        <v>136874.3697888501</v>
      </c>
      <c r="O12" s="133">
        <f>IF(SER_hh_fec_in!O12=0,0,11630*1000*SER_hh_fec_in!O12/SER_hh_num_in!O12)</f>
        <v>123189.51189343244</v>
      </c>
      <c r="P12" s="133">
        <f>IF(SER_hh_fec_in!P12=0,0,11630*1000*SER_hh_fec_in!P12/SER_hh_num_in!P12)</f>
        <v>126205.06473615995</v>
      </c>
      <c r="Q12" s="133">
        <f>IF(SER_hh_fec_in!Q12=0,0,11630*1000*SER_hh_fec_in!Q12/SER_hh_num_in!Q12)</f>
        <v>105281.81453520879</v>
      </c>
      <c r="R12" s="133">
        <f>IF(SER_hh_fec_in!R12=0,0,11630*1000*SER_hh_fec_in!R12/SER_hh_num_in!R12)</f>
        <v>109517.52378758058</v>
      </c>
      <c r="S12" s="133">
        <f>IF(SER_hh_fec_in!S12=0,0,11630*1000*SER_hh_fec_in!S12/SER_hh_num_in!S12)</f>
        <v>101458.66573101305</v>
      </c>
      <c r="T12" s="133">
        <f>IF(SER_hh_fec_in!T12=0,0,11630*1000*SER_hh_fec_in!T12/SER_hh_num_in!T12)</f>
        <v>96163.070572363969</v>
      </c>
      <c r="U12" s="133">
        <f>IF(SER_hh_fec_in!U12=0,0,11630*1000*SER_hh_fec_in!U12/SER_hh_num_in!U12)</f>
        <v>85179.896473652421</v>
      </c>
      <c r="V12" s="133">
        <f>IF(SER_hh_fec_in!V12=0,0,11630*1000*SER_hh_fec_in!V12/SER_hh_num_in!V12)</f>
        <v>69811.562287445107</v>
      </c>
      <c r="W12" s="133">
        <f>IF(SER_hh_fec_in!W12=0,0,11630*1000*SER_hh_fec_in!W12/SER_hh_num_in!W12)</f>
        <v>66227.79611358064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80466.732879675634</v>
      </c>
      <c r="D13" s="133">
        <f>IF(SER_hh_fec_in!D13=0,0,11630*1000*SER_hh_fec_in!D13/SER_hh_num_in!D13)</f>
        <v>75985.903687941813</v>
      </c>
      <c r="E13" s="133">
        <f>IF(SER_hh_fec_in!E13=0,0,11630*1000*SER_hh_fec_in!E13/SER_hh_num_in!E13)</f>
        <v>70862.697313861936</v>
      </c>
      <c r="F13" s="133">
        <f>IF(SER_hh_fec_in!F13=0,0,11630*1000*SER_hh_fec_in!F13/SER_hh_num_in!F13)</f>
        <v>65825.539462606073</v>
      </c>
      <c r="G13" s="133">
        <f>IF(SER_hh_fec_in!G13=0,0,11630*1000*SER_hh_fec_in!G13/SER_hh_num_in!G13)</f>
        <v>61138.429432503995</v>
      </c>
      <c r="H13" s="133">
        <f>IF(SER_hh_fec_in!H13=0,0,11630*1000*SER_hh_fec_in!H13/SER_hh_num_in!H13)</f>
        <v>57659.329942295597</v>
      </c>
      <c r="I13" s="133">
        <f>IF(SER_hh_fec_in!I13=0,0,11630*1000*SER_hh_fec_in!I13/SER_hh_num_in!I13)</f>
        <v>55436.333149185295</v>
      </c>
      <c r="J13" s="133">
        <f>IF(SER_hh_fec_in!J13=0,0,11630*1000*SER_hh_fec_in!J13/SER_hh_num_in!J13)</f>
        <v>53485.441467575853</v>
      </c>
      <c r="K13" s="133">
        <f>IF(SER_hh_fec_in!K13=0,0,11630*1000*SER_hh_fec_in!K13/SER_hh_num_in!K13)</f>
        <v>51682.391566848812</v>
      </c>
      <c r="L13" s="133">
        <f>IF(SER_hh_fec_in!L13=0,0,11630*1000*SER_hh_fec_in!L13/SER_hh_num_in!L13)</f>
        <v>48882.161850632838</v>
      </c>
      <c r="M13" s="133">
        <f>IF(SER_hh_fec_in!M13=0,0,11630*1000*SER_hh_fec_in!M13/SER_hh_num_in!M13)</f>
        <v>44263.908696297622</v>
      </c>
      <c r="N13" s="133">
        <f>IF(SER_hh_fec_in!N13=0,0,11630*1000*SER_hh_fec_in!N13/SER_hh_num_in!N13)</f>
        <v>40970.424062470076</v>
      </c>
      <c r="O13" s="133">
        <f>IF(SER_hh_fec_in!O13=0,0,11630*1000*SER_hh_fec_in!O13/SER_hh_num_in!O13)</f>
        <v>36487.603413415818</v>
      </c>
      <c r="P13" s="133">
        <f>IF(SER_hh_fec_in!P13=0,0,11630*1000*SER_hh_fec_in!P13/SER_hh_num_in!P13)</f>
        <v>33287.490810948111</v>
      </c>
      <c r="Q13" s="133">
        <f>IF(SER_hh_fec_in!Q13=0,0,11630*1000*SER_hh_fec_in!Q13/SER_hh_num_in!Q13)</f>
        <v>31637.891776932265</v>
      </c>
      <c r="R13" s="133">
        <f>IF(SER_hh_fec_in!R13=0,0,11630*1000*SER_hh_fec_in!R13/SER_hh_num_in!R13)</f>
        <v>28929.153829101535</v>
      </c>
      <c r="S13" s="133">
        <f>IF(SER_hh_fec_in!S13=0,0,11630*1000*SER_hh_fec_in!S13/SER_hh_num_in!S13)</f>
        <v>26892.412198534454</v>
      </c>
      <c r="T13" s="133">
        <f>IF(SER_hh_fec_in!T13=0,0,11630*1000*SER_hh_fec_in!T13/SER_hh_num_in!T13)</f>
        <v>25631.854319935788</v>
      </c>
      <c r="U13" s="133">
        <f>IF(SER_hh_fec_in!U13=0,0,11630*1000*SER_hh_fec_in!U13/SER_hh_num_in!U13)</f>
        <v>22725.878980550526</v>
      </c>
      <c r="V13" s="133">
        <f>IF(SER_hh_fec_in!V13=0,0,11630*1000*SER_hh_fec_in!V13/SER_hh_num_in!V13)</f>
        <v>18809.343857017371</v>
      </c>
      <c r="W13" s="133">
        <f>IF(SER_hh_fec_in!W13=0,0,11630*1000*SER_hh_fec_in!W13/SER_hh_num_in!W13)</f>
        <v>18595.111085277989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168983.50690556748</v>
      </c>
      <c r="D14" s="65">
        <f>IF(SER_hh_fec_in!D14=0,0,11630*1000*SER_hh_fec_in!D14/SER_hh_num_in!D14)</f>
        <v>173395.76167930369</v>
      </c>
      <c r="E14" s="65">
        <f>IF(SER_hh_fec_in!E14=0,0,11630*1000*SER_hh_fec_in!E14/SER_hh_num_in!E14)</f>
        <v>161796.32042027844</v>
      </c>
      <c r="F14" s="65">
        <f>IF(SER_hh_fec_in!F14=0,0,11630*1000*SER_hh_fec_in!F14/SER_hh_num_in!F14)</f>
        <v>160701.32187129618</v>
      </c>
      <c r="G14" s="65">
        <f>IF(SER_hh_fec_in!G14=0,0,11630*1000*SER_hh_fec_in!G14/SER_hh_num_in!G14)</f>
        <v>154254.26942067978</v>
      </c>
      <c r="H14" s="65">
        <f>IF(SER_hh_fec_in!H14=0,0,11630*1000*SER_hh_fec_in!H14/SER_hh_num_in!H14)</f>
        <v>153592.46850711288</v>
      </c>
      <c r="I14" s="65">
        <f>IF(SER_hh_fec_in!I14=0,0,11630*1000*SER_hh_fec_in!I14/SER_hh_num_in!I14)</f>
        <v>153334.57238349059</v>
      </c>
      <c r="J14" s="65">
        <f>IF(SER_hh_fec_in!J14=0,0,11630*1000*SER_hh_fec_in!J14/SER_hh_num_in!J14)</f>
        <v>153269.34545721341</v>
      </c>
      <c r="K14" s="65">
        <f>IF(SER_hh_fec_in!K14=0,0,11630*1000*SER_hh_fec_in!K14/SER_hh_num_in!K14)</f>
        <v>161562.28488175955</v>
      </c>
      <c r="L14" s="65">
        <f>IF(SER_hh_fec_in!L14=0,0,11630*1000*SER_hh_fec_in!L14/SER_hh_num_in!L14)</f>
        <v>166951.0167322022</v>
      </c>
      <c r="M14" s="65">
        <f>IF(SER_hh_fec_in!M14=0,0,11630*1000*SER_hh_fec_in!M14/SER_hh_num_in!M14)</f>
        <v>143511.42975740117</v>
      </c>
      <c r="N14" s="65">
        <f>IF(SER_hh_fec_in!N14=0,0,11630*1000*SER_hh_fec_in!N14/SER_hh_num_in!N14)</f>
        <v>149932.01679905996</v>
      </c>
      <c r="O14" s="65">
        <f>IF(SER_hh_fec_in!O14=0,0,11630*1000*SER_hh_fec_in!O14/SER_hh_num_in!O14)</f>
        <v>133089.48130354824</v>
      </c>
      <c r="P14" s="65">
        <f>IF(SER_hh_fec_in!P14=0,0,11630*1000*SER_hh_fec_in!P14/SER_hh_num_in!P14)</f>
        <v>124614.45974598225</v>
      </c>
      <c r="Q14" s="65">
        <f>IF(SER_hh_fec_in!Q14=0,0,11630*1000*SER_hh_fec_in!Q14/SER_hh_num_in!Q14)</f>
        <v>114022.88244136282</v>
      </c>
      <c r="R14" s="65">
        <f>IF(SER_hh_fec_in!R14=0,0,11630*1000*SER_hh_fec_in!R14/SER_hh_num_in!R14)</f>
        <v>111616.79008568866</v>
      </c>
      <c r="S14" s="65">
        <f>IF(SER_hh_fec_in!S14=0,0,11630*1000*SER_hh_fec_in!S14/SER_hh_num_in!S14)</f>
        <v>96654.578717952914</v>
      </c>
      <c r="T14" s="65">
        <f>IF(SER_hh_fec_in!T14=0,0,11630*1000*SER_hh_fec_in!T14/SER_hh_num_in!T14)</f>
        <v>100108.62859755718</v>
      </c>
      <c r="U14" s="65">
        <f>IF(SER_hh_fec_in!U14=0,0,11630*1000*SER_hh_fec_in!U14/SER_hh_num_in!U14)</f>
        <v>83873.18388825249</v>
      </c>
      <c r="V14" s="65">
        <f>IF(SER_hh_fec_in!V14=0,0,11630*1000*SER_hh_fec_in!V14/SER_hh_num_in!V14)</f>
        <v>69259.91673116757</v>
      </c>
      <c r="W14" s="65">
        <f>IF(SER_hh_fec_in!W14=0,0,11630*1000*SER_hh_fec_in!W14/SER_hh_num_in!W14)</f>
        <v>61641.815081433277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818.42468692810075</v>
      </c>
      <c r="D15" s="135">
        <f>IF(SER_hh_fec_in!D15=0,0,11630*1000*SER_hh_fec_in!D15/SER_hh_num_in!D15)</f>
        <v>862.56785087672347</v>
      </c>
      <c r="E15" s="135">
        <f>IF(SER_hh_fec_in!E15=0,0,11630*1000*SER_hh_fec_in!E15/SER_hh_num_in!E15)</f>
        <v>890.23217398865268</v>
      </c>
      <c r="F15" s="135">
        <f>IF(SER_hh_fec_in!F15=0,0,11630*1000*SER_hh_fec_in!F15/SER_hh_num_in!F15)</f>
        <v>873.10897336920345</v>
      </c>
      <c r="G15" s="135">
        <f>IF(SER_hh_fec_in!G15=0,0,11630*1000*SER_hh_fec_in!G15/SER_hh_num_in!G15)</f>
        <v>772.0394785716752</v>
      </c>
      <c r="H15" s="135">
        <f>IF(SER_hh_fec_in!H15=0,0,11630*1000*SER_hh_fec_in!H15/SER_hh_num_in!H15)</f>
        <v>652.80592437304881</v>
      </c>
      <c r="I15" s="135">
        <f>IF(SER_hh_fec_in!I15=0,0,11630*1000*SER_hh_fec_in!I15/SER_hh_num_in!I15)</f>
        <v>580.79382909345418</v>
      </c>
      <c r="J15" s="135">
        <f>IF(SER_hh_fec_in!J15=0,0,11630*1000*SER_hh_fec_in!J15/SER_hh_num_in!J15)</f>
        <v>574.57447683913244</v>
      </c>
      <c r="K15" s="135">
        <f>IF(SER_hh_fec_in!K15=0,0,11630*1000*SER_hh_fec_in!K15/SER_hh_num_in!K15)</f>
        <v>791.52484607593431</v>
      </c>
      <c r="L15" s="135">
        <f>IF(SER_hh_fec_in!L15=0,0,11630*1000*SER_hh_fec_in!L15/SER_hh_num_in!L15)</f>
        <v>1017.726098025138</v>
      </c>
      <c r="M15" s="135">
        <f>IF(SER_hh_fec_in!M15=0,0,11630*1000*SER_hh_fec_in!M15/SER_hh_num_in!M15)</f>
        <v>848.11388386668375</v>
      </c>
      <c r="N15" s="135">
        <f>IF(SER_hh_fec_in!N15=0,0,11630*1000*SER_hh_fec_in!N15/SER_hh_num_in!N15)</f>
        <v>849.26793889846351</v>
      </c>
      <c r="O15" s="135">
        <f>IF(SER_hh_fec_in!O15=0,0,11630*1000*SER_hh_fec_in!O15/SER_hh_num_in!O15)</f>
        <v>705.24139922098766</v>
      </c>
      <c r="P15" s="135">
        <f>IF(SER_hh_fec_in!P15=0,0,11630*1000*SER_hh_fec_in!P15/SER_hh_num_in!P15)</f>
        <v>594.28747217635657</v>
      </c>
      <c r="Q15" s="135">
        <f>IF(SER_hh_fec_in!Q15=0,0,11630*1000*SER_hh_fec_in!Q15/SER_hh_num_in!Q15)</f>
        <v>557.25638195991985</v>
      </c>
      <c r="R15" s="135">
        <f>IF(SER_hh_fec_in!R15=0,0,11630*1000*SER_hh_fec_in!R15/SER_hh_num_in!R15)</f>
        <v>578.9855798662486</v>
      </c>
      <c r="S15" s="135">
        <f>IF(SER_hh_fec_in!S15=0,0,11630*1000*SER_hh_fec_in!S15/SER_hh_num_in!S15)</f>
        <v>539.07698136666738</v>
      </c>
      <c r="T15" s="135">
        <f>IF(SER_hh_fec_in!T15=0,0,11630*1000*SER_hh_fec_in!T15/SER_hh_num_in!T15)</f>
        <v>507.0296835522762</v>
      </c>
      <c r="U15" s="135">
        <f>IF(SER_hh_fec_in!U15=0,0,11630*1000*SER_hh_fec_in!U15/SER_hh_num_in!U15)</f>
        <v>468.87477825375441</v>
      </c>
      <c r="V15" s="135">
        <f>IF(SER_hh_fec_in!V15=0,0,11630*1000*SER_hh_fec_in!V15/SER_hh_num_in!V15)</f>
        <v>379.11884834751305</v>
      </c>
      <c r="W15" s="135">
        <f>IF(SER_hh_fec_in!W15=0,0,11630*1000*SER_hh_fec_in!W15/SER_hh_num_in!W15)</f>
        <v>342.11283740181557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9476.6887364625854</v>
      </c>
      <c r="D16" s="131">
        <f>IF(SER_hh_fec_in!D16=0,0,11630*1000*SER_hh_fec_in!D16/SER_hh_num_in!D16)</f>
        <v>9095.1400929401243</v>
      </c>
      <c r="E16" s="131">
        <f>IF(SER_hh_fec_in!E16=0,0,11630*1000*SER_hh_fec_in!E16/SER_hh_num_in!E16)</f>
        <v>9119.2276281776394</v>
      </c>
      <c r="F16" s="131">
        <f>IF(SER_hh_fec_in!F16=0,0,11630*1000*SER_hh_fec_in!F16/SER_hh_num_in!F16)</f>
        <v>8415.1075328099578</v>
      </c>
      <c r="G16" s="131">
        <f>IF(SER_hh_fec_in!G16=0,0,11630*1000*SER_hh_fec_in!G16/SER_hh_num_in!G16)</f>
        <v>8104.3636335693091</v>
      </c>
      <c r="H16" s="131">
        <f>IF(SER_hh_fec_in!H16=0,0,11630*1000*SER_hh_fec_in!H16/SER_hh_num_in!H16)</f>
        <v>7832.0631476245117</v>
      </c>
      <c r="I16" s="131">
        <f>IF(SER_hh_fec_in!I16=0,0,11630*1000*SER_hh_fec_in!I16/SER_hh_num_in!I16)</f>
        <v>7537.7630570642095</v>
      </c>
      <c r="J16" s="131">
        <f>IF(SER_hh_fec_in!J16=0,0,11630*1000*SER_hh_fec_in!J16/SER_hh_num_in!J16)</f>
        <v>7273.7202277491397</v>
      </c>
      <c r="K16" s="131">
        <f>IF(SER_hh_fec_in!K16=0,0,11630*1000*SER_hh_fec_in!K16/SER_hh_num_in!K16)</f>
        <v>6960.284820241608</v>
      </c>
      <c r="L16" s="131">
        <f>IF(SER_hh_fec_in!L16=0,0,11630*1000*SER_hh_fec_in!L16/SER_hh_num_in!L16)</f>
        <v>7133.4347519014209</v>
      </c>
      <c r="M16" s="131">
        <f>IF(SER_hh_fec_in!M16=0,0,11630*1000*SER_hh_fec_in!M16/SER_hh_num_in!M16)</f>
        <v>6396.1207260264437</v>
      </c>
      <c r="N16" s="131">
        <f>IF(SER_hh_fec_in!N16=0,0,11630*1000*SER_hh_fec_in!N16/SER_hh_num_in!N16)</f>
        <v>5967.9438753280901</v>
      </c>
      <c r="O16" s="131">
        <f>IF(SER_hh_fec_in!O16=0,0,11630*1000*SER_hh_fec_in!O16/SER_hh_num_in!O16)</f>
        <v>5587.9508271130444</v>
      </c>
      <c r="P16" s="131">
        <f>IF(SER_hh_fec_in!P16=0,0,11630*1000*SER_hh_fec_in!P16/SER_hh_num_in!P16)</f>
        <v>5239.1014819073453</v>
      </c>
      <c r="Q16" s="131">
        <f>IF(SER_hh_fec_in!Q16=0,0,11630*1000*SER_hh_fec_in!Q16/SER_hh_num_in!Q16)</f>
        <v>4851.8583162068953</v>
      </c>
      <c r="R16" s="131">
        <f>IF(SER_hh_fec_in!R16=0,0,11630*1000*SER_hh_fec_in!R16/SER_hh_num_in!R16)</f>
        <v>4719.9318764053633</v>
      </c>
      <c r="S16" s="131">
        <f>IF(SER_hh_fec_in!S16=0,0,11630*1000*SER_hh_fec_in!S16/SER_hh_num_in!S16)</f>
        <v>4521.2795873285968</v>
      </c>
      <c r="T16" s="131">
        <f>IF(SER_hh_fec_in!T16=0,0,11630*1000*SER_hh_fec_in!T16/SER_hh_num_in!T16)</f>
        <v>4322.0183499746145</v>
      </c>
      <c r="U16" s="131">
        <f>IF(SER_hh_fec_in!U16=0,0,11630*1000*SER_hh_fec_in!U16/SER_hh_num_in!U16)</f>
        <v>4135.4858552276501</v>
      </c>
      <c r="V16" s="131">
        <f>IF(SER_hh_fec_in!V16=0,0,11630*1000*SER_hh_fec_in!V16/SER_hh_num_in!V16)</f>
        <v>3908.1553660580003</v>
      </c>
      <c r="W16" s="131">
        <f>IF(SER_hh_fec_in!W16=0,0,11630*1000*SER_hh_fec_in!W16/SER_hh_num_in!W16)</f>
        <v>3383.2991375564784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9476.6887364625854</v>
      </c>
      <c r="D18" s="133">
        <f>IF(SER_hh_fec_in!D18=0,0,11630*1000*SER_hh_fec_in!D18/SER_hh_num_in!D18)</f>
        <v>9095.1400929401243</v>
      </c>
      <c r="E18" s="133">
        <f>IF(SER_hh_fec_in!E18=0,0,11630*1000*SER_hh_fec_in!E18/SER_hh_num_in!E18)</f>
        <v>9119.2276281776394</v>
      </c>
      <c r="F18" s="133">
        <f>IF(SER_hh_fec_in!F18=0,0,11630*1000*SER_hh_fec_in!F18/SER_hh_num_in!F18)</f>
        <v>8415.1075328099578</v>
      </c>
      <c r="G18" s="133">
        <f>IF(SER_hh_fec_in!G18=0,0,11630*1000*SER_hh_fec_in!G18/SER_hh_num_in!G18)</f>
        <v>8104.3636335693091</v>
      </c>
      <c r="H18" s="133">
        <f>IF(SER_hh_fec_in!H18=0,0,11630*1000*SER_hh_fec_in!H18/SER_hh_num_in!H18)</f>
        <v>7832.0631476245117</v>
      </c>
      <c r="I18" s="133">
        <f>IF(SER_hh_fec_in!I18=0,0,11630*1000*SER_hh_fec_in!I18/SER_hh_num_in!I18)</f>
        <v>7537.7630570642095</v>
      </c>
      <c r="J18" s="133">
        <f>IF(SER_hh_fec_in!J18=0,0,11630*1000*SER_hh_fec_in!J18/SER_hh_num_in!J18)</f>
        <v>7273.7202277491397</v>
      </c>
      <c r="K18" s="133">
        <f>IF(SER_hh_fec_in!K18=0,0,11630*1000*SER_hh_fec_in!K18/SER_hh_num_in!K18)</f>
        <v>6960.284820241608</v>
      </c>
      <c r="L18" s="133">
        <f>IF(SER_hh_fec_in!L18=0,0,11630*1000*SER_hh_fec_in!L18/SER_hh_num_in!L18)</f>
        <v>7133.4347519014209</v>
      </c>
      <c r="M18" s="133">
        <f>IF(SER_hh_fec_in!M18=0,0,11630*1000*SER_hh_fec_in!M18/SER_hh_num_in!M18)</f>
        <v>6396.1207260264437</v>
      </c>
      <c r="N18" s="133">
        <f>IF(SER_hh_fec_in!N18=0,0,11630*1000*SER_hh_fec_in!N18/SER_hh_num_in!N18)</f>
        <v>5967.9438753280901</v>
      </c>
      <c r="O18" s="133">
        <f>IF(SER_hh_fec_in!O18=0,0,11630*1000*SER_hh_fec_in!O18/SER_hh_num_in!O18)</f>
        <v>5587.9508271130444</v>
      </c>
      <c r="P18" s="133">
        <f>IF(SER_hh_fec_in!P18=0,0,11630*1000*SER_hh_fec_in!P18/SER_hh_num_in!P18)</f>
        <v>5239.1014819073453</v>
      </c>
      <c r="Q18" s="133">
        <f>IF(SER_hh_fec_in!Q18=0,0,11630*1000*SER_hh_fec_in!Q18/SER_hh_num_in!Q18)</f>
        <v>4851.8583162068953</v>
      </c>
      <c r="R18" s="133">
        <f>IF(SER_hh_fec_in!R18=0,0,11630*1000*SER_hh_fec_in!R18/SER_hh_num_in!R18)</f>
        <v>4719.9318764053633</v>
      </c>
      <c r="S18" s="133">
        <f>IF(SER_hh_fec_in!S18=0,0,11630*1000*SER_hh_fec_in!S18/SER_hh_num_in!S18)</f>
        <v>4521.2795873285968</v>
      </c>
      <c r="T18" s="133">
        <f>IF(SER_hh_fec_in!T18=0,0,11630*1000*SER_hh_fec_in!T18/SER_hh_num_in!T18)</f>
        <v>4322.0183499746145</v>
      </c>
      <c r="U18" s="133">
        <f>IF(SER_hh_fec_in!U18=0,0,11630*1000*SER_hh_fec_in!U18/SER_hh_num_in!U18)</f>
        <v>4135.4858552276501</v>
      </c>
      <c r="V18" s="133">
        <f>IF(SER_hh_fec_in!V18=0,0,11630*1000*SER_hh_fec_in!V18/SER_hh_num_in!V18)</f>
        <v>3908.1553660580003</v>
      </c>
      <c r="W18" s="133">
        <f>IF(SER_hh_fec_in!W18=0,0,11630*1000*SER_hh_fec_in!W18/SER_hh_num_in!W18)</f>
        <v>3383.2991375564784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21315.116414306587</v>
      </c>
      <c r="D19" s="131">
        <f>IF(SER_hh_fec_in!D19=0,0,11630*1000*SER_hh_fec_in!D19/SER_hh_num_in!D19)</f>
        <v>21173.054034175624</v>
      </c>
      <c r="E19" s="131">
        <f>IF(SER_hh_fec_in!E19=0,0,11630*1000*SER_hh_fec_in!E19/SER_hh_num_in!E19)</f>
        <v>21040.225462684157</v>
      </c>
      <c r="F19" s="131">
        <f>IF(SER_hh_fec_in!F19=0,0,11630*1000*SER_hh_fec_in!F19/SER_hh_num_in!F19)</f>
        <v>20575.274736638727</v>
      </c>
      <c r="G19" s="131">
        <f>IF(SER_hh_fec_in!G19=0,0,11630*1000*SER_hh_fec_in!G19/SER_hh_num_in!G19)</f>
        <v>20494.821134304297</v>
      </c>
      <c r="H19" s="131">
        <f>IF(SER_hh_fec_in!H19=0,0,11630*1000*SER_hh_fec_in!H19/SER_hh_num_in!H19)</f>
        <v>20192.273073031309</v>
      </c>
      <c r="I19" s="131">
        <f>IF(SER_hh_fec_in!I19=0,0,11630*1000*SER_hh_fec_in!I19/SER_hh_num_in!I19)</f>
        <v>19987.506763461439</v>
      </c>
      <c r="J19" s="131">
        <f>IF(SER_hh_fec_in!J19=0,0,11630*1000*SER_hh_fec_in!J19/SER_hh_num_in!J19)</f>
        <v>20164.497356307482</v>
      </c>
      <c r="K19" s="131">
        <f>IF(SER_hh_fec_in!K19=0,0,11630*1000*SER_hh_fec_in!K19/SER_hh_num_in!K19)</f>
        <v>20201.349019675141</v>
      </c>
      <c r="L19" s="131">
        <f>IF(SER_hh_fec_in!L19=0,0,11630*1000*SER_hh_fec_in!L19/SER_hh_num_in!L19)</f>
        <v>20392.514441740055</v>
      </c>
      <c r="M19" s="131">
        <f>IF(SER_hh_fec_in!M19=0,0,11630*1000*SER_hh_fec_in!M19/SER_hh_num_in!M19)</f>
        <v>20069.50626852526</v>
      </c>
      <c r="N19" s="131">
        <f>IF(SER_hh_fec_in!N19=0,0,11630*1000*SER_hh_fec_in!N19/SER_hh_num_in!N19)</f>
        <v>19774.945977127471</v>
      </c>
      <c r="O19" s="131">
        <f>IF(SER_hh_fec_in!O19=0,0,11630*1000*SER_hh_fec_in!O19/SER_hh_num_in!O19)</f>
        <v>19213.046995911296</v>
      </c>
      <c r="P19" s="131">
        <f>IF(SER_hh_fec_in!P19=0,0,11630*1000*SER_hh_fec_in!P19/SER_hh_num_in!P19)</f>
        <v>18756.773212614797</v>
      </c>
      <c r="Q19" s="131">
        <f>IF(SER_hh_fec_in!Q19=0,0,11630*1000*SER_hh_fec_in!Q19/SER_hh_num_in!Q19)</f>
        <v>18302.590053828259</v>
      </c>
      <c r="R19" s="131">
        <f>IF(SER_hh_fec_in!R19=0,0,11630*1000*SER_hh_fec_in!R19/SER_hh_num_in!R19)</f>
        <v>17898.437568971643</v>
      </c>
      <c r="S19" s="131">
        <f>IF(SER_hh_fec_in!S19=0,0,11630*1000*SER_hh_fec_in!S19/SER_hh_num_in!S19)</f>
        <v>17401.780842299933</v>
      </c>
      <c r="T19" s="131">
        <f>IF(SER_hh_fec_in!T19=0,0,11630*1000*SER_hh_fec_in!T19/SER_hh_num_in!T19)</f>
        <v>17185.28248349189</v>
      </c>
      <c r="U19" s="131">
        <f>IF(SER_hh_fec_in!U19=0,0,11630*1000*SER_hh_fec_in!U19/SER_hh_num_in!U19)</f>
        <v>16799.512379081883</v>
      </c>
      <c r="V19" s="131">
        <f>IF(SER_hh_fec_in!V19=0,0,11630*1000*SER_hh_fec_in!V19/SER_hh_num_in!V19)</f>
        <v>14985.476357486248</v>
      </c>
      <c r="W19" s="131">
        <f>IF(SER_hh_fec_in!W19=0,0,11630*1000*SER_hh_fec_in!W19/SER_hh_num_in!W19)</f>
        <v>16523.179713740446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28573.614697013116</v>
      </c>
      <c r="D22" s="133">
        <f>IF(SER_hh_fec_in!D22=0,0,11630*1000*SER_hh_fec_in!D22/SER_hh_num_in!D22)</f>
        <v>28726.623573022371</v>
      </c>
      <c r="E22" s="133">
        <f>IF(SER_hh_fec_in!E22=0,0,11630*1000*SER_hh_fec_in!E22/SER_hh_num_in!E22)</f>
        <v>28522.6181205133</v>
      </c>
      <c r="F22" s="133">
        <f>IF(SER_hh_fec_in!F22=0,0,11630*1000*SER_hh_fec_in!F22/SER_hh_num_in!F22)</f>
        <v>28099.253325056987</v>
      </c>
      <c r="G22" s="133">
        <f>IF(SER_hh_fec_in!G22=0,0,11630*1000*SER_hh_fec_in!G22/SER_hh_num_in!G22)</f>
        <v>27627.949491473504</v>
      </c>
      <c r="H22" s="133">
        <f>IF(SER_hh_fec_in!H22=0,0,11630*1000*SER_hh_fec_in!H22/SER_hh_num_in!H22)</f>
        <v>27669.86258124491</v>
      </c>
      <c r="I22" s="133">
        <f>IF(SER_hh_fec_in!I22=0,0,11630*1000*SER_hh_fec_in!I22/SER_hh_num_in!I22)</f>
        <v>27258.515939380613</v>
      </c>
      <c r="J22" s="133">
        <f>IF(SER_hh_fec_in!J22=0,0,11630*1000*SER_hh_fec_in!J22/SER_hh_num_in!J22)</f>
        <v>26635.100708511982</v>
      </c>
      <c r="K22" s="133">
        <f>IF(SER_hh_fec_in!K22=0,0,11630*1000*SER_hh_fec_in!K22/SER_hh_num_in!K22)</f>
        <v>25919.255362919721</v>
      </c>
      <c r="L22" s="133">
        <f>IF(SER_hh_fec_in!L22=0,0,11630*1000*SER_hh_fec_in!L22/SER_hh_num_in!L22)</f>
        <v>27061.62207695534</v>
      </c>
      <c r="M22" s="133">
        <f>IF(SER_hh_fec_in!M22=0,0,11630*1000*SER_hh_fec_in!M22/SER_hh_num_in!M22)</f>
        <v>26392.341055220066</v>
      </c>
      <c r="N22" s="133">
        <f>IF(SER_hh_fec_in!N22=0,0,11630*1000*SER_hh_fec_in!N22/SER_hh_num_in!N22)</f>
        <v>25078.276403281619</v>
      </c>
      <c r="O22" s="133">
        <f>IF(SER_hh_fec_in!O22=0,0,11630*1000*SER_hh_fec_in!O22/SER_hh_num_in!O22)</f>
        <v>24086.034006164031</v>
      </c>
      <c r="P22" s="133">
        <f>IF(SER_hh_fec_in!P22=0,0,11630*1000*SER_hh_fec_in!P22/SER_hh_num_in!P22)</f>
        <v>22264.892105779069</v>
      </c>
      <c r="Q22" s="133">
        <f>IF(SER_hh_fec_in!Q22=0,0,11630*1000*SER_hh_fec_in!Q22/SER_hh_num_in!Q22)</f>
        <v>21354.102876309684</v>
      </c>
      <c r="R22" s="133">
        <f>IF(SER_hh_fec_in!R22=0,0,11630*1000*SER_hh_fec_in!R22/SER_hh_num_in!R22)</f>
        <v>21606.394083209219</v>
      </c>
      <c r="S22" s="133">
        <f>IF(SER_hh_fec_in!S22=0,0,11630*1000*SER_hh_fec_in!S22/SER_hh_num_in!S22)</f>
        <v>19859.554283805352</v>
      </c>
      <c r="T22" s="133">
        <f>IF(SER_hh_fec_in!T22=0,0,11630*1000*SER_hh_fec_in!T22/SER_hh_num_in!T22)</f>
        <v>18226.422605446493</v>
      </c>
      <c r="U22" s="133">
        <f>IF(SER_hh_fec_in!U22=0,0,11630*1000*SER_hh_fec_in!U22/SER_hh_num_in!U22)</f>
        <v>18073.702940265259</v>
      </c>
      <c r="V22" s="133">
        <f>IF(SER_hh_fec_in!V22=0,0,11630*1000*SER_hh_fec_in!V22/SER_hh_num_in!V22)</f>
        <v>16269.510174700697</v>
      </c>
      <c r="W22" s="133">
        <f>IF(SER_hh_fec_in!W22=0,0,11630*1000*SER_hh_fec_in!W22/SER_hh_num_in!W22)</f>
        <v>18358.858725994145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26285.656784203922</v>
      </c>
      <c r="D23" s="133">
        <f>IF(SER_hh_fec_in!D23=0,0,11630*1000*SER_hh_fec_in!D23/SER_hh_num_in!D23)</f>
        <v>25875.759806636757</v>
      </c>
      <c r="E23" s="133">
        <f>IF(SER_hh_fec_in!E23=0,0,11630*1000*SER_hh_fec_in!E23/SER_hh_num_in!E23)</f>
        <v>25399.370374230199</v>
      </c>
      <c r="F23" s="133">
        <f>IF(SER_hh_fec_in!F23=0,0,11630*1000*SER_hh_fec_in!F23/SER_hh_num_in!F23)</f>
        <v>25412.823348619462</v>
      </c>
      <c r="G23" s="133">
        <f>IF(SER_hh_fec_in!G23=0,0,11630*1000*SER_hh_fec_in!G23/SER_hh_num_in!G23)</f>
        <v>25368.239477979274</v>
      </c>
      <c r="H23" s="133">
        <f>IF(SER_hh_fec_in!H23=0,0,11630*1000*SER_hh_fec_in!H23/SER_hh_num_in!H23)</f>
        <v>24183.586528705793</v>
      </c>
      <c r="I23" s="133">
        <f>IF(SER_hh_fec_in!I23=0,0,11630*1000*SER_hh_fec_in!I23/SER_hh_num_in!I23)</f>
        <v>23985.208264662055</v>
      </c>
      <c r="J23" s="133">
        <f>IF(SER_hh_fec_in!J23=0,0,11630*1000*SER_hh_fec_in!J23/SER_hh_num_in!J23)</f>
        <v>23959.76408268014</v>
      </c>
      <c r="K23" s="133">
        <f>IF(SER_hh_fec_in!K23=0,0,11630*1000*SER_hh_fec_in!K23/SER_hh_num_in!K23)</f>
        <v>23346.325663848093</v>
      </c>
      <c r="L23" s="133">
        <f>IF(SER_hh_fec_in!L23=0,0,11630*1000*SER_hh_fec_in!L23/SER_hh_num_in!L23)</f>
        <v>22686.680633606655</v>
      </c>
      <c r="M23" s="133">
        <f>IF(SER_hh_fec_in!M23=0,0,11630*1000*SER_hh_fec_in!M23/SER_hh_num_in!M23)</f>
        <v>22532.614229649342</v>
      </c>
      <c r="N23" s="133">
        <f>IF(SER_hh_fec_in!N23=0,0,11630*1000*SER_hh_fec_in!N23/SER_hh_num_in!N23)</f>
        <v>22075.117899496712</v>
      </c>
      <c r="O23" s="133">
        <f>IF(SER_hh_fec_in!O23=0,0,11630*1000*SER_hh_fec_in!O23/SER_hh_num_in!O23)</f>
        <v>21358.129995986645</v>
      </c>
      <c r="P23" s="133">
        <f>IF(SER_hh_fec_in!P23=0,0,11630*1000*SER_hh_fec_in!P23/SER_hh_num_in!P23)</f>
        <v>20307.070670898396</v>
      </c>
      <c r="Q23" s="133">
        <f>IF(SER_hh_fec_in!Q23=0,0,11630*1000*SER_hh_fec_in!Q23/SER_hh_num_in!Q23)</f>
        <v>19403.382042479123</v>
      </c>
      <c r="R23" s="133">
        <f>IF(SER_hh_fec_in!R23=0,0,11630*1000*SER_hh_fec_in!R23/SER_hh_num_in!R23)</f>
        <v>18419.966041193857</v>
      </c>
      <c r="S23" s="133">
        <f>IF(SER_hh_fec_in!S23=0,0,11630*1000*SER_hh_fec_in!S23/SER_hh_num_in!S23)</f>
        <v>20645.32282789045</v>
      </c>
      <c r="T23" s="133">
        <f>IF(SER_hh_fec_in!T23=0,0,11630*1000*SER_hh_fec_in!T23/SER_hh_num_in!T23)</f>
        <v>17765.576899488839</v>
      </c>
      <c r="U23" s="133">
        <f>IF(SER_hh_fec_in!U23=0,0,11630*1000*SER_hh_fec_in!U23/SER_hh_num_in!U23)</f>
        <v>16596.554490101025</v>
      </c>
      <c r="V23" s="133">
        <f>IF(SER_hh_fec_in!V23=0,0,11630*1000*SER_hh_fec_in!V23/SER_hh_num_in!V23)</f>
        <v>15654.406736243394</v>
      </c>
      <c r="W23" s="133">
        <f>IF(SER_hh_fec_in!W23=0,0,11630*1000*SER_hh_fec_in!W23/SER_hh_num_in!W23)</f>
        <v>18760.325270711975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27355.2614884307</v>
      </c>
      <c r="D24" s="133">
        <f>IF(SER_hh_fec_in!D24=0,0,11630*1000*SER_hh_fec_in!D24/SER_hh_num_in!D24)</f>
        <v>26118.803142966954</v>
      </c>
      <c r="E24" s="133">
        <f>IF(SER_hh_fec_in!E24=0,0,11630*1000*SER_hh_fec_in!E24/SER_hh_num_in!E24)</f>
        <v>24817.682662425443</v>
      </c>
      <c r="F24" s="133">
        <f>IF(SER_hh_fec_in!F24=0,0,11630*1000*SER_hh_fec_in!F24/SER_hh_num_in!F24)</f>
        <v>24300.710010566239</v>
      </c>
      <c r="G24" s="133">
        <f>IF(SER_hh_fec_in!G24=0,0,11630*1000*SER_hh_fec_in!G24/SER_hh_num_in!G24)</f>
        <v>23499.876000701133</v>
      </c>
      <c r="H24" s="133">
        <f>IF(SER_hh_fec_in!H24=0,0,11630*1000*SER_hh_fec_in!H24/SER_hh_num_in!H24)</f>
        <v>23009.016659507062</v>
      </c>
      <c r="I24" s="133">
        <f>IF(SER_hh_fec_in!I24=0,0,11630*1000*SER_hh_fec_in!I24/SER_hh_num_in!I24)</f>
        <v>22236.835044076764</v>
      </c>
      <c r="J24" s="133">
        <f>IF(SER_hh_fec_in!J24=0,0,11630*1000*SER_hh_fec_in!J24/SER_hh_num_in!J24)</f>
        <v>22915.984203008855</v>
      </c>
      <c r="K24" s="133">
        <f>IF(SER_hh_fec_in!K24=0,0,11630*1000*SER_hh_fec_in!K24/SER_hh_num_in!K24)</f>
        <v>21378.50880978402</v>
      </c>
      <c r="L24" s="133">
        <f>IF(SER_hh_fec_in!L24=0,0,11630*1000*SER_hh_fec_in!L24/SER_hh_num_in!L24)</f>
        <v>21317.467090764218</v>
      </c>
      <c r="M24" s="133">
        <f>IF(SER_hh_fec_in!M24=0,0,11630*1000*SER_hh_fec_in!M24/SER_hh_num_in!M24)</f>
        <v>21362.53337210762</v>
      </c>
      <c r="N24" s="133">
        <f>IF(SER_hh_fec_in!N24=0,0,11630*1000*SER_hh_fec_in!N24/SER_hh_num_in!N24)</f>
        <v>21042.250511670718</v>
      </c>
      <c r="O24" s="133">
        <f>IF(SER_hh_fec_in!O24=0,0,11630*1000*SER_hh_fec_in!O24/SER_hh_num_in!O24)</f>
        <v>20562.262016792956</v>
      </c>
      <c r="P24" s="133">
        <f>IF(SER_hh_fec_in!P24=0,0,11630*1000*SER_hh_fec_in!P24/SER_hh_num_in!P24)</f>
        <v>20126.484844170231</v>
      </c>
      <c r="Q24" s="133">
        <f>IF(SER_hh_fec_in!Q24=0,0,11630*1000*SER_hh_fec_in!Q24/SER_hh_num_in!Q24)</f>
        <v>19256.046957978437</v>
      </c>
      <c r="R24" s="133">
        <f>IF(SER_hh_fec_in!R24=0,0,11630*1000*SER_hh_fec_in!R24/SER_hh_num_in!R24)</f>
        <v>20639.664349474486</v>
      </c>
      <c r="S24" s="133">
        <f>IF(SER_hh_fec_in!S24=0,0,11630*1000*SER_hh_fec_in!S24/SER_hh_num_in!S24)</f>
        <v>19459.610951336239</v>
      </c>
      <c r="T24" s="133">
        <f>IF(SER_hh_fec_in!T24=0,0,11630*1000*SER_hh_fec_in!T24/SER_hh_num_in!T24)</f>
        <v>18943.189806068167</v>
      </c>
      <c r="U24" s="133">
        <f>IF(SER_hh_fec_in!U24=0,0,11630*1000*SER_hh_fec_in!U24/SER_hh_num_in!U24)</f>
        <v>18299.129698298664</v>
      </c>
      <c r="V24" s="133">
        <f>IF(SER_hh_fec_in!V24=0,0,11630*1000*SER_hh_fec_in!V24/SER_hh_num_in!V24)</f>
        <v>15942.967609694866</v>
      </c>
      <c r="W24" s="133">
        <f>IF(SER_hh_fec_in!W24=0,0,11630*1000*SER_hh_fec_in!W24/SER_hh_num_in!W24)</f>
        <v>18486.020823294013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18968.881722827082</v>
      </c>
      <c r="D25" s="133">
        <f>IF(SER_hh_fec_in!D25=0,0,11630*1000*SER_hh_fec_in!D25/SER_hh_num_in!D25)</f>
        <v>18668.282491910973</v>
      </c>
      <c r="E25" s="133">
        <f>IF(SER_hh_fec_in!E25=0,0,11630*1000*SER_hh_fec_in!E25/SER_hh_num_in!E25)</f>
        <v>18685.848700601829</v>
      </c>
      <c r="F25" s="133">
        <f>IF(SER_hh_fec_in!F25=0,0,11630*1000*SER_hh_fec_in!F25/SER_hh_num_in!F25)</f>
        <v>18403.828837313908</v>
      </c>
      <c r="G25" s="133">
        <f>IF(SER_hh_fec_in!G25=0,0,11630*1000*SER_hh_fec_in!G25/SER_hh_num_in!G25)</f>
        <v>18427.578274960888</v>
      </c>
      <c r="H25" s="133">
        <f>IF(SER_hh_fec_in!H25=0,0,11630*1000*SER_hh_fec_in!H25/SER_hh_num_in!H25)</f>
        <v>18299.291442060101</v>
      </c>
      <c r="I25" s="133">
        <f>IF(SER_hh_fec_in!I25=0,0,11630*1000*SER_hh_fec_in!I25/SER_hh_num_in!I25)</f>
        <v>18260.523272410424</v>
      </c>
      <c r="J25" s="133">
        <f>IF(SER_hh_fec_in!J25=0,0,11630*1000*SER_hh_fec_in!J25/SER_hh_num_in!J25)</f>
        <v>18003.660613221047</v>
      </c>
      <c r="K25" s="133">
        <f>IF(SER_hh_fec_in!K25=0,0,11630*1000*SER_hh_fec_in!K25/SER_hh_num_in!K25)</f>
        <v>18010.528403586552</v>
      </c>
      <c r="L25" s="133">
        <f>IF(SER_hh_fec_in!L25=0,0,11630*1000*SER_hh_fec_in!L25/SER_hh_num_in!L25)</f>
        <v>17900.527915064369</v>
      </c>
      <c r="M25" s="133">
        <f>IF(SER_hh_fec_in!M25=0,0,11630*1000*SER_hh_fec_in!M25/SER_hh_num_in!M25)</f>
        <v>17830.288486481961</v>
      </c>
      <c r="N25" s="133">
        <f>IF(SER_hh_fec_in!N25=0,0,11630*1000*SER_hh_fec_in!N25/SER_hh_num_in!N25)</f>
        <v>17839.32265792922</v>
      </c>
      <c r="O25" s="133">
        <f>IF(SER_hh_fec_in!O25=0,0,11630*1000*SER_hh_fec_in!O25/SER_hh_num_in!O25)</f>
        <v>17802.165881945162</v>
      </c>
      <c r="P25" s="133">
        <f>IF(SER_hh_fec_in!P25=0,0,11630*1000*SER_hh_fec_in!P25/SER_hh_num_in!P25)</f>
        <v>17660.239633913199</v>
      </c>
      <c r="Q25" s="133">
        <f>IF(SER_hh_fec_in!Q25=0,0,11630*1000*SER_hh_fec_in!Q25/SER_hh_num_in!Q25)</f>
        <v>17431.797279715836</v>
      </c>
      <c r="R25" s="133">
        <f>IF(SER_hh_fec_in!R25=0,0,11630*1000*SER_hh_fec_in!R25/SER_hh_num_in!R25)</f>
        <v>17411.112157674928</v>
      </c>
      <c r="S25" s="133">
        <f>IF(SER_hh_fec_in!S25=0,0,11630*1000*SER_hh_fec_in!S25/SER_hh_num_in!S25)</f>
        <v>17077.409484557877</v>
      </c>
      <c r="T25" s="133">
        <f>IF(SER_hh_fec_in!T25=0,0,11630*1000*SER_hh_fec_in!T25/SER_hh_num_in!T25)</f>
        <v>17214.870210087731</v>
      </c>
      <c r="U25" s="133">
        <f>IF(SER_hh_fec_in!U25=0,0,11630*1000*SER_hh_fec_in!U25/SER_hh_num_in!U25)</f>
        <v>16431.82317235243</v>
      </c>
      <c r="V25" s="133">
        <f>IF(SER_hh_fec_in!V25=0,0,11630*1000*SER_hh_fec_in!V25/SER_hh_num_in!V25)</f>
        <v>14777.388805736082</v>
      </c>
      <c r="W25" s="133">
        <f>IF(SER_hh_fec_in!W25=0,0,11630*1000*SER_hh_fec_in!W25/SER_hh_num_in!W25)</f>
        <v>17293.713519095872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22698.710838842278</v>
      </c>
      <c r="D26" s="65">
        <f>IF(SER_hh_fec_in!D26=0,0,11630*1000*SER_hh_fec_in!D26/SER_hh_num_in!D26)</f>
        <v>22482.883254678378</v>
      </c>
      <c r="E26" s="65">
        <f>IF(SER_hh_fec_in!E26=0,0,11630*1000*SER_hh_fec_in!E26/SER_hh_num_in!E26)</f>
        <v>22401.876885313442</v>
      </c>
      <c r="F26" s="65">
        <f>IF(SER_hh_fec_in!F26=0,0,11630*1000*SER_hh_fec_in!F26/SER_hh_num_in!F26)</f>
        <v>22172.542374330838</v>
      </c>
      <c r="G26" s="65">
        <f>IF(SER_hh_fec_in!G26=0,0,11630*1000*SER_hh_fec_in!G26/SER_hh_num_in!G26)</f>
        <v>22244.377343744021</v>
      </c>
      <c r="H26" s="65">
        <f>IF(SER_hh_fec_in!H26=0,0,11630*1000*SER_hh_fec_in!H26/SER_hh_num_in!H26)</f>
        <v>21809.04937771985</v>
      </c>
      <c r="I26" s="65">
        <f>IF(SER_hh_fec_in!I26=0,0,11630*1000*SER_hh_fec_in!I26/SER_hh_num_in!I26)</f>
        <v>21285.203195166479</v>
      </c>
      <c r="J26" s="65">
        <f>IF(SER_hh_fec_in!J26=0,0,11630*1000*SER_hh_fec_in!J26/SER_hh_num_in!J26)</f>
        <v>21319.988285352065</v>
      </c>
      <c r="K26" s="65">
        <f>IF(SER_hh_fec_in!K26=0,0,11630*1000*SER_hh_fec_in!K26/SER_hh_num_in!K26)</f>
        <v>21179.93997099133</v>
      </c>
      <c r="L26" s="65">
        <f>IF(SER_hh_fec_in!L26=0,0,11630*1000*SER_hh_fec_in!L26/SER_hh_num_in!L26)</f>
        <v>21182.266828051565</v>
      </c>
      <c r="M26" s="65">
        <f>IF(SER_hh_fec_in!M26=0,0,11630*1000*SER_hh_fec_in!M26/SER_hh_num_in!M26)</f>
        <v>20899.124512520884</v>
      </c>
      <c r="N26" s="65">
        <f>IF(SER_hh_fec_in!N26=0,0,11630*1000*SER_hh_fec_in!N26/SER_hh_num_in!N26)</f>
        <v>20734.753946323603</v>
      </c>
      <c r="O26" s="65">
        <f>IF(SER_hh_fec_in!O26=0,0,11630*1000*SER_hh_fec_in!O26/SER_hh_num_in!O26)</f>
        <v>19891.400130262489</v>
      </c>
      <c r="P26" s="65">
        <f>IF(SER_hh_fec_in!P26=0,0,11630*1000*SER_hh_fec_in!P26/SER_hh_num_in!P26)</f>
        <v>19472.958613786592</v>
      </c>
      <c r="Q26" s="65">
        <f>IF(SER_hh_fec_in!Q26=0,0,11630*1000*SER_hh_fec_in!Q26/SER_hh_num_in!Q26)</f>
        <v>18875.887717834619</v>
      </c>
      <c r="R26" s="65">
        <f>IF(SER_hh_fec_in!R26=0,0,11630*1000*SER_hh_fec_in!R26/SER_hh_num_in!R26)</f>
        <v>17740.705214989928</v>
      </c>
      <c r="S26" s="65">
        <f>IF(SER_hh_fec_in!S26=0,0,11630*1000*SER_hh_fec_in!S26/SER_hh_num_in!S26)</f>
        <v>17407.504924643748</v>
      </c>
      <c r="T26" s="65">
        <f>IF(SER_hh_fec_in!T26=0,0,11630*1000*SER_hh_fec_in!T26/SER_hh_num_in!T26)</f>
        <v>16933.230657998523</v>
      </c>
      <c r="U26" s="65">
        <f>IF(SER_hh_fec_in!U26=0,0,11630*1000*SER_hh_fec_in!U26/SER_hh_num_in!U26)</f>
        <v>16965.119133059939</v>
      </c>
      <c r="V26" s="65">
        <f>IF(SER_hh_fec_in!V26=0,0,11630*1000*SER_hh_fec_in!V26/SER_hh_num_in!V26)</f>
        <v>14939.291823706046</v>
      </c>
      <c r="W26" s="65">
        <f>IF(SER_hh_fec_in!W26=0,0,11630*1000*SER_hh_fec_in!W26/SER_hh_num_in!W26)</f>
        <v>14949.397853562259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19084.869702357773</v>
      </c>
      <c r="D29" s="131">
        <f>IF(SER_hh_fec_in!D29=0,0,11630*1000*SER_hh_fec_in!D29/SER_hh_num_in!D29)</f>
        <v>18656.941754542295</v>
      </c>
      <c r="E29" s="131">
        <f>IF(SER_hh_fec_in!E29=0,0,11630*1000*SER_hh_fec_in!E29/SER_hh_num_in!E29)</f>
        <v>18352.051757533267</v>
      </c>
      <c r="F29" s="131">
        <f>IF(SER_hh_fec_in!F29=0,0,11630*1000*SER_hh_fec_in!F29/SER_hh_num_in!F29)</f>
        <v>18231.283256514278</v>
      </c>
      <c r="G29" s="131">
        <f>IF(SER_hh_fec_in!G29=0,0,11630*1000*SER_hh_fec_in!G29/SER_hh_num_in!G29)</f>
        <v>17950.307076451154</v>
      </c>
      <c r="H29" s="131">
        <f>IF(SER_hh_fec_in!H29=0,0,11630*1000*SER_hh_fec_in!H29/SER_hh_num_in!H29)</f>
        <v>17919.689725972446</v>
      </c>
      <c r="I29" s="131">
        <f>IF(SER_hh_fec_in!I29=0,0,11630*1000*SER_hh_fec_in!I29/SER_hh_num_in!I29)</f>
        <v>17557.883673701956</v>
      </c>
      <c r="J29" s="131">
        <f>IF(SER_hh_fec_in!J29=0,0,11630*1000*SER_hh_fec_in!J29/SER_hh_num_in!J29)</f>
        <v>17318.855111275599</v>
      </c>
      <c r="K29" s="131">
        <f>IF(SER_hh_fec_in!K29=0,0,11630*1000*SER_hh_fec_in!K29/SER_hh_num_in!K29)</f>
        <v>17327.043803288889</v>
      </c>
      <c r="L29" s="131">
        <f>IF(SER_hh_fec_in!L29=0,0,11630*1000*SER_hh_fec_in!L29/SER_hh_num_in!L29)</f>
        <v>17034.259861844308</v>
      </c>
      <c r="M29" s="131">
        <f>IF(SER_hh_fec_in!M29=0,0,11630*1000*SER_hh_fec_in!M29/SER_hh_num_in!M29)</f>
        <v>17083.110392168575</v>
      </c>
      <c r="N29" s="131">
        <f>IF(SER_hh_fec_in!N29=0,0,11630*1000*SER_hh_fec_in!N29/SER_hh_num_in!N29)</f>
        <v>16960.373338301455</v>
      </c>
      <c r="O29" s="131">
        <f>IF(SER_hh_fec_in!O29=0,0,11630*1000*SER_hh_fec_in!O29/SER_hh_num_in!O29)</f>
        <v>16705.71298379232</v>
      </c>
      <c r="P29" s="131">
        <f>IF(SER_hh_fec_in!P29=0,0,11630*1000*SER_hh_fec_in!P29/SER_hh_num_in!P29)</f>
        <v>16723.560341963206</v>
      </c>
      <c r="Q29" s="131">
        <f>IF(SER_hh_fec_in!Q29=0,0,11630*1000*SER_hh_fec_in!Q29/SER_hh_num_in!Q29)</f>
        <v>16740.656677949279</v>
      </c>
      <c r="R29" s="131">
        <f>IF(SER_hh_fec_in!R29=0,0,11630*1000*SER_hh_fec_in!R29/SER_hh_num_in!R29)</f>
        <v>16923.723661167885</v>
      </c>
      <c r="S29" s="131">
        <f>IF(SER_hh_fec_in!S29=0,0,11630*1000*SER_hh_fec_in!S29/SER_hh_num_in!S29)</f>
        <v>16588.851640591445</v>
      </c>
      <c r="T29" s="131">
        <f>IF(SER_hh_fec_in!T29=0,0,11630*1000*SER_hh_fec_in!T29/SER_hh_num_in!T29)</f>
        <v>16234.104464300559</v>
      </c>
      <c r="U29" s="131">
        <f>IF(SER_hh_fec_in!U29=0,0,11630*1000*SER_hh_fec_in!U29/SER_hh_num_in!U29)</f>
        <v>16439.815087449555</v>
      </c>
      <c r="V29" s="131">
        <f>IF(SER_hh_fec_in!V29=0,0,11630*1000*SER_hh_fec_in!V29/SER_hh_num_in!V29)</f>
        <v>14892.399164586752</v>
      </c>
      <c r="W29" s="131">
        <f>IF(SER_hh_fec_in!W29=0,0,11630*1000*SER_hh_fec_in!W29/SER_hh_num_in!W29)</f>
        <v>16420.755702542392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24768.997516815998</v>
      </c>
      <c r="D31" s="133">
        <f>IF(SER_hh_fec_in!D31=0,0,11630*1000*SER_hh_fec_in!D31/SER_hh_num_in!D31)</f>
        <v>24396.810626054845</v>
      </c>
      <c r="E31" s="133">
        <f>IF(SER_hh_fec_in!E31=0,0,11630*1000*SER_hh_fec_in!E31/SER_hh_num_in!E31)</f>
        <v>23974.674460166614</v>
      </c>
      <c r="F31" s="133">
        <f>IF(SER_hh_fec_in!F31=0,0,11630*1000*SER_hh_fec_in!F31/SER_hh_num_in!F31)</f>
        <v>23882.236358550294</v>
      </c>
      <c r="G31" s="133">
        <f>IF(SER_hh_fec_in!G31=0,0,11630*1000*SER_hh_fec_in!G31/SER_hh_num_in!G31)</f>
        <v>23619.855753522974</v>
      </c>
      <c r="H31" s="133">
        <f>IF(SER_hh_fec_in!H31=0,0,11630*1000*SER_hh_fec_in!H31/SER_hh_num_in!H31)</f>
        <v>23368.174829065931</v>
      </c>
      <c r="I31" s="133">
        <f>IF(SER_hh_fec_in!I31=0,0,11630*1000*SER_hh_fec_in!I31/SER_hh_num_in!I31)</f>
        <v>23151.87346947175</v>
      </c>
      <c r="J31" s="133">
        <f>IF(SER_hh_fec_in!J31=0,0,11630*1000*SER_hh_fec_in!J31/SER_hh_num_in!J31)</f>
        <v>23300.824287234649</v>
      </c>
      <c r="K31" s="133">
        <f>IF(SER_hh_fec_in!K31=0,0,11630*1000*SER_hh_fec_in!K31/SER_hh_num_in!K31)</f>
        <v>22707.49944799994</v>
      </c>
      <c r="L31" s="133">
        <f>IF(SER_hh_fec_in!L31=0,0,11630*1000*SER_hh_fec_in!L31/SER_hh_num_in!L31)</f>
        <v>22481.034069080873</v>
      </c>
      <c r="M31" s="133">
        <f>IF(SER_hh_fec_in!M31=0,0,11630*1000*SER_hh_fec_in!M31/SER_hh_num_in!M31)</f>
        <v>21944.286898698258</v>
      </c>
      <c r="N31" s="133">
        <f>IF(SER_hh_fec_in!N31=0,0,11630*1000*SER_hh_fec_in!N31/SER_hh_num_in!N31)</f>
        <v>22191.710977650724</v>
      </c>
      <c r="O31" s="133">
        <f>IF(SER_hh_fec_in!O31=0,0,11630*1000*SER_hh_fec_in!O31/SER_hh_num_in!O31)</f>
        <v>22667.436399397488</v>
      </c>
      <c r="P31" s="133">
        <f>IF(SER_hh_fec_in!P31=0,0,11630*1000*SER_hh_fec_in!P31/SER_hh_num_in!P31)</f>
        <v>22451.385702262531</v>
      </c>
      <c r="Q31" s="133">
        <f>IF(SER_hh_fec_in!Q31=0,0,11630*1000*SER_hh_fec_in!Q31/SER_hh_num_in!Q31)</f>
        <v>22589.665725246527</v>
      </c>
      <c r="R31" s="133">
        <f>IF(SER_hh_fec_in!R31=0,0,11630*1000*SER_hh_fec_in!R31/SER_hh_num_in!R31)</f>
        <v>22216.018004673642</v>
      </c>
      <c r="S31" s="133">
        <f>IF(SER_hh_fec_in!S31=0,0,11630*1000*SER_hh_fec_in!S31/SER_hh_num_in!S31)</f>
        <v>24910.384112246196</v>
      </c>
      <c r="T31" s="133">
        <f>IF(SER_hh_fec_in!T31=0,0,11630*1000*SER_hh_fec_in!T31/SER_hh_num_in!T31)</f>
        <v>22278.257820818773</v>
      </c>
      <c r="U31" s="133">
        <f>IF(SER_hh_fec_in!U31=0,0,11630*1000*SER_hh_fec_in!U31/SER_hh_num_in!U31)</f>
        <v>21337.560294277177</v>
      </c>
      <c r="V31" s="133">
        <f>IF(SER_hh_fec_in!V31=0,0,11630*1000*SER_hh_fec_in!V31/SER_hh_num_in!V31)</f>
        <v>20398.787789093578</v>
      </c>
      <c r="W31" s="133">
        <f>IF(SER_hh_fec_in!W31=0,0,11630*1000*SER_hh_fec_in!W31/SER_hh_num_in!W31)</f>
        <v>27517.39573956075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18944.191527587271</v>
      </c>
      <c r="D33" s="68">
        <f>IF(SER_hh_fec_in!D33=0,0,11630*1000*SER_hh_fec_in!D33/SER_hh_num_in!D33)</f>
        <v>18495.631672383392</v>
      </c>
      <c r="E33" s="68">
        <f>IF(SER_hh_fec_in!E33=0,0,11630*1000*SER_hh_fec_in!E33/SER_hh_num_in!E33)</f>
        <v>18196.677894157561</v>
      </c>
      <c r="F33" s="68">
        <f>IF(SER_hh_fec_in!F33=0,0,11630*1000*SER_hh_fec_in!F33/SER_hh_num_in!F33)</f>
        <v>18090.507693671872</v>
      </c>
      <c r="G33" s="68">
        <f>IF(SER_hh_fec_in!G33=0,0,11630*1000*SER_hh_fec_in!G33/SER_hh_num_in!G33)</f>
        <v>17814.745149039201</v>
      </c>
      <c r="H33" s="68">
        <f>IF(SER_hh_fec_in!H33=0,0,11630*1000*SER_hh_fec_in!H33/SER_hh_num_in!H33)</f>
        <v>17804.21860435123</v>
      </c>
      <c r="I33" s="68">
        <f>IF(SER_hh_fec_in!I33=0,0,11630*1000*SER_hh_fec_in!I33/SER_hh_num_in!I33)</f>
        <v>17448.044845862063</v>
      </c>
      <c r="J33" s="68">
        <f>IF(SER_hh_fec_in!J33=0,0,11630*1000*SER_hh_fec_in!J33/SER_hh_num_in!J33)</f>
        <v>17210.400229663523</v>
      </c>
      <c r="K33" s="68">
        <f>IF(SER_hh_fec_in!K33=0,0,11630*1000*SER_hh_fec_in!K33/SER_hh_num_in!K33)</f>
        <v>17249.935512077849</v>
      </c>
      <c r="L33" s="68">
        <f>IF(SER_hh_fec_in!L33=0,0,11630*1000*SER_hh_fec_in!L33/SER_hh_num_in!L33)</f>
        <v>16970.744246721835</v>
      </c>
      <c r="M33" s="68">
        <f>IF(SER_hh_fec_in!M33=0,0,11630*1000*SER_hh_fec_in!M33/SER_hh_num_in!M33)</f>
        <v>17052.380829005204</v>
      </c>
      <c r="N33" s="68">
        <f>IF(SER_hh_fec_in!N33=0,0,11630*1000*SER_hh_fec_in!N33/SER_hh_num_in!N33)</f>
        <v>16878.104064512641</v>
      </c>
      <c r="O33" s="68">
        <f>IF(SER_hh_fec_in!O33=0,0,11630*1000*SER_hh_fec_in!O33/SER_hh_num_in!O33)</f>
        <v>16591.007322445268</v>
      </c>
      <c r="P33" s="68">
        <f>IF(SER_hh_fec_in!P33=0,0,11630*1000*SER_hh_fec_in!P33/SER_hh_num_in!P33)</f>
        <v>16626.69989070575</v>
      </c>
      <c r="Q33" s="68">
        <f>IF(SER_hh_fec_in!Q33=0,0,11630*1000*SER_hh_fec_in!Q33/SER_hh_num_in!Q33)</f>
        <v>16640.049204375413</v>
      </c>
      <c r="R33" s="68">
        <f>IF(SER_hh_fec_in!R33=0,0,11630*1000*SER_hh_fec_in!R33/SER_hh_num_in!R33)</f>
        <v>16847.348887006563</v>
      </c>
      <c r="S33" s="68">
        <f>IF(SER_hh_fec_in!S33=0,0,11630*1000*SER_hh_fec_in!S33/SER_hh_num_in!S33)</f>
        <v>16455.407885268465</v>
      </c>
      <c r="T33" s="68">
        <f>IF(SER_hh_fec_in!T33=0,0,11630*1000*SER_hh_fec_in!T33/SER_hh_num_in!T33)</f>
        <v>16184.178711435814</v>
      </c>
      <c r="U33" s="68">
        <f>IF(SER_hh_fec_in!U33=0,0,11630*1000*SER_hh_fec_in!U33/SER_hh_num_in!U33)</f>
        <v>16381.976833721808</v>
      </c>
      <c r="V33" s="68">
        <f>IF(SER_hh_fec_in!V33=0,0,11630*1000*SER_hh_fec_in!V33/SER_hh_num_in!V33)</f>
        <v>14806.921331124158</v>
      </c>
      <c r="W33" s="68">
        <f>IF(SER_hh_fec_in!W33=0,0,11630*1000*SER_hh_fec_in!W33/SER_hh_num_in!W33)</f>
        <v>16313.603503748995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175008.21766687828</v>
      </c>
      <c r="D3" s="126">
        <f>IF(SER_hh_tes_in!D3=0,0,11630*1000*SER_hh_tes_in!D3/SER_hh_num_in!D3)</f>
        <v>176333.53165656116</v>
      </c>
      <c r="E3" s="126">
        <f>IF(SER_hh_tes_in!E3=0,0,11630*1000*SER_hh_tes_in!E3/SER_hh_num_in!E3)</f>
        <v>174410.13459785533</v>
      </c>
      <c r="F3" s="126">
        <f>IF(SER_hh_tes_in!F3=0,0,11630*1000*SER_hh_tes_in!F3/SER_hh_num_in!F3)</f>
        <v>169064.08550238286</v>
      </c>
      <c r="G3" s="126">
        <f>IF(SER_hh_tes_in!G3=0,0,11630*1000*SER_hh_tes_in!G3/SER_hh_num_in!G3)</f>
        <v>163729.80068249677</v>
      </c>
      <c r="H3" s="126">
        <f>IF(SER_hh_tes_in!H3=0,0,11630*1000*SER_hh_tes_in!H3/SER_hh_num_in!H3)</f>
        <v>162551.78326799927</v>
      </c>
      <c r="I3" s="126">
        <f>IF(SER_hh_tes_in!I3=0,0,11630*1000*SER_hh_tes_in!I3/SER_hh_num_in!I3)</f>
        <v>167846.4203872605</v>
      </c>
      <c r="J3" s="126">
        <f>IF(SER_hh_tes_in!J3=0,0,11630*1000*SER_hh_tes_in!J3/SER_hh_num_in!J3)</f>
        <v>162834.74572442897</v>
      </c>
      <c r="K3" s="126">
        <f>IF(SER_hh_tes_in!K3=0,0,11630*1000*SER_hh_tes_in!K3/SER_hh_num_in!K3)</f>
        <v>173450.10590507364</v>
      </c>
      <c r="L3" s="126">
        <f>IF(SER_hh_tes_in!L3=0,0,11630*1000*SER_hh_tes_in!L3/SER_hh_num_in!L3)</f>
        <v>181159.21891410323</v>
      </c>
      <c r="M3" s="126">
        <f>IF(SER_hh_tes_in!M3=0,0,11630*1000*SER_hh_tes_in!M3/SER_hh_num_in!M3)</f>
        <v>157807.34713943151</v>
      </c>
      <c r="N3" s="126">
        <f>IF(SER_hh_tes_in!N3=0,0,11630*1000*SER_hh_tes_in!N3/SER_hh_num_in!N3)</f>
        <v>164172.76926599405</v>
      </c>
      <c r="O3" s="126">
        <f>IF(SER_hh_tes_in!O3=0,0,11630*1000*SER_hh_tes_in!O3/SER_hh_num_in!O3)</f>
        <v>152235.81485935033</v>
      </c>
      <c r="P3" s="126">
        <f>IF(SER_hh_tes_in!P3=0,0,11630*1000*SER_hh_tes_in!P3/SER_hh_num_in!P3)</f>
        <v>152224.57734057636</v>
      </c>
      <c r="Q3" s="126">
        <f>IF(SER_hh_tes_in!Q3=0,0,11630*1000*SER_hh_tes_in!Q3/SER_hh_num_in!Q3)</f>
        <v>138251.7539360931</v>
      </c>
      <c r="R3" s="126">
        <f>IF(SER_hh_tes_in!R3=0,0,11630*1000*SER_hh_tes_in!R3/SER_hh_num_in!R3)</f>
        <v>140261.28039693422</v>
      </c>
      <c r="S3" s="126">
        <f>IF(SER_hh_tes_in!S3=0,0,11630*1000*SER_hh_tes_in!S3/SER_hh_num_in!S3)</f>
        <v>132964.23362731995</v>
      </c>
      <c r="T3" s="126">
        <f>IF(SER_hh_tes_in!T3=0,0,11630*1000*SER_hh_tes_in!T3/SER_hh_num_in!T3)</f>
        <v>129960.48662856073</v>
      </c>
      <c r="U3" s="126">
        <f>IF(SER_hh_tes_in!U3=0,0,11630*1000*SER_hh_tes_in!U3/SER_hh_num_in!U3)</f>
        <v>119928.49230457762</v>
      </c>
      <c r="V3" s="126">
        <f>IF(SER_hh_tes_in!V3=0,0,11630*1000*SER_hh_tes_in!V3/SER_hh_num_in!V3)</f>
        <v>103781.60822309861</v>
      </c>
      <c r="W3" s="126">
        <f>IF(SER_hh_tes_in!W3=0,0,11630*1000*SER_hh_tes_in!W3/SER_hh_num_in!W3)</f>
        <v>101485.79793421281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122246.3544556964</v>
      </c>
      <c r="D4" s="131">
        <f>IF(SER_hh_tes_in!D4=0,0,11630*1000*SER_hh_tes_in!D4/SER_hh_num_in!D4)</f>
        <v>124157.37367333325</v>
      </c>
      <c r="E4" s="131">
        <f>IF(SER_hh_tes_in!E4=0,0,11630*1000*SER_hh_tes_in!E4/SER_hh_num_in!E4)</f>
        <v>121528.42327840577</v>
      </c>
      <c r="F4" s="131">
        <f>IF(SER_hh_tes_in!F4=0,0,11630*1000*SER_hh_tes_in!F4/SER_hh_num_in!F4)</f>
        <v>117505.01074295625</v>
      </c>
      <c r="G4" s="131">
        <f>IF(SER_hh_tes_in!G4=0,0,11630*1000*SER_hh_tes_in!G4/SER_hh_num_in!G4)</f>
        <v>112412.72772349684</v>
      </c>
      <c r="H4" s="131">
        <f>IF(SER_hh_tes_in!H4=0,0,11630*1000*SER_hh_tes_in!H4/SER_hh_num_in!H4)</f>
        <v>111374.71542849083</v>
      </c>
      <c r="I4" s="131">
        <f>IF(SER_hh_tes_in!I4=0,0,11630*1000*SER_hh_tes_in!I4/SER_hh_num_in!I4)</f>
        <v>117157.2162478188</v>
      </c>
      <c r="J4" s="131">
        <f>IF(SER_hh_tes_in!J4=0,0,11630*1000*SER_hh_tes_in!J4/SER_hh_num_in!J4)</f>
        <v>112468.51180749589</v>
      </c>
      <c r="K4" s="131">
        <f>IF(SER_hh_tes_in!K4=0,0,11630*1000*SER_hh_tes_in!K4/SER_hh_num_in!K4)</f>
        <v>123373.3899663592</v>
      </c>
      <c r="L4" s="131">
        <f>IF(SER_hh_tes_in!L4=0,0,11630*1000*SER_hh_tes_in!L4/SER_hh_num_in!L4)</f>
        <v>129869.26026856482</v>
      </c>
      <c r="M4" s="131">
        <f>IF(SER_hh_tes_in!M4=0,0,11630*1000*SER_hh_tes_in!M4/SER_hh_num_in!M4)</f>
        <v>108108.01391046439</v>
      </c>
      <c r="N4" s="131">
        <f>IF(SER_hh_tes_in!N4=0,0,11630*1000*SER_hh_tes_in!N4/SER_hh_num_in!N4)</f>
        <v>115055.441388987</v>
      </c>
      <c r="O4" s="131">
        <f>IF(SER_hh_tes_in!O4=0,0,11630*1000*SER_hh_tes_in!O4/SER_hh_num_in!O4)</f>
        <v>103668.69354551147</v>
      </c>
      <c r="P4" s="131">
        <f>IF(SER_hh_tes_in!P4=0,0,11630*1000*SER_hh_tes_in!P4/SER_hh_num_in!P4)</f>
        <v>103767.2816559385</v>
      </c>
      <c r="Q4" s="131">
        <f>IF(SER_hh_tes_in!Q4=0,0,11630*1000*SER_hh_tes_in!Q4/SER_hh_num_in!Q4)</f>
        <v>90422.127067890993</v>
      </c>
      <c r="R4" s="131">
        <f>IF(SER_hh_tes_in!R4=0,0,11630*1000*SER_hh_tes_in!R4/SER_hh_num_in!R4)</f>
        <v>92200.627430863315</v>
      </c>
      <c r="S4" s="131">
        <f>IF(SER_hh_tes_in!S4=0,0,11630*1000*SER_hh_tes_in!S4/SER_hh_num_in!S4)</f>
        <v>85546.325941558549</v>
      </c>
      <c r="T4" s="131">
        <f>IF(SER_hh_tes_in!T4=0,0,11630*1000*SER_hh_tes_in!T4/SER_hh_num_in!T4)</f>
        <v>83039.869699797899</v>
      </c>
      <c r="U4" s="131">
        <f>IF(SER_hh_tes_in!U4=0,0,11630*1000*SER_hh_tes_in!U4/SER_hh_num_in!U4)</f>
        <v>73344.011305202686</v>
      </c>
      <c r="V4" s="131">
        <f>IF(SER_hh_tes_in!V4=0,0,11630*1000*SER_hh_tes_in!V4/SER_hh_num_in!V4)</f>
        <v>60540.698601867502</v>
      </c>
      <c r="W4" s="131">
        <f>IF(SER_hh_tes_in!W4=0,0,11630*1000*SER_hh_tes_in!W4/SER_hh_num_in!W4)</f>
        <v>57504.544202998812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119064.04004569347</v>
      </c>
      <c r="D5" s="133">
        <f>IF(SER_hh_tes_in!D5=0,0,11630*1000*SER_hh_tes_in!D5/SER_hh_num_in!D5)</f>
        <v>120190.26530450836</v>
      </c>
      <c r="E5" s="133">
        <f>IF(SER_hh_tes_in!E5=0,0,11630*1000*SER_hh_tes_in!E5/SER_hh_num_in!E5)</f>
        <v>121144.59099694791</v>
      </c>
      <c r="F5" s="133">
        <f>IF(SER_hh_tes_in!F5=0,0,11630*1000*SER_hh_tes_in!F5/SER_hh_num_in!F5)</f>
        <v>114825.81593234185</v>
      </c>
      <c r="G5" s="133">
        <f>IF(SER_hh_tes_in!G5=0,0,11630*1000*SER_hh_tes_in!G5/SER_hh_num_in!G5)</f>
        <v>111728.08624827102</v>
      </c>
      <c r="H5" s="133">
        <f>IF(SER_hh_tes_in!H5=0,0,11630*1000*SER_hh_tes_in!H5/SER_hh_num_in!H5)</f>
        <v>116355.62134499471</v>
      </c>
      <c r="I5" s="133">
        <f>IF(SER_hh_tes_in!I5=0,0,11630*1000*SER_hh_tes_in!I5/SER_hh_num_in!I5)</f>
        <v>96833.853619132875</v>
      </c>
      <c r="J5" s="133">
        <f>IF(SER_hh_tes_in!J5=0,0,11630*1000*SER_hh_tes_in!J5/SER_hh_num_in!J5)</f>
        <v>115080.33214122224</v>
      </c>
      <c r="K5" s="133">
        <f>IF(SER_hh_tes_in!K5=0,0,11630*1000*SER_hh_tes_in!K5/SER_hh_num_in!K5)</f>
        <v>123912.16101097675</v>
      </c>
      <c r="L5" s="133">
        <f>IF(SER_hh_tes_in!L5=0,0,11630*1000*SER_hh_tes_in!L5/SER_hh_num_in!L5)</f>
        <v>131730.04603506016</v>
      </c>
      <c r="M5" s="133">
        <f>IF(SER_hh_tes_in!M5=0,0,11630*1000*SER_hh_tes_in!M5/SER_hh_num_in!M5)</f>
        <v>103974.95173274043</v>
      </c>
      <c r="N5" s="133">
        <f>IF(SER_hh_tes_in!N5=0,0,11630*1000*SER_hh_tes_in!N5/SER_hh_num_in!N5)</f>
        <v>116636.72595978332</v>
      </c>
      <c r="O5" s="133">
        <f>IF(SER_hh_tes_in!O5=0,0,11630*1000*SER_hh_tes_in!O5/SER_hh_num_in!O5)</f>
        <v>103397.27420356606</v>
      </c>
      <c r="P5" s="133">
        <f>IF(SER_hh_tes_in!P5=0,0,11630*1000*SER_hh_tes_in!P5/SER_hh_num_in!P5)</f>
        <v>102273.24532102239</v>
      </c>
      <c r="Q5" s="133">
        <f>IF(SER_hh_tes_in!Q5=0,0,11630*1000*SER_hh_tes_in!Q5/SER_hh_num_in!Q5)</f>
        <v>88256.449292191945</v>
      </c>
      <c r="R5" s="133">
        <f>IF(SER_hh_tes_in!R5=0,0,11630*1000*SER_hh_tes_in!R5/SER_hh_num_in!R5)</f>
        <v>91487.29680972315</v>
      </c>
      <c r="S5" s="133">
        <f>IF(SER_hh_tes_in!S5=0,0,11630*1000*SER_hh_tes_in!S5/SER_hh_num_in!S5)</f>
        <v>84859.143767943911</v>
      </c>
      <c r="T5" s="133">
        <f>IF(SER_hh_tes_in!T5=0,0,11630*1000*SER_hh_tes_in!T5/SER_hh_num_in!T5)</f>
        <v>80351.355197562123</v>
      </c>
      <c r="U5" s="133">
        <f>IF(SER_hh_tes_in!U5=0,0,11630*1000*SER_hh_tes_in!U5/SER_hh_num_in!U5)</f>
        <v>76260.173203290891</v>
      </c>
      <c r="V5" s="133">
        <f>IF(SER_hh_tes_in!V5=0,0,11630*1000*SER_hh_tes_in!V5/SER_hh_num_in!V5)</f>
        <v>62632.403622085847</v>
      </c>
      <c r="W5" s="133">
        <f>IF(SER_hh_tes_in!W5=0,0,11630*1000*SER_hh_tes_in!W5/SER_hh_num_in!W5)</f>
        <v>56101.496813274694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118987.22305243852</v>
      </c>
      <c r="D7" s="133">
        <f>IF(SER_hh_tes_in!D7=0,0,11630*1000*SER_hh_tes_in!D7/SER_hh_num_in!D7)</f>
        <v>119355.24823743064</v>
      </c>
      <c r="E7" s="133">
        <f>IF(SER_hh_tes_in!E7=0,0,11630*1000*SER_hh_tes_in!E7/SER_hh_num_in!E7)</f>
        <v>118983.48354781701</v>
      </c>
      <c r="F7" s="133">
        <f>IF(SER_hh_tes_in!F7=0,0,11630*1000*SER_hh_tes_in!F7/SER_hh_num_in!F7)</f>
        <v>115809.91903468293</v>
      </c>
      <c r="G7" s="133">
        <f>IF(SER_hh_tes_in!G7=0,0,11630*1000*SER_hh_tes_in!G7/SER_hh_num_in!G7)</f>
        <v>111276.20762277753</v>
      </c>
      <c r="H7" s="133">
        <f>IF(SER_hh_tes_in!H7=0,0,11630*1000*SER_hh_tes_in!H7/SER_hh_num_in!H7)</f>
        <v>114198.66746628328</v>
      </c>
      <c r="I7" s="133">
        <f>IF(SER_hh_tes_in!I7=0,0,11630*1000*SER_hh_tes_in!I7/SER_hh_num_in!I7)</f>
        <v>116236.58474604753</v>
      </c>
      <c r="J7" s="133">
        <f>IF(SER_hh_tes_in!J7=0,0,11630*1000*SER_hh_tes_in!J7/SER_hh_num_in!J7)</f>
        <v>100286.11261482279</v>
      </c>
      <c r="K7" s="133">
        <f>IF(SER_hh_tes_in!K7=0,0,11630*1000*SER_hh_tes_in!K7/SER_hh_num_in!K7)</f>
        <v>113597.92342190773</v>
      </c>
      <c r="L7" s="133">
        <f>IF(SER_hh_tes_in!L7=0,0,11630*1000*SER_hh_tes_in!L7/SER_hh_num_in!L7)</f>
        <v>131368.60378235771</v>
      </c>
      <c r="M7" s="133">
        <f>IF(SER_hh_tes_in!M7=0,0,11630*1000*SER_hh_tes_in!M7/SER_hh_num_in!M7)</f>
        <v>106718.80353446389</v>
      </c>
      <c r="N7" s="133">
        <f>IF(SER_hh_tes_in!N7=0,0,11630*1000*SER_hh_tes_in!N7/SER_hh_num_in!N7)</f>
        <v>115382.92923528317</v>
      </c>
      <c r="O7" s="133">
        <f>IF(SER_hh_tes_in!O7=0,0,11630*1000*SER_hh_tes_in!O7/SER_hh_num_in!O7)</f>
        <v>102610.88440346418</v>
      </c>
      <c r="P7" s="133">
        <f>IF(SER_hh_tes_in!P7=0,0,11630*1000*SER_hh_tes_in!P7/SER_hh_num_in!P7)</f>
        <v>99523.532990822729</v>
      </c>
      <c r="Q7" s="133">
        <f>IF(SER_hh_tes_in!Q7=0,0,11630*1000*SER_hh_tes_in!Q7/SER_hh_num_in!Q7)</f>
        <v>86928.072897243139</v>
      </c>
      <c r="R7" s="133">
        <f>IF(SER_hh_tes_in!R7=0,0,11630*1000*SER_hh_tes_in!R7/SER_hh_num_in!R7)</f>
        <v>91045.205188323947</v>
      </c>
      <c r="S7" s="133">
        <f>IF(SER_hh_tes_in!S7=0,0,11630*1000*SER_hh_tes_in!S7/SER_hh_num_in!S7)</f>
        <v>85206.460711700565</v>
      </c>
      <c r="T7" s="133">
        <f>IF(SER_hh_tes_in!T7=0,0,11630*1000*SER_hh_tes_in!T7/SER_hh_num_in!T7)</f>
        <v>79845.959551861539</v>
      </c>
      <c r="U7" s="133">
        <f>IF(SER_hh_tes_in!U7=0,0,11630*1000*SER_hh_tes_in!U7/SER_hh_num_in!U7)</f>
        <v>72674.370049878897</v>
      </c>
      <c r="V7" s="133">
        <f>IF(SER_hh_tes_in!V7=0,0,11630*1000*SER_hh_tes_in!V7/SER_hh_num_in!V7)</f>
        <v>59529.552253345842</v>
      </c>
      <c r="W7" s="133">
        <f>IF(SER_hh_tes_in!W7=0,0,11630*1000*SER_hh_tes_in!W7/SER_hh_num_in!W7)</f>
        <v>56761.986175944425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111809.4841021098</v>
      </c>
      <c r="D9" s="133">
        <f>IF(SER_hh_tes_in!D9=0,0,11630*1000*SER_hh_tes_in!D9/SER_hh_num_in!D9)</f>
        <v>122695.79712654762</v>
      </c>
      <c r="E9" s="133">
        <f>IF(SER_hh_tes_in!E9=0,0,11630*1000*SER_hh_tes_in!E9/SER_hh_num_in!E9)</f>
        <v>117861.26795878941</v>
      </c>
      <c r="F9" s="133">
        <f>IF(SER_hh_tes_in!F9=0,0,11630*1000*SER_hh_tes_in!F9/SER_hh_num_in!F9)</f>
        <v>121171.69008153715</v>
      </c>
      <c r="G9" s="133">
        <f>IF(SER_hh_tes_in!G9=0,0,11630*1000*SER_hh_tes_in!G9/SER_hh_num_in!G9)</f>
        <v>116496.24595497621</v>
      </c>
      <c r="H9" s="133">
        <f>IF(SER_hh_tes_in!H9=0,0,11630*1000*SER_hh_tes_in!H9/SER_hh_num_in!H9)</f>
        <v>111334.55164916231</v>
      </c>
      <c r="I9" s="133">
        <f>IF(SER_hh_tes_in!I9=0,0,11630*1000*SER_hh_tes_in!I9/SER_hh_num_in!I9)</f>
        <v>112206.55044650828</v>
      </c>
      <c r="J9" s="133">
        <f>IF(SER_hh_tes_in!J9=0,0,11630*1000*SER_hh_tes_in!J9/SER_hh_num_in!J9)</f>
        <v>112118.98058527877</v>
      </c>
      <c r="K9" s="133">
        <f>IF(SER_hh_tes_in!K9=0,0,11630*1000*SER_hh_tes_in!K9/SER_hh_num_in!K9)</f>
        <v>109381.07761579967</v>
      </c>
      <c r="L9" s="133">
        <f>IF(SER_hh_tes_in!L9=0,0,11630*1000*SER_hh_tes_in!L9/SER_hh_num_in!L9)</f>
        <v>115271.10094192241</v>
      </c>
      <c r="M9" s="133">
        <f>IF(SER_hh_tes_in!M9=0,0,11630*1000*SER_hh_tes_in!M9/SER_hh_num_in!M9)</f>
        <v>145835.90434295588</v>
      </c>
      <c r="N9" s="133">
        <f>IF(SER_hh_tes_in!N9=0,0,11630*1000*SER_hh_tes_in!N9/SER_hh_num_in!N9)</f>
        <v>154058.82266661886</v>
      </c>
      <c r="O9" s="133">
        <f>IF(SER_hh_tes_in!O9=0,0,11630*1000*SER_hh_tes_in!O9/SER_hh_num_in!O9)</f>
        <v>123327.8519584419</v>
      </c>
      <c r="P9" s="133">
        <f>IF(SER_hh_tes_in!P9=0,0,11630*1000*SER_hh_tes_in!P9/SER_hh_num_in!P9)</f>
        <v>102704.47684807223</v>
      </c>
      <c r="Q9" s="133">
        <f>IF(SER_hh_tes_in!Q9=0,0,11630*1000*SER_hh_tes_in!Q9/SER_hh_num_in!Q9)</f>
        <v>86316.606060528153</v>
      </c>
      <c r="R9" s="133">
        <f>IF(SER_hh_tes_in!R9=0,0,11630*1000*SER_hh_tes_in!R9/SER_hh_num_in!R9)</f>
        <v>80698.884027653097</v>
      </c>
      <c r="S9" s="133">
        <f>IF(SER_hh_tes_in!S9=0,0,11630*1000*SER_hh_tes_in!S9/SER_hh_num_in!S9)</f>
        <v>92347.140852753451</v>
      </c>
      <c r="T9" s="133">
        <f>IF(SER_hh_tes_in!T9=0,0,11630*1000*SER_hh_tes_in!T9/SER_hh_num_in!T9)</f>
        <v>80471.683091277271</v>
      </c>
      <c r="U9" s="133">
        <f>IF(SER_hh_tes_in!U9=0,0,11630*1000*SER_hh_tes_in!U9/SER_hh_num_in!U9)</f>
        <v>71735.645405486008</v>
      </c>
      <c r="V9" s="133">
        <f>IF(SER_hh_tes_in!V9=0,0,11630*1000*SER_hh_tes_in!V9/SER_hh_num_in!V9)</f>
        <v>58550.520763943648</v>
      </c>
      <c r="W9" s="133">
        <f>IF(SER_hh_tes_in!W9=0,0,11630*1000*SER_hh_tes_in!W9/SER_hh_num_in!W9)</f>
        <v>57906.233683891071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121031.64352511827</v>
      </c>
      <c r="D10" s="133">
        <f>IF(SER_hh_tes_in!D10=0,0,11630*1000*SER_hh_tes_in!D10/SER_hh_num_in!D10)</f>
        <v>122101.73799050252</v>
      </c>
      <c r="E10" s="133">
        <f>IF(SER_hh_tes_in!E10=0,0,11630*1000*SER_hh_tes_in!E10/SER_hh_num_in!E10)</f>
        <v>120501.97723371768</v>
      </c>
      <c r="F10" s="133">
        <f>IF(SER_hh_tes_in!F10=0,0,11630*1000*SER_hh_tes_in!F10/SER_hh_num_in!F10)</f>
        <v>115862.60374299552</v>
      </c>
      <c r="G10" s="133">
        <f>IF(SER_hh_tes_in!G10=0,0,11630*1000*SER_hh_tes_in!G10/SER_hh_num_in!G10)</f>
        <v>112478.96640778995</v>
      </c>
      <c r="H10" s="133">
        <f>IF(SER_hh_tes_in!H10=0,0,11630*1000*SER_hh_tes_in!H10/SER_hh_num_in!H10)</f>
        <v>112989.18859034131</v>
      </c>
      <c r="I10" s="133">
        <f>IF(SER_hh_tes_in!I10=0,0,11630*1000*SER_hh_tes_in!I10/SER_hh_num_in!I10)</f>
        <v>110479.51382238754</v>
      </c>
      <c r="J10" s="133">
        <f>IF(SER_hh_tes_in!J10=0,0,11630*1000*SER_hh_tes_in!J10/SER_hh_num_in!J10)</f>
        <v>114913.98046217061</v>
      </c>
      <c r="K10" s="133">
        <f>IF(SER_hh_tes_in!K10=0,0,11630*1000*SER_hh_tes_in!K10/SER_hh_num_in!K10)</f>
        <v>120488.03377781129</v>
      </c>
      <c r="L10" s="133">
        <f>IF(SER_hh_tes_in!L10=0,0,11630*1000*SER_hh_tes_in!L10/SER_hh_num_in!L10)</f>
        <v>129330.81038915971</v>
      </c>
      <c r="M10" s="133">
        <f>IF(SER_hh_tes_in!M10=0,0,11630*1000*SER_hh_tes_in!M10/SER_hh_num_in!M10)</f>
        <v>107463.70635870991</v>
      </c>
      <c r="N10" s="133">
        <f>IF(SER_hh_tes_in!N10=0,0,11630*1000*SER_hh_tes_in!N10/SER_hh_num_in!N10)</f>
        <v>115331.18041749888</v>
      </c>
      <c r="O10" s="133">
        <f>IF(SER_hh_tes_in!O10=0,0,11630*1000*SER_hh_tes_in!O10/SER_hh_num_in!O10)</f>
        <v>102735.1609553883</v>
      </c>
      <c r="P10" s="133">
        <f>IF(SER_hh_tes_in!P10=0,0,11630*1000*SER_hh_tes_in!P10/SER_hh_num_in!P10)</f>
        <v>101568.16370778583</v>
      </c>
      <c r="Q10" s="133">
        <f>IF(SER_hh_tes_in!Q10=0,0,11630*1000*SER_hh_tes_in!Q10/SER_hh_num_in!Q10)</f>
        <v>87763.691783983886</v>
      </c>
      <c r="R10" s="133">
        <f>IF(SER_hh_tes_in!R10=0,0,11630*1000*SER_hh_tes_in!R10/SER_hh_num_in!R10)</f>
        <v>91760.112325274255</v>
      </c>
      <c r="S10" s="133">
        <f>IF(SER_hh_tes_in!S10=0,0,11630*1000*SER_hh_tes_in!S10/SER_hh_num_in!S10)</f>
        <v>85916.745190097878</v>
      </c>
      <c r="T10" s="133">
        <f>IF(SER_hh_tes_in!T10=0,0,11630*1000*SER_hh_tes_in!T10/SER_hh_num_in!T10)</f>
        <v>81703.798436375189</v>
      </c>
      <c r="U10" s="133">
        <f>IF(SER_hh_tes_in!U10=0,0,11630*1000*SER_hh_tes_in!U10/SER_hh_num_in!U10)</f>
        <v>73037.346896880947</v>
      </c>
      <c r="V10" s="133">
        <f>IF(SER_hh_tes_in!V10=0,0,11630*1000*SER_hh_tes_in!V10/SER_hh_num_in!V10)</f>
        <v>59781.968762405937</v>
      </c>
      <c r="W10" s="133">
        <f>IF(SER_hh_tes_in!W10=0,0,11630*1000*SER_hh_tes_in!W10/SER_hh_num_in!W10)</f>
        <v>57373.0796671219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122168.40212937015</v>
      </c>
      <c r="D12" s="133">
        <f>IF(SER_hh_tes_in!D12=0,0,11630*1000*SER_hh_tes_in!D12/SER_hh_num_in!D12)</f>
        <v>123268.57397725761</v>
      </c>
      <c r="E12" s="133">
        <f>IF(SER_hh_tes_in!E12=0,0,11630*1000*SER_hh_tes_in!E12/SER_hh_num_in!E12)</f>
        <v>122807.6402192981</v>
      </c>
      <c r="F12" s="133">
        <f>IF(SER_hh_tes_in!F12=0,0,11630*1000*SER_hh_tes_in!F12/SER_hh_num_in!F12)</f>
        <v>116489.768415267</v>
      </c>
      <c r="G12" s="133">
        <f>IF(SER_hh_tes_in!G12=0,0,11630*1000*SER_hh_tes_in!G12/SER_hh_num_in!G12)</f>
        <v>110804.74714432034</v>
      </c>
      <c r="H12" s="133">
        <f>IF(SER_hh_tes_in!H12=0,0,11630*1000*SER_hh_tes_in!H12/SER_hh_num_in!H12)</f>
        <v>109174.92980334534</v>
      </c>
      <c r="I12" s="133">
        <f>IF(SER_hh_tes_in!I12=0,0,11630*1000*SER_hh_tes_in!I12/SER_hh_num_in!I12)</f>
        <v>117657.10949473958</v>
      </c>
      <c r="J12" s="133">
        <f>IF(SER_hh_tes_in!J12=0,0,11630*1000*SER_hh_tes_in!J12/SER_hh_num_in!J12)</f>
        <v>111354.23215985362</v>
      </c>
      <c r="K12" s="133">
        <f>IF(SER_hh_tes_in!K12=0,0,11630*1000*SER_hh_tes_in!K12/SER_hh_num_in!K12)</f>
        <v>125367.76651967564</v>
      </c>
      <c r="L12" s="133">
        <f>IF(SER_hh_tes_in!L12=0,0,11630*1000*SER_hh_tes_in!L12/SER_hh_num_in!L12)</f>
        <v>130615.47319714277</v>
      </c>
      <c r="M12" s="133">
        <f>IF(SER_hh_tes_in!M12=0,0,11630*1000*SER_hh_tes_in!M12/SER_hh_num_in!M12)</f>
        <v>104684.31440718898</v>
      </c>
      <c r="N12" s="133">
        <f>IF(SER_hh_tes_in!N12=0,0,11630*1000*SER_hh_tes_in!N12/SER_hh_num_in!N12)</f>
        <v>112330.28447378763</v>
      </c>
      <c r="O12" s="133">
        <f>IF(SER_hh_tes_in!O12=0,0,11630*1000*SER_hh_tes_in!O12/SER_hh_num_in!O12)</f>
        <v>101778.38110705742</v>
      </c>
      <c r="P12" s="133">
        <f>IF(SER_hh_tes_in!P12=0,0,11630*1000*SER_hh_tes_in!P12/SER_hh_num_in!P12)</f>
        <v>105080.66818505003</v>
      </c>
      <c r="Q12" s="133">
        <f>IF(SER_hh_tes_in!Q12=0,0,11630*1000*SER_hh_tes_in!Q12/SER_hh_num_in!Q12)</f>
        <v>88297.776596657364</v>
      </c>
      <c r="R12" s="133">
        <f>IF(SER_hh_tes_in!R12=0,0,11630*1000*SER_hh_tes_in!R12/SER_hh_num_in!R12)</f>
        <v>92358.882777235267</v>
      </c>
      <c r="S12" s="133">
        <f>IF(SER_hh_tes_in!S12=0,0,11630*1000*SER_hh_tes_in!S12/SER_hh_num_in!S12)</f>
        <v>86021.109823904088</v>
      </c>
      <c r="T12" s="133">
        <f>IF(SER_hh_tes_in!T12=0,0,11630*1000*SER_hh_tes_in!T12/SER_hh_num_in!T12)</f>
        <v>81950.769064732027</v>
      </c>
      <c r="U12" s="133">
        <f>IF(SER_hh_tes_in!U12=0,0,11630*1000*SER_hh_tes_in!U12/SER_hh_num_in!U12)</f>
        <v>72946.531944714603</v>
      </c>
      <c r="V12" s="133">
        <f>IF(SER_hh_tes_in!V12=0,0,11630*1000*SER_hh_tes_in!V12/SER_hh_num_in!V12)</f>
        <v>60061.751707330128</v>
      </c>
      <c r="W12" s="133">
        <f>IF(SER_hh_tes_in!W12=0,0,11630*1000*SER_hh_tes_in!W12/SER_hh_num_in!W12)</f>
        <v>57220.024295727628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118938.17509385681</v>
      </c>
      <c r="D13" s="133">
        <f>IF(SER_hh_tes_in!D13=0,0,11630*1000*SER_hh_tes_in!D13/SER_hh_num_in!D13)</f>
        <v>119329.1206709914</v>
      </c>
      <c r="E13" s="133">
        <f>IF(SER_hh_tes_in!E13=0,0,11630*1000*SER_hh_tes_in!E13/SER_hh_num_in!E13)</f>
        <v>118012.08453333628</v>
      </c>
      <c r="F13" s="133">
        <f>IF(SER_hh_tes_in!F13=0,0,11630*1000*SER_hh_tes_in!F13/SER_hh_num_in!F13)</f>
        <v>116021.652716112</v>
      </c>
      <c r="G13" s="133">
        <f>IF(SER_hh_tes_in!G13=0,0,11630*1000*SER_hh_tes_in!G13/SER_hh_num_in!G13)</f>
        <v>113860.54910162529</v>
      </c>
      <c r="H13" s="133">
        <f>IF(SER_hh_tes_in!H13=0,0,11630*1000*SER_hh_tes_in!H13/SER_hh_num_in!H13)</f>
        <v>113279.38603100937</v>
      </c>
      <c r="I13" s="133">
        <f>IF(SER_hh_tes_in!I13=0,0,11630*1000*SER_hh_tes_in!I13/SER_hh_num_in!I13)</f>
        <v>114725.37117144797</v>
      </c>
      <c r="J13" s="133">
        <f>IF(SER_hh_tes_in!J13=0,0,11630*1000*SER_hh_tes_in!J13/SER_hh_num_in!J13)</f>
        <v>116449.84830102281</v>
      </c>
      <c r="K13" s="133">
        <f>IF(SER_hh_tes_in!K13=0,0,11630*1000*SER_hh_tes_in!K13/SER_hh_num_in!K13)</f>
        <v>118250.75698161407</v>
      </c>
      <c r="L13" s="133">
        <f>IF(SER_hh_tes_in!L13=0,0,11630*1000*SER_hh_tes_in!L13/SER_hh_num_in!L13)</f>
        <v>117410.34843464362</v>
      </c>
      <c r="M13" s="133">
        <f>IF(SER_hh_tes_in!M13=0,0,11630*1000*SER_hh_tes_in!M13/SER_hh_num_in!M13)</f>
        <v>111860.36264322761</v>
      </c>
      <c r="N13" s="133">
        <f>IF(SER_hh_tes_in!N13=0,0,11630*1000*SER_hh_tes_in!N13/SER_hh_num_in!N13)</f>
        <v>109218.15634956463</v>
      </c>
      <c r="O13" s="133">
        <f>IF(SER_hh_tes_in!O13=0,0,11630*1000*SER_hh_tes_in!O13/SER_hh_num_in!O13)</f>
        <v>102766.44936238785</v>
      </c>
      <c r="P13" s="133">
        <f>IF(SER_hh_tes_in!P13=0,0,11630*1000*SER_hh_tes_in!P13/SER_hh_num_in!P13)</f>
        <v>98788.487922815853</v>
      </c>
      <c r="Q13" s="133">
        <f>IF(SER_hh_tes_in!Q13=0,0,11630*1000*SER_hh_tes_in!Q13/SER_hh_num_in!Q13)</f>
        <v>97815.814698817252</v>
      </c>
      <c r="R13" s="133">
        <f>IF(SER_hh_tes_in!R13=0,0,11630*1000*SER_hh_tes_in!R13/SER_hh_num_in!R13)</f>
        <v>90992.464300971609</v>
      </c>
      <c r="S13" s="133">
        <f>IF(SER_hh_tes_in!S13=0,0,11630*1000*SER_hh_tes_in!S13/SER_hh_num_in!S13)</f>
        <v>85498.990398693568</v>
      </c>
      <c r="T13" s="133">
        <f>IF(SER_hh_tes_in!T13=0,0,11630*1000*SER_hh_tes_in!T13/SER_hh_num_in!T13)</f>
        <v>82049.299476901448</v>
      </c>
      <c r="U13" s="133">
        <f>IF(SER_hh_tes_in!U13=0,0,11630*1000*SER_hh_tes_in!U13/SER_hh_num_in!U13)</f>
        <v>73140.817752515752</v>
      </c>
      <c r="V13" s="133">
        <f>IF(SER_hh_tes_in!V13=0,0,11630*1000*SER_hh_tes_in!V13/SER_hh_num_in!V13)</f>
        <v>60929.251582761128</v>
      </c>
      <c r="W13" s="133">
        <f>IF(SER_hh_tes_in!W13=0,0,11630*1000*SER_hh_tes_in!W13/SER_hh_num_in!W13)</f>
        <v>60679.882409630634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121964.08703424189</v>
      </c>
      <c r="D14" s="65">
        <f>IF(SER_hh_tes_in!D14=0,0,11630*1000*SER_hh_tes_in!D14/SER_hh_num_in!D14)</f>
        <v>125796.80966804024</v>
      </c>
      <c r="E14" s="65">
        <f>IF(SER_hh_tes_in!E14=0,0,11630*1000*SER_hh_tes_in!E14/SER_hh_num_in!E14)</f>
        <v>118001.86482749369</v>
      </c>
      <c r="F14" s="65">
        <f>IF(SER_hh_tes_in!F14=0,0,11630*1000*SER_hh_tes_in!F14/SER_hh_num_in!F14)</f>
        <v>117821.46829059944</v>
      </c>
      <c r="G14" s="65">
        <f>IF(SER_hh_tes_in!G14=0,0,11630*1000*SER_hh_tes_in!G14/SER_hh_num_in!G14)</f>
        <v>113701.70448107614</v>
      </c>
      <c r="H14" s="65">
        <f>IF(SER_hh_tes_in!H14=0,0,11630*1000*SER_hh_tes_in!H14/SER_hh_num_in!H14)</f>
        <v>113830.44023364306</v>
      </c>
      <c r="I14" s="65">
        <f>IF(SER_hh_tes_in!I14=0,0,11630*1000*SER_hh_tes_in!I14/SER_hh_num_in!I14)</f>
        <v>114269.7716116637</v>
      </c>
      <c r="J14" s="65">
        <f>IF(SER_hh_tes_in!J14=0,0,11630*1000*SER_hh_tes_in!J14/SER_hh_num_in!J14)</f>
        <v>114877.91922658368</v>
      </c>
      <c r="K14" s="65">
        <f>IF(SER_hh_tes_in!K14=0,0,11630*1000*SER_hh_tes_in!K14/SER_hh_num_in!K14)</f>
        <v>121824.28670206376</v>
      </c>
      <c r="L14" s="65">
        <f>IF(SER_hh_tes_in!L14=0,0,11630*1000*SER_hh_tes_in!L14/SER_hh_num_in!L14)</f>
        <v>126685.09782862762</v>
      </c>
      <c r="M14" s="65">
        <f>IF(SER_hh_tes_in!M14=0,0,11630*1000*SER_hh_tes_in!M14/SER_hh_num_in!M14)</f>
        <v>109810.24242674737</v>
      </c>
      <c r="N14" s="65">
        <f>IF(SER_hh_tes_in!N14=0,0,11630*1000*SER_hh_tes_in!N14/SER_hh_num_in!N14)</f>
        <v>115970.12158898226</v>
      </c>
      <c r="O14" s="65">
        <f>IF(SER_hh_tes_in!O14=0,0,11630*1000*SER_hh_tes_in!O14/SER_hh_num_in!O14)</f>
        <v>104379.77354090408</v>
      </c>
      <c r="P14" s="65">
        <f>IF(SER_hh_tes_in!P14=0,0,11630*1000*SER_hh_tes_in!P14/SER_hh_num_in!P14)</f>
        <v>99342.967417021486</v>
      </c>
      <c r="Q14" s="65">
        <f>IF(SER_hh_tes_in!Q14=0,0,11630*1000*SER_hh_tes_in!Q14/SER_hh_num_in!Q14)</f>
        <v>92465.145532630937</v>
      </c>
      <c r="R14" s="65">
        <f>IF(SER_hh_tes_in!R14=0,0,11630*1000*SER_hh_tes_in!R14/SER_hh_num_in!R14)</f>
        <v>92161.270672399813</v>
      </c>
      <c r="S14" s="65">
        <f>IF(SER_hh_tes_in!S14=0,0,11630*1000*SER_hh_tes_in!S14/SER_hh_num_in!S14)</f>
        <v>81468.238041520599</v>
      </c>
      <c r="T14" s="65">
        <f>IF(SER_hh_tes_in!T14=0,0,11630*1000*SER_hh_tes_in!T14/SER_hh_num_in!T14)</f>
        <v>86120.476282407777</v>
      </c>
      <c r="U14" s="65">
        <f>IF(SER_hh_tes_in!U14=0,0,11630*1000*SER_hh_tes_in!U14/SER_hh_num_in!U14)</f>
        <v>73443.156936173211</v>
      </c>
      <c r="V14" s="65">
        <f>IF(SER_hh_tes_in!V14=0,0,11630*1000*SER_hh_tes_in!V14/SER_hh_num_in!V14)</f>
        <v>61418.352880048136</v>
      </c>
      <c r="W14" s="65">
        <f>IF(SER_hh_tes_in!W14=0,0,11630*1000*SER_hh_tes_in!W14/SER_hh_num_in!W14)</f>
        <v>55007.587356968397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818.42468692810075</v>
      </c>
      <c r="D15" s="135">
        <f>IF(SER_hh_tes_in!D15=0,0,11630*1000*SER_hh_tes_in!D15/SER_hh_num_in!D15)</f>
        <v>862.56785087672347</v>
      </c>
      <c r="E15" s="135">
        <f>IF(SER_hh_tes_in!E15=0,0,11630*1000*SER_hh_tes_in!E15/SER_hh_num_in!E15)</f>
        <v>890.23217398865268</v>
      </c>
      <c r="F15" s="135">
        <f>IF(SER_hh_tes_in!F15=0,0,11630*1000*SER_hh_tes_in!F15/SER_hh_num_in!F15)</f>
        <v>873.10897336920345</v>
      </c>
      <c r="G15" s="135">
        <f>IF(SER_hh_tes_in!G15=0,0,11630*1000*SER_hh_tes_in!G15/SER_hh_num_in!G15)</f>
        <v>772.0394785716752</v>
      </c>
      <c r="H15" s="135">
        <f>IF(SER_hh_tes_in!H15=0,0,11630*1000*SER_hh_tes_in!H15/SER_hh_num_in!H15)</f>
        <v>652.80592437304881</v>
      </c>
      <c r="I15" s="135">
        <f>IF(SER_hh_tes_in!I15=0,0,11630*1000*SER_hh_tes_in!I15/SER_hh_num_in!I15)</f>
        <v>580.79382909345418</v>
      </c>
      <c r="J15" s="135">
        <f>IF(SER_hh_tes_in!J15=0,0,11630*1000*SER_hh_tes_in!J15/SER_hh_num_in!J15)</f>
        <v>574.57447683913244</v>
      </c>
      <c r="K15" s="135">
        <f>IF(SER_hh_tes_in!K15=0,0,11630*1000*SER_hh_tes_in!K15/SER_hh_num_in!K15)</f>
        <v>791.52484607593431</v>
      </c>
      <c r="L15" s="135">
        <f>IF(SER_hh_tes_in!L15=0,0,11630*1000*SER_hh_tes_in!L15/SER_hh_num_in!L15)</f>
        <v>1017.726098025138</v>
      </c>
      <c r="M15" s="135">
        <f>IF(SER_hh_tes_in!M15=0,0,11630*1000*SER_hh_tes_in!M15/SER_hh_num_in!M15)</f>
        <v>848.11388386668375</v>
      </c>
      <c r="N15" s="135">
        <f>IF(SER_hh_tes_in!N15=0,0,11630*1000*SER_hh_tes_in!N15/SER_hh_num_in!N15)</f>
        <v>849.26793889846351</v>
      </c>
      <c r="O15" s="135">
        <f>IF(SER_hh_tes_in!O15=0,0,11630*1000*SER_hh_tes_in!O15/SER_hh_num_in!O15)</f>
        <v>705.24139922098766</v>
      </c>
      <c r="P15" s="135">
        <f>IF(SER_hh_tes_in!P15=0,0,11630*1000*SER_hh_tes_in!P15/SER_hh_num_in!P15)</f>
        <v>594.28747217635657</v>
      </c>
      <c r="Q15" s="135">
        <f>IF(SER_hh_tes_in!Q15=0,0,11630*1000*SER_hh_tes_in!Q15/SER_hh_num_in!Q15)</f>
        <v>557.25638195991985</v>
      </c>
      <c r="R15" s="135">
        <f>IF(SER_hh_tes_in!R15=0,0,11630*1000*SER_hh_tes_in!R15/SER_hh_num_in!R15)</f>
        <v>578.9855798662486</v>
      </c>
      <c r="S15" s="135">
        <f>IF(SER_hh_tes_in!S15=0,0,11630*1000*SER_hh_tes_in!S15/SER_hh_num_in!S15)</f>
        <v>539.07698136666738</v>
      </c>
      <c r="T15" s="135">
        <f>IF(SER_hh_tes_in!T15=0,0,11630*1000*SER_hh_tes_in!T15/SER_hh_num_in!T15)</f>
        <v>507.0296835522762</v>
      </c>
      <c r="U15" s="135">
        <f>IF(SER_hh_tes_in!U15=0,0,11630*1000*SER_hh_tes_in!U15/SER_hh_num_in!U15)</f>
        <v>468.87477825375441</v>
      </c>
      <c r="V15" s="135">
        <f>IF(SER_hh_tes_in!V15=0,0,11630*1000*SER_hh_tes_in!V15/SER_hh_num_in!V15)</f>
        <v>379.11884834751305</v>
      </c>
      <c r="W15" s="135">
        <f>IF(SER_hh_tes_in!W15=0,0,11630*1000*SER_hh_tes_in!W15/SER_hh_num_in!W15)</f>
        <v>342.11283740181557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23698.534275636317</v>
      </c>
      <c r="D16" s="131">
        <f>IF(SER_hh_tes_in!D16=0,0,11630*1000*SER_hh_tes_in!D16/SER_hh_num_in!D16)</f>
        <v>23554.567349030491</v>
      </c>
      <c r="E16" s="131">
        <f>IF(SER_hh_tes_in!E16=0,0,11630*1000*SER_hh_tes_in!E16/SER_hh_num_in!E16)</f>
        <v>24437.85084537269</v>
      </c>
      <c r="F16" s="131">
        <f>IF(SER_hh_tes_in!F16=0,0,11630*1000*SER_hh_tes_in!F16/SER_hh_num_in!F16)</f>
        <v>23309.269839113491</v>
      </c>
      <c r="G16" s="131">
        <f>IF(SER_hh_tes_in!G16=0,0,11630*1000*SER_hh_tes_in!G16/SER_hh_num_in!G16)</f>
        <v>23185.798877709381</v>
      </c>
      <c r="H16" s="131">
        <f>IF(SER_hh_tes_in!H16=0,0,11630*1000*SER_hh_tes_in!H16/SER_hh_num_in!H16)</f>
        <v>23125.210151405969</v>
      </c>
      <c r="I16" s="131">
        <f>IF(SER_hh_tes_in!I16=0,0,11630*1000*SER_hh_tes_in!I16/SER_hh_num_in!I16)</f>
        <v>22954.779229803076</v>
      </c>
      <c r="J16" s="131">
        <f>IF(SER_hh_tes_in!J16=0,0,11630*1000*SER_hh_tes_in!J16/SER_hh_num_in!J16)</f>
        <v>22837.097319589746</v>
      </c>
      <c r="K16" s="131">
        <f>IF(SER_hh_tes_in!K16=0,0,11630*1000*SER_hh_tes_in!K16/SER_hh_num_in!K16)</f>
        <v>22526.091130294102</v>
      </c>
      <c r="L16" s="131">
        <f>IF(SER_hh_tes_in!L16=0,0,11630*1000*SER_hh_tes_in!L16/SER_hh_num_in!L16)</f>
        <v>23794.06654119851</v>
      </c>
      <c r="M16" s="131">
        <f>IF(SER_hh_tes_in!M16=0,0,11630*1000*SER_hh_tes_in!M16/SER_hh_num_in!M16)</f>
        <v>22092.506945700417</v>
      </c>
      <c r="N16" s="131">
        <f>IF(SER_hh_tes_in!N16=0,0,11630*1000*SER_hh_tes_in!N16/SER_hh_num_in!N16)</f>
        <v>21468.518402757421</v>
      </c>
      <c r="O16" s="131">
        <f>IF(SER_hh_tes_in!O16=0,0,11630*1000*SER_hh_tes_in!O16/SER_hh_num_in!O16)</f>
        <v>21057.527975237146</v>
      </c>
      <c r="P16" s="131">
        <f>IF(SER_hh_tes_in!P16=0,0,11630*1000*SER_hh_tes_in!P16/SER_hh_num_in!P16)</f>
        <v>20714.928371072056</v>
      </c>
      <c r="Q16" s="131">
        <f>IF(SER_hh_tes_in!Q16=0,0,11630*1000*SER_hh_tes_in!Q16/SER_hh_num_in!Q16)</f>
        <v>19957.381330637574</v>
      </c>
      <c r="R16" s="131">
        <f>IF(SER_hh_tes_in!R16=0,0,11630*1000*SER_hh_tes_in!R16/SER_hh_num_in!R16)</f>
        <v>19886.835877793819</v>
      </c>
      <c r="S16" s="131">
        <f>IF(SER_hh_tes_in!S16=0,0,11630*1000*SER_hh_tes_in!S16/SER_hh_num_in!S16)</f>
        <v>19409.803276700801</v>
      </c>
      <c r="T16" s="131">
        <f>IF(SER_hh_tes_in!T16=0,0,11630*1000*SER_hh_tes_in!T16/SER_hh_num_in!T16)</f>
        <v>18841.885149514768</v>
      </c>
      <c r="U16" s="131">
        <f>IF(SER_hh_tes_in!U16=0,0,11630*1000*SER_hh_tes_in!U16/SER_hh_num_in!U16)</f>
        <v>18279.137727323472</v>
      </c>
      <c r="V16" s="131">
        <f>IF(SER_hh_tes_in!V16=0,0,11630*1000*SER_hh_tes_in!V16/SER_hh_num_in!V16)</f>
        <v>17515.638040306756</v>
      </c>
      <c r="W16" s="131">
        <f>IF(SER_hh_tes_in!W16=0,0,11630*1000*SER_hh_tes_in!W16/SER_hh_num_in!W16)</f>
        <v>15367.852900678818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23698.534275636317</v>
      </c>
      <c r="D18" s="133">
        <f>IF(SER_hh_tes_in!D18=0,0,11630*1000*SER_hh_tes_in!D18/SER_hh_num_in!D18)</f>
        <v>23554.567349030491</v>
      </c>
      <c r="E18" s="133">
        <f>IF(SER_hh_tes_in!E18=0,0,11630*1000*SER_hh_tes_in!E18/SER_hh_num_in!E18)</f>
        <v>24437.85084537269</v>
      </c>
      <c r="F18" s="133">
        <f>IF(SER_hh_tes_in!F18=0,0,11630*1000*SER_hh_tes_in!F18/SER_hh_num_in!F18)</f>
        <v>23309.269839113491</v>
      </c>
      <c r="G18" s="133">
        <f>IF(SER_hh_tes_in!G18=0,0,11630*1000*SER_hh_tes_in!G18/SER_hh_num_in!G18)</f>
        <v>23185.798877709381</v>
      </c>
      <c r="H18" s="133">
        <f>IF(SER_hh_tes_in!H18=0,0,11630*1000*SER_hh_tes_in!H18/SER_hh_num_in!H18)</f>
        <v>23125.210151405969</v>
      </c>
      <c r="I18" s="133">
        <f>IF(SER_hh_tes_in!I18=0,0,11630*1000*SER_hh_tes_in!I18/SER_hh_num_in!I18)</f>
        <v>22954.779229803076</v>
      </c>
      <c r="J18" s="133">
        <f>IF(SER_hh_tes_in!J18=0,0,11630*1000*SER_hh_tes_in!J18/SER_hh_num_in!J18)</f>
        <v>22837.097319589746</v>
      </c>
      <c r="K18" s="133">
        <f>IF(SER_hh_tes_in!K18=0,0,11630*1000*SER_hh_tes_in!K18/SER_hh_num_in!K18)</f>
        <v>22526.091130294102</v>
      </c>
      <c r="L18" s="133">
        <f>IF(SER_hh_tes_in!L18=0,0,11630*1000*SER_hh_tes_in!L18/SER_hh_num_in!L18)</f>
        <v>23794.06654119851</v>
      </c>
      <c r="M18" s="133">
        <f>IF(SER_hh_tes_in!M18=0,0,11630*1000*SER_hh_tes_in!M18/SER_hh_num_in!M18)</f>
        <v>22092.506945700417</v>
      </c>
      <c r="N18" s="133">
        <f>IF(SER_hh_tes_in!N18=0,0,11630*1000*SER_hh_tes_in!N18/SER_hh_num_in!N18)</f>
        <v>21468.518402757421</v>
      </c>
      <c r="O18" s="133">
        <f>IF(SER_hh_tes_in!O18=0,0,11630*1000*SER_hh_tes_in!O18/SER_hh_num_in!O18)</f>
        <v>21057.527975237146</v>
      </c>
      <c r="P18" s="133">
        <f>IF(SER_hh_tes_in!P18=0,0,11630*1000*SER_hh_tes_in!P18/SER_hh_num_in!P18)</f>
        <v>20714.928371072056</v>
      </c>
      <c r="Q18" s="133">
        <f>IF(SER_hh_tes_in!Q18=0,0,11630*1000*SER_hh_tes_in!Q18/SER_hh_num_in!Q18)</f>
        <v>19957.381330637574</v>
      </c>
      <c r="R18" s="133">
        <f>IF(SER_hh_tes_in!R18=0,0,11630*1000*SER_hh_tes_in!R18/SER_hh_num_in!R18)</f>
        <v>19886.835877793819</v>
      </c>
      <c r="S18" s="133">
        <f>IF(SER_hh_tes_in!S18=0,0,11630*1000*SER_hh_tes_in!S18/SER_hh_num_in!S18)</f>
        <v>19409.803276700801</v>
      </c>
      <c r="T18" s="133">
        <f>IF(SER_hh_tes_in!T18=0,0,11630*1000*SER_hh_tes_in!T18/SER_hh_num_in!T18)</f>
        <v>18841.885149514768</v>
      </c>
      <c r="U18" s="133">
        <f>IF(SER_hh_tes_in!U18=0,0,11630*1000*SER_hh_tes_in!U18/SER_hh_num_in!U18)</f>
        <v>18279.137727323472</v>
      </c>
      <c r="V18" s="133">
        <f>IF(SER_hh_tes_in!V18=0,0,11630*1000*SER_hh_tes_in!V18/SER_hh_num_in!V18)</f>
        <v>17515.638040306756</v>
      </c>
      <c r="W18" s="133">
        <f>IF(SER_hh_tes_in!W18=0,0,11630*1000*SER_hh_tes_in!W18/SER_hh_num_in!W18)</f>
        <v>15367.852900678818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15325.259062149074</v>
      </c>
      <c r="D19" s="131">
        <f>IF(SER_hh_tes_in!D19=0,0,11630*1000*SER_hh_tes_in!D19/SER_hh_num_in!D19)</f>
        <v>15176.68399232171</v>
      </c>
      <c r="E19" s="131">
        <f>IF(SER_hh_tes_in!E19=0,0,11630*1000*SER_hh_tes_in!E19/SER_hh_num_in!E19)</f>
        <v>15187.059353797998</v>
      </c>
      <c r="F19" s="131">
        <f>IF(SER_hh_tes_in!F19=0,0,11630*1000*SER_hh_tes_in!F19/SER_hh_num_in!F19)</f>
        <v>15040.191458689655</v>
      </c>
      <c r="G19" s="131">
        <f>IF(SER_hh_tes_in!G19=0,0,11630*1000*SER_hh_tes_in!G19/SER_hh_num_in!G19)</f>
        <v>15091.670231740676</v>
      </c>
      <c r="H19" s="131">
        <f>IF(SER_hh_tes_in!H19=0,0,11630*1000*SER_hh_tes_in!H19/SER_hh_num_in!H19)</f>
        <v>14992.107728877512</v>
      </c>
      <c r="I19" s="131">
        <f>IF(SER_hh_tes_in!I19=0,0,11630*1000*SER_hh_tes_in!I19/SER_hh_num_in!I19)</f>
        <v>14901.910100622412</v>
      </c>
      <c r="J19" s="131">
        <f>IF(SER_hh_tes_in!J19=0,0,11630*1000*SER_hh_tes_in!J19/SER_hh_num_in!J19)</f>
        <v>14834.293152196313</v>
      </c>
      <c r="K19" s="131">
        <f>IF(SER_hh_tes_in!K19=0,0,11630*1000*SER_hh_tes_in!K19/SER_hh_num_in!K19)</f>
        <v>14797.917786361824</v>
      </c>
      <c r="L19" s="131">
        <f>IF(SER_hh_tes_in!L19=0,0,11630*1000*SER_hh_tes_in!L19/SER_hh_num_in!L19)</f>
        <v>14911.440508480609</v>
      </c>
      <c r="M19" s="131">
        <f>IF(SER_hh_tes_in!M19=0,0,11630*1000*SER_hh_tes_in!M19/SER_hh_num_in!M19)</f>
        <v>14913.577026114071</v>
      </c>
      <c r="N19" s="131">
        <f>IF(SER_hh_tes_in!N19=0,0,11630*1000*SER_hh_tes_in!N19/SER_hh_num_in!N19)</f>
        <v>15018.251110878415</v>
      </c>
      <c r="O19" s="131">
        <f>IF(SER_hh_tes_in!O19=0,0,11630*1000*SER_hh_tes_in!O19/SER_hh_num_in!O19)</f>
        <v>14997.547799133006</v>
      </c>
      <c r="P19" s="131">
        <f>IF(SER_hh_tes_in!P19=0,0,11630*1000*SER_hh_tes_in!P19/SER_hh_num_in!P19)</f>
        <v>15091.403926100684</v>
      </c>
      <c r="Q19" s="131">
        <f>IF(SER_hh_tes_in!Q19=0,0,11630*1000*SER_hh_tes_in!Q19/SER_hh_num_in!Q19)</f>
        <v>15061.613249057355</v>
      </c>
      <c r="R19" s="131">
        <f>IF(SER_hh_tes_in!R19=0,0,11630*1000*SER_hh_tes_in!R19/SER_hh_num_in!R19)</f>
        <v>15002.555905425317</v>
      </c>
      <c r="S19" s="131">
        <f>IF(SER_hh_tes_in!S19=0,0,11630*1000*SER_hh_tes_in!S19/SER_hh_num_in!S19)</f>
        <v>14863.759466776322</v>
      </c>
      <c r="T19" s="131">
        <f>IF(SER_hh_tes_in!T19=0,0,11630*1000*SER_hh_tes_in!T19/SER_hh_num_in!T19)</f>
        <v>14902.923066394233</v>
      </c>
      <c r="U19" s="131">
        <f>IF(SER_hh_tes_in!U19=0,0,11630*1000*SER_hh_tes_in!U19/SER_hh_num_in!U19)</f>
        <v>14719.936242804626</v>
      </c>
      <c r="V19" s="131">
        <f>IF(SER_hh_tes_in!V19=0,0,11630*1000*SER_hh_tes_in!V19/SER_hh_num_in!V19)</f>
        <v>13245.696853579308</v>
      </c>
      <c r="W19" s="131">
        <f>IF(SER_hh_tes_in!W19=0,0,11630*1000*SER_hh_tes_in!W19/SER_hh_num_in!W19)</f>
        <v>14672.272676149772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15161.280334925023</v>
      </c>
      <c r="D22" s="133">
        <f>IF(SER_hh_tes_in!D22=0,0,11630*1000*SER_hh_tes_in!D22/SER_hh_num_in!D22)</f>
        <v>15306.233207533303</v>
      </c>
      <c r="E22" s="133">
        <f>IF(SER_hh_tes_in!E22=0,0,11630*1000*SER_hh_tes_in!E22/SER_hh_num_in!E22)</f>
        <v>15271.328156821215</v>
      </c>
      <c r="F22" s="133">
        <f>IF(SER_hh_tes_in!F22=0,0,11630*1000*SER_hh_tes_in!F22/SER_hh_num_in!F22)</f>
        <v>15118.760549327961</v>
      </c>
      <c r="G22" s="133">
        <f>IF(SER_hh_tes_in!G22=0,0,11630*1000*SER_hh_tes_in!G22/SER_hh_num_in!G22)</f>
        <v>14947.389564959998</v>
      </c>
      <c r="H22" s="133">
        <f>IF(SER_hh_tes_in!H22=0,0,11630*1000*SER_hh_tes_in!H22/SER_hh_num_in!H22)</f>
        <v>15060.791142146607</v>
      </c>
      <c r="I22" s="133">
        <f>IF(SER_hh_tes_in!I22=0,0,11630*1000*SER_hh_tes_in!I22/SER_hh_num_in!I22)</f>
        <v>14936.469974859345</v>
      </c>
      <c r="J22" s="133">
        <f>IF(SER_hh_tes_in!J22=0,0,11630*1000*SER_hh_tes_in!J22/SER_hh_num_in!J22)</f>
        <v>14709.881813386779</v>
      </c>
      <c r="K22" s="133">
        <f>IF(SER_hh_tes_in!K22=0,0,11630*1000*SER_hh_tes_in!K22/SER_hh_num_in!K22)</f>
        <v>14450.118313889123</v>
      </c>
      <c r="L22" s="133">
        <f>IF(SER_hh_tes_in!L22=0,0,11630*1000*SER_hh_tes_in!L22/SER_hh_num_in!L22)</f>
        <v>15255.037384748133</v>
      </c>
      <c r="M22" s="133">
        <f>IF(SER_hh_tes_in!M22=0,0,11630*1000*SER_hh_tes_in!M22/SER_hh_num_in!M22)</f>
        <v>15222.448053794347</v>
      </c>
      <c r="N22" s="133">
        <f>IF(SER_hh_tes_in!N22=0,0,11630*1000*SER_hh_tes_in!N22/SER_hh_num_in!N22)</f>
        <v>15010.603760515385</v>
      </c>
      <c r="O22" s="133">
        <f>IF(SER_hh_tes_in!O22=0,0,11630*1000*SER_hh_tes_in!O22/SER_hh_num_in!O22)</f>
        <v>15188.536332982834</v>
      </c>
      <c r="P22" s="133">
        <f>IF(SER_hh_tes_in!P22=0,0,11630*1000*SER_hh_tes_in!P22/SER_hh_num_in!P22)</f>
        <v>14909.476991380247</v>
      </c>
      <c r="Q22" s="133">
        <f>IF(SER_hh_tes_in!Q22=0,0,11630*1000*SER_hh_tes_in!Q22/SER_hh_num_in!Q22)</f>
        <v>15056.609213466865</v>
      </c>
      <c r="R22" s="133">
        <f>IF(SER_hh_tes_in!R22=0,0,11630*1000*SER_hh_tes_in!R22/SER_hh_num_in!R22)</f>
        <v>15751.439065051234</v>
      </c>
      <c r="S22" s="133">
        <f>IF(SER_hh_tes_in!S22=0,0,11630*1000*SER_hh_tes_in!S22/SER_hh_num_in!S22)</f>
        <v>14935.831716509383</v>
      </c>
      <c r="T22" s="133">
        <f>IF(SER_hh_tes_in!T22=0,0,11630*1000*SER_hh_tes_in!T22/SER_hh_num_in!T22)</f>
        <v>14088.171551752404</v>
      </c>
      <c r="U22" s="133">
        <f>IF(SER_hh_tes_in!U22=0,0,11630*1000*SER_hh_tes_in!U22/SER_hh_num_in!U22)</f>
        <v>14284.613901721199</v>
      </c>
      <c r="V22" s="133">
        <f>IF(SER_hh_tes_in!V22=0,0,11630*1000*SER_hh_tes_in!V22/SER_hh_num_in!V22)</f>
        <v>13063.907062965172</v>
      </c>
      <c r="W22" s="133">
        <f>IF(SER_hh_tes_in!W22=0,0,11630*1000*SER_hh_tes_in!W22/SER_hh_num_in!W22)</f>
        <v>14850.530741959376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15228.852528465006</v>
      </c>
      <c r="D23" s="133">
        <f>IF(SER_hh_tes_in!D23=0,0,11630*1000*SER_hh_tes_in!D23/SER_hh_num_in!D23)</f>
        <v>15157.238514093939</v>
      </c>
      <c r="E23" s="133">
        <f>IF(SER_hh_tes_in!E23=0,0,11630*1000*SER_hh_tes_in!E23/SER_hh_num_in!E23)</f>
        <v>15048.033494746771</v>
      </c>
      <c r="F23" s="133">
        <f>IF(SER_hh_tes_in!F23=0,0,11630*1000*SER_hh_tes_in!F23/SER_hh_num_in!F23)</f>
        <v>15227.316897699062</v>
      </c>
      <c r="G23" s="133">
        <f>IF(SER_hh_tes_in!G23=0,0,11630*1000*SER_hh_tes_in!G23/SER_hh_num_in!G23)</f>
        <v>15378.032338166357</v>
      </c>
      <c r="H23" s="133">
        <f>IF(SER_hh_tes_in!H23=0,0,11630*1000*SER_hh_tes_in!H23/SER_hh_num_in!H23)</f>
        <v>14834.515630904845</v>
      </c>
      <c r="I23" s="133">
        <f>IF(SER_hh_tes_in!I23=0,0,11630*1000*SER_hh_tes_in!I23/SER_hh_num_in!I23)</f>
        <v>14892.541075017361</v>
      </c>
      <c r="J23" s="133">
        <f>IF(SER_hh_tes_in!J23=0,0,11630*1000*SER_hh_tes_in!J23/SER_hh_num_in!J23)</f>
        <v>15067.491096211383</v>
      </c>
      <c r="K23" s="133">
        <f>IF(SER_hh_tes_in!K23=0,0,11630*1000*SER_hh_tes_in!K23/SER_hh_num_in!K23)</f>
        <v>14882.340808812291</v>
      </c>
      <c r="L23" s="133">
        <f>IF(SER_hh_tes_in!L23=0,0,11630*1000*SER_hh_tes_in!L23/SER_hh_num_in!L23)</f>
        <v>14671.999541805335</v>
      </c>
      <c r="M23" s="133">
        <f>IF(SER_hh_tes_in!M23=0,0,11630*1000*SER_hh_tes_in!M23/SER_hh_num_in!M23)</f>
        <v>14888.0125558979</v>
      </c>
      <c r="N23" s="133">
        <f>IF(SER_hh_tes_in!N23=0,0,11630*1000*SER_hh_tes_in!N23/SER_hh_num_in!N23)</f>
        <v>15027.414251525401</v>
      </c>
      <c r="O23" s="133">
        <f>IF(SER_hh_tes_in!O23=0,0,11630*1000*SER_hh_tes_in!O23/SER_hh_num_in!O23)</f>
        <v>15114.591850891546</v>
      </c>
      <c r="P23" s="133">
        <f>IF(SER_hh_tes_in!P23=0,0,11630*1000*SER_hh_tes_in!P23/SER_hh_num_in!P23)</f>
        <v>15007.249001678872</v>
      </c>
      <c r="Q23" s="133">
        <f>IF(SER_hh_tes_in!Q23=0,0,11630*1000*SER_hh_tes_in!Q23/SER_hh_num_in!Q23)</f>
        <v>14879.818298789696</v>
      </c>
      <c r="R23" s="133">
        <f>IF(SER_hh_tes_in!R23=0,0,11630*1000*SER_hh_tes_in!R23/SER_hh_num_in!R23)</f>
        <v>14462.992513392885</v>
      </c>
      <c r="S23" s="133">
        <f>IF(SER_hh_tes_in!S23=0,0,11630*1000*SER_hh_tes_in!S23/SER_hh_num_in!S23)</f>
        <v>16555.269108672092</v>
      </c>
      <c r="T23" s="133">
        <f>IF(SER_hh_tes_in!T23=0,0,11630*1000*SER_hh_tes_in!T23/SER_hh_num_in!T23)</f>
        <v>14506.68819357034</v>
      </c>
      <c r="U23" s="133">
        <f>IF(SER_hh_tes_in!U23=0,0,11630*1000*SER_hh_tes_in!U23/SER_hh_num_in!U23)</f>
        <v>13753.780881440911</v>
      </c>
      <c r="V23" s="133">
        <f>IF(SER_hh_tes_in!V23=0,0,11630*1000*SER_hh_tes_in!V23/SER_hh_num_in!V23)</f>
        <v>13115.472558177506</v>
      </c>
      <c r="W23" s="133">
        <f>IF(SER_hh_tes_in!W23=0,0,11630*1000*SER_hh_tes_in!W23/SER_hh_num_in!W23)</f>
        <v>15805.76761017693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15945.240065080303</v>
      </c>
      <c r="D24" s="133">
        <f>IF(SER_hh_tes_in!D24=0,0,11630*1000*SER_hh_tes_in!D24/SER_hh_num_in!D24)</f>
        <v>15549.699054198427</v>
      </c>
      <c r="E24" s="133">
        <f>IF(SER_hh_tes_in!E24=0,0,11630*1000*SER_hh_tes_in!E24/SER_hh_num_in!E24)</f>
        <v>15087.005775273472</v>
      </c>
      <c r="F24" s="133">
        <f>IF(SER_hh_tes_in!F24=0,0,11630*1000*SER_hh_tes_in!F24/SER_hh_num_in!F24)</f>
        <v>15080.738363355435</v>
      </c>
      <c r="G24" s="133">
        <f>IF(SER_hh_tes_in!G24=0,0,11630*1000*SER_hh_tes_in!G24/SER_hh_num_in!G24)</f>
        <v>14883.822135298011</v>
      </c>
      <c r="H24" s="133">
        <f>IF(SER_hh_tes_in!H24=0,0,11630*1000*SER_hh_tes_in!H24/SER_hh_num_in!H24)</f>
        <v>14868.576630651587</v>
      </c>
      <c r="I24" s="133">
        <f>IF(SER_hh_tes_in!I24=0,0,11630*1000*SER_hh_tes_in!I24/SER_hh_num_in!I24)</f>
        <v>14656.669520539237</v>
      </c>
      <c r="J24" s="133">
        <f>IF(SER_hh_tes_in!J24=0,0,11630*1000*SER_hh_tes_in!J24/SER_hh_num_in!J24)</f>
        <v>15400.629087727901</v>
      </c>
      <c r="K24" s="133">
        <f>IF(SER_hh_tes_in!K24=0,0,11630*1000*SER_hh_tes_in!K24/SER_hh_num_in!K24)</f>
        <v>14643.105371138297</v>
      </c>
      <c r="L24" s="133">
        <f>IF(SER_hh_tes_in!L24=0,0,11630*1000*SER_hh_tes_in!L24/SER_hh_num_in!L24)</f>
        <v>14874.519619220146</v>
      </c>
      <c r="M24" s="133">
        <f>IF(SER_hh_tes_in!M24=0,0,11630*1000*SER_hh_tes_in!M24/SER_hh_num_in!M24)</f>
        <v>15158.126033438426</v>
      </c>
      <c r="N24" s="133">
        <f>IF(SER_hh_tes_in!N24=0,0,11630*1000*SER_hh_tes_in!N24/SER_hh_num_in!N24)</f>
        <v>15147.396360854629</v>
      </c>
      <c r="O24" s="133">
        <f>IF(SER_hh_tes_in!O24=0,0,11630*1000*SER_hh_tes_in!O24/SER_hh_num_in!O24)</f>
        <v>14976.777494636319</v>
      </c>
      <c r="P24" s="133">
        <f>IF(SER_hh_tes_in!P24=0,0,11630*1000*SER_hh_tes_in!P24/SER_hh_num_in!P24)</f>
        <v>14809.326793781431</v>
      </c>
      <c r="Q24" s="133">
        <f>IF(SER_hh_tes_in!Q24=0,0,11630*1000*SER_hh_tes_in!Q24/SER_hh_num_in!Q24)</f>
        <v>14339.648905667451</v>
      </c>
      <c r="R24" s="133">
        <f>IF(SER_hh_tes_in!R24=0,0,11630*1000*SER_hh_tes_in!R24/SER_hh_num_in!R24)</f>
        <v>15639.942295839792</v>
      </c>
      <c r="S24" s="133">
        <f>IF(SER_hh_tes_in!S24=0,0,11630*1000*SER_hh_tes_in!S24/SER_hh_num_in!S24)</f>
        <v>15030.983798098578</v>
      </c>
      <c r="T24" s="133">
        <f>IF(SER_hh_tes_in!T24=0,0,11630*1000*SER_hh_tes_in!T24/SER_hh_num_in!T24)</f>
        <v>14911.107624091759</v>
      </c>
      <c r="U24" s="133">
        <f>IF(SER_hh_tes_in!U24=0,0,11630*1000*SER_hh_tes_in!U24/SER_hh_num_in!U24)</f>
        <v>14652.410941817283</v>
      </c>
      <c r="V24" s="133">
        <f>IF(SER_hh_tes_in!V24=0,0,11630*1000*SER_hh_tes_in!V24/SER_hh_num_in!V24)</f>
        <v>12947.107934372782</v>
      </c>
      <c r="W24" s="133">
        <f>IF(SER_hh_tes_in!W24=0,0,11630*1000*SER_hh_tes_in!W24/SER_hh_num_in!W24)</f>
        <v>15181.39884450373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15357.44692211672</v>
      </c>
      <c r="D25" s="133">
        <f>IF(SER_hh_tes_in!D25=0,0,11630*1000*SER_hh_tes_in!D25/SER_hh_num_in!D25)</f>
        <v>15152.504067502308</v>
      </c>
      <c r="E25" s="133">
        <f>IF(SER_hh_tes_in!E25=0,0,11630*1000*SER_hh_tes_in!E25/SER_hh_num_in!E25)</f>
        <v>15206.262678602734</v>
      </c>
      <c r="F25" s="133">
        <f>IF(SER_hh_tes_in!F25=0,0,11630*1000*SER_hh_tes_in!F25/SER_hh_num_in!F25)</f>
        <v>15015.803072422061</v>
      </c>
      <c r="G25" s="133">
        <f>IF(SER_hh_tes_in!G25=0,0,11630*1000*SER_hh_tes_in!G25/SER_hh_num_in!G25)</f>
        <v>15075.217764314328</v>
      </c>
      <c r="H25" s="133">
        <f>IF(SER_hh_tes_in!H25=0,0,11630*1000*SER_hh_tes_in!H25/SER_hh_num_in!H25)</f>
        <v>15010.866483881444</v>
      </c>
      <c r="I25" s="133">
        <f>IF(SER_hh_tes_in!I25=0,0,11630*1000*SER_hh_tes_in!I25/SER_hh_num_in!I25)</f>
        <v>15020.609792306543</v>
      </c>
      <c r="J25" s="133">
        <f>IF(SER_hh_tes_in!J25=0,0,11630*1000*SER_hh_tes_in!J25/SER_hh_num_in!J25)</f>
        <v>14852.092966648879</v>
      </c>
      <c r="K25" s="133">
        <f>IF(SER_hh_tes_in!K25=0,0,11630*1000*SER_hh_tes_in!K25/SER_hh_num_in!K25)</f>
        <v>14903.031964471335</v>
      </c>
      <c r="L25" s="133">
        <f>IF(SER_hh_tes_in!L25=0,0,11630*1000*SER_hh_tes_in!L25/SER_hh_num_in!L25)</f>
        <v>14859.657352864493</v>
      </c>
      <c r="M25" s="133">
        <f>IF(SER_hh_tes_in!M25=0,0,11630*1000*SER_hh_tes_in!M25/SER_hh_num_in!M25)</f>
        <v>14867.063768857597</v>
      </c>
      <c r="N25" s="133">
        <f>IF(SER_hh_tes_in!N25=0,0,11630*1000*SER_hh_tes_in!N25/SER_hh_num_in!N25)</f>
        <v>14963.546635644987</v>
      </c>
      <c r="O25" s="133">
        <f>IF(SER_hh_tes_in!O25=0,0,11630*1000*SER_hh_tes_in!O25/SER_hh_num_in!O25)</f>
        <v>15048.620200293462</v>
      </c>
      <c r="P25" s="133">
        <f>IF(SER_hh_tes_in!P25=0,0,11630*1000*SER_hh_tes_in!P25/SER_hh_num_in!P25)</f>
        <v>15063.061174606875</v>
      </c>
      <c r="Q25" s="133">
        <f>IF(SER_hh_tes_in!Q25=0,0,11630*1000*SER_hh_tes_in!Q25/SER_hh_num_in!Q25)</f>
        <v>14993.391236264073</v>
      </c>
      <c r="R25" s="133">
        <f>IF(SER_hh_tes_in!R25=0,0,11630*1000*SER_hh_tes_in!R25/SER_hh_num_in!R25)</f>
        <v>15071.404633793258</v>
      </c>
      <c r="S25" s="133">
        <f>IF(SER_hh_tes_in!S25=0,0,11630*1000*SER_hh_tes_in!S25/SER_hh_num_in!S25)</f>
        <v>14873.960926082435</v>
      </c>
      <c r="T25" s="133">
        <f>IF(SER_hh_tes_in!T25=0,0,11630*1000*SER_hh_tes_in!T25/SER_hh_num_in!T25)</f>
        <v>15082.648147642347</v>
      </c>
      <c r="U25" s="133">
        <f>IF(SER_hh_tes_in!U25=0,0,11630*1000*SER_hh_tes_in!U25/SER_hh_num_in!U25)</f>
        <v>14477.873037862841</v>
      </c>
      <c r="V25" s="133">
        <f>IF(SER_hh_tes_in!V25=0,0,11630*1000*SER_hh_tes_in!V25/SER_hh_num_in!V25)</f>
        <v>13089.477208836901</v>
      </c>
      <c r="W25" s="133">
        <f>IF(SER_hh_tes_in!W25=0,0,11630*1000*SER_hh_tes_in!W25/SER_hh_num_in!W25)</f>
        <v>15393.095982630348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15213.801988800167</v>
      </c>
      <c r="D26" s="65">
        <f>IF(SER_hh_tes_in!D26=0,0,11630*1000*SER_hh_tes_in!D26/SER_hh_num_in!D26)</f>
        <v>15130.632193452093</v>
      </c>
      <c r="E26" s="65">
        <f>IF(SER_hh_tes_in!E26=0,0,11630*1000*SER_hh_tes_in!E26/SER_hh_num_in!E26)</f>
        <v>15142.09547440938</v>
      </c>
      <c r="F26" s="65">
        <f>IF(SER_hh_tes_in!F26=0,0,11630*1000*SER_hh_tes_in!F26/SER_hh_num_in!F26)</f>
        <v>15053.01261804497</v>
      </c>
      <c r="G26" s="65">
        <f>IF(SER_hh_tes_in!G26=0,0,11630*1000*SER_hh_tes_in!G26/SER_hh_num_in!G26)</f>
        <v>15172.273135388774</v>
      </c>
      <c r="H26" s="65">
        <f>IF(SER_hh_tes_in!H26=0,0,11630*1000*SER_hh_tes_in!H26/SER_hh_num_in!H26)</f>
        <v>14948.313141709057</v>
      </c>
      <c r="I26" s="65">
        <f>IF(SER_hh_tes_in!I26=0,0,11630*1000*SER_hh_tes_in!I26/SER_hh_num_in!I26)</f>
        <v>14665.15916904734</v>
      </c>
      <c r="J26" s="65">
        <f>IF(SER_hh_tes_in!J26=0,0,11630*1000*SER_hh_tes_in!J26/SER_hh_num_in!J26)</f>
        <v>14773.558264113191</v>
      </c>
      <c r="K26" s="65">
        <f>IF(SER_hh_tes_in!K26=0,0,11630*1000*SER_hh_tes_in!K26/SER_hh_num_in!K26)</f>
        <v>14772.01468791783</v>
      </c>
      <c r="L26" s="65">
        <f>IF(SER_hh_tes_in!L26=0,0,11630*1000*SER_hh_tes_in!L26/SER_hh_num_in!L26)</f>
        <v>14881.919970312259</v>
      </c>
      <c r="M26" s="65">
        <f>IF(SER_hh_tes_in!M26=0,0,11630*1000*SER_hh_tes_in!M26/SER_hh_num_in!M26)</f>
        <v>14876.45547514536</v>
      </c>
      <c r="N26" s="65">
        <f>IF(SER_hh_tes_in!N26=0,0,11630*1000*SER_hh_tes_in!N26/SER_hh_num_in!N26)</f>
        <v>15069.608444351234</v>
      </c>
      <c r="O26" s="65">
        <f>IF(SER_hh_tes_in!O26=0,0,11630*1000*SER_hh_tes_in!O26/SER_hh_num_in!O26)</f>
        <v>14907.323645967106</v>
      </c>
      <c r="P26" s="65">
        <f>IF(SER_hh_tes_in!P26=0,0,11630*1000*SER_hh_tes_in!P26/SER_hh_num_in!P26)</f>
        <v>15167.631711800441</v>
      </c>
      <c r="Q26" s="65">
        <f>IF(SER_hh_tes_in!Q26=0,0,11630*1000*SER_hh_tes_in!Q26/SER_hh_num_in!Q26)</f>
        <v>15248.439030446249</v>
      </c>
      <c r="R26" s="65">
        <f>IF(SER_hh_tes_in!R26=0,0,11630*1000*SER_hh_tes_in!R26/SER_hh_num_in!R26)</f>
        <v>14699.185797937245</v>
      </c>
      <c r="S26" s="65">
        <f>IF(SER_hh_tes_in!S26=0,0,11630*1000*SER_hh_tes_in!S26/SER_hh_num_in!S26)</f>
        <v>14780.422339067583</v>
      </c>
      <c r="T26" s="65">
        <f>IF(SER_hh_tes_in!T26=0,0,11630*1000*SER_hh_tes_in!T26/SER_hh_num_in!T26)</f>
        <v>14714.552099638033</v>
      </c>
      <c r="U26" s="65">
        <f>IF(SER_hh_tes_in!U26=0,0,11630*1000*SER_hh_tes_in!U26/SER_hh_num_in!U26)</f>
        <v>15059.265052719471</v>
      </c>
      <c r="V26" s="65">
        <f>IF(SER_hh_tes_in!V26=0,0,11630*1000*SER_hh_tes_in!V26/SER_hh_num_in!V26)</f>
        <v>13509.058349845991</v>
      </c>
      <c r="W26" s="65">
        <f>IF(SER_hh_tes_in!W26=0,0,11630*1000*SER_hh_tes_in!W26/SER_hh_num_in!W26)</f>
        <v>13713.584421965475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13738.069873396458</v>
      </c>
      <c r="D29" s="131">
        <f>IF(SER_hh_tes_in!D29=0,0,11630*1000*SER_hh_tes_in!D29/SER_hh_num_in!D29)</f>
        <v>13444.906641875694</v>
      </c>
      <c r="E29" s="131">
        <f>IF(SER_hh_tes_in!E29=0,0,11630*1000*SER_hh_tes_in!E29/SER_hh_num_in!E29)</f>
        <v>13256.80112027888</v>
      </c>
      <c r="F29" s="131">
        <f>IF(SER_hh_tes_in!F29=0,0,11630*1000*SER_hh_tes_in!F29/SER_hh_num_in!F29)</f>
        <v>13209.613461623463</v>
      </c>
      <c r="G29" s="131">
        <f>IF(SER_hh_tes_in!G29=0,0,11630*1000*SER_hh_tes_in!G29/SER_hh_num_in!G29)</f>
        <v>13039.603849549856</v>
      </c>
      <c r="H29" s="131">
        <f>IF(SER_hh_tes_in!H29=0,0,11630*1000*SER_hh_tes_in!H29/SER_hh_num_in!H29)</f>
        <v>13059.749959224961</v>
      </c>
      <c r="I29" s="131">
        <f>IF(SER_hh_tes_in!I29=0,0,11630*1000*SER_hh_tes_in!I29/SER_hh_num_in!I29)</f>
        <v>12832.514809016211</v>
      </c>
      <c r="J29" s="131">
        <f>IF(SER_hh_tes_in!J29=0,0,11630*1000*SER_hh_tes_in!J29/SER_hh_num_in!J29)</f>
        <v>12694.84344514706</v>
      </c>
      <c r="K29" s="131">
        <f>IF(SER_hh_tes_in!K29=0,0,11630*1000*SER_hh_tes_in!K29/SER_hh_num_in!K29)</f>
        <v>12752.707022058532</v>
      </c>
      <c r="L29" s="131">
        <f>IF(SER_hh_tes_in!L29=0,0,11630*1000*SER_hh_tes_in!L29/SER_hh_num_in!L29)</f>
        <v>12584.451595859255</v>
      </c>
      <c r="M29" s="131">
        <f>IF(SER_hh_tes_in!M29=0,0,11630*1000*SER_hh_tes_in!M29/SER_hh_num_in!M29)</f>
        <v>12693.249257152615</v>
      </c>
      <c r="N29" s="131">
        <f>IF(SER_hh_tes_in!N29=0,0,11630*1000*SER_hh_tes_in!N29/SER_hh_num_in!N29)</f>
        <v>12630.558363371207</v>
      </c>
      <c r="O29" s="131">
        <f>IF(SER_hh_tes_in!O29=0,0,11630*1000*SER_hh_tes_in!O29/SER_hh_num_in!O29)</f>
        <v>12512.0455394687</v>
      </c>
      <c r="P29" s="131">
        <f>IF(SER_hh_tes_in!P29=0,0,11630*1000*SER_hh_tes_in!P29/SER_hh_num_in!P29)</f>
        <v>12650.96338746517</v>
      </c>
      <c r="Q29" s="131">
        <f>IF(SER_hh_tes_in!Q29=0,0,11630*1000*SER_hh_tes_in!Q29/SER_hh_num_in!Q29)</f>
        <v>12810.632288507186</v>
      </c>
      <c r="R29" s="131">
        <f>IF(SER_hh_tes_in!R29=0,0,11630*1000*SER_hh_tes_in!R29/SER_hh_num_in!R29)</f>
        <v>13171.26118285172</v>
      </c>
      <c r="S29" s="131">
        <f>IF(SER_hh_tes_in!S29=0,0,11630*1000*SER_hh_tes_in!S29/SER_hh_num_in!S29)</f>
        <v>13144.344942284266</v>
      </c>
      <c r="T29" s="131">
        <f>IF(SER_hh_tes_in!T29=0,0,11630*1000*SER_hh_tes_in!T29/SER_hh_num_in!T29)</f>
        <v>13175.808712853835</v>
      </c>
      <c r="U29" s="131">
        <f>IF(SER_hh_tes_in!U29=0,0,11630*1000*SER_hh_tes_in!U29/SER_hh_num_in!U29)</f>
        <v>13585.407029246848</v>
      </c>
      <c r="V29" s="131">
        <f>IF(SER_hh_tes_in!V29=0,0,11630*1000*SER_hh_tes_in!V29/SER_hh_num_in!V29)</f>
        <v>12479.574727345012</v>
      </c>
      <c r="W29" s="131">
        <f>IF(SER_hh_tes_in!W29=0,0,11630*1000*SER_hh_tes_in!W29/SER_hh_num_in!W29)</f>
        <v>13941.128154385397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13672.446920161135</v>
      </c>
      <c r="D31" s="133">
        <f>IF(SER_hh_tes_in!D31=0,0,11630*1000*SER_hh_tes_in!D31/SER_hh_num_in!D31)</f>
        <v>13497.154420923824</v>
      </c>
      <c r="E31" s="133">
        <f>IF(SER_hh_tes_in!E31=0,0,11630*1000*SER_hh_tes_in!E31/SER_hh_num_in!E31)</f>
        <v>13292.828588856921</v>
      </c>
      <c r="F31" s="133">
        <f>IF(SER_hh_tes_in!F31=0,0,11630*1000*SER_hh_tes_in!F31/SER_hh_num_in!F31)</f>
        <v>13270.621012360556</v>
      </c>
      <c r="G31" s="133">
        <f>IF(SER_hh_tes_in!G31=0,0,11630*1000*SER_hh_tes_in!G31/SER_hh_num_in!G31)</f>
        <v>13153.170943492765</v>
      </c>
      <c r="H31" s="133">
        <f>IF(SER_hh_tes_in!H31=0,0,11630*1000*SER_hh_tes_in!H31/SER_hh_num_in!H31)</f>
        <v>13040.726243080429</v>
      </c>
      <c r="I31" s="133">
        <f>IF(SER_hh_tes_in!I31=0,0,11630*1000*SER_hh_tes_in!I31/SER_hh_num_in!I31)</f>
        <v>12947.059453813956</v>
      </c>
      <c r="J31" s="133">
        <f>IF(SER_hh_tes_in!J31=0,0,11630*1000*SER_hh_tes_in!J31/SER_hh_num_in!J31)</f>
        <v>13056.836175379945</v>
      </c>
      <c r="K31" s="133">
        <f>IF(SER_hh_tes_in!K31=0,0,11630*1000*SER_hh_tes_in!K31/SER_hh_num_in!K31)</f>
        <v>12749.183697646416</v>
      </c>
      <c r="L31" s="133">
        <f>IF(SER_hh_tes_in!L31=0,0,11630*1000*SER_hh_tes_in!L31/SER_hh_num_in!L31)</f>
        <v>12645.565411946043</v>
      </c>
      <c r="M31" s="133">
        <f>IF(SER_hh_tes_in!M31=0,0,11630*1000*SER_hh_tes_in!M31/SER_hh_num_in!M31)</f>
        <v>12356.006126482815</v>
      </c>
      <c r="N31" s="133">
        <f>IF(SER_hh_tes_in!N31=0,0,11630*1000*SER_hh_tes_in!N31/SER_hh_num_in!N31)</f>
        <v>12495.32135916679</v>
      </c>
      <c r="O31" s="133">
        <f>IF(SER_hh_tes_in!O31=0,0,11630*1000*SER_hh_tes_in!O31/SER_hh_num_in!O31)</f>
        <v>12763.184527961548</v>
      </c>
      <c r="P31" s="133">
        <f>IF(SER_hh_tes_in!P31=0,0,11630*1000*SER_hh_tes_in!P31/SER_hh_num_in!P31)</f>
        <v>12641.534471627809</v>
      </c>
      <c r="Q31" s="133">
        <f>IF(SER_hh_tes_in!Q31=0,0,11630*1000*SER_hh_tes_in!Q31/SER_hh_num_in!Q31)</f>
        <v>12719.394773903648</v>
      </c>
      <c r="R31" s="133">
        <f>IF(SER_hh_tes_in!R31=0,0,11630*1000*SER_hh_tes_in!R31/SER_hh_num_in!R31)</f>
        <v>12588.065320016342</v>
      </c>
      <c r="S31" s="133">
        <f>IF(SER_hh_tes_in!S31=0,0,11630*1000*SER_hh_tes_in!S31/SER_hh_num_in!S31)</f>
        <v>14259.705928068734</v>
      </c>
      <c r="T31" s="133">
        <f>IF(SER_hh_tes_in!T31=0,0,11630*1000*SER_hh_tes_in!T31/SER_hh_num_in!T31)</f>
        <v>12904.216739353144</v>
      </c>
      <c r="U31" s="133">
        <f>IF(SER_hh_tes_in!U31=0,0,11630*1000*SER_hh_tes_in!U31/SER_hh_num_in!U31)</f>
        <v>12509.37028735913</v>
      </c>
      <c r="V31" s="133">
        <f>IF(SER_hh_tes_in!V31=0,0,11630*1000*SER_hh_tes_in!V31/SER_hh_num_in!V31)</f>
        <v>12092.545218220643</v>
      </c>
      <c r="W31" s="133">
        <f>IF(SER_hh_tes_in!W31=0,0,11630*1000*SER_hh_tes_in!W31/SER_hh_num_in!W31)</f>
        <v>16479.304397045955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13739.693995440426</v>
      </c>
      <c r="D33" s="68">
        <f>IF(SER_hh_tes_in!D33=0,0,11630*1000*SER_hh_tes_in!D33/SER_hh_num_in!D33)</f>
        <v>13443.43829935437</v>
      </c>
      <c r="E33" s="68">
        <f>IF(SER_hh_tes_in!E33=0,0,11630*1000*SER_hh_tes_in!E33/SER_hh_num_in!E33)</f>
        <v>13255.805548056331</v>
      </c>
      <c r="F33" s="68">
        <f>IF(SER_hh_tes_in!F33=0,0,11630*1000*SER_hh_tes_in!F33/SER_hh_num_in!F33)</f>
        <v>13208.093652108575</v>
      </c>
      <c r="G33" s="68">
        <f>IF(SER_hh_tes_in!G33=0,0,11630*1000*SER_hh_tes_in!G33/SER_hh_num_in!G33)</f>
        <v>13036.888399869049</v>
      </c>
      <c r="H33" s="68">
        <f>IF(SER_hh_tes_in!H33=0,0,11630*1000*SER_hh_tes_in!H33/SER_hh_num_in!H33)</f>
        <v>13060.1531336485</v>
      </c>
      <c r="I33" s="68">
        <f>IF(SER_hh_tes_in!I33=0,0,11630*1000*SER_hh_tes_in!I33/SER_hh_num_in!I33)</f>
        <v>12830.265707752311</v>
      </c>
      <c r="J33" s="68">
        <f>IF(SER_hh_tes_in!J33=0,0,11630*1000*SER_hh_tes_in!J33/SER_hh_num_in!J33)</f>
        <v>12688.280409205718</v>
      </c>
      <c r="K33" s="68">
        <f>IF(SER_hh_tes_in!K33=0,0,11630*1000*SER_hh_tes_in!K33/SER_hh_num_in!K33)</f>
        <v>12752.75751546332</v>
      </c>
      <c r="L33" s="68">
        <f>IF(SER_hh_tes_in!L33=0,0,11630*1000*SER_hh_tes_in!L33/SER_hh_num_in!L33)</f>
        <v>12583.73893888587</v>
      </c>
      <c r="M33" s="68">
        <f>IF(SER_hh_tes_in!M33=0,0,11630*1000*SER_hh_tes_in!M33/SER_hh_num_in!M33)</f>
        <v>12695.381114342208</v>
      </c>
      <c r="N33" s="68">
        <f>IF(SER_hh_tes_in!N33=0,0,11630*1000*SER_hh_tes_in!N33/SER_hh_num_in!N33)</f>
        <v>12632.685133022162</v>
      </c>
      <c r="O33" s="68">
        <f>IF(SER_hh_tes_in!O33=0,0,11630*1000*SER_hh_tes_in!O33/SER_hh_num_in!O33)</f>
        <v>12507.213536747859</v>
      </c>
      <c r="P33" s="68">
        <f>IF(SER_hh_tes_in!P33=0,0,11630*1000*SER_hh_tes_in!P33/SER_hh_num_in!P33)</f>
        <v>12651.122835246035</v>
      </c>
      <c r="Q33" s="68">
        <f>IF(SER_hh_tes_in!Q33=0,0,11630*1000*SER_hh_tes_in!Q33/SER_hh_num_in!Q33)</f>
        <v>12812.201644233119</v>
      </c>
      <c r="R33" s="68">
        <f>IF(SER_hh_tes_in!R33=0,0,11630*1000*SER_hh_tes_in!R33/SER_hh_num_in!R33)</f>
        <v>13179.677466872377</v>
      </c>
      <c r="S33" s="68">
        <f>IF(SER_hh_tes_in!S33=0,0,11630*1000*SER_hh_tes_in!S33/SER_hh_num_in!S33)</f>
        <v>13126.459059006058</v>
      </c>
      <c r="T33" s="68">
        <f>IF(SER_hh_tes_in!T33=0,0,11630*1000*SER_hh_tes_in!T33/SER_hh_num_in!T33)</f>
        <v>13178.052109562892</v>
      </c>
      <c r="U33" s="68">
        <f>IF(SER_hh_tes_in!U33=0,0,11630*1000*SER_hh_tes_in!U33/SER_hh_num_in!U33)</f>
        <v>13598.114118625634</v>
      </c>
      <c r="V33" s="68">
        <f>IF(SER_hh_tes_in!V33=0,0,11630*1000*SER_hh_tes_in!V33/SER_hh_num_in!V33)</f>
        <v>12485.582738435767</v>
      </c>
      <c r="W33" s="68">
        <f>IF(SER_hh_tes_in!W33=0,0,11630*1000*SER_hh_tes_in!W33/SER_hh_num_in!W33)</f>
        <v>13916.618828641844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5521.9006551627408</v>
      </c>
      <c r="D3" s="126">
        <f>IF(SER_hh_emi_in!D3=0,0,1000000*SER_hh_emi_in!D3/SER_hh_num_in!D3)</f>
        <v>6750.6661866092591</v>
      </c>
      <c r="E3" s="126">
        <f>IF(SER_hh_emi_in!E3=0,0,1000000*SER_hh_emi_in!E3/SER_hh_num_in!E3)</f>
        <v>7797.489693231094</v>
      </c>
      <c r="F3" s="126">
        <f>IF(SER_hh_emi_in!F3=0,0,1000000*SER_hh_emi_in!F3/SER_hh_num_in!F3)</f>
        <v>7694.6273152279564</v>
      </c>
      <c r="G3" s="126">
        <f>IF(SER_hh_emi_in!G3=0,0,1000000*SER_hh_emi_in!G3/SER_hh_num_in!G3)</f>
        <v>6509.4705870389571</v>
      </c>
      <c r="H3" s="126">
        <f>IF(SER_hh_emi_in!H3=0,0,1000000*SER_hh_emi_in!H3/SER_hh_num_in!H3)</f>
        <v>4303.9616297669809</v>
      </c>
      <c r="I3" s="126">
        <f>IF(SER_hh_emi_in!I3=0,0,1000000*SER_hh_emi_in!I3/SER_hh_num_in!I3)</f>
        <v>2084.1377962790816</v>
      </c>
      <c r="J3" s="126">
        <f>IF(SER_hh_emi_in!J3=0,0,1000000*SER_hh_emi_in!J3/SER_hh_num_in!J3)</f>
        <v>2729.9728785456609</v>
      </c>
      <c r="K3" s="126">
        <f>IF(SER_hh_emi_in!K3=0,0,1000000*SER_hh_emi_in!K3/SER_hh_num_in!K3)</f>
        <v>7278.915870877694</v>
      </c>
      <c r="L3" s="126">
        <f>IF(SER_hh_emi_in!L3=0,0,1000000*SER_hh_emi_in!L3/SER_hh_num_in!L3)</f>
        <v>11956.723737101483</v>
      </c>
      <c r="M3" s="126">
        <f>IF(SER_hh_emi_in!M3=0,0,1000000*SER_hh_emi_in!M3/SER_hh_num_in!M3)</f>
        <v>9420.0973715122018</v>
      </c>
      <c r="N3" s="126">
        <f>IF(SER_hh_emi_in!N3=0,0,1000000*SER_hh_emi_in!N3/SER_hh_num_in!N3)</f>
        <v>8794.0771396775526</v>
      </c>
      <c r="O3" s="126">
        <f>IF(SER_hh_emi_in!O3=0,0,1000000*SER_hh_emi_in!O3/SER_hh_num_in!O3)</f>
        <v>6228.8826082776686</v>
      </c>
      <c r="P3" s="126">
        <f>IF(SER_hh_emi_in!P3=0,0,1000000*SER_hh_emi_in!P3/SER_hh_num_in!P3)</f>
        <v>3544.8605285323629</v>
      </c>
      <c r="Q3" s="126">
        <f>IF(SER_hh_emi_in!Q3=0,0,1000000*SER_hh_emi_in!Q3/SER_hh_num_in!Q3)</f>
        <v>3953.5621359645411</v>
      </c>
      <c r="R3" s="126">
        <f>IF(SER_hh_emi_in!R3=0,0,1000000*SER_hh_emi_in!R3/SER_hh_num_in!R3)</f>
        <v>4505.2626611602072</v>
      </c>
      <c r="S3" s="126">
        <f>IF(SER_hh_emi_in!S3=0,0,1000000*SER_hh_emi_in!S3/SER_hh_num_in!S3)</f>
        <v>3972.8078544637146</v>
      </c>
      <c r="T3" s="126">
        <f>IF(SER_hh_emi_in!T3=0,0,1000000*SER_hh_emi_in!T3/SER_hh_num_in!T3)</f>
        <v>3449.1859310982368</v>
      </c>
      <c r="U3" s="126">
        <f>IF(SER_hh_emi_in!U3=0,0,1000000*SER_hh_emi_in!U3/SER_hh_num_in!U3)</f>
        <v>3804.037384881035</v>
      </c>
      <c r="V3" s="126">
        <f>IF(SER_hh_emi_in!V3=0,0,1000000*SER_hh_emi_in!V3/SER_hh_num_in!V3)</f>
        <v>3156.9314053607309</v>
      </c>
      <c r="W3" s="126">
        <f>IF(SER_hh_emi_in!W3=0,0,1000000*SER_hh_emi_in!W3/SER_hh_num_in!W3)</f>
        <v>2806.3454572415362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4674.8853301681384</v>
      </c>
      <c r="D4" s="131">
        <f>IF(SER_hh_emi_in!D4=0,0,1000000*SER_hh_emi_in!D4/SER_hh_num_in!D4)</f>
        <v>5779.905610061277</v>
      </c>
      <c r="E4" s="131">
        <f>IF(SER_hh_emi_in!E4=0,0,1000000*SER_hh_emi_in!E4/SER_hh_num_in!E4)</f>
        <v>6904.3420614041206</v>
      </c>
      <c r="F4" s="131">
        <f>IF(SER_hh_emi_in!F4=0,0,1000000*SER_hh_emi_in!F4/SER_hh_num_in!F4)</f>
        <v>6916.739362111236</v>
      </c>
      <c r="G4" s="131">
        <f>IF(SER_hh_emi_in!G4=0,0,1000000*SER_hh_emi_in!G4/SER_hh_num_in!G4)</f>
        <v>5783.2422309577996</v>
      </c>
      <c r="H4" s="131">
        <f>IF(SER_hh_emi_in!H4=0,0,1000000*SER_hh_emi_in!H4/SER_hh_num_in!H4)</f>
        <v>3596.7971308411497</v>
      </c>
      <c r="I4" s="131">
        <f>IF(SER_hh_emi_in!I4=0,0,1000000*SER_hh_emi_in!I4/SER_hh_num_in!I4)</f>
        <v>1417.0326251538233</v>
      </c>
      <c r="J4" s="131">
        <f>IF(SER_hh_emi_in!J4=0,0,1000000*SER_hh_emi_in!J4/SER_hh_num_in!J4)</f>
        <v>1977.6666736309071</v>
      </c>
      <c r="K4" s="131">
        <f>IF(SER_hh_emi_in!K4=0,0,1000000*SER_hh_emi_in!K4/SER_hh_num_in!K4)</f>
        <v>6502.5935360529929</v>
      </c>
      <c r="L4" s="131">
        <f>IF(SER_hh_emi_in!L4=0,0,1000000*SER_hh_emi_in!L4/SER_hh_num_in!L4)</f>
        <v>11095.535197059353</v>
      </c>
      <c r="M4" s="131">
        <f>IF(SER_hh_emi_in!M4=0,0,1000000*SER_hh_emi_in!M4/SER_hh_num_in!M4)</f>
        <v>8695.994919563318</v>
      </c>
      <c r="N4" s="131">
        <f>IF(SER_hh_emi_in!N4=0,0,1000000*SER_hh_emi_in!N4/SER_hh_num_in!N4)</f>
        <v>8201.1341943146763</v>
      </c>
      <c r="O4" s="131">
        <f>IF(SER_hh_emi_in!O4=0,0,1000000*SER_hh_emi_in!O4/SER_hh_num_in!O4)</f>
        <v>5700.4393396655769</v>
      </c>
      <c r="P4" s="131">
        <f>IF(SER_hh_emi_in!P4=0,0,1000000*SER_hh_emi_in!P4/SER_hh_num_in!P4)</f>
        <v>3234.3623901555015</v>
      </c>
      <c r="Q4" s="131">
        <f>IF(SER_hh_emi_in!Q4=0,0,1000000*SER_hh_emi_in!Q4/SER_hh_num_in!Q4)</f>
        <v>3581.7960209542912</v>
      </c>
      <c r="R4" s="131">
        <f>IF(SER_hh_emi_in!R4=0,0,1000000*SER_hh_emi_in!R4/SER_hh_num_in!R4)</f>
        <v>4190.0788153680551</v>
      </c>
      <c r="S4" s="131">
        <f>IF(SER_hh_emi_in!S4=0,0,1000000*SER_hh_emi_in!S4/SER_hh_num_in!S4)</f>
        <v>3803.603178594562</v>
      </c>
      <c r="T4" s="131">
        <f>IF(SER_hh_emi_in!T4=0,0,1000000*SER_hh_emi_in!T4/SER_hh_num_in!T4)</f>
        <v>3333.8669167746457</v>
      </c>
      <c r="U4" s="131">
        <f>IF(SER_hh_emi_in!U4=0,0,1000000*SER_hh_emi_in!U4/SER_hh_num_in!U4)</f>
        <v>3549.2955940993684</v>
      </c>
      <c r="V4" s="131">
        <f>IF(SER_hh_emi_in!V4=0,0,1000000*SER_hh_emi_in!V4/SER_hh_num_in!V4)</f>
        <v>2824.3010907044936</v>
      </c>
      <c r="W4" s="131">
        <f>IF(SER_hh_emi_in!W4=0,0,1000000*SER_hh_emi_in!W4/SER_hh_num_in!W4)</f>
        <v>2331.0382355789743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75142.74630027065</v>
      </c>
      <c r="D5" s="133">
        <f>IF(SER_hh_emi_in!D5=0,0,1000000*SER_hh_emi_in!D5/SER_hh_num_in!D5)</f>
        <v>75056.826719485252</v>
      </c>
      <c r="E5" s="133">
        <f>IF(SER_hh_emi_in!E5=0,0,1000000*SER_hh_emi_in!E5/SER_hh_num_in!E5)</f>
        <v>74868.054520622842</v>
      </c>
      <c r="F5" s="133">
        <f>IF(SER_hh_emi_in!F5=0,0,1000000*SER_hh_emi_in!F5/SER_hh_num_in!F5)</f>
        <v>70234.687288156536</v>
      </c>
      <c r="G5" s="133">
        <f>IF(SER_hh_emi_in!G5=0,0,1000000*SER_hh_emi_in!G5/SER_hh_num_in!G5)</f>
        <v>67646.940469968016</v>
      </c>
      <c r="H5" s="133">
        <f>IF(SER_hh_emi_in!H5=0,0,1000000*SER_hh_emi_in!H5/SER_hh_num_in!H5)</f>
        <v>69742.724792518129</v>
      </c>
      <c r="I5" s="133">
        <f>IF(SER_hh_emi_in!I5=0,0,1000000*SER_hh_emi_in!I5/SER_hh_num_in!I5)</f>
        <v>57466.819106155439</v>
      </c>
      <c r="J5" s="133">
        <f>IF(SER_hh_emi_in!J5=0,0,1000000*SER_hh_emi_in!J5/SER_hh_num_in!J5)</f>
        <v>67628.218649830102</v>
      </c>
      <c r="K5" s="133">
        <f>IF(SER_hh_emi_in!K5=0,0,1000000*SER_hh_emi_in!K5/SER_hh_num_in!K5)</f>
        <v>72117.512334518586</v>
      </c>
      <c r="L5" s="133">
        <f>IF(SER_hh_emi_in!L5=0,0,1000000*SER_hh_emi_in!L5/SER_hh_num_in!L5)</f>
        <v>75940.739050715085</v>
      </c>
      <c r="M5" s="133">
        <f>IF(SER_hh_emi_in!M5=0,0,1000000*SER_hh_emi_in!M5/SER_hh_num_in!M5)</f>
        <v>60026.328031181067</v>
      </c>
      <c r="N5" s="133">
        <f>IF(SER_hh_emi_in!N5=0,0,1000000*SER_hh_emi_in!N5/SER_hh_num_in!N5)</f>
        <v>67245.791034280337</v>
      </c>
      <c r="O5" s="133">
        <f>IF(SER_hh_emi_in!O5=0,0,1000000*SER_hh_emi_in!O5/SER_hh_num_in!O5)</f>
        <v>58966.191345622086</v>
      </c>
      <c r="P5" s="133">
        <f>IF(SER_hh_emi_in!P5=0,0,1000000*SER_hh_emi_in!P5/SER_hh_num_in!P5)</f>
        <v>57701.485645246321</v>
      </c>
      <c r="Q5" s="133">
        <f>IF(SER_hh_emi_in!Q5=0,0,1000000*SER_hh_emi_in!Q5/SER_hh_num_in!Q5)</f>
        <v>49363.225683760065</v>
      </c>
      <c r="R5" s="133">
        <f>IF(SER_hh_emi_in!R5=0,0,1000000*SER_hh_emi_in!R5/SER_hh_num_in!R5)</f>
        <v>50737.796551180603</v>
      </c>
      <c r="S5" s="133">
        <f>IF(SER_hh_emi_in!S5=0,0,1000000*SER_hh_emi_in!S5/SER_hh_num_in!S5)</f>
        <v>46424.262259684416</v>
      </c>
      <c r="T5" s="133">
        <f>IF(SER_hh_emi_in!T5=0,0,1000000*SER_hh_emi_in!T5/SER_hh_num_in!T5)</f>
        <v>43195.566848847899</v>
      </c>
      <c r="U5" s="133">
        <f>IF(SER_hh_emi_in!U5=0,0,1000000*SER_hh_emi_in!U5/SER_hh_num_in!U5)</f>
        <v>40177.695511409751</v>
      </c>
      <c r="V5" s="133">
        <f>IF(SER_hh_emi_in!V5=0,0,1000000*SER_hh_emi_in!V5/SER_hh_num_in!V5)</f>
        <v>32626.867845441167</v>
      </c>
      <c r="W5" s="133">
        <f>IF(SER_hh_emi_in!W5=0,0,1000000*SER_hh_emi_in!W5/SER_hh_num_in!W5)</f>
        <v>29065.123273052333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61878.397654185559</v>
      </c>
      <c r="D7" s="133">
        <f>IF(SER_hh_emi_in!D7=0,0,1000000*SER_hh_emi_in!D7/SER_hh_num_in!D7)</f>
        <v>61270.005893253488</v>
      </c>
      <c r="E7" s="133">
        <f>IF(SER_hh_emi_in!E7=0,0,1000000*SER_hh_emi_in!E7/SER_hh_num_in!E7)</f>
        <v>60281.974158058692</v>
      </c>
      <c r="F7" s="133">
        <f>IF(SER_hh_emi_in!F7=0,0,1000000*SER_hh_emi_in!F7/SER_hh_num_in!F7)</f>
        <v>57912.091557818072</v>
      </c>
      <c r="G7" s="133">
        <f>IF(SER_hh_emi_in!G7=0,0,1000000*SER_hh_emi_in!G7/SER_hh_num_in!G7)</f>
        <v>54908.290267927252</v>
      </c>
      <c r="H7" s="133">
        <f>IF(SER_hh_emi_in!H7=0,0,1000000*SER_hh_emi_in!H7/SER_hh_num_in!H7)</f>
        <v>55608.205773554568</v>
      </c>
      <c r="I7" s="133">
        <f>IF(SER_hh_emi_in!I7=0,0,1000000*SER_hh_emi_in!I7/SER_hh_num_in!I7)</f>
        <v>55837.711001939177</v>
      </c>
      <c r="J7" s="133">
        <f>IF(SER_hh_emi_in!J7=0,0,1000000*SER_hh_emi_in!J7/SER_hh_num_in!J7)</f>
        <v>47545.169887879572</v>
      </c>
      <c r="K7" s="133">
        <f>IF(SER_hh_emi_in!K7=0,0,1000000*SER_hh_emi_in!K7/SER_hh_num_in!K7)</f>
        <v>52431.997930280813</v>
      </c>
      <c r="L7" s="133">
        <f>IF(SER_hh_emi_in!L7=0,0,1000000*SER_hh_emi_in!L7/SER_hh_num_in!L7)</f>
        <v>59005.058558783669</v>
      </c>
      <c r="M7" s="133">
        <f>IF(SER_hh_emi_in!M7=0,0,1000000*SER_hh_emi_in!M7/SER_hh_num_in!M7)</f>
        <v>46643.845114633361</v>
      </c>
      <c r="N7" s="133">
        <f>IF(SER_hh_emi_in!N7=0,0,1000000*SER_hh_emi_in!N7/SER_hh_num_in!N7)</f>
        <v>49161.846858431854</v>
      </c>
      <c r="O7" s="133">
        <f>IF(SER_hh_emi_in!O7=0,0,1000000*SER_hh_emi_in!O7/SER_hh_num_in!O7)</f>
        <v>41888.354834590871</v>
      </c>
      <c r="P7" s="133">
        <f>IF(SER_hh_emi_in!P7=0,0,1000000*SER_hh_emi_in!P7/SER_hh_num_in!P7)</f>
        <v>38594.760843236858</v>
      </c>
      <c r="Q7" s="133">
        <f>IF(SER_hh_emi_in!Q7=0,0,1000000*SER_hh_emi_in!Q7/SER_hh_num_in!Q7)</f>
        <v>32428.010701845593</v>
      </c>
      <c r="R7" s="133">
        <f>IF(SER_hh_emi_in!R7=0,0,1000000*SER_hh_emi_in!R7/SER_hh_num_in!R7)</f>
        <v>33347.614224216799</v>
      </c>
      <c r="S7" s="133">
        <f>IF(SER_hh_emi_in!S7=0,0,1000000*SER_hh_emi_in!S7/SER_hh_num_in!S7)</f>
        <v>30719.608798995698</v>
      </c>
      <c r="T7" s="133">
        <f>IF(SER_hh_emi_in!T7=0,0,1000000*SER_hh_emi_in!T7/SER_hh_num_in!T7)</f>
        <v>28514.090527109089</v>
      </c>
      <c r="U7" s="133">
        <f>IF(SER_hh_emi_in!U7=0,0,1000000*SER_hh_emi_in!U7/SER_hh_num_in!U7)</f>
        <v>25761.941729409114</v>
      </c>
      <c r="V7" s="133">
        <f>IF(SER_hh_emi_in!V7=0,0,1000000*SER_hh_emi_in!V7/SER_hh_num_in!V7)</f>
        <v>20943.674311106901</v>
      </c>
      <c r="W7" s="133">
        <f>IF(SER_hh_emi_in!W7=0,0,1000000*SER_hh_emi_in!W7/SER_hh_num_in!W7)</f>
        <v>19405.491125643101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30792.916143943494</v>
      </c>
      <c r="D9" s="133">
        <f>IF(SER_hh_emi_in!D9=0,0,1000000*SER_hh_emi_in!D9/SER_hh_num_in!D9)</f>
        <v>32107.062239810522</v>
      </c>
      <c r="E9" s="133">
        <f>IF(SER_hh_emi_in!E9=0,0,1000000*SER_hh_emi_in!E9/SER_hh_num_in!E9)</f>
        <v>29225.053141643933</v>
      </c>
      <c r="F9" s="133">
        <f>IF(SER_hh_emi_in!F9=0,0,1000000*SER_hh_emi_in!F9/SER_hh_num_in!F9)</f>
        <v>28396.42566558551</v>
      </c>
      <c r="G9" s="133">
        <f>IF(SER_hh_emi_in!G9=0,0,1000000*SER_hh_emi_in!G9/SER_hh_num_in!G9)</f>
        <v>27495.735716502681</v>
      </c>
      <c r="H9" s="133">
        <f>IF(SER_hh_emi_in!H9=0,0,1000000*SER_hh_emi_in!H9/SER_hh_num_in!H9)</f>
        <v>26293.503423025224</v>
      </c>
      <c r="I9" s="133">
        <f>IF(SER_hh_emi_in!I9=0,0,1000000*SER_hh_emi_in!I9/SER_hh_num_in!I9)</f>
        <v>25662.624790013946</v>
      </c>
      <c r="J9" s="133">
        <f>IF(SER_hh_emi_in!J9=0,0,1000000*SER_hh_emi_in!J9/SER_hh_num_in!J9)</f>
        <v>25016.045248318413</v>
      </c>
      <c r="K9" s="133">
        <f>IF(SER_hh_emi_in!K9=0,0,1000000*SER_hh_emi_in!K9/SER_hh_num_in!K9)</f>
        <v>24505.381292965594</v>
      </c>
      <c r="L9" s="133">
        <f>IF(SER_hh_emi_in!L9=0,0,1000000*SER_hh_emi_in!L9/SER_hh_num_in!L9)</f>
        <v>26210.310589501183</v>
      </c>
      <c r="M9" s="133">
        <f>IF(SER_hh_emi_in!M9=0,0,1000000*SER_hh_emi_in!M9/SER_hh_num_in!M9)</f>
        <v>31952.775237261823</v>
      </c>
      <c r="N9" s="133">
        <f>IF(SER_hh_emi_in!N9=0,0,1000000*SER_hh_emi_in!N9/SER_hh_num_in!N9)</f>
        <v>27663.208265012894</v>
      </c>
      <c r="O9" s="133">
        <f>IF(SER_hh_emi_in!O9=0,0,1000000*SER_hh_emi_in!O9/SER_hh_num_in!O9)</f>
        <v>25197.824231901912</v>
      </c>
      <c r="P9" s="133">
        <f>IF(SER_hh_emi_in!P9=0,0,1000000*SER_hh_emi_in!P9/SER_hh_num_in!P9)</f>
        <v>19302.157772739774</v>
      </c>
      <c r="Q9" s="133">
        <f>IF(SER_hh_emi_in!Q9=0,0,1000000*SER_hh_emi_in!Q9/SER_hh_num_in!Q9)</f>
        <v>16701.98417174775</v>
      </c>
      <c r="R9" s="133">
        <f>IF(SER_hh_emi_in!R9=0,0,1000000*SER_hh_emi_in!R9/SER_hh_num_in!R9)</f>
        <v>15882.331592241033</v>
      </c>
      <c r="S9" s="133">
        <f>IF(SER_hh_emi_in!S9=0,0,1000000*SER_hh_emi_in!S9/SER_hh_num_in!S9)</f>
        <v>14881.250475024712</v>
      </c>
      <c r="T9" s="133">
        <f>IF(SER_hh_emi_in!T9=0,0,1000000*SER_hh_emi_in!T9/SER_hh_num_in!T9)</f>
        <v>12626.90056282309</v>
      </c>
      <c r="U9" s="133">
        <f>IF(SER_hh_emi_in!U9=0,0,1000000*SER_hh_emi_in!U9/SER_hh_num_in!U9)</f>
        <v>12143.483274345941</v>
      </c>
      <c r="V9" s="133">
        <f>IF(SER_hh_emi_in!V9=0,0,1000000*SER_hh_emi_in!V9/SER_hh_num_in!V9)</f>
        <v>9503.9154598496989</v>
      </c>
      <c r="W9" s="133">
        <f>IF(SER_hh_emi_in!W9=0,0,1000000*SER_hh_emi_in!W9/SER_hh_num_in!W9)</f>
        <v>9293.1858842509664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5343.665557132982</v>
      </c>
      <c r="K10" s="133">
        <f>IF(SER_hh_emi_in!K10=0,0,1000000*SER_hh_emi_in!K10/SER_hh_num_in!K10)</f>
        <v>1951.4983920437742</v>
      </c>
      <c r="L10" s="133">
        <f>IF(SER_hh_emi_in!L10=0,0,1000000*SER_hh_emi_in!L10/SER_hh_num_in!L10)</f>
        <v>2385.9078531778468</v>
      </c>
      <c r="M10" s="133">
        <f>IF(SER_hh_emi_in!M10=0,0,1000000*SER_hh_emi_in!M10/SER_hh_num_in!M10)</f>
        <v>2530.3865152589751</v>
      </c>
      <c r="N10" s="133">
        <f>IF(SER_hh_emi_in!N10=0,0,1000000*SER_hh_emi_in!N10/SER_hh_num_in!N10)</f>
        <v>1887.7184994547458</v>
      </c>
      <c r="O10" s="133">
        <f>IF(SER_hh_emi_in!O10=0,0,1000000*SER_hh_emi_in!O10/SER_hh_num_in!O10)</f>
        <v>541.78790569328328</v>
      </c>
      <c r="P10" s="133">
        <f>IF(SER_hh_emi_in!P10=0,0,1000000*SER_hh_emi_in!P10/SER_hh_num_in!P10)</f>
        <v>1186.6301104008521</v>
      </c>
      <c r="Q10" s="133">
        <f>IF(SER_hh_emi_in!Q10=0,0,1000000*SER_hh_emi_in!Q10/SER_hh_num_in!Q10)</f>
        <v>1170.4391807400075</v>
      </c>
      <c r="R10" s="133">
        <f>IF(SER_hh_emi_in!R10=0,0,1000000*SER_hh_emi_in!R10/SER_hh_num_in!R10)</f>
        <v>1232.790456371828</v>
      </c>
      <c r="S10" s="133">
        <f>IF(SER_hh_emi_in!S10=0,0,1000000*SER_hh_emi_in!S10/SER_hh_num_in!S10)</f>
        <v>1060.5492451967054</v>
      </c>
      <c r="T10" s="133">
        <f>IF(SER_hh_emi_in!T10=0,0,1000000*SER_hh_emi_in!T10/SER_hh_num_in!T10)</f>
        <v>1195.1593136321778</v>
      </c>
      <c r="U10" s="133">
        <f>IF(SER_hh_emi_in!U10=0,0,1000000*SER_hh_emi_in!U10/SER_hh_num_in!U10)</f>
        <v>798.02028425016329</v>
      </c>
      <c r="V10" s="133">
        <f>IF(SER_hh_emi_in!V10=0,0,1000000*SER_hh_emi_in!V10/SER_hh_num_in!V10)</f>
        <v>889.30688138549704</v>
      </c>
      <c r="W10" s="133">
        <f>IF(SER_hh_emi_in!W10=0,0,1000000*SER_hh_emi_in!W10/SER_hh_num_in!W10)</f>
        <v>872.63769868495945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750.10245401803832</v>
      </c>
      <c r="D19" s="131">
        <f>IF(SER_hh_emi_in!D19=0,0,1000000*SER_hh_emi_in!D19/SER_hh_num_in!D19)</f>
        <v>866.72761038142369</v>
      </c>
      <c r="E19" s="131">
        <f>IF(SER_hh_emi_in!E19=0,0,1000000*SER_hh_emi_in!E19/SER_hh_num_in!E19)</f>
        <v>796.5878354411177</v>
      </c>
      <c r="F19" s="131">
        <f>IF(SER_hh_emi_in!F19=0,0,1000000*SER_hh_emi_in!F19/SER_hh_num_in!F19)</f>
        <v>694.65671473933901</v>
      </c>
      <c r="G19" s="131">
        <f>IF(SER_hh_emi_in!G19=0,0,1000000*SER_hh_emi_in!G19/SER_hh_num_in!G19)</f>
        <v>645.56347067496313</v>
      </c>
      <c r="H19" s="131">
        <f>IF(SER_hh_emi_in!H19=0,0,1000000*SER_hh_emi_in!H19/SER_hh_num_in!H19)</f>
        <v>635.30619226263298</v>
      </c>
      <c r="I19" s="131">
        <f>IF(SER_hh_emi_in!I19=0,0,1000000*SER_hh_emi_in!I19/SER_hh_num_in!I19)</f>
        <v>602.33744423405153</v>
      </c>
      <c r="J19" s="131">
        <f>IF(SER_hh_emi_in!J19=0,0,1000000*SER_hh_emi_in!J19/SER_hh_num_in!J19)</f>
        <v>692.77109877089379</v>
      </c>
      <c r="K19" s="131">
        <f>IF(SER_hh_emi_in!K19=0,0,1000000*SER_hh_emi_in!K19/SER_hh_num_in!K19)</f>
        <v>729.51972504295441</v>
      </c>
      <c r="L19" s="131">
        <f>IF(SER_hh_emi_in!L19=0,0,1000000*SER_hh_emi_in!L19/SER_hh_num_in!L19)</f>
        <v>822.33392461219159</v>
      </c>
      <c r="M19" s="131">
        <f>IF(SER_hh_emi_in!M19=0,0,1000000*SER_hh_emi_in!M19/SER_hh_num_in!M19)</f>
        <v>703.86622559117154</v>
      </c>
      <c r="N19" s="131">
        <f>IF(SER_hh_emi_in!N19=0,0,1000000*SER_hh_emi_in!N19/SER_hh_num_in!N19)</f>
        <v>550.7676222205771</v>
      </c>
      <c r="O19" s="131">
        <f>IF(SER_hh_emi_in!O19=0,0,1000000*SER_hh_emi_in!O19/SER_hh_num_in!O19)</f>
        <v>467.19372877859968</v>
      </c>
      <c r="P19" s="131">
        <f>IF(SER_hh_emi_in!P19=0,0,1000000*SER_hh_emi_in!P19/SER_hh_num_in!P19)</f>
        <v>260.01635206257572</v>
      </c>
      <c r="Q19" s="131">
        <f>IF(SER_hh_emi_in!Q19=0,0,1000000*SER_hh_emi_in!Q19/SER_hh_num_in!Q19)</f>
        <v>317.40659482030264</v>
      </c>
      <c r="R19" s="131">
        <f>IF(SER_hh_emi_in!R19=0,0,1000000*SER_hh_emi_in!R19/SER_hh_num_in!R19)</f>
        <v>268.87299902122516</v>
      </c>
      <c r="S19" s="131">
        <f>IF(SER_hh_emi_in!S19=0,0,1000000*SER_hh_emi_in!S19/SER_hh_num_in!S19)</f>
        <v>121.58974284514622</v>
      </c>
      <c r="T19" s="131">
        <f>IF(SER_hh_emi_in!T19=0,0,1000000*SER_hh_emi_in!T19/SER_hh_num_in!T19)</f>
        <v>93.635379607055924</v>
      </c>
      <c r="U19" s="131">
        <f>IF(SER_hh_emi_in!U19=0,0,1000000*SER_hh_emi_in!U19/SER_hh_num_in!U19)</f>
        <v>222.62613205951709</v>
      </c>
      <c r="V19" s="131">
        <f>IF(SER_hh_emi_in!V19=0,0,1000000*SER_hh_emi_in!V19/SER_hh_num_in!V19)</f>
        <v>293.86754669336437</v>
      </c>
      <c r="W19" s="131">
        <f>IF(SER_hh_emi_in!W19=0,0,1000000*SER_hh_emi_in!W19/SER_hh_num_in!W19)</f>
        <v>442.84280118733335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7656.9570050026905</v>
      </c>
      <c r="D22" s="133">
        <f>IF(SER_hh_emi_in!D22=0,0,1000000*SER_hh_emi_in!D22/SER_hh_num_in!D22)</f>
        <v>7698.677992414272</v>
      </c>
      <c r="E22" s="133">
        <f>IF(SER_hh_emi_in!E22=0,0,1000000*SER_hh_emi_in!E22/SER_hh_num_in!E22)</f>
        <v>7645.616858771752</v>
      </c>
      <c r="F22" s="133">
        <f>IF(SER_hh_emi_in!F22=0,0,1000000*SER_hh_emi_in!F22/SER_hh_num_in!F22)</f>
        <v>7532.4171362521029</v>
      </c>
      <c r="G22" s="133">
        <f>IF(SER_hh_emi_in!G22=0,0,1000000*SER_hh_emi_in!G22/SER_hh_num_in!G22)</f>
        <v>7406.0104492991304</v>
      </c>
      <c r="H22" s="133">
        <f>IF(SER_hh_emi_in!H22=0,0,1000000*SER_hh_emi_in!H22/SER_hh_num_in!H22)</f>
        <v>7418.6673699728299</v>
      </c>
      <c r="I22" s="133">
        <f>IF(SER_hh_emi_in!I22=0,0,1000000*SER_hh_emi_in!I22/SER_hh_num_in!I22)</f>
        <v>7309.0815919653924</v>
      </c>
      <c r="J22" s="133">
        <f>IF(SER_hh_emi_in!J22=0,0,1000000*SER_hh_emi_in!J22/SER_hh_num_in!J22)</f>
        <v>7149.8038810300659</v>
      </c>
      <c r="K22" s="133">
        <f>IF(SER_hh_emi_in!K22=0,0,1000000*SER_hh_emi_in!K22/SER_hh_num_in!K22)</f>
        <v>6877.2021159013948</v>
      </c>
      <c r="L22" s="133">
        <f>IF(SER_hh_emi_in!L22=0,0,1000000*SER_hh_emi_in!L22/SER_hh_num_in!L22)</f>
        <v>7100.6932917920185</v>
      </c>
      <c r="M22" s="133">
        <f>IF(SER_hh_emi_in!M22=0,0,1000000*SER_hh_emi_in!M22/SER_hh_num_in!M22)</f>
        <v>6911.1439255574896</v>
      </c>
      <c r="N22" s="133">
        <f>IF(SER_hh_emi_in!N22=0,0,1000000*SER_hh_emi_in!N22/SER_hh_num_in!N22)</f>
        <v>6636.986109360063</v>
      </c>
      <c r="O22" s="133">
        <f>IF(SER_hh_emi_in!O22=0,0,1000000*SER_hh_emi_in!O22/SER_hh_num_in!O22)</f>
        <v>6401.2584767105936</v>
      </c>
      <c r="P22" s="133">
        <f>IF(SER_hh_emi_in!P22=0,0,1000000*SER_hh_emi_in!P22/SER_hh_num_in!P22)</f>
        <v>5917.0052781138847</v>
      </c>
      <c r="Q22" s="133">
        <f>IF(SER_hh_emi_in!Q22=0,0,1000000*SER_hh_emi_in!Q22/SER_hh_num_in!Q22)</f>
        <v>5685.0115628008753</v>
      </c>
      <c r="R22" s="133">
        <f>IF(SER_hh_emi_in!R22=0,0,1000000*SER_hh_emi_in!R22/SER_hh_num_in!R22)</f>
        <v>5757.5864669420071</v>
      </c>
      <c r="S22" s="133">
        <f>IF(SER_hh_emi_in!S22=0,0,1000000*SER_hh_emi_in!S22/SER_hh_num_in!S22)</f>
        <v>5280.1695427321392</v>
      </c>
      <c r="T22" s="133">
        <f>IF(SER_hh_emi_in!T22=0,0,1000000*SER_hh_emi_in!T22/SER_hh_num_in!T22)</f>
        <v>4847.34884937078</v>
      </c>
      <c r="U22" s="133">
        <f>IF(SER_hh_emi_in!U22=0,0,1000000*SER_hh_emi_in!U22/SER_hh_num_in!U22)</f>
        <v>4807.6313594292533</v>
      </c>
      <c r="V22" s="133">
        <f>IF(SER_hh_emi_in!V22=0,0,1000000*SER_hh_emi_in!V22/SER_hh_num_in!V22)</f>
        <v>4323.3080182927451</v>
      </c>
      <c r="W22" s="133">
        <f>IF(SER_hh_emi_in!W22=0,0,1000000*SER_hh_emi_in!W22/SER_hh_num_in!W22)</f>
        <v>4760.5416222953336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4258.4014637568662</v>
      </c>
      <c r="D23" s="133">
        <f>IF(SER_hh_emi_in!D23=0,0,1000000*SER_hh_emi_in!D23/SER_hh_num_in!D23)</f>
        <v>4036.5311626174521</v>
      </c>
      <c r="E23" s="133">
        <f>IF(SER_hh_emi_in!E23=0,0,1000000*SER_hh_emi_in!E23/SER_hh_num_in!E23)</f>
        <v>3804.2223108522116</v>
      </c>
      <c r="F23" s="133">
        <f>IF(SER_hh_emi_in!F23=0,0,1000000*SER_hh_emi_in!F23/SER_hh_num_in!F23)</f>
        <v>3643.7218504501006</v>
      </c>
      <c r="G23" s="133">
        <f>IF(SER_hh_emi_in!G23=0,0,1000000*SER_hh_emi_in!G23/SER_hh_num_in!G23)</f>
        <v>3709.9697856816083</v>
      </c>
      <c r="H23" s="133">
        <f>IF(SER_hh_emi_in!H23=0,0,1000000*SER_hh_emi_in!H23/SER_hh_num_in!H23)</f>
        <v>3583.300373727192</v>
      </c>
      <c r="I23" s="133">
        <f>IF(SER_hh_emi_in!I23=0,0,1000000*SER_hh_emi_in!I23/SER_hh_num_in!I23)</f>
        <v>3484.3886260095046</v>
      </c>
      <c r="J23" s="133">
        <f>IF(SER_hh_emi_in!J23=0,0,1000000*SER_hh_emi_in!J23/SER_hh_num_in!J23)</f>
        <v>3437.8174570352371</v>
      </c>
      <c r="K23" s="133">
        <f>IF(SER_hh_emi_in!K23=0,0,1000000*SER_hh_emi_in!K23/SER_hh_num_in!K23)</f>
        <v>3405.7836087550704</v>
      </c>
      <c r="L23" s="133">
        <f>IF(SER_hh_emi_in!L23=0,0,1000000*SER_hh_emi_in!L23/SER_hh_num_in!L23)</f>
        <v>3401.6624963239146</v>
      </c>
      <c r="M23" s="133">
        <f>IF(SER_hh_emi_in!M23=0,0,1000000*SER_hh_emi_in!M23/SER_hh_num_in!M23)</f>
        <v>3307.8161283432109</v>
      </c>
      <c r="N23" s="133">
        <f>IF(SER_hh_emi_in!N23=0,0,1000000*SER_hh_emi_in!N23/SER_hh_num_in!N23)</f>
        <v>2709.7075572167673</v>
      </c>
      <c r="O23" s="133">
        <f>IF(SER_hh_emi_in!O23=0,0,1000000*SER_hh_emi_in!O23/SER_hh_num_in!O23)</f>
        <v>3057.2237863291884</v>
      </c>
      <c r="P23" s="133">
        <f>IF(SER_hh_emi_in!P23=0,0,1000000*SER_hh_emi_in!P23/SER_hh_num_in!P23)</f>
        <v>2745.7744505555029</v>
      </c>
      <c r="Q23" s="133">
        <f>IF(SER_hh_emi_in!Q23=0,0,1000000*SER_hh_emi_in!Q23/SER_hh_num_in!Q23)</f>
        <v>2761.2261410336191</v>
      </c>
      <c r="R23" s="133">
        <f>IF(SER_hh_emi_in!R23=0,0,1000000*SER_hh_emi_in!R23/SER_hh_num_in!R23)</f>
        <v>2699.1189709172781</v>
      </c>
      <c r="S23" s="133">
        <f>IF(SER_hh_emi_in!S23=0,0,1000000*SER_hh_emi_in!S23/SER_hh_num_in!S23)</f>
        <v>2500.3371135377752</v>
      </c>
      <c r="T23" s="133">
        <f>IF(SER_hh_emi_in!T23=0,0,1000000*SER_hh_emi_in!T23/SER_hh_num_in!T23)</f>
        <v>2110.6374355695712</v>
      </c>
      <c r="U23" s="133">
        <f>IF(SER_hh_emi_in!U23=0,0,1000000*SER_hh_emi_in!U23/SER_hh_num_in!U23)</f>
        <v>2140.2752617295255</v>
      </c>
      <c r="V23" s="133">
        <f>IF(SER_hh_emi_in!V23=0,0,1000000*SER_hh_emi_in!V23/SER_hh_num_in!V23)</f>
        <v>1946.0335370619057</v>
      </c>
      <c r="W23" s="133">
        <f>IF(SER_hh_emi_in!W23=0,0,1000000*SER_hh_emi_in!W23/SER_hh_num_in!W23)</f>
        <v>2314.2200308044303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580.50404190222901</v>
      </c>
      <c r="K24" s="133">
        <f>IF(SER_hh_emi_in!K24=0,0,1000000*SER_hh_emi_in!K24/SER_hh_num_in!K24)</f>
        <v>188.72383614016135</v>
      </c>
      <c r="L24" s="133">
        <f>IF(SER_hh_emi_in!L24=0,0,1000000*SER_hh_emi_in!L24/SER_hh_num_in!L24)</f>
        <v>214.45468911652929</v>
      </c>
      <c r="M24" s="133">
        <f>IF(SER_hh_emi_in!M24=0,0,1000000*SER_hh_emi_in!M24/SER_hh_num_in!M24)</f>
        <v>274.4299767758522</v>
      </c>
      <c r="N24" s="133">
        <f>IF(SER_hh_emi_in!N24=0,0,1000000*SER_hh_emi_in!N24/SER_hh_num_in!N24)</f>
        <v>187.98165516955643</v>
      </c>
      <c r="O24" s="133">
        <f>IF(SER_hh_emi_in!O24=0,0,1000000*SER_hh_emi_in!O24/SER_hh_num_in!O24)</f>
        <v>59.205468065307734</v>
      </c>
      <c r="P24" s="133">
        <f>IF(SER_hh_emi_in!P24=0,0,1000000*SER_hh_emi_in!P24/SER_hh_num_in!P24)</f>
        <v>128.42097587380385</v>
      </c>
      <c r="Q24" s="133">
        <f>IF(SER_hh_emi_in!Q24=0,0,1000000*SER_hh_emi_in!Q24/SER_hh_num_in!Q24)</f>
        <v>140.30254481115958</v>
      </c>
      <c r="R24" s="133">
        <f>IF(SER_hh_emi_in!R24=0,0,1000000*SER_hh_emi_in!R24/SER_hh_num_in!R24)</f>
        <v>151.5757144814242</v>
      </c>
      <c r="S24" s="133">
        <f>IF(SER_hh_emi_in!S24=0,0,1000000*SER_hh_emi_in!S24/SER_hh_num_in!S24)</f>
        <v>131.38124292723251</v>
      </c>
      <c r="T24" s="133">
        <f>IF(SER_hh_emi_in!T24=0,0,1000000*SER_hh_emi_in!T24/SER_hh_num_in!T24)</f>
        <v>151.64861941970588</v>
      </c>
      <c r="U24" s="133">
        <f>IF(SER_hh_emi_in!U24=0,0,1000000*SER_hh_emi_in!U24/SER_hh_num_in!U24)</f>
        <v>109.48042891755809</v>
      </c>
      <c r="V24" s="133">
        <f>IF(SER_hh_emi_in!V24=0,0,1000000*SER_hh_emi_in!V24/SER_hh_num_in!V24)</f>
        <v>129.9226489296494</v>
      </c>
      <c r="W24" s="133">
        <f>IF(SER_hh_emi_in!W24=0,0,1000000*SER_hh_emi_in!W24/SER_hh_num_in!W24)</f>
        <v>154.08558958076091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96.912870976564278</v>
      </c>
      <c r="D29" s="131">
        <f>IF(SER_hh_emi_in!D29=0,0,1000000*SER_hh_emi_in!D29/SER_hh_num_in!D29)</f>
        <v>104.03296616655832</v>
      </c>
      <c r="E29" s="131">
        <f>IF(SER_hh_emi_in!E29=0,0,1000000*SER_hh_emi_in!E29/SER_hh_num_in!E29)</f>
        <v>96.55979638585606</v>
      </c>
      <c r="F29" s="131">
        <f>IF(SER_hh_emi_in!F29=0,0,1000000*SER_hh_emi_in!F29/SER_hh_num_in!F29)</f>
        <v>83.231238377381388</v>
      </c>
      <c r="G29" s="131">
        <f>IF(SER_hh_emi_in!G29=0,0,1000000*SER_hh_emi_in!G29/SER_hh_num_in!G29)</f>
        <v>80.664885406193392</v>
      </c>
      <c r="H29" s="131">
        <f>IF(SER_hh_emi_in!H29=0,0,1000000*SER_hh_emi_in!H29/SER_hh_num_in!H29)</f>
        <v>71.858306663198533</v>
      </c>
      <c r="I29" s="131">
        <f>IF(SER_hh_emi_in!I29=0,0,1000000*SER_hh_emi_in!I29/SER_hh_num_in!I29)</f>
        <v>64.767726891206948</v>
      </c>
      <c r="J29" s="131">
        <f>IF(SER_hh_emi_in!J29=0,0,1000000*SER_hh_emi_in!J29/SER_hh_num_in!J29)</f>
        <v>59.535106143860034</v>
      </c>
      <c r="K29" s="131">
        <f>IF(SER_hh_emi_in!K29=0,0,1000000*SER_hh_emi_in!K29/SER_hh_num_in!K29)</f>
        <v>46.802609781747087</v>
      </c>
      <c r="L29" s="131">
        <f>IF(SER_hh_emi_in!L29=0,0,1000000*SER_hh_emi_in!L29/SER_hh_num_in!L29)</f>
        <v>38.854615429937468</v>
      </c>
      <c r="M29" s="131">
        <f>IF(SER_hh_emi_in!M29=0,0,1000000*SER_hh_emi_in!M29/SER_hh_num_in!M29)</f>
        <v>20.236226357712201</v>
      </c>
      <c r="N29" s="131">
        <f>IF(SER_hh_emi_in!N29=0,0,1000000*SER_hh_emi_in!N29/SER_hh_num_in!N29)</f>
        <v>42.175323142299519</v>
      </c>
      <c r="O29" s="131">
        <f>IF(SER_hh_emi_in!O29=0,0,1000000*SER_hh_emi_in!O29/SER_hh_num_in!O29)</f>
        <v>61.249539833492925</v>
      </c>
      <c r="P29" s="131">
        <f>IF(SER_hh_emi_in!P29=0,0,1000000*SER_hh_emi_in!P29/SER_hh_num_in!P29)</f>
        <v>50.481786314285507</v>
      </c>
      <c r="Q29" s="131">
        <f>IF(SER_hh_emi_in!Q29=0,0,1000000*SER_hh_emi_in!Q29/SER_hh_num_in!Q29)</f>
        <v>54.359520189947446</v>
      </c>
      <c r="R29" s="131">
        <f>IF(SER_hh_emi_in!R29=0,0,1000000*SER_hh_emi_in!R29/SER_hh_num_in!R29)</f>
        <v>46.310846770926631</v>
      </c>
      <c r="S29" s="131">
        <f>IF(SER_hh_emi_in!S29=0,0,1000000*SER_hh_emi_in!S29/SER_hh_num_in!S29)</f>
        <v>47.614933024005538</v>
      </c>
      <c r="T29" s="131">
        <f>IF(SER_hh_emi_in!T29=0,0,1000000*SER_hh_emi_in!T29/SER_hh_num_in!T29)</f>
        <v>21.683634716534804</v>
      </c>
      <c r="U29" s="131">
        <f>IF(SER_hh_emi_in!U29=0,0,1000000*SER_hh_emi_in!U29/SER_hh_num_in!U29)</f>
        <v>32.115658722149227</v>
      </c>
      <c r="V29" s="131">
        <f>IF(SER_hh_emi_in!V29=0,0,1000000*SER_hh_emi_in!V29/SER_hh_num_in!V29)</f>
        <v>38.762767962872594</v>
      </c>
      <c r="W29" s="131">
        <f>IF(SER_hh_emi_in!W29=0,0,1000000*SER_hh_emi_in!W29/SER_hh_num_in!W29)</f>
        <v>32.464420475228451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4012.695446315965</v>
      </c>
      <c r="D31" s="133">
        <f>IF(SER_hh_emi_in!D31=0,0,1000000*SER_hh_emi_in!D31/SER_hh_num_in!D31)</f>
        <v>3805.8200839879755</v>
      </c>
      <c r="E31" s="133">
        <f>IF(SER_hh_emi_in!E31=0,0,1000000*SER_hh_emi_in!E31/SER_hh_num_in!E31)</f>
        <v>3590.836707090963</v>
      </c>
      <c r="F31" s="133">
        <f>IF(SER_hh_emi_in!F31=0,0,1000000*SER_hh_emi_in!F31/SER_hh_num_in!F31)</f>
        <v>3424.2644063392067</v>
      </c>
      <c r="G31" s="133">
        <f>IF(SER_hh_emi_in!G31=0,0,1000000*SER_hh_emi_in!G31/SER_hh_num_in!G31)</f>
        <v>3454.2779866058049</v>
      </c>
      <c r="H31" s="133">
        <f>IF(SER_hh_emi_in!H31=0,0,1000000*SER_hh_emi_in!H31/SER_hh_num_in!H31)</f>
        <v>3462.4802032122516</v>
      </c>
      <c r="I31" s="133">
        <f>IF(SER_hh_emi_in!I31=0,0,1000000*SER_hh_emi_in!I31/SER_hh_num_in!I31)</f>
        <v>3363.3280852804455</v>
      </c>
      <c r="J31" s="133">
        <f>IF(SER_hh_emi_in!J31=0,0,1000000*SER_hh_emi_in!J31/SER_hh_num_in!J31)</f>
        <v>3343.2708361210825</v>
      </c>
      <c r="K31" s="133">
        <f>IF(SER_hh_emi_in!K31=0,0,1000000*SER_hh_emi_in!K31/SER_hh_num_in!K31)</f>
        <v>3312.5910487734477</v>
      </c>
      <c r="L31" s="133">
        <f>IF(SER_hh_emi_in!L31=0,0,1000000*SER_hh_emi_in!L31/SER_hh_num_in!L31)</f>
        <v>3370.8276546234961</v>
      </c>
      <c r="M31" s="133">
        <f>IF(SER_hh_emi_in!M31=0,0,1000000*SER_hh_emi_in!M31/SER_hh_num_in!M31)</f>
        <v>3221.4489356938825</v>
      </c>
      <c r="N31" s="133">
        <f>IF(SER_hh_emi_in!N31=0,0,1000000*SER_hh_emi_in!N31/SER_hh_num_in!N31)</f>
        <v>2724.019288027514</v>
      </c>
      <c r="O31" s="133">
        <f>IF(SER_hh_emi_in!O31=0,0,1000000*SER_hh_emi_in!O31/SER_hh_num_in!O31)</f>
        <v>3244.6391958642416</v>
      </c>
      <c r="P31" s="133">
        <f>IF(SER_hh_emi_in!P31=0,0,1000000*SER_hh_emi_in!P31/SER_hh_num_in!P31)</f>
        <v>3035.713138536702</v>
      </c>
      <c r="Q31" s="133">
        <f>IF(SER_hh_emi_in!Q31=0,0,1000000*SER_hh_emi_in!Q31/SER_hh_num_in!Q31)</f>
        <v>3214.6548153928093</v>
      </c>
      <c r="R31" s="133">
        <f>IF(SER_hh_emi_in!R31=0,0,1000000*SER_hh_emi_in!R31/SER_hh_num_in!R31)</f>
        <v>3255.3629860420751</v>
      </c>
      <c r="S31" s="133">
        <f>IF(SER_hh_emi_in!S31=0,0,1000000*SER_hh_emi_in!S31/SER_hh_num_in!S31)</f>
        <v>3016.8749807190675</v>
      </c>
      <c r="T31" s="133">
        <f>IF(SER_hh_emi_in!T31=0,0,1000000*SER_hh_emi_in!T31/SER_hh_num_in!T31)</f>
        <v>2646.7660026983758</v>
      </c>
      <c r="U31" s="133">
        <f>IF(SER_hh_emi_in!U31=0,0,1000000*SER_hh_emi_in!U31/SER_hh_num_in!U31)</f>
        <v>2751.6706838604564</v>
      </c>
      <c r="V31" s="133">
        <f>IF(SER_hh_emi_in!V31=0,0,1000000*SER_hh_emi_in!V31/SER_hh_num_in!V31)</f>
        <v>2535.8179215491014</v>
      </c>
      <c r="W31" s="133">
        <f>IF(SER_hh_emi_in!W31=0,0,1000000*SER_hh_emi_in!W31/SER_hh_num_in!W31)</f>
        <v>3394.4671799204471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239.19019968676054</v>
      </c>
      <c r="D3" s="126">
        <f>IF(SER_hh_fech_in!D3=0,0,SER_hh_fech_in!D3/SER_summary!D$27)</f>
        <v>241.52738125355378</v>
      </c>
      <c r="E3" s="126">
        <f>IF(SER_hh_fech_in!E3=0,0,SER_hh_fech_in!E3/SER_summary!E$27)</f>
        <v>237.81350722933493</v>
      </c>
      <c r="F3" s="126">
        <f>IF(SER_hh_fech_in!F3=0,0,SER_hh_fech_in!F3/SER_summary!F$27)</f>
        <v>230.31641705711564</v>
      </c>
      <c r="G3" s="126">
        <f>IF(SER_hh_fech_in!G3=0,0,SER_hh_fech_in!G3/SER_summary!G$27)</f>
        <v>219.48623500595318</v>
      </c>
      <c r="H3" s="126">
        <f>IF(SER_hh_fech_in!H3=0,0,SER_hh_fech_in!H3/SER_summary!H$27)</f>
        <v>213.34085438871486</v>
      </c>
      <c r="I3" s="126">
        <f>IF(SER_hh_fech_in!I3=0,0,SER_hh_fech_in!I3/SER_summary!I$27)</f>
        <v>215.80598900767885</v>
      </c>
      <c r="J3" s="126">
        <f>IF(SER_hh_fech_in!J3=0,0,SER_hh_fech_in!J3/SER_summary!J$27)</f>
        <v>210.03569168793837</v>
      </c>
      <c r="K3" s="126">
        <f>IF(SER_hh_fech_in!K3=0,0,SER_hh_fech_in!K3/SER_summary!K$27)</f>
        <v>228.97916315383281</v>
      </c>
      <c r="L3" s="126">
        <f>IF(SER_hh_fech_in!L3=0,0,SER_hh_fech_in!L3/SER_summary!L$27)</f>
        <v>242.91168813607774</v>
      </c>
      <c r="M3" s="126">
        <f>IF(SER_hh_fech_in!M3=0,0,SER_hh_fech_in!M3/SER_summary!M$27)</f>
        <v>205.92255404680242</v>
      </c>
      <c r="N3" s="126">
        <f>IF(SER_hh_fech_in!N3=0,0,SER_hh_fech_in!N3/SER_summary!N$27)</f>
        <v>212.0178321001452</v>
      </c>
      <c r="O3" s="126">
        <f>IF(SER_hh_fech_in!O3=0,0,SER_hh_fech_in!O3/SER_summary!O$27)</f>
        <v>188.26949683464653</v>
      </c>
      <c r="P3" s="126">
        <f>IF(SER_hh_fech_in!P3=0,0,SER_hh_fech_in!P3/SER_summary!P$27)</f>
        <v>178.03893533858292</v>
      </c>
      <c r="Q3" s="126">
        <f>IF(SER_hh_fech_in!Q3=0,0,SER_hh_fech_in!Q3/SER_summary!Q$27)</f>
        <v>158.47694864771583</v>
      </c>
      <c r="R3" s="126">
        <f>IF(SER_hh_fech_in!R3=0,0,SER_hh_fech_in!R3/SER_summary!R$27)</f>
        <v>164.59172740202038</v>
      </c>
      <c r="S3" s="126">
        <f>IF(SER_hh_fech_in!S3=0,0,SER_hh_fech_in!S3/SER_summary!S$27)</f>
        <v>153.68000912132118</v>
      </c>
      <c r="T3" s="126">
        <f>IF(SER_hh_fech_in!T3=0,0,SER_hh_fech_in!T3/SER_summary!T$27)</f>
        <v>147.90244090816992</v>
      </c>
      <c r="U3" s="126">
        <f>IF(SER_hh_fech_in!U3=0,0,SER_hh_fech_in!U3/SER_summary!U$27)</f>
        <v>133.42778678213946</v>
      </c>
      <c r="V3" s="126">
        <f>IF(SER_hh_fech_in!V3=0,0,SER_hh_fech_in!V3/SER_summary!V$27)</f>
        <v>112.19182984832911</v>
      </c>
      <c r="W3" s="126">
        <f>IF(SER_hh_fech_in!W3=0,0,SER_hh_fech_in!W3/SER_summary!W$27)</f>
        <v>111.38431964008635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183.77167207217502</v>
      </c>
      <c r="D4" s="131">
        <f>IF(SER_hh_fech_in!D4=0,0,SER_hh_fech_in!D4/SER_summary!D$27)</f>
        <v>187.16611916282255</v>
      </c>
      <c r="E4" s="131">
        <f>IF(SER_hh_fech_in!E4=0,0,SER_hh_fech_in!E4/SER_summary!E$27)</f>
        <v>183.9118351755626</v>
      </c>
      <c r="F4" s="131">
        <f>IF(SER_hh_fech_in!F4=0,0,SER_hh_fech_in!F4/SER_summary!F$27)</f>
        <v>177.84789980604566</v>
      </c>
      <c r="G4" s="131">
        <f>IF(SER_hh_fech_in!G4=0,0,SER_hh_fech_in!G4/SER_summary!G$27)</f>
        <v>167.7645774011479</v>
      </c>
      <c r="H4" s="131">
        <f>IF(SER_hh_fech_in!H4=0,0,SER_hh_fech_in!H4/SER_summary!H$27)</f>
        <v>162.29193667023898</v>
      </c>
      <c r="I4" s="131">
        <f>IF(SER_hh_fech_in!I4=0,0,SER_hh_fech_in!I4/SER_summary!I$27)</f>
        <v>165.71359623631483</v>
      </c>
      <c r="J4" s="131">
        <f>IF(SER_hh_fech_in!J4=0,0,SER_hh_fech_in!J4/SER_summary!J$27)</f>
        <v>160.30561091534702</v>
      </c>
      <c r="K4" s="131">
        <f>IF(SER_hh_fech_in!K4=0,0,SER_hh_fech_in!K4/SER_summary!K$27)</f>
        <v>179.54729910582657</v>
      </c>
      <c r="L4" s="131">
        <f>IF(SER_hh_fech_in!L4=0,0,SER_hh_fech_in!L4/SER_summary!L$27)</f>
        <v>193.40034474109356</v>
      </c>
      <c r="M4" s="131">
        <f>IF(SER_hh_fech_in!M4=0,0,SER_hh_fech_in!M4/SER_summary!M$27)</f>
        <v>157.53506806155764</v>
      </c>
      <c r="N4" s="131">
        <f>IF(SER_hh_fech_in!N4=0,0,SER_hh_fech_in!N4/SER_summary!N$27)</f>
        <v>164.56976188819291</v>
      </c>
      <c r="O4" s="131">
        <f>IF(SER_hh_fech_in!O4=0,0,SER_hh_fech_in!O4/SER_summary!O$27)</f>
        <v>142.1509292715169</v>
      </c>
      <c r="P4" s="131">
        <f>IF(SER_hh_fech_in!P4=0,0,SER_hh_fech_in!P4/SER_summary!P$27)</f>
        <v>132.79511863137697</v>
      </c>
      <c r="Q4" s="131">
        <f>IF(SER_hh_fech_in!Q4=0,0,SER_hh_fech_in!Q4/SER_summary!Q$27)</f>
        <v>114.14905414995533</v>
      </c>
      <c r="R4" s="131">
        <f>IF(SER_hh_fech_in!R4=0,0,SER_hh_fech_in!R4/SER_summary!R$27)</f>
        <v>120.65606839474827</v>
      </c>
      <c r="S4" s="131">
        <f>IF(SER_hh_fech_in!S4=0,0,SER_hh_fech_in!S4/SER_summary!S$27)</f>
        <v>110.88899570996563</v>
      </c>
      <c r="T4" s="131">
        <f>IF(SER_hh_fech_in!T4=0,0,SER_hh_fech_in!T4/SER_summary!T$27)</f>
        <v>105.96754613287317</v>
      </c>
      <c r="U4" s="131">
        <f>IF(SER_hh_fech_in!U4=0,0,SER_hh_fech_in!U4/SER_summary!U$27)</f>
        <v>91.900216424629349</v>
      </c>
      <c r="V4" s="131">
        <f>IF(SER_hh_fech_in!V4=0,0,SER_hh_fech_in!V4/SER_summary!V$27)</f>
        <v>74.651795528183555</v>
      </c>
      <c r="W4" s="131">
        <f>IF(SER_hh_fech_in!W4=0,0,SER_hh_fech_in!W4/SER_summary!W$27)</f>
        <v>71.020725691376001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221.84157530065505</v>
      </c>
      <c r="D5" s="133">
        <f>IF(SER_hh_fech_in!D5=0,0,SER_hh_fech_in!D5/SER_summary!D$27)</f>
        <v>221.58791761459659</v>
      </c>
      <c r="E5" s="133">
        <f>IF(SER_hh_fech_in!E5=0,0,SER_hh_fech_in!E5/SER_summary!E$27)</f>
        <v>221.03061136708121</v>
      </c>
      <c r="F5" s="133">
        <f>IF(SER_hh_fech_in!F5=0,0,SER_hh_fech_in!F5/SER_summary!F$27)</f>
        <v>207.35166647346003</v>
      </c>
      <c r="G5" s="133">
        <f>IF(SER_hh_fech_in!G5=0,0,SER_hh_fech_in!G5/SER_summary!G$27)</f>
        <v>199.71194262929527</v>
      </c>
      <c r="H5" s="133">
        <f>IF(SER_hh_fech_in!H5=0,0,SER_hh_fech_in!H5/SER_summary!H$27)</f>
        <v>205.8992610132556</v>
      </c>
      <c r="I5" s="133">
        <f>IF(SER_hh_fech_in!I5=0,0,SER_hh_fech_in!I5/SER_summary!I$27)</f>
        <v>169.65748932151268</v>
      </c>
      <c r="J5" s="133">
        <f>IF(SER_hh_fech_in!J5=0,0,SER_hh_fech_in!J5/SER_summary!J$27)</f>
        <v>199.65667078635127</v>
      </c>
      <c r="K5" s="133">
        <f>IF(SER_hh_fech_in!K5=0,0,SER_hh_fech_in!K5/SER_summary!K$27)</f>
        <v>212.91027185941971</v>
      </c>
      <c r="L5" s="133">
        <f>IF(SER_hh_fech_in!L5=0,0,SER_hh_fech_in!L5/SER_summary!L$27)</f>
        <v>224.19746429265024</v>
      </c>
      <c r="M5" s="133">
        <f>IF(SER_hh_fech_in!M5=0,0,SER_hh_fech_in!M5/SER_summary!M$27)</f>
        <v>175.38690043895596</v>
      </c>
      <c r="N5" s="133">
        <f>IF(SER_hh_fech_in!N5=0,0,SER_hh_fech_in!N5/SER_summary!N$27)</f>
        <v>195.13979800498734</v>
      </c>
      <c r="O5" s="133">
        <f>IF(SER_hh_fech_in!O5=0,0,SER_hh_fech_in!O5/SER_summary!O$27)</f>
        <v>171.69932613815763</v>
      </c>
      <c r="P5" s="133">
        <f>IF(SER_hh_fech_in!P5=0,0,SER_hh_fech_in!P5/SER_summary!P$27)</f>
        <v>168.5940994555875</v>
      </c>
      <c r="Q5" s="133">
        <f>IF(SER_hh_fech_in!Q5=0,0,SER_hh_fech_in!Q5/SER_summary!Q$27)</f>
        <v>144.23109712534904</v>
      </c>
      <c r="R5" s="133">
        <f>IF(SER_hh_fech_in!R5=0,0,SER_hh_fech_in!R5/SER_summary!R$27)</f>
        <v>147.73966706634576</v>
      </c>
      <c r="S5" s="133">
        <f>IF(SER_hh_fech_in!S5=0,0,SER_hh_fech_in!S5/SER_summary!S$27)</f>
        <v>135.17940305365713</v>
      </c>
      <c r="T5" s="133">
        <f>IF(SER_hh_fech_in!T5=0,0,SER_hh_fech_in!T5/SER_summary!T$27)</f>
        <v>126.21022859149042</v>
      </c>
      <c r="U5" s="133">
        <f>IF(SER_hh_fech_in!U5=0,0,SER_hh_fech_in!U5/SER_summary!U$27)</f>
        <v>118.20491774610527</v>
      </c>
      <c r="V5" s="133">
        <f>IF(SER_hh_fech_in!V5=0,0,SER_hh_fech_in!V5/SER_summary!V$27)</f>
        <v>95.989981030350478</v>
      </c>
      <c r="W5" s="133">
        <f>IF(SER_hh_fech_in!W5=0,0,SER_hh_fech_in!W5/SER_summary!W$27)</f>
        <v>85.216273008302963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256.5697939046475</v>
      </c>
      <c r="D7" s="133">
        <f>IF(SER_hh_fech_in!D7=0,0,SER_hh_fech_in!D7/SER_summary!D$27)</f>
        <v>254.02346817735219</v>
      </c>
      <c r="E7" s="133">
        <f>IF(SER_hh_fech_in!E7=0,0,SER_hh_fech_in!E7/SER_summary!E$27)</f>
        <v>249.87442845014687</v>
      </c>
      <c r="F7" s="133">
        <f>IF(SER_hh_fech_in!F7=0,0,SER_hh_fech_in!F7/SER_summary!F$27)</f>
        <v>240.04195640602848</v>
      </c>
      <c r="G7" s="133">
        <f>IF(SER_hh_fech_in!G7=0,0,SER_hh_fech_in!G7/SER_summary!G$27)</f>
        <v>227.59344222592767</v>
      </c>
      <c r="H7" s="133">
        <f>IF(SER_hh_fech_in!H7=0,0,SER_hh_fech_in!H7/SER_summary!H$27)</f>
        <v>230.45040532506187</v>
      </c>
      <c r="I7" s="133">
        <f>IF(SER_hh_fech_in!I7=0,0,SER_hh_fech_in!I7/SER_summary!I$27)</f>
        <v>231.37929562374464</v>
      </c>
      <c r="J7" s="133">
        <f>IF(SER_hh_fech_in!J7=0,0,SER_hh_fech_in!J7/SER_summary!J$27)</f>
        <v>196.79955317483626</v>
      </c>
      <c r="K7" s="133">
        <f>IF(SER_hh_fech_in!K7=0,0,SER_hh_fech_in!K7/SER_summary!K$27)</f>
        <v>219.56576730540613</v>
      </c>
      <c r="L7" s="133">
        <f>IF(SER_hh_fech_in!L7=0,0,SER_hh_fech_in!L7/SER_summary!L$27)</f>
        <v>249.86176697112057</v>
      </c>
      <c r="M7" s="133">
        <f>IF(SER_hh_fech_in!M7=0,0,SER_hh_fech_in!M7/SER_summary!M$27)</f>
        <v>197.91550214684804</v>
      </c>
      <c r="N7" s="133">
        <f>IF(SER_hh_fech_in!N7=0,0,SER_hh_fech_in!N7/SER_summary!N$27)</f>
        <v>206.40131323610873</v>
      </c>
      <c r="O7" s="133">
        <f>IF(SER_hh_fech_in!O7=0,0,SER_hh_fech_in!O7/SER_summary!O$27)</f>
        <v>175.12603926572405</v>
      </c>
      <c r="P7" s="133">
        <f>IF(SER_hh_fech_in!P7=0,0,SER_hh_fech_in!P7/SER_summary!P$27)</f>
        <v>161.36319446773513</v>
      </c>
      <c r="Q7" s="133">
        <f>IF(SER_hh_fech_in!Q7=0,0,SER_hh_fech_in!Q7/SER_summary!Q$27)</f>
        <v>135.34049998584098</v>
      </c>
      <c r="R7" s="133">
        <f>IF(SER_hh_fech_in!R7=0,0,SER_hh_fech_in!R7/SER_summary!R$27)</f>
        <v>139.04778770298944</v>
      </c>
      <c r="S7" s="133">
        <f>IF(SER_hh_fech_in!S7=0,0,SER_hh_fech_in!S7/SER_summary!S$27)</f>
        <v>128.37924017897785</v>
      </c>
      <c r="T7" s="133">
        <f>IF(SER_hh_fech_in!T7=0,0,SER_hh_fech_in!T7/SER_summary!T$27)</f>
        <v>119.12808889211692</v>
      </c>
      <c r="U7" s="133">
        <f>IF(SER_hh_fech_in!U7=0,0,SER_hh_fech_in!U7/SER_summary!U$27)</f>
        <v>107.60985958721908</v>
      </c>
      <c r="V7" s="133">
        <f>IF(SER_hh_fech_in!V7=0,0,SER_hh_fech_in!V7/SER_summary!V$27)</f>
        <v>87.572685046425093</v>
      </c>
      <c r="W7" s="133">
        <f>IF(SER_hh_fech_in!W7=0,0,SER_hh_fech_in!W7/SER_summary!W$27)</f>
        <v>83.151759318894889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211.19349649376221</v>
      </c>
      <c r="D9" s="133">
        <f>IF(SER_hh_fech_in!D9=0,0,SER_hh_fech_in!D9/SER_summary!D$27)</f>
        <v>228.68772912635455</v>
      </c>
      <c r="E9" s="133">
        <f>IF(SER_hh_fech_in!E9=0,0,SER_hh_fech_in!E9/SER_summary!E$27)</f>
        <v>216.80528408705794</v>
      </c>
      <c r="F9" s="133">
        <f>IF(SER_hh_fech_in!F9=0,0,SER_hh_fech_in!F9/SER_summary!F$27)</f>
        <v>220.05379810041899</v>
      </c>
      <c r="G9" s="133">
        <f>IF(SER_hh_fech_in!G9=0,0,SER_hh_fech_in!G9/SER_summary!G$27)</f>
        <v>208.90209312081072</v>
      </c>
      <c r="H9" s="133">
        <f>IF(SER_hh_fech_in!H9=0,0,SER_hh_fech_in!H9/SER_summary!H$27)</f>
        <v>197.17118263244106</v>
      </c>
      <c r="I9" s="133">
        <f>IF(SER_hh_fech_in!I9=0,0,SER_hh_fech_in!I9/SER_summary!I$27)</f>
        <v>196.27973872174974</v>
      </c>
      <c r="J9" s="133">
        <f>IF(SER_hh_fech_in!J9=0,0,SER_hh_fech_in!J9/SER_summary!J$27)</f>
        <v>193.72062844529367</v>
      </c>
      <c r="K9" s="133">
        <f>IF(SER_hh_fech_in!K9=0,0,SER_hh_fech_in!K9/SER_summary!K$27)</f>
        <v>186.64675475748922</v>
      </c>
      <c r="L9" s="133">
        <f>IF(SER_hh_fech_in!L9=0,0,SER_hh_fech_in!L9/SER_summary!L$27)</f>
        <v>194.22690662915133</v>
      </c>
      <c r="M9" s="133">
        <f>IF(SER_hh_fech_in!M9=0,0,SER_hh_fech_in!M9/SER_summary!M$27)</f>
        <v>241.84454504547148</v>
      </c>
      <c r="N9" s="133">
        <f>IF(SER_hh_fech_in!N9=0,0,SER_hh_fech_in!N9/SER_summary!N$27)</f>
        <v>250.40364485175905</v>
      </c>
      <c r="O9" s="133">
        <f>IF(SER_hh_fech_in!O9=0,0,SER_hh_fech_in!O9/SER_summary!O$27)</f>
        <v>195.59445038103047</v>
      </c>
      <c r="P9" s="133">
        <f>IF(SER_hh_fech_in!P9=0,0,SER_hh_fech_in!P9/SER_summary!P$27)</f>
        <v>158.61555396816982</v>
      </c>
      <c r="Q9" s="133">
        <f>IF(SER_hh_fech_in!Q9=0,0,SER_hh_fech_in!Q9/SER_summary!Q$27)</f>
        <v>130.40703384787227</v>
      </c>
      <c r="R9" s="133">
        <f>IF(SER_hh_fech_in!R9=0,0,SER_hh_fech_in!R9/SER_summary!R$27)</f>
        <v>120.43107058936107</v>
      </c>
      <c r="S9" s="133">
        <f>IF(SER_hh_fech_in!S9=0,0,SER_hh_fech_in!S9/SER_summary!S$27)</f>
        <v>136.52746551483125</v>
      </c>
      <c r="T9" s="133">
        <f>IF(SER_hh_fech_in!T9=0,0,SER_hh_fech_in!T9/SER_summary!T$27)</f>
        <v>118.09185076329373</v>
      </c>
      <c r="U9" s="133">
        <f>IF(SER_hh_fech_in!U9=0,0,SER_hh_fech_in!U9/SER_summary!U$27)</f>
        <v>104.62827711207125</v>
      </c>
      <c r="V9" s="133">
        <f>IF(SER_hh_fech_in!V9=0,0,SER_hh_fech_in!V9/SER_summary!V$27)</f>
        <v>84.946667934146276</v>
      </c>
      <c r="W9" s="133">
        <f>IF(SER_hh_fech_in!W9=0,0,SER_hh_fech_in!W9/SER_summary!W$27)</f>
        <v>83.706239236386125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247.74945272597336</v>
      </c>
      <c r="D10" s="133">
        <f>IF(SER_hh_fech_in!D10=0,0,SER_hh_fech_in!D10/SER_summary!D$27)</f>
        <v>249.81464897765665</v>
      </c>
      <c r="E10" s="133">
        <f>IF(SER_hh_fech_in!E10=0,0,SER_hh_fech_in!E10/SER_summary!E$27)</f>
        <v>246.41693564023606</v>
      </c>
      <c r="F10" s="133">
        <f>IF(SER_hh_fech_in!F10=0,0,SER_hh_fech_in!F10/SER_summary!F$27)</f>
        <v>236.8090209099997</v>
      </c>
      <c r="G10" s="133">
        <f>IF(SER_hh_fech_in!G10=0,0,SER_hh_fech_in!G10/SER_summary!G$27)</f>
        <v>229.77528902092567</v>
      </c>
      <c r="H10" s="133">
        <f>IF(SER_hh_fech_in!H10=0,0,SER_hh_fech_in!H10/SER_summary!H$27)</f>
        <v>230.69844087404826</v>
      </c>
      <c r="I10" s="133">
        <f>IF(SER_hh_fech_in!I10=0,0,SER_hh_fech_in!I10/SER_summary!I$27)</f>
        <v>225.45731933847708</v>
      </c>
      <c r="J10" s="133">
        <f>IF(SER_hh_fech_in!J10=0,0,SER_hh_fech_in!J10/SER_summary!J$27)</f>
        <v>234.3851141121223</v>
      </c>
      <c r="K10" s="133">
        <f>IF(SER_hh_fech_in!K10=0,0,SER_hh_fech_in!K10/SER_summary!K$27)</f>
        <v>245.62713445247218</v>
      </c>
      <c r="L10" s="133">
        <f>IF(SER_hh_fech_in!L10=0,0,SER_hh_fech_in!L10/SER_summary!L$27)</f>
        <v>263.51856189940526</v>
      </c>
      <c r="M10" s="133">
        <f>IF(SER_hh_fech_in!M10=0,0,SER_hh_fech_in!M10/SER_summary!M$27)</f>
        <v>218.85957945598543</v>
      </c>
      <c r="N10" s="133">
        <f>IF(SER_hh_fech_in!N10=0,0,SER_hh_fech_in!N10/SER_summary!N$27)</f>
        <v>234.78559073705256</v>
      </c>
      <c r="O10" s="133">
        <f>IF(SER_hh_fech_in!O10=0,0,SER_hh_fech_in!O10/SER_summary!O$27)</f>
        <v>209.07199656525319</v>
      </c>
      <c r="P10" s="133">
        <f>IF(SER_hh_fech_in!P10=0,0,SER_hh_fech_in!P10/SER_summary!P$27)</f>
        <v>206.63544487283878</v>
      </c>
      <c r="Q10" s="133">
        <f>IF(SER_hh_fech_in!Q10=0,0,SER_hh_fech_in!Q10/SER_summary!Q$27)</f>
        <v>178.48755072770686</v>
      </c>
      <c r="R10" s="133">
        <f>IF(SER_hh_fech_in!R10=0,0,SER_hh_fech_in!R10/SER_summary!R$27)</f>
        <v>186.51757505995641</v>
      </c>
      <c r="S10" s="133">
        <f>IF(SER_hh_fech_in!S10=0,0,SER_hh_fech_in!S10/SER_summary!S$27)</f>
        <v>174.53764704949208</v>
      </c>
      <c r="T10" s="133">
        <f>IF(SER_hh_fech_in!T10=0,0,SER_hh_fech_in!T10/SER_summary!T$27)</f>
        <v>165.88149494871433</v>
      </c>
      <c r="U10" s="133">
        <f>IF(SER_hh_fech_in!U10=0,0,SER_hh_fech_in!U10/SER_summary!U$27)</f>
        <v>148.20585669713572</v>
      </c>
      <c r="V10" s="133">
        <f>IF(SER_hh_fech_in!V10=0,0,SER_hh_fech_in!V10/SER_summary!V$27)</f>
        <v>121.25326468233973</v>
      </c>
      <c r="W10" s="133">
        <f>IF(SER_hh_fech_in!W10=0,0,SER_hh_fech_in!W10/SER_summary!W$27)</f>
        <v>116.32495011356781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170.52092657297425</v>
      </c>
      <c r="D12" s="133">
        <f>IF(SER_hh_fech_in!D12=0,0,SER_hh_fech_in!D12/SER_summary!D$27)</f>
        <v>171.68179592566807</v>
      </c>
      <c r="E12" s="133">
        <f>IF(SER_hh_fech_in!E12=0,0,SER_hh_fech_in!E12/SER_summary!E$27)</f>
        <v>170.65810849280012</v>
      </c>
      <c r="F12" s="133">
        <f>IF(SER_hh_fech_in!F12=0,0,SER_hh_fech_in!F12/SER_summary!F$27)</f>
        <v>161.51679392171008</v>
      </c>
      <c r="G12" s="133">
        <f>IF(SER_hh_fech_in!G12=0,0,SER_hh_fech_in!G12/SER_summary!G$27)</f>
        <v>153.28351182121105</v>
      </c>
      <c r="H12" s="133">
        <f>IF(SER_hh_fech_in!H12=0,0,SER_hh_fech_in!H12/SER_summary!H$27)</f>
        <v>150.67755227292335</v>
      </c>
      <c r="I12" s="133">
        <f>IF(SER_hh_fech_in!I12=0,0,SER_hh_fech_in!I12/SER_summary!I$27)</f>
        <v>161.99776175540001</v>
      </c>
      <c r="J12" s="133">
        <f>IF(SER_hh_fech_in!J12=0,0,SER_hh_fech_in!J12/SER_summary!J$27)</f>
        <v>152.93949186144283</v>
      </c>
      <c r="K12" s="133">
        <f>IF(SER_hh_fech_in!K12=0,0,SER_hh_fech_in!K12/SER_summary!K$27)</f>
        <v>171.73592952656261</v>
      </c>
      <c r="L12" s="133">
        <f>IF(SER_hh_fech_in!L12=0,0,SER_hh_fech_in!L12/SER_summary!L$27)</f>
        <v>178.43026196197161</v>
      </c>
      <c r="M12" s="133">
        <f>IF(SER_hh_fech_in!M12=0,0,SER_hh_fech_in!M12/SER_summary!M$27)</f>
        <v>142.46149235309764</v>
      </c>
      <c r="N12" s="133">
        <f>IF(SER_hh_fech_in!N12=0,0,SER_hh_fech_in!N12/SER_summary!N$27)</f>
        <v>152.08263309872234</v>
      </c>
      <c r="O12" s="133">
        <f>IF(SER_hh_fech_in!O12=0,0,SER_hh_fech_in!O12/SER_summary!O$27)</f>
        <v>136.87723543714716</v>
      </c>
      <c r="P12" s="133">
        <f>IF(SER_hh_fech_in!P12=0,0,SER_hh_fech_in!P12/SER_summary!P$27)</f>
        <v>140.22784970684441</v>
      </c>
      <c r="Q12" s="133">
        <f>IF(SER_hh_fech_in!Q12=0,0,SER_hh_fech_in!Q12/SER_summary!Q$27)</f>
        <v>116.97979392800976</v>
      </c>
      <c r="R12" s="133">
        <f>IF(SER_hh_fech_in!R12=0,0,SER_hh_fech_in!R12/SER_summary!R$27)</f>
        <v>121.68613754175621</v>
      </c>
      <c r="S12" s="133">
        <f>IF(SER_hh_fech_in!S12=0,0,SER_hh_fech_in!S12/SER_summary!S$27)</f>
        <v>112.73185081223674</v>
      </c>
      <c r="T12" s="133">
        <f>IF(SER_hh_fech_in!T12=0,0,SER_hh_fech_in!T12/SER_summary!T$27)</f>
        <v>106.84785619151552</v>
      </c>
      <c r="U12" s="133">
        <f>IF(SER_hh_fech_in!U12=0,0,SER_hh_fech_in!U12/SER_summary!U$27)</f>
        <v>94.644329415169366</v>
      </c>
      <c r="V12" s="133">
        <f>IF(SER_hh_fech_in!V12=0,0,SER_hh_fech_in!V12/SER_summary!V$27)</f>
        <v>77.568402541605678</v>
      </c>
      <c r="W12" s="133">
        <f>IF(SER_hh_fech_in!W12=0,0,SER_hh_fech_in!W12/SER_summary!W$27)</f>
        <v>73.586440126200714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89.407480977417379</v>
      </c>
      <c r="D13" s="133">
        <f>IF(SER_hh_fech_in!D13=0,0,SER_hh_fech_in!D13/SER_summary!D$27)</f>
        <v>84.428781875490913</v>
      </c>
      <c r="E13" s="133">
        <f>IF(SER_hh_fech_in!E13=0,0,SER_hh_fech_in!E13/SER_summary!E$27)</f>
        <v>78.736330348735478</v>
      </c>
      <c r="F13" s="133">
        <f>IF(SER_hh_fech_in!F13=0,0,SER_hh_fech_in!F13/SER_summary!F$27)</f>
        <v>73.139488291784531</v>
      </c>
      <c r="G13" s="133">
        <f>IF(SER_hh_fech_in!G13=0,0,SER_hh_fech_in!G13/SER_summary!G$27)</f>
        <v>67.931588258337769</v>
      </c>
      <c r="H13" s="133">
        <f>IF(SER_hh_fech_in!H13=0,0,SER_hh_fech_in!H13/SER_summary!H$27)</f>
        <v>64.065922158106218</v>
      </c>
      <c r="I13" s="133">
        <f>IF(SER_hh_fech_in!I13=0,0,SER_hh_fech_in!I13/SER_summary!I$27)</f>
        <v>61.595925721317002</v>
      </c>
      <c r="J13" s="133">
        <f>IF(SER_hh_fech_in!J13=0,0,SER_hh_fech_in!J13/SER_summary!J$27)</f>
        <v>59.428268297306509</v>
      </c>
      <c r="K13" s="133">
        <f>IF(SER_hh_fech_in!K13=0,0,SER_hh_fech_in!K13/SER_summary!K$27)</f>
        <v>57.424879518720907</v>
      </c>
      <c r="L13" s="133">
        <f>IF(SER_hh_fech_in!L13=0,0,SER_hh_fech_in!L13/SER_summary!L$27)</f>
        <v>54.313513167369813</v>
      </c>
      <c r="M13" s="133">
        <f>IF(SER_hh_fech_in!M13=0,0,SER_hh_fech_in!M13/SER_summary!M$27)</f>
        <v>49.182120773664032</v>
      </c>
      <c r="N13" s="133">
        <f>IF(SER_hh_fech_in!N13=0,0,SER_hh_fech_in!N13/SER_summary!N$27)</f>
        <v>45.52269340274453</v>
      </c>
      <c r="O13" s="133">
        <f>IF(SER_hh_fech_in!O13=0,0,SER_hh_fech_in!O13/SER_summary!O$27)</f>
        <v>40.541781570462028</v>
      </c>
      <c r="P13" s="133">
        <f>IF(SER_hh_fech_in!P13=0,0,SER_hh_fech_in!P13/SER_summary!P$27)</f>
        <v>36.986100901053462</v>
      </c>
      <c r="Q13" s="133">
        <f>IF(SER_hh_fech_in!Q13=0,0,SER_hh_fech_in!Q13/SER_summary!Q$27)</f>
        <v>35.153213085480289</v>
      </c>
      <c r="R13" s="133">
        <f>IF(SER_hh_fech_in!R13=0,0,SER_hh_fech_in!R13/SER_summary!R$27)</f>
        <v>32.143504254557264</v>
      </c>
      <c r="S13" s="133">
        <f>IF(SER_hh_fech_in!S13=0,0,SER_hh_fech_in!S13/SER_summary!S$27)</f>
        <v>29.880457998371618</v>
      </c>
      <c r="T13" s="133">
        <f>IF(SER_hh_fech_in!T13=0,0,SER_hh_fech_in!T13/SER_summary!T$27)</f>
        <v>28.479838133261985</v>
      </c>
      <c r="U13" s="133">
        <f>IF(SER_hh_fech_in!U13=0,0,SER_hh_fech_in!U13/SER_summary!U$27)</f>
        <v>25.250976645056141</v>
      </c>
      <c r="V13" s="133">
        <f>IF(SER_hh_fech_in!V13=0,0,SER_hh_fech_in!V13/SER_summary!V$27)</f>
        <v>20.899270952241523</v>
      </c>
      <c r="W13" s="133">
        <f>IF(SER_hh_fech_in!W13=0,0,SER_hh_fech_in!W13/SER_summary!W$27)</f>
        <v>20.661234539197768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187.75945211729723</v>
      </c>
      <c r="D14" s="65">
        <f>IF(SER_hh_fech_in!D14=0,0,SER_hh_fech_in!D14/SER_summary!D$27)</f>
        <v>192.66195742144856</v>
      </c>
      <c r="E14" s="65">
        <f>IF(SER_hh_fech_in!E14=0,0,SER_hh_fech_in!E14/SER_summary!E$27)</f>
        <v>179.77368935586492</v>
      </c>
      <c r="F14" s="65">
        <f>IF(SER_hh_fech_in!F14=0,0,SER_hh_fech_in!F14/SER_summary!F$27)</f>
        <v>178.55702430144021</v>
      </c>
      <c r="G14" s="65">
        <f>IF(SER_hh_fech_in!G14=0,0,SER_hh_fech_in!G14/SER_summary!G$27)</f>
        <v>171.39363268964419</v>
      </c>
      <c r="H14" s="65">
        <f>IF(SER_hh_fech_in!H14=0,0,SER_hh_fech_in!H14/SER_summary!H$27)</f>
        <v>170.65829834123653</v>
      </c>
      <c r="I14" s="65">
        <f>IF(SER_hh_fech_in!I14=0,0,SER_hh_fech_in!I14/SER_summary!I$27)</f>
        <v>170.37174709276735</v>
      </c>
      <c r="J14" s="65">
        <f>IF(SER_hh_fech_in!J14=0,0,SER_hh_fech_in!J14/SER_summary!J$27)</f>
        <v>170.29927273023713</v>
      </c>
      <c r="K14" s="65">
        <f>IF(SER_hh_fech_in!K14=0,0,SER_hh_fech_in!K14/SER_summary!K$27)</f>
        <v>179.51364986862174</v>
      </c>
      <c r="L14" s="65">
        <f>IF(SER_hh_fech_in!L14=0,0,SER_hh_fech_in!L14/SER_summary!L$27)</f>
        <v>185.50112970244686</v>
      </c>
      <c r="M14" s="65">
        <f>IF(SER_hh_fech_in!M14=0,0,SER_hh_fech_in!M14/SER_summary!M$27)</f>
        <v>159.4571441748902</v>
      </c>
      <c r="N14" s="65">
        <f>IF(SER_hh_fech_in!N14=0,0,SER_hh_fech_in!N14/SER_summary!N$27)</f>
        <v>166.59112977673328</v>
      </c>
      <c r="O14" s="65">
        <f>IF(SER_hh_fech_in!O14=0,0,SER_hh_fech_in!O14/SER_summary!O$27)</f>
        <v>147.87720144838696</v>
      </c>
      <c r="P14" s="65">
        <f>IF(SER_hh_fech_in!P14=0,0,SER_hh_fech_in!P14/SER_summary!P$27)</f>
        <v>138.46051082886919</v>
      </c>
      <c r="Q14" s="65">
        <f>IF(SER_hh_fech_in!Q14=0,0,SER_hh_fech_in!Q14/SER_summary!Q$27)</f>
        <v>126.69209160151422</v>
      </c>
      <c r="R14" s="65">
        <f>IF(SER_hh_fech_in!R14=0,0,SER_hh_fech_in!R14/SER_summary!R$27)</f>
        <v>124.01865565076518</v>
      </c>
      <c r="S14" s="65">
        <f>IF(SER_hh_fech_in!S14=0,0,SER_hh_fech_in!S14/SER_summary!S$27)</f>
        <v>107.39397635328103</v>
      </c>
      <c r="T14" s="65">
        <f>IF(SER_hh_fech_in!T14=0,0,SER_hh_fech_in!T14/SER_summary!T$27)</f>
        <v>111.23180955284131</v>
      </c>
      <c r="U14" s="65">
        <f>IF(SER_hh_fech_in!U14=0,0,SER_hh_fech_in!U14/SER_summary!U$27)</f>
        <v>93.192426542502773</v>
      </c>
      <c r="V14" s="65">
        <f>IF(SER_hh_fech_in!V14=0,0,SER_hh_fech_in!V14/SER_summary!V$27)</f>
        <v>76.95546303463064</v>
      </c>
      <c r="W14" s="65">
        <f>IF(SER_hh_fech_in!W14=0,0,SER_hh_fech_in!W14/SER_summary!W$27)</f>
        <v>68.490905646036978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0.90936076325344539</v>
      </c>
      <c r="D15" s="135">
        <f>IF(SER_hh_fech_in!D15=0,0,SER_hh_fech_in!D15/SER_summary!D$27)</f>
        <v>0.9584087231963595</v>
      </c>
      <c r="E15" s="135">
        <f>IF(SER_hh_fech_in!E15=0,0,SER_hh_fech_in!E15/SER_summary!E$27)</f>
        <v>0.98914685998739171</v>
      </c>
      <c r="F15" s="135">
        <f>IF(SER_hh_fech_in!F15=0,0,SER_hh_fech_in!F15/SER_summary!F$27)</f>
        <v>0.97012108152133714</v>
      </c>
      <c r="G15" s="135">
        <f>IF(SER_hh_fech_in!G15=0,0,SER_hh_fech_in!G15/SER_summary!G$27)</f>
        <v>0.85782164285741691</v>
      </c>
      <c r="H15" s="135">
        <f>IF(SER_hh_fech_in!H15=0,0,SER_hh_fech_in!H15/SER_summary!H$27)</f>
        <v>0.72533991597005421</v>
      </c>
      <c r="I15" s="135">
        <f>IF(SER_hh_fech_in!I15=0,0,SER_hh_fech_in!I15/SER_summary!I$27)</f>
        <v>0.6453264767705047</v>
      </c>
      <c r="J15" s="135">
        <f>IF(SER_hh_fech_in!J15=0,0,SER_hh_fech_in!J15/SER_summary!J$27)</f>
        <v>0.63841608537681394</v>
      </c>
      <c r="K15" s="135">
        <f>IF(SER_hh_fech_in!K15=0,0,SER_hh_fech_in!K15/SER_summary!K$27)</f>
        <v>0.87947205119548266</v>
      </c>
      <c r="L15" s="135">
        <f>IF(SER_hh_fech_in!L15=0,0,SER_hh_fech_in!L15/SER_summary!L$27)</f>
        <v>1.1308067755834865</v>
      </c>
      <c r="M15" s="135">
        <f>IF(SER_hh_fech_in!M15=0,0,SER_hh_fech_in!M15/SER_summary!M$27)</f>
        <v>0.94234875985187094</v>
      </c>
      <c r="N15" s="135">
        <f>IF(SER_hh_fech_in!N15=0,0,SER_hh_fech_in!N15/SER_summary!N$27)</f>
        <v>0.94363104322051505</v>
      </c>
      <c r="O15" s="135">
        <f>IF(SER_hh_fech_in!O15=0,0,SER_hh_fech_in!O15/SER_summary!O$27)</f>
        <v>0.78360155468998638</v>
      </c>
      <c r="P15" s="135">
        <f>IF(SER_hh_fech_in!P15=0,0,SER_hh_fech_in!P15/SER_summary!P$27)</f>
        <v>0.66031941352928514</v>
      </c>
      <c r="Q15" s="135">
        <f>IF(SER_hh_fech_in!Q15=0,0,SER_hh_fech_in!Q15/SER_summary!Q$27)</f>
        <v>0.61917375773324423</v>
      </c>
      <c r="R15" s="135">
        <f>IF(SER_hh_fech_in!R15=0,0,SER_hh_fech_in!R15/SER_summary!R$27)</f>
        <v>0.64331731096249856</v>
      </c>
      <c r="S15" s="135">
        <f>IF(SER_hh_fech_in!S15=0,0,SER_hh_fech_in!S15/SER_summary!S$27)</f>
        <v>0.59897442374074161</v>
      </c>
      <c r="T15" s="135">
        <f>IF(SER_hh_fech_in!T15=0,0,SER_hh_fech_in!T15/SER_summary!T$27)</f>
        <v>0.56336631505808465</v>
      </c>
      <c r="U15" s="135">
        <f>IF(SER_hh_fech_in!U15=0,0,SER_hh_fech_in!U15/SER_summary!U$27)</f>
        <v>0.52097197583750499</v>
      </c>
      <c r="V15" s="135">
        <f>IF(SER_hh_fech_in!V15=0,0,SER_hh_fech_in!V15/SER_summary!V$27)</f>
        <v>0.42124316483057006</v>
      </c>
      <c r="W15" s="135">
        <f>IF(SER_hh_fech_in!W15=0,0,SER_hh_fech_in!W15/SER_summary!W$27)</f>
        <v>0.3801253748909062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10.529654151625095</v>
      </c>
      <c r="D16" s="131">
        <f>IF(SER_hh_fech_in!D16=0,0,SER_hh_fech_in!D16/SER_summary!D$27)</f>
        <v>10.105711214377918</v>
      </c>
      <c r="E16" s="131">
        <f>IF(SER_hh_fech_in!E16=0,0,SER_hh_fech_in!E16/SER_summary!E$27)</f>
        <v>10.132475142419597</v>
      </c>
      <c r="F16" s="131">
        <f>IF(SER_hh_fech_in!F16=0,0,SER_hh_fech_in!F16/SER_summary!F$27)</f>
        <v>9.3501194808999539</v>
      </c>
      <c r="G16" s="131">
        <f>IF(SER_hh_fech_in!G16=0,0,SER_hh_fech_in!G16/SER_summary!G$27)</f>
        <v>9.0048484817436769</v>
      </c>
      <c r="H16" s="131">
        <f>IF(SER_hh_fech_in!H16=0,0,SER_hh_fech_in!H16/SER_summary!H$27)</f>
        <v>8.7022923862494572</v>
      </c>
      <c r="I16" s="131">
        <f>IF(SER_hh_fech_in!I16=0,0,SER_hh_fech_in!I16/SER_summary!I$27)</f>
        <v>8.3752922856268999</v>
      </c>
      <c r="J16" s="131">
        <f>IF(SER_hh_fech_in!J16=0,0,SER_hh_fech_in!J16/SER_summary!J$27)</f>
        <v>8.0819113641657125</v>
      </c>
      <c r="K16" s="131">
        <f>IF(SER_hh_fech_in!K16=0,0,SER_hh_fech_in!K16/SER_summary!K$27)</f>
        <v>7.7336498002684539</v>
      </c>
      <c r="L16" s="131">
        <f>IF(SER_hh_fech_in!L16=0,0,SER_hh_fech_in!L16/SER_summary!L$27)</f>
        <v>7.9260386132237999</v>
      </c>
      <c r="M16" s="131">
        <f>IF(SER_hh_fech_in!M16=0,0,SER_hh_fech_in!M16/SER_summary!M$27)</f>
        <v>7.1068008066960493</v>
      </c>
      <c r="N16" s="131">
        <f>IF(SER_hh_fech_in!N16=0,0,SER_hh_fech_in!N16/SER_summary!N$27)</f>
        <v>6.6310487503645446</v>
      </c>
      <c r="O16" s="131">
        <f>IF(SER_hh_fech_in!O16=0,0,SER_hh_fech_in!O16/SER_summary!O$27)</f>
        <v>6.2088342523478275</v>
      </c>
      <c r="P16" s="131">
        <f>IF(SER_hh_fech_in!P16=0,0,SER_hh_fech_in!P16/SER_summary!P$27)</f>
        <v>5.8212238687859399</v>
      </c>
      <c r="Q16" s="131">
        <f>IF(SER_hh_fech_in!Q16=0,0,SER_hh_fech_in!Q16/SER_summary!Q$27)</f>
        <v>5.3909536846743276</v>
      </c>
      <c r="R16" s="131">
        <f>IF(SER_hh_fech_in!R16=0,0,SER_hh_fech_in!R16/SER_summary!R$27)</f>
        <v>5.2443687515615158</v>
      </c>
      <c r="S16" s="131">
        <f>IF(SER_hh_fech_in!S16=0,0,SER_hh_fech_in!S16/SER_summary!S$27)</f>
        <v>5.0236439859206641</v>
      </c>
      <c r="T16" s="131">
        <f>IF(SER_hh_fech_in!T16=0,0,SER_hh_fech_in!T16/SER_summary!T$27)</f>
        <v>4.8022426110829048</v>
      </c>
      <c r="U16" s="131">
        <f>IF(SER_hh_fech_in!U16=0,0,SER_hh_fech_in!U16/SER_summary!U$27)</f>
        <v>4.5949842835862782</v>
      </c>
      <c r="V16" s="131">
        <f>IF(SER_hh_fech_in!V16=0,0,SER_hh_fech_in!V16/SER_summary!V$27)</f>
        <v>4.3423948511755555</v>
      </c>
      <c r="W16" s="131">
        <f>IF(SER_hh_fech_in!W16=0,0,SER_hh_fech_in!W16/SER_summary!W$27)</f>
        <v>3.7592212639516425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10.529654151625095</v>
      </c>
      <c r="D18" s="133">
        <f>IF(SER_hh_fech_in!D18=0,0,SER_hh_fech_in!D18/SER_summary!D$27)</f>
        <v>10.105711214377918</v>
      </c>
      <c r="E18" s="133">
        <f>IF(SER_hh_fech_in!E18=0,0,SER_hh_fech_in!E18/SER_summary!E$27)</f>
        <v>10.132475142419597</v>
      </c>
      <c r="F18" s="133">
        <f>IF(SER_hh_fech_in!F18=0,0,SER_hh_fech_in!F18/SER_summary!F$27)</f>
        <v>9.3501194808999539</v>
      </c>
      <c r="G18" s="133">
        <f>IF(SER_hh_fech_in!G18=0,0,SER_hh_fech_in!G18/SER_summary!G$27)</f>
        <v>9.0048484817436769</v>
      </c>
      <c r="H18" s="133">
        <f>IF(SER_hh_fech_in!H18=0,0,SER_hh_fech_in!H18/SER_summary!H$27)</f>
        <v>8.7022923862494572</v>
      </c>
      <c r="I18" s="133">
        <f>IF(SER_hh_fech_in!I18=0,0,SER_hh_fech_in!I18/SER_summary!I$27)</f>
        <v>8.3752922856268999</v>
      </c>
      <c r="J18" s="133">
        <f>IF(SER_hh_fech_in!J18=0,0,SER_hh_fech_in!J18/SER_summary!J$27)</f>
        <v>8.0819113641657125</v>
      </c>
      <c r="K18" s="133">
        <f>IF(SER_hh_fech_in!K18=0,0,SER_hh_fech_in!K18/SER_summary!K$27)</f>
        <v>7.7336498002684539</v>
      </c>
      <c r="L18" s="133">
        <f>IF(SER_hh_fech_in!L18=0,0,SER_hh_fech_in!L18/SER_summary!L$27)</f>
        <v>7.9260386132237999</v>
      </c>
      <c r="M18" s="133">
        <f>IF(SER_hh_fech_in!M18=0,0,SER_hh_fech_in!M18/SER_summary!M$27)</f>
        <v>7.1068008066960493</v>
      </c>
      <c r="N18" s="133">
        <f>IF(SER_hh_fech_in!N18=0,0,SER_hh_fech_in!N18/SER_summary!N$27)</f>
        <v>6.6310487503645446</v>
      </c>
      <c r="O18" s="133">
        <f>IF(SER_hh_fech_in!O18=0,0,SER_hh_fech_in!O18/SER_summary!O$27)</f>
        <v>6.2088342523478275</v>
      </c>
      <c r="P18" s="133">
        <f>IF(SER_hh_fech_in!P18=0,0,SER_hh_fech_in!P18/SER_summary!P$27)</f>
        <v>5.8212238687859399</v>
      </c>
      <c r="Q18" s="133">
        <f>IF(SER_hh_fech_in!Q18=0,0,SER_hh_fech_in!Q18/SER_summary!Q$27)</f>
        <v>5.3909536846743276</v>
      </c>
      <c r="R18" s="133">
        <f>IF(SER_hh_fech_in!R18=0,0,SER_hh_fech_in!R18/SER_summary!R$27)</f>
        <v>5.2443687515615158</v>
      </c>
      <c r="S18" s="133">
        <f>IF(SER_hh_fech_in!S18=0,0,SER_hh_fech_in!S18/SER_summary!S$27)</f>
        <v>5.0236439859206641</v>
      </c>
      <c r="T18" s="133">
        <f>IF(SER_hh_fech_in!T18=0,0,SER_hh_fech_in!T18/SER_summary!T$27)</f>
        <v>4.8022426110829048</v>
      </c>
      <c r="U18" s="133">
        <f>IF(SER_hh_fech_in!U18=0,0,SER_hh_fech_in!U18/SER_summary!U$27)</f>
        <v>4.5949842835862782</v>
      </c>
      <c r="V18" s="133">
        <f>IF(SER_hh_fech_in!V18=0,0,SER_hh_fech_in!V18/SER_summary!V$27)</f>
        <v>4.3423948511755555</v>
      </c>
      <c r="W18" s="133">
        <f>IF(SER_hh_fech_in!W18=0,0,SER_hh_fech_in!W18/SER_summary!W$27)</f>
        <v>3.7592212639516425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23.683462682562876</v>
      </c>
      <c r="D19" s="131">
        <f>IF(SER_hh_fech_in!D19=0,0,SER_hh_fech_in!D19/SER_summary!D$27)</f>
        <v>23.525615593528475</v>
      </c>
      <c r="E19" s="131">
        <f>IF(SER_hh_fech_in!E19=0,0,SER_hh_fech_in!E19/SER_summary!E$27)</f>
        <v>23.378028291871281</v>
      </c>
      <c r="F19" s="131">
        <f>IF(SER_hh_fech_in!F19=0,0,SER_hh_fech_in!F19/SER_summary!F$27)</f>
        <v>22.861416374043028</v>
      </c>
      <c r="G19" s="131">
        <f>IF(SER_hh_fech_in!G19=0,0,SER_hh_fech_in!G19/SER_summary!G$27)</f>
        <v>22.772023482560328</v>
      </c>
      <c r="H19" s="131">
        <f>IF(SER_hh_fech_in!H19=0,0,SER_hh_fech_in!H19/SER_summary!H$27)</f>
        <v>22.435858970034786</v>
      </c>
      <c r="I19" s="131">
        <f>IF(SER_hh_fech_in!I19=0,0,SER_hh_fech_in!I19/SER_summary!I$27)</f>
        <v>22.20834084829049</v>
      </c>
      <c r="J19" s="131">
        <f>IF(SER_hh_fech_in!J19=0,0,SER_hh_fech_in!J19/SER_summary!J$27)</f>
        <v>22.404997062563872</v>
      </c>
      <c r="K19" s="131">
        <f>IF(SER_hh_fech_in!K19=0,0,SER_hh_fech_in!K19/SER_summary!K$27)</f>
        <v>22.445943355194604</v>
      </c>
      <c r="L19" s="131">
        <f>IF(SER_hh_fech_in!L19=0,0,SER_hh_fech_in!L19/SER_summary!L$27)</f>
        <v>22.658349379711169</v>
      </c>
      <c r="M19" s="131">
        <f>IF(SER_hh_fech_in!M19=0,0,SER_hh_fech_in!M19/SER_summary!M$27)</f>
        <v>22.299451409472514</v>
      </c>
      <c r="N19" s="131">
        <f>IF(SER_hh_fech_in!N19=0,0,SER_hh_fech_in!N19/SER_summary!N$27)</f>
        <v>21.972162196808302</v>
      </c>
      <c r="O19" s="131">
        <f>IF(SER_hh_fech_in!O19=0,0,SER_hh_fech_in!O19/SER_summary!O$27)</f>
        <v>21.347829995456998</v>
      </c>
      <c r="P19" s="131">
        <f>IF(SER_hh_fech_in!P19=0,0,SER_hh_fech_in!P19/SER_summary!P$27)</f>
        <v>20.840859125127555</v>
      </c>
      <c r="Q19" s="131">
        <f>IF(SER_hh_fech_in!Q19=0,0,SER_hh_fech_in!Q19/SER_summary!Q$27)</f>
        <v>20.336211170920286</v>
      </c>
      <c r="R19" s="131">
        <f>IF(SER_hh_fech_in!R19=0,0,SER_hh_fech_in!R19/SER_summary!R$27)</f>
        <v>19.887152854412939</v>
      </c>
      <c r="S19" s="131">
        <f>IF(SER_hh_fech_in!S19=0,0,SER_hh_fech_in!S19/SER_summary!S$27)</f>
        <v>19.335312046999928</v>
      </c>
      <c r="T19" s="131">
        <f>IF(SER_hh_fech_in!T19=0,0,SER_hh_fech_in!T19/SER_summary!T$27)</f>
        <v>19.09475831499099</v>
      </c>
      <c r="U19" s="131">
        <f>IF(SER_hh_fech_in!U19=0,0,SER_hh_fech_in!U19/SER_summary!U$27)</f>
        <v>18.666124865646541</v>
      </c>
      <c r="V19" s="131">
        <f>IF(SER_hh_fech_in!V19=0,0,SER_hh_fech_in!V19/SER_summary!V$27)</f>
        <v>16.650529286095832</v>
      </c>
      <c r="W19" s="131">
        <f>IF(SER_hh_fech_in!W19=0,0,SER_hh_fech_in!W19/SER_summary!W$27)</f>
        <v>18.359088570822717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31.748460774459023</v>
      </c>
      <c r="D22" s="133">
        <f>IF(SER_hh_fech_in!D22=0,0,SER_hh_fech_in!D22/SER_summary!D$27)</f>
        <v>31.918470636691527</v>
      </c>
      <c r="E22" s="133">
        <f>IF(SER_hh_fech_in!E22=0,0,SER_hh_fech_in!E22/SER_summary!E$27)</f>
        <v>31.691797911681441</v>
      </c>
      <c r="F22" s="133">
        <f>IF(SER_hh_fech_in!F22=0,0,SER_hh_fech_in!F22/SER_summary!F$27)</f>
        <v>31.221392583396653</v>
      </c>
      <c r="G22" s="133">
        <f>IF(SER_hh_fech_in!G22=0,0,SER_hh_fech_in!G22/SER_summary!G$27)</f>
        <v>30.697721657192783</v>
      </c>
      <c r="H22" s="133">
        <f>IF(SER_hh_fech_in!H22=0,0,SER_hh_fech_in!H22/SER_summary!H$27)</f>
        <v>30.744291756938789</v>
      </c>
      <c r="I22" s="133">
        <f>IF(SER_hh_fech_in!I22=0,0,SER_hh_fech_in!I22/SER_summary!I$27)</f>
        <v>30.287239932645129</v>
      </c>
      <c r="J22" s="133">
        <f>IF(SER_hh_fech_in!J22=0,0,SER_hh_fech_in!J22/SER_summary!J$27)</f>
        <v>29.594556342791094</v>
      </c>
      <c r="K22" s="133">
        <f>IF(SER_hh_fech_in!K22=0,0,SER_hh_fech_in!K22/SER_summary!K$27)</f>
        <v>28.799172625466362</v>
      </c>
      <c r="L22" s="133">
        <f>IF(SER_hh_fech_in!L22=0,0,SER_hh_fech_in!L22/SER_summary!L$27)</f>
        <v>30.068468974394818</v>
      </c>
      <c r="M22" s="133">
        <f>IF(SER_hh_fech_in!M22=0,0,SER_hh_fech_in!M22/SER_summary!M$27)</f>
        <v>29.324823394688966</v>
      </c>
      <c r="N22" s="133">
        <f>IF(SER_hh_fech_in!N22=0,0,SER_hh_fech_in!N22/SER_summary!N$27)</f>
        <v>27.8647515592018</v>
      </c>
      <c r="O22" s="133">
        <f>IF(SER_hh_fech_in!O22=0,0,SER_hh_fech_in!O22/SER_summary!O$27)</f>
        <v>26.762260006848926</v>
      </c>
      <c r="P22" s="133">
        <f>IF(SER_hh_fech_in!P22=0,0,SER_hh_fech_in!P22/SER_summary!P$27)</f>
        <v>24.73876900642119</v>
      </c>
      <c r="Q22" s="133">
        <f>IF(SER_hh_fech_in!Q22=0,0,SER_hh_fech_in!Q22/SER_summary!Q$27)</f>
        <v>23.726780973677425</v>
      </c>
      <c r="R22" s="133">
        <f>IF(SER_hh_fech_in!R22=0,0,SER_hh_fech_in!R22/SER_summary!R$27)</f>
        <v>24.007104536899135</v>
      </c>
      <c r="S22" s="133">
        <f>IF(SER_hh_fech_in!S22=0,0,SER_hh_fech_in!S22/SER_summary!S$27)</f>
        <v>22.066171426450392</v>
      </c>
      <c r="T22" s="133">
        <f>IF(SER_hh_fech_in!T22=0,0,SER_hh_fech_in!T22/SER_summary!T$27)</f>
        <v>20.251580672718326</v>
      </c>
      <c r="U22" s="133">
        <f>IF(SER_hh_fech_in!U22=0,0,SER_hh_fech_in!U22/SER_summary!U$27)</f>
        <v>20.081892155850291</v>
      </c>
      <c r="V22" s="133">
        <f>IF(SER_hh_fech_in!V22=0,0,SER_hh_fech_in!V22/SER_summary!V$27)</f>
        <v>18.07723352744522</v>
      </c>
      <c r="W22" s="133">
        <f>IF(SER_hh_fech_in!W22=0,0,SER_hh_fech_in!W22/SER_summary!W$27)</f>
        <v>20.398731917771272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29.206285315782139</v>
      </c>
      <c r="D23" s="133">
        <f>IF(SER_hh_fech_in!D23=0,0,SER_hh_fech_in!D23/SER_summary!D$27)</f>
        <v>28.7508442295964</v>
      </c>
      <c r="E23" s="133">
        <f>IF(SER_hh_fech_in!E23=0,0,SER_hh_fech_in!E23/SER_summary!E$27)</f>
        <v>28.221522638033552</v>
      </c>
      <c r="F23" s="133">
        <f>IF(SER_hh_fech_in!F23=0,0,SER_hh_fech_in!F23/SER_summary!F$27)</f>
        <v>28.236470387354959</v>
      </c>
      <c r="G23" s="133">
        <f>IF(SER_hh_fech_in!G23=0,0,SER_hh_fech_in!G23/SER_summary!G$27)</f>
        <v>28.186932753310305</v>
      </c>
      <c r="H23" s="133">
        <f>IF(SER_hh_fech_in!H23=0,0,SER_hh_fech_in!H23/SER_summary!H$27)</f>
        <v>26.870651698561993</v>
      </c>
      <c r="I23" s="133">
        <f>IF(SER_hh_fech_in!I23=0,0,SER_hh_fech_in!I23/SER_summary!I$27)</f>
        <v>26.650231405180065</v>
      </c>
      <c r="J23" s="133">
        <f>IF(SER_hh_fech_in!J23=0,0,SER_hh_fech_in!J23/SER_summary!J$27)</f>
        <v>26.621960091866825</v>
      </c>
      <c r="K23" s="133">
        <f>IF(SER_hh_fech_in!K23=0,0,SER_hh_fech_in!K23/SER_summary!K$27)</f>
        <v>25.940361848720105</v>
      </c>
      <c r="L23" s="133">
        <f>IF(SER_hh_fech_in!L23=0,0,SER_hh_fech_in!L23/SER_summary!L$27)</f>
        <v>25.207422926229611</v>
      </c>
      <c r="M23" s="133">
        <f>IF(SER_hh_fech_in!M23=0,0,SER_hh_fech_in!M23/SER_summary!M$27)</f>
        <v>25.036238032943714</v>
      </c>
      <c r="N23" s="133">
        <f>IF(SER_hh_fech_in!N23=0,0,SER_hh_fech_in!N23/SER_summary!N$27)</f>
        <v>24.52790877721857</v>
      </c>
      <c r="O23" s="133">
        <f>IF(SER_hh_fech_in!O23=0,0,SER_hh_fech_in!O23/SER_summary!O$27)</f>
        <v>23.731255551096275</v>
      </c>
      <c r="P23" s="133">
        <f>IF(SER_hh_fech_in!P23=0,0,SER_hh_fech_in!P23/SER_summary!P$27)</f>
        <v>22.563411856553778</v>
      </c>
      <c r="Q23" s="133">
        <f>IF(SER_hh_fech_in!Q23=0,0,SER_hh_fech_in!Q23/SER_summary!Q$27)</f>
        <v>21.559313380532355</v>
      </c>
      <c r="R23" s="133">
        <f>IF(SER_hh_fech_in!R23=0,0,SER_hh_fech_in!R23/SER_summary!R$27)</f>
        <v>20.466628934659845</v>
      </c>
      <c r="S23" s="133">
        <f>IF(SER_hh_fech_in!S23=0,0,SER_hh_fech_in!S23/SER_summary!S$27)</f>
        <v>22.939247586544948</v>
      </c>
      <c r="T23" s="133">
        <f>IF(SER_hh_fech_in!T23=0,0,SER_hh_fech_in!T23/SER_summary!T$27)</f>
        <v>19.739529888320931</v>
      </c>
      <c r="U23" s="133">
        <f>IF(SER_hh_fech_in!U23=0,0,SER_hh_fech_in!U23/SER_summary!U$27)</f>
        <v>18.440616100112251</v>
      </c>
      <c r="V23" s="133">
        <f>IF(SER_hh_fech_in!V23=0,0,SER_hh_fech_in!V23/SER_summary!V$27)</f>
        <v>17.39378526249266</v>
      </c>
      <c r="W23" s="133">
        <f>IF(SER_hh_fech_in!W23=0,0,SER_hh_fech_in!W23/SER_summary!W$27)</f>
        <v>20.844805856346639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30.394734987145227</v>
      </c>
      <c r="D24" s="133">
        <f>IF(SER_hh_fech_in!D24=0,0,SER_hh_fech_in!D24/SER_summary!D$27)</f>
        <v>29.020892381074397</v>
      </c>
      <c r="E24" s="133">
        <f>IF(SER_hh_fech_in!E24=0,0,SER_hh_fech_in!E24/SER_summary!E$27)</f>
        <v>27.57520295825049</v>
      </c>
      <c r="F24" s="133">
        <f>IF(SER_hh_fech_in!F24=0,0,SER_hh_fech_in!F24/SER_summary!F$27)</f>
        <v>27.000788900629153</v>
      </c>
      <c r="G24" s="133">
        <f>IF(SER_hh_fech_in!G24=0,0,SER_hh_fech_in!G24/SER_summary!G$27)</f>
        <v>26.110973334112369</v>
      </c>
      <c r="H24" s="133">
        <f>IF(SER_hh_fech_in!H24=0,0,SER_hh_fech_in!H24/SER_summary!H$27)</f>
        <v>25.565574066118959</v>
      </c>
      <c r="I24" s="133">
        <f>IF(SER_hh_fech_in!I24=0,0,SER_hh_fech_in!I24/SER_summary!I$27)</f>
        <v>24.707594493418629</v>
      </c>
      <c r="J24" s="133">
        <f>IF(SER_hh_fech_in!J24=0,0,SER_hh_fech_in!J24/SER_summary!J$27)</f>
        <v>25.462204670009843</v>
      </c>
      <c r="K24" s="133">
        <f>IF(SER_hh_fech_in!K24=0,0,SER_hh_fech_in!K24/SER_summary!K$27)</f>
        <v>23.753898677537801</v>
      </c>
      <c r="L24" s="133">
        <f>IF(SER_hh_fech_in!L24=0,0,SER_hh_fech_in!L24/SER_summary!L$27)</f>
        <v>23.686074545293572</v>
      </c>
      <c r="M24" s="133">
        <f>IF(SER_hh_fech_in!M24=0,0,SER_hh_fech_in!M24/SER_summary!M$27)</f>
        <v>23.736148191230694</v>
      </c>
      <c r="N24" s="133">
        <f>IF(SER_hh_fech_in!N24=0,0,SER_hh_fech_in!N24/SER_summary!N$27)</f>
        <v>23.380278346300798</v>
      </c>
      <c r="O24" s="133">
        <f>IF(SER_hh_fech_in!O24=0,0,SER_hh_fech_in!O24/SER_summary!O$27)</f>
        <v>22.84695779643662</v>
      </c>
      <c r="P24" s="133">
        <f>IF(SER_hh_fech_in!P24=0,0,SER_hh_fech_in!P24/SER_summary!P$27)</f>
        <v>22.362760937966925</v>
      </c>
      <c r="Q24" s="133">
        <f>IF(SER_hh_fech_in!Q24=0,0,SER_hh_fech_in!Q24/SER_summary!Q$27)</f>
        <v>21.39560773108715</v>
      </c>
      <c r="R24" s="133">
        <f>IF(SER_hh_fech_in!R24=0,0,SER_hh_fech_in!R24/SER_summary!R$27)</f>
        <v>22.932960388304988</v>
      </c>
      <c r="S24" s="133">
        <f>IF(SER_hh_fech_in!S24=0,0,SER_hh_fech_in!S24/SER_summary!S$27)</f>
        <v>21.621789945929159</v>
      </c>
      <c r="T24" s="133">
        <f>IF(SER_hh_fech_in!T24=0,0,SER_hh_fech_in!T24/SER_summary!T$27)</f>
        <v>21.047988673409073</v>
      </c>
      <c r="U24" s="133">
        <f>IF(SER_hh_fech_in!U24=0,0,SER_hh_fech_in!U24/SER_summary!U$27)</f>
        <v>20.332366331442962</v>
      </c>
      <c r="V24" s="133">
        <f>IF(SER_hh_fech_in!V24=0,0,SER_hh_fech_in!V24/SER_summary!V$27)</f>
        <v>17.714408455216518</v>
      </c>
      <c r="W24" s="133">
        <f>IF(SER_hh_fech_in!W24=0,0,SER_hh_fech_in!W24/SER_summary!W$27)</f>
        <v>20.540023136993348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21.07653524758565</v>
      </c>
      <c r="D25" s="133">
        <f>IF(SER_hh_fech_in!D25=0,0,SER_hh_fech_in!D25/SER_summary!D$27)</f>
        <v>20.742536102123307</v>
      </c>
      <c r="E25" s="133">
        <f>IF(SER_hh_fech_in!E25=0,0,SER_hh_fech_in!E25/SER_summary!E$27)</f>
        <v>20.762054111779808</v>
      </c>
      <c r="F25" s="133">
        <f>IF(SER_hh_fech_in!F25=0,0,SER_hh_fech_in!F25/SER_summary!F$27)</f>
        <v>20.448698708126564</v>
      </c>
      <c r="G25" s="133">
        <f>IF(SER_hh_fech_in!G25=0,0,SER_hh_fech_in!G25/SER_summary!G$27)</f>
        <v>20.475086972178765</v>
      </c>
      <c r="H25" s="133">
        <f>IF(SER_hh_fech_in!H25=0,0,SER_hh_fech_in!H25/SER_summary!H$27)</f>
        <v>20.332546046733444</v>
      </c>
      <c r="I25" s="133">
        <f>IF(SER_hh_fech_in!I25=0,0,SER_hh_fech_in!I25/SER_summary!I$27)</f>
        <v>20.28947030267825</v>
      </c>
      <c r="J25" s="133">
        <f>IF(SER_hh_fech_in!J25=0,0,SER_hh_fech_in!J25/SER_summary!J$27)</f>
        <v>20.004067348023387</v>
      </c>
      <c r="K25" s="133">
        <f>IF(SER_hh_fech_in!K25=0,0,SER_hh_fech_in!K25/SER_summary!K$27)</f>
        <v>20.011698226207283</v>
      </c>
      <c r="L25" s="133">
        <f>IF(SER_hh_fech_in!L25=0,0,SER_hh_fech_in!L25/SER_summary!L$27)</f>
        <v>19.889475461182631</v>
      </c>
      <c r="M25" s="133">
        <f>IF(SER_hh_fech_in!M25=0,0,SER_hh_fech_in!M25/SER_summary!M$27)</f>
        <v>19.811431651646625</v>
      </c>
      <c r="N25" s="133">
        <f>IF(SER_hh_fech_in!N25=0,0,SER_hh_fech_in!N25/SER_summary!N$27)</f>
        <v>19.821469619921356</v>
      </c>
      <c r="O25" s="133">
        <f>IF(SER_hh_fech_in!O25=0,0,SER_hh_fech_in!O25/SER_summary!O$27)</f>
        <v>19.780184313272404</v>
      </c>
      <c r="P25" s="133">
        <f>IF(SER_hh_fech_in!P25=0,0,SER_hh_fech_in!P25/SER_summary!P$27)</f>
        <v>19.622488482125778</v>
      </c>
      <c r="Q25" s="133">
        <f>IF(SER_hh_fech_in!Q25=0,0,SER_hh_fech_in!Q25/SER_summary!Q$27)</f>
        <v>19.368663644128706</v>
      </c>
      <c r="R25" s="133">
        <f>IF(SER_hh_fech_in!R25=0,0,SER_hh_fech_in!R25/SER_summary!R$27)</f>
        <v>19.345680175194367</v>
      </c>
      <c r="S25" s="133">
        <f>IF(SER_hh_fech_in!S25=0,0,SER_hh_fech_in!S25/SER_summary!S$27)</f>
        <v>18.97489942728653</v>
      </c>
      <c r="T25" s="133">
        <f>IF(SER_hh_fech_in!T25=0,0,SER_hh_fech_in!T25/SER_summary!T$27)</f>
        <v>19.127633566764146</v>
      </c>
      <c r="U25" s="133">
        <f>IF(SER_hh_fech_in!U25=0,0,SER_hh_fech_in!U25/SER_summary!U$27)</f>
        <v>18.257581302613811</v>
      </c>
      <c r="V25" s="133">
        <f>IF(SER_hh_fech_in!V25=0,0,SER_hh_fech_in!V25/SER_summary!V$27)</f>
        <v>16.419320895262313</v>
      </c>
      <c r="W25" s="133">
        <f>IF(SER_hh_fech_in!W25=0,0,SER_hh_fech_in!W25/SER_summary!W$27)</f>
        <v>19.215237243439859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25.220789820935867</v>
      </c>
      <c r="D26" s="65">
        <f>IF(SER_hh_fech_in!D26=0,0,SER_hh_fech_in!D26/SER_summary!D$27)</f>
        <v>24.980981394087088</v>
      </c>
      <c r="E26" s="65">
        <f>IF(SER_hh_fech_in!E26=0,0,SER_hh_fech_in!E26/SER_summary!E$27)</f>
        <v>24.890974317014933</v>
      </c>
      <c r="F26" s="65">
        <f>IF(SER_hh_fech_in!F26=0,0,SER_hh_fech_in!F26/SER_summary!F$27)</f>
        <v>24.636158193700933</v>
      </c>
      <c r="G26" s="65">
        <f>IF(SER_hh_fech_in!G26=0,0,SER_hh_fech_in!G26/SER_summary!G$27)</f>
        <v>24.715974826382247</v>
      </c>
      <c r="H26" s="65">
        <f>IF(SER_hh_fech_in!H26=0,0,SER_hh_fech_in!H26/SER_summary!H$27)</f>
        <v>24.232277086355388</v>
      </c>
      <c r="I26" s="65">
        <f>IF(SER_hh_fech_in!I26=0,0,SER_hh_fech_in!I26/SER_summary!I$27)</f>
        <v>23.650225772407204</v>
      </c>
      <c r="J26" s="65">
        <f>IF(SER_hh_fech_in!J26=0,0,SER_hh_fech_in!J26/SER_summary!J$27)</f>
        <v>23.688875872613409</v>
      </c>
      <c r="K26" s="65">
        <f>IF(SER_hh_fech_in!K26=0,0,SER_hh_fech_in!K26/SER_summary!K$27)</f>
        <v>23.533266634434813</v>
      </c>
      <c r="L26" s="65">
        <f>IF(SER_hh_fech_in!L26=0,0,SER_hh_fech_in!L26/SER_summary!L$27)</f>
        <v>23.535852031168403</v>
      </c>
      <c r="M26" s="65">
        <f>IF(SER_hh_fech_in!M26=0,0,SER_hh_fech_in!M26/SER_summary!M$27)</f>
        <v>23.221249458356542</v>
      </c>
      <c r="N26" s="65">
        <f>IF(SER_hh_fech_in!N26=0,0,SER_hh_fech_in!N26/SER_summary!N$27)</f>
        <v>23.038615495915113</v>
      </c>
      <c r="O26" s="65">
        <f>IF(SER_hh_fech_in!O26=0,0,SER_hh_fech_in!O26/SER_summary!O$27)</f>
        <v>22.101555700291659</v>
      </c>
      <c r="P26" s="65">
        <f>IF(SER_hh_fech_in!P26=0,0,SER_hh_fech_in!P26/SER_summary!P$27)</f>
        <v>21.636620681985104</v>
      </c>
      <c r="Q26" s="65">
        <f>IF(SER_hh_fech_in!Q26=0,0,SER_hh_fech_in!Q26/SER_summary!Q$27)</f>
        <v>20.973208575371796</v>
      </c>
      <c r="R26" s="65">
        <f>IF(SER_hh_fech_in!R26=0,0,SER_hh_fech_in!R26/SER_summary!R$27)</f>
        <v>19.711894683322146</v>
      </c>
      <c r="S26" s="65">
        <f>IF(SER_hh_fech_in!S26=0,0,SER_hh_fech_in!S26/SER_summary!S$27)</f>
        <v>19.341672138493056</v>
      </c>
      <c r="T26" s="65">
        <f>IF(SER_hh_fech_in!T26=0,0,SER_hh_fech_in!T26/SER_summary!T$27)</f>
        <v>18.814700731109472</v>
      </c>
      <c r="U26" s="65">
        <f>IF(SER_hh_fech_in!U26=0,0,SER_hh_fech_in!U26/SER_summary!U$27)</f>
        <v>18.850132370066603</v>
      </c>
      <c r="V26" s="65">
        <f>IF(SER_hh_fech_in!V26=0,0,SER_hh_fech_in!V26/SER_summary!V$27)</f>
        <v>16.599213137451162</v>
      </c>
      <c r="W26" s="65">
        <f>IF(SER_hh_fech_in!W26=0,0,SER_hh_fech_in!W26/SER_summary!W$27)</f>
        <v>16.61044205951362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21.205410780397528</v>
      </c>
      <c r="D29" s="131">
        <f>IF(SER_hh_fech_in!D29=0,0,SER_hh_fech_in!D29/SER_summary!D$27)</f>
        <v>20.729935282824776</v>
      </c>
      <c r="E29" s="131">
        <f>IF(SER_hh_fech_in!E29=0,0,SER_hh_fech_in!E29/SER_summary!E$27)</f>
        <v>20.391168619481405</v>
      </c>
      <c r="F29" s="131">
        <f>IF(SER_hh_fech_in!F29=0,0,SER_hh_fech_in!F29/SER_summary!F$27)</f>
        <v>20.256981396126974</v>
      </c>
      <c r="G29" s="131">
        <f>IF(SER_hh_fech_in!G29=0,0,SER_hh_fech_in!G29/SER_summary!G$27)</f>
        <v>19.944785640501284</v>
      </c>
      <c r="H29" s="131">
        <f>IF(SER_hh_fech_in!H29=0,0,SER_hh_fech_in!H29/SER_summary!H$27)</f>
        <v>19.910766362191609</v>
      </c>
      <c r="I29" s="131">
        <f>IF(SER_hh_fech_in!I29=0,0,SER_hh_fech_in!I29/SER_summary!I$27)</f>
        <v>19.508759637446619</v>
      </c>
      <c r="J29" s="131">
        <f>IF(SER_hh_fech_in!J29=0,0,SER_hh_fech_in!J29/SER_summary!J$27)</f>
        <v>19.24317234586178</v>
      </c>
      <c r="K29" s="131">
        <f>IF(SER_hh_fech_in!K29=0,0,SER_hh_fech_in!K29/SER_summary!K$27)</f>
        <v>19.252270892543212</v>
      </c>
      <c r="L29" s="131">
        <f>IF(SER_hh_fech_in!L29=0,0,SER_hh_fech_in!L29/SER_summary!L$27)</f>
        <v>18.926955402049227</v>
      </c>
      <c r="M29" s="131">
        <f>IF(SER_hh_fech_in!M29=0,0,SER_hh_fech_in!M29/SER_summary!M$27)</f>
        <v>18.981233769076198</v>
      </c>
      <c r="N29" s="131">
        <f>IF(SER_hh_fech_in!N29=0,0,SER_hh_fech_in!N29/SER_summary!N$27)</f>
        <v>18.844859264779394</v>
      </c>
      <c r="O29" s="131">
        <f>IF(SER_hh_fech_in!O29=0,0,SER_hh_fech_in!O29/SER_summary!O$27)</f>
        <v>18.561903315324802</v>
      </c>
      <c r="P29" s="131">
        <f>IF(SER_hh_fech_in!P29=0,0,SER_hh_fech_in!P29/SER_summary!P$27)</f>
        <v>18.581733713292454</v>
      </c>
      <c r="Q29" s="131">
        <f>IF(SER_hh_fech_in!Q29=0,0,SER_hh_fech_in!Q29/SER_summary!Q$27)</f>
        <v>18.600729642165863</v>
      </c>
      <c r="R29" s="131">
        <f>IF(SER_hh_fech_in!R29=0,0,SER_hh_fech_in!R29/SER_summary!R$27)</f>
        <v>18.804137401297652</v>
      </c>
      <c r="S29" s="131">
        <f>IF(SER_hh_fech_in!S29=0,0,SER_hh_fech_in!S29/SER_summary!S$27)</f>
        <v>18.432057378434941</v>
      </c>
      <c r="T29" s="131">
        <f>IF(SER_hh_fech_in!T29=0,0,SER_hh_fech_in!T29/SER_summary!T$27)</f>
        <v>18.037893849222844</v>
      </c>
      <c r="U29" s="131">
        <f>IF(SER_hh_fech_in!U29=0,0,SER_hh_fech_in!U29/SER_summary!U$27)</f>
        <v>18.266461208277285</v>
      </c>
      <c r="V29" s="131">
        <f>IF(SER_hh_fech_in!V29=0,0,SER_hh_fech_in!V29/SER_summary!V$27)</f>
        <v>16.547110182874167</v>
      </c>
      <c r="W29" s="131">
        <f>IF(SER_hh_fech_in!W29=0,0,SER_hh_fech_in!W29/SER_summary!W$27)</f>
        <v>18.245284113935991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27.52110835201778</v>
      </c>
      <c r="D31" s="133">
        <f>IF(SER_hh_fech_in!D31=0,0,SER_hh_fech_in!D31/SER_summary!D$27)</f>
        <v>27.107567362283163</v>
      </c>
      <c r="E31" s="133">
        <f>IF(SER_hh_fech_in!E31=0,0,SER_hh_fech_in!E31/SER_summary!E$27)</f>
        <v>26.638527177962903</v>
      </c>
      <c r="F31" s="133">
        <f>IF(SER_hh_fech_in!F31=0,0,SER_hh_fech_in!F31/SER_summary!F$27)</f>
        <v>26.535818176166991</v>
      </c>
      <c r="G31" s="133">
        <f>IF(SER_hh_fech_in!G31=0,0,SER_hh_fech_in!G31/SER_summary!G$27)</f>
        <v>26.244284170581082</v>
      </c>
      <c r="H31" s="133">
        <f>IF(SER_hh_fech_in!H31=0,0,SER_hh_fech_in!H31/SER_summary!H$27)</f>
        <v>25.964638698962144</v>
      </c>
      <c r="I31" s="133">
        <f>IF(SER_hh_fech_in!I31=0,0,SER_hh_fech_in!I31/SER_summary!I$27)</f>
        <v>25.724303854968614</v>
      </c>
      <c r="J31" s="133">
        <f>IF(SER_hh_fech_in!J31=0,0,SER_hh_fech_in!J31/SER_summary!J$27)</f>
        <v>25.889804763594057</v>
      </c>
      <c r="K31" s="133">
        <f>IF(SER_hh_fech_in!K31=0,0,SER_hh_fech_in!K31/SER_summary!K$27)</f>
        <v>25.23055494222216</v>
      </c>
      <c r="L31" s="133">
        <f>IF(SER_hh_fech_in!L31=0,0,SER_hh_fech_in!L31/SER_summary!L$27)</f>
        <v>24.978926743423191</v>
      </c>
      <c r="M31" s="133">
        <f>IF(SER_hh_fech_in!M31=0,0,SER_hh_fech_in!M31/SER_summary!M$27)</f>
        <v>24.382540998553623</v>
      </c>
      <c r="N31" s="133">
        <f>IF(SER_hh_fech_in!N31=0,0,SER_hh_fech_in!N31/SER_summary!N$27)</f>
        <v>24.657456641834138</v>
      </c>
      <c r="O31" s="133">
        <f>IF(SER_hh_fech_in!O31=0,0,SER_hh_fech_in!O31/SER_summary!O$27)</f>
        <v>25.186040443774989</v>
      </c>
      <c r="P31" s="133">
        <f>IF(SER_hh_fech_in!P31=0,0,SER_hh_fech_in!P31/SER_summary!P$27)</f>
        <v>24.945984113625038</v>
      </c>
      <c r="Q31" s="133">
        <f>IF(SER_hh_fech_in!Q31=0,0,SER_hh_fech_in!Q31/SER_summary!Q$27)</f>
        <v>25.099628583607249</v>
      </c>
      <c r="R31" s="133">
        <f>IF(SER_hh_fech_in!R31=0,0,SER_hh_fech_in!R31/SER_summary!R$27)</f>
        <v>24.684464449637382</v>
      </c>
      <c r="S31" s="133">
        <f>IF(SER_hh_fech_in!S31=0,0,SER_hh_fech_in!S31/SER_summary!S$27)</f>
        <v>27.678204569162443</v>
      </c>
      <c r="T31" s="133">
        <f>IF(SER_hh_fech_in!T31=0,0,SER_hh_fech_in!T31/SER_summary!T$27)</f>
        <v>24.75361980090975</v>
      </c>
      <c r="U31" s="133">
        <f>IF(SER_hh_fech_in!U31=0,0,SER_hh_fech_in!U31/SER_summary!U$27)</f>
        <v>23.708400326974644</v>
      </c>
      <c r="V31" s="133">
        <f>IF(SER_hh_fech_in!V31=0,0,SER_hh_fech_in!V31/SER_summary!V$27)</f>
        <v>22.665319765659532</v>
      </c>
      <c r="W31" s="133">
        <f>IF(SER_hh_fech_in!W31=0,0,SER_hh_fech_in!W31/SER_summary!W$27)</f>
        <v>30.574884155067501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21.049101697319191</v>
      </c>
      <c r="D33" s="68">
        <f>IF(SER_hh_fech_in!D33=0,0,SER_hh_fech_in!D33/SER_summary!D$27)</f>
        <v>20.550701858203769</v>
      </c>
      <c r="E33" s="68">
        <f>IF(SER_hh_fech_in!E33=0,0,SER_hh_fech_in!E33/SER_summary!E$27)</f>
        <v>20.218530993508399</v>
      </c>
      <c r="F33" s="68">
        <f>IF(SER_hh_fech_in!F33=0,0,SER_hh_fech_in!F33/SER_summary!F$27)</f>
        <v>20.100564104079858</v>
      </c>
      <c r="G33" s="68">
        <f>IF(SER_hh_fech_in!G33=0,0,SER_hh_fech_in!G33/SER_summary!G$27)</f>
        <v>19.794161276710224</v>
      </c>
      <c r="H33" s="68">
        <f>IF(SER_hh_fech_in!H33=0,0,SER_hh_fech_in!H33/SER_summary!H$27)</f>
        <v>19.782465115945811</v>
      </c>
      <c r="I33" s="68">
        <f>IF(SER_hh_fech_in!I33=0,0,SER_hh_fech_in!I33/SER_summary!I$27)</f>
        <v>19.386716495402293</v>
      </c>
      <c r="J33" s="68">
        <f>IF(SER_hh_fech_in!J33=0,0,SER_hh_fech_in!J33/SER_summary!J$27)</f>
        <v>19.12266692184836</v>
      </c>
      <c r="K33" s="68">
        <f>IF(SER_hh_fech_in!K33=0,0,SER_hh_fech_in!K33/SER_summary!K$27)</f>
        <v>19.166595013419833</v>
      </c>
      <c r="L33" s="68">
        <f>IF(SER_hh_fech_in!L33=0,0,SER_hh_fech_in!L33/SER_summary!L$27)</f>
        <v>18.856382496357593</v>
      </c>
      <c r="M33" s="68">
        <f>IF(SER_hh_fech_in!M33=0,0,SER_hh_fech_in!M33/SER_summary!M$27)</f>
        <v>18.947089810005785</v>
      </c>
      <c r="N33" s="68">
        <f>IF(SER_hh_fech_in!N33=0,0,SER_hh_fech_in!N33/SER_summary!N$27)</f>
        <v>18.753448960569603</v>
      </c>
      <c r="O33" s="68">
        <f>IF(SER_hh_fech_in!O33=0,0,SER_hh_fech_in!O33/SER_summary!O$27)</f>
        <v>18.434452580494746</v>
      </c>
      <c r="P33" s="68">
        <f>IF(SER_hh_fech_in!P33=0,0,SER_hh_fech_in!P33/SER_summary!P$27)</f>
        <v>18.474110989673058</v>
      </c>
      <c r="Q33" s="68">
        <f>IF(SER_hh_fech_in!Q33=0,0,SER_hh_fech_in!Q33/SER_summary!Q$27)</f>
        <v>18.488943560417123</v>
      </c>
      <c r="R33" s="68">
        <f>IF(SER_hh_fech_in!R33=0,0,SER_hh_fech_in!R33/SER_summary!R$27)</f>
        <v>18.719276541118404</v>
      </c>
      <c r="S33" s="68">
        <f>IF(SER_hh_fech_in!S33=0,0,SER_hh_fech_in!S33/SER_summary!S$27)</f>
        <v>18.283786539187187</v>
      </c>
      <c r="T33" s="68">
        <f>IF(SER_hh_fech_in!T33=0,0,SER_hh_fech_in!T33/SER_summary!T$27)</f>
        <v>17.982420790484237</v>
      </c>
      <c r="U33" s="68">
        <f>IF(SER_hh_fech_in!U33=0,0,SER_hh_fech_in!U33/SER_summary!U$27)</f>
        <v>18.202196481913123</v>
      </c>
      <c r="V33" s="68">
        <f>IF(SER_hh_fech_in!V33=0,0,SER_hh_fech_in!V33/SER_summary!V$27)</f>
        <v>16.452134812360175</v>
      </c>
      <c r="W33" s="68">
        <f>IF(SER_hh_fech_in!W33=0,0,SER_hh_fech_in!W33/SER_summary!W$27)</f>
        <v>18.126226115276662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194.45357518542033</v>
      </c>
      <c r="D3" s="126">
        <f>IF(SER_hh_tesh_in!D3=0,0,SER_hh_tesh_in!D3/SER_summary!D$27)</f>
        <v>195.92614628506797</v>
      </c>
      <c r="E3" s="126">
        <f>IF(SER_hh_tesh_in!E3=0,0,SER_hh_tesh_in!E3/SER_summary!E$27)</f>
        <v>193.78903844206144</v>
      </c>
      <c r="F3" s="126">
        <f>IF(SER_hh_tesh_in!F3=0,0,SER_hh_tesh_in!F3/SER_summary!F$27)</f>
        <v>187.84898389153651</v>
      </c>
      <c r="G3" s="126">
        <f>IF(SER_hh_tesh_in!G3=0,0,SER_hh_tesh_in!G3/SER_summary!G$27)</f>
        <v>181.92200075832974</v>
      </c>
      <c r="H3" s="126">
        <f>IF(SER_hh_tesh_in!H3=0,0,SER_hh_tesh_in!H3/SER_summary!H$27)</f>
        <v>180.61309251999919</v>
      </c>
      <c r="I3" s="126">
        <f>IF(SER_hh_tesh_in!I3=0,0,SER_hh_tesh_in!I3/SER_summary!I$27)</f>
        <v>186.4960226525117</v>
      </c>
      <c r="J3" s="126">
        <f>IF(SER_hh_tesh_in!J3=0,0,SER_hh_tesh_in!J3/SER_summary!J$27)</f>
        <v>180.92749524936553</v>
      </c>
      <c r="K3" s="126">
        <f>IF(SER_hh_tesh_in!K3=0,0,SER_hh_tesh_in!K3/SER_summary!K$27)</f>
        <v>192.7223398945263</v>
      </c>
      <c r="L3" s="126">
        <f>IF(SER_hh_tesh_in!L3=0,0,SER_hh_tesh_in!L3/SER_summary!L$27)</f>
        <v>201.28802101567024</v>
      </c>
      <c r="M3" s="126">
        <f>IF(SER_hh_tesh_in!M3=0,0,SER_hh_tesh_in!M3/SER_summary!M$27)</f>
        <v>175.3414968215906</v>
      </c>
      <c r="N3" s="126">
        <f>IF(SER_hh_tesh_in!N3=0,0,SER_hh_tesh_in!N3/SER_summary!N$27)</f>
        <v>182.41418807332673</v>
      </c>
      <c r="O3" s="126">
        <f>IF(SER_hh_tesh_in!O3=0,0,SER_hh_tesh_in!O3/SER_summary!O$27)</f>
        <v>169.15090539927817</v>
      </c>
      <c r="P3" s="126">
        <f>IF(SER_hh_tesh_in!P3=0,0,SER_hh_tesh_in!P3/SER_summary!P$27)</f>
        <v>169.13841926730709</v>
      </c>
      <c r="Q3" s="126">
        <f>IF(SER_hh_tesh_in!Q3=0,0,SER_hh_tesh_in!Q3/SER_summary!Q$27)</f>
        <v>153.6130599289923</v>
      </c>
      <c r="R3" s="126">
        <f>IF(SER_hh_tesh_in!R3=0,0,SER_hh_tesh_in!R3/SER_summary!R$27)</f>
        <v>155.84586710770472</v>
      </c>
      <c r="S3" s="126">
        <f>IF(SER_hh_tesh_in!S3=0,0,SER_hh_tesh_in!S3/SER_summary!S$27)</f>
        <v>147.73803736368885</v>
      </c>
      <c r="T3" s="126">
        <f>IF(SER_hh_tesh_in!T3=0,0,SER_hh_tesh_in!T3/SER_summary!T$27)</f>
        <v>144.40054069840082</v>
      </c>
      <c r="U3" s="126">
        <f>IF(SER_hh_tesh_in!U3=0,0,SER_hh_tesh_in!U3/SER_summary!U$27)</f>
        <v>133.25388033841961</v>
      </c>
      <c r="V3" s="126">
        <f>IF(SER_hh_tesh_in!V3=0,0,SER_hh_tesh_in!V3/SER_summary!V$27)</f>
        <v>115.31289802566512</v>
      </c>
      <c r="W3" s="126">
        <f>IF(SER_hh_tesh_in!W3=0,0,SER_hh_tesh_in!W3/SER_summary!W$27)</f>
        <v>112.76199770468089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135.82928272855159</v>
      </c>
      <c r="D4" s="131">
        <f>IF(SER_hh_tesh_in!D4=0,0,SER_hh_tesh_in!D4/SER_summary!D$27)</f>
        <v>137.95263741481475</v>
      </c>
      <c r="E4" s="131">
        <f>IF(SER_hh_tesh_in!E4=0,0,SER_hh_tesh_in!E4/SER_summary!E$27)</f>
        <v>135.03158142045083</v>
      </c>
      <c r="F4" s="131">
        <f>IF(SER_hh_tesh_in!F4=0,0,SER_hh_tesh_in!F4/SER_summary!F$27)</f>
        <v>130.56112304772915</v>
      </c>
      <c r="G4" s="131">
        <f>IF(SER_hh_tesh_in!G4=0,0,SER_hh_tesh_in!G4/SER_summary!G$27)</f>
        <v>124.90303080388537</v>
      </c>
      <c r="H4" s="131">
        <f>IF(SER_hh_tesh_in!H4=0,0,SER_hh_tesh_in!H4/SER_summary!H$27)</f>
        <v>123.74968380943426</v>
      </c>
      <c r="I4" s="131">
        <f>IF(SER_hh_tesh_in!I4=0,0,SER_hh_tesh_in!I4/SER_summary!I$27)</f>
        <v>130.17468471979868</v>
      </c>
      <c r="J4" s="131">
        <f>IF(SER_hh_tesh_in!J4=0,0,SER_hh_tesh_in!J4/SER_summary!J$27)</f>
        <v>124.96501311943989</v>
      </c>
      <c r="K4" s="131">
        <f>IF(SER_hh_tesh_in!K4=0,0,SER_hh_tesh_in!K4/SER_summary!K$27)</f>
        <v>137.08154440706579</v>
      </c>
      <c r="L4" s="131">
        <f>IF(SER_hh_tesh_in!L4=0,0,SER_hh_tesh_in!L4/SER_summary!L$27)</f>
        <v>144.29917807618313</v>
      </c>
      <c r="M4" s="131">
        <f>IF(SER_hh_tesh_in!M4=0,0,SER_hh_tesh_in!M4/SER_summary!M$27)</f>
        <v>120.12001545607156</v>
      </c>
      <c r="N4" s="131">
        <f>IF(SER_hh_tesh_in!N4=0,0,SER_hh_tesh_in!N4/SER_summary!N$27)</f>
        <v>127.83937932109667</v>
      </c>
      <c r="O4" s="131">
        <f>IF(SER_hh_tesh_in!O4=0,0,SER_hh_tesh_in!O4/SER_summary!O$27)</f>
        <v>115.18743727279055</v>
      </c>
      <c r="P4" s="131">
        <f>IF(SER_hh_tesh_in!P4=0,0,SER_hh_tesh_in!P4/SER_summary!P$27)</f>
        <v>115.29697961770945</v>
      </c>
      <c r="Q4" s="131">
        <f>IF(SER_hh_tesh_in!Q4=0,0,SER_hh_tesh_in!Q4/SER_summary!Q$27)</f>
        <v>100.46903007543442</v>
      </c>
      <c r="R4" s="131">
        <f>IF(SER_hh_tesh_in!R4=0,0,SER_hh_tesh_in!R4/SER_summary!R$27)</f>
        <v>102.44514158984813</v>
      </c>
      <c r="S4" s="131">
        <f>IF(SER_hh_tesh_in!S4=0,0,SER_hh_tesh_in!S4/SER_summary!S$27)</f>
        <v>95.051473268398396</v>
      </c>
      <c r="T4" s="131">
        <f>IF(SER_hh_tesh_in!T4=0,0,SER_hh_tesh_in!T4/SER_summary!T$27)</f>
        <v>92.266521888664329</v>
      </c>
      <c r="U4" s="131">
        <f>IF(SER_hh_tesh_in!U4=0,0,SER_hh_tesh_in!U4/SER_summary!U$27)</f>
        <v>81.493345894669659</v>
      </c>
      <c r="V4" s="131">
        <f>IF(SER_hh_tesh_in!V4=0,0,SER_hh_tesh_in!V4/SER_summary!V$27)</f>
        <v>67.267442890963892</v>
      </c>
      <c r="W4" s="131">
        <f>IF(SER_hh_tesh_in!W4=0,0,SER_hh_tesh_in!W4/SER_summary!W$27)</f>
        <v>63.893938003332011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132.29337782854833</v>
      </c>
      <c r="D5" s="133">
        <f>IF(SER_hh_tesh_in!D5=0,0,SER_hh_tesh_in!D5/SER_summary!D$27)</f>
        <v>133.54473922723153</v>
      </c>
      <c r="E5" s="133">
        <f>IF(SER_hh_tesh_in!E5=0,0,SER_hh_tesh_in!E5/SER_summary!E$27)</f>
        <v>134.60510110771989</v>
      </c>
      <c r="F5" s="133">
        <f>IF(SER_hh_tesh_in!F5=0,0,SER_hh_tesh_in!F5/SER_summary!F$27)</f>
        <v>127.58423992482427</v>
      </c>
      <c r="G5" s="133">
        <f>IF(SER_hh_tesh_in!G5=0,0,SER_hh_tesh_in!G5/SER_summary!G$27)</f>
        <v>124.14231805363447</v>
      </c>
      <c r="H5" s="133">
        <f>IF(SER_hh_tesh_in!H5=0,0,SER_hh_tesh_in!H5/SER_summary!H$27)</f>
        <v>129.28402371666078</v>
      </c>
      <c r="I5" s="133">
        <f>IF(SER_hh_tesh_in!I5=0,0,SER_hh_tesh_in!I5/SER_summary!I$27)</f>
        <v>107.59317068792544</v>
      </c>
      <c r="J5" s="133">
        <f>IF(SER_hh_tesh_in!J5=0,0,SER_hh_tesh_in!J5/SER_summary!J$27)</f>
        <v>127.86703571246917</v>
      </c>
      <c r="K5" s="133">
        <f>IF(SER_hh_tesh_in!K5=0,0,SER_hh_tesh_in!K5/SER_summary!K$27)</f>
        <v>137.6801789010853</v>
      </c>
      <c r="L5" s="133">
        <f>IF(SER_hh_tesh_in!L5=0,0,SER_hh_tesh_in!L5/SER_summary!L$27)</f>
        <v>146.36671781673348</v>
      </c>
      <c r="M5" s="133">
        <f>IF(SER_hh_tesh_in!M5=0,0,SER_hh_tesh_in!M5/SER_summary!M$27)</f>
        <v>115.52772414748938</v>
      </c>
      <c r="N5" s="133">
        <f>IF(SER_hh_tesh_in!N5=0,0,SER_hh_tesh_in!N5/SER_summary!N$27)</f>
        <v>129.59636217753703</v>
      </c>
      <c r="O5" s="133">
        <f>IF(SER_hh_tesh_in!O5=0,0,SER_hh_tesh_in!O5/SER_summary!O$27)</f>
        <v>114.88586022618453</v>
      </c>
      <c r="P5" s="133">
        <f>IF(SER_hh_tesh_in!P5=0,0,SER_hh_tesh_in!P5/SER_summary!P$27)</f>
        <v>113.63693924558045</v>
      </c>
      <c r="Q5" s="133">
        <f>IF(SER_hh_tesh_in!Q5=0,0,SER_hh_tesh_in!Q5/SER_summary!Q$27)</f>
        <v>98.062721435768822</v>
      </c>
      <c r="R5" s="133">
        <f>IF(SER_hh_tesh_in!R5=0,0,SER_hh_tesh_in!R5/SER_summary!R$27)</f>
        <v>101.65255201080352</v>
      </c>
      <c r="S5" s="133">
        <f>IF(SER_hh_tesh_in!S5=0,0,SER_hh_tesh_in!S5/SER_summary!S$27)</f>
        <v>94.287937519937685</v>
      </c>
      <c r="T5" s="133">
        <f>IF(SER_hh_tesh_in!T5=0,0,SER_hh_tesh_in!T5/SER_summary!T$27)</f>
        <v>89.279283552846806</v>
      </c>
      <c r="U5" s="133">
        <f>IF(SER_hh_tesh_in!U5=0,0,SER_hh_tesh_in!U5/SER_summary!U$27)</f>
        <v>84.733525781434338</v>
      </c>
      <c r="V5" s="133">
        <f>IF(SER_hh_tesh_in!V5=0,0,SER_hh_tesh_in!V5/SER_summary!V$27)</f>
        <v>69.591559580095392</v>
      </c>
      <c r="W5" s="133">
        <f>IF(SER_hh_tesh_in!W5=0,0,SER_hh_tesh_in!W5/SER_summary!W$27)</f>
        <v>62.334996459194102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132.20802561382061</v>
      </c>
      <c r="D7" s="133">
        <f>IF(SER_hh_tesh_in!D7=0,0,SER_hh_tesh_in!D7/SER_summary!D$27)</f>
        <v>132.61694248603408</v>
      </c>
      <c r="E7" s="133">
        <f>IF(SER_hh_tesh_in!E7=0,0,SER_hh_tesh_in!E7/SER_summary!E$27)</f>
        <v>132.20387060868555</v>
      </c>
      <c r="F7" s="133">
        <f>IF(SER_hh_tesh_in!F7=0,0,SER_hh_tesh_in!F7/SER_summary!F$27)</f>
        <v>128.67768781631437</v>
      </c>
      <c r="G7" s="133">
        <f>IF(SER_hh_tesh_in!G7=0,0,SER_hh_tesh_in!G7/SER_summary!G$27)</f>
        <v>123.64023069197503</v>
      </c>
      <c r="H7" s="133">
        <f>IF(SER_hh_tesh_in!H7=0,0,SER_hh_tesh_in!H7/SER_summary!H$27)</f>
        <v>126.88740829587032</v>
      </c>
      <c r="I7" s="133">
        <f>IF(SER_hh_tesh_in!I7=0,0,SER_hh_tesh_in!I7/SER_summary!I$27)</f>
        <v>129.15176082894172</v>
      </c>
      <c r="J7" s="133">
        <f>IF(SER_hh_tesh_in!J7=0,0,SER_hh_tesh_in!J7/SER_summary!J$27)</f>
        <v>111.42901401646978</v>
      </c>
      <c r="K7" s="133">
        <f>IF(SER_hh_tesh_in!K7=0,0,SER_hh_tesh_in!K7/SER_summary!K$27)</f>
        <v>126.21991491323084</v>
      </c>
      <c r="L7" s="133">
        <f>IF(SER_hh_tesh_in!L7=0,0,SER_hh_tesh_in!L7/SER_summary!L$27)</f>
        <v>145.96511531373076</v>
      </c>
      <c r="M7" s="133">
        <f>IF(SER_hh_tesh_in!M7=0,0,SER_hh_tesh_in!M7/SER_summary!M$27)</f>
        <v>118.57644837162657</v>
      </c>
      <c r="N7" s="133">
        <f>IF(SER_hh_tesh_in!N7=0,0,SER_hh_tesh_in!N7/SER_summary!N$27)</f>
        <v>128.20325470587019</v>
      </c>
      <c r="O7" s="133">
        <f>IF(SER_hh_tesh_in!O7=0,0,SER_hh_tesh_in!O7/SER_summary!O$27)</f>
        <v>114.01209378162689</v>
      </c>
      <c r="P7" s="133">
        <f>IF(SER_hh_tesh_in!P7=0,0,SER_hh_tesh_in!P7/SER_summary!P$27)</f>
        <v>110.58170332313638</v>
      </c>
      <c r="Q7" s="133">
        <f>IF(SER_hh_tesh_in!Q7=0,0,SER_hh_tesh_in!Q7/SER_summary!Q$27)</f>
        <v>96.586747663603475</v>
      </c>
      <c r="R7" s="133">
        <f>IF(SER_hh_tesh_in!R7=0,0,SER_hh_tesh_in!R7/SER_summary!R$27)</f>
        <v>101.16133909813773</v>
      </c>
      <c r="S7" s="133">
        <f>IF(SER_hh_tesh_in!S7=0,0,SER_hh_tesh_in!S7/SER_summary!S$27)</f>
        <v>94.673845235222856</v>
      </c>
      <c r="T7" s="133">
        <f>IF(SER_hh_tesh_in!T7=0,0,SER_hh_tesh_in!T7/SER_summary!T$27)</f>
        <v>88.717732835401705</v>
      </c>
      <c r="U7" s="133">
        <f>IF(SER_hh_tesh_in!U7=0,0,SER_hh_tesh_in!U7/SER_summary!U$27)</f>
        <v>80.749300055421003</v>
      </c>
      <c r="V7" s="133">
        <f>IF(SER_hh_tesh_in!V7=0,0,SER_hh_tesh_in!V7/SER_summary!V$27)</f>
        <v>66.143946948162053</v>
      </c>
      <c r="W7" s="133">
        <f>IF(SER_hh_tesh_in!W7=0,0,SER_hh_tesh_in!W7/SER_summary!W$27)</f>
        <v>63.06887352882714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124.23276011345534</v>
      </c>
      <c r="D9" s="133">
        <f>IF(SER_hh_tesh_in!D9=0,0,SER_hh_tesh_in!D9/SER_summary!D$27)</f>
        <v>136.32866347394182</v>
      </c>
      <c r="E9" s="133">
        <f>IF(SER_hh_tesh_in!E9=0,0,SER_hh_tesh_in!E9/SER_summary!E$27)</f>
        <v>130.95696439865489</v>
      </c>
      <c r="F9" s="133">
        <f>IF(SER_hh_tesh_in!F9=0,0,SER_hh_tesh_in!F9/SER_summary!F$27)</f>
        <v>134.63521120170793</v>
      </c>
      <c r="G9" s="133">
        <f>IF(SER_hh_tesh_in!G9=0,0,SER_hh_tesh_in!G9/SER_summary!G$27)</f>
        <v>129.44027328330691</v>
      </c>
      <c r="H9" s="133">
        <f>IF(SER_hh_tesh_in!H9=0,0,SER_hh_tesh_in!H9/SER_summary!H$27)</f>
        <v>123.70505738795812</v>
      </c>
      <c r="I9" s="133">
        <f>IF(SER_hh_tesh_in!I9=0,0,SER_hh_tesh_in!I9/SER_summary!I$27)</f>
        <v>124.67394494056477</v>
      </c>
      <c r="J9" s="133">
        <f>IF(SER_hh_tesh_in!J9=0,0,SER_hh_tesh_in!J9/SER_summary!J$27)</f>
        <v>124.5766450947542</v>
      </c>
      <c r="K9" s="133">
        <f>IF(SER_hh_tesh_in!K9=0,0,SER_hh_tesh_in!K9/SER_summary!K$27)</f>
        <v>121.53453068422188</v>
      </c>
      <c r="L9" s="133">
        <f>IF(SER_hh_tesh_in!L9=0,0,SER_hh_tesh_in!L9/SER_summary!L$27)</f>
        <v>128.07900104658043</v>
      </c>
      <c r="M9" s="133">
        <f>IF(SER_hh_tesh_in!M9=0,0,SER_hh_tesh_in!M9/SER_summary!M$27)</f>
        <v>162.03989371439545</v>
      </c>
      <c r="N9" s="133">
        <f>IF(SER_hh_tesh_in!N9=0,0,SER_hh_tesh_in!N9/SER_summary!N$27)</f>
        <v>171.1764696295765</v>
      </c>
      <c r="O9" s="133">
        <f>IF(SER_hh_tesh_in!O9=0,0,SER_hh_tesh_in!O9/SER_summary!O$27)</f>
        <v>137.03094662049102</v>
      </c>
      <c r="P9" s="133">
        <f>IF(SER_hh_tesh_in!P9=0,0,SER_hh_tesh_in!P9/SER_summary!P$27)</f>
        <v>114.11608538674693</v>
      </c>
      <c r="Q9" s="133">
        <f>IF(SER_hh_tesh_in!Q9=0,0,SER_hh_tesh_in!Q9/SER_summary!Q$27)</f>
        <v>95.907340067253486</v>
      </c>
      <c r="R9" s="133">
        <f>IF(SER_hh_tesh_in!R9=0,0,SER_hh_tesh_in!R9/SER_summary!R$27)</f>
        <v>89.665426697392348</v>
      </c>
      <c r="S9" s="133">
        <f>IF(SER_hh_tesh_in!S9=0,0,SER_hh_tesh_in!S9/SER_summary!S$27)</f>
        <v>102.60793428083718</v>
      </c>
      <c r="T9" s="133">
        <f>IF(SER_hh_tesh_in!T9=0,0,SER_hh_tesh_in!T9/SER_summary!T$27)</f>
        <v>89.412981212530298</v>
      </c>
      <c r="U9" s="133">
        <f>IF(SER_hh_tesh_in!U9=0,0,SER_hh_tesh_in!U9/SER_summary!U$27)</f>
        <v>79.706272672762239</v>
      </c>
      <c r="V9" s="133">
        <f>IF(SER_hh_tesh_in!V9=0,0,SER_hh_tesh_in!V9/SER_summary!V$27)</f>
        <v>65.05613418215961</v>
      </c>
      <c r="W9" s="133">
        <f>IF(SER_hh_tesh_in!W9=0,0,SER_hh_tesh_in!W9/SER_summary!W$27)</f>
        <v>64.340259648767855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134.47960391679808</v>
      </c>
      <c r="D10" s="133">
        <f>IF(SER_hh_tesh_in!D10=0,0,SER_hh_tesh_in!D10/SER_summary!D$27)</f>
        <v>135.66859776722504</v>
      </c>
      <c r="E10" s="133">
        <f>IF(SER_hh_tesh_in!E10=0,0,SER_hh_tesh_in!E10/SER_summary!E$27)</f>
        <v>133.89108581524187</v>
      </c>
      <c r="F10" s="133">
        <f>IF(SER_hh_tesh_in!F10=0,0,SER_hh_tesh_in!F10/SER_summary!F$27)</f>
        <v>128.73622638110612</v>
      </c>
      <c r="G10" s="133">
        <f>IF(SER_hh_tesh_in!G10=0,0,SER_hh_tesh_in!G10/SER_summary!G$27)</f>
        <v>124.97662934198884</v>
      </c>
      <c r="H10" s="133">
        <f>IF(SER_hh_tesh_in!H10=0,0,SER_hh_tesh_in!H10/SER_summary!H$27)</f>
        <v>125.54354287815701</v>
      </c>
      <c r="I10" s="133">
        <f>IF(SER_hh_tesh_in!I10=0,0,SER_hh_tesh_in!I10/SER_summary!I$27)</f>
        <v>122.7550153582084</v>
      </c>
      <c r="J10" s="133">
        <f>IF(SER_hh_tesh_in!J10=0,0,SER_hh_tesh_in!J10/SER_summary!J$27)</f>
        <v>127.68220051352291</v>
      </c>
      <c r="K10" s="133">
        <f>IF(SER_hh_tesh_in!K10=0,0,SER_hh_tesh_in!K10/SER_summary!K$27)</f>
        <v>133.875593086457</v>
      </c>
      <c r="L10" s="133">
        <f>IF(SER_hh_tesh_in!L10=0,0,SER_hh_tesh_in!L10/SER_summary!L$27)</f>
        <v>143.70090043239966</v>
      </c>
      <c r="M10" s="133">
        <f>IF(SER_hh_tesh_in!M10=0,0,SER_hh_tesh_in!M10/SER_summary!M$27)</f>
        <v>119.40411817634435</v>
      </c>
      <c r="N10" s="133">
        <f>IF(SER_hh_tesh_in!N10=0,0,SER_hh_tesh_in!N10/SER_summary!N$27)</f>
        <v>128.14575601944321</v>
      </c>
      <c r="O10" s="133">
        <f>IF(SER_hh_tesh_in!O10=0,0,SER_hh_tesh_in!O10/SER_summary!O$27)</f>
        <v>114.15017883932035</v>
      </c>
      <c r="P10" s="133">
        <f>IF(SER_hh_tesh_in!P10=0,0,SER_hh_tesh_in!P10/SER_summary!P$27)</f>
        <v>112.85351523087316</v>
      </c>
      <c r="Q10" s="133">
        <f>IF(SER_hh_tesh_in!Q10=0,0,SER_hh_tesh_in!Q10/SER_summary!Q$27)</f>
        <v>97.51521309331541</v>
      </c>
      <c r="R10" s="133">
        <f>IF(SER_hh_tesh_in!R10=0,0,SER_hh_tesh_in!R10/SER_summary!R$27)</f>
        <v>101.95568036141586</v>
      </c>
      <c r="S10" s="133">
        <f>IF(SER_hh_tesh_in!S10=0,0,SER_hh_tesh_in!S10/SER_summary!S$27)</f>
        <v>95.46305021121988</v>
      </c>
      <c r="T10" s="133">
        <f>IF(SER_hh_tesh_in!T10=0,0,SER_hh_tesh_in!T10/SER_summary!T$27)</f>
        <v>90.781998262639092</v>
      </c>
      <c r="U10" s="133">
        <f>IF(SER_hh_tesh_in!U10=0,0,SER_hh_tesh_in!U10/SER_summary!U$27)</f>
        <v>81.152607663201067</v>
      </c>
      <c r="V10" s="133">
        <f>IF(SER_hh_tesh_in!V10=0,0,SER_hh_tesh_in!V10/SER_summary!V$27)</f>
        <v>66.424409736006595</v>
      </c>
      <c r="W10" s="133">
        <f>IF(SER_hh_tesh_in!W10=0,0,SER_hh_tesh_in!W10/SER_summary!W$27)</f>
        <v>63.747866296802108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135.74266903263353</v>
      </c>
      <c r="D12" s="133">
        <f>IF(SER_hh_tesh_in!D12=0,0,SER_hh_tesh_in!D12/SER_summary!D$27)</f>
        <v>136.96508219695292</v>
      </c>
      <c r="E12" s="133">
        <f>IF(SER_hh_tesh_in!E12=0,0,SER_hh_tesh_in!E12/SER_summary!E$27)</f>
        <v>136.45293357699788</v>
      </c>
      <c r="F12" s="133">
        <f>IF(SER_hh_tesh_in!F12=0,0,SER_hh_tesh_in!F12/SER_summary!F$27)</f>
        <v>129.43307601696333</v>
      </c>
      <c r="G12" s="133">
        <f>IF(SER_hh_tesh_in!G12=0,0,SER_hh_tesh_in!G12/SER_summary!G$27)</f>
        <v>123.11638571591149</v>
      </c>
      <c r="H12" s="133">
        <f>IF(SER_hh_tesh_in!H12=0,0,SER_hh_tesh_in!H12/SER_summary!H$27)</f>
        <v>121.3054775592726</v>
      </c>
      <c r="I12" s="133">
        <f>IF(SER_hh_tesh_in!I12=0,0,SER_hh_tesh_in!I12/SER_summary!I$27)</f>
        <v>130.73012166082177</v>
      </c>
      <c r="J12" s="133">
        <f>IF(SER_hh_tesh_in!J12=0,0,SER_hh_tesh_in!J12/SER_summary!J$27)</f>
        <v>123.7269246220596</v>
      </c>
      <c r="K12" s="133">
        <f>IF(SER_hh_tesh_in!K12=0,0,SER_hh_tesh_in!K12/SER_summary!K$27)</f>
        <v>139.29751835519517</v>
      </c>
      <c r="L12" s="133">
        <f>IF(SER_hh_tesh_in!L12=0,0,SER_hh_tesh_in!L12/SER_summary!L$27)</f>
        <v>145.12830355238083</v>
      </c>
      <c r="M12" s="133">
        <f>IF(SER_hh_tesh_in!M12=0,0,SER_hh_tesh_in!M12/SER_summary!M$27)</f>
        <v>116.31590489687666</v>
      </c>
      <c r="N12" s="133">
        <f>IF(SER_hh_tesh_in!N12=0,0,SER_hh_tesh_in!N12/SER_summary!N$27)</f>
        <v>124.81142719309737</v>
      </c>
      <c r="O12" s="133">
        <f>IF(SER_hh_tesh_in!O12=0,0,SER_hh_tesh_in!O12/SER_summary!O$27)</f>
        <v>113.0870901189527</v>
      </c>
      <c r="P12" s="133">
        <f>IF(SER_hh_tesh_in!P12=0,0,SER_hh_tesh_in!P12/SER_summary!P$27)</f>
        <v>116.75629798338893</v>
      </c>
      <c r="Q12" s="133">
        <f>IF(SER_hh_tesh_in!Q12=0,0,SER_hh_tesh_in!Q12/SER_summary!Q$27)</f>
        <v>98.10864066295261</v>
      </c>
      <c r="R12" s="133">
        <f>IF(SER_hh_tesh_in!R12=0,0,SER_hh_tesh_in!R12/SER_summary!R$27)</f>
        <v>102.62098086359475</v>
      </c>
      <c r="S12" s="133">
        <f>IF(SER_hh_tesh_in!S12=0,0,SER_hh_tesh_in!S12/SER_summary!S$27)</f>
        <v>95.579010915449004</v>
      </c>
      <c r="T12" s="133">
        <f>IF(SER_hh_tesh_in!T12=0,0,SER_hh_tesh_in!T12/SER_summary!T$27)</f>
        <v>91.056410071924475</v>
      </c>
      <c r="U12" s="133">
        <f>IF(SER_hh_tesh_in!U12=0,0,SER_hh_tesh_in!U12/SER_summary!U$27)</f>
        <v>81.051702160794008</v>
      </c>
      <c r="V12" s="133">
        <f>IF(SER_hh_tesh_in!V12=0,0,SER_hh_tesh_in!V12/SER_summary!V$27)</f>
        <v>66.735279674811252</v>
      </c>
      <c r="W12" s="133">
        <f>IF(SER_hh_tesh_in!W12=0,0,SER_hh_tesh_in!W12/SER_summary!W$27)</f>
        <v>63.577804773030699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132.15352788206314</v>
      </c>
      <c r="D13" s="133">
        <f>IF(SER_hh_tesh_in!D13=0,0,SER_hh_tesh_in!D13/SER_summary!D$27)</f>
        <v>132.58791185665712</v>
      </c>
      <c r="E13" s="133">
        <f>IF(SER_hh_tesh_in!E13=0,0,SER_hh_tesh_in!E13/SER_summary!E$27)</f>
        <v>131.12453837037364</v>
      </c>
      <c r="F13" s="133">
        <f>IF(SER_hh_tesh_in!F13=0,0,SER_hh_tesh_in!F13/SER_summary!F$27)</f>
        <v>128.91294746234666</v>
      </c>
      <c r="G13" s="133">
        <f>IF(SER_hh_tesh_in!G13=0,0,SER_hh_tesh_in!G13/SER_summary!G$27)</f>
        <v>126.51172122402811</v>
      </c>
      <c r="H13" s="133">
        <f>IF(SER_hh_tesh_in!H13=0,0,SER_hh_tesh_in!H13/SER_summary!H$27)</f>
        <v>125.86598447889931</v>
      </c>
      <c r="I13" s="133">
        <f>IF(SER_hh_tesh_in!I13=0,0,SER_hh_tesh_in!I13/SER_summary!I$27)</f>
        <v>127.47263463494221</v>
      </c>
      <c r="J13" s="133">
        <f>IF(SER_hh_tesh_in!J13=0,0,SER_hh_tesh_in!J13/SER_summary!J$27)</f>
        <v>129.38872033446981</v>
      </c>
      <c r="K13" s="133">
        <f>IF(SER_hh_tesh_in!K13=0,0,SER_hh_tesh_in!K13/SER_summary!K$27)</f>
        <v>131.3897299795712</v>
      </c>
      <c r="L13" s="133">
        <f>IF(SER_hh_tesh_in!L13=0,0,SER_hh_tesh_in!L13/SER_summary!L$27)</f>
        <v>130.45594270515954</v>
      </c>
      <c r="M13" s="133">
        <f>IF(SER_hh_tesh_in!M13=0,0,SER_hh_tesh_in!M13/SER_summary!M$27)</f>
        <v>124.28929182580846</v>
      </c>
      <c r="N13" s="133">
        <f>IF(SER_hh_tesh_in!N13=0,0,SER_hh_tesh_in!N13/SER_summary!N$27)</f>
        <v>121.3535070550718</v>
      </c>
      <c r="O13" s="133">
        <f>IF(SER_hh_tesh_in!O13=0,0,SER_hh_tesh_in!O13/SER_summary!O$27)</f>
        <v>114.18494373598652</v>
      </c>
      <c r="P13" s="133">
        <f>IF(SER_hh_tesh_in!P13=0,0,SER_hh_tesh_in!P13/SER_summary!P$27)</f>
        <v>109.76498658090652</v>
      </c>
      <c r="Q13" s="133">
        <f>IF(SER_hh_tesh_in!Q13=0,0,SER_hh_tesh_in!Q13/SER_summary!Q$27)</f>
        <v>108.68423855424138</v>
      </c>
      <c r="R13" s="133">
        <f>IF(SER_hh_tesh_in!R13=0,0,SER_hh_tesh_in!R13/SER_summary!R$27)</f>
        <v>101.10273811219069</v>
      </c>
      <c r="S13" s="133">
        <f>IF(SER_hh_tesh_in!S13=0,0,SER_hh_tesh_in!S13/SER_summary!S$27)</f>
        <v>94.998878220770649</v>
      </c>
      <c r="T13" s="133">
        <f>IF(SER_hh_tesh_in!T13=0,0,SER_hh_tesh_in!T13/SER_summary!T$27)</f>
        <v>91.165888307668268</v>
      </c>
      <c r="U13" s="133">
        <f>IF(SER_hh_tesh_in!U13=0,0,SER_hh_tesh_in!U13/SER_summary!U$27)</f>
        <v>81.26757528057307</v>
      </c>
      <c r="V13" s="133">
        <f>IF(SER_hh_tesh_in!V13=0,0,SER_hh_tesh_in!V13/SER_summary!V$27)</f>
        <v>67.699168425290139</v>
      </c>
      <c r="W13" s="133">
        <f>IF(SER_hh_tesh_in!W13=0,0,SER_hh_tesh_in!W13/SER_summary!W$27)</f>
        <v>67.422091566256256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135.51565226026878</v>
      </c>
      <c r="D14" s="65">
        <f>IF(SER_hh_tesh_in!D14=0,0,SER_hh_tesh_in!D14/SER_summary!D$27)</f>
        <v>139.77423296448916</v>
      </c>
      <c r="E14" s="65">
        <f>IF(SER_hh_tesh_in!E14=0,0,SER_hh_tesh_in!E14/SER_summary!E$27)</f>
        <v>131.11318314165965</v>
      </c>
      <c r="F14" s="65">
        <f>IF(SER_hh_tesh_in!F14=0,0,SER_hh_tesh_in!F14/SER_summary!F$27)</f>
        <v>130.91274254511049</v>
      </c>
      <c r="G14" s="65">
        <f>IF(SER_hh_tesh_in!G14=0,0,SER_hh_tesh_in!G14/SER_summary!G$27)</f>
        <v>126.33522720119572</v>
      </c>
      <c r="H14" s="65">
        <f>IF(SER_hh_tesh_in!H14=0,0,SER_hh_tesh_in!H14/SER_summary!H$27)</f>
        <v>126.47826692627007</v>
      </c>
      <c r="I14" s="65">
        <f>IF(SER_hh_tesh_in!I14=0,0,SER_hh_tesh_in!I14/SER_summary!I$27)</f>
        <v>126.96641290184857</v>
      </c>
      <c r="J14" s="65">
        <f>IF(SER_hh_tesh_in!J14=0,0,SER_hh_tesh_in!J14/SER_summary!J$27)</f>
        <v>127.64213247398187</v>
      </c>
      <c r="K14" s="65">
        <f>IF(SER_hh_tesh_in!K14=0,0,SER_hh_tesh_in!K14/SER_summary!K$27)</f>
        <v>135.36031855784864</v>
      </c>
      <c r="L14" s="65">
        <f>IF(SER_hh_tesh_in!L14=0,0,SER_hh_tesh_in!L14/SER_summary!L$27)</f>
        <v>140.76121980958624</v>
      </c>
      <c r="M14" s="65">
        <f>IF(SER_hh_tesh_in!M14=0,0,SER_hh_tesh_in!M14/SER_summary!M$27)</f>
        <v>122.01138047416376</v>
      </c>
      <c r="N14" s="65">
        <f>IF(SER_hh_tesh_in!N14=0,0,SER_hh_tesh_in!N14/SER_summary!N$27)</f>
        <v>128.85569065442473</v>
      </c>
      <c r="O14" s="65">
        <f>IF(SER_hh_tesh_in!O14=0,0,SER_hh_tesh_in!O14/SER_summary!O$27)</f>
        <v>115.9775261565601</v>
      </c>
      <c r="P14" s="65">
        <f>IF(SER_hh_tesh_in!P14=0,0,SER_hh_tesh_in!P14/SER_summary!P$27)</f>
        <v>110.38107490780166</v>
      </c>
      <c r="Q14" s="65">
        <f>IF(SER_hh_tesh_in!Q14=0,0,SER_hh_tesh_in!Q14/SER_summary!Q$27)</f>
        <v>102.73905059181214</v>
      </c>
      <c r="R14" s="65">
        <f>IF(SER_hh_tesh_in!R14=0,0,SER_hh_tesh_in!R14/SER_summary!R$27)</f>
        <v>102.40141185822203</v>
      </c>
      <c r="S14" s="65">
        <f>IF(SER_hh_tesh_in!S14=0,0,SER_hh_tesh_in!S14/SER_summary!S$27)</f>
        <v>90.520264490578455</v>
      </c>
      <c r="T14" s="65">
        <f>IF(SER_hh_tesh_in!T14=0,0,SER_hh_tesh_in!T14/SER_summary!T$27)</f>
        <v>95.689418091564193</v>
      </c>
      <c r="U14" s="65">
        <f>IF(SER_hh_tesh_in!U14=0,0,SER_hh_tesh_in!U14/SER_summary!U$27)</f>
        <v>81.603507706859133</v>
      </c>
      <c r="V14" s="65">
        <f>IF(SER_hh_tesh_in!V14=0,0,SER_hh_tesh_in!V14/SER_summary!V$27)</f>
        <v>68.242614311164601</v>
      </c>
      <c r="W14" s="65">
        <f>IF(SER_hh_tesh_in!W14=0,0,SER_hh_tesh_in!W14/SER_summary!W$27)</f>
        <v>61.11954150774266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0.90936076325344539</v>
      </c>
      <c r="D15" s="135">
        <f>IF(SER_hh_tesh_in!D15=0,0,SER_hh_tesh_in!D15/SER_summary!D$27)</f>
        <v>0.9584087231963595</v>
      </c>
      <c r="E15" s="135">
        <f>IF(SER_hh_tesh_in!E15=0,0,SER_hh_tesh_in!E15/SER_summary!E$27)</f>
        <v>0.98914685998739171</v>
      </c>
      <c r="F15" s="135">
        <f>IF(SER_hh_tesh_in!F15=0,0,SER_hh_tesh_in!F15/SER_summary!F$27)</f>
        <v>0.97012108152133714</v>
      </c>
      <c r="G15" s="135">
        <f>IF(SER_hh_tesh_in!G15=0,0,SER_hh_tesh_in!G15/SER_summary!G$27)</f>
        <v>0.85782164285741691</v>
      </c>
      <c r="H15" s="135">
        <f>IF(SER_hh_tesh_in!H15=0,0,SER_hh_tesh_in!H15/SER_summary!H$27)</f>
        <v>0.72533991597005421</v>
      </c>
      <c r="I15" s="135">
        <f>IF(SER_hh_tesh_in!I15=0,0,SER_hh_tesh_in!I15/SER_summary!I$27)</f>
        <v>0.6453264767705047</v>
      </c>
      <c r="J15" s="135">
        <f>IF(SER_hh_tesh_in!J15=0,0,SER_hh_tesh_in!J15/SER_summary!J$27)</f>
        <v>0.63841608537681394</v>
      </c>
      <c r="K15" s="135">
        <f>IF(SER_hh_tesh_in!K15=0,0,SER_hh_tesh_in!K15/SER_summary!K$27)</f>
        <v>0.87947205119548266</v>
      </c>
      <c r="L15" s="135">
        <f>IF(SER_hh_tesh_in!L15=0,0,SER_hh_tesh_in!L15/SER_summary!L$27)</f>
        <v>1.1308067755834865</v>
      </c>
      <c r="M15" s="135">
        <f>IF(SER_hh_tesh_in!M15=0,0,SER_hh_tesh_in!M15/SER_summary!M$27)</f>
        <v>0.94234875985187094</v>
      </c>
      <c r="N15" s="135">
        <f>IF(SER_hh_tesh_in!N15=0,0,SER_hh_tesh_in!N15/SER_summary!N$27)</f>
        <v>0.94363104322051505</v>
      </c>
      <c r="O15" s="135">
        <f>IF(SER_hh_tesh_in!O15=0,0,SER_hh_tesh_in!O15/SER_summary!O$27)</f>
        <v>0.78360155468998638</v>
      </c>
      <c r="P15" s="135">
        <f>IF(SER_hh_tesh_in!P15=0,0,SER_hh_tesh_in!P15/SER_summary!P$27)</f>
        <v>0.66031941352928514</v>
      </c>
      <c r="Q15" s="135">
        <f>IF(SER_hh_tesh_in!Q15=0,0,SER_hh_tesh_in!Q15/SER_summary!Q$27)</f>
        <v>0.61917375773324423</v>
      </c>
      <c r="R15" s="135">
        <f>IF(SER_hh_tesh_in!R15=0,0,SER_hh_tesh_in!R15/SER_summary!R$27)</f>
        <v>0.64331731096249856</v>
      </c>
      <c r="S15" s="135">
        <f>IF(SER_hh_tesh_in!S15=0,0,SER_hh_tesh_in!S15/SER_summary!S$27)</f>
        <v>0.59897442374074161</v>
      </c>
      <c r="T15" s="135">
        <f>IF(SER_hh_tesh_in!T15=0,0,SER_hh_tesh_in!T15/SER_summary!T$27)</f>
        <v>0.56336631505808465</v>
      </c>
      <c r="U15" s="135">
        <f>IF(SER_hh_tesh_in!U15=0,0,SER_hh_tesh_in!U15/SER_summary!U$27)</f>
        <v>0.52097197583750499</v>
      </c>
      <c r="V15" s="135">
        <f>IF(SER_hh_tesh_in!V15=0,0,SER_hh_tesh_in!V15/SER_summary!V$27)</f>
        <v>0.42124316483057006</v>
      </c>
      <c r="W15" s="135">
        <f>IF(SER_hh_tesh_in!W15=0,0,SER_hh_tesh_in!W15/SER_summary!W$27)</f>
        <v>0.3801253748909062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26.331704750707022</v>
      </c>
      <c r="D16" s="131">
        <f>IF(SER_hh_tesh_in!D16=0,0,SER_hh_tesh_in!D16/SER_summary!D$27)</f>
        <v>26.171741498922771</v>
      </c>
      <c r="E16" s="131">
        <f>IF(SER_hh_tesh_in!E16=0,0,SER_hh_tesh_in!E16/SER_summary!E$27)</f>
        <v>27.153167605969653</v>
      </c>
      <c r="F16" s="131">
        <f>IF(SER_hh_tesh_in!F16=0,0,SER_hh_tesh_in!F16/SER_summary!F$27)</f>
        <v>25.899188710126101</v>
      </c>
      <c r="G16" s="131">
        <f>IF(SER_hh_tesh_in!G16=0,0,SER_hh_tesh_in!G16/SER_summary!G$27)</f>
        <v>25.761998753010424</v>
      </c>
      <c r="H16" s="131">
        <f>IF(SER_hh_tesh_in!H16=0,0,SER_hh_tesh_in!H16/SER_summary!H$27)</f>
        <v>25.694677946006632</v>
      </c>
      <c r="I16" s="131">
        <f>IF(SER_hh_tesh_in!I16=0,0,SER_hh_tesh_in!I16/SER_summary!I$27)</f>
        <v>25.505310255336756</v>
      </c>
      <c r="J16" s="131">
        <f>IF(SER_hh_tesh_in!J16=0,0,SER_hh_tesh_in!J16/SER_summary!J$27)</f>
        <v>25.374552577321943</v>
      </c>
      <c r="K16" s="131">
        <f>IF(SER_hh_tesh_in!K16=0,0,SER_hh_tesh_in!K16/SER_summary!K$27)</f>
        <v>25.028990144771228</v>
      </c>
      <c r="L16" s="131">
        <f>IF(SER_hh_tesh_in!L16=0,0,SER_hh_tesh_in!L16/SER_summary!L$27)</f>
        <v>26.437851712442786</v>
      </c>
      <c r="M16" s="131">
        <f>IF(SER_hh_tesh_in!M16=0,0,SER_hh_tesh_in!M16/SER_summary!M$27)</f>
        <v>24.547229939667133</v>
      </c>
      <c r="N16" s="131">
        <f>IF(SER_hh_tesh_in!N16=0,0,SER_hh_tesh_in!N16/SER_summary!N$27)</f>
        <v>23.853909336397134</v>
      </c>
      <c r="O16" s="131">
        <f>IF(SER_hh_tesh_in!O16=0,0,SER_hh_tesh_in!O16/SER_summary!O$27)</f>
        <v>23.397253305819053</v>
      </c>
      <c r="P16" s="131">
        <f>IF(SER_hh_tesh_in!P16=0,0,SER_hh_tesh_in!P16/SER_summary!P$27)</f>
        <v>23.016587078968954</v>
      </c>
      <c r="Q16" s="131">
        <f>IF(SER_hh_tesh_in!Q16=0,0,SER_hh_tesh_in!Q16/SER_summary!Q$27)</f>
        <v>22.174868145152857</v>
      </c>
      <c r="R16" s="131">
        <f>IF(SER_hh_tesh_in!R16=0,0,SER_hh_tesh_in!R16/SER_summary!R$27)</f>
        <v>22.0964843086598</v>
      </c>
      <c r="S16" s="131">
        <f>IF(SER_hh_tesh_in!S16=0,0,SER_hh_tesh_in!S16/SER_summary!S$27)</f>
        <v>21.566448085223115</v>
      </c>
      <c r="T16" s="131">
        <f>IF(SER_hh_tesh_in!T16=0,0,SER_hh_tesh_in!T16/SER_summary!T$27)</f>
        <v>20.935427943905299</v>
      </c>
      <c r="U16" s="131">
        <f>IF(SER_hh_tesh_in!U16=0,0,SER_hh_tesh_in!U16/SER_summary!U$27)</f>
        <v>20.310153030359416</v>
      </c>
      <c r="V16" s="131">
        <f>IF(SER_hh_tesh_in!V16=0,0,SER_hh_tesh_in!V16/SER_summary!V$27)</f>
        <v>19.461820044785284</v>
      </c>
      <c r="W16" s="131">
        <f>IF(SER_hh_tesh_in!W16=0,0,SER_hh_tesh_in!W16/SER_summary!W$27)</f>
        <v>17.075392111865352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26.331704750707022</v>
      </c>
      <c r="D18" s="133">
        <f>IF(SER_hh_tesh_in!D18=0,0,SER_hh_tesh_in!D18/SER_summary!D$27)</f>
        <v>26.171741498922771</v>
      </c>
      <c r="E18" s="133">
        <f>IF(SER_hh_tesh_in!E18=0,0,SER_hh_tesh_in!E18/SER_summary!E$27)</f>
        <v>27.153167605969653</v>
      </c>
      <c r="F18" s="133">
        <f>IF(SER_hh_tesh_in!F18=0,0,SER_hh_tesh_in!F18/SER_summary!F$27)</f>
        <v>25.899188710126101</v>
      </c>
      <c r="G18" s="133">
        <f>IF(SER_hh_tesh_in!G18=0,0,SER_hh_tesh_in!G18/SER_summary!G$27)</f>
        <v>25.761998753010424</v>
      </c>
      <c r="H18" s="133">
        <f>IF(SER_hh_tesh_in!H18=0,0,SER_hh_tesh_in!H18/SER_summary!H$27)</f>
        <v>25.694677946006632</v>
      </c>
      <c r="I18" s="133">
        <f>IF(SER_hh_tesh_in!I18=0,0,SER_hh_tesh_in!I18/SER_summary!I$27)</f>
        <v>25.505310255336756</v>
      </c>
      <c r="J18" s="133">
        <f>IF(SER_hh_tesh_in!J18=0,0,SER_hh_tesh_in!J18/SER_summary!J$27)</f>
        <v>25.374552577321943</v>
      </c>
      <c r="K18" s="133">
        <f>IF(SER_hh_tesh_in!K18=0,0,SER_hh_tesh_in!K18/SER_summary!K$27)</f>
        <v>25.028990144771228</v>
      </c>
      <c r="L18" s="133">
        <f>IF(SER_hh_tesh_in!L18=0,0,SER_hh_tesh_in!L18/SER_summary!L$27)</f>
        <v>26.437851712442786</v>
      </c>
      <c r="M18" s="133">
        <f>IF(SER_hh_tesh_in!M18=0,0,SER_hh_tesh_in!M18/SER_summary!M$27)</f>
        <v>24.547229939667133</v>
      </c>
      <c r="N18" s="133">
        <f>IF(SER_hh_tesh_in!N18=0,0,SER_hh_tesh_in!N18/SER_summary!N$27)</f>
        <v>23.853909336397134</v>
      </c>
      <c r="O18" s="133">
        <f>IF(SER_hh_tesh_in!O18=0,0,SER_hh_tesh_in!O18/SER_summary!O$27)</f>
        <v>23.397253305819053</v>
      </c>
      <c r="P18" s="133">
        <f>IF(SER_hh_tesh_in!P18=0,0,SER_hh_tesh_in!P18/SER_summary!P$27)</f>
        <v>23.016587078968954</v>
      </c>
      <c r="Q18" s="133">
        <f>IF(SER_hh_tesh_in!Q18=0,0,SER_hh_tesh_in!Q18/SER_summary!Q$27)</f>
        <v>22.174868145152857</v>
      </c>
      <c r="R18" s="133">
        <f>IF(SER_hh_tesh_in!R18=0,0,SER_hh_tesh_in!R18/SER_summary!R$27)</f>
        <v>22.0964843086598</v>
      </c>
      <c r="S18" s="133">
        <f>IF(SER_hh_tesh_in!S18=0,0,SER_hh_tesh_in!S18/SER_summary!S$27)</f>
        <v>21.566448085223115</v>
      </c>
      <c r="T18" s="133">
        <f>IF(SER_hh_tesh_in!T18=0,0,SER_hh_tesh_in!T18/SER_summary!T$27)</f>
        <v>20.935427943905299</v>
      </c>
      <c r="U18" s="133">
        <f>IF(SER_hh_tesh_in!U18=0,0,SER_hh_tesh_in!U18/SER_summary!U$27)</f>
        <v>20.310153030359416</v>
      </c>
      <c r="V18" s="133">
        <f>IF(SER_hh_tesh_in!V18=0,0,SER_hh_tesh_in!V18/SER_summary!V$27)</f>
        <v>19.461820044785284</v>
      </c>
      <c r="W18" s="133">
        <f>IF(SER_hh_tesh_in!W18=0,0,SER_hh_tesh_in!W18/SER_summary!W$27)</f>
        <v>17.075392111865352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17.028065624610086</v>
      </c>
      <c r="D19" s="131">
        <f>IF(SER_hh_tesh_in!D19=0,0,SER_hh_tesh_in!D19/SER_summary!D$27)</f>
        <v>16.862982213690792</v>
      </c>
      <c r="E19" s="131">
        <f>IF(SER_hh_tesh_in!E19=0,0,SER_hh_tesh_in!E19/SER_summary!E$27)</f>
        <v>16.874510393108885</v>
      </c>
      <c r="F19" s="131">
        <f>IF(SER_hh_tesh_in!F19=0,0,SER_hh_tesh_in!F19/SER_summary!F$27)</f>
        <v>16.711323842988506</v>
      </c>
      <c r="G19" s="131">
        <f>IF(SER_hh_tesh_in!G19=0,0,SER_hh_tesh_in!G19/SER_summary!G$27)</f>
        <v>16.768522479711862</v>
      </c>
      <c r="H19" s="131">
        <f>IF(SER_hh_tesh_in!H19=0,0,SER_hh_tesh_in!H19/SER_summary!H$27)</f>
        <v>16.657897476530568</v>
      </c>
      <c r="I19" s="131">
        <f>IF(SER_hh_tesh_in!I19=0,0,SER_hh_tesh_in!I19/SER_summary!I$27)</f>
        <v>16.557677889580461</v>
      </c>
      <c r="J19" s="131">
        <f>IF(SER_hh_tesh_in!J19=0,0,SER_hh_tesh_in!J19/SER_summary!J$27)</f>
        <v>16.482547946884793</v>
      </c>
      <c r="K19" s="131">
        <f>IF(SER_hh_tesh_in!K19=0,0,SER_hh_tesh_in!K19/SER_summary!K$27)</f>
        <v>16.442130873735362</v>
      </c>
      <c r="L19" s="131">
        <f>IF(SER_hh_tesh_in!L19=0,0,SER_hh_tesh_in!L19/SER_summary!L$27)</f>
        <v>16.56826723164512</v>
      </c>
      <c r="M19" s="131">
        <f>IF(SER_hh_tesh_in!M19=0,0,SER_hh_tesh_in!M19/SER_summary!M$27)</f>
        <v>16.570641140126749</v>
      </c>
      <c r="N19" s="131">
        <f>IF(SER_hh_tesh_in!N19=0,0,SER_hh_tesh_in!N19/SER_summary!N$27)</f>
        <v>16.686945678753794</v>
      </c>
      <c r="O19" s="131">
        <f>IF(SER_hh_tesh_in!O19=0,0,SER_hh_tesh_in!O19/SER_summary!O$27)</f>
        <v>16.663941999036677</v>
      </c>
      <c r="P19" s="131">
        <f>IF(SER_hh_tesh_in!P19=0,0,SER_hh_tesh_in!P19/SER_summary!P$27)</f>
        <v>16.768226584556317</v>
      </c>
      <c r="Q19" s="131">
        <f>IF(SER_hh_tesh_in!Q19=0,0,SER_hh_tesh_in!Q19/SER_summary!Q$27)</f>
        <v>16.735125832285949</v>
      </c>
      <c r="R19" s="131">
        <f>IF(SER_hh_tesh_in!R19=0,0,SER_hh_tesh_in!R19/SER_summary!R$27)</f>
        <v>16.669506561583688</v>
      </c>
      <c r="S19" s="131">
        <f>IF(SER_hh_tesh_in!S19=0,0,SER_hh_tesh_in!S19/SER_summary!S$27)</f>
        <v>16.515288296418138</v>
      </c>
      <c r="T19" s="131">
        <f>IF(SER_hh_tesh_in!T19=0,0,SER_hh_tesh_in!T19/SER_summary!T$27)</f>
        <v>16.558803407104701</v>
      </c>
      <c r="U19" s="131">
        <f>IF(SER_hh_tesh_in!U19=0,0,SER_hh_tesh_in!U19/SER_summary!U$27)</f>
        <v>16.355484714227366</v>
      </c>
      <c r="V19" s="131">
        <f>IF(SER_hh_tesh_in!V19=0,0,SER_hh_tesh_in!V19/SER_summary!V$27)</f>
        <v>14.717440948421453</v>
      </c>
      <c r="W19" s="131">
        <f>IF(SER_hh_tesh_in!W19=0,0,SER_hh_tesh_in!W19/SER_summary!W$27)</f>
        <v>16.302525195721969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16.845867038805583</v>
      </c>
      <c r="D22" s="133">
        <f>IF(SER_hh_tesh_in!D22=0,0,SER_hh_tesh_in!D22/SER_summary!D$27)</f>
        <v>17.006925786148116</v>
      </c>
      <c r="E22" s="133">
        <f>IF(SER_hh_tesh_in!E22=0,0,SER_hh_tesh_in!E22/SER_summary!E$27)</f>
        <v>16.968142396468014</v>
      </c>
      <c r="F22" s="133">
        <f>IF(SER_hh_tesh_in!F22=0,0,SER_hh_tesh_in!F22/SER_summary!F$27)</f>
        <v>16.798622832586624</v>
      </c>
      <c r="G22" s="133">
        <f>IF(SER_hh_tesh_in!G22=0,0,SER_hh_tesh_in!G22/SER_summary!G$27)</f>
        <v>16.608210627733332</v>
      </c>
      <c r="H22" s="133">
        <f>IF(SER_hh_tesh_in!H22=0,0,SER_hh_tesh_in!H22/SER_summary!H$27)</f>
        <v>16.734212380162898</v>
      </c>
      <c r="I22" s="133">
        <f>IF(SER_hh_tesh_in!I22=0,0,SER_hh_tesh_in!I22/SER_summary!I$27)</f>
        <v>16.596077749843719</v>
      </c>
      <c r="J22" s="133">
        <f>IF(SER_hh_tesh_in!J22=0,0,SER_hh_tesh_in!J22/SER_summary!J$27)</f>
        <v>16.344313125985312</v>
      </c>
      <c r="K22" s="133">
        <f>IF(SER_hh_tesh_in!K22=0,0,SER_hh_tesh_in!K22/SER_summary!K$27)</f>
        <v>16.055687015432362</v>
      </c>
      <c r="L22" s="133">
        <f>IF(SER_hh_tesh_in!L22=0,0,SER_hh_tesh_in!L22/SER_summary!L$27)</f>
        <v>16.950041538609035</v>
      </c>
      <c r="M22" s="133">
        <f>IF(SER_hh_tesh_in!M22=0,0,SER_hh_tesh_in!M22/SER_summary!M$27)</f>
        <v>16.913831170882609</v>
      </c>
      <c r="N22" s="133">
        <f>IF(SER_hh_tesh_in!N22=0,0,SER_hh_tesh_in!N22/SER_summary!N$27)</f>
        <v>16.678448622794871</v>
      </c>
      <c r="O22" s="133">
        <f>IF(SER_hh_tesh_in!O22=0,0,SER_hh_tesh_in!O22/SER_summary!O$27)</f>
        <v>16.876151481092041</v>
      </c>
      <c r="P22" s="133">
        <f>IF(SER_hh_tesh_in!P22=0,0,SER_hh_tesh_in!P22/SER_summary!P$27)</f>
        <v>16.566085545978055</v>
      </c>
      <c r="Q22" s="133">
        <f>IF(SER_hh_tesh_in!Q22=0,0,SER_hh_tesh_in!Q22/SER_summary!Q$27)</f>
        <v>16.72956579274096</v>
      </c>
      <c r="R22" s="133">
        <f>IF(SER_hh_tesh_in!R22=0,0,SER_hh_tesh_in!R22/SER_summary!R$27)</f>
        <v>17.501598961168039</v>
      </c>
      <c r="S22" s="133">
        <f>IF(SER_hh_tesh_in!S22=0,0,SER_hh_tesh_in!S22/SER_summary!S$27)</f>
        <v>16.595368573899318</v>
      </c>
      <c r="T22" s="133">
        <f>IF(SER_hh_tesh_in!T22=0,0,SER_hh_tesh_in!T22/SER_summary!T$27)</f>
        <v>15.653523946391561</v>
      </c>
      <c r="U22" s="133">
        <f>IF(SER_hh_tesh_in!U22=0,0,SER_hh_tesh_in!U22/SER_summary!U$27)</f>
        <v>15.871793224134668</v>
      </c>
      <c r="V22" s="133">
        <f>IF(SER_hh_tesh_in!V22=0,0,SER_hh_tesh_in!V22/SER_summary!V$27)</f>
        <v>14.515452292183525</v>
      </c>
      <c r="W22" s="133">
        <f>IF(SER_hh_tesh_in!W22=0,0,SER_hh_tesh_in!W22/SER_summary!W$27)</f>
        <v>16.500589713288196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16.920947253850009</v>
      </c>
      <c r="D23" s="133">
        <f>IF(SER_hh_tesh_in!D23=0,0,SER_hh_tesh_in!D23/SER_summary!D$27)</f>
        <v>16.841376126771046</v>
      </c>
      <c r="E23" s="133">
        <f>IF(SER_hh_tesh_in!E23=0,0,SER_hh_tesh_in!E23/SER_summary!E$27)</f>
        <v>16.7200372163853</v>
      </c>
      <c r="F23" s="133">
        <f>IF(SER_hh_tesh_in!F23=0,0,SER_hh_tesh_in!F23/SER_summary!F$27)</f>
        <v>16.919240997443403</v>
      </c>
      <c r="G23" s="133">
        <f>IF(SER_hh_tesh_in!G23=0,0,SER_hh_tesh_in!G23/SER_summary!G$27)</f>
        <v>17.086702597962617</v>
      </c>
      <c r="H23" s="133">
        <f>IF(SER_hh_tesh_in!H23=0,0,SER_hh_tesh_in!H23/SER_summary!H$27)</f>
        <v>16.482795145449828</v>
      </c>
      <c r="I23" s="133">
        <f>IF(SER_hh_tesh_in!I23=0,0,SER_hh_tesh_in!I23/SER_summary!I$27)</f>
        <v>16.547267861130404</v>
      </c>
      <c r="J23" s="133">
        <f>IF(SER_hh_tesh_in!J23=0,0,SER_hh_tesh_in!J23/SER_summary!J$27)</f>
        <v>16.741656773568206</v>
      </c>
      <c r="K23" s="133">
        <f>IF(SER_hh_tesh_in!K23=0,0,SER_hh_tesh_in!K23/SER_summary!K$27)</f>
        <v>16.535934232013659</v>
      </c>
      <c r="L23" s="133">
        <f>IF(SER_hh_tesh_in!L23=0,0,SER_hh_tesh_in!L23/SER_summary!L$27)</f>
        <v>16.302221713117035</v>
      </c>
      <c r="M23" s="133">
        <f>IF(SER_hh_tesh_in!M23=0,0,SER_hh_tesh_in!M23/SER_summary!M$27)</f>
        <v>16.542236173219891</v>
      </c>
      <c r="N23" s="133">
        <f>IF(SER_hh_tesh_in!N23=0,0,SER_hh_tesh_in!N23/SER_summary!N$27)</f>
        <v>16.697126946139335</v>
      </c>
      <c r="O23" s="133">
        <f>IF(SER_hh_tesh_in!O23=0,0,SER_hh_tesh_in!O23/SER_summary!O$27)</f>
        <v>16.793990945435052</v>
      </c>
      <c r="P23" s="133">
        <f>IF(SER_hh_tesh_in!P23=0,0,SER_hh_tesh_in!P23/SER_summary!P$27)</f>
        <v>16.674721112976528</v>
      </c>
      <c r="Q23" s="133">
        <f>IF(SER_hh_tesh_in!Q23=0,0,SER_hh_tesh_in!Q23/SER_summary!Q$27)</f>
        <v>16.533131443099659</v>
      </c>
      <c r="R23" s="133">
        <f>IF(SER_hh_tesh_in!R23=0,0,SER_hh_tesh_in!R23/SER_summary!R$27)</f>
        <v>16.069991681547652</v>
      </c>
      <c r="S23" s="133">
        <f>IF(SER_hh_tesh_in!S23=0,0,SER_hh_tesh_in!S23/SER_summary!S$27)</f>
        <v>18.394743454080103</v>
      </c>
      <c r="T23" s="133">
        <f>IF(SER_hh_tesh_in!T23=0,0,SER_hh_tesh_in!T23/SER_summary!T$27)</f>
        <v>16.118542437300377</v>
      </c>
      <c r="U23" s="133">
        <f>IF(SER_hh_tesh_in!U23=0,0,SER_hh_tesh_in!U23/SER_summary!U$27)</f>
        <v>15.281978757156569</v>
      </c>
      <c r="V23" s="133">
        <f>IF(SER_hh_tesh_in!V23=0,0,SER_hh_tesh_in!V23/SER_summary!V$27)</f>
        <v>14.572747286863896</v>
      </c>
      <c r="W23" s="133">
        <f>IF(SER_hh_tesh_in!W23=0,0,SER_hh_tesh_in!W23/SER_summary!W$27)</f>
        <v>17.561964011307701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17.716933405644784</v>
      </c>
      <c r="D24" s="133">
        <f>IF(SER_hh_tesh_in!D24=0,0,SER_hh_tesh_in!D24/SER_summary!D$27)</f>
        <v>17.27744339355381</v>
      </c>
      <c r="E24" s="133">
        <f>IF(SER_hh_tesh_in!E24=0,0,SER_hh_tesh_in!E24/SER_summary!E$27)</f>
        <v>16.763339750303857</v>
      </c>
      <c r="F24" s="133">
        <f>IF(SER_hh_tesh_in!F24=0,0,SER_hh_tesh_in!F24/SER_summary!F$27)</f>
        <v>16.756375959283815</v>
      </c>
      <c r="G24" s="133">
        <f>IF(SER_hh_tesh_in!G24=0,0,SER_hh_tesh_in!G24/SER_summary!G$27)</f>
        <v>16.537580150331124</v>
      </c>
      <c r="H24" s="133">
        <f>IF(SER_hh_tesh_in!H24=0,0,SER_hh_tesh_in!H24/SER_summary!H$27)</f>
        <v>16.520640700723984</v>
      </c>
      <c r="I24" s="133">
        <f>IF(SER_hh_tesh_in!I24=0,0,SER_hh_tesh_in!I24/SER_summary!I$27)</f>
        <v>16.285188356154709</v>
      </c>
      <c r="J24" s="133">
        <f>IF(SER_hh_tesh_in!J24=0,0,SER_hh_tesh_in!J24/SER_summary!J$27)</f>
        <v>17.111810097475448</v>
      </c>
      <c r="K24" s="133">
        <f>IF(SER_hh_tesh_in!K24=0,0,SER_hh_tesh_in!K24/SER_summary!K$27)</f>
        <v>16.270117079042556</v>
      </c>
      <c r="L24" s="133">
        <f>IF(SER_hh_tesh_in!L24=0,0,SER_hh_tesh_in!L24/SER_summary!L$27)</f>
        <v>16.527244021355717</v>
      </c>
      <c r="M24" s="133">
        <f>IF(SER_hh_tesh_in!M24=0,0,SER_hh_tesh_in!M24/SER_summary!M$27)</f>
        <v>16.842362259376031</v>
      </c>
      <c r="N24" s="133">
        <f>IF(SER_hh_tesh_in!N24=0,0,SER_hh_tesh_in!N24/SER_summary!N$27)</f>
        <v>16.830440400949588</v>
      </c>
      <c r="O24" s="133">
        <f>IF(SER_hh_tesh_in!O24=0,0,SER_hh_tesh_in!O24/SER_summary!O$27)</f>
        <v>16.640863882929246</v>
      </c>
      <c r="P24" s="133">
        <f>IF(SER_hh_tesh_in!P24=0,0,SER_hh_tesh_in!P24/SER_summary!P$27)</f>
        <v>16.454807548646038</v>
      </c>
      <c r="Q24" s="133">
        <f>IF(SER_hh_tesh_in!Q24=0,0,SER_hh_tesh_in!Q24/SER_summary!Q$27)</f>
        <v>15.932943228519388</v>
      </c>
      <c r="R24" s="133">
        <f>IF(SER_hh_tesh_in!R24=0,0,SER_hh_tesh_in!R24/SER_summary!R$27)</f>
        <v>17.377713662044215</v>
      </c>
      <c r="S24" s="133">
        <f>IF(SER_hh_tesh_in!S24=0,0,SER_hh_tesh_in!S24/SER_summary!S$27)</f>
        <v>16.701093108998421</v>
      </c>
      <c r="T24" s="133">
        <f>IF(SER_hh_tesh_in!T24=0,0,SER_hh_tesh_in!T24/SER_summary!T$27)</f>
        <v>16.567897360101956</v>
      </c>
      <c r="U24" s="133">
        <f>IF(SER_hh_tesh_in!U24=0,0,SER_hh_tesh_in!U24/SER_summary!U$27)</f>
        <v>16.280456602019207</v>
      </c>
      <c r="V24" s="133">
        <f>IF(SER_hh_tesh_in!V24=0,0,SER_hh_tesh_in!V24/SER_summary!V$27)</f>
        <v>14.385675482636424</v>
      </c>
      <c r="W24" s="133">
        <f>IF(SER_hh_tesh_in!W24=0,0,SER_hh_tesh_in!W24/SER_summary!W$27)</f>
        <v>16.86822093833748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17.063829913463024</v>
      </c>
      <c r="D25" s="133">
        <f>IF(SER_hh_tesh_in!D25=0,0,SER_hh_tesh_in!D25/SER_summary!D$27)</f>
        <v>16.836115630558123</v>
      </c>
      <c r="E25" s="133">
        <f>IF(SER_hh_tesh_in!E25=0,0,SER_hh_tesh_in!E25/SER_summary!E$27)</f>
        <v>16.895847420669703</v>
      </c>
      <c r="F25" s="133">
        <f>IF(SER_hh_tesh_in!F25=0,0,SER_hh_tesh_in!F25/SER_summary!F$27)</f>
        <v>16.684225636024511</v>
      </c>
      <c r="G25" s="133">
        <f>IF(SER_hh_tesh_in!G25=0,0,SER_hh_tesh_in!G25/SER_summary!G$27)</f>
        <v>16.750241960349253</v>
      </c>
      <c r="H25" s="133">
        <f>IF(SER_hh_tesh_in!H25=0,0,SER_hh_tesh_in!H25/SER_summary!H$27)</f>
        <v>16.67874053764605</v>
      </c>
      <c r="I25" s="133">
        <f>IF(SER_hh_tesh_in!I25=0,0,SER_hh_tesh_in!I25/SER_summary!I$27)</f>
        <v>16.689566435896161</v>
      </c>
      <c r="J25" s="133">
        <f>IF(SER_hh_tesh_in!J25=0,0,SER_hh_tesh_in!J25/SER_summary!J$27)</f>
        <v>16.502325518498758</v>
      </c>
      <c r="K25" s="133">
        <f>IF(SER_hh_tesh_in!K25=0,0,SER_hh_tesh_in!K25/SER_summary!K$27)</f>
        <v>16.558924404968153</v>
      </c>
      <c r="L25" s="133">
        <f>IF(SER_hh_tesh_in!L25=0,0,SER_hh_tesh_in!L25/SER_summary!L$27)</f>
        <v>16.510730392071657</v>
      </c>
      <c r="M25" s="133">
        <f>IF(SER_hh_tesh_in!M25=0,0,SER_hh_tesh_in!M25/SER_summary!M$27)</f>
        <v>16.51895974317511</v>
      </c>
      <c r="N25" s="133">
        <f>IF(SER_hh_tesh_in!N25=0,0,SER_hh_tesh_in!N25/SER_summary!N$27)</f>
        <v>16.626162928494431</v>
      </c>
      <c r="O25" s="133">
        <f>IF(SER_hh_tesh_in!O25=0,0,SER_hh_tesh_in!O25/SER_summary!O$27)</f>
        <v>16.720689111437181</v>
      </c>
      <c r="P25" s="133">
        <f>IF(SER_hh_tesh_in!P25=0,0,SER_hh_tesh_in!P25/SER_summary!P$27)</f>
        <v>16.736734638452084</v>
      </c>
      <c r="Q25" s="133">
        <f>IF(SER_hh_tesh_in!Q25=0,0,SER_hh_tesh_in!Q25/SER_summary!Q$27)</f>
        <v>16.659323595848967</v>
      </c>
      <c r="R25" s="133">
        <f>IF(SER_hh_tesh_in!R25=0,0,SER_hh_tesh_in!R25/SER_summary!R$27)</f>
        <v>16.746005148659176</v>
      </c>
      <c r="S25" s="133">
        <f>IF(SER_hh_tesh_in!S25=0,0,SER_hh_tesh_in!S25/SER_summary!S$27)</f>
        <v>16.526623251202707</v>
      </c>
      <c r="T25" s="133">
        <f>IF(SER_hh_tesh_in!T25=0,0,SER_hh_tesh_in!T25/SER_summary!T$27)</f>
        <v>16.758497941824828</v>
      </c>
      <c r="U25" s="133">
        <f>IF(SER_hh_tesh_in!U25=0,0,SER_hh_tesh_in!U25/SER_summary!U$27)</f>
        <v>16.086525597625382</v>
      </c>
      <c r="V25" s="133">
        <f>IF(SER_hh_tesh_in!V25=0,0,SER_hh_tesh_in!V25/SER_summary!V$27)</f>
        <v>14.543863565374334</v>
      </c>
      <c r="W25" s="133">
        <f>IF(SER_hh_tesh_in!W25=0,0,SER_hh_tesh_in!W25/SER_summary!W$27)</f>
        <v>17.103439980700387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16.904224432000188</v>
      </c>
      <c r="D26" s="65">
        <f>IF(SER_hh_tesh_in!D26=0,0,SER_hh_tesh_in!D26/SER_summary!D$27)</f>
        <v>16.811813548280107</v>
      </c>
      <c r="E26" s="65">
        <f>IF(SER_hh_tesh_in!E26=0,0,SER_hh_tesh_in!E26/SER_summary!E$27)</f>
        <v>16.824550527121531</v>
      </c>
      <c r="F26" s="65">
        <f>IF(SER_hh_tesh_in!F26=0,0,SER_hh_tesh_in!F26/SER_summary!F$27)</f>
        <v>16.725569575605522</v>
      </c>
      <c r="G26" s="65">
        <f>IF(SER_hh_tesh_in!G26=0,0,SER_hh_tesh_in!G26/SER_summary!G$27)</f>
        <v>16.858081261543081</v>
      </c>
      <c r="H26" s="65">
        <f>IF(SER_hh_tesh_in!H26=0,0,SER_hh_tesh_in!H26/SER_summary!H$27)</f>
        <v>16.609236824121176</v>
      </c>
      <c r="I26" s="65">
        <f>IF(SER_hh_tesh_in!I26=0,0,SER_hh_tesh_in!I26/SER_summary!I$27)</f>
        <v>16.29462129894149</v>
      </c>
      <c r="J26" s="65">
        <f>IF(SER_hh_tesh_in!J26=0,0,SER_hh_tesh_in!J26/SER_summary!J$27)</f>
        <v>16.415064737903549</v>
      </c>
      <c r="K26" s="65">
        <f>IF(SER_hh_tesh_in!K26=0,0,SER_hh_tesh_in!K26/SER_summary!K$27)</f>
        <v>16.413349653242037</v>
      </c>
      <c r="L26" s="65">
        <f>IF(SER_hh_tesh_in!L26=0,0,SER_hh_tesh_in!L26/SER_summary!L$27)</f>
        <v>16.535466633680286</v>
      </c>
      <c r="M26" s="65">
        <f>IF(SER_hh_tesh_in!M26=0,0,SER_hh_tesh_in!M26/SER_summary!M$27)</f>
        <v>16.529394972383734</v>
      </c>
      <c r="N26" s="65">
        <f>IF(SER_hh_tesh_in!N26=0,0,SER_hh_tesh_in!N26/SER_summary!N$27)</f>
        <v>16.744009382612482</v>
      </c>
      <c r="O26" s="65">
        <f>IF(SER_hh_tesh_in!O26=0,0,SER_hh_tesh_in!O26/SER_summary!O$27)</f>
        <v>16.563692939963452</v>
      </c>
      <c r="P26" s="65">
        <f>IF(SER_hh_tesh_in!P26=0,0,SER_hh_tesh_in!P26/SER_summary!P$27)</f>
        <v>16.852924124222714</v>
      </c>
      <c r="Q26" s="65">
        <f>IF(SER_hh_tesh_in!Q26=0,0,SER_hh_tesh_in!Q26/SER_summary!Q$27)</f>
        <v>16.942710033829162</v>
      </c>
      <c r="R26" s="65">
        <f>IF(SER_hh_tesh_in!R26=0,0,SER_hh_tesh_in!R26/SER_summary!R$27)</f>
        <v>16.332428664374721</v>
      </c>
      <c r="S26" s="65">
        <f>IF(SER_hh_tesh_in!S26=0,0,SER_hh_tesh_in!S26/SER_summary!S$27)</f>
        <v>16.422691487852873</v>
      </c>
      <c r="T26" s="65">
        <f>IF(SER_hh_tesh_in!T26=0,0,SER_hh_tesh_in!T26/SER_summary!T$27)</f>
        <v>16.349502332931149</v>
      </c>
      <c r="U26" s="65">
        <f>IF(SER_hh_tesh_in!U26=0,0,SER_hh_tesh_in!U26/SER_summary!U$27)</f>
        <v>16.732516725243858</v>
      </c>
      <c r="V26" s="65">
        <f>IF(SER_hh_tesh_in!V26=0,0,SER_hh_tesh_in!V26/SER_summary!V$27)</f>
        <v>15.010064833162213</v>
      </c>
      <c r="W26" s="65">
        <f>IF(SER_hh_tesh_in!W26=0,0,SER_hh_tesh_in!W26/SER_summary!W$27)</f>
        <v>15.237316024406084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15.264522081551622</v>
      </c>
      <c r="D29" s="131">
        <f>IF(SER_hh_tesh_in!D29=0,0,SER_hh_tesh_in!D29/SER_summary!D$27)</f>
        <v>14.938785157639662</v>
      </c>
      <c r="E29" s="131">
        <f>IF(SER_hh_tesh_in!E29=0,0,SER_hh_tesh_in!E29/SER_summary!E$27)</f>
        <v>14.729779022532087</v>
      </c>
      <c r="F29" s="131">
        <f>IF(SER_hh_tesh_in!F29=0,0,SER_hh_tesh_in!F29/SER_summary!F$27)</f>
        <v>14.677348290692736</v>
      </c>
      <c r="G29" s="131">
        <f>IF(SER_hh_tesh_in!G29=0,0,SER_hh_tesh_in!G29/SER_summary!G$27)</f>
        <v>14.488448721722062</v>
      </c>
      <c r="H29" s="131">
        <f>IF(SER_hh_tesh_in!H29=0,0,SER_hh_tesh_in!H29/SER_summary!H$27)</f>
        <v>14.510833288027733</v>
      </c>
      <c r="I29" s="131">
        <f>IF(SER_hh_tesh_in!I29=0,0,SER_hh_tesh_in!I29/SER_summary!I$27)</f>
        <v>14.258349787795792</v>
      </c>
      <c r="J29" s="131">
        <f>IF(SER_hh_tesh_in!J29=0,0,SER_hh_tesh_in!J29/SER_summary!J$27)</f>
        <v>14.105381605718957</v>
      </c>
      <c r="K29" s="131">
        <f>IF(SER_hh_tesh_in!K29=0,0,SER_hh_tesh_in!K29/SER_summary!K$27)</f>
        <v>14.169674468953927</v>
      </c>
      <c r="L29" s="131">
        <f>IF(SER_hh_tesh_in!L29=0,0,SER_hh_tesh_in!L29/SER_summary!L$27)</f>
        <v>13.982723995399169</v>
      </c>
      <c r="M29" s="131">
        <f>IF(SER_hh_tesh_in!M29=0,0,SER_hh_tesh_in!M29/SER_summary!M$27)</f>
        <v>14.103610285725129</v>
      </c>
      <c r="N29" s="131">
        <f>IF(SER_hh_tesh_in!N29=0,0,SER_hh_tesh_in!N29/SER_summary!N$27)</f>
        <v>14.033953737079118</v>
      </c>
      <c r="O29" s="131">
        <f>IF(SER_hh_tesh_in!O29=0,0,SER_hh_tesh_in!O29/SER_summary!O$27)</f>
        <v>13.90227282163189</v>
      </c>
      <c r="P29" s="131">
        <f>IF(SER_hh_tesh_in!P29=0,0,SER_hh_tesh_in!P29/SER_summary!P$27)</f>
        <v>14.056625986072413</v>
      </c>
      <c r="Q29" s="131">
        <f>IF(SER_hh_tesh_in!Q29=0,0,SER_hh_tesh_in!Q29/SER_summary!Q$27)</f>
        <v>14.234035876119094</v>
      </c>
      <c r="R29" s="131">
        <f>IF(SER_hh_tesh_in!R29=0,0,SER_hh_tesh_in!R29/SER_summary!R$27)</f>
        <v>14.634734647613024</v>
      </c>
      <c r="S29" s="131">
        <f>IF(SER_hh_tesh_in!S29=0,0,SER_hh_tesh_in!S29/SER_summary!S$27)</f>
        <v>14.604827713649186</v>
      </c>
      <c r="T29" s="131">
        <f>IF(SER_hh_tesh_in!T29=0,0,SER_hh_tesh_in!T29/SER_summary!T$27)</f>
        <v>14.639787458726484</v>
      </c>
      <c r="U29" s="131">
        <f>IF(SER_hh_tesh_in!U29=0,0,SER_hh_tesh_in!U29/SER_summary!U$27)</f>
        <v>15.094896699163167</v>
      </c>
      <c r="V29" s="131">
        <f>IF(SER_hh_tesh_in!V29=0,0,SER_hh_tesh_in!V29/SER_summary!V$27)</f>
        <v>13.866194141494459</v>
      </c>
      <c r="W29" s="131">
        <f>IF(SER_hh_tesh_in!W29=0,0,SER_hh_tesh_in!W29/SER_summary!W$27)</f>
        <v>15.490142393761552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15.191607689067931</v>
      </c>
      <c r="D31" s="133">
        <f>IF(SER_hh_tesh_in!D31=0,0,SER_hh_tesh_in!D31/SER_summary!D$27)</f>
        <v>14.996838245470917</v>
      </c>
      <c r="E31" s="133">
        <f>IF(SER_hh_tesh_in!E31=0,0,SER_hh_tesh_in!E31/SER_summary!E$27)</f>
        <v>14.769809543174354</v>
      </c>
      <c r="F31" s="133">
        <f>IF(SER_hh_tesh_in!F31=0,0,SER_hh_tesh_in!F31/SER_summary!F$27)</f>
        <v>14.745134458178395</v>
      </c>
      <c r="G31" s="133">
        <f>IF(SER_hh_tesh_in!G31=0,0,SER_hh_tesh_in!G31/SER_summary!G$27)</f>
        <v>14.614634381658629</v>
      </c>
      <c r="H31" s="133">
        <f>IF(SER_hh_tesh_in!H31=0,0,SER_hh_tesh_in!H31/SER_summary!H$27)</f>
        <v>14.489695825644922</v>
      </c>
      <c r="I31" s="133">
        <f>IF(SER_hh_tesh_in!I31=0,0,SER_hh_tesh_in!I31/SER_summary!I$27)</f>
        <v>14.385621615348841</v>
      </c>
      <c r="J31" s="133">
        <f>IF(SER_hh_tesh_in!J31=0,0,SER_hh_tesh_in!J31/SER_summary!J$27)</f>
        <v>14.507595750422164</v>
      </c>
      <c r="K31" s="133">
        <f>IF(SER_hh_tesh_in!K31=0,0,SER_hh_tesh_in!K31/SER_summary!K$27)</f>
        <v>14.165759664051576</v>
      </c>
      <c r="L31" s="133">
        <f>IF(SER_hh_tesh_in!L31=0,0,SER_hh_tesh_in!L31/SER_summary!L$27)</f>
        <v>14.050628235495601</v>
      </c>
      <c r="M31" s="133">
        <f>IF(SER_hh_tesh_in!M31=0,0,SER_hh_tesh_in!M31/SER_summary!M$27)</f>
        <v>13.728895696092017</v>
      </c>
      <c r="N31" s="133">
        <f>IF(SER_hh_tesh_in!N31=0,0,SER_hh_tesh_in!N31/SER_summary!N$27)</f>
        <v>13.883690399074212</v>
      </c>
      <c r="O31" s="133">
        <f>IF(SER_hh_tesh_in!O31=0,0,SER_hh_tesh_in!O31/SER_summary!O$27)</f>
        <v>14.181316142179499</v>
      </c>
      <c r="P31" s="133">
        <f>IF(SER_hh_tesh_in!P31=0,0,SER_hh_tesh_in!P31/SER_summary!P$27)</f>
        <v>14.046149412919789</v>
      </c>
      <c r="Q31" s="133">
        <f>IF(SER_hh_tesh_in!Q31=0,0,SER_hh_tesh_in!Q31/SER_summary!Q$27)</f>
        <v>14.13266085989294</v>
      </c>
      <c r="R31" s="133">
        <f>IF(SER_hh_tesh_in!R31=0,0,SER_hh_tesh_in!R31/SER_summary!R$27)</f>
        <v>13.986739244462603</v>
      </c>
      <c r="S31" s="133">
        <f>IF(SER_hh_tesh_in!S31=0,0,SER_hh_tesh_in!S31/SER_summary!S$27)</f>
        <v>15.84411769785415</v>
      </c>
      <c r="T31" s="133">
        <f>IF(SER_hh_tesh_in!T31=0,0,SER_hh_tesh_in!T31/SER_summary!T$27)</f>
        <v>14.33801859928127</v>
      </c>
      <c r="U31" s="133">
        <f>IF(SER_hh_tesh_in!U31=0,0,SER_hh_tesh_in!U31/SER_summary!U$27)</f>
        <v>13.899300319287924</v>
      </c>
      <c r="V31" s="133">
        <f>IF(SER_hh_tesh_in!V31=0,0,SER_hh_tesh_in!V31/SER_summary!V$27)</f>
        <v>13.436161353578491</v>
      </c>
      <c r="W31" s="133">
        <f>IF(SER_hh_tesh_in!W31=0,0,SER_hh_tesh_in!W31/SER_summary!W$27)</f>
        <v>18.31033821893995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15.266326661600475</v>
      </c>
      <c r="D33" s="68">
        <f>IF(SER_hh_tesh_in!D33=0,0,SER_hh_tesh_in!D33/SER_summary!D$27)</f>
        <v>14.937153665949301</v>
      </c>
      <c r="E33" s="68">
        <f>IF(SER_hh_tesh_in!E33=0,0,SER_hh_tesh_in!E33/SER_summary!E$27)</f>
        <v>14.728672831173698</v>
      </c>
      <c r="F33" s="68">
        <f>IF(SER_hh_tesh_in!F33=0,0,SER_hh_tesh_in!F33/SER_summary!F$27)</f>
        <v>14.675659613453972</v>
      </c>
      <c r="G33" s="68">
        <f>IF(SER_hh_tesh_in!G33=0,0,SER_hh_tesh_in!G33/SER_summary!G$27)</f>
        <v>14.485431555410054</v>
      </c>
      <c r="H33" s="68">
        <f>IF(SER_hh_tesh_in!H33=0,0,SER_hh_tesh_in!H33/SER_summary!H$27)</f>
        <v>14.511281259609445</v>
      </c>
      <c r="I33" s="68">
        <f>IF(SER_hh_tesh_in!I33=0,0,SER_hh_tesh_in!I33/SER_summary!I$27)</f>
        <v>14.255850786391457</v>
      </c>
      <c r="J33" s="68">
        <f>IF(SER_hh_tesh_in!J33=0,0,SER_hh_tesh_in!J33/SER_summary!J$27)</f>
        <v>14.098089343561909</v>
      </c>
      <c r="K33" s="68">
        <f>IF(SER_hh_tesh_in!K33=0,0,SER_hh_tesh_in!K33/SER_summary!K$27)</f>
        <v>14.169730572737024</v>
      </c>
      <c r="L33" s="68">
        <f>IF(SER_hh_tesh_in!L33=0,0,SER_hh_tesh_in!L33/SER_summary!L$27)</f>
        <v>13.981932154317631</v>
      </c>
      <c r="M33" s="68">
        <f>IF(SER_hh_tesh_in!M33=0,0,SER_hh_tesh_in!M33/SER_summary!M$27)</f>
        <v>14.105979015935789</v>
      </c>
      <c r="N33" s="68">
        <f>IF(SER_hh_tesh_in!N33=0,0,SER_hh_tesh_in!N33/SER_summary!N$27)</f>
        <v>14.036316814469069</v>
      </c>
      <c r="O33" s="68">
        <f>IF(SER_hh_tesh_in!O33=0,0,SER_hh_tesh_in!O33/SER_summary!O$27)</f>
        <v>13.896903929719844</v>
      </c>
      <c r="P33" s="68">
        <f>IF(SER_hh_tesh_in!P33=0,0,SER_hh_tesh_in!P33/SER_summary!P$27)</f>
        <v>14.056803150273375</v>
      </c>
      <c r="Q33" s="68">
        <f>IF(SER_hh_tesh_in!Q33=0,0,SER_hh_tesh_in!Q33/SER_summary!Q$27)</f>
        <v>14.235779604703463</v>
      </c>
      <c r="R33" s="68">
        <f>IF(SER_hh_tesh_in!R33=0,0,SER_hh_tesh_in!R33/SER_summary!R$27)</f>
        <v>14.644086074302644</v>
      </c>
      <c r="S33" s="68">
        <f>IF(SER_hh_tesh_in!S33=0,0,SER_hh_tesh_in!S33/SER_summary!S$27)</f>
        <v>14.584954510006733</v>
      </c>
      <c r="T33" s="68">
        <f>IF(SER_hh_tesh_in!T33=0,0,SER_hh_tesh_in!T33/SER_summary!T$27)</f>
        <v>14.642280121736547</v>
      </c>
      <c r="U33" s="68">
        <f>IF(SER_hh_tesh_in!U33=0,0,SER_hh_tesh_in!U33/SER_summary!U$27)</f>
        <v>15.109015687361817</v>
      </c>
      <c r="V33" s="68">
        <f>IF(SER_hh_tesh_in!V33=0,0,SER_hh_tesh_in!V33/SER_summary!V$27)</f>
        <v>13.872869709373076</v>
      </c>
      <c r="W33" s="68">
        <f>IF(SER_hh_tesh_in!W33=0,0,SER_hh_tesh_in!W33/SER_summary!W$27)</f>
        <v>15.462909809602049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6.1354451724030463</v>
      </c>
      <c r="D3" s="126">
        <f>IF(SER_hh_emih_in!D3=0,0,SER_hh_emih_in!D3/SER_summary!D$27)</f>
        <v>7.5007402073436218</v>
      </c>
      <c r="E3" s="126">
        <f>IF(SER_hh_emih_in!E3=0,0,SER_hh_emih_in!E3/SER_summary!E$27)</f>
        <v>8.6638774369234373</v>
      </c>
      <c r="F3" s="126">
        <f>IF(SER_hh_emih_in!F3=0,0,SER_hh_emih_in!F3/SER_summary!F$27)</f>
        <v>8.5495859058088399</v>
      </c>
      <c r="G3" s="126">
        <f>IF(SER_hh_emih_in!G3=0,0,SER_hh_emih_in!G3/SER_summary!G$27)</f>
        <v>7.2327450967099525</v>
      </c>
      <c r="H3" s="126">
        <f>IF(SER_hh_emih_in!H3=0,0,SER_hh_emih_in!H3/SER_summary!H$27)</f>
        <v>4.7821795886299787</v>
      </c>
      <c r="I3" s="126">
        <f>IF(SER_hh_emih_in!I3=0,0,SER_hh_emih_in!I3/SER_summary!I$27)</f>
        <v>2.3157086625323133</v>
      </c>
      <c r="J3" s="126">
        <f>IF(SER_hh_emih_in!J3=0,0,SER_hh_emih_in!J3/SER_summary!J$27)</f>
        <v>3.0333031983840679</v>
      </c>
      <c r="K3" s="126">
        <f>IF(SER_hh_emih_in!K3=0,0,SER_hh_emih_in!K3/SER_summary!K$27)</f>
        <v>8.0876843009752157</v>
      </c>
      <c r="L3" s="126">
        <f>IF(SER_hh_emih_in!L3=0,0,SER_hh_emih_in!L3/SER_summary!L$27)</f>
        <v>13.285248596779425</v>
      </c>
      <c r="M3" s="126">
        <f>IF(SER_hh_emih_in!M3=0,0,SER_hh_emih_in!M3/SER_summary!M$27)</f>
        <v>10.466774857235782</v>
      </c>
      <c r="N3" s="126">
        <f>IF(SER_hh_emih_in!N3=0,0,SER_hh_emih_in!N3/SER_summary!N$27)</f>
        <v>9.7711968218639473</v>
      </c>
      <c r="O3" s="126">
        <f>IF(SER_hh_emih_in!O3=0,0,SER_hh_emih_in!O3/SER_summary!O$27)</f>
        <v>6.9209806758640768</v>
      </c>
      <c r="P3" s="126">
        <f>IF(SER_hh_emih_in!P3=0,0,SER_hh_emih_in!P3/SER_summary!P$27)</f>
        <v>3.9387339205915146</v>
      </c>
      <c r="Q3" s="126">
        <f>IF(SER_hh_emih_in!Q3=0,0,SER_hh_emih_in!Q3/SER_summary!Q$27)</f>
        <v>4.3928468177383788</v>
      </c>
      <c r="R3" s="126">
        <f>IF(SER_hh_emih_in!R3=0,0,SER_hh_emih_in!R3/SER_summary!R$27)</f>
        <v>5.0058474012891194</v>
      </c>
      <c r="S3" s="126">
        <f>IF(SER_hh_emih_in!S3=0,0,SER_hh_emih_in!S3/SER_summary!S$27)</f>
        <v>4.4142309494041276</v>
      </c>
      <c r="T3" s="126">
        <f>IF(SER_hh_emih_in!T3=0,0,SER_hh_emih_in!T3/SER_summary!T$27)</f>
        <v>3.8324288123313743</v>
      </c>
      <c r="U3" s="126">
        <f>IF(SER_hh_emih_in!U3=0,0,SER_hh_emih_in!U3/SER_summary!U$27)</f>
        <v>4.2267082054233729</v>
      </c>
      <c r="V3" s="126">
        <f>IF(SER_hh_emih_in!V3=0,0,SER_hh_emih_in!V3/SER_summary!V$27)</f>
        <v>3.5077015615119231</v>
      </c>
      <c r="W3" s="126">
        <f>IF(SER_hh_emih_in!W3=0,0,SER_hh_emih_in!W3/SER_summary!W$27)</f>
        <v>3.1181616191572625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5.1943170335201545</v>
      </c>
      <c r="D4" s="131">
        <f>IF(SER_hh_emih_in!D4=0,0,SER_hh_emih_in!D4/SER_summary!D$27)</f>
        <v>6.4221173445125306</v>
      </c>
      <c r="E4" s="131">
        <f>IF(SER_hh_emih_in!E4=0,0,SER_hh_emih_in!E4/SER_summary!E$27)</f>
        <v>7.6714911793379112</v>
      </c>
      <c r="F4" s="131">
        <f>IF(SER_hh_emih_in!F4=0,0,SER_hh_emih_in!F4/SER_summary!F$27)</f>
        <v>7.6852659579013736</v>
      </c>
      <c r="G4" s="131">
        <f>IF(SER_hh_emih_in!G4=0,0,SER_hh_emih_in!G4/SER_summary!G$27)</f>
        <v>6.4258247010642222</v>
      </c>
      <c r="H4" s="131">
        <f>IF(SER_hh_emih_in!H4=0,0,SER_hh_emih_in!H4/SER_summary!H$27)</f>
        <v>3.9964412564901663</v>
      </c>
      <c r="I4" s="131">
        <f>IF(SER_hh_emih_in!I4=0,0,SER_hh_emih_in!I4/SER_summary!I$27)</f>
        <v>1.5744806946153596</v>
      </c>
      <c r="J4" s="131">
        <f>IF(SER_hh_emih_in!J4=0,0,SER_hh_emih_in!J4/SER_summary!J$27)</f>
        <v>2.1974074151454528</v>
      </c>
      <c r="K4" s="131">
        <f>IF(SER_hh_emih_in!K4=0,0,SER_hh_emih_in!K4/SER_summary!K$27)</f>
        <v>7.225103928947771</v>
      </c>
      <c r="L4" s="131">
        <f>IF(SER_hh_emih_in!L4=0,0,SER_hh_emih_in!L4/SER_summary!L$27)</f>
        <v>12.328372441177057</v>
      </c>
      <c r="M4" s="131">
        <f>IF(SER_hh_emih_in!M4=0,0,SER_hh_emih_in!M4/SER_summary!M$27)</f>
        <v>9.6622165772925772</v>
      </c>
      <c r="N4" s="131">
        <f>IF(SER_hh_emih_in!N4=0,0,SER_hh_emih_in!N4/SER_summary!N$27)</f>
        <v>9.1123713270163069</v>
      </c>
      <c r="O4" s="131">
        <f>IF(SER_hh_emih_in!O4=0,0,SER_hh_emih_in!O4/SER_summary!O$27)</f>
        <v>6.3338214885173088</v>
      </c>
      <c r="P4" s="131">
        <f>IF(SER_hh_emih_in!P4=0,0,SER_hh_emih_in!P4/SER_summary!P$27)</f>
        <v>3.5937359890616687</v>
      </c>
      <c r="Q4" s="131">
        <f>IF(SER_hh_emih_in!Q4=0,0,SER_hh_emih_in!Q4/SER_summary!Q$27)</f>
        <v>3.9797733566158784</v>
      </c>
      <c r="R4" s="131">
        <f>IF(SER_hh_emih_in!R4=0,0,SER_hh_emih_in!R4/SER_summary!R$27)</f>
        <v>4.6556431281867283</v>
      </c>
      <c r="S4" s="131">
        <f>IF(SER_hh_emih_in!S4=0,0,SER_hh_emih_in!S4/SER_summary!S$27)</f>
        <v>4.2262257539939583</v>
      </c>
      <c r="T4" s="131">
        <f>IF(SER_hh_emih_in!T4=0,0,SER_hh_emih_in!T4/SER_summary!T$27)</f>
        <v>3.7042965741940508</v>
      </c>
      <c r="U4" s="131">
        <f>IF(SER_hh_emih_in!U4=0,0,SER_hh_emih_in!U4/SER_summary!U$27)</f>
        <v>3.943661771221521</v>
      </c>
      <c r="V4" s="131">
        <f>IF(SER_hh_emih_in!V4=0,0,SER_hh_emih_in!V4/SER_summary!V$27)</f>
        <v>3.138112323004993</v>
      </c>
      <c r="W4" s="131">
        <f>IF(SER_hh_emih_in!W4=0,0,SER_hh_emih_in!W4/SER_summary!W$27)</f>
        <v>2.5900424839766383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83.491940333634062</v>
      </c>
      <c r="D5" s="133">
        <f>IF(SER_hh_emih_in!D5=0,0,SER_hh_emih_in!D5/SER_summary!D$27)</f>
        <v>83.396474132761398</v>
      </c>
      <c r="E5" s="133">
        <f>IF(SER_hh_emih_in!E5=0,0,SER_hh_emih_in!E5/SER_summary!E$27)</f>
        <v>83.186727245136481</v>
      </c>
      <c r="F5" s="133">
        <f>IF(SER_hh_emih_in!F5=0,0,SER_hh_emih_in!F5/SER_summary!F$27)</f>
        <v>78.03854143128504</v>
      </c>
      <c r="G5" s="133">
        <f>IF(SER_hh_emih_in!G5=0,0,SER_hh_emih_in!G5/SER_summary!G$27)</f>
        <v>75.163267188853354</v>
      </c>
      <c r="H5" s="133">
        <f>IF(SER_hh_emih_in!H5=0,0,SER_hh_emih_in!H5/SER_summary!H$27)</f>
        <v>77.491916436131248</v>
      </c>
      <c r="I5" s="133">
        <f>IF(SER_hh_emih_in!I5=0,0,SER_hh_emih_in!I5/SER_summary!I$27)</f>
        <v>63.852021229061606</v>
      </c>
      <c r="J5" s="133">
        <f>IF(SER_hh_emih_in!J5=0,0,SER_hh_emih_in!J5/SER_summary!J$27)</f>
        <v>75.142465166477905</v>
      </c>
      <c r="K5" s="133">
        <f>IF(SER_hh_emih_in!K5=0,0,SER_hh_emih_in!K5/SER_summary!K$27)</f>
        <v>80.130569260576223</v>
      </c>
      <c r="L5" s="133">
        <f>IF(SER_hh_emih_in!L5=0,0,SER_hh_emih_in!L5/SER_summary!L$27)</f>
        <v>84.378598945238977</v>
      </c>
      <c r="M5" s="133">
        <f>IF(SER_hh_emih_in!M5=0,0,SER_hh_emih_in!M5/SER_summary!M$27)</f>
        <v>66.695920034645638</v>
      </c>
      <c r="N5" s="133">
        <f>IF(SER_hh_emih_in!N5=0,0,SER_hh_emih_in!N5/SER_summary!N$27)</f>
        <v>74.717545593644815</v>
      </c>
      <c r="O5" s="133">
        <f>IF(SER_hh_emih_in!O5=0,0,SER_hh_emih_in!O5/SER_summary!O$27)</f>
        <v>65.517990384024543</v>
      </c>
      <c r="P5" s="133">
        <f>IF(SER_hh_emih_in!P5=0,0,SER_hh_emih_in!P5/SER_summary!P$27)</f>
        <v>64.112761828051475</v>
      </c>
      <c r="Q5" s="133">
        <f>IF(SER_hh_emih_in!Q5=0,0,SER_hh_emih_in!Q5/SER_summary!Q$27)</f>
        <v>54.848028537511176</v>
      </c>
      <c r="R5" s="133">
        <f>IF(SER_hh_emih_in!R5=0,0,SER_hh_emih_in!R5/SER_summary!R$27)</f>
        <v>56.375329501311789</v>
      </c>
      <c r="S5" s="133">
        <f>IF(SER_hh_emih_in!S5=0,0,SER_hh_emih_in!S5/SER_summary!S$27)</f>
        <v>51.582513621871577</v>
      </c>
      <c r="T5" s="133">
        <f>IF(SER_hh_emih_in!T5=0,0,SER_hh_emih_in!T5/SER_summary!T$27)</f>
        <v>47.995074276497668</v>
      </c>
      <c r="U5" s="133">
        <f>IF(SER_hh_emih_in!U5=0,0,SER_hh_emih_in!U5/SER_summary!U$27)</f>
        <v>44.641883901566395</v>
      </c>
      <c r="V5" s="133">
        <f>IF(SER_hh_emih_in!V5=0,0,SER_hh_emih_in!V5/SER_summary!V$27)</f>
        <v>36.252075383823517</v>
      </c>
      <c r="W5" s="133">
        <f>IF(SER_hh_emih_in!W5=0,0,SER_hh_emih_in!W5/SER_summary!W$27)</f>
        <v>32.294581414502595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68.753775171317301</v>
      </c>
      <c r="D7" s="133">
        <f>IF(SER_hh_emih_in!D7=0,0,SER_hh_emih_in!D7/SER_summary!D$27)</f>
        <v>68.077784325837214</v>
      </c>
      <c r="E7" s="133">
        <f>IF(SER_hh_emih_in!E7=0,0,SER_hh_emih_in!E7/SER_summary!E$27)</f>
        <v>66.979971286731868</v>
      </c>
      <c r="F7" s="133">
        <f>IF(SER_hh_emih_in!F7=0,0,SER_hh_emih_in!F7/SER_summary!F$27)</f>
        <v>64.34676839757563</v>
      </c>
      <c r="G7" s="133">
        <f>IF(SER_hh_emih_in!G7=0,0,SER_hh_emih_in!G7/SER_summary!G$27)</f>
        <v>61.009211408808056</v>
      </c>
      <c r="H7" s="133">
        <f>IF(SER_hh_emih_in!H7=0,0,SER_hh_emih_in!H7/SER_summary!H$27)</f>
        <v>61.786895303949521</v>
      </c>
      <c r="I7" s="133">
        <f>IF(SER_hh_emih_in!I7=0,0,SER_hh_emih_in!I7/SER_summary!I$27)</f>
        <v>62.041901113265759</v>
      </c>
      <c r="J7" s="133">
        <f>IF(SER_hh_emih_in!J7=0,0,SER_hh_emih_in!J7/SER_summary!J$27)</f>
        <v>52.827966542088419</v>
      </c>
      <c r="K7" s="133">
        <f>IF(SER_hh_emih_in!K7=0,0,SER_hh_emih_in!K7/SER_summary!K$27)</f>
        <v>58.257775478089798</v>
      </c>
      <c r="L7" s="133">
        <f>IF(SER_hh_emih_in!L7=0,0,SER_hh_emih_in!L7/SER_summary!L$27)</f>
        <v>65.561176176426287</v>
      </c>
      <c r="M7" s="133">
        <f>IF(SER_hh_emih_in!M7=0,0,SER_hh_emih_in!M7/SER_summary!M$27)</f>
        <v>51.826494571814855</v>
      </c>
      <c r="N7" s="133">
        <f>IF(SER_hh_emih_in!N7=0,0,SER_hh_emih_in!N7/SER_summary!N$27)</f>
        <v>54.624274287146505</v>
      </c>
      <c r="O7" s="133">
        <f>IF(SER_hh_emih_in!O7=0,0,SER_hh_emih_in!O7/SER_summary!O$27)</f>
        <v>46.542616482878749</v>
      </c>
      <c r="P7" s="133">
        <f>IF(SER_hh_emih_in!P7=0,0,SER_hh_emih_in!P7/SER_summary!P$27)</f>
        <v>42.883067603596515</v>
      </c>
      <c r="Q7" s="133">
        <f>IF(SER_hh_emih_in!Q7=0,0,SER_hh_emih_in!Q7/SER_summary!Q$27)</f>
        <v>36.031123002050656</v>
      </c>
      <c r="R7" s="133">
        <f>IF(SER_hh_emih_in!R7=0,0,SER_hh_emih_in!R7/SER_summary!R$27)</f>
        <v>37.052904693574227</v>
      </c>
      <c r="S7" s="133">
        <f>IF(SER_hh_emih_in!S7=0,0,SER_hh_emih_in!S7/SER_summary!S$27)</f>
        <v>34.132898665550776</v>
      </c>
      <c r="T7" s="133">
        <f>IF(SER_hh_emih_in!T7=0,0,SER_hh_emih_in!T7/SER_summary!T$27)</f>
        <v>31.682322807898988</v>
      </c>
      <c r="U7" s="133">
        <f>IF(SER_hh_emih_in!U7=0,0,SER_hh_emih_in!U7/SER_summary!U$27)</f>
        <v>28.624379699343464</v>
      </c>
      <c r="V7" s="133">
        <f>IF(SER_hh_emih_in!V7=0,0,SER_hh_emih_in!V7/SER_summary!V$27)</f>
        <v>23.270749234563223</v>
      </c>
      <c r="W7" s="133">
        <f>IF(SER_hh_emih_in!W7=0,0,SER_hh_emih_in!W7/SER_summary!W$27)</f>
        <v>21.561656806270111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34.214351271048329</v>
      </c>
      <c r="D9" s="133">
        <f>IF(SER_hh_emih_in!D9=0,0,SER_hh_emih_in!D9/SER_summary!D$27)</f>
        <v>35.674513599789471</v>
      </c>
      <c r="E9" s="133">
        <f>IF(SER_hh_emih_in!E9=0,0,SER_hh_emih_in!E9/SER_summary!E$27)</f>
        <v>32.472281268493255</v>
      </c>
      <c r="F9" s="133">
        <f>IF(SER_hh_emih_in!F9=0,0,SER_hh_emih_in!F9/SER_summary!F$27)</f>
        <v>31.551584072872789</v>
      </c>
      <c r="G9" s="133">
        <f>IF(SER_hh_emih_in!G9=0,0,SER_hh_emih_in!G9/SER_summary!G$27)</f>
        <v>30.550817462780756</v>
      </c>
      <c r="H9" s="133">
        <f>IF(SER_hh_emih_in!H9=0,0,SER_hh_emih_in!H9/SER_summary!H$27)</f>
        <v>29.215003803361359</v>
      </c>
      <c r="I9" s="133">
        <f>IF(SER_hh_emih_in!I9=0,0,SER_hh_emih_in!I9/SER_summary!I$27)</f>
        <v>28.514027544459942</v>
      </c>
      <c r="J9" s="133">
        <f>IF(SER_hh_emih_in!J9=0,0,SER_hh_emih_in!J9/SER_summary!J$27)</f>
        <v>27.795605831464908</v>
      </c>
      <c r="K9" s="133">
        <f>IF(SER_hh_emih_in!K9=0,0,SER_hh_emih_in!K9/SER_summary!K$27)</f>
        <v>27.228201436628442</v>
      </c>
      <c r="L9" s="133">
        <f>IF(SER_hh_emih_in!L9=0,0,SER_hh_emih_in!L9/SER_summary!L$27)</f>
        <v>29.122567321667976</v>
      </c>
      <c r="M9" s="133">
        <f>IF(SER_hh_emih_in!M9=0,0,SER_hh_emih_in!M9/SER_summary!M$27)</f>
        <v>35.503083596957588</v>
      </c>
      <c r="N9" s="133">
        <f>IF(SER_hh_emih_in!N9=0,0,SER_hh_emih_in!N9/SER_summary!N$27)</f>
        <v>30.736898072236549</v>
      </c>
      <c r="O9" s="133">
        <f>IF(SER_hh_emih_in!O9=0,0,SER_hh_emih_in!O9/SER_summary!O$27)</f>
        <v>27.997582479891015</v>
      </c>
      <c r="P9" s="133">
        <f>IF(SER_hh_emih_in!P9=0,0,SER_hh_emih_in!P9/SER_summary!P$27)</f>
        <v>21.446841969710864</v>
      </c>
      <c r="Q9" s="133">
        <f>IF(SER_hh_emih_in!Q9=0,0,SER_hh_emih_in!Q9/SER_summary!Q$27)</f>
        <v>18.55776019083083</v>
      </c>
      <c r="R9" s="133">
        <f>IF(SER_hh_emih_in!R9=0,0,SER_hh_emih_in!R9/SER_summary!R$27)</f>
        <v>17.64703510249004</v>
      </c>
      <c r="S9" s="133">
        <f>IF(SER_hh_emih_in!S9=0,0,SER_hh_emih_in!S9/SER_summary!S$27)</f>
        <v>16.534722750027459</v>
      </c>
      <c r="T9" s="133">
        <f>IF(SER_hh_emih_in!T9=0,0,SER_hh_emih_in!T9/SER_summary!T$27)</f>
        <v>14.029889514247877</v>
      </c>
      <c r="U9" s="133">
        <f>IF(SER_hh_emih_in!U9=0,0,SER_hh_emih_in!U9/SER_summary!U$27)</f>
        <v>13.492759193717713</v>
      </c>
      <c r="V9" s="133">
        <f>IF(SER_hh_emih_in!V9=0,0,SER_hh_emih_in!V9/SER_summary!V$27)</f>
        <v>10.559906066499666</v>
      </c>
      <c r="W9" s="133">
        <f>IF(SER_hh_emih_in!W9=0,0,SER_hh_emih_in!W9/SER_summary!W$27)</f>
        <v>10.325762093612186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5.9374061745922031</v>
      </c>
      <c r="K10" s="133">
        <f>IF(SER_hh_emih_in!K10=0,0,SER_hh_emih_in!K10/SER_summary!K$27)</f>
        <v>2.1683315467153048</v>
      </c>
      <c r="L10" s="133">
        <f>IF(SER_hh_emih_in!L10=0,0,SER_hh_emih_in!L10/SER_summary!L$27)</f>
        <v>2.6510087257531629</v>
      </c>
      <c r="M10" s="133">
        <f>IF(SER_hh_emih_in!M10=0,0,SER_hh_emih_in!M10/SER_summary!M$27)</f>
        <v>2.8115405725099727</v>
      </c>
      <c r="N10" s="133">
        <f>IF(SER_hh_emih_in!N10=0,0,SER_hh_emih_in!N10/SER_summary!N$27)</f>
        <v>2.0974649993941621</v>
      </c>
      <c r="O10" s="133">
        <f>IF(SER_hh_emih_in!O10=0,0,SER_hh_emih_in!O10/SER_summary!O$27)</f>
        <v>0.60198656188142596</v>
      </c>
      <c r="P10" s="133">
        <f>IF(SER_hh_emih_in!P10=0,0,SER_hh_emih_in!P10/SER_summary!P$27)</f>
        <v>1.3184779004453915</v>
      </c>
      <c r="Q10" s="133">
        <f>IF(SER_hh_emih_in!Q10=0,0,SER_hh_emih_in!Q10/SER_summary!Q$27)</f>
        <v>1.3004879786000081</v>
      </c>
      <c r="R10" s="133">
        <f>IF(SER_hh_emih_in!R10=0,0,SER_hh_emih_in!R10/SER_summary!R$27)</f>
        <v>1.3697671737464756</v>
      </c>
      <c r="S10" s="133">
        <f>IF(SER_hh_emih_in!S10=0,0,SER_hh_emih_in!S10/SER_summary!S$27)</f>
        <v>1.1783880502185617</v>
      </c>
      <c r="T10" s="133">
        <f>IF(SER_hh_emih_in!T10=0,0,SER_hh_emih_in!T10/SER_summary!T$27)</f>
        <v>1.327954792924642</v>
      </c>
      <c r="U10" s="133">
        <f>IF(SER_hh_emih_in!U10=0,0,SER_hh_emih_in!U10/SER_summary!U$27)</f>
        <v>0.88668920472240376</v>
      </c>
      <c r="V10" s="133">
        <f>IF(SER_hh_emih_in!V10=0,0,SER_hh_emih_in!V10/SER_summary!V$27)</f>
        <v>0.98811875709499675</v>
      </c>
      <c r="W10" s="133">
        <f>IF(SER_hh_emih_in!W10=0,0,SER_hh_emih_in!W10/SER_summary!W$27)</f>
        <v>0.96959744298328832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0.83344717113115374</v>
      </c>
      <c r="D19" s="131">
        <f>IF(SER_hh_emih_in!D19=0,0,SER_hh_emih_in!D19/SER_summary!D$27)</f>
        <v>0.96303067820158195</v>
      </c>
      <c r="E19" s="131">
        <f>IF(SER_hh_emih_in!E19=0,0,SER_hh_emih_in!E19/SER_summary!E$27)</f>
        <v>0.88509759493457507</v>
      </c>
      <c r="F19" s="131">
        <f>IF(SER_hh_emih_in!F19=0,0,SER_hh_emih_in!F19/SER_summary!F$27)</f>
        <v>0.7718407941548211</v>
      </c>
      <c r="G19" s="131">
        <f>IF(SER_hh_emih_in!G19=0,0,SER_hh_emih_in!G19/SER_summary!G$27)</f>
        <v>0.71729274519440345</v>
      </c>
      <c r="H19" s="131">
        <f>IF(SER_hh_emih_in!H19=0,0,SER_hh_emih_in!H19/SER_summary!H$27)</f>
        <v>0.70589576918070329</v>
      </c>
      <c r="I19" s="131">
        <f>IF(SER_hh_emih_in!I19=0,0,SER_hh_emih_in!I19/SER_summary!I$27)</f>
        <v>0.66926382692672404</v>
      </c>
      <c r="J19" s="131">
        <f>IF(SER_hh_emih_in!J19=0,0,SER_hh_emih_in!J19/SER_summary!J$27)</f>
        <v>0.7697456653009932</v>
      </c>
      <c r="K19" s="131">
        <f>IF(SER_hh_emih_in!K19=0,0,SER_hh_emih_in!K19/SER_summary!K$27)</f>
        <v>0.81057747226994947</v>
      </c>
      <c r="L19" s="131">
        <f>IF(SER_hh_emih_in!L19=0,0,SER_hh_emih_in!L19/SER_summary!L$27)</f>
        <v>0.91370436068021277</v>
      </c>
      <c r="M19" s="131">
        <f>IF(SER_hh_emih_in!M19=0,0,SER_hh_emih_in!M19/SER_summary!M$27)</f>
        <v>0.78207358399019067</v>
      </c>
      <c r="N19" s="131">
        <f>IF(SER_hh_emih_in!N19=0,0,SER_hh_emih_in!N19/SER_summary!N$27)</f>
        <v>0.61196402468953015</v>
      </c>
      <c r="O19" s="131">
        <f>IF(SER_hh_emih_in!O19=0,0,SER_hh_emih_in!O19/SER_summary!O$27)</f>
        <v>0.51910414308733299</v>
      </c>
      <c r="P19" s="131">
        <f>IF(SER_hh_emih_in!P19=0,0,SER_hh_emih_in!P19/SER_summary!P$27)</f>
        <v>0.28890705784730641</v>
      </c>
      <c r="Q19" s="131">
        <f>IF(SER_hh_emih_in!Q19=0,0,SER_hh_emih_in!Q19/SER_summary!Q$27)</f>
        <v>0.35267399424478069</v>
      </c>
      <c r="R19" s="131">
        <f>IF(SER_hh_emih_in!R19=0,0,SER_hh_emih_in!R19/SER_summary!R$27)</f>
        <v>0.29874777669025021</v>
      </c>
      <c r="S19" s="131">
        <f>IF(SER_hh_emih_in!S19=0,0,SER_hh_emih_in!S19/SER_summary!S$27)</f>
        <v>0.13509971427238471</v>
      </c>
      <c r="T19" s="131">
        <f>IF(SER_hh_emih_in!T19=0,0,SER_hh_emih_in!T19/SER_summary!T$27)</f>
        <v>0.10403931067450659</v>
      </c>
      <c r="U19" s="131">
        <f>IF(SER_hh_emih_in!U19=0,0,SER_hh_emih_in!U19/SER_summary!U$27)</f>
        <v>0.24736236895501901</v>
      </c>
      <c r="V19" s="131">
        <f>IF(SER_hh_emih_in!V19=0,0,SER_hh_emih_in!V19/SER_summary!V$27)</f>
        <v>0.32651949632596039</v>
      </c>
      <c r="W19" s="131">
        <f>IF(SER_hh_emih_in!W19=0,0,SER_hh_emih_in!W19/SER_summary!W$27)</f>
        <v>0.49204755687481483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8.5077300055585461</v>
      </c>
      <c r="D22" s="133">
        <f>IF(SER_hh_emih_in!D22=0,0,SER_hh_emih_in!D22/SER_summary!D$27)</f>
        <v>8.5540866582380808</v>
      </c>
      <c r="E22" s="133">
        <f>IF(SER_hh_emih_in!E22=0,0,SER_hh_emih_in!E22/SER_summary!E$27)</f>
        <v>8.4951298430797237</v>
      </c>
      <c r="F22" s="133">
        <f>IF(SER_hh_emih_in!F22=0,0,SER_hh_emih_in!F22/SER_summary!F$27)</f>
        <v>8.369352373613447</v>
      </c>
      <c r="G22" s="133">
        <f>IF(SER_hh_emih_in!G22=0,0,SER_hh_emih_in!G22/SER_summary!G$27)</f>
        <v>8.2289004992212558</v>
      </c>
      <c r="H22" s="133">
        <f>IF(SER_hh_emih_in!H22=0,0,SER_hh_emih_in!H22/SER_summary!H$27)</f>
        <v>8.2429637444142561</v>
      </c>
      <c r="I22" s="133">
        <f>IF(SER_hh_emih_in!I22=0,0,SER_hh_emih_in!I22/SER_summary!I$27)</f>
        <v>8.1212017688504368</v>
      </c>
      <c r="J22" s="133">
        <f>IF(SER_hh_emih_in!J22=0,0,SER_hh_emih_in!J22/SER_summary!J$27)</f>
        <v>7.9442265344778518</v>
      </c>
      <c r="K22" s="133">
        <f>IF(SER_hh_emih_in!K22=0,0,SER_hh_emih_in!K22/SER_summary!K$27)</f>
        <v>7.6413356843348836</v>
      </c>
      <c r="L22" s="133">
        <f>IF(SER_hh_emih_in!L22=0,0,SER_hh_emih_in!L22/SER_summary!L$27)</f>
        <v>7.8896592131022416</v>
      </c>
      <c r="M22" s="133">
        <f>IF(SER_hh_emih_in!M22=0,0,SER_hh_emih_in!M22/SER_summary!M$27)</f>
        <v>7.6790488061749897</v>
      </c>
      <c r="N22" s="133">
        <f>IF(SER_hh_emih_in!N22=0,0,SER_hh_emih_in!N22/SER_summary!N$27)</f>
        <v>7.3744290104000703</v>
      </c>
      <c r="O22" s="133">
        <f>IF(SER_hh_emih_in!O22=0,0,SER_hh_emih_in!O22/SER_summary!O$27)</f>
        <v>7.1125094185673268</v>
      </c>
      <c r="P22" s="133">
        <f>IF(SER_hh_emih_in!P22=0,0,SER_hh_emih_in!P22/SER_summary!P$27)</f>
        <v>6.574450309015428</v>
      </c>
      <c r="Q22" s="133">
        <f>IF(SER_hh_emih_in!Q22=0,0,SER_hh_emih_in!Q22/SER_summary!Q$27)</f>
        <v>6.3166795142231935</v>
      </c>
      <c r="R22" s="133">
        <f>IF(SER_hh_emih_in!R22=0,0,SER_hh_emih_in!R22/SER_summary!R$27)</f>
        <v>6.3973182966022311</v>
      </c>
      <c r="S22" s="133">
        <f>IF(SER_hh_emih_in!S22=0,0,SER_hh_emih_in!S22/SER_summary!S$27)</f>
        <v>5.8668550474801551</v>
      </c>
      <c r="T22" s="133">
        <f>IF(SER_hh_emih_in!T22=0,0,SER_hh_emih_in!T22/SER_summary!T$27)</f>
        <v>5.3859431659675332</v>
      </c>
      <c r="U22" s="133">
        <f>IF(SER_hh_emih_in!U22=0,0,SER_hh_emih_in!U22/SER_summary!U$27)</f>
        <v>5.3418126215880601</v>
      </c>
      <c r="V22" s="133">
        <f>IF(SER_hh_emih_in!V22=0,0,SER_hh_emih_in!V22/SER_summary!V$27)</f>
        <v>4.8036755758808276</v>
      </c>
      <c r="W22" s="133">
        <f>IF(SER_hh_emih_in!W22=0,0,SER_hh_emih_in!W22/SER_summary!W$27)</f>
        <v>5.2894906914392594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4.7315571819520743</v>
      </c>
      <c r="D23" s="133">
        <f>IF(SER_hh_emih_in!D23=0,0,SER_hh_emih_in!D23/SER_summary!D$27)</f>
        <v>4.4850346251305027</v>
      </c>
      <c r="E23" s="133">
        <f>IF(SER_hh_emih_in!E23=0,0,SER_hh_emih_in!E23/SER_summary!E$27)</f>
        <v>4.2269136787246788</v>
      </c>
      <c r="F23" s="133">
        <f>IF(SER_hh_emih_in!F23=0,0,SER_hh_emih_in!F23/SER_summary!F$27)</f>
        <v>4.0485798338334451</v>
      </c>
      <c r="G23" s="133">
        <f>IF(SER_hh_emih_in!G23=0,0,SER_hh_emih_in!G23/SER_summary!G$27)</f>
        <v>4.1221886507573426</v>
      </c>
      <c r="H23" s="133">
        <f>IF(SER_hh_emih_in!H23=0,0,SER_hh_emih_in!H23/SER_summary!H$27)</f>
        <v>3.9814448596968801</v>
      </c>
      <c r="I23" s="133">
        <f>IF(SER_hh_emih_in!I23=0,0,SER_hh_emih_in!I23/SER_summary!I$27)</f>
        <v>3.8715429177883389</v>
      </c>
      <c r="J23" s="133">
        <f>IF(SER_hh_emih_in!J23=0,0,SER_hh_emih_in!J23/SER_summary!J$27)</f>
        <v>3.8197971744835972</v>
      </c>
      <c r="K23" s="133">
        <f>IF(SER_hh_emih_in!K23=0,0,SER_hh_emih_in!K23/SER_summary!K$27)</f>
        <v>3.7842040097278566</v>
      </c>
      <c r="L23" s="133">
        <f>IF(SER_hh_emih_in!L23=0,0,SER_hh_emih_in!L23/SER_summary!L$27)</f>
        <v>3.7796249959154604</v>
      </c>
      <c r="M23" s="133">
        <f>IF(SER_hh_emih_in!M23=0,0,SER_hh_emih_in!M23/SER_summary!M$27)</f>
        <v>3.6753512537146791</v>
      </c>
      <c r="N23" s="133">
        <f>IF(SER_hh_emih_in!N23=0,0,SER_hh_emih_in!N23/SER_summary!N$27)</f>
        <v>3.0107861746852969</v>
      </c>
      <c r="O23" s="133">
        <f>IF(SER_hh_emih_in!O23=0,0,SER_hh_emih_in!O23/SER_summary!O$27)</f>
        <v>3.396915318143543</v>
      </c>
      <c r="P23" s="133">
        <f>IF(SER_hh_emih_in!P23=0,0,SER_hh_emih_in!P23/SER_summary!P$27)</f>
        <v>3.050860500617226</v>
      </c>
      <c r="Q23" s="133">
        <f>IF(SER_hh_emih_in!Q23=0,0,SER_hh_emih_in!Q23/SER_summary!Q$27)</f>
        <v>3.0680290455929096</v>
      </c>
      <c r="R23" s="133">
        <f>IF(SER_hh_emih_in!R23=0,0,SER_hh_emih_in!R23/SER_summary!R$27)</f>
        <v>2.999021078796976</v>
      </c>
      <c r="S23" s="133">
        <f>IF(SER_hh_emih_in!S23=0,0,SER_hh_emih_in!S23/SER_summary!S$27)</f>
        <v>2.7781523483753059</v>
      </c>
      <c r="T23" s="133">
        <f>IF(SER_hh_emih_in!T23=0,0,SER_hh_emih_in!T23/SER_summary!T$27)</f>
        <v>2.3451527061884123</v>
      </c>
      <c r="U23" s="133">
        <f>IF(SER_hh_emih_in!U23=0,0,SER_hh_emih_in!U23/SER_summary!U$27)</f>
        <v>2.3780836241439176</v>
      </c>
      <c r="V23" s="133">
        <f>IF(SER_hh_emih_in!V23=0,0,SER_hh_emih_in!V23/SER_summary!V$27)</f>
        <v>2.1622594856243396</v>
      </c>
      <c r="W23" s="133">
        <f>IF(SER_hh_emih_in!W23=0,0,SER_hh_emih_in!W23/SER_summary!W$27)</f>
        <v>2.5713555897827005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0.6450044910024767</v>
      </c>
      <c r="K24" s="133">
        <f>IF(SER_hh_emih_in!K24=0,0,SER_hh_emih_in!K24/SER_summary!K$27)</f>
        <v>0.20969315126684598</v>
      </c>
      <c r="L24" s="133">
        <f>IF(SER_hh_emih_in!L24=0,0,SER_hh_emih_in!L24/SER_summary!L$27)</f>
        <v>0.23828298790725475</v>
      </c>
      <c r="M24" s="133">
        <f>IF(SER_hh_emih_in!M24=0,0,SER_hh_emih_in!M24/SER_summary!M$27)</f>
        <v>0.30492219641761359</v>
      </c>
      <c r="N24" s="133">
        <f>IF(SER_hh_emih_in!N24=0,0,SER_hh_emih_in!N24/SER_summary!N$27)</f>
        <v>0.2088685057439516</v>
      </c>
      <c r="O24" s="133">
        <f>IF(SER_hh_emih_in!O24=0,0,SER_hh_emih_in!O24/SER_summary!O$27)</f>
        <v>6.5783853405897486E-2</v>
      </c>
      <c r="P24" s="133">
        <f>IF(SER_hh_emih_in!P24=0,0,SER_hh_emih_in!P24/SER_summary!P$27)</f>
        <v>0.14268997319311541</v>
      </c>
      <c r="Q24" s="133">
        <f>IF(SER_hh_emih_in!Q24=0,0,SER_hh_emih_in!Q24/SER_summary!Q$27)</f>
        <v>0.15589171645684397</v>
      </c>
      <c r="R24" s="133">
        <f>IF(SER_hh_emih_in!R24=0,0,SER_hh_emih_in!R24/SER_summary!R$27)</f>
        <v>0.1684174605349158</v>
      </c>
      <c r="S24" s="133">
        <f>IF(SER_hh_emih_in!S24=0,0,SER_hh_emih_in!S24/SER_summary!S$27)</f>
        <v>0.14597915880803614</v>
      </c>
      <c r="T24" s="133">
        <f>IF(SER_hh_emih_in!T24=0,0,SER_hh_emih_in!T24/SER_summary!T$27)</f>
        <v>0.16849846602189542</v>
      </c>
      <c r="U24" s="133">
        <f>IF(SER_hh_emih_in!U24=0,0,SER_hh_emih_in!U24/SER_summary!U$27)</f>
        <v>0.12164492101950899</v>
      </c>
      <c r="V24" s="133">
        <f>IF(SER_hh_emih_in!V24=0,0,SER_hh_emih_in!V24/SER_summary!V$27)</f>
        <v>0.14435849881072155</v>
      </c>
      <c r="W24" s="133">
        <f>IF(SER_hh_emih_in!W24=0,0,SER_hh_emih_in!W24/SER_summary!W$27)</f>
        <v>0.1712062106452899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0.1076809677517381</v>
      </c>
      <c r="D29" s="131">
        <f>IF(SER_hh_emih_in!D29=0,0,SER_hh_emih_in!D29/SER_summary!D$27)</f>
        <v>0.11559218462950926</v>
      </c>
      <c r="E29" s="131">
        <f>IF(SER_hh_emih_in!E29=0,0,SER_hh_emih_in!E29/SER_summary!E$27)</f>
        <v>0.10728866265095116</v>
      </c>
      <c r="F29" s="131">
        <f>IF(SER_hh_emih_in!F29=0,0,SER_hh_emih_in!F29/SER_summary!F$27)</f>
        <v>9.2479153752645982E-2</v>
      </c>
      <c r="G29" s="131">
        <f>IF(SER_hh_emih_in!G29=0,0,SER_hh_emih_in!G29/SER_summary!G$27)</f>
        <v>8.9627650451325994E-2</v>
      </c>
      <c r="H29" s="131">
        <f>IF(SER_hh_emih_in!H29=0,0,SER_hh_emih_in!H29/SER_summary!H$27)</f>
        <v>7.9842562959109478E-2</v>
      </c>
      <c r="I29" s="131">
        <f>IF(SER_hh_emih_in!I29=0,0,SER_hh_emih_in!I29/SER_summary!I$27)</f>
        <v>7.1964140990229949E-2</v>
      </c>
      <c r="J29" s="131">
        <f>IF(SER_hh_emih_in!J29=0,0,SER_hh_emih_in!J29/SER_summary!J$27)</f>
        <v>6.6150117937622266E-2</v>
      </c>
      <c r="K29" s="131">
        <f>IF(SER_hh_emih_in!K29=0,0,SER_hh_emih_in!K29/SER_summary!K$27)</f>
        <v>5.2002899757496772E-2</v>
      </c>
      <c r="L29" s="131">
        <f>IF(SER_hh_emih_in!L29=0,0,SER_hh_emih_in!L29/SER_summary!L$27)</f>
        <v>4.3171794922152736E-2</v>
      </c>
      <c r="M29" s="131">
        <f>IF(SER_hh_emih_in!M29=0,0,SER_hh_emih_in!M29/SER_summary!M$27)</f>
        <v>2.2484695953013559E-2</v>
      </c>
      <c r="N29" s="131">
        <f>IF(SER_hh_emih_in!N29=0,0,SER_hh_emih_in!N29/SER_summary!N$27)</f>
        <v>4.6861470158110576E-2</v>
      </c>
      <c r="O29" s="131">
        <f>IF(SER_hh_emih_in!O29=0,0,SER_hh_emih_in!O29/SER_summary!O$27)</f>
        <v>6.8055044259436592E-2</v>
      </c>
      <c r="P29" s="131">
        <f>IF(SER_hh_emih_in!P29=0,0,SER_hh_emih_in!P29/SER_summary!P$27)</f>
        <v>5.6090873682539462E-2</v>
      </c>
      <c r="Q29" s="131">
        <f>IF(SER_hh_emih_in!Q29=0,0,SER_hh_emih_in!Q29/SER_summary!Q$27)</f>
        <v>6.0399466877719375E-2</v>
      </c>
      <c r="R29" s="131">
        <f>IF(SER_hh_emih_in!R29=0,0,SER_hh_emih_in!R29/SER_summary!R$27)</f>
        <v>5.1456496412140708E-2</v>
      </c>
      <c r="S29" s="131">
        <f>IF(SER_hh_emih_in!S29=0,0,SER_hh_emih_in!S29/SER_summary!S$27)</f>
        <v>5.2905481137783934E-2</v>
      </c>
      <c r="T29" s="131">
        <f>IF(SER_hh_emih_in!T29=0,0,SER_hh_emih_in!T29/SER_summary!T$27)</f>
        <v>2.4092927462816448E-2</v>
      </c>
      <c r="U29" s="131">
        <f>IF(SER_hh_emih_in!U29=0,0,SER_hh_emih_in!U29/SER_summary!U$27)</f>
        <v>3.5684065246832479E-2</v>
      </c>
      <c r="V29" s="131">
        <f>IF(SER_hh_emih_in!V29=0,0,SER_hh_emih_in!V29/SER_summary!V$27)</f>
        <v>4.3069742180969546E-2</v>
      </c>
      <c r="W29" s="131">
        <f>IF(SER_hh_emih_in!W29=0,0,SER_hh_emih_in!W29/SER_summary!W$27)</f>
        <v>3.6071578305809392E-2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4.4585504959066284</v>
      </c>
      <c r="D31" s="133">
        <f>IF(SER_hh_emih_in!D31=0,0,SER_hh_emih_in!D31/SER_summary!D$27)</f>
        <v>4.2286889822088618</v>
      </c>
      <c r="E31" s="133">
        <f>IF(SER_hh_emih_in!E31=0,0,SER_hh_emih_in!E31/SER_summary!E$27)</f>
        <v>3.9898185634344028</v>
      </c>
      <c r="F31" s="133">
        <f>IF(SER_hh_emih_in!F31=0,0,SER_hh_emih_in!F31/SER_summary!F$27)</f>
        <v>3.8047382292657854</v>
      </c>
      <c r="G31" s="133">
        <f>IF(SER_hh_emih_in!G31=0,0,SER_hh_emih_in!G31/SER_summary!G$27)</f>
        <v>3.8380866517842276</v>
      </c>
      <c r="H31" s="133">
        <f>IF(SER_hh_emih_in!H31=0,0,SER_hh_emih_in!H31/SER_summary!H$27)</f>
        <v>3.8472002257913904</v>
      </c>
      <c r="I31" s="133">
        <f>IF(SER_hh_emih_in!I31=0,0,SER_hh_emih_in!I31/SER_summary!I$27)</f>
        <v>3.737031205867162</v>
      </c>
      <c r="J31" s="133">
        <f>IF(SER_hh_emih_in!J31=0,0,SER_hh_emih_in!J31/SER_summary!J$27)</f>
        <v>3.7147453734678701</v>
      </c>
      <c r="K31" s="133">
        <f>IF(SER_hh_emih_in!K31=0,0,SER_hh_emih_in!K31/SER_summary!K$27)</f>
        <v>3.6806567208593868</v>
      </c>
      <c r="L31" s="133">
        <f>IF(SER_hh_emih_in!L31=0,0,SER_hh_emih_in!L31/SER_summary!L$27)</f>
        <v>3.7453640606927729</v>
      </c>
      <c r="M31" s="133">
        <f>IF(SER_hh_emih_in!M31=0,0,SER_hh_emih_in!M31/SER_summary!M$27)</f>
        <v>3.5793877063265365</v>
      </c>
      <c r="N31" s="133">
        <f>IF(SER_hh_emih_in!N31=0,0,SER_hh_emih_in!N31/SER_summary!N$27)</f>
        <v>3.026688097808349</v>
      </c>
      <c r="O31" s="133">
        <f>IF(SER_hh_emih_in!O31=0,0,SER_hh_emih_in!O31/SER_summary!O$27)</f>
        <v>3.6051546620713801</v>
      </c>
      <c r="P31" s="133">
        <f>IF(SER_hh_emih_in!P31=0,0,SER_hh_emih_in!P31/SER_summary!P$27)</f>
        <v>3.3730145983741138</v>
      </c>
      <c r="Q31" s="133">
        <f>IF(SER_hh_emih_in!Q31=0,0,SER_hh_emih_in!Q31/SER_summary!Q$27)</f>
        <v>3.5718386837697875</v>
      </c>
      <c r="R31" s="133">
        <f>IF(SER_hh_emih_in!R31=0,0,SER_hh_emih_in!R31/SER_summary!R$27)</f>
        <v>3.6170699844911951</v>
      </c>
      <c r="S31" s="133">
        <f>IF(SER_hh_emih_in!S31=0,0,SER_hh_emih_in!S31/SER_summary!S$27)</f>
        <v>3.3520833119100755</v>
      </c>
      <c r="T31" s="133">
        <f>IF(SER_hh_emih_in!T31=0,0,SER_hh_emih_in!T31/SER_summary!T$27)</f>
        <v>2.9408511141093063</v>
      </c>
      <c r="U31" s="133">
        <f>IF(SER_hh_emih_in!U31=0,0,SER_hh_emih_in!U31/SER_summary!U$27)</f>
        <v>3.0574118709560629</v>
      </c>
      <c r="V31" s="133">
        <f>IF(SER_hh_emih_in!V31=0,0,SER_hh_emih_in!V31/SER_summary!V$27)</f>
        <v>2.8175754683878904</v>
      </c>
      <c r="W31" s="133">
        <f>IF(SER_hh_emih_in!W31=0,0,SER_hh_emih_in!W31/SER_summary!W$27)</f>
        <v>3.7716301999116078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478.31459965188822</v>
      </c>
      <c r="C3" s="180">
        <f t="shared" ref="C3:W3" si="1">SUM(C4:C9)</f>
        <v>504.21374283541229</v>
      </c>
      <c r="D3" s="180">
        <f t="shared" si="1"/>
        <v>531.6291498815666</v>
      </c>
      <c r="E3" s="180">
        <f t="shared" si="1"/>
        <v>558.03046881277157</v>
      </c>
      <c r="F3" s="180">
        <f t="shared" si="1"/>
        <v>586.97411613526924</v>
      </c>
      <c r="G3" s="180">
        <f t="shared" si="1"/>
        <v>621.20738395228614</v>
      </c>
      <c r="H3" s="180">
        <f t="shared" si="1"/>
        <v>643.35736756849451</v>
      </c>
      <c r="I3" s="180">
        <f t="shared" si="1"/>
        <v>662.91159401929576</v>
      </c>
      <c r="J3" s="180">
        <f t="shared" si="1"/>
        <v>682.40573091979957</v>
      </c>
      <c r="K3" s="180">
        <f t="shared" si="1"/>
        <v>708.35818050276509</v>
      </c>
      <c r="L3" s="180">
        <f t="shared" si="1"/>
        <v>727.22899648026714</v>
      </c>
      <c r="M3" s="180">
        <f t="shared" si="1"/>
        <v>732.26813786235493</v>
      </c>
      <c r="N3" s="180">
        <f t="shared" si="1"/>
        <v>745.88574154415755</v>
      </c>
      <c r="O3" s="180">
        <f t="shared" si="1"/>
        <v>760.30532381383023</v>
      </c>
      <c r="P3" s="180">
        <f t="shared" si="1"/>
        <v>765.92661495199036</v>
      </c>
      <c r="Q3" s="180">
        <f t="shared" si="1"/>
        <v>776.39268026473064</v>
      </c>
      <c r="R3" s="180">
        <f t="shared" si="1"/>
        <v>778.87159830619021</v>
      </c>
      <c r="S3" s="180">
        <f t="shared" si="1"/>
        <v>804.80311999440983</v>
      </c>
      <c r="T3" s="180">
        <f t="shared" si="1"/>
        <v>812.9663115565063</v>
      </c>
      <c r="U3" s="180">
        <f t="shared" si="1"/>
        <v>823.88943839052718</v>
      </c>
      <c r="V3" s="180">
        <f t="shared" si="1"/>
        <v>784.3701092922588</v>
      </c>
      <c r="W3" s="180">
        <f t="shared" si="1"/>
        <v>791.19251021280036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29.889189460909169</v>
      </c>
      <c r="C4" s="181">
        <f t="shared" ref="C4:R9" si="3">C12*C44/11630</f>
        <v>30.97205130939258</v>
      </c>
      <c r="D4" s="181">
        <f t="shared" si="3"/>
        <v>31.894468261306262</v>
      </c>
      <c r="E4" s="181">
        <f t="shared" si="3"/>
        <v>32.476739844302926</v>
      </c>
      <c r="F4" s="181">
        <f t="shared" si="3"/>
        <v>33.469510245085203</v>
      </c>
      <c r="G4" s="181">
        <f t="shared" si="3"/>
        <v>34.493402240245921</v>
      </c>
      <c r="H4" s="181">
        <f t="shared" si="3"/>
        <v>35.744936310450967</v>
      </c>
      <c r="I4" s="181">
        <f t="shared" si="3"/>
        <v>36.899529559696838</v>
      </c>
      <c r="J4" s="181">
        <f t="shared" si="3"/>
        <v>37.519143633466584</v>
      </c>
      <c r="K4" s="181">
        <f t="shared" si="3"/>
        <v>37.926060563598298</v>
      </c>
      <c r="L4" s="181">
        <f t="shared" si="3"/>
        <v>38.23723975513591</v>
      </c>
      <c r="M4" s="181">
        <f t="shared" si="3"/>
        <v>38.379453578519616</v>
      </c>
      <c r="N4" s="181">
        <f t="shared" si="3"/>
        <v>38.225879733871885</v>
      </c>
      <c r="O4" s="181">
        <f t="shared" si="3"/>
        <v>38.141747833378993</v>
      </c>
      <c r="P4" s="181">
        <f t="shared" si="3"/>
        <v>38.047270847684167</v>
      </c>
      <c r="Q4" s="181">
        <f t="shared" si="3"/>
        <v>37.956596160847617</v>
      </c>
      <c r="R4" s="181">
        <f t="shared" si="3"/>
        <v>37.743789143805493</v>
      </c>
      <c r="S4" s="181">
        <f t="shared" ref="D4:W9" si="4">S12*S44/11630</f>
        <v>37.589389858451085</v>
      </c>
      <c r="T4" s="181">
        <f t="shared" si="4"/>
        <v>37.414459337442196</v>
      </c>
      <c r="U4" s="181">
        <f t="shared" si="4"/>
        <v>37.327728034567201</v>
      </c>
      <c r="V4" s="181">
        <f t="shared" si="4"/>
        <v>37.257563083007163</v>
      </c>
      <c r="W4" s="181">
        <f t="shared" si="4"/>
        <v>37.237549321428553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88.538383696466227</v>
      </c>
      <c r="C5" s="181">
        <f t="shared" si="3"/>
        <v>88.565213634231085</v>
      </c>
      <c r="D5" s="181">
        <f t="shared" si="4"/>
        <v>88.926132971100742</v>
      </c>
      <c r="E5" s="181">
        <f t="shared" si="4"/>
        <v>89.415282197487016</v>
      </c>
      <c r="F5" s="181">
        <f t="shared" si="4"/>
        <v>89.755593867309571</v>
      </c>
      <c r="G5" s="181">
        <f t="shared" si="4"/>
        <v>90.283830471193738</v>
      </c>
      <c r="H5" s="181">
        <f t="shared" si="4"/>
        <v>90.770251983963831</v>
      </c>
      <c r="I5" s="181">
        <f t="shared" si="4"/>
        <v>91.262965543433324</v>
      </c>
      <c r="J5" s="181">
        <f t="shared" si="4"/>
        <v>92.268265081633814</v>
      </c>
      <c r="K5" s="181">
        <f t="shared" si="4"/>
        <v>93.733476638494452</v>
      </c>
      <c r="L5" s="181">
        <f t="shared" si="4"/>
        <v>95.037822036646375</v>
      </c>
      <c r="M5" s="181">
        <f t="shared" si="4"/>
        <v>96.150004043073451</v>
      </c>
      <c r="N5" s="181">
        <f t="shared" si="4"/>
        <v>97.398667126567688</v>
      </c>
      <c r="O5" s="181">
        <f t="shared" si="4"/>
        <v>98.764293723702067</v>
      </c>
      <c r="P5" s="181">
        <f t="shared" si="4"/>
        <v>100.2390115770645</v>
      </c>
      <c r="Q5" s="181">
        <f t="shared" si="4"/>
        <v>102.23955093634187</v>
      </c>
      <c r="R5" s="181">
        <f t="shared" si="4"/>
        <v>101.9330526895464</v>
      </c>
      <c r="S5" s="181">
        <f t="shared" si="4"/>
        <v>100.49974194827833</v>
      </c>
      <c r="T5" s="181">
        <f t="shared" si="4"/>
        <v>97.840845899468491</v>
      </c>
      <c r="U5" s="181">
        <f t="shared" si="4"/>
        <v>94.585038558298507</v>
      </c>
      <c r="V5" s="181">
        <f t="shared" si="4"/>
        <v>90.551830916946798</v>
      </c>
      <c r="W5" s="181">
        <f t="shared" si="4"/>
        <v>86.92532347917107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154.12319575813805</v>
      </c>
      <c r="C6" s="181">
        <f t="shared" si="3"/>
        <v>156.3154261429172</v>
      </c>
      <c r="D6" s="181">
        <f t="shared" si="4"/>
        <v>158.02569124159473</v>
      </c>
      <c r="E6" s="181">
        <f t="shared" si="4"/>
        <v>158.14253950019443</v>
      </c>
      <c r="F6" s="181">
        <f t="shared" si="4"/>
        <v>159.58580977075295</v>
      </c>
      <c r="G6" s="181">
        <f t="shared" si="4"/>
        <v>160.16285004599652</v>
      </c>
      <c r="H6" s="181">
        <f t="shared" si="4"/>
        <v>160.8481598876198</v>
      </c>
      <c r="I6" s="181">
        <f t="shared" si="4"/>
        <v>162.93087816690397</v>
      </c>
      <c r="J6" s="181">
        <f t="shared" si="4"/>
        <v>164.7901429980875</v>
      </c>
      <c r="K6" s="181">
        <f t="shared" si="4"/>
        <v>167.2161107443961</v>
      </c>
      <c r="L6" s="181">
        <f t="shared" si="4"/>
        <v>169.91176100056262</v>
      </c>
      <c r="M6" s="181">
        <f t="shared" si="4"/>
        <v>171.54888805812433</v>
      </c>
      <c r="N6" s="181">
        <f t="shared" si="4"/>
        <v>172.27612064249317</v>
      </c>
      <c r="O6" s="181">
        <f t="shared" si="4"/>
        <v>172.20774560857998</v>
      </c>
      <c r="P6" s="181">
        <f t="shared" si="4"/>
        <v>172.48853497469105</v>
      </c>
      <c r="Q6" s="181">
        <f t="shared" si="4"/>
        <v>171.49747365955875</v>
      </c>
      <c r="R6" s="181">
        <f t="shared" si="4"/>
        <v>169.10687383487948</v>
      </c>
      <c r="S6" s="181">
        <f t="shared" si="4"/>
        <v>165.22863515427571</v>
      </c>
      <c r="T6" s="181">
        <f t="shared" si="4"/>
        <v>158.27996288897791</v>
      </c>
      <c r="U6" s="181">
        <f t="shared" si="4"/>
        <v>150.53958611299925</v>
      </c>
      <c r="V6" s="181">
        <f t="shared" si="4"/>
        <v>132.06311930595689</v>
      </c>
      <c r="W6" s="181">
        <f t="shared" si="4"/>
        <v>128.69833531519365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60.067655721255697</v>
      </c>
      <c r="C7" s="181">
        <f t="shared" si="3"/>
        <v>65.892090970973129</v>
      </c>
      <c r="D7" s="181">
        <f t="shared" si="4"/>
        <v>71.050100470804864</v>
      </c>
      <c r="E7" s="181">
        <f t="shared" si="4"/>
        <v>76.692236286482284</v>
      </c>
      <c r="F7" s="181">
        <f t="shared" si="4"/>
        <v>81.066941034201562</v>
      </c>
      <c r="G7" s="181">
        <f t="shared" si="4"/>
        <v>84.561617943732259</v>
      </c>
      <c r="H7" s="181">
        <f t="shared" si="4"/>
        <v>85.569123322272404</v>
      </c>
      <c r="I7" s="181">
        <f t="shared" si="4"/>
        <v>86.803798939579082</v>
      </c>
      <c r="J7" s="181">
        <f t="shared" si="4"/>
        <v>87.604148838070529</v>
      </c>
      <c r="K7" s="181">
        <f t="shared" si="4"/>
        <v>88.210896073915137</v>
      </c>
      <c r="L7" s="181">
        <f t="shared" si="4"/>
        <v>88.88316677330323</v>
      </c>
      <c r="M7" s="181">
        <f t="shared" si="4"/>
        <v>87.825946827198038</v>
      </c>
      <c r="N7" s="181">
        <f t="shared" si="4"/>
        <v>87.074786017301406</v>
      </c>
      <c r="O7" s="181">
        <f t="shared" si="4"/>
        <v>86.565147040491084</v>
      </c>
      <c r="P7" s="181">
        <f t="shared" si="4"/>
        <v>86.251001074523018</v>
      </c>
      <c r="Q7" s="181">
        <f t="shared" si="4"/>
        <v>85.395341250945805</v>
      </c>
      <c r="R7" s="181">
        <f t="shared" si="4"/>
        <v>84.224804472368248</v>
      </c>
      <c r="S7" s="181">
        <f t="shared" si="4"/>
        <v>83.862322858754993</v>
      </c>
      <c r="T7" s="181">
        <f t="shared" si="4"/>
        <v>83.574274282422849</v>
      </c>
      <c r="U7" s="181">
        <f t="shared" si="4"/>
        <v>83.22093009450596</v>
      </c>
      <c r="V7" s="181">
        <f t="shared" si="4"/>
        <v>82.700573426201402</v>
      </c>
      <c r="W7" s="181">
        <f t="shared" si="4"/>
        <v>81.451872129055943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37.96550463274091</v>
      </c>
      <c r="C8" s="55">
        <f t="shared" si="3"/>
        <v>40.081068056446171</v>
      </c>
      <c r="D8" s="55">
        <f t="shared" si="4"/>
        <v>42.733915847830332</v>
      </c>
      <c r="E8" s="55">
        <f t="shared" si="4"/>
        <v>46.142745647413456</v>
      </c>
      <c r="F8" s="55">
        <f t="shared" si="4"/>
        <v>50.301223697234143</v>
      </c>
      <c r="G8" s="55">
        <f t="shared" si="4"/>
        <v>55.053538051131994</v>
      </c>
      <c r="H8" s="55">
        <f t="shared" si="4"/>
        <v>60.624059439632696</v>
      </c>
      <c r="I8" s="55">
        <f t="shared" si="4"/>
        <v>65.011761188356232</v>
      </c>
      <c r="J8" s="55">
        <f t="shared" si="4"/>
        <v>68.002513661378387</v>
      </c>
      <c r="K8" s="55">
        <f t="shared" si="4"/>
        <v>69.964520819069051</v>
      </c>
      <c r="L8" s="55">
        <f t="shared" si="4"/>
        <v>71.490045170807406</v>
      </c>
      <c r="M8" s="55">
        <f t="shared" si="4"/>
        <v>72.307955346163268</v>
      </c>
      <c r="N8" s="55">
        <f t="shared" si="4"/>
        <v>72.488442482007443</v>
      </c>
      <c r="O8" s="55">
        <f t="shared" si="4"/>
        <v>72.528052225049493</v>
      </c>
      <c r="P8" s="55">
        <f t="shared" si="4"/>
        <v>72.341454828519801</v>
      </c>
      <c r="Q8" s="55">
        <f t="shared" si="4"/>
        <v>71.817305677243553</v>
      </c>
      <c r="R8" s="55">
        <f t="shared" si="4"/>
        <v>74.2978295647941</v>
      </c>
      <c r="S8" s="55">
        <f t="shared" si="4"/>
        <v>76.241646370351802</v>
      </c>
      <c r="T8" s="55">
        <f t="shared" si="4"/>
        <v>77.272613903003176</v>
      </c>
      <c r="U8" s="55">
        <f t="shared" si="4"/>
        <v>78.229891631736123</v>
      </c>
      <c r="V8" s="55">
        <f t="shared" si="4"/>
        <v>73.034356097171738</v>
      </c>
      <c r="W8" s="55">
        <f t="shared" si="4"/>
        <v>75.394364740126136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107.73067038237814</v>
      </c>
      <c r="C9" s="63">
        <f t="shared" si="3"/>
        <v>122.38789272145218</v>
      </c>
      <c r="D9" s="63">
        <f t="shared" si="4"/>
        <v>138.99884108892968</v>
      </c>
      <c r="E9" s="63">
        <f t="shared" si="4"/>
        <v>155.16092533689147</v>
      </c>
      <c r="F9" s="63">
        <f t="shared" si="4"/>
        <v>172.79503752068587</v>
      </c>
      <c r="G9" s="63">
        <f t="shared" si="4"/>
        <v>196.65214519998574</v>
      </c>
      <c r="H9" s="63">
        <f t="shared" si="4"/>
        <v>209.80083662455479</v>
      </c>
      <c r="I9" s="63">
        <f t="shared" si="4"/>
        <v>220.0026606213263</v>
      </c>
      <c r="J9" s="63">
        <f t="shared" si="4"/>
        <v>232.22151670716269</v>
      </c>
      <c r="K9" s="63">
        <f t="shared" si="4"/>
        <v>251.30711566329208</v>
      </c>
      <c r="L9" s="63">
        <f t="shared" si="4"/>
        <v>263.66896174381156</v>
      </c>
      <c r="M9" s="63">
        <f t="shared" si="4"/>
        <v>266.05589000927631</v>
      </c>
      <c r="N9" s="63">
        <f t="shared" si="4"/>
        <v>278.42184554191596</v>
      </c>
      <c r="O9" s="63">
        <f t="shared" si="4"/>
        <v>292.09833738262864</v>
      </c>
      <c r="P9" s="63">
        <f t="shared" si="4"/>
        <v>296.55934164950776</v>
      </c>
      <c r="Q9" s="63">
        <f t="shared" si="4"/>
        <v>307.48641257979307</v>
      </c>
      <c r="R9" s="63">
        <f t="shared" si="4"/>
        <v>311.56524860079651</v>
      </c>
      <c r="S9" s="63">
        <f t="shared" si="4"/>
        <v>341.38138380429791</v>
      </c>
      <c r="T9" s="63">
        <f t="shared" si="4"/>
        <v>358.58415524519165</v>
      </c>
      <c r="U9" s="63">
        <f t="shared" si="4"/>
        <v>379.98626395842024</v>
      </c>
      <c r="V9" s="63">
        <f t="shared" si="4"/>
        <v>368.76266646297489</v>
      </c>
      <c r="W9" s="63">
        <f t="shared" si="4"/>
        <v>381.48506522782503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2391.701272298279</v>
      </c>
      <c r="C11" s="180">
        <f t="shared" ref="C11:W11" si="6">SUM(C12:C17)</f>
        <v>2526.6223565279361</v>
      </c>
      <c r="D11" s="180">
        <f t="shared" si="6"/>
        <v>2674.9747297473004</v>
      </c>
      <c r="E11" s="180">
        <f t="shared" si="6"/>
        <v>2818.7916789211595</v>
      </c>
      <c r="F11" s="180">
        <f t="shared" si="6"/>
        <v>2982.6588786268176</v>
      </c>
      <c r="G11" s="180">
        <f t="shared" si="6"/>
        <v>3189.3088646262891</v>
      </c>
      <c r="H11" s="180">
        <f t="shared" si="6"/>
        <v>3332.908001053861</v>
      </c>
      <c r="I11" s="180">
        <f t="shared" si="6"/>
        <v>3450.5226722115258</v>
      </c>
      <c r="J11" s="180">
        <f t="shared" si="6"/>
        <v>3561.7648806510542</v>
      </c>
      <c r="K11" s="180">
        <f t="shared" si="6"/>
        <v>3704.6697889396464</v>
      </c>
      <c r="L11" s="180">
        <f t="shared" si="6"/>
        <v>3794.3314436252049</v>
      </c>
      <c r="M11" s="180">
        <f t="shared" si="6"/>
        <v>3807.8514173401959</v>
      </c>
      <c r="N11" s="180">
        <f t="shared" si="6"/>
        <v>3873.7868926085321</v>
      </c>
      <c r="O11" s="180">
        <f t="shared" si="6"/>
        <v>3942.8812137877694</v>
      </c>
      <c r="P11" s="180">
        <f t="shared" si="6"/>
        <v>3953.996803235862</v>
      </c>
      <c r="Q11" s="180">
        <f t="shared" si="6"/>
        <v>3992.562883911427</v>
      </c>
      <c r="R11" s="180">
        <f t="shared" si="6"/>
        <v>3965.5027596625764</v>
      </c>
      <c r="S11" s="180">
        <f t="shared" si="6"/>
        <v>4096.3428107136197</v>
      </c>
      <c r="T11" s="180">
        <f t="shared" si="6"/>
        <v>4154.2077434027524</v>
      </c>
      <c r="U11" s="180">
        <f t="shared" si="6"/>
        <v>4239.0241850232142</v>
      </c>
      <c r="V11" s="180">
        <f t="shared" si="6"/>
        <v>4233.1124382772387</v>
      </c>
      <c r="W11" s="180">
        <f t="shared" si="6"/>
        <v>4207.1971428627003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39.681652218079201</v>
      </c>
      <c r="C12" s="181">
        <f t="shared" ref="C12:W12" si="7">C20*C52</f>
        <v>41.119287297743796</v>
      </c>
      <c r="D12" s="181">
        <f t="shared" si="7"/>
        <v>42.3439116300219</v>
      </c>
      <c r="E12" s="181">
        <f t="shared" si="7"/>
        <v>43.116950272744653</v>
      </c>
      <c r="F12" s="181">
        <f t="shared" si="7"/>
        <v>44.434977642732996</v>
      </c>
      <c r="G12" s="181">
        <f t="shared" si="7"/>
        <v>45.794322837221486</v>
      </c>
      <c r="H12" s="181">
        <f t="shared" si="7"/>
        <v>47.455891471523351</v>
      </c>
      <c r="I12" s="181">
        <f t="shared" si="7"/>
        <v>48.988758993067854</v>
      </c>
      <c r="J12" s="181">
        <f t="shared" si="7"/>
        <v>49.811374481417403</v>
      </c>
      <c r="K12" s="181">
        <f t="shared" si="7"/>
        <v>50.351607803042029</v>
      </c>
      <c r="L12" s="181">
        <f t="shared" si="7"/>
        <v>50.764737254820879</v>
      </c>
      <c r="M12" s="181">
        <f t="shared" si="7"/>
        <v>50.953543963262902</v>
      </c>
      <c r="N12" s="181">
        <f t="shared" si="7"/>
        <v>50.749655400106157</v>
      </c>
      <c r="O12" s="181">
        <f t="shared" si="7"/>
        <v>50.637959737693805</v>
      </c>
      <c r="P12" s="181">
        <f t="shared" si="7"/>
        <v>50.512529675635498</v>
      </c>
      <c r="Q12" s="181">
        <f t="shared" si="7"/>
        <v>50.392147642769153</v>
      </c>
      <c r="R12" s="181">
        <f t="shared" si="7"/>
        <v>50.109619605303401</v>
      </c>
      <c r="S12" s="181">
        <f t="shared" si="7"/>
        <v>49.904635165957302</v>
      </c>
      <c r="T12" s="181">
        <f t="shared" si="7"/>
        <v>49.672392933156701</v>
      </c>
      <c r="U12" s="181">
        <f t="shared" si="7"/>
        <v>49.55724623767312</v>
      </c>
      <c r="V12" s="181">
        <f t="shared" si="7"/>
        <v>49.464093453809738</v>
      </c>
      <c r="W12" s="181">
        <f t="shared" si="7"/>
        <v>49.437522672170552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251.64646809835921</v>
      </c>
      <c r="C13" s="181">
        <f t="shared" ref="C13:W13" si="8">C21*C53/1000</f>
        <v>252.32961108468493</v>
      </c>
      <c r="D13" s="181">
        <f t="shared" si="8"/>
        <v>254.10634221741148</v>
      </c>
      <c r="E13" s="181">
        <f t="shared" si="8"/>
        <v>256.07877469956128</v>
      </c>
      <c r="F13" s="181">
        <f t="shared" si="8"/>
        <v>257.71704011130134</v>
      </c>
      <c r="G13" s="181">
        <f t="shared" si="8"/>
        <v>259.50158531295676</v>
      </c>
      <c r="H13" s="181">
        <f t="shared" si="8"/>
        <v>261.25040527255726</v>
      </c>
      <c r="I13" s="181">
        <f t="shared" si="8"/>
        <v>263.08709226954801</v>
      </c>
      <c r="J13" s="181">
        <f t="shared" si="8"/>
        <v>266.67868738015113</v>
      </c>
      <c r="K13" s="181">
        <f t="shared" si="8"/>
        <v>271.4285496233432</v>
      </c>
      <c r="L13" s="181">
        <f t="shared" si="8"/>
        <v>275.91656946697464</v>
      </c>
      <c r="M13" s="181">
        <f t="shared" si="8"/>
        <v>280.74989305734289</v>
      </c>
      <c r="N13" s="181">
        <f t="shared" si="8"/>
        <v>286.41682281240662</v>
      </c>
      <c r="O13" s="181">
        <f t="shared" si="8"/>
        <v>292.62024530665764</v>
      </c>
      <c r="P13" s="181">
        <f t="shared" si="8"/>
        <v>299.1446741683643</v>
      </c>
      <c r="Q13" s="181">
        <f t="shared" si="8"/>
        <v>307.7733576918435</v>
      </c>
      <c r="R13" s="181">
        <f t="shared" si="8"/>
        <v>303.57556081999775</v>
      </c>
      <c r="S13" s="181">
        <f t="shared" si="8"/>
        <v>298.11993711309105</v>
      </c>
      <c r="T13" s="181">
        <f t="shared" si="8"/>
        <v>291.35010419917796</v>
      </c>
      <c r="U13" s="181">
        <f t="shared" si="8"/>
        <v>282.83713651620184</v>
      </c>
      <c r="V13" s="181">
        <f t="shared" si="8"/>
        <v>272.51980977094769</v>
      </c>
      <c r="W13" s="181">
        <f t="shared" si="8"/>
        <v>261.46760539319808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728.80901742877836</v>
      </c>
      <c r="C14" s="181">
        <f t="shared" ref="C14:W14" si="9">C22*C54</f>
        <v>733.68268366883603</v>
      </c>
      <c r="D14" s="181">
        <f t="shared" si="9"/>
        <v>737.51920636015325</v>
      </c>
      <c r="E14" s="181">
        <f t="shared" si="9"/>
        <v>734.25428609849666</v>
      </c>
      <c r="F14" s="181">
        <f t="shared" si="9"/>
        <v>735.459720890433</v>
      </c>
      <c r="G14" s="181">
        <f t="shared" si="9"/>
        <v>733.68794792276981</v>
      </c>
      <c r="H14" s="181">
        <f t="shared" si="9"/>
        <v>734.55529762837602</v>
      </c>
      <c r="I14" s="181">
        <f t="shared" si="9"/>
        <v>740.43429339810393</v>
      </c>
      <c r="J14" s="181">
        <f t="shared" si="9"/>
        <v>747.53654922585213</v>
      </c>
      <c r="K14" s="181">
        <f t="shared" si="9"/>
        <v>755.26211634037145</v>
      </c>
      <c r="L14" s="181">
        <f t="shared" si="9"/>
        <v>764.07152502637257</v>
      </c>
      <c r="M14" s="181">
        <f t="shared" si="9"/>
        <v>769.33677630366287</v>
      </c>
      <c r="N14" s="181">
        <f t="shared" si="9"/>
        <v>770.62899151818192</v>
      </c>
      <c r="O14" s="181">
        <f t="shared" si="9"/>
        <v>769.1097726176497</v>
      </c>
      <c r="P14" s="181">
        <f t="shared" si="9"/>
        <v>769.0202912921942</v>
      </c>
      <c r="Q14" s="181">
        <f t="shared" si="9"/>
        <v>762.60949074709447</v>
      </c>
      <c r="R14" s="181">
        <f t="shared" si="9"/>
        <v>739.94188164118577</v>
      </c>
      <c r="S14" s="181">
        <f t="shared" si="9"/>
        <v>717.88651322673945</v>
      </c>
      <c r="T14" s="181">
        <f t="shared" si="9"/>
        <v>688.9592136555699</v>
      </c>
      <c r="U14" s="181">
        <f t="shared" si="9"/>
        <v>659.07791930403914</v>
      </c>
      <c r="V14" s="181">
        <f t="shared" si="9"/>
        <v>624.12094164292807</v>
      </c>
      <c r="W14" s="181">
        <f t="shared" si="9"/>
        <v>586.94288597612194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79.747355712123749</v>
      </c>
      <c r="C15" s="181">
        <f t="shared" ref="C15:W15" si="10">C23*C55/1000</f>
        <v>87.48002488497913</v>
      </c>
      <c r="D15" s="181">
        <f t="shared" si="10"/>
        <v>94.32793019126261</v>
      </c>
      <c r="E15" s="181">
        <f t="shared" si="10"/>
        <v>101.8185739739485</v>
      </c>
      <c r="F15" s="181">
        <f t="shared" si="10"/>
        <v>107.62654386161694</v>
      </c>
      <c r="G15" s="181">
        <f t="shared" si="10"/>
        <v>112.26616628831123</v>
      </c>
      <c r="H15" s="181">
        <f t="shared" si="10"/>
        <v>113.60375619155575</v>
      </c>
      <c r="I15" s="181">
        <f t="shared" si="10"/>
        <v>115.24294311270604</v>
      </c>
      <c r="J15" s="181">
        <f t="shared" si="10"/>
        <v>116.30550810351147</v>
      </c>
      <c r="K15" s="181">
        <f t="shared" si="10"/>
        <v>117.11104124881656</v>
      </c>
      <c r="L15" s="181">
        <f t="shared" si="10"/>
        <v>118.00356501980787</v>
      </c>
      <c r="M15" s="181">
        <f t="shared" si="10"/>
        <v>116.59997278542392</v>
      </c>
      <c r="N15" s="181">
        <f t="shared" si="10"/>
        <v>115.60271248644008</v>
      </c>
      <c r="O15" s="181">
        <f t="shared" si="10"/>
        <v>114.92610274896251</v>
      </c>
      <c r="P15" s="181">
        <f t="shared" si="10"/>
        <v>114.50903453158712</v>
      </c>
      <c r="Q15" s="181">
        <f t="shared" si="10"/>
        <v>113.37303866992008</v>
      </c>
      <c r="R15" s="181">
        <f t="shared" si="10"/>
        <v>111.81900411114641</v>
      </c>
      <c r="S15" s="181">
        <f t="shared" si="10"/>
        <v>111.33776425197723</v>
      </c>
      <c r="T15" s="181">
        <f t="shared" si="10"/>
        <v>110.95534359641297</v>
      </c>
      <c r="U15" s="181">
        <f t="shared" si="10"/>
        <v>110.48623481724935</v>
      </c>
      <c r="V15" s="181">
        <f t="shared" si="10"/>
        <v>109.79539599848425</v>
      </c>
      <c r="W15" s="181">
        <f t="shared" si="10"/>
        <v>108.13758822613249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535.14438019981787</v>
      </c>
      <c r="C16" s="55">
        <f t="shared" ref="C16:W16" si="11">C24*C56</f>
        <v>562.27845624794736</v>
      </c>
      <c r="D16" s="55">
        <f t="shared" si="11"/>
        <v>596.89153571202667</v>
      </c>
      <c r="E16" s="55">
        <f t="shared" si="11"/>
        <v>641.93056910032738</v>
      </c>
      <c r="F16" s="55">
        <f t="shared" si="11"/>
        <v>697.19448147558944</v>
      </c>
      <c r="G16" s="55">
        <f t="shared" si="11"/>
        <v>760.43564097392186</v>
      </c>
      <c r="H16" s="55">
        <f t="shared" si="11"/>
        <v>834.68153648340547</v>
      </c>
      <c r="I16" s="55">
        <f t="shared" si="11"/>
        <v>892.38297778155732</v>
      </c>
      <c r="J16" s="55">
        <f t="shared" si="11"/>
        <v>930.77162110369056</v>
      </c>
      <c r="K16" s="55">
        <f t="shared" si="11"/>
        <v>955.04091185409459</v>
      </c>
      <c r="L16" s="55">
        <f t="shared" si="11"/>
        <v>973.36530921722851</v>
      </c>
      <c r="M16" s="55">
        <f t="shared" si="11"/>
        <v>982.90164886271339</v>
      </c>
      <c r="N16" s="55">
        <f t="shared" si="11"/>
        <v>983.8282857589744</v>
      </c>
      <c r="O16" s="55">
        <f t="shared" si="11"/>
        <v>982.9083975837558</v>
      </c>
      <c r="P16" s="55">
        <f t="shared" si="11"/>
        <v>978.98977529077638</v>
      </c>
      <c r="Q16" s="55">
        <f t="shared" si="11"/>
        <v>970.57492407012637</v>
      </c>
      <c r="R16" s="55">
        <f t="shared" si="11"/>
        <v>990.53078241596199</v>
      </c>
      <c r="S16" s="55">
        <f t="shared" si="11"/>
        <v>1009.871138982855</v>
      </c>
      <c r="T16" s="55">
        <f t="shared" si="11"/>
        <v>1023.8168953118065</v>
      </c>
      <c r="U16" s="55">
        <f t="shared" si="11"/>
        <v>1040.2527288195847</v>
      </c>
      <c r="V16" s="55">
        <f t="shared" si="11"/>
        <v>1048.3215161626358</v>
      </c>
      <c r="W16" s="55">
        <f t="shared" si="11"/>
        <v>1044.3399475922358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756.67239864112059</v>
      </c>
      <c r="C17" s="63">
        <f t="shared" ref="C17:W17" si="12">C25*C57/1000</f>
        <v>849.73229334374446</v>
      </c>
      <c r="D17" s="63">
        <f t="shared" si="12"/>
        <v>949.78580363642459</v>
      </c>
      <c r="E17" s="63">
        <f t="shared" si="12"/>
        <v>1041.5925247760808</v>
      </c>
      <c r="F17" s="63">
        <f t="shared" si="12"/>
        <v>1140.226114645144</v>
      </c>
      <c r="G17" s="63">
        <f t="shared" si="12"/>
        <v>1277.6232012911078</v>
      </c>
      <c r="H17" s="63">
        <f t="shared" si="12"/>
        <v>1341.3611140064434</v>
      </c>
      <c r="I17" s="63">
        <f t="shared" si="12"/>
        <v>1390.3866066565424</v>
      </c>
      <c r="J17" s="63">
        <f t="shared" si="12"/>
        <v>1450.6611403564316</v>
      </c>
      <c r="K17" s="63">
        <f t="shared" si="12"/>
        <v>1555.4755620699782</v>
      </c>
      <c r="L17" s="63">
        <f t="shared" si="12"/>
        <v>1612.2097376400009</v>
      </c>
      <c r="M17" s="63">
        <f t="shared" si="12"/>
        <v>1607.30958236779</v>
      </c>
      <c r="N17" s="63">
        <f t="shared" si="12"/>
        <v>1666.5604246324228</v>
      </c>
      <c r="O17" s="63">
        <f t="shared" si="12"/>
        <v>1732.6787357930505</v>
      </c>
      <c r="P17" s="63">
        <f t="shared" si="12"/>
        <v>1741.8204982773048</v>
      </c>
      <c r="Q17" s="63">
        <f t="shared" si="12"/>
        <v>1787.8399250896737</v>
      </c>
      <c r="R17" s="63">
        <f t="shared" si="12"/>
        <v>1769.5259110689813</v>
      </c>
      <c r="S17" s="63">
        <f t="shared" si="12"/>
        <v>1909.2228219729993</v>
      </c>
      <c r="T17" s="63">
        <f t="shared" si="12"/>
        <v>1989.4537937066275</v>
      </c>
      <c r="U17" s="63">
        <f t="shared" si="12"/>
        <v>2096.8129193284658</v>
      </c>
      <c r="V17" s="63">
        <f t="shared" si="12"/>
        <v>2128.8906812484329</v>
      </c>
      <c r="W17" s="63">
        <f t="shared" si="12"/>
        <v>2156.8715930028416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63.853243594593891</v>
      </c>
      <c r="C20" s="182">
        <v>66.768870911592188</v>
      </c>
      <c r="D20" s="182">
        <v>69.376131237036873</v>
      </c>
      <c r="E20" s="182">
        <v>71.219616431939116</v>
      </c>
      <c r="F20" s="182">
        <v>74.136196110963255</v>
      </c>
      <c r="G20" s="182">
        <v>77.201217129893109</v>
      </c>
      <c r="H20" s="182">
        <v>80.927258602204788</v>
      </c>
      <c r="I20" s="182">
        <v>84.508722643495062</v>
      </c>
      <c r="J20" s="182">
        <v>86.816654903034802</v>
      </c>
      <c r="K20" s="182">
        <v>88.665294328493232</v>
      </c>
      <c r="L20" s="182">
        <v>90.358201693467407</v>
      </c>
      <c r="M20" s="182">
        <v>91.696004131762763</v>
      </c>
      <c r="N20" s="182">
        <v>92.33054826043076</v>
      </c>
      <c r="O20" s="182">
        <v>93.264788996473555</v>
      </c>
      <c r="P20" s="182">
        <v>94.275562908586409</v>
      </c>
      <c r="Q20" s="182">
        <v>95.414112249619222</v>
      </c>
      <c r="R20" s="182">
        <v>96.27608320625157</v>
      </c>
      <c r="S20" s="182">
        <v>97.40131735365604</v>
      </c>
      <c r="T20" s="182">
        <v>98.561447761963876</v>
      </c>
      <c r="U20" s="182">
        <v>99.673664425135343</v>
      </c>
      <c r="V20" s="182">
        <v>100.75253026923755</v>
      </c>
      <c r="W20" s="182">
        <v>101.78175644987692</v>
      </c>
      <c r="DA20" s="191" t="s">
        <v>921</v>
      </c>
    </row>
    <row r="21" spans="1:105" ht="12" customHeight="1" x14ac:dyDescent="0.25">
      <c r="A21" s="132" t="s">
        <v>163</v>
      </c>
      <c r="B21" s="182">
        <v>1495.9868091331323</v>
      </c>
      <c r="C21" s="182">
        <v>1510.6866967299459</v>
      </c>
      <c r="D21" s="182">
        <v>1533.3385691605165</v>
      </c>
      <c r="E21" s="182">
        <v>1560.1004973503668</v>
      </c>
      <c r="F21" s="182">
        <v>1588.6346231860878</v>
      </c>
      <c r="G21" s="182">
        <v>1622.3730965840027</v>
      </c>
      <c r="H21" s="182">
        <v>1660.0018886987905</v>
      </c>
      <c r="I21" s="182">
        <v>1703.2409473490329</v>
      </c>
      <c r="J21" s="182">
        <v>1745.2453292113291</v>
      </c>
      <c r="K21" s="182">
        <v>1801.5018984373726</v>
      </c>
      <c r="L21" s="182">
        <v>1860.3296878519043</v>
      </c>
      <c r="M21" s="182">
        <v>1926.586109148192</v>
      </c>
      <c r="N21" s="182">
        <v>2008.0455973437554</v>
      </c>
      <c r="O21" s="182">
        <v>2105.5605977704081</v>
      </c>
      <c r="P21" s="182">
        <v>2218.9989755102938</v>
      </c>
      <c r="Q21" s="182">
        <v>2354.9602840068264</v>
      </c>
      <c r="R21" s="182">
        <v>2398.2645480058204</v>
      </c>
      <c r="S21" s="182">
        <v>2442.475176814437</v>
      </c>
      <c r="T21" s="182">
        <v>2487.0737047956518</v>
      </c>
      <c r="U21" s="182">
        <v>2528.6718279516276</v>
      </c>
      <c r="V21" s="182">
        <v>2565.0700132529651</v>
      </c>
      <c r="W21" s="182">
        <v>2593.6508820445501</v>
      </c>
      <c r="DA21" s="191" t="s">
        <v>922</v>
      </c>
    </row>
    <row r="22" spans="1:105" ht="12" customHeight="1" x14ac:dyDescent="0.25">
      <c r="A22" s="132" t="s">
        <v>167</v>
      </c>
      <c r="B22" s="182">
        <v>19.816484959458762</v>
      </c>
      <c r="C22" s="182">
        <v>20.170309146563046</v>
      </c>
      <c r="D22" s="182">
        <v>20.615593936847993</v>
      </c>
      <c r="E22" s="182">
        <v>20.981549086787005</v>
      </c>
      <c r="F22" s="182">
        <v>21.584587381421006</v>
      </c>
      <c r="G22" s="182">
        <v>22.180781577876154</v>
      </c>
      <c r="H22" s="182">
        <v>22.949565883820572</v>
      </c>
      <c r="I22" s="182">
        <v>23.702773733243991</v>
      </c>
      <c r="J22" s="182">
        <v>24.488970650117405</v>
      </c>
      <c r="K22" s="182">
        <v>25.236102770927538</v>
      </c>
      <c r="L22" s="182">
        <v>26.065117257791012</v>
      </c>
      <c r="M22" s="182">
        <v>26.873915260772115</v>
      </c>
      <c r="N22" s="182">
        <v>27.670638018133545</v>
      </c>
      <c r="O22" s="182">
        <v>28.49013072474758</v>
      </c>
      <c r="P22" s="182">
        <v>29.574043651335447</v>
      </c>
      <c r="Q22" s="182">
        <v>30.574049440259351</v>
      </c>
      <c r="R22" s="182">
        <v>31.258960304834385</v>
      </c>
      <c r="S22" s="182">
        <v>32.042277723866057</v>
      </c>
      <c r="T22" s="182">
        <v>32.822630621101546</v>
      </c>
      <c r="U22" s="182">
        <v>33.554010370186866</v>
      </c>
      <c r="V22" s="182">
        <v>34.206226846058954</v>
      </c>
      <c r="W22" s="182">
        <v>34.733038941965681</v>
      </c>
      <c r="DA22" s="191" t="s">
        <v>923</v>
      </c>
    </row>
    <row r="23" spans="1:105" ht="12" customHeight="1" x14ac:dyDescent="0.25">
      <c r="A23" s="132" t="s">
        <v>180</v>
      </c>
      <c r="B23" s="182">
        <v>121.58691303459807</v>
      </c>
      <c r="C23" s="182">
        <v>135.66146065189051</v>
      </c>
      <c r="D23" s="182">
        <v>149.07663634516092</v>
      </c>
      <c r="E23" s="182">
        <v>164.07323730744716</v>
      </c>
      <c r="F23" s="182">
        <v>176.61100535542104</v>
      </c>
      <c r="G23" s="182">
        <v>187.47166007486317</v>
      </c>
      <c r="H23" s="182">
        <v>192.60397655677679</v>
      </c>
      <c r="I23" s="182">
        <v>198.73755189837547</v>
      </c>
      <c r="J23" s="182">
        <v>204.23119897953839</v>
      </c>
      <c r="K23" s="182">
        <v>209.6949492304081</v>
      </c>
      <c r="L23" s="182">
        <v>215.82966755593242</v>
      </c>
      <c r="M23" s="182">
        <v>219.00711362524413</v>
      </c>
      <c r="N23" s="182">
        <v>222.49599268364162</v>
      </c>
      <c r="O23" s="182">
        <v>227.35727146062746</v>
      </c>
      <c r="P23" s="182">
        <v>232.58102526732964</v>
      </c>
      <c r="Q23" s="182">
        <v>235.80976423404391</v>
      </c>
      <c r="R23" s="182">
        <v>236.63798919523501</v>
      </c>
      <c r="S23" s="182">
        <v>240.22451248607766</v>
      </c>
      <c r="T23" s="182">
        <v>243.87088616125237</v>
      </c>
      <c r="U23" s="182">
        <v>247.26394166012054</v>
      </c>
      <c r="V23" s="182">
        <v>250.22562119687009</v>
      </c>
      <c r="W23" s="182">
        <v>252.52691512923471</v>
      </c>
      <c r="DA23" s="191" t="s">
        <v>924</v>
      </c>
    </row>
    <row r="24" spans="1:105" ht="12" customHeight="1" x14ac:dyDescent="0.25">
      <c r="A24" s="60" t="s">
        <v>166</v>
      </c>
      <c r="B24" s="36">
        <v>11.210455391304519</v>
      </c>
      <c r="C24" s="36">
        <v>11.835368477433509</v>
      </c>
      <c r="D24" s="36">
        <v>12.637153113033783</v>
      </c>
      <c r="E24" s="36">
        <v>13.685094999816512</v>
      </c>
      <c r="F24" s="36">
        <v>14.980905204274068</v>
      </c>
      <c r="G24" s="36">
        <v>16.479744518296908</v>
      </c>
      <c r="H24" s="36">
        <v>18.265235496838205</v>
      </c>
      <c r="I24" s="36">
        <v>19.700502425808885</v>
      </c>
      <c r="J24" s="36">
        <v>20.713155176487483</v>
      </c>
      <c r="K24" s="36">
        <v>21.420733910061813</v>
      </c>
      <c r="L24" s="36">
        <v>22.017775717001712</v>
      </c>
      <c r="M24" s="36">
        <v>22.445967044142531</v>
      </c>
      <c r="N24" s="36">
        <v>22.712454358687729</v>
      </c>
      <c r="O24" s="36">
        <v>22.999247761281509</v>
      </c>
      <c r="P24" s="36">
        <v>23.287921087854009</v>
      </c>
      <c r="Q24" s="36">
        <v>23.560841535728805</v>
      </c>
      <c r="R24" s="36">
        <v>24.416398408984442</v>
      </c>
      <c r="S24" s="36">
        <v>25.339002371174697</v>
      </c>
      <c r="T24" s="36">
        <v>26.212814491521009</v>
      </c>
      <c r="U24" s="36">
        <v>27.275784381665332</v>
      </c>
      <c r="V24" s="36">
        <v>28.187354449896493</v>
      </c>
      <c r="W24" s="36">
        <v>28.828721188460765</v>
      </c>
      <c r="DA24" s="89" t="s">
        <v>925</v>
      </c>
    </row>
    <row r="25" spans="1:105" ht="12" customHeight="1" x14ac:dyDescent="0.25">
      <c r="A25" s="62" t="s">
        <v>164</v>
      </c>
      <c r="B25" s="38">
        <v>2136.5830243317814</v>
      </c>
      <c r="C25" s="38">
        <v>2461.1594371248643</v>
      </c>
      <c r="D25" s="38">
        <v>2847.325929764334</v>
      </c>
      <c r="E25" s="38">
        <v>3241.3692137579792</v>
      </c>
      <c r="F25" s="38">
        <v>3691.7594998836466</v>
      </c>
      <c r="G25" s="38">
        <v>4340.6558698562058</v>
      </c>
      <c r="H25" s="38">
        <v>4803.711546217698</v>
      </c>
      <c r="I25" s="38">
        <v>5265.9456338858745</v>
      </c>
      <c r="J25" s="38">
        <v>5847.042991022804</v>
      </c>
      <c r="K25" s="38">
        <v>6752.4543185269595</v>
      </c>
      <c r="L25" s="38">
        <v>7583.0369399557021</v>
      </c>
      <c r="M25" s="38">
        <v>8131.4096397377807</v>
      </c>
      <c r="N25" s="38">
        <v>8999.8591649740301</v>
      </c>
      <c r="O25" s="38">
        <v>9853.1935201178076</v>
      </c>
      <c r="P25" s="38">
        <v>10374.303184035334</v>
      </c>
      <c r="Q25" s="38">
        <v>10958.87091176632</v>
      </c>
      <c r="R25" s="38">
        <v>11050.343828693134</v>
      </c>
      <c r="S25" s="38">
        <v>12246.699693495242</v>
      </c>
      <c r="T25" s="38">
        <v>13083.020825807323</v>
      </c>
      <c r="U25" s="38">
        <v>14106.247847096907</v>
      </c>
      <c r="V25" s="38">
        <v>14687.434520708939</v>
      </c>
      <c r="W25" s="38">
        <v>15147.824602216113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5.6851549407755186</v>
      </c>
      <c r="D28" s="183">
        <v>5.4551256839848676</v>
      </c>
      <c r="E28" s="183">
        <v>4.7719041175891022</v>
      </c>
      <c r="F28" s="183">
        <v>5.9278306712923836</v>
      </c>
      <c r="G28" s="183">
        <v>6.1614470350945254</v>
      </c>
      <c r="H28" s="183">
        <v>6.9100517385430038</v>
      </c>
      <c r="I28" s="183">
        <v>6.8555359301525414</v>
      </c>
      <c r="J28" s="183">
        <v>5.6746132175524906</v>
      </c>
      <c r="K28" s="183">
        <v>5.3105489551799536</v>
      </c>
      <c r="L28" s="183">
        <v>5.2527390631494058</v>
      </c>
      <c r="M28" s="183">
        <v>4.9983260916539365</v>
      </c>
      <c r="N28" s="183">
        <v>4.3986078690033139</v>
      </c>
      <c r="O28" s="183">
        <v>4.8047732562486232</v>
      </c>
      <c r="P28" s="183">
        <v>4.9907867449020102</v>
      </c>
      <c r="Q28" s="183">
        <v>5.23113920211064</v>
      </c>
      <c r="R28" s="183">
        <v>5.0703221541482861</v>
      </c>
      <c r="S28" s="183">
        <v>5.4526210595563782</v>
      </c>
      <c r="T28" s="183">
        <v>5.6099200310268742</v>
      </c>
      <c r="U28" s="183">
        <v>6.7973716039469849</v>
      </c>
      <c r="V28" s="183">
        <v>6.5339915280870855</v>
      </c>
      <c r="W28" s="183">
        <v>5.8011302982284718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202.36309949487554</v>
      </c>
      <c r="D29" s="183">
        <v>218.39302504868942</v>
      </c>
      <c r="E29" s="183">
        <v>230.92873552917058</v>
      </c>
      <c r="F29" s="183">
        <v>241.48926920536655</v>
      </c>
      <c r="G29" s="183">
        <v>255.86024568098674</v>
      </c>
      <c r="H29" s="183">
        <v>269.311769766716</v>
      </c>
      <c r="I29" s="183">
        <v>284.89480262322832</v>
      </c>
      <c r="J29" s="183">
        <v>244.36748135717176</v>
      </c>
      <c r="K29" s="183">
        <v>274.64959427473286</v>
      </c>
      <c r="L29" s="183">
        <v>289.75652494370229</v>
      </c>
      <c r="M29" s="183">
        <v>307.74569050165428</v>
      </c>
      <c r="N29" s="183">
        <v>337.31973387655012</v>
      </c>
      <c r="O29" s="183">
        <v>366.8267701933687</v>
      </c>
      <c r="P29" s="183">
        <v>398.33318036311402</v>
      </c>
      <c r="Q29" s="183">
        <v>380.32878985370439</v>
      </c>
      <c r="R29" s="183">
        <v>317.95385827372684</v>
      </c>
      <c r="S29" s="183">
        <v>333.96715375231906</v>
      </c>
      <c r="T29" s="183">
        <v>352.34421848286911</v>
      </c>
      <c r="U29" s="183">
        <v>378.91785703252617</v>
      </c>
      <c r="V29" s="183">
        <v>403.22495549470614</v>
      </c>
      <c r="W29" s="183">
        <v>426.91404915469911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3.4484873042595119</v>
      </c>
      <c r="D30" s="183">
        <v>3.6203421554825752</v>
      </c>
      <c r="E30" s="183">
        <v>3.623495273260307</v>
      </c>
      <c r="F30" s="183">
        <v>3.9452039422104512</v>
      </c>
      <c r="G30" s="183">
        <v>4.0251837999512468</v>
      </c>
      <c r="H30" s="183">
        <v>4.2868534086564729</v>
      </c>
      <c r="I30" s="183">
        <v>4.2016951536829303</v>
      </c>
      <c r="J30" s="183">
        <v>4.4065390723559901</v>
      </c>
      <c r="K30" s="183">
        <v>4.3706273940704392</v>
      </c>
      <c r="L30" s="183">
        <v>4.774218429073926</v>
      </c>
      <c r="M30" s="183">
        <v>4.8339818029323496</v>
      </c>
      <c r="N30" s="183">
        <v>5.0835761660179024</v>
      </c>
      <c r="O30" s="183">
        <v>5.0211878602969655</v>
      </c>
      <c r="P30" s="183">
        <v>5.4904519989438576</v>
      </c>
      <c r="Q30" s="183">
        <v>5.370633182994343</v>
      </c>
      <c r="R30" s="183">
        <v>5.4591292936489602</v>
      </c>
      <c r="S30" s="183">
        <v>5.6172992219640214</v>
      </c>
      <c r="T30" s="183">
        <v>5.8639290632533907</v>
      </c>
      <c r="U30" s="183">
        <v>5.752567609382286</v>
      </c>
      <c r="V30" s="183">
        <v>6.1426684748159452</v>
      </c>
      <c r="W30" s="183">
        <v>5.8974452789010705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25.124743482774875</v>
      </c>
      <c r="D31" s="183">
        <v>24.698134930890575</v>
      </c>
      <c r="E31" s="183">
        <v>26.517226542821135</v>
      </c>
      <c r="F31" s="183">
        <v>24.301066219285019</v>
      </c>
      <c r="G31" s="183">
        <v>22.871737181923038</v>
      </c>
      <c r="H31" s="183">
        <v>17.396402609761594</v>
      </c>
      <c r="I31" s="183">
        <v>18.655994450875738</v>
      </c>
      <c r="J31" s="183">
        <v>18.279840745631532</v>
      </c>
      <c r="K31" s="183">
        <v>18.519274666609817</v>
      </c>
      <c r="L31" s="183">
        <v>19.465246725359066</v>
      </c>
      <c r="M31" s="183">
        <v>28.302189552086588</v>
      </c>
      <c r="N31" s="183">
        <v>28.187013989288062</v>
      </c>
      <c r="O31" s="183">
        <v>31.378505319806976</v>
      </c>
      <c r="P31" s="183">
        <v>29.524820025987196</v>
      </c>
      <c r="Q31" s="183">
        <v>26.100476148637313</v>
      </c>
      <c r="R31" s="183">
        <v>18.224627570952691</v>
      </c>
      <c r="S31" s="183">
        <v>22.242517741718387</v>
      </c>
      <c r="T31" s="183">
        <v>21.926214420806247</v>
      </c>
      <c r="U31" s="183">
        <v>21.912330165477982</v>
      </c>
      <c r="V31" s="183">
        <v>22.426926262108623</v>
      </c>
      <c r="W31" s="183">
        <v>30.603483484451203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0.94421437224066374</v>
      </c>
      <c r="D32" s="41">
        <v>1.1570173667576018</v>
      </c>
      <c r="E32" s="41">
        <v>1.4431494815349772</v>
      </c>
      <c r="F32" s="41">
        <v>1.7354910932118166</v>
      </c>
      <c r="G32" s="41">
        <v>1.9879981422000323</v>
      </c>
      <c r="H32" s="41">
        <v>2.3296955716988972</v>
      </c>
      <c r="I32" s="41">
        <v>2.0407116682947937</v>
      </c>
      <c r="J32" s="41">
        <v>1.6862290802137068</v>
      </c>
      <c r="K32" s="41">
        <v>1.4569536017356768</v>
      </c>
      <c r="L32" s="41">
        <v>1.4307449351650519</v>
      </c>
      <c r="M32" s="41">
        <v>1.3557122990114081</v>
      </c>
      <c r="N32" s="41">
        <v>1.2983835904908325</v>
      </c>
      <c r="O32" s="41">
        <v>1.4348104896500438</v>
      </c>
      <c r="P32" s="41">
        <v>1.5658784710191966</v>
      </c>
      <c r="Q32" s="41">
        <v>1.6938513725041062</v>
      </c>
      <c r="R32" s="41">
        <v>1.7997712454963022</v>
      </c>
      <c r="S32" s="41">
        <v>2.0796213289478551</v>
      </c>
      <c r="T32" s="41">
        <v>2.3169616018812889</v>
      </c>
      <c r="U32" s="41">
        <v>2.79846098335614</v>
      </c>
      <c r="V32" s="41">
        <v>2.8995682104311946</v>
      </c>
      <c r="W32" s="41">
        <v>2.9710623102631679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751.89301765943924</v>
      </c>
      <c r="D33" s="42">
        <v>813.48309750582598</v>
      </c>
      <c r="E33" s="42">
        <v>821.35988886000177</v>
      </c>
      <c r="F33" s="42">
        <v>877.70689099202355</v>
      </c>
      <c r="G33" s="42">
        <v>1076.2129748389152</v>
      </c>
      <c r="H33" s="42">
        <v>1214.9486940209317</v>
      </c>
      <c r="I33" s="42">
        <v>1275.7171851740022</v>
      </c>
      <c r="J33" s="42">
        <v>1402.4572459969313</v>
      </c>
      <c r="K33" s="42">
        <v>1783.118218496179</v>
      </c>
      <c r="L33" s="42">
        <v>1906.7955962676579</v>
      </c>
      <c r="M33" s="42">
        <v>1763.3213938030103</v>
      </c>
      <c r="N33" s="42">
        <v>2144.1667104102517</v>
      </c>
      <c r="O33" s="42">
        <v>2255.7916011407087</v>
      </c>
      <c r="P33" s="42">
        <v>2304.2278824137056</v>
      </c>
      <c r="Q33" s="42">
        <v>2491.3633239986448</v>
      </c>
      <c r="R33" s="42">
        <v>1854.7943107298233</v>
      </c>
      <c r="S33" s="42">
        <v>3340.5225752123606</v>
      </c>
      <c r="T33" s="42">
        <v>3092.1127334527901</v>
      </c>
      <c r="U33" s="42">
        <v>3327.4549037032884</v>
      </c>
      <c r="V33" s="42">
        <v>3072.5499976106767</v>
      </c>
      <c r="W33" s="42">
        <v>2315.1843922369972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2.7695276237772219</v>
      </c>
      <c r="D36" s="183">
        <v>2.8478653585401901</v>
      </c>
      <c r="E36" s="183">
        <v>2.9284189226868591</v>
      </c>
      <c r="F36" s="183">
        <v>3.0112509922682449</v>
      </c>
      <c r="G36" s="183">
        <v>3.0964260161646706</v>
      </c>
      <c r="H36" s="183">
        <v>3.1840102662313257</v>
      </c>
      <c r="I36" s="183">
        <v>3.2740718888622666</v>
      </c>
      <c r="J36" s="183">
        <v>3.3666809580127506</v>
      </c>
      <c r="K36" s="183">
        <v>3.4619095297215239</v>
      </c>
      <c r="L36" s="183">
        <v>3.5598316981752305</v>
      </c>
      <c r="M36" s="183">
        <v>3.660523653358581</v>
      </c>
      <c r="N36" s="183">
        <v>3.7640637403353168</v>
      </c>
      <c r="O36" s="183">
        <v>3.8705325202058276</v>
      </c>
      <c r="P36" s="183">
        <v>3.9800128327891571</v>
      </c>
      <c r="Q36" s="183">
        <v>4.0925898610778262</v>
      </c>
      <c r="R36" s="183">
        <v>4.2083511975159382</v>
      </c>
      <c r="S36" s="183">
        <v>4.3273869121519084</v>
      </c>
      <c r="T36" s="183">
        <v>4.4497896227190381</v>
      </c>
      <c r="U36" s="183">
        <v>5.6851549407755186</v>
      </c>
      <c r="V36" s="183">
        <v>5.4551256839848747</v>
      </c>
      <c r="W36" s="183">
        <v>4.7719041175891022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187.66321189806195</v>
      </c>
      <c r="D37" s="183">
        <v>195.7411526181188</v>
      </c>
      <c r="E37" s="183">
        <v>204.16680733932026</v>
      </c>
      <c r="F37" s="183">
        <v>212.95514336964561</v>
      </c>
      <c r="G37" s="183">
        <v>222.12177228307178</v>
      </c>
      <c r="H37" s="183">
        <v>231.68297765192824</v>
      </c>
      <c r="I37" s="183">
        <v>241.65574397298587</v>
      </c>
      <c r="J37" s="183">
        <v>202.36309949487554</v>
      </c>
      <c r="K37" s="183">
        <v>218.39302504868942</v>
      </c>
      <c r="L37" s="183">
        <v>230.92873552917058</v>
      </c>
      <c r="M37" s="183">
        <v>241.48926920536633</v>
      </c>
      <c r="N37" s="183">
        <v>255.86024568098696</v>
      </c>
      <c r="O37" s="183">
        <v>269.31176976671577</v>
      </c>
      <c r="P37" s="183">
        <v>284.89480262322832</v>
      </c>
      <c r="Q37" s="183">
        <v>244.36748135717153</v>
      </c>
      <c r="R37" s="183">
        <v>274.64959427473286</v>
      </c>
      <c r="S37" s="183">
        <v>289.75652494370252</v>
      </c>
      <c r="T37" s="183">
        <v>307.74569050165428</v>
      </c>
      <c r="U37" s="183">
        <v>337.31973387655034</v>
      </c>
      <c r="V37" s="183">
        <v>366.8267701933687</v>
      </c>
      <c r="W37" s="183">
        <v>398.33318036311402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3.0946631171552283</v>
      </c>
      <c r="D38" s="183">
        <v>3.1750573651976275</v>
      </c>
      <c r="E38" s="183">
        <v>3.2575401233212951</v>
      </c>
      <c r="F38" s="183">
        <v>3.3421656475764507</v>
      </c>
      <c r="G38" s="183">
        <v>3.4289896034960989</v>
      </c>
      <c r="H38" s="183">
        <v>3.5180691027120545</v>
      </c>
      <c r="I38" s="183">
        <v>3.4484873042595119</v>
      </c>
      <c r="J38" s="183">
        <v>3.6203421554825752</v>
      </c>
      <c r="K38" s="183">
        <v>3.623495273260307</v>
      </c>
      <c r="L38" s="183">
        <v>3.9452039422104512</v>
      </c>
      <c r="M38" s="183">
        <v>4.0251837999512468</v>
      </c>
      <c r="N38" s="183">
        <v>4.2868534086564729</v>
      </c>
      <c r="O38" s="183">
        <v>4.2016951536829268</v>
      </c>
      <c r="P38" s="183">
        <v>4.4065390723559936</v>
      </c>
      <c r="Q38" s="183">
        <v>4.3706273940704392</v>
      </c>
      <c r="R38" s="183">
        <v>4.7742184290739296</v>
      </c>
      <c r="S38" s="183">
        <v>4.8339818029323496</v>
      </c>
      <c r="T38" s="183">
        <v>5.0835761660178989</v>
      </c>
      <c r="U38" s="183">
        <v>5.0211878602969691</v>
      </c>
      <c r="V38" s="183">
        <v>5.4904519989438541</v>
      </c>
      <c r="W38" s="183">
        <v>5.3706331829943466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11.050195865482436</v>
      </c>
      <c r="D39" s="183">
        <v>11.282959237620162</v>
      </c>
      <c r="E39" s="183">
        <v>11.520625580534897</v>
      </c>
      <c r="F39" s="183">
        <v>11.763298171311135</v>
      </c>
      <c r="G39" s="183">
        <v>12.011082462480914</v>
      </c>
      <c r="H39" s="183">
        <v>12.264086127847975</v>
      </c>
      <c r="I39" s="183">
        <v>12.522419109277052</v>
      </c>
      <c r="J39" s="183">
        <v>12.786193664468612</v>
      </c>
      <c r="K39" s="183">
        <v>13.055524415740109</v>
      </c>
      <c r="L39" s="183">
        <v>13.330528399834748</v>
      </c>
      <c r="M39" s="183">
        <v>25.124743482774875</v>
      </c>
      <c r="N39" s="183">
        <v>24.698134930890575</v>
      </c>
      <c r="O39" s="183">
        <v>26.517226542821135</v>
      </c>
      <c r="P39" s="183">
        <v>24.301066219284991</v>
      </c>
      <c r="Q39" s="183">
        <v>22.871737181923066</v>
      </c>
      <c r="R39" s="183">
        <v>17.396402609761594</v>
      </c>
      <c r="S39" s="183">
        <v>18.655994450875738</v>
      </c>
      <c r="T39" s="183">
        <v>18.279840745631532</v>
      </c>
      <c r="U39" s="183">
        <v>18.519274666609789</v>
      </c>
      <c r="V39" s="183">
        <v>19.465246725359037</v>
      </c>
      <c r="W39" s="183">
        <v>28.30218955208656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0.31930128611167419</v>
      </c>
      <c r="D40" s="41">
        <v>0.35523273115732756</v>
      </c>
      <c r="E40" s="41">
        <v>0.39520759475224843</v>
      </c>
      <c r="F40" s="41">
        <v>0.43968088875426048</v>
      </c>
      <c r="G40" s="41">
        <v>0.48915882817719236</v>
      </c>
      <c r="H40" s="41">
        <v>0.54420459315759828</v>
      </c>
      <c r="I40" s="41">
        <v>0.60544473932411336</v>
      </c>
      <c r="J40" s="41">
        <v>0.67357632953510915</v>
      </c>
      <c r="K40" s="41">
        <v>0.7493748681613468</v>
      </c>
      <c r="L40" s="41">
        <v>0.83370312822515302</v>
      </c>
      <c r="M40" s="41">
        <v>0.9275209718705888</v>
      </c>
      <c r="N40" s="41">
        <v>1.031896275945634</v>
      </c>
      <c r="O40" s="41">
        <v>1.1480170870562638</v>
      </c>
      <c r="P40" s="41">
        <v>1.2772051444466967</v>
      </c>
      <c r="Q40" s="41">
        <v>1.4209309246293103</v>
      </c>
      <c r="R40" s="41">
        <v>0.94421437224066551</v>
      </c>
      <c r="S40" s="41">
        <v>1.1570173667576</v>
      </c>
      <c r="T40" s="41">
        <v>1.4431494815349772</v>
      </c>
      <c r="U40" s="41">
        <v>1.7354910932118166</v>
      </c>
      <c r="V40" s="41">
        <v>1.9879981422000341</v>
      </c>
      <c r="W40" s="41">
        <v>2.3296955716988954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427.31660486635656</v>
      </c>
      <c r="D41" s="42">
        <v>427.31660486635656</v>
      </c>
      <c r="E41" s="42">
        <v>427.31660486635656</v>
      </c>
      <c r="F41" s="42">
        <v>427.3166048663561</v>
      </c>
      <c r="G41" s="42">
        <v>427.3166048663561</v>
      </c>
      <c r="H41" s="42">
        <v>751.89301765943947</v>
      </c>
      <c r="I41" s="42">
        <v>813.48309750582575</v>
      </c>
      <c r="J41" s="42">
        <v>821.35988886000177</v>
      </c>
      <c r="K41" s="42">
        <v>877.70689099202355</v>
      </c>
      <c r="L41" s="42">
        <v>1076.2129748389161</v>
      </c>
      <c r="M41" s="42">
        <v>1214.9486940209308</v>
      </c>
      <c r="N41" s="42">
        <v>1275.7171851740022</v>
      </c>
      <c r="O41" s="42">
        <v>1402.4572459969313</v>
      </c>
      <c r="P41" s="42">
        <v>1783.1182184961781</v>
      </c>
      <c r="Q41" s="42">
        <v>1906.7955962676588</v>
      </c>
      <c r="R41" s="42">
        <v>1763.3213938030094</v>
      </c>
      <c r="S41" s="42">
        <v>2144.1667104102526</v>
      </c>
      <c r="T41" s="42">
        <v>2255.7916011407087</v>
      </c>
      <c r="U41" s="42">
        <v>2304.2278824137029</v>
      </c>
      <c r="V41" s="42">
        <v>2491.3633239986448</v>
      </c>
      <c r="W41" s="42">
        <v>1854.7943107298252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8760.0000000000018</v>
      </c>
      <c r="D44" s="185">
        <v>8760</v>
      </c>
      <c r="E44" s="185">
        <v>8759.9999999999982</v>
      </c>
      <c r="F44" s="185">
        <v>8759.9999999999982</v>
      </c>
      <c r="G44" s="185">
        <v>8759.9999999999964</v>
      </c>
      <c r="H44" s="185">
        <v>8760.0000000000036</v>
      </c>
      <c r="I44" s="185">
        <v>8759.9999999999964</v>
      </c>
      <c r="J44" s="185">
        <v>8759.9999999999982</v>
      </c>
      <c r="K44" s="185">
        <v>8760</v>
      </c>
      <c r="L44" s="185">
        <v>8759.9999999999945</v>
      </c>
      <c r="M44" s="185">
        <v>8760.0000000000018</v>
      </c>
      <c r="N44" s="185">
        <v>8760.0000000000018</v>
      </c>
      <c r="O44" s="185">
        <v>8760</v>
      </c>
      <c r="P44" s="185">
        <v>8759.9999999999982</v>
      </c>
      <c r="Q44" s="185">
        <v>8760</v>
      </c>
      <c r="R44" s="185">
        <v>8760.0000000000018</v>
      </c>
      <c r="S44" s="185">
        <v>8760.0000000000036</v>
      </c>
      <c r="T44" s="185">
        <v>8760</v>
      </c>
      <c r="U44" s="185">
        <v>8760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4091.8571604487224</v>
      </c>
      <c r="C45" s="185">
        <v>4082.0157021540458</v>
      </c>
      <c r="D45" s="185">
        <v>4069.9925764506838</v>
      </c>
      <c r="E45" s="185">
        <v>4060.8587462073465</v>
      </c>
      <c r="F45" s="185">
        <v>4050.401774853518</v>
      </c>
      <c r="G45" s="185">
        <v>4046.2217104134093</v>
      </c>
      <c r="H45" s="185">
        <v>4040.7900208696433</v>
      </c>
      <c r="I45" s="185">
        <v>4034.3609415192273</v>
      </c>
      <c r="J45" s="185">
        <v>4023.8683242419115</v>
      </c>
      <c r="K45" s="185">
        <v>4016.2331295599961</v>
      </c>
      <c r="L45" s="185">
        <v>4005.8843599767692</v>
      </c>
      <c r="M45" s="185">
        <v>3982.9918894841685</v>
      </c>
      <c r="N45" s="185">
        <v>3954.8881506303596</v>
      </c>
      <c r="O45" s="185">
        <v>3925.3221690212345</v>
      </c>
      <c r="P45" s="185">
        <v>3897.0431543940417</v>
      </c>
      <c r="Q45" s="185">
        <v>3863.3817634734392</v>
      </c>
      <c r="R45" s="185">
        <v>3905.0620530100723</v>
      </c>
      <c r="S45" s="185">
        <v>3920.6099738813878</v>
      </c>
      <c r="T45" s="185">
        <v>3905.5727848064012</v>
      </c>
      <c r="U45" s="185">
        <v>3889.2488164120509</v>
      </c>
      <c r="V45" s="185">
        <v>3864.3715275202721</v>
      </c>
      <c r="W45" s="185">
        <v>3866.4120954582258</v>
      </c>
      <c r="DA45" s="194" t="s">
        <v>940</v>
      </c>
    </row>
    <row r="46" spans="1:105" ht="12" customHeight="1" x14ac:dyDescent="0.25">
      <c r="A46" s="132" t="s">
        <v>5</v>
      </c>
      <c r="B46" s="185">
        <v>2459.427262564448</v>
      </c>
      <c r="C46" s="185">
        <v>2477.8401433046474</v>
      </c>
      <c r="D46" s="185">
        <v>2491.9199029540578</v>
      </c>
      <c r="E46" s="185">
        <v>2504.8512064668312</v>
      </c>
      <c r="F46" s="185">
        <v>2523.5684768525298</v>
      </c>
      <c r="G46" s="185">
        <v>2538.8095188269499</v>
      </c>
      <c r="H46" s="185">
        <v>2546.6620491782483</v>
      </c>
      <c r="I46" s="185">
        <v>2559.154985089654</v>
      </c>
      <c r="J46" s="185">
        <v>2563.7667683974678</v>
      </c>
      <c r="K46" s="185">
        <v>2574.89860259442</v>
      </c>
      <c r="L46" s="185">
        <v>2586.2418840544246</v>
      </c>
      <c r="M46" s="185">
        <v>2593.2902593083631</v>
      </c>
      <c r="N46" s="185">
        <v>2599.9168278435109</v>
      </c>
      <c r="O46" s="185">
        <v>2604.0185065018441</v>
      </c>
      <c r="P46" s="185">
        <v>2608.5679200803406</v>
      </c>
      <c r="Q46" s="185">
        <v>2615.382634048693</v>
      </c>
      <c r="R46" s="185">
        <v>2657.9289421183908</v>
      </c>
      <c r="S46" s="185">
        <v>2676.7587793327157</v>
      </c>
      <c r="T46" s="185">
        <v>2671.8504258498515</v>
      </c>
      <c r="U46" s="185">
        <v>2656.4012163280067</v>
      </c>
      <c r="V46" s="185">
        <v>2460.8917519819324</v>
      </c>
      <c r="W46" s="185">
        <v>2550.0975912272893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8759.9999999999964</v>
      </c>
      <c r="C47" s="185">
        <v>8760.0000000000036</v>
      </c>
      <c r="D47" s="185">
        <v>8760</v>
      </c>
      <c r="E47" s="185">
        <v>8760</v>
      </c>
      <c r="F47" s="185">
        <v>8759.9999999999982</v>
      </c>
      <c r="G47" s="185">
        <v>8759.9999999999982</v>
      </c>
      <c r="H47" s="185">
        <v>8759.9999999999982</v>
      </c>
      <c r="I47" s="185">
        <v>8759.9999999999982</v>
      </c>
      <c r="J47" s="185">
        <v>8759.9999999999982</v>
      </c>
      <c r="K47" s="185">
        <v>8760</v>
      </c>
      <c r="L47" s="185">
        <v>8759.9999999999982</v>
      </c>
      <c r="M47" s="185">
        <v>8759.9999999999964</v>
      </c>
      <c r="N47" s="185">
        <v>8760.0000000000018</v>
      </c>
      <c r="O47" s="185">
        <v>8759.9999999999982</v>
      </c>
      <c r="P47" s="185">
        <v>8759.9999999999964</v>
      </c>
      <c r="Q47" s="185">
        <v>8759.9999999999982</v>
      </c>
      <c r="R47" s="185">
        <v>8760.0000000000018</v>
      </c>
      <c r="S47" s="185">
        <v>8760</v>
      </c>
      <c r="T47" s="185">
        <v>8760</v>
      </c>
      <c r="U47" s="185">
        <v>8760</v>
      </c>
      <c r="V47" s="185">
        <v>8760.0000000000018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825.08353860300349</v>
      </c>
      <c r="C48" s="44">
        <v>829.02486537900438</v>
      </c>
      <c r="D48" s="44">
        <v>832.63945218691242</v>
      </c>
      <c r="E48" s="44">
        <v>835.97846513451668</v>
      </c>
      <c r="F48" s="44">
        <v>839.08184465357908</v>
      </c>
      <c r="G48" s="44">
        <v>841.9813762472271</v>
      </c>
      <c r="H48" s="44">
        <v>844.70277640668246</v>
      </c>
      <c r="I48" s="44">
        <v>847.26715036653502</v>
      </c>
      <c r="J48" s="44">
        <v>849.69203610229715</v>
      </c>
      <c r="K48" s="44">
        <v>851.99216811151985</v>
      </c>
      <c r="L48" s="44">
        <v>854.18004675461259</v>
      </c>
      <c r="M48" s="44">
        <v>855.57036316798087</v>
      </c>
      <c r="N48" s="44">
        <v>856.89809722779307</v>
      </c>
      <c r="O48" s="44">
        <v>858.16872604901005</v>
      </c>
      <c r="P48" s="44">
        <v>859.38703435977743</v>
      </c>
      <c r="Q48" s="44">
        <v>860.55722676593155</v>
      </c>
      <c r="R48" s="44">
        <v>872.34417463635509</v>
      </c>
      <c r="S48" s="44">
        <v>878.02325768044864</v>
      </c>
      <c r="T48" s="44">
        <v>877.7746331469076</v>
      </c>
      <c r="U48" s="44">
        <v>874.60827015516907</v>
      </c>
      <c r="V48" s="44">
        <v>810.23764972342099</v>
      </c>
      <c r="W48" s="44">
        <v>839.6082750154734</v>
      </c>
      <c r="DA48" s="95" t="s">
        <v>943</v>
      </c>
    </row>
    <row r="49" spans="1:105" ht="12" customHeight="1" x14ac:dyDescent="0.25">
      <c r="A49" s="62" t="s">
        <v>3</v>
      </c>
      <c r="B49" s="186">
        <v>1655.8126063499969</v>
      </c>
      <c r="C49" s="186">
        <v>1675.0819093263397</v>
      </c>
      <c r="D49" s="186">
        <v>1702.0221987683715</v>
      </c>
      <c r="E49" s="186">
        <v>1732.4640094320757</v>
      </c>
      <c r="F49" s="186">
        <v>1762.4629541053769</v>
      </c>
      <c r="G49" s="186">
        <v>1790.0930778062193</v>
      </c>
      <c r="H49" s="186">
        <v>1819.0356828339152</v>
      </c>
      <c r="I49" s="186">
        <v>1840.2298546148652</v>
      </c>
      <c r="J49" s="186">
        <v>1861.7278454434395</v>
      </c>
      <c r="K49" s="186">
        <v>1878.9763249476237</v>
      </c>
      <c r="L49" s="186">
        <v>1902.0292170975943</v>
      </c>
      <c r="M49" s="186">
        <v>1925.0989571341033</v>
      </c>
      <c r="N49" s="186">
        <v>1942.9514920628617</v>
      </c>
      <c r="O49" s="186">
        <v>1960.6079266651298</v>
      </c>
      <c r="P49" s="186">
        <v>1980.1036598173523</v>
      </c>
      <c r="Q49" s="186">
        <v>2000.2165339962562</v>
      </c>
      <c r="R49" s="186">
        <v>2047.7257883374441</v>
      </c>
      <c r="S49" s="186">
        <v>2079.5191886199509</v>
      </c>
      <c r="T49" s="186">
        <v>2096.2204493986615</v>
      </c>
      <c r="U49" s="186">
        <v>2107.5987319134565</v>
      </c>
      <c r="V49" s="186">
        <v>2014.5279646061463</v>
      </c>
      <c r="W49" s="186">
        <v>2056.9937139478848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0.62145084547339791</v>
      </c>
      <c r="C52" s="181">
        <v>0.61584517959258767</v>
      </c>
      <c r="D52" s="181">
        <v>0.61035273767783038</v>
      </c>
      <c r="E52" s="181">
        <v>0.60540834720654924</v>
      </c>
      <c r="F52" s="181">
        <v>0.59936953841312546</v>
      </c>
      <c r="G52" s="181">
        <v>0.59318135827018525</v>
      </c>
      <c r="H52" s="181">
        <v>0.58640181678204606</v>
      </c>
      <c r="I52" s="181">
        <v>0.57968878786311528</v>
      </c>
      <c r="J52" s="181">
        <v>0.57375367130939958</v>
      </c>
      <c r="K52" s="181">
        <v>0.56788406539875635</v>
      </c>
      <c r="L52" s="181">
        <v>0.5618165955431027</v>
      </c>
      <c r="M52" s="181">
        <v>0.55567900090875388</v>
      </c>
      <c r="N52" s="181">
        <v>0.54965183632355252</v>
      </c>
      <c r="O52" s="181">
        <v>0.54294831181796255</v>
      </c>
      <c r="P52" s="181">
        <v>0.53579663825093882</v>
      </c>
      <c r="Q52" s="181">
        <v>0.52814145051137606</v>
      </c>
      <c r="R52" s="181">
        <v>0.52047837777066519</v>
      </c>
      <c r="S52" s="181">
        <v>0.51236098773446503</v>
      </c>
      <c r="T52" s="181">
        <v>0.50397385652370574</v>
      </c>
      <c r="U52" s="181">
        <v>0.49719498649410498</v>
      </c>
      <c r="V52" s="181">
        <v>0.49094641416576362</v>
      </c>
      <c r="W52" s="181">
        <v>0.48572086390075586</v>
      </c>
      <c r="DA52" s="190" t="s">
        <v>945</v>
      </c>
    </row>
    <row r="53" spans="1:105" ht="12" customHeight="1" x14ac:dyDescent="0.25">
      <c r="A53" s="132" t="s">
        <v>100</v>
      </c>
      <c r="B53" s="181">
        <v>168.21436296231704</v>
      </c>
      <c r="C53" s="181">
        <v>167.02974324913382</v>
      </c>
      <c r="D53" s="181">
        <v>165.72096165071454</v>
      </c>
      <c r="E53" s="181">
        <v>164.1424864196112</v>
      </c>
      <c r="F53" s="181">
        <v>162.22549625315145</v>
      </c>
      <c r="G53" s="181">
        <v>159.95185439117046</v>
      </c>
      <c r="H53" s="181">
        <v>157.3795831505596</v>
      </c>
      <c r="I53" s="181">
        <v>154.46263940461469</v>
      </c>
      <c r="J53" s="181">
        <v>152.80298014071315</v>
      </c>
      <c r="K53" s="181">
        <v>150.66792316942937</v>
      </c>
      <c r="L53" s="181">
        <v>148.31595241893467</v>
      </c>
      <c r="M53" s="181">
        <v>145.72403056589658</v>
      </c>
      <c r="N53" s="181">
        <v>142.63462104211135</v>
      </c>
      <c r="O53" s="181">
        <v>138.97498158757108</v>
      </c>
      <c r="P53" s="181">
        <v>134.81064095560083</v>
      </c>
      <c r="Q53" s="181">
        <v>130.69152791323737</v>
      </c>
      <c r="R53" s="181">
        <v>126.58134861411502</v>
      </c>
      <c r="S53" s="181">
        <v>122.05648595451017</v>
      </c>
      <c r="T53" s="181">
        <v>117.14574587692665</v>
      </c>
      <c r="U53" s="181">
        <v>111.85205347319287</v>
      </c>
      <c r="V53" s="181">
        <v>106.24263991349854</v>
      </c>
      <c r="W53" s="181">
        <v>100.81064001454415</v>
      </c>
      <c r="DA53" s="190" t="s">
        <v>946</v>
      </c>
    </row>
    <row r="54" spans="1:105" ht="12" customHeight="1" x14ac:dyDescent="0.25">
      <c r="A54" s="132" t="s">
        <v>140</v>
      </c>
      <c r="B54" s="181">
        <v>36.777915907881777</v>
      </c>
      <c r="C54" s="181">
        <v>36.374389620788392</v>
      </c>
      <c r="D54" s="181">
        <v>35.774822138008979</v>
      </c>
      <c r="E54" s="181">
        <v>34.995237151526077</v>
      </c>
      <c r="F54" s="181">
        <v>34.073374111542293</v>
      </c>
      <c r="G54" s="181">
        <v>33.07764180206231</v>
      </c>
      <c r="H54" s="181">
        <v>32.007372224249217</v>
      </c>
      <c r="I54" s="181">
        <v>31.238297328874143</v>
      </c>
      <c r="J54" s="181">
        <v>30.525437753434861</v>
      </c>
      <c r="K54" s="181">
        <v>29.927842789198319</v>
      </c>
      <c r="L54" s="181">
        <v>29.313949270571083</v>
      </c>
      <c r="M54" s="181">
        <v>28.627640179645301</v>
      </c>
      <c r="N54" s="181">
        <v>27.850062257804161</v>
      </c>
      <c r="O54" s="181">
        <v>26.995656146623876</v>
      </c>
      <c r="P54" s="181">
        <v>26.003217563299575</v>
      </c>
      <c r="Q54" s="181">
        <v>24.943031908063318</v>
      </c>
      <c r="R54" s="181">
        <v>23.671352931298529</v>
      </c>
      <c r="S54" s="181">
        <v>22.404353380035648</v>
      </c>
      <c r="T54" s="181">
        <v>20.990371600886878</v>
      </c>
      <c r="U54" s="181">
        <v>19.642299445959452</v>
      </c>
      <c r="V54" s="181">
        <v>18.24582829470523</v>
      </c>
      <c r="W54" s="181">
        <v>16.898690810119607</v>
      </c>
      <c r="DA54" s="190" t="s">
        <v>947</v>
      </c>
    </row>
    <row r="55" spans="1:105" ht="12" customHeight="1" x14ac:dyDescent="0.25">
      <c r="A55" s="132" t="s">
        <v>181</v>
      </c>
      <c r="B55" s="181">
        <v>655.88765864490131</v>
      </c>
      <c r="C55" s="181">
        <v>644.84065308314996</v>
      </c>
      <c r="D55" s="181">
        <v>632.74791076492204</v>
      </c>
      <c r="E55" s="181">
        <v>620.56783692977717</v>
      </c>
      <c r="F55" s="181">
        <v>609.3988517024959</v>
      </c>
      <c r="G55" s="181">
        <v>598.84339981563039</v>
      </c>
      <c r="H55" s="181">
        <v>589.83079281370419</v>
      </c>
      <c r="I55" s="181">
        <v>579.87502619351756</v>
      </c>
      <c r="J55" s="181">
        <v>569.47963232181746</v>
      </c>
      <c r="K55" s="181">
        <v>558.48288992472385</v>
      </c>
      <c r="L55" s="181">
        <v>546.74395024598346</v>
      </c>
      <c r="M55" s="181">
        <v>532.40267338961849</v>
      </c>
      <c r="N55" s="181">
        <v>519.57211045509064</v>
      </c>
      <c r="O55" s="181">
        <v>505.48681381789373</v>
      </c>
      <c r="P55" s="181">
        <v>492.34039793216124</v>
      </c>
      <c r="Q55" s="181">
        <v>480.78178203594666</v>
      </c>
      <c r="R55" s="181">
        <v>472.53192309241456</v>
      </c>
      <c r="S55" s="181">
        <v>463.47378583369954</v>
      </c>
      <c r="T55" s="181">
        <v>454.97576747659434</v>
      </c>
      <c r="U55" s="181">
        <v>446.8352080592465</v>
      </c>
      <c r="V55" s="181">
        <v>438.78558667699536</v>
      </c>
      <c r="W55" s="181">
        <v>428.22202999942141</v>
      </c>
      <c r="DA55" s="190" t="s">
        <v>948</v>
      </c>
    </row>
    <row r="56" spans="1:105" ht="12" customHeight="1" x14ac:dyDescent="0.25">
      <c r="A56" s="60" t="s">
        <v>99</v>
      </c>
      <c r="B56" s="55">
        <v>47.736185687417027</v>
      </c>
      <c r="C56" s="55">
        <v>47.508318589323466</v>
      </c>
      <c r="D56" s="55">
        <v>47.233069851500105</v>
      </c>
      <c r="E56" s="55">
        <v>46.907278985563075</v>
      </c>
      <c r="F56" s="55">
        <v>46.538875453045328</v>
      </c>
      <c r="G56" s="55">
        <v>46.143654722901537</v>
      </c>
      <c r="H56" s="55">
        <v>45.697825063788123</v>
      </c>
      <c r="I56" s="55">
        <v>45.297473053909528</v>
      </c>
      <c r="J56" s="55">
        <v>44.936254914956415</v>
      </c>
      <c r="K56" s="55">
        <v>44.584882845936939</v>
      </c>
      <c r="L56" s="55">
        <v>44.208158068646966</v>
      </c>
      <c r="M56" s="55">
        <v>43.789677091199778</v>
      </c>
      <c r="N56" s="55">
        <v>43.316687409551172</v>
      </c>
      <c r="O56" s="55">
        <v>42.736545463823838</v>
      </c>
      <c r="P56" s="55">
        <v>42.038521669560957</v>
      </c>
      <c r="Q56" s="55">
        <v>41.194408213233785</v>
      </c>
      <c r="R56" s="55">
        <v>40.56825932408929</v>
      </c>
      <c r="S56" s="55">
        <v>39.854415899643726</v>
      </c>
      <c r="T56" s="55">
        <v>39.057877422623882</v>
      </c>
      <c r="U56" s="55">
        <v>38.138324979531596</v>
      </c>
      <c r="V56" s="55">
        <v>37.191199267247491</v>
      </c>
      <c r="W56" s="55">
        <v>36.225677190643211</v>
      </c>
      <c r="DA56" s="101" t="s">
        <v>949</v>
      </c>
    </row>
    <row r="57" spans="1:105" ht="12" customHeight="1" x14ac:dyDescent="0.25">
      <c r="A57" s="62" t="s">
        <v>98</v>
      </c>
      <c r="B57" s="63">
        <v>354.15071168496752</v>
      </c>
      <c r="C57" s="63">
        <v>345.25690636946501</v>
      </c>
      <c r="D57" s="63">
        <v>333.57115660975137</v>
      </c>
      <c r="E57" s="63">
        <v>321.34337561887281</v>
      </c>
      <c r="F57" s="63">
        <v>308.85709501961884</v>
      </c>
      <c r="G57" s="63">
        <v>294.33874501860294</v>
      </c>
      <c r="H57" s="63">
        <v>279.23431727756258</v>
      </c>
      <c r="I57" s="63">
        <v>264.0336044697334</v>
      </c>
      <c r="J57" s="63">
        <v>248.10167166270008</v>
      </c>
      <c r="K57" s="63">
        <v>230.35706554906446</v>
      </c>
      <c r="L57" s="63">
        <v>212.60739600846767</v>
      </c>
      <c r="M57" s="63">
        <v>197.66678270800068</v>
      </c>
      <c r="N57" s="63">
        <v>185.17627821537494</v>
      </c>
      <c r="O57" s="63">
        <v>175.84945756473218</v>
      </c>
      <c r="P57" s="63">
        <v>167.89758959018411</v>
      </c>
      <c r="Q57" s="63">
        <v>163.14088736733871</v>
      </c>
      <c r="R57" s="63">
        <v>160.13310884266429</v>
      </c>
      <c r="S57" s="63">
        <v>155.89692486597602</v>
      </c>
      <c r="T57" s="63">
        <v>152.06379476078399</v>
      </c>
      <c r="U57" s="63">
        <v>148.64427040107577</v>
      </c>
      <c r="V57" s="63">
        <v>144.94639470540255</v>
      </c>
      <c r="W57" s="63">
        <v>142.38820752435257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0.55561552779632395</v>
      </c>
      <c r="D60" s="181">
        <v>0.54892093062646596</v>
      </c>
      <c r="E60" s="181">
        <v>0.54336947982031258</v>
      </c>
      <c r="F60" s="181">
        <v>0.53803356099756994</v>
      </c>
      <c r="G60" s="181">
        <v>0.53293029080294252</v>
      </c>
      <c r="H60" s="181">
        <v>0.52680857452087082</v>
      </c>
      <c r="I60" s="181">
        <v>0.52038852999480523</v>
      </c>
      <c r="J60" s="181">
        <v>0.51366359334054301</v>
      </c>
      <c r="K60" s="181">
        <v>0.50684777572703466</v>
      </c>
      <c r="L60" s="181">
        <v>0.49981349516698181</v>
      </c>
      <c r="M60" s="181">
        <v>0.49289345723377526</v>
      </c>
      <c r="N60" s="181">
        <v>0.48544723564417824</v>
      </c>
      <c r="O60" s="181">
        <v>0.47736904997940338</v>
      </c>
      <c r="P60" s="181">
        <v>0.47045734427981317</v>
      </c>
      <c r="Q60" s="181">
        <v>0.46318044748239801</v>
      </c>
      <c r="R60" s="181">
        <v>0.46008030680476036</v>
      </c>
      <c r="S60" s="181">
        <v>0.45561094174098543</v>
      </c>
      <c r="T60" s="181">
        <v>0.4515364348167421</v>
      </c>
      <c r="U60" s="181">
        <v>0.44776331865863828</v>
      </c>
      <c r="V60" s="181">
        <v>0.44402871825016188</v>
      </c>
      <c r="W60" s="181">
        <v>0.44238556015046249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159.37090659177821</v>
      </c>
      <c r="D61" s="181">
        <v>158.90253096753503</v>
      </c>
      <c r="E61" s="181">
        <v>157.26159775467301</v>
      </c>
      <c r="F61" s="181">
        <v>155.12233448914435</v>
      </c>
      <c r="G61" s="181">
        <v>153.00781691238052</v>
      </c>
      <c r="H61" s="181">
        <v>151.20477092332806</v>
      </c>
      <c r="I61" s="181">
        <v>149.13102532719671</v>
      </c>
      <c r="J61" s="181">
        <v>146.67412185435515</v>
      </c>
      <c r="K61" s="181">
        <v>143.64873457493661</v>
      </c>
      <c r="L61" s="181">
        <v>140.8225121706684</v>
      </c>
      <c r="M61" s="181">
        <v>137.43069062848463</v>
      </c>
      <c r="N61" s="181">
        <v>132.85776929308889</v>
      </c>
      <c r="O61" s="181">
        <v>127.92045390811457</v>
      </c>
      <c r="P61" s="181">
        <v>123.04042269996253</v>
      </c>
      <c r="Q61" s="181">
        <v>116.92795930176339</v>
      </c>
      <c r="R61" s="181">
        <v>110.88171720466457</v>
      </c>
      <c r="S61" s="181">
        <v>105.84459476432258</v>
      </c>
      <c r="T61" s="181">
        <v>100.82149218349186</v>
      </c>
      <c r="U61" s="181">
        <v>95.805935309310371</v>
      </c>
      <c r="V61" s="181">
        <v>90.786345697816984</v>
      </c>
      <c r="W61" s="181">
        <v>88.91456859924817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34.417678145259075</v>
      </c>
      <c r="D62" s="181">
        <v>33.314120680170817</v>
      </c>
      <c r="E62" s="181">
        <v>32.162486127805849</v>
      </c>
      <c r="F62" s="181">
        <v>31.461826497914696</v>
      </c>
      <c r="G62" s="181">
        <v>30.890345509246892</v>
      </c>
      <c r="H62" s="181">
        <v>30.384663739665854</v>
      </c>
      <c r="I62" s="181">
        <v>29.647063230314544</v>
      </c>
      <c r="J62" s="181">
        <v>28.98210346078309</v>
      </c>
      <c r="K62" s="181">
        <v>28.432115659988327</v>
      </c>
      <c r="L62" s="181">
        <v>27.843872790818427</v>
      </c>
      <c r="M62" s="181">
        <v>26.811141390186432</v>
      </c>
      <c r="N62" s="181">
        <v>25.876825730896961</v>
      </c>
      <c r="O62" s="181">
        <v>24.505895102664901</v>
      </c>
      <c r="P62" s="181">
        <v>23.244222879664186</v>
      </c>
      <c r="Q62" s="181">
        <v>21.944411210768138</v>
      </c>
      <c r="R62" s="181">
        <v>20.198298222591454</v>
      </c>
      <c r="S62" s="181">
        <v>19.146069477843817</v>
      </c>
      <c r="T62" s="181">
        <v>17.500128985135152</v>
      </c>
      <c r="U62" s="181">
        <v>16.195795507336175</v>
      </c>
      <c r="V62" s="181">
        <v>15.085351373323828</v>
      </c>
      <c r="W62" s="181">
        <v>13.680046791049081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596.23917262695647</v>
      </c>
      <c r="D63" s="181">
        <v>576.89615281076919</v>
      </c>
      <c r="E63" s="181">
        <v>567.43792177998455</v>
      </c>
      <c r="F63" s="181">
        <v>556.49294813490826</v>
      </c>
      <c r="G63" s="181">
        <v>547.29306660165412</v>
      </c>
      <c r="H63" s="181">
        <v>539.27543811810608</v>
      </c>
      <c r="I63" s="181">
        <v>528.11374366814857</v>
      </c>
      <c r="J63" s="181">
        <v>516.90119995340137</v>
      </c>
      <c r="K63" s="181">
        <v>505.87783028120327</v>
      </c>
      <c r="L63" s="181">
        <v>495.02854844910973</v>
      </c>
      <c r="M63" s="181">
        <v>479.70719746837824</v>
      </c>
      <c r="N63" s="181">
        <v>470.11005597414436</v>
      </c>
      <c r="O63" s="181">
        <v>457.96541412311922</v>
      </c>
      <c r="P63" s="181">
        <v>443.90799856799242</v>
      </c>
      <c r="Q63" s="181">
        <v>436.0666546586703</v>
      </c>
      <c r="R63" s="181">
        <v>429.49673730289095</v>
      </c>
      <c r="S63" s="181">
        <v>421.32133245680899</v>
      </c>
      <c r="T63" s="181">
        <v>413.49823488939376</v>
      </c>
      <c r="U63" s="181">
        <v>406.13579844571814</v>
      </c>
      <c r="V63" s="181">
        <v>398.8515371366891</v>
      </c>
      <c r="W63" s="181">
        <v>389.4640381691907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44.879958172662164</v>
      </c>
      <c r="D64" s="55">
        <v>44.571962843888635</v>
      </c>
      <c r="E64" s="55">
        <v>44.28143954186956</v>
      </c>
      <c r="F64" s="55">
        <v>43.937189434332346</v>
      </c>
      <c r="G64" s="55">
        <v>43.557252048038045</v>
      </c>
      <c r="H64" s="55">
        <v>43.020276227469921</v>
      </c>
      <c r="I64" s="55">
        <v>42.43767757272753</v>
      </c>
      <c r="J64" s="55">
        <v>41.834534163371018</v>
      </c>
      <c r="K64" s="55">
        <v>41.210364238716956</v>
      </c>
      <c r="L64" s="55">
        <v>40.623736119370008</v>
      </c>
      <c r="M64" s="55">
        <v>39.69326901210043</v>
      </c>
      <c r="N64" s="55">
        <v>38.652236136151551</v>
      </c>
      <c r="O64" s="55">
        <v>37.553439324219816</v>
      </c>
      <c r="P64" s="55">
        <v>36.433401888538128</v>
      </c>
      <c r="Q64" s="55">
        <v>35.076850431458951</v>
      </c>
      <c r="R64" s="55">
        <v>34.633379121930808</v>
      </c>
      <c r="S64" s="55">
        <v>34.097982483966227</v>
      </c>
      <c r="T64" s="55">
        <v>33.60025163222879</v>
      </c>
      <c r="U64" s="55">
        <v>33.121217334487476</v>
      </c>
      <c r="V64" s="55">
        <v>32.646420647511619</v>
      </c>
      <c r="W64" s="55">
        <v>32.39332211833522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325.03876042315284</v>
      </c>
      <c r="D65" s="63">
        <v>309.02669126337184</v>
      </c>
      <c r="E65" s="63">
        <v>296.02273518048929</v>
      </c>
      <c r="F65" s="63">
        <v>284.79674953304993</v>
      </c>
      <c r="G65" s="63">
        <v>268.28478481910571</v>
      </c>
      <c r="H65" s="63">
        <v>253.6175302402315</v>
      </c>
      <c r="I65" s="63">
        <v>235.48595735976434</v>
      </c>
      <c r="J65" s="63">
        <v>216.34579979804462</v>
      </c>
      <c r="K65" s="63">
        <v>198.96745354889899</v>
      </c>
      <c r="L65" s="63">
        <v>181.17607499221296</v>
      </c>
      <c r="M65" s="63">
        <v>171.96645656296519</v>
      </c>
      <c r="N65" s="63">
        <v>167.74083992136067</v>
      </c>
      <c r="O65" s="63">
        <v>163.8156847208451</v>
      </c>
      <c r="P65" s="63">
        <v>157.93761397152832</v>
      </c>
      <c r="Q65" s="63">
        <v>157.13692378205391</v>
      </c>
      <c r="R65" s="63">
        <v>153.61170573203395</v>
      </c>
      <c r="S65" s="63">
        <v>149.48596352710157</v>
      </c>
      <c r="T65" s="63">
        <v>145.4555691311414</v>
      </c>
      <c r="U65" s="63">
        <v>141.63479087046727</v>
      </c>
      <c r="V65" s="63">
        <v>137.85387740018041</v>
      </c>
      <c r="W65" s="63">
        <v>135.15080295844447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623.38297693792197</v>
      </c>
      <c r="C68" s="188">
        <f>1000000*C20/SER_summary!C$8</f>
        <v>644.61974445729788</v>
      </c>
      <c r="D68" s="188">
        <f>1000000*D20/SER_summary!D$8</f>
        <v>663.05521026763131</v>
      </c>
      <c r="E68" s="188">
        <f>1000000*E20/SER_summary!E$8</f>
        <v>675.0075702097364</v>
      </c>
      <c r="F68" s="188">
        <f>1000000*F20/SER_summary!F$8</f>
        <v>692.15059284130757</v>
      </c>
      <c r="G68" s="188">
        <f>1000000*G20/SER_summary!G$8</f>
        <v>711.79967214875353</v>
      </c>
      <c r="H68" s="188">
        <f>1000000*H20/SER_summary!H$8</f>
        <v>733.21558376791972</v>
      </c>
      <c r="I68" s="188">
        <f>1000000*I20/SER_summary!I$8</f>
        <v>752.78105861412052</v>
      </c>
      <c r="J68" s="188">
        <f>1000000*J20/SER_summary!J$8</f>
        <v>764.87216035903009</v>
      </c>
      <c r="K68" s="188">
        <f>1000000*K20/SER_summary!K$8</f>
        <v>776.10482580091787</v>
      </c>
      <c r="L68" s="188">
        <f>1000000*L20/SER_summary!L$8</f>
        <v>784.44025531705688</v>
      </c>
      <c r="M68" s="188">
        <f>1000000*M20/SER_summary!M$8</f>
        <v>791.42915862080906</v>
      </c>
      <c r="N68" s="188">
        <f>1000000*N20/SER_summary!N$8</f>
        <v>794.15448601324078</v>
      </c>
      <c r="O68" s="188">
        <f>1000000*O20/SER_summary!O$8</f>
        <v>799.77429804707378</v>
      </c>
      <c r="P68" s="188">
        <f>1000000*P20/SER_summary!P$8</f>
        <v>805.90202851267895</v>
      </c>
      <c r="Q68" s="188">
        <f>1000000*Q20/SER_summary!Q$8</f>
        <v>812.83011294787434</v>
      </c>
      <c r="R68" s="188">
        <f>1000000*R20/SER_summary!R$8</f>
        <v>815.12112242753187</v>
      </c>
      <c r="S68" s="188">
        <f>1000000*S20/SER_summary!S$8</f>
        <v>817.39059723773903</v>
      </c>
      <c r="T68" s="188">
        <f>1000000*T20/SER_summary!T$8</f>
        <v>819.75242835420784</v>
      </c>
      <c r="U68" s="188">
        <f>1000000*U20/SER_summary!U$8</f>
        <v>822.27569223007868</v>
      </c>
      <c r="V68" s="188">
        <f>1000000*V20/SER_summary!V$8</f>
        <v>825.08896489821473</v>
      </c>
      <c r="W68" s="188">
        <f>1000000*W20/SER_summary!W$8</f>
        <v>828.32525306768264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0.28928629755777796</v>
      </c>
      <c r="C69" s="188">
        <f>1000*C21/SER_summary!C$3</f>
        <v>0.29157559651348136</v>
      </c>
      <c r="D69" s="188">
        <f>1000*D21/SER_summary!D$3</f>
        <v>0.29516223103395361</v>
      </c>
      <c r="E69" s="188">
        <f>1000*E21/SER_summary!E$3</f>
        <v>0.29965656908614796</v>
      </c>
      <c r="F69" s="188">
        <f>1000*F21/SER_summary!F$3</f>
        <v>0.30435176043254475</v>
      </c>
      <c r="G69" s="188">
        <f>1000*G21/SER_summary!G$3</f>
        <v>0.30981356006470651</v>
      </c>
      <c r="H69" s="188">
        <f>1000*H21/SER_summary!H$3</f>
        <v>0.31585512706471797</v>
      </c>
      <c r="I69" s="188">
        <f>1000*I21/SER_summary!I$3</f>
        <v>0.32276965548295045</v>
      </c>
      <c r="J69" s="188">
        <f>1000*J21/SER_summary!J$3</f>
        <v>0.32926150314034136</v>
      </c>
      <c r="K69" s="188">
        <f>1000*K21/SER_summary!K$3</f>
        <v>0.33822675464446383</v>
      </c>
      <c r="L69" s="188">
        <f>1000*L21/SER_summary!L$3</f>
        <v>0.34763245165297113</v>
      </c>
      <c r="M69" s="188">
        <f>1000*M21/SER_summary!M$3</f>
        <v>0.3584162207016332</v>
      </c>
      <c r="N69" s="188">
        <f>1000*N21/SER_summary!N$3</f>
        <v>0.37177306682742317</v>
      </c>
      <c r="O69" s="188">
        <f>1000*O21/SER_summary!O$3</f>
        <v>0.38800204282962425</v>
      </c>
      <c r="P69" s="188">
        <f>1000*P21/SER_summary!P$3</f>
        <v>0.4070609189253685</v>
      </c>
      <c r="Q69" s="188">
        <f>1000*Q21/SER_summary!Q$3</f>
        <v>0.43038497607747034</v>
      </c>
      <c r="R69" s="188">
        <f>1000*R21/SER_summary!R$3</f>
        <v>0.43705666749630606</v>
      </c>
      <c r="S69" s="188">
        <f>1000*S21/SER_summary!S$3</f>
        <v>0.44382034566087147</v>
      </c>
      <c r="T69" s="188">
        <f>1000*T21/SER_summary!T$3</f>
        <v>0.45111827669502652</v>
      </c>
      <c r="U69" s="188">
        <f>1000*U21/SER_summary!U$3</f>
        <v>0.45826548522216942</v>
      </c>
      <c r="V69" s="188">
        <f>1000*V21/SER_summary!V$3</f>
        <v>0.46424153026717235</v>
      </c>
      <c r="W69" s="188">
        <f>1000*W21/SER_summary!W$3</f>
        <v>0.46869315170346093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193.46330258340771</v>
      </c>
      <c r="C70" s="188">
        <f>1000000*C22/SER_summary!C$8</f>
        <v>194.73415305911328</v>
      </c>
      <c r="D70" s="188">
        <f>1000000*D22/SER_summary!D$8</f>
        <v>197.03141021059741</v>
      </c>
      <c r="E70" s="188">
        <f>1000000*E22/SER_summary!E$8</f>
        <v>198.85960045632891</v>
      </c>
      <c r="F70" s="188">
        <f>1000000*F22/SER_summary!F$8</f>
        <v>201.51809421034298</v>
      </c>
      <c r="G70" s="188">
        <f>1000000*G22/SER_summary!G$8</f>
        <v>204.50808474393827</v>
      </c>
      <c r="H70" s="188">
        <f>1000000*H22/SER_summary!H$8</f>
        <v>207.92721312157977</v>
      </c>
      <c r="I70" s="188">
        <f>1000000*I22/SER_summary!I$8</f>
        <v>211.1379576552601</v>
      </c>
      <c r="J70" s="188">
        <f>1000000*J22/SER_summary!J$8</f>
        <v>215.7527482145527</v>
      </c>
      <c r="K70" s="188">
        <f>1000000*K22/SER_summary!K$8</f>
        <v>220.89658973399153</v>
      </c>
      <c r="L70" s="188">
        <f>1000000*L22/SER_summary!L$8</f>
        <v>226.28302526353644</v>
      </c>
      <c r="M70" s="188">
        <f>1000000*M22/SER_summary!M$8</f>
        <v>231.94904014702269</v>
      </c>
      <c r="N70" s="188">
        <f>1000000*N22/SER_summary!N$8</f>
        <v>238.00098371523268</v>
      </c>
      <c r="O70" s="188">
        <f>1000000*O22/SER_summary!O$8</f>
        <v>244.31164801665844</v>
      </c>
      <c r="P70" s="188">
        <f>1000000*P22/SER_summary!P$8</f>
        <v>252.80975296900641</v>
      </c>
      <c r="Q70" s="188">
        <f>1000000*Q22/SER_summary!Q$8</f>
        <v>260.45945902409301</v>
      </c>
      <c r="R70" s="188">
        <f>1000000*R22/SER_summary!R$8</f>
        <v>264.65387831585326</v>
      </c>
      <c r="S70" s="188">
        <f>1000000*S22/SER_summary!S$8</f>
        <v>268.89838081420237</v>
      </c>
      <c r="T70" s="188">
        <f>1000000*T22/SER_summary!T$8</f>
        <v>272.99143597812196</v>
      </c>
      <c r="U70" s="188">
        <f>1000000*U22/SER_summary!U$8</f>
        <v>276.80979989417278</v>
      </c>
      <c r="V70" s="188">
        <f>1000000*V22/SER_summary!V$8</f>
        <v>280.12378672841731</v>
      </c>
      <c r="W70" s="188">
        <f>1000000*W22/SER_summary!W$8</f>
        <v>282.66611104890393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2.3511856981974378E-2</v>
      </c>
      <c r="C71" s="188">
        <f>1000*C23/SER_summary!C$3</f>
        <v>2.6183835072545295E-2</v>
      </c>
      <c r="D71" s="188">
        <f>1000*D23/SER_summary!D$3</f>
        <v>2.8696723257124808E-2</v>
      </c>
      <c r="E71" s="188">
        <f>1000*E23/SER_summary!E$3</f>
        <v>3.1514395036671403E-2</v>
      </c>
      <c r="F71" s="188">
        <f>1000*F23/SER_summary!F$3</f>
        <v>3.3835263066268738E-2</v>
      </c>
      <c r="G71" s="188">
        <f>1000*G23/SER_summary!G$3</f>
        <v>3.5800188342205136E-2</v>
      </c>
      <c r="H71" s="188">
        <f>1000*H23/SER_summary!H$3</f>
        <v>3.6647520646013718E-2</v>
      </c>
      <c r="I71" s="188">
        <f>1000*I23/SER_summary!I$3</f>
        <v>3.7661407364356046E-2</v>
      </c>
      <c r="J71" s="188">
        <f>1000*J23/SER_summary!J$3</f>
        <v>3.8530669836856109E-2</v>
      </c>
      <c r="K71" s="188">
        <f>1000*K23/SER_summary!K$3</f>
        <v>3.9369618319612415E-2</v>
      </c>
      <c r="L71" s="188">
        <f>1000*L23/SER_summary!L$3</f>
        <v>4.0331236426458292E-2</v>
      </c>
      <c r="M71" s="188">
        <f>1000*M23/SER_summary!M$3</f>
        <v>4.0743417384566695E-2</v>
      </c>
      <c r="N71" s="188">
        <f>1000*N23/SER_summary!N$3</f>
        <v>4.1193296440194795E-2</v>
      </c>
      <c r="O71" s="188">
        <f>1000*O23/SER_summary!O$3</f>
        <v>4.1896246478160926E-2</v>
      </c>
      <c r="P71" s="188">
        <f>1000*P23/SER_summary!P$3</f>
        <v>4.2665475250231531E-2</v>
      </c>
      <c r="Q71" s="188">
        <f>1000*Q23/SER_summary!Q$3</f>
        <v>4.3095834960760096E-2</v>
      </c>
      <c r="R71" s="188">
        <f>1000*R23/SER_summary!R$3</f>
        <v>4.312460485090959E-2</v>
      </c>
      <c r="S71" s="188">
        <f>1000*S23/SER_summary!S$3</f>
        <v>4.3651017287650959E-2</v>
      </c>
      <c r="T71" s="188">
        <f>1000*T23/SER_summary!T$3</f>
        <v>4.4234561158770488E-2</v>
      </c>
      <c r="U71" s="188">
        <f>1000*U23/SER_summary!U$3</f>
        <v>4.4811085784354672E-2</v>
      </c>
      <c r="V71" s="188">
        <f>1000*V23/SER_summary!V$3</f>
        <v>4.5287311728840769E-2</v>
      </c>
      <c r="W71" s="188">
        <f>1000*W23/SER_summary!W$3</f>
        <v>4.5633603412566157E-2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109.44482474579974</v>
      </c>
      <c r="C72" s="188">
        <f>1000000*C24/SER_summary!C$8</f>
        <v>114.26450828535086</v>
      </c>
      <c r="D72" s="188">
        <f>1000000*D24/SER_summary!D$8</f>
        <v>120.77828591966249</v>
      </c>
      <c r="E72" s="188">
        <f>1000000*E24/SER_summary!E$8</f>
        <v>129.70503334209045</v>
      </c>
      <c r="F72" s="188">
        <f>1000000*F24/SER_summary!F$8</f>
        <v>139.86477540495704</v>
      </c>
      <c r="G72" s="188">
        <f>1000000*G24/SER_summary!G$8</f>
        <v>151.94419442225183</v>
      </c>
      <c r="H72" s="188">
        <f>1000000*H24/SER_summary!H$8</f>
        <v>165.48633351467427</v>
      </c>
      <c r="I72" s="188">
        <f>1000000*I24/SER_summary!I$8</f>
        <v>175.48679719006486</v>
      </c>
      <c r="J72" s="188">
        <f>1000000*J24/SER_summary!J$8</f>
        <v>182.48705580037264</v>
      </c>
      <c r="K72" s="188">
        <f>1000000*K24/SER_summary!K$8</f>
        <v>187.49991285433379</v>
      </c>
      <c r="L72" s="188">
        <f>1000000*L24/SER_summary!L$8</f>
        <v>191.14623001851083</v>
      </c>
      <c r="M72" s="188">
        <f>1000000*M24/SER_summary!M$8</f>
        <v>193.7313733611505</v>
      </c>
      <c r="N72" s="188">
        <f>1000000*N24/SER_summary!N$8</f>
        <v>195.35460210250781</v>
      </c>
      <c r="O72" s="188">
        <f>1000000*O24/SER_summary!O$8</f>
        <v>197.22563500985518</v>
      </c>
      <c r="P72" s="188">
        <f>1000000*P24/SER_summary!P$8</f>
        <v>199.07367578110117</v>
      </c>
      <c r="Q72" s="188">
        <f>1000000*Q24/SER_summary!Q$8</f>
        <v>200.71414002711998</v>
      </c>
      <c r="R72" s="188">
        <f>1000000*R24/SER_summary!R$8</f>
        <v>206.72135190764456</v>
      </c>
      <c r="S72" s="188">
        <f>1000000*S24/SER_summary!S$8</f>
        <v>212.64458063108049</v>
      </c>
      <c r="T72" s="188">
        <f>1000000*T24/SER_summary!T$8</f>
        <v>218.01646405720936</v>
      </c>
      <c r="U72" s="188">
        <f>1000000*U24/SER_summary!U$8</f>
        <v>225.01645357282922</v>
      </c>
      <c r="V72" s="188">
        <f>1000000*V24/SER_summary!V$8</f>
        <v>230.83365791543989</v>
      </c>
      <c r="W72" s="188">
        <f>1000000*W24/SER_summary!W$8</f>
        <v>234.61530442156467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0.41316152573022841</v>
      </c>
      <c r="C73" s="52">
        <f>1000*C25/SER_summary!C$3</f>
        <v>0.47502505486268193</v>
      </c>
      <c r="D73" s="52">
        <f>1000*D25/SER_summary!D$3</f>
        <v>0.54810013314292882</v>
      </c>
      <c r="E73" s="52">
        <f>1000*E25/SER_summary!E$3</f>
        <v>0.62258654451159212</v>
      </c>
      <c r="F73" s="52">
        <f>1000*F25/SER_summary!F$3</f>
        <v>0.70726993261026549</v>
      </c>
      <c r="G73" s="52">
        <f>1000*G25/SER_summary!G$3</f>
        <v>0.82890554021603013</v>
      </c>
      <c r="H73" s="52">
        <f>1000*H25/SER_summary!H$3</f>
        <v>0.91402120150729271</v>
      </c>
      <c r="I73" s="52">
        <f>1000*I25/SER_summary!I$3</f>
        <v>0.99791368959672277</v>
      </c>
      <c r="J73" s="52">
        <f>1000*J25/SER_summary!J$3</f>
        <v>1.1031149213963864</v>
      </c>
      <c r="K73" s="52">
        <f>1000*K25/SER_summary!K$3</f>
        <v>1.2677537070715243</v>
      </c>
      <c r="L73" s="52">
        <f>1000*L25/SER_summary!L$3</f>
        <v>1.4170121240476048</v>
      </c>
      <c r="M73" s="52">
        <f>1000*M25/SER_summary!M$3</f>
        <v>1.5127427205110549</v>
      </c>
      <c r="N73" s="52">
        <f>1000*N25/SER_summary!N$3</f>
        <v>1.6662496345716717</v>
      </c>
      <c r="O73" s="52">
        <f>1000*O25/SER_summary!O$3</f>
        <v>1.8156965979747095</v>
      </c>
      <c r="P73" s="52">
        <f>1000*P25/SER_summary!P$3</f>
        <v>1.9030983943256039</v>
      </c>
      <c r="Q73" s="52">
        <f>1000*Q25/SER_summary!Q$3</f>
        <v>2.0028080419138656</v>
      </c>
      <c r="R73" s="52">
        <f>1000*R25/SER_summary!R$3</f>
        <v>2.013800542760336</v>
      </c>
      <c r="S73" s="52">
        <f>1000*S25/SER_summary!S$3</f>
        <v>2.2253386821563947</v>
      </c>
      <c r="T73" s="52">
        <f>1000*T25/SER_summary!T$3</f>
        <v>2.3730659037257098</v>
      </c>
      <c r="U73" s="52">
        <f>1000*U25/SER_summary!U$3</f>
        <v>2.5564434430981873</v>
      </c>
      <c r="V73" s="52">
        <f>1000*V25/SER_summary!V$3</f>
        <v>2.6582187006060383</v>
      </c>
      <c r="W73" s="52">
        <f>1000*W25/SER_summary!W$3</f>
        <v>2.7373312666766019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29.889189460909169</v>
      </c>
      <c r="C3" s="199">
        <f>'SER_se-appl'!C4</f>
        <v>30.97205130939258</v>
      </c>
      <c r="D3" s="199">
        <f>'SER_se-appl'!D4</f>
        <v>31.894468261306262</v>
      </c>
      <c r="E3" s="199">
        <f>'SER_se-appl'!E4</f>
        <v>32.476739844302926</v>
      </c>
      <c r="F3" s="199">
        <f>'SER_se-appl'!F4</f>
        <v>33.469510245085203</v>
      </c>
      <c r="G3" s="199">
        <f>'SER_se-appl'!G4</f>
        <v>34.493402240245921</v>
      </c>
      <c r="H3" s="199">
        <f>'SER_se-appl'!H4</f>
        <v>35.744936310450967</v>
      </c>
      <c r="I3" s="199">
        <f>'SER_se-appl'!I4</f>
        <v>36.899529559696838</v>
      </c>
      <c r="J3" s="199">
        <f>'SER_se-appl'!J4</f>
        <v>37.519143633466584</v>
      </c>
      <c r="K3" s="199">
        <f>'SER_se-appl'!K4</f>
        <v>37.926060563598298</v>
      </c>
      <c r="L3" s="199">
        <f>'SER_se-appl'!L4</f>
        <v>38.23723975513591</v>
      </c>
      <c r="M3" s="199">
        <f>'SER_se-appl'!M4</f>
        <v>38.379453578519616</v>
      </c>
      <c r="N3" s="199">
        <f>'SER_se-appl'!N4</f>
        <v>38.225879733871885</v>
      </c>
      <c r="O3" s="199">
        <f>'SER_se-appl'!O4</f>
        <v>38.141747833378993</v>
      </c>
      <c r="P3" s="199">
        <f>'SER_se-appl'!P4</f>
        <v>38.047270847684167</v>
      </c>
      <c r="Q3" s="199">
        <f>'SER_se-appl'!Q4</f>
        <v>37.956596160847617</v>
      </c>
      <c r="R3" s="199">
        <f>'SER_se-appl'!R4</f>
        <v>37.743789143805493</v>
      </c>
      <c r="S3" s="199">
        <f>'SER_se-appl'!S4</f>
        <v>37.589389858451085</v>
      </c>
      <c r="T3" s="199">
        <f>'SER_se-appl'!T4</f>
        <v>37.414459337442196</v>
      </c>
      <c r="U3" s="199">
        <f>'SER_se-appl'!U4</f>
        <v>37.327728034567201</v>
      </c>
      <c r="V3" s="199">
        <f>'SER_se-appl'!V4</f>
        <v>37.257563083007163</v>
      </c>
      <c r="W3" s="199">
        <f>'SER_se-appl'!W4</f>
        <v>37.237549321428553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39.681652218079201</v>
      </c>
      <c r="C5" s="59">
        <f>'SER_se-appl'!C12</f>
        <v>41.119287297743796</v>
      </c>
      <c r="D5" s="59">
        <f>'SER_se-appl'!D12</f>
        <v>42.3439116300219</v>
      </c>
      <c r="E5" s="59">
        <f>'SER_se-appl'!E12</f>
        <v>43.116950272744653</v>
      </c>
      <c r="F5" s="59">
        <f>'SER_se-appl'!F12</f>
        <v>44.434977642732996</v>
      </c>
      <c r="G5" s="59">
        <f>'SER_se-appl'!G12</f>
        <v>45.794322837221486</v>
      </c>
      <c r="H5" s="59">
        <f>'SER_se-appl'!H12</f>
        <v>47.455891471523351</v>
      </c>
      <c r="I5" s="59">
        <f>'SER_se-appl'!I12</f>
        <v>48.988758993067854</v>
      </c>
      <c r="J5" s="59">
        <f>'SER_se-appl'!J12</f>
        <v>49.811374481417403</v>
      </c>
      <c r="K5" s="59">
        <f>'SER_se-appl'!K12</f>
        <v>50.351607803042029</v>
      </c>
      <c r="L5" s="59">
        <f>'SER_se-appl'!L12</f>
        <v>50.764737254820879</v>
      </c>
      <c r="M5" s="59">
        <f>'SER_se-appl'!M12</f>
        <v>50.953543963262902</v>
      </c>
      <c r="N5" s="59">
        <f>'SER_se-appl'!N12</f>
        <v>50.749655400106157</v>
      </c>
      <c r="O5" s="59">
        <f>'SER_se-appl'!O12</f>
        <v>50.637959737693805</v>
      </c>
      <c r="P5" s="59">
        <f>'SER_se-appl'!P12</f>
        <v>50.512529675635498</v>
      </c>
      <c r="Q5" s="59">
        <f>'SER_se-appl'!Q12</f>
        <v>50.392147642769153</v>
      </c>
      <c r="R5" s="59">
        <f>'SER_se-appl'!R12</f>
        <v>50.109619605303401</v>
      </c>
      <c r="S5" s="59">
        <f>'SER_se-appl'!S12</f>
        <v>49.904635165957302</v>
      </c>
      <c r="T5" s="59">
        <f>'SER_se-appl'!T12</f>
        <v>49.672392933156701</v>
      </c>
      <c r="U5" s="59">
        <f>'SER_se-appl'!U12</f>
        <v>49.55724623767312</v>
      </c>
      <c r="V5" s="59">
        <f>'SER_se-appl'!V12</f>
        <v>49.464093453809738</v>
      </c>
      <c r="W5" s="59">
        <f>'SER_se-appl'!W12</f>
        <v>49.437522672170552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623.38297693792197</v>
      </c>
      <c r="C6" s="202">
        <f>'SER_se-appl'!C68</f>
        <v>644.61974445729788</v>
      </c>
      <c r="D6" s="202">
        <f>'SER_se-appl'!D68</f>
        <v>663.05521026763131</v>
      </c>
      <c r="E6" s="202">
        <f>'SER_se-appl'!E68</f>
        <v>675.0075702097364</v>
      </c>
      <c r="F6" s="202">
        <f>'SER_se-appl'!F68</f>
        <v>692.15059284130757</v>
      </c>
      <c r="G6" s="202">
        <f>'SER_se-appl'!G68</f>
        <v>711.79967214875353</v>
      </c>
      <c r="H6" s="202">
        <f>'SER_se-appl'!H68</f>
        <v>733.21558376791972</v>
      </c>
      <c r="I6" s="202">
        <f>'SER_se-appl'!I68</f>
        <v>752.78105861412052</v>
      </c>
      <c r="J6" s="202">
        <f>'SER_se-appl'!J68</f>
        <v>764.87216035903009</v>
      </c>
      <c r="K6" s="202">
        <f>'SER_se-appl'!K68</f>
        <v>776.10482580091787</v>
      </c>
      <c r="L6" s="202">
        <f>'SER_se-appl'!L68</f>
        <v>784.44025531705688</v>
      </c>
      <c r="M6" s="202">
        <f>'SER_se-appl'!M68</f>
        <v>791.42915862080906</v>
      </c>
      <c r="N6" s="202">
        <f>'SER_se-appl'!N68</f>
        <v>794.15448601324078</v>
      </c>
      <c r="O6" s="202">
        <f>'SER_se-appl'!O68</f>
        <v>799.77429804707378</v>
      </c>
      <c r="P6" s="202">
        <f>'SER_se-appl'!P68</f>
        <v>805.90202851267895</v>
      </c>
      <c r="Q6" s="202">
        <f>'SER_se-appl'!Q68</f>
        <v>812.83011294787434</v>
      </c>
      <c r="R6" s="202">
        <f>'SER_se-appl'!R68</f>
        <v>815.12112242753187</v>
      </c>
      <c r="S6" s="202">
        <f>'SER_se-appl'!S68</f>
        <v>817.39059723773903</v>
      </c>
      <c r="T6" s="202">
        <f>'SER_se-appl'!T68</f>
        <v>819.75242835420784</v>
      </c>
      <c r="U6" s="202">
        <f>'SER_se-appl'!U68</f>
        <v>822.27569223007868</v>
      </c>
      <c r="V6" s="202">
        <f>'SER_se-appl'!V68</f>
        <v>825.08896489821473</v>
      </c>
      <c r="W6" s="202">
        <f>'SER_se-appl'!W68</f>
        <v>828.32525306768264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63.853243594593891</v>
      </c>
      <c r="C8" s="34">
        <f>'SER_se-appl'!C20</f>
        <v>66.768870911592188</v>
      </c>
      <c r="D8" s="34">
        <f>'SER_se-appl'!D20</f>
        <v>69.376131237036873</v>
      </c>
      <c r="E8" s="34">
        <f>'SER_se-appl'!E20</f>
        <v>71.219616431939116</v>
      </c>
      <c r="F8" s="34">
        <f>'SER_se-appl'!F20</f>
        <v>74.136196110963255</v>
      </c>
      <c r="G8" s="34">
        <f>'SER_se-appl'!G20</f>
        <v>77.201217129893109</v>
      </c>
      <c r="H8" s="34">
        <f>'SER_se-appl'!H20</f>
        <v>80.927258602204788</v>
      </c>
      <c r="I8" s="34">
        <f>'SER_se-appl'!I20</f>
        <v>84.508722643495062</v>
      </c>
      <c r="J8" s="34">
        <f>'SER_se-appl'!J20</f>
        <v>86.816654903034802</v>
      </c>
      <c r="K8" s="34">
        <f>'SER_se-appl'!K20</f>
        <v>88.665294328493232</v>
      </c>
      <c r="L8" s="34">
        <f>'SER_se-appl'!L20</f>
        <v>90.358201693467407</v>
      </c>
      <c r="M8" s="34">
        <f>'SER_se-appl'!M20</f>
        <v>91.696004131762763</v>
      </c>
      <c r="N8" s="34">
        <f>'SER_se-appl'!N20</f>
        <v>92.33054826043076</v>
      </c>
      <c r="O8" s="34">
        <f>'SER_se-appl'!O20</f>
        <v>93.264788996473555</v>
      </c>
      <c r="P8" s="34">
        <f>'SER_se-appl'!P20</f>
        <v>94.275562908586409</v>
      </c>
      <c r="Q8" s="34">
        <f>'SER_se-appl'!Q20</f>
        <v>95.414112249619222</v>
      </c>
      <c r="R8" s="34">
        <f>'SER_se-appl'!R20</f>
        <v>96.27608320625157</v>
      </c>
      <c r="S8" s="34">
        <f>'SER_se-appl'!S20</f>
        <v>97.40131735365604</v>
      </c>
      <c r="T8" s="34">
        <f>'SER_se-appl'!T20</f>
        <v>98.561447761963876</v>
      </c>
      <c r="U8" s="34">
        <f>'SER_se-appl'!U20</f>
        <v>99.673664425135343</v>
      </c>
      <c r="V8" s="34">
        <f>'SER_se-appl'!V20</f>
        <v>100.75253026923755</v>
      </c>
      <c r="W8" s="34">
        <f>'SER_se-appl'!W20</f>
        <v>101.78175644987692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5.6851549407755186</v>
      </c>
      <c r="D9" s="36">
        <f>'SER_se-appl'!D28</f>
        <v>5.4551256839848676</v>
      </c>
      <c r="E9" s="36">
        <f>'SER_se-appl'!E28</f>
        <v>4.7719041175891022</v>
      </c>
      <c r="F9" s="36">
        <f>'SER_se-appl'!F28</f>
        <v>5.9278306712923836</v>
      </c>
      <c r="G9" s="36">
        <f>'SER_se-appl'!G28</f>
        <v>6.1614470350945254</v>
      </c>
      <c r="H9" s="36">
        <f>'SER_se-appl'!H28</f>
        <v>6.9100517385430038</v>
      </c>
      <c r="I9" s="36">
        <f>'SER_se-appl'!I28</f>
        <v>6.8555359301525414</v>
      </c>
      <c r="J9" s="36">
        <f>'SER_se-appl'!J28</f>
        <v>5.6746132175524906</v>
      </c>
      <c r="K9" s="36">
        <f>'SER_se-appl'!K28</f>
        <v>5.3105489551799536</v>
      </c>
      <c r="L9" s="36">
        <f>'SER_se-appl'!L28</f>
        <v>5.2527390631494058</v>
      </c>
      <c r="M9" s="36">
        <f>'SER_se-appl'!M28</f>
        <v>4.9983260916539365</v>
      </c>
      <c r="N9" s="36">
        <f>'SER_se-appl'!N28</f>
        <v>4.3986078690033139</v>
      </c>
      <c r="O9" s="36">
        <f>'SER_se-appl'!O28</f>
        <v>4.8047732562486232</v>
      </c>
      <c r="P9" s="36">
        <f>'SER_se-appl'!P28</f>
        <v>4.9907867449020102</v>
      </c>
      <c r="Q9" s="36">
        <f>'SER_se-appl'!Q28</f>
        <v>5.23113920211064</v>
      </c>
      <c r="R9" s="36">
        <f>'SER_se-appl'!R28</f>
        <v>5.0703221541482861</v>
      </c>
      <c r="S9" s="36">
        <f>'SER_se-appl'!S28</f>
        <v>5.4526210595563782</v>
      </c>
      <c r="T9" s="36">
        <f>'SER_se-appl'!T28</f>
        <v>5.6099200310268742</v>
      </c>
      <c r="U9" s="36">
        <f>'SER_se-appl'!U28</f>
        <v>6.7973716039469849</v>
      </c>
      <c r="V9" s="36">
        <f>'SER_se-appl'!V28</f>
        <v>6.5339915280870855</v>
      </c>
      <c r="W9" s="36">
        <f>'SER_se-appl'!W28</f>
        <v>5.8011302982284718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2.7695276237772219</v>
      </c>
      <c r="D10" s="38">
        <f>'SER_se-appl'!D36</f>
        <v>2.8478653585401901</v>
      </c>
      <c r="E10" s="38">
        <f>'SER_se-appl'!E36</f>
        <v>2.9284189226868591</v>
      </c>
      <c r="F10" s="38">
        <f>'SER_se-appl'!F36</f>
        <v>3.0112509922682449</v>
      </c>
      <c r="G10" s="38">
        <f>'SER_se-appl'!G36</f>
        <v>3.0964260161646706</v>
      </c>
      <c r="H10" s="38">
        <f>'SER_se-appl'!H36</f>
        <v>3.1840102662313257</v>
      </c>
      <c r="I10" s="38">
        <f>'SER_se-appl'!I36</f>
        <v>3.2740718888622666</v>
      </c>
      <c r="J10" s="38">
        <f>'SER_se-appl'!J36</f>
        <v>3.3666809580127506</v>
      </c>
      <c r="K10" s="38">
        <f>'SER_se-appl'!K36</f>
        <v>3.4619095297215239</v>
      </c>
      <c r="L10" s="38">
        <f>'SER_se-appl'!L36</f>
        <v>3.5598316981752305</v>
      </c>
      <c r="M10" s="38">
        <f>'SER_se-appl'!M36</f>
        <v>3.660523653358581</v>
      </c>
      <c r="N10" s="38">
        <f>'SER_se-appl'!N36</f>
        <v>3.7640637403353168</v>
      </c>
      <c r="O10" s="38">
        <f>'SER_se-appl'!O36</f>
        <v>3.8705325202058276</v>
      </c>
      <c r="P10" s="38">
        <f>'SER_se-appl'!P36</f>
        <v>3.9800128327891571</v>
      </c>
      <c r="Q10" s="38">
        <f>'SER_se-appl'!Q36</f>
        <v>4.0925898610778262</v>
      </c>
      <c r="R10" s="38">
        <f>'SER_se-appl'!R36</f>
        <v>4.2083511975159382</v>
      </c>
      <c r="S10" s="38">
        <f>'SER_se-appl'!S36</f>
        <v>4.3273869121519084</v>
      </c>
      <c r="T10" s="38">
        <f>'SER_se-appl'!T36</f>
        <v>4.4497896227190381</v>
      </c>
      <c r="U10" s="38">
        <f>'SER_se-appl'!U36</f>
        <v>5.6851549407755186</v>
      </c>
      <c r="V10" s="38">
        <f>'SER_se-appl'!V36</f>
        <v>5.4551256839848747</v>
      </c>
      <c r="W10" s="38">
        <f>'SER_se-appl'!W36</f>
        <v>4.7719041175891022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8760.0000000000018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8759.9999999999964</v>
      </c>
      <c r="H12" s="205">
        <f>'SER_se-appl'!H44</f>
        <v>8760.0000000000036</v>
      </c>
      <c r="I12" s="205">
        <f>'SER_se-appl'!I44</f>
        <v>8759.9999999999964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8759.9999999999945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8760</v>
      </c>
      <c r="R12" s="205">
        <f>'SER_se-appl'!R44</f>
        <v>8760.0000000000018</v>
      </c>
      <c r="S12" s="205">
        <f>'SER_se-appl'!S44</f>
        <v>8760.0000000000036</v>
      </c>
      <c r="T12" s="205">
        <f>'SER_se-appl'!T44</f>
        <v>8760</v>
      </c>
      <c r="U12" s="205">
        <f>'SER_se-appl'!U44</f>
        <v>8760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0.62145084547339791</v>
      </c>
      <c r="C14" s="59">
        <f>'SER_se-appl'!C52</f>
        <v>0.61584517959258767</v>
      </c>
      <c r="D14" s="59">
        <f>'SER_se-appl'!D52</f>
        <v>0.61035273767783038</v>
      </c>
      <c r="E14" s="59">
        <f>'SER_se-appl'!E52</f>
        <v>0.60540834720654924</v>
      </c>
      <c r="F14" s="59">
        <f>'SER_se-appl'!F52</f>
        <v>0.59936953841312546</v>
      </c>
      <c r="G14" s="59">
        <f>'SER_se-appl'!G52</f>
        <v>0.59318135827018525</v>
      </c>
      <c r="H14" s="59">
        <f>'SER_se-appl'!H52</f>
        <v>0.58640181678204606</v>
      </c>
      <c r="I14" s="59">
        <f>'SER_se-appl'!I52</f>
        <v>0.57968878786311528</v>
      </c>
      <c r="J14" s="59">
        <f>'SER_se-appl'!J52</f>
        <v>0.57375367130939958</v>
      </c>
      <c r="K14" s="59">
        <f>'SER_se-appl'!K52</f>
        <v>0.56788406539875635</v>
      </c>
      <c r="L14" s="59">
        <f>'SER_se-appl'!L52</f>
        <v>0.5618165955431027</v>
      </c>
      <c r="M14" s="59">
        <f>'SER_se-appl'!M52</f>
        <v>0.55567900090875388</v>
      </c>
      <c r="N14" s="59">
        <f>'SER_se-appl'!N52</f>
        <v>0.54965183632355252</v>
      </c>
      <c r="O14" s="59">
        <f>'SER_se-appl'!O52</f>
        <v>0.54294831181796255</v>
      </c>
      <c r="P14" s="59">
        <f>'SER_se-appl'!P52</f>
        <v>0.53579663825093882</v>
      </c>
      <c r="Q14" s="59">
        <f>'SER_se-appl'!Q52</f>
        <v>0.52814145051137606</v>
      </c>
      <c r="R14" s="59">
        <f>'SER_se-appl'!R52</f>
        <v>0.52047837777066519</v>
      </c>
      <c r="S14" s="59">
        <f>'SER_se-appl'!S52</f>
        <v>0.51236098773446503</v>
      </c>
      <c r="T14" s="59">
        <f>'SER_se-appl'!T52</f>
        <v>0.50397385652370574</v>
      </c>
      <c r="U14" s="59">
        <f>'SER_se-appl'!U52</f>
        <v>0.49719498649410498</v>
      </c>
      <c r="V14" s="59">
        <f>'SER_se-appl'!V52</f>
        <v>0.49094641416576362</v>
      </c>
      <c r="W14" s="59">
        <f>'SER_se-appl'!W52</f>
        <v>0.48572086390075586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0.55561552779632395</v>
      </c>
      <c r="D15" s="63">
        <f>'SER_se-appl'!D60</f>
        <v>0.54892093062646596</v>
      </c>
      <c r="E15" s="63">
        <f>'SER_se-appl'!E60</f>
        <v>0.54336947982031258</v>
      </c>
      <c r="F15" s="63">
        <f>'SER_se-appl'!F60</f>
        <v>0.53803356099756994</v>
      </c>
      <c r="G15" s="63">
        <f>'SER_se-appl'!G60</f>
        <v>0.53293029080294252</v>
      </c>
      <c r="H15" s="63">
        <f>'SER_se-appl'!H60</f>
        <v>0.52680857452087082</v>
      </c>
      <c r="I15" s="63">
        <f>'SER_se-appl'!I60</f>
        <v>0.52038852999480523</v>
      </c>
      <c r="J15" s="63">
        <f>'SER_se-appl'!J60</f>
        <v>0.51366359334054301</v>
      </c>
      <c r="K15" s="63">
        <f>'SER_se-appl'!K60</f>
        <v>0.50684777572703466</v>
      </c>
      <c r="L15" s="63">
        <f>'SER_se-appl'!L60</f>
        <v>0.49981349516698181</v>
      </c>
      <c r="M15" s="63">
        <f>'SER_se-appl'!M60</f>
        <v>0.49289345723377526</v>
      </c>
      <c r="N15" s="63">
        <f>'SER_se-appl'!N60</f>
        <v>0.48544723564417824</v>
      </c>
      <c r="O15" s="63">
        <f>'SER_se-appl'!O60</f>
        <v>0.47736904997940338</v>
      </c>
      <c r="P15" s="63">
        <f>'SER_se-appl'!P60</f>
        <v>0.47045734427981317</v>
      </c>
      <c r="Q15" s="63">
        <f>'SER_se-appl'!Q60</f>
        <v>0.46318044748239801</v>
      </c>
      <c r="R15" s="63">
        <f>'SER_se-appl'!R60</f>
        <v>0.46008030680476036</v>
      </c>
      <c r="S15" s="63">
        <f>'SER_se-appl'!S60</f>
        <v>0.45561094174098543</v>
      </c>
      <c r="T15" s="63">
        <f>'SER_se-appl'!T60</f>
        <v>0.4515364348167421</v>
      </c>
      <c r="U15" s="63">
        <f>'SER_se-appl'!U60</f>
        <v>0.44776331865863828</v>
      </c>
      <c r="V15" s="63">
        <f>'SER_se-appl'!V60</f>
        <v>0.44402871825016188</v>
      </c>
      <c r="W15" s="63">
        <f>'SER_se-appl'!W60</f>
        <v>0.44238556015046249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88.538383696466227</v>
      </c>
      <c r="C3" s="199">
        <f>'SER_se-appl'!C5</f>
        <v>88.565213634231085</v>
      </c>
      <c r="D3" s="199">
        <f>'SER_se-appl'!D5</f>
        <v>88.926132971100742</v>
      </c>
      <c r="E3" s="199">
        <f>'SER_se-appl'!E5</f>
        <v>89.415282197487016</v>
      </c>
      <c r="F3" s="199">
        <f>'SER_se-appl'!F5</f>
        <v>89.755593867309571</v>
      </c>
      <c r="G3" s="199">
        <f>'SER_se-appl'!G5</f>
        <v>90.283830471193738</v>
      </c>
      <c r="H3" s="199">
        <f>'SER_se-appl'!H5</f>
        <v>90.770251983963831</v>
      </c>
      <c r="I3" s="199">
        <f>'SER_se-appl'!I5</f>
        <v>91.262965543433324</v>
      </c>
      <c r="J3" s="199">
        <f>'SER_se-appl'!J5</f>
        <v>92.268265081633814</v>
      </c>
      <c r="K3" s="199">
        <f>'SER_se-appl'!K5</f>
        <v>93.733476638494452</v>
      </c>
      <c r="L3" s="199">
        <f>'SER_se-appl'!L5</f>
        <v>95.037822036646375</v>
      </c>
      <c r="M3" s="199">
        <f>'SER_se-appl'!M5</f>
        <v>96.150004043073451</v>
      </c>
      <c r="N3" s="199">
        <f>'SER_se-appl'!N5</f>
        <v>97.398667126567688</v>
      </c>
      <c r="O3" s="199">
        <f>'SER_se-appl'!O5</f>
        <v>98.764293723702067</v>
      </c>
      <c r="P3" s="199">
        <f>'SER_se-appl'!P5</f>
        <v>100.2390115770645</v>
      </c>
      <c r="Q3" s="199">
        <f>'SER_se-appl'!Q5</f>
        <v>102.23955093634187</v>
      </c>
      <c r="R3" s="199">
        <f>'SER_se-appl'!R5</f>
        <v>101.9330526895464</v>
      </c>
      <c r="S3" s="199">
        <f>'SER_se-appl'!S5</f>
        <v>100.49974194827833</v>
      </c>
      <c r="T3" s="199">
        <f>'SER_se-appl'!T5</f>
        <v>97.840845899468491</v>
      </c>
      <c r="U3" s="199">
        <f>'SER_se-appl'!U5</f>
        <v>94.585038558298507</v>
      </c>
      <c r="V3" s="199">
        <f>'SER_se-appl'!V5</f>
        <v>90.551830916946798</v>
      </c>
      <c r="W3" s="199">
        <f>'SER_se-appl'!W5</f>
        <v>86.92532347917107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251.64646809835921</v>
      </c>
      <c r="C5" s="59">
        <f>'SER_se-appl'!C13</f>
        <v>252.32961108468493</v>
      </c>
      <c r="D5" s="59">
        <f>'SER_se-appl'!D13</f>
        <v>254.10634221741148</v>
      </c>
      <c r="E5" s="59">
        <f>'SER_se-appl'!E13</f>
        <v>256.07877469956128</v>
      </c>
      <c r="F5" s="59">
        <f>'SER_se-appl'!F13</f>
        <v>257.71704011130134</v>
      </c>
      <c r="G5" s="59">
        <f>'SER_se-appl'!G13</f>
        <v>259.50158531295676</v>
      </c>
      <c r="H5" s="59">
        <f>'SER_se-appl'!H13</f>
        <v>261.25040527255726</v>
      </c>
      <c r="I5" s="59">
        <f>'SER_se-appl'!I13</f>
        <v>263.08709226954801</v>
      </c>
      <c r="J5" s="59">
        <f>'SER_se-appl'!J13</f>
        <v>266.67868738015113</v>
      </c>
      <c r="K5" s="59">
        <f>'SER_se-appl'!K13</f>
        <v>271.4285496233432</v>
      </c>
      <c r="L5" s="59">
        <f>'SER_se-appl'!L13</f>
        <v>275.91656946697464</v>
      </c>
      <c r="M5" s="59">
        <f>'SER_se-appl'!M13</f>
        <v>280.74989305734289</v>
      </c>
      <c r="N5" s="59">
        <f>'SER_se-appl'!N13</f>
        <v>286.41682281240662</v>
      </c>
      <c r="O5" s="59">
        <f>'SER_se-appl'!O13</f>
        <v>292.62024530665764</v>
      </c>
      <c r="P5" s="59">
        <f>'SER_se-appl'!P13</f>
        <v>299.1446741683643</v>
      </c>
      <c r="Q5" s="59">
        <f>'SER_se-appl'!Q13</f>
        <v>307.7733576918435</v>
      </c>
      <c r="R5" s="59">
        <f>'SER_se-appl'!R13</f>
        <v>303.57556081999775</v>
      </c>
      <c r="S5" s="59">
        <f>'SER_se-appl'!S13</f>
        <v>298.11993711309105</v>
      </c>
      <c r="T5" s="59">
        <f>'SER_se-appl'!T13</f>
        <v>291.35010419917796</v>
      </c>
      <c r="U5" s="59">
        <f>'SER_se-appl'!U13</f>
        <v>282.83713651620184</v>
      </c>
      <c r="V5" s="59">
        <f>'SER_se-appl'!V13</f>
        <v>272.51980977094769</v>
      </c>
      <c r="W5" s="59">
        <f>'SER_se-appl'!W13</f>
        <v>261.46760539319808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0.28928629755777796</v>
      </c>
      <c r="C6" s="202">
        <f>'SER_se-appl'!C69</f>
        <v>0.29157559651348136</v>
      </c>
      <c r="D6" s="202">
        <f>'SER_se-appl'!D69</f>
        <v>0.29516223103395361</v>
      </c>
      <c r="E6" s="202">
        <f>'SER_se-appl'!E69</f>
        <v>0.29965656908614796</v>
      </c>
      <c r="F6" s="202">
        <f>'SER_se-appl'!F69</f>
        <v>0.30435176043254475</v>
      </c>
      <c r="G6" s="202">
        <f>'SER_se-appl'!G69</f>
        <v>0.30981356006470651</v>
      </c>
      <c r="H6" s="202">
        <f>'SER_se-appl'!H69</f>
        <v>0.31585512706471797</v>
      </c>
      <c r="I6" s="202">
        <f>'SER_se-appl'!I69</f>
        <v>0.32276965548295045</v>
      </c>
      <c r="J6" s="202">
        <f>'SER_se-appl'!J69</f>
        <v>0.32926150314034136</v>
      </c>
      <c r="K6" s="202">
        <f>'SER_se-appl'!K69</f>
        <v>0.33822675464446383</v>
      </c>
      <c r="L6" s="202">
        <f>'SER_se-appl'!L69</f>
        <v>0.34763245165297113</v>
      </c>
      <c r="M6" s="202">
        <f>'SER_se-appl'!M69</f>
        <v>0.3584162207016332</v>
      </c>
      <c r="N6" s="202">
        <f>'SER_se-appl'!N69</f>
        <v>0.37177306682742317</v>
      </c>
      <c r="O6" s="202">
        <f>'SER_se-appl'!O69</f>
        <v>0.38800204282962425</v>
      </c>
      <c r="P6" s="202">
        <f>'SER_se-appl'!P69</f>
        <v>0.4070609189253685</v>
      </c>
      <c r="Q6" s="202">
        <f>'SER_se-appl'!Q69</f>
        <v>0.43038497607747034</v>
      </c>
      <c r="R6" s="202">
        <f>'SER_se-appl'!R69</f>
        <v>0.43705666749630606</v>
      </c>
      <c r="S6" s="202">
        <f>'SER_se-appl'!S69</f>
        <v>0.44382034566087147</v>
      </c>
      <c r="T6" s="202">
        <f>'SER_se-appl'!T69</f>
        <v>0.45111827669502652</v>
      </c>
      <c r="U6" s="202">
        <f>'SER_se-appl'!U69</f>
        <v>0.45826548522216942</v>
      </c>
      <c r="V6" s="202">
        <f>'SER_se-appl'!V69</f>
        <v>0.46424153026717235</v>
      </c>
      <c r="W6" s="202">
        <f>'SER_se-appl'!W69</f>
        <v>0.46869315170346093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1495.9868091331323</v>
      </c>
      <c r="C8" s="34">
        <f>'SER_se-appl'!C21</f>
        <v>1510.6866967299459</v>
      </c>
      <c r="D8" s="34">
        <f>'SER_se-appl'!D21</f>
        <v>1533.3385691605165</v>
      </c>
      <c r="E8" s="34">
        <f>'SER_se-appl'!E21</f>
        <v>1560.1004973503668</v>
      </c>
      <c r="F8" s="34">
        <f>'SER_se-appl'!F21</f>
        <v>1588.6346231860878</v>
      </c>
      <c r="G8" s="34">
        <f>'SER_se-appl'!G21</f>
        <v>1622.3730965840027</v>
      </c>
      <c r="H8" s="34">
        <f>'SER_se-appl'!H21</f>
        <v>1660.0018886987905</v>
      </c>
      <c r="I8" s="34">
        <f>'SER_se-appl'!I21</f>
        <v>1703.2409473490329</v>
      </c>
      <c r="J8" s="34">
        <f>'SER_se-appl'!J21</f>
        <v>1745.2453292113291</v>
      </c>
      <c r="K8" s="34">
        <f>'SER_se-appl'!K21</f>
        <v>1801.5018984373726</v>
      </c>
      <c r="L8" s="34">
        <f>'SER_se-appl'!L21</f>
        <v>1860.3296878519043</v>
      </c>
      <c r="M8" s="34">
        <f>'SER_se-appl'!M21</f>
        <v>1926.586109148192</v>
      </c>
      <c r="N8" s="34">
        <f>'SER_se-appl'!N21</f>
        <v>2008.0455973437554</v>
      </c>
      <c r="O8" s="34">
        <f>'SER_se-appl'!O21</f>
        <v>2105.5605977704081</v>
      </c>
      <c r="P8" s="34">
        <f>'SER_se-appl'!P21</f>
        <v>2218.9989755102938</v>
      </c>
      <c r="Q8" s="34">
        <f>'SER_se-appl'!Q21</f>
        <v>2354.9602840068264</v>
      </c>
      <c r="R8" s="34">
        <f>'SER_se-appl'!R21</f>
        <v>2398.2645480058204</v>
      </c>
      <c r="S8" s="34">
        <f>'SER_se-appl'!S21</f>
        <v>2442.475176814437</v>
      </c>
      <c r="T8" s="34">
        <f>'SER_se-appl'!T21</f>
        <v>2487.0737047956518</v>
      </c>
      <c r="U8" s="34">
        <f>'SER_se-appl'!U21</f>
        <v>2528.6718279516276</v>
      </c>
      <c r="V8" s="34">
        <f>'SER_se-appl'!V21</f>
        <v>2565.0700132529651</v>
      </c>
      <c r="W8" s="34">
        <f>'SER_se-appl'!W21</f>
        <v>2593.6508820445501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202.36309949487554</v>
      </c>
      <c r="D9" s="36">
        <f>'SER_se-appl'!D29</f>
        <v>218.39302504868942</v>
      </c>
      <c r="E9" s="36">
        <f>'SER_se-appl'!E29</f>
        <v>230.92873552917058</v>
      </c>
      <c r="F9" s="36">
        <f>'SER_se-appl'!F29</f>
        <v>241.48926920536655</v>
      </c>
      <c r="G9" s="36">
        <f>'SER_se-appl'!G29</f>
        <v>255.86024568098674</v>
      </c>
      <c r="H9" s="36">
        <f>'SER_se-appl'!H29</f>
        <v>269.311769766716</v>
      </c>
      <c r="I9" s="36">
        <f>'SER_se-appl'!I29</f>
        <v>284.89480262322832</v>
      </c>
      <c r="J9" s="36">
        <f>'SER_se-appl'!J29</f>
        <v>244.36748135717176</v>
      </c>
      <c r="K9" s="36">
        <f>'SER_se-appl'!K29</f>
        <v>274.64959427473286</v>
      </c>
      <c r="L9" s="36">
        <f>'SER_se-appl'!L29</f>
        <v>289.75652494370229</v>
      </c>
      <c r="M9" s="36">
        <f>'SER_se-appl'!M29</f>
        <v>307.74569050165428</v>
      </c>
      <c r="N9" s="36">
        <f>'SER_se-appl'!N29</f>
        <v>337.31973387655012</v>
      </c>
      <c r="O9" s="36">
        <f>'SER_se-appl'!O29</f>
        <v>366.8267701933687</v>
      </c>
      <c r="P9" s="36">
        <f>'SER_se-appl'!P29</f>
        <v>398.33318036311402</v>
      </c>
      <c r="Q9" s="36">
        <f>'SER_se-appl'!Q29</f>
        <v>380.32878985370439</v>
      </c>
      <c r="R9" s="36">
        <f>'SER_se-appl'!R29</f>
        <v>317.95385827372684</v>
      </c>
      <c r="S9" s="36">
        <f>'SER_se-appl'!S29</f>
        <v>333.96715375231906</v>
      </c>
      <c r="T9" s="36">
        <f>'SER_se-appl'!T29</f>
        <v>352.34421848286911</v>
      </c>
      <c r="U9" s="36">
        <f>'SER_se-appl'!U29</f>
        <v>378.91785703252617</v>
      </c>
      <c r="V9" s="36">
        <f>'SER_se-appl'!V29</f>
        <v>403.22495549470614</v>
      </c>
      <c r="W9" s="36">
        <f>'SER_se-appl'!W29</f>
        <v>426.91404915469911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187.66321189806195</v>
      </c>
      <c r="D10" s="38">
        <f>'SER_se-appl'!D37</f>
        <v>195.7411526181188</v>
      </c>
      <c r="E10" s="38">
        <f>'SER_se-appl'!E37</f>
        <v>204.16680733932026</v>
      </c>
      <c r="F10" s="38">
        <f>'SER_se-appl'!F37</f>
        <v>212.95514336964561</v>
      </c>
      <c r="G10" s="38">
        <f>'SER_se-appl'!G37</f>
        <v>222.12177228307178</v>
      </c>
      <c r="H10" s="38">
        <f>'SER_se-appl'!H37</f>
        <v>231.68297765192824</v>
      </c>
      <c r="I10" s="38">
        <f>'SER_se-appl'!I37</f>
        <v>241.65574397298587</v>
      </c>
      <c r="J10" s="38">
        <f>'SER_se-appl'!J37</f>
        <v>202.36309949487554</v>
      </c>
      <c r="K10" s="38">
        <f>'SER_se-appl'!K37</f>
        <v>218.39302504868942</v>
      </c>
      <c r="L10" s="38">
        <f>'SER_se-appl'!L37</f>
        <v>230.92873552917058</v>
      </c>
      <c r="M10" s="38">
        <f>'SER_se-appl'!M37</f>
        <v>241.48926920536633</v>
      </c>
      <c r="N10" s="38">
        <f>'SER_se-appl'!N37</f>
        <v>255.86024568098696</v>
      </c>
      <c r="O10" s="38">
        <f>'SER_se-appl'!O37</f>
        <v>269.31176976671577</v>
      </c>
      <c r="P10" s="38">
        <f>'SER_se-appl'!P37</f>
        <v>284.89480262322832</v>
      </c>
      <c r="Q10" s="38">
        <f>'SER_se-appl'!Q37</f>
        <v>244.36748135717153</v>
      </c>
      <c r="R10" s="38">
        <f>'SER_se-appl'!R37</f>
        <v>274.64959427473286</v>
      </c>
      <c r="S10" s="38">
        <f>'SER_se-appl'!S37</f>
        <v>289.75652494370252</v>
      </c>
      <c r="T10" s="38">
        <f>'SER_se-appl'!T37</f>
        <v>307.74569050165428</v>
      </c>
      <c r="U10" s="38">
        <f>'SER_se-appl'!U37</f>
        <v>337.31973387655034</v>
      </c>
      <c r="V10" s="38">
        <f>'SER_se-appl'!V37</f>
        <v>366.8267701933687</v>
      </c>
      <c r="W10" s="38">
        <f>'SER_se-appl'!W37</f>
        <v>398.33318036311402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4091.8571604487224</v>
      </c>
      <c r="C12" s="205">
        <f>'SER_se-appl'!C45</f>
        <v>4082.0157021540458</v>
      </c>
      <c r="D12" s="205">
        <f>'SER_se-appl'!D45</f>
        <v>4069.9925764506838</v>
      </c>
      <c r="E12" s="205">
        <f>'SER_se-appl'!E45</f>
        <v>4060.8587462073465</v>
      </c>
      <c r="F12" s="205">
        <f>'SER_se-appl'!F45</f>
        <v>4050.401774853518</v>
      </c>
      <c r="G12" s="205">
        <f>'SER_se-appl'!G45</f>
        <v>4046.2217104134093</v>
      </c>
      <c r="H12" s="205">
        <f>'SER_se-appl'!H45</f>
        <v>4040.7900208696433</v>
      </c>
      <c r="I12" s="205">
        <f>'SER_se-appl'!I45</f>
        <v>4034.3609415192273</v>
      </c>
      <c r="J12" s="205">
        <f>'SER_se-appl'!J45</f>
        <v>4023.8683242419115</v>
      </c>
      <c r="K12" s="205">
        <f>'SER_se-appl'!K45</f>
        <v>4016.2331295599961</v>
      </c>
      <c r="L12" s="205">
        <f>'SER_se-appl'!L45</f>
        <v>4005.8843599767692</v>
      </c>
      <c r="M12" s="205">
        <f>'SER_se-appl'!M45</f>
        <v>3982.9918894841685</v>
      </c>
      <c r="N12" s="205">
        <f>'SER_se-appl'!N45</f>
        <v>3954.8881506303596</v>
      </c>
      <c r="O12" s="205">
        <f>'SER_se-appl'!O45</f>
        <v>3925.3221690212345</v>
      </c>
      <c r="P12" s="205">
        <f>'SER_se-appl'!P45</f>
        <v>3897.0431543940417</v>
      </c>
      <c r="Q12" s="205">
        <f>'SER_se-appl'!Q45</f>
        <v>3863.3817634734392</v>
      </c>
      <c r="R12" s="205">
        <f>'SER_se-appl'!R45</f>
        <v>3905.0620530100723</v>
      </c>
      <c r="S12" s="205">
        <f>'SER_se-appl'!S45</f>
        <v>3920.6099738813878</v>
      </c>
      <c r="T12" s="205">
        <f>'SER_se-appl'!T45</f>
        <v>3905.5727848064012</v>
      </c>
      <c r="U12" s="205">
        <f>'SER_se-appl'!U45</f>
        <v>3889.2488164120509</v>
      </c>
      <c r="V12" s="205">
        <f>'SER_se-appl'!V45</f>
        <v>3864.3715275202721</v>
      </c>
      <c r="W12" s="205">
        <f>'SER_se-appl'!W45</f>
        <v>3866.4120954582258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168.21436296231704</v>
      </c>
      <c r="C14" s="59">
        <f>'SER_se-appl'!C53</f>
        <v>167.02974324913382</v>
      </c>
      <c r="D14" s="59">
        <f>'SER_se-appl'!D53</f>
        <v>165.72096165071454</v>
      </c>
      <c r="E14" s="59">
        <f>'SER_se-appl'!E53</f>
        <v>164.1424864196112</v>
      </c>
      <c r="F14" s="59">
        <f>'SER_se-appl'!F53</f>
        <v>162.22549625315145</v>
      </c>
      <c r="G14" s="59">
        <f>'SER_se-appl'!G53</f>
        <v>159.95185439117046</v>
      </c>
      <c r="H14" s="59">
        <f>'SER_se-appl'!H53</f>
        <v>157.3795831505596</v>
      </c>
      <c r="I14" s="59">
        <f>'SER_se-appl'!I53</f>
        <v>154.46263940461469</v>
      </c>
      <c r="J14" s="59">
        <f>'SER_se-appl'!J53</f>
        <v>152.80298014071315</v>
      </c>
      <c r="K14" s="59">
        <f>'SER_se-appl'!K53</f>
        <v>150.66792316942937</v>
      </c>
      <c r="L14" s="59">
        <f>'SER_se-appl'!L53</f>
        <v>148.31595241893467</v>
      </c>
      <c r="M14" s="59">
        <f>'SER_se-appl'!M53</f>
        <v>145.72403056589658</v>
      </c>
      <c r="N14" s="59">
        <f>'SER_se-appl'!N53</f>
        <v>142.63462104211135</v>
      </c>
      <c r="O14" s="59">
        <f>'SER_se-appl'!O53</f>
        <v>138.97498158757108</v>
      </c>
      <c r="P14" s="59">
        <f>'SER_se-appl'!P53</f>
        <v>134.81064095560083</v>
      </c>
      <c r="Q14" s="59">
        <f>'SER_se-appl'!Q53</f>
        <v>130.69152791323737</v>
      </c>
      <c r="R14" s="59">
        <f>'SER_se-appl'!R53</f>
        <v>126.58134861411502</v>
      </c>
      <c r="S14" s="59">
        <f>'SER_se-appl'!S53</f>
        <v>122.05648595451017</v>
      </c>
      <c r="T14" s="59">
        <f>'SER_se-appl'!T53</f>
        <v>117.14574587692665</v>
      </c>
      <c r="U14" s="59">
        <f>'SER_se-appl'!U53</f>
        <v>111.85205347319287</v>
      </c>
      <c r="V14" s="59">
        <f>'SER_se-appl'!V53</f>
        <v>106.24263991349854</v>
      </c>
      <c r="W14" s="59">
        <f>'SER_se-appl'!W53</f>
        <v>100.81064001454415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159.37090659177821</v>
      </c>
      <c r="D15" s="63">
        <f>'SER_se-appl'!D61</f>
        <v>158.90253096753503</v>
      </c>
      <c r="E15" s="63">
        <f>'SER_se-appl'!E61</f>
        <v>157.26159775467301</v>
      </c>
      <c r="F15" s="63">
        <f>'SER_se-appl'!F61</f>
        <v>155.12233448914435</v>
      </c>
      <c r="G15" s="63">
        <f>'SER_se-appl'!G61</f>
        <v>153.00781691238052</v>
      </c>
      <c r="H15" s="63">
        <f>'SER_se-appl'!H61</f>
        <v>151.20477092332806</v>
      </c>
      <c r="I15" s="63">
        <f>'SER_se-appl'!I61</f>
        <v>149.13102532719671</v>
      </c>
      <c r="J15" s="63">
        <f>'SER_se-appl'!J61</f>
        <v>146.67412185435515</v>
      </c>
      <c r="K15" s="63">
        <f>'SER_se-appl'!K61</f>
        <v>143.64873457493661</v>
      </c>
      <c r="L15" s="63">
        <f>'SER_se-appl'!L61</f>
        <v>140.8225121706684</v>
      </c>
      <c r="M15" s="63">
        <f>'SER_se-appl'!M61</f>
        <v>137.43069062848463</v>
      </c>
      <c r="N15" s="63">
        <f>'SER_se-appl'!N61</f>
        <v>132.85776929308889</v>
      </c>
      <c r="O15" s="63">
        <f>'SER_se-appl'!O61</f>
        <v>127.92045390811457</v>
      </c>
      <c r="P15" s="63">
        <f>'SER_se-appl'!P61</f>
        <v>123.04042269996253</v>
      </c>
      <c r="Q15" s="63">
        <f>'SER_se-appl'!Q61</f>
        <v>116.92795930176339</v>
      </c>
      <c r="R15" s="63">
        <f>'SER_se-appl'!R61</f>
        <v>110.88171720466457</v>
      </c>
      <c r="S15" s="63">
        <f>'SER_se-appl'!S61</f>
        <v>105.84459476432258</v>
      </c>
      <c r="T15" s="63">
        <f>'SER_se-appl'!T61</f>
        <v>100.82149218349186</v>
      </c>
      <c r="U15" s="63">
        <f>'SER_se-appl'!U61</f>
        <v>95.805935309310371</v>
      </c>
      <c r="V15" s="63">
        <f>'SER_se-appl'!V61</f>
        <v>90.786345697816984</v>
      </c>
      <c r="W15" s="63">
        <f>'SER_se-appl'!W61</f>
        <v>88.91456859924817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154.12319575813805</v>
      </c>
      <c r="C3" s="199">
        <f>'SER_se-appl'!C6</f>
        <v>156.3154261429172</v>
      </c>
      <c r="D3" s="199">
        <f>'SER_se-appl'!D6</f>
        <v>158.02569124159473</v>
      </c>
      <c r="E3" s="199">
        <f>'SER_se-appl'!E6</f>
        <v>158.14253950019443</v>
      </c>
      <c r="F3" s="199">
        <f>'SER_se-appl'!F6</f>
        <v>159.58580977075295</v>
      </c>
      <c r="G3" s="199">
        <f>'SER_se-appl'!G6</f>
        <v>160.16285004599652</v>
      </c>
      <c r="H3" s="199">
        <f>'SER_se-appl'!H6</f>
        <v>160.8481598876198</v>
      </c>
      <c r="I3" s="199">
        <f>'SER_se-appl'!I6</f>
        <v>162.93087816690397</v>
      </c>
      <c r="J3" s="199">
        <f>'SER_se-appl'!J6</f>
        <v>164.7901429980875</v>
      </c>
      <c r="K3" s="199">
        <f>'SER_se-appl'!K6</f>
        <v>167.2161107443961</v>
      </c>
      <c r="L3" s="199">
        <f>'SER_se-appl'!L6</f>
        <v>169.91176100056262</v>
      </c>
      <c r="M3" s="199">
        <f>'SER_se-appl'!M6</f>
        <v>171.54888805812433</v>
      </c>
      <c r="N3" s="199">
        <f>'SER_se-appl'!N6</f>
        <v>172.27612064249317</v>
      </c>
      <c r="O3" s="199">
        <f>'SER_se-appl'!O6</f>
        <v>172.20774560857998</v>
      </c>
      <c r="P3" s="199">
        <f>'SER_se-appl'!P6</f>
        <v>172.48853497469105</v>
      </c>
      <c r="Q3" s="199">
        <f>'SER_se-appl'!Q6</f>
        <v>171.49747365955875</v>
      </c>
      <c r="R3" s="199">
        <f>'SER_se-appl'!R6</f>
        <v>169.10687383487948</v>
      </c>
      <c r="S3" s="199">
        <f>'SER_se-appl'!S6</f>
        <v>165.22863515427571</v>
      </c>
      <c r="T3" s="199">
        <f>'SER_se-appl'!T6</f>
        <v>158.27996288897791</v>
      </c>
      <c r="U3" s="199">
        <f>'SER_se-appl'!U6</f>
        <v>150.53958611299925</v>
      </c>
      <c r="V3" s="199">
        <f>'SER_se-appl'!V6</f>
        <v>132.06311930595689</v>
      </c>
      <c r="W3" s="199">
        <f>'SER_se-appl'!W6</f>
        <v>128.69833531519365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728.80901742877836</v>
      </c>
      <c r="C5" s="59">
        <f>'SER_se-appl'!C14</f>
        <v>733.68268366883603</v>
      </c>
      <c r="D5" s="59">
        <f>'SER_se-appl'!D14</f>
        <v>737.51920636015325</v>
      </c>
      <c r="E5" s="59">
        <f>'SER_se-appl'!E14</f>
        <v>734.25428609849666</v>
      </c>
      <c r="F5" s="59">
        <f>'SER_se-appl'!F14</f>
        <v>735.459720890433</v>
      </c>
      <c r="G5" s="59">
        <f>'SER_se-appl'!G14</f>
        <v>733.68794792276981</v>
      </c>
      <c r="H5" s="59">
        <f>'SER_se-appl'!H14</f>
        <v>734.55529762837602</v>
      </c>
      <c r="I5" s="59">
        <f>'SER_se-appl'!I14</f>
        <v>740.43429339810393</v>
      </c>
      <c r="J5" s="59">
        <f>'SER_se-appl'!J14</f>
        <v>747.53654922585213</v>
      </c>
      <c r="K5" s="59">
        <f>'SER_se-appl'!K14</f>
        <v>755.26211634037145</v>
      </c>
      <c r="L5" s="59">
        <f>'SER_se-appl'!L14</f>
        <v>764.07152502637257</v>
      </c>
      <c r="M5" s="59">
        <f>'SER_se-appl'!M14</f>
        <v>769.33677630366287</v>
      </c>
      <c r="N5" s="59">
        <f>'SER_se-appl'!N14</f>
        <v>770.62899151818192</v>
      </c>
      <c r="O5" s="59">
        <f>'SER_se-appl'!O14</f>
        <v>769.1097726176497</v>
      </c>
      <c r="P5" s="59">
        <f>'SER_se-appl'!P14</f>
        <v>769.0202912921942</v>
      </c>
      <c r="Q5" s="59">
        <f>'SER_se-appl'!Q14</f>
        <v>762.60949074709447</v>
      </c>
      <c r="R5" s="59">
        <f>'SER_se-appl'!R14</f>
        <v>739.94188164118577</v>
      </c>
      <c r="S5" s="59">
        <f>'SER_se-appl'!S14</f>
        <v>717.88651322673945</v>
      </c>
      <c r="T5" s="59">
        <f>'SER_se-appl'!T14</f>
        <v>688.9592136555699</v>
      </c>
      <c r="U5" s="59">
        <f>'SER_se-appl'!U14</f>
        <v>659.07791930403914</v>
      </c>
      <c r="V5" s="59">
        <f>'SER_se-appl'!V14</f>
        <v>624.12094164292807</v>
      </c>
      <c r="W5" s="59">
        <f>'SER_se-appl'!W14</f>
        <v>586.94288597612194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193.46330258340771</v>
      </c>
      <c r="C6" s="202">
        <f>'SER_se-appl'!C70</f>
        <v>194.73415305911328</v>
      </c>
      <c r="D6" s="202">
        <f>'SER_se-appl'!D70</f>
        <v>197.03141021059741</v>
      </c>
      <c r="E6" s="202">
        <f>'SER_se-appl'!E70</f>
        <v>198.85960045632891</v>
      </c>
      <c r="F6" s="202">
        <f>'SER_se-appl'!F70</f>
        <v>201.51809421034298</v>
      </c>
      <c r="G6" s="202">
        <f>'SER_se-appl'!G70</f>
        <v>204.50808474393827</v>
      </c>
      <c r="H6" s="202">
        <f>'SER_se-appl'!H70</f>
        <v>207.92721312157977</v>
      </c>
      <c r="I6" s="202">
        <f>'SER_se-appl'!I70</f>
        <v>211.1379576552601</v>
      </c>
      <c r="J6" s="202">
        <f>'SER_se-appl'!J70</f>
        <v>215.7527482145527</v>
      </c>
      <c r="K6" s="202">
        <f>'SER_se-appl'!K70</f>
        <v>220.89658973399153</v>
      </c>
      <c r="L6" s="202">
        <f>'SER_se-appl'!L70</f>
        <v>226.28302526353644</v>
      </c>
      <c r="M6" s="202">
        <f>'SER_se-appl'!M70</f>
        <v>231.94904014702269</v>
      </c>
      <c r="N6" s="202">
        <f>'SER_se-appl'!N70</f>
        <v>238.00098371523268</v>
      </c>
      <c r="O6" s="202">
        <f>'SER_se-appl'!O70</f>
        <v>244.31164801665844</v>
      </c>
      <c r="P6" s="202">
        <f>'SER_se-appl'!P70</f>
        <v>252.80975296900641</v>
      </c>
      <c r="Q6" s="202">
        <f>'SER_se-appl'!Q70</f>
        <v>260.45945902409301</v>
      </c>
      <c r="R6" s="202">
        <f>'SER_se-appl'!R70</f>
        <v>264.65387831585326</v>
      </c>
      <c r="S6" s="202">
        <f>'SER_se-appl'!S70</f>
        <v>268.89838081420237</v>
      </c>
      <c r="T6" s="202">
        <f>'SER_se-appl'!T70</f>
        <v>272.99143597812196</v>
      </c>
      <c r="U6" s="202">
        <f>'SER_se-appl'!U70</f>
        <v>276.80979989417278</v>
      </c>
      <c r="V6" s="202">
        <f>'SER_se-appl'!V70</f>
        <v>280.12378672841731</v>
      </c>
      <c r="W6" s="202">
        <f>'SER_se-appl'!W70</f>
        <v>282.66611104890393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19.816484959458762</v>
      </c>
      <c r="C8" s="34">
        <f>'SER_se-appl'!C22</f>
        <v>20.170309146563046</v>
      </c>
      <c r="D8" s="34">
        <f>'SER_se-appl'!D22</f>
        <v>20.615593936847993</v>
      </c>
      <c r="E8" s="34">
        <f>'SER_se-appl'!E22</f>
        <v>20.981549086787005</v>
      </c>
      <c r="F8" s="34">
        <f>'SER_se-appl'!F22</f>
        <v>21.584587381421006</v>
      </c>
      <c r="G8" s="34">
        <f>'SER_se-appl'!G22</f>
        <v>22.180781577876154</v>
      </c>
      <c r="H8" s="34">
        <f>'SER_se-appl'!H22</f>
        <v>22.949565883820572</v>
      </c>
      <c r="I8" s="34">
        <f>'SER_se-appl'!I22</f>
        <v>23.702773733243991</v>
      </c>
      <c r="J8" s="34">
        <f>'SER_se-appl'!J22</f>
        <v>24.488970650117405</v>
      </c>
      <c r="K8" s="34">
        <f>'SER_se-appl'!K22</f>
        <v>25.236102770927538</v>
      </c>
      <c r="L8" s="34">
        <f>'SER_se-appl'!L22</f>
        <v>26.065117257791012</v>
      </c>
      <c r="M8" s="34">
        <f>'SER_se-appl'!M22</f>
        <v>26.873915260772115</v>
      </c>
      <c r="N8" s="34">
        <f>'SER_se-appl'!N22</f>
        <v>27.670638018133545</v>
      </c>
      <c r="O8" s="34">
        <f>'SER_se-appl'!O22</f>
        <v>28.49013072474758</v>
      </c>
      <c r="P8" s="34">
        <f>'SER_se-appl'!P22</f>
        <v>29.574043651335447</v>
      </c>
      <c r="Q8" s="34">
        <f>'SER_se-appl'!Q22</f>
        <v>30.574049440259351</v>
      </c>
      <c r="R8" s="34">
        <f>'SER_se-appl'!R22</f>
        <v>31.258960304834385</v>
      </c>
      <c r="S8" s="34">
        <f>'SER_se-appl'!S22</f>
        <v>32.042277723866057</v>
      </c>
      <c r="T8" s="34">
        <f>'SER_se-appl'!T22</f>
        <v>32.822630621101546</v>
      </c>
      <c r="U8" s="34">
        <f>'SER_se-appl'!U22</f>
        <v>33.554010370186866</v>
      </c>
      <c r="V8" s="34">
        <f>'SER_se-appl'!V22</f>
        <v>34.206226846058954</v>
      </c>
      <c r="W8" s="34">
        <f>'SER_se-appl'!W22</f>
        <v>34.733038941965681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3.4484873042595119</v>
      </c>
      <c r="D9" s="36">
        <f>'SER_se-appl'!D30</f>
        <v>3.6203421554825752</v>
      </c>
      <c r="E9" s="36">
        <f>'SER_se-appl'!E30</f>
        <v>3.623495273260307</v>
      </c>
      <c r="F9" s="36">
        <f>'SER_se-appl'!F30</f>
        <v>3.9452039422104512</v>
      </c>
      <c r="G9" s="36">
        <f>'SER_se-appl'!G30</f>
        <v>4.0251837999512468</v>
      </c>
      <c r="H9" s="36">
        <f>'SER_se-appl'!H30</f>
        <v>4.2868534086564729</v>
      </c>
      <c r="I9" s="36">
        <f>'SER_se-appl'!I30</f>
        <v>4.2016951536829303</v>
      </c>
      <c r="J9" s="36">
        <f>'SER_se-appl'!J30</f>
        <v>4.4065390723559901</v>
      </c>
      <c r="K9" s="36">
        <f>'SER_se-appl'!K30</f>
        <v>4.3706273940704392</v>
      </c>
      <c r="L9" s="36">
        <f>'SER_se-appl'!L30</f>
        <v>4.774218429073926</v>
      </c>
      <c r="M9" s="36">
        <f>'SER_se-appl'!M30</f>
        <v>4.8339818029323496</v>
      </c>
      <c r="N9" s="36">
        <f>'SER_se-appl'!N30</f>
        <v>5.0835761660179024</v>
      </c>
      <c r="O9" s="36">
        <f>'SER_se-appl'!O30</f>
        <v>5.0211878602969655</v>
      </c>
      <c r="P9" s="36">
        <f>'SER_se-appl'!P30</f>
        <v>5.4904519989438576</v>
      </c>
      <c r="Q9" s="36">
        <f>'SER_se-appl'!Q30</f>
        <v>5.370633182994343</v>
      </c>
      <c r="R9" s="36">
        <f>'SER_se-appl'!R30</f>
        <v>5.4591292936489602</v>
      </c>
      <c r="S9" s="36">
        <f>'SER_se-appl'!S30</f>
        <v>5.6172992219640214</v>
      </c>
      <c r="T9" s="36">
        <f>'SER_se-appl'!T30</f>
        <v>5.8639290632533907</v>
      </c>
      <c r="U9" s="36">
        <f>'SER_se-appl'!U30</f>
        <v>5.752567609382286</v>
      </c>
      <c r="V9" s="36">
        <f>'SER_se-appl'!V30</f>
        <v>6.1426684748159452</v>
      </c>
      <c r="W9" s="36">
        <f>'SER_se-appl'!W30</f>
        <v>5.8974452789010705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3.0946631171552283</v>
      </c>
      <c r="D10" s="38">
        <f>'SER_se-appl'!D38</f>
        <v>3.1750573651976275</v>
      </c>
      <c r="E10" s="38">
        <f>'SER_se-appl'!E38</f>
        <v>3.2575401233212951</v>
      </c>
      <c r="F10" s="38">
        <f>'SER_se-appl'!F38</f>
        <v>3.3421656475764507</v>
      </c>
      <c r="G10" s="38">
        <f>'SER_se-appl'!G38</f>
        <v>3.4289896034960989</v>
      </c>
      <c r="H10" s="38">
        <f>'SER_se-appl'!H38</f>
        <v>3.5180691027120545</v>
      </c>
      <c r="I10" s="38">
        <f>'SER_se-appl'!I38</f>
        <v>3.4484873042595119</v>
      </c>
      <c r="J10" s="38">
        <f>'SER_se-appl'!J38</f>
        <v>3.6203421554825752</v>
      </c>
      <c r="K10" s="38">
        <f>'SER_se-appl'!K38</f>
        <v>3.623495273260307</v>
      </c>
      <c r="L10" s="38">
        <f>'SER_se-appl'!L38</f>
        <v>3.9452039422104512</v>
      </c>
      <c r="M10" s="38">
        <f>'SER_se-appl'!M38</f>
        <v>4.0251837999512468</v>
      </c>
      <c r="N10" s="38">
        <f>'SER_se-appl'!N38</f>
        <v>4.2868534086564729</v>
      </c>
      <c r="O10" s="38">
        <f>'SER_se-appl'!O38</f>
        <v>4.2016951536829268</v>
      </c>
      <c r="P10" s="38">
        <f>'SER_se-appl'!P38</f>
        <v>4.4065390723559936</v>
      </c>
      <c r="Q10" s="38">
        <f>'SER_se-appl'!Q38</f>
        <v>4.3706273940704392</v>
      </c>
      <c r="R10" s="38">
        <f>'SER_se-appl'!R38</f>
        <v>4.7742184290739296</v>
      </c>
      <c r="S10" s="38">
        <f>'SER_se-appl'!S38</f>
        <v>4.8339818029323496</v>
      </c>
      <c r="T10" s="38">
        <f>'SER_se-appl'!T38</f>
        <v>5.0835761660178989</v>
      </c>
      <c r="U10" s="38">
        <f>'SER_se-appl'!U38</f>
        <v>5.0211878602969691</v>
      </c>
      <c r="V10" s="38">
        <f>'SER_se-appl'!V38</f>
        <v>5.4904519989438541</v>
      </c>
      <c r="W10" s="38">
        <f>'SER_se-appl'!W38</f>
        <v>5.3706331829943466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2459.427262564448</v>
      </c>
      <c r="C12" s="205">
        <f>'SER_se-appl'!C46</f>
        <v>2477.8401433046474</v>
      </c>
      <c r="D12" s="205">
        <f>'SER_se-appl'!D46</f>
        <v>2491.9199029540578</v>
      </c>
      <c r="E12" s="205">
        <f>'SER_se-appl'!E46</f>
        <v>2504.8512064668312</v>
      </c>
      <c r="F12" s="205">
        <f>'SER_se-appl'!F46</f>
        <v>2523.5684768525298</v>
      </c>
      <c r="G12" s="205">
        <f>'SER_se-appl'!G46</f>
        <v>2538.8095188269499</v>
      </c>
      <c r="H12" s="205">
        <f>'SER_se-appl'!H46</f>
        <v>2546.6620491782483</v>
      </c>
      <c r="I12" s="205">
        <f>'SER_se-appl'!I46</f>
        <v>2559.154985089654</v>
      </c>
      <c r="J12" s="205">
        <f>'SER_se-appl'!J46</f>
        <v>2563.7667683974678</v>
      </c>
      <c r="K12" s="205">
        <f>'SER_se-appl'!K46</f>
        <v>2574.89860259442</v>
      </c>
      <c r="L12" s="205">
        <f>'SER_se-appl'!L46</f>
        <v>2586.2418840544246</v>
      </c>
      <c r="M12" s="205">
        <f>'SER_se-appl'!M46</f>
        <v>2593.2902593083631</v>
      </c>
      <c r="N12" s="205">
        <f>'SER_se-appl'!N46</f>
        <v>2599.9168278435109</v>
      </c>
      <c r="O12" s="205">
        <f>'SER_se-appl'!O46</f>
        <v>2604.0185065018441</v>
      </c>
      <c r="P12" s="205">
        <f>'SER_se-appl'!P46</f>
        <v>2608.5679200803406</v>
      </c>
      <c r="Q12" s="205">
        <f>'SER_se-appl'!Q46</f>
        <v>2615.382634048693</v>
      </c>
      <c r="R12" s="205">
        <f>'SER_se-appl'!R46</f>
        <v>2657.9289421183908</v>
      </c>
      <c r="S12" s="205">
        <f>'SER_se-appl'!S46</f>
        <v>2676.7587793327157</v>
      </c>
      <c r="T12" s="205">
        <f>'SER_se-appl'!T46</f>
        <v>2671.8504258498515</v>
      </c>
      <c r="U12" s="205">
        <f>'SER_se-appl'!U46</f>
        <v>2656.4012163280067</v>
      </c>
      <c r="V12" s="205">
        <f>'SER_se-appl'!V46</f>
        <v>2460.8917519819324</v>
      </c>
      <c r="W12" s="205">
        <f>'SER_se-appl'!W46</f>
        <v>2550.0975912272893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36.777915907881777</v>
      </c>
      <c r="C14" s="59">
        <f>'SER_se-appl'!C54</f>
        <v>36.374389620788392</v>
      </c>
      <c r="D14" s="59">
        <f>'SER_se-appl'!D54</f>
        <v>35.774822138008979</v>
      </c>
      <c r="E14" s="59">
        <f>'SER_se-appl'!E54</f>
        <v>34.995237151526077</v>
      </c>
      <c r="F14" s="59">
        <f>'SER_se-appl'!F54</f>
        <v>34.073374111542293</v>
      </c>
      <c r="G14" s="59">
        <f>'SER_se-appl'!G54</f>
        <v>33.07764180206231</v>
      </c>
      <c r="H14" s="59">
        <f>'SER_se-appl'!H54</f>
        <v>32.007372224249217</v>
      </c>
      <c r="I14" s="59">
        <f>'SER_se-appl'!I54</f>
        <v>31.238297328874143</v>
      </c>
      <c r="J14" s="59">
        <f>'SER_se-appl'!J54</f>
        <v>30.525437753434861</v>
      </c>
      <c r="K14" s="59">
        <f>'SER_se-appl'!K54</f>
        <v>29.927842789198319</v>
      </c>
      <c r="L14" s="59">
        <f>'SER_se-appl'!L54</f>
        <v>29.313949270571083</v>
      </c>
      <c r="M14" s="59">
        <f>'SER_se-appl'!M54</f>
        <v>28.627640179645301</v>
      </c>
      <c r="N14" s="59">
        <f>'SER_se-appl'!N54</f>
        <v>27.850062257804161</v>
      </c>
      <c r="O14" s="59">
        <f>'SER_se-appl'!O54</f>
        <v>26.995656146623876</v>
      </c>
      <c r="P14" s="59">
        <f>'SER_se-appl'!P54</f>
        <v>26.003217563299575</v>
      </c>
      <c r="Q14" s="59">
        <f>'SER_se-appl'!Q54</f>
        <v>24.943031908063318</v>
      </c>
      <c r="R14" s="59">
        <f>'SER_se-appl'!R54</f>
        <v>23.671352931298529</v>
      </c>
      <c r="S14" s="59">
        <f>'SER_se-appl'!S54</f>
        <v>22.404353380035648</v>
      </c>
      <c r="T14" s="59">
        <f>'SER_se-appl'!T54</f>
        <v>20.990371600886878</v>
      </c>
      <c r="U14" s="59">
        <f>'SER_se-appl'!U54</f>
        <v>19.642299445959452</v>
      </c>
      <c r="V14" s="59">
        <f>'SER_se-appl'!V54</f>
        <v>18.24582829470523</v>
      </c>
      <c r="W14" s="59">
        <f>'SER_se-appl'!W54</f>
        <v>16.898690810119607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34.417678145259075</v>
      </c>
      <c r="D15" s="63">
        <f>'SER_se-appl'!D62</f>
        <v>33.314120680170817</v>
      </c>
      <c r="E15" s="63">
        <f>'SER_se-appl'!E62</f>
        <v>32.162486127805849</v>
      </c>
      <c r="F15" s="63">
        <f>'SER_se-appl'!F62</f>
        <v>31.461826497914696</v>
      </c>
      <c r="G15" s="63">
        <f>'SER_se-appl'!G62</f>
        <v>30.890345509246892</v>
      </c>
      <c r="H15" s="63">
        <f>'SER_se-appl'!H62</f>
        <v>30.384663739665854</v>
      </c>
      <c r="I15" s="63">
        <f>'SER_se-appl'!I62</f>
        <v>29.647063230314544</v>
      </c>
      <c r="J15" s="63">
        <f>'SER_se-appl'!J62</f>
        <v>28.98210346078309</v>
      </c>
      <c r="K15" s="63">
        <f>'SER_se-appl'!K62</f>
        <v>28.432115659988327</v>
      </c>
      <c r="L15" s="63">
        <f>'SER_se-appl'!L62</f>
        <v>27.843872790818427</v>
      </c>
      <c r="M15" s="63">
        <f>'SER_se-appl'!M62</f>
        <v>26.811141390186432</v>
      </c>
      <c r="N15" s="63">
        <f>'SER_se-appl'!N62</f>
        <v>25.876825730896961</v>
      </c>
      <c r="O15" s="63">
        <f>'SER_se-appl'!O62</f>
        <v>24.505895102664901</v>
      </c>
      <c r="P15" s="63">
        <f>'SER_se-appl'!P62</f>
        <v>23.244222879664186</v>
      </c>
      <c r="Q15" s="63">
        <f>'SER_se-appl'!Q62</f>
        <v>21.944411210768138</v>
      </c>
      <c r="R15" s="63">
        <f>'SER_se-appl'!R62</f>
        <v>20.198298222591454</v>
      </c>
      <c r="S15" s="63">
        <f>'SER_se-appl'!S62</f>
        <v>19.146069477843817</v>
      </c>
      <c r="T15" s="63">
        <f>'SER_se-appl'!T62</f>
        <v>17.500128985135152</v>
      </c>
      <c r="U15" s="63">
        <f>'SER_se-appl'!U62</f>
        <v>16.195795507336175</v>
      </c>
      <c r="V15" s="63">
        <f>'SER_se-appl'!V62</f>
        <v>15.085351373323828</v>
      </c>
      <c r="W15" s="63">
        <f>'SER_se-appl'!W62</f>
        <v>13.680046791049081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60.067655721255697</v>
      </c>
      <c r="C3" s="199">
        <f>'SER_se-appl'!C7</f>
        <v>65.892090970973129</v>
      </c>
      <c r="D3" s="199">
        <f>'SER_se-appl'!D7</f>
        <v>71.050100470804864</v>
      </c>
      <c r="E3" s="199">
        <f>'SER_se-appl'!E7</f>
        <v>76.692236286482284</v>
      </c>
      <c r="F3" s="199">
        <f>'SER_se-appl'!F7</f>
        <v>81.066941034201562</v>
      </c>
      <c r="G3" s="199">
        <f>'SER_se-appl'!G7</f>
        <v>84.561617943732259</v>
      </c>
      <c r="H3" s="199">
        <f>'SER_se-appl'!H7</f>
        <v>85.569123322272404</v>
      </c>
      <c r="I3" s="199">
        <f>'SER_se-appl'!I7</f>
        <v>86.803798939579082</v>
      </c>
      <c r="J3" s="199">
        <f>'SER_se-appl'!J7</f>
        <v>87.604148838070529</v>
      </c>
      <c r="K3" s="199">
        <f>'SER_se-appl'!K7</f>
        <v>88.210896073915137</v>
      </c>
      <c r="L3" s="199">
        <f>'SER_se-appl'!L7</f>
        <v>88.88316677330323</v>
      </c>
      <c r="M3" s="199">
        <f>'SER_se-appl'!M7</f>
        <v>87.825946827198038</v>
      </c>
      <c r="N3" s="199">
        <f>'SER_se-appl'!N7</f>
        <v>87.074786017301406</v>
      </c>
      <c r="O3" s="199">
        <f>'SER_se-appl'!O7</f>
        <v>86.565147040491084</v>
      </c>
      <c r="P3" s="199">
        <f>'SER_se-appl'!P7</f>
        <v>86.251001074523018</v>
      </c>
      <c r="Q3" s="199">
        <f>'SER_se-appl'!Q7</f>
        <v>85.395341250945805</v>
      </c>
      <c r="R3" s="199">
        <f>'SER_se-appl'!R7</f>
        <v>84.224804472368248</v>
      </c>
      <c r="S3" s="199">
        <f>'SER_se-appl'!S7</f>
        <v>83.862322858754993</v>
      </c>
      <c r="T3" s="199">
        <f>'SER_se-appl'!T7</f>
        <v>83.574274282422849</v>
      </c>
      <c r="U3" s="199">
        <f>'SER_se-appl'!U7</f>
        <v>83.22093009450596</v>
      </c>
      <c r="V3" s="199">
        <f>'SER_se-appl'!V7</f>
        <v>82.700573426201402</v>
      </c>
      <c r="W3" s="199">
        <f>'SER_se-appl'!W7</f>
        <v>81.451872129055943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79.747355712123749</v>
      </c>
      <c r="C5" s="59">
        <f>'SER_se-appl'!C15</f>
        <v>87.48002488497913</v>
      </c>
      <c r="D5" s="59">
        <f>'SER_se-appl'!D15</f>
        <v>94.32793019126261</v>
      </c>
      <c r="E5" s="59">
        <f>'SER_se-appl'!E15</f>
        <v>101.8185739739485</v>
      </c>
      <c r="F5" s="59">
        <f>'SER_se-appl'!F15</f>
        <v>107.62654386161694</v>
      </c>
      <c r="G5" s="59">
        <f>'SER_se-appl'!G15</f>
        <v>112.26616628831123</v>
      </c>
      <c r="H5" s="59">
        <f>'SER_se-appl'!H15</f>
        <v>113.60375619155575</v>
      </c>
      <c r="I5" s="59">
        <f>'SER_se-appl'!I15</f>
        <v>115.24294311270604</v>
      </c>
      <c r="J5" s="59">
        <f>'SER_se-appl'!J15</f>
        <v>116.30550810351147</v>
      </c>
      <c r="K5" s="59">
        <f>'SER_se-appl'!K15</f>
        <v>117.11104124881656</v>
      </c>
      <c r="L5" s="59">
        <f>'SER_se-appl'!L15</f>
        <v>118.00356501980787</v>
      </c>
      <c r="M5" s="59">
        <f>'SER_se-appl'!M15</f>
        <v>116.59997278542392</v>
      </c>
      <c r="N5" s="59">
        <f>'SER_se-appl'!N15</f>
        <v>115.60271248644008</v>
      </c>
      <c r="O5" s="59">
        <f>'SER_se-appl'!O15</f>
        <v>114.92610274896251</v>
      </c>
      <c r="P5" s="59">
        <f>'SER_se-appl'!P15</f>
        <v>114.50903453158712</v>
      </c>
      <c r="Q5" s="59">
        <f>'SER_se-appl'!Q15</f>
        <v>113.37303866992008</v>
      </c>
      <c r="R5" s="59">
        <f>'SER_se-appl'!R15</f>
        <v>111.81900411114641</v>
      </c>
      <c r="S5" s="59">
        <f>'SER_se-appl'!S15</f>
        <v>111.33776425197723</v>
      </c>
      <c r="T5" s="59">
        <f>'SER_se-appl'!T15</f>
        <v>110.95534359641297</v>
      </c>
      <c r="U5" s="59">
        <f>'SER_se-appl'!U15</f>
        <v>110.48623481724935</v>
      </c>
      <c r="V5" s="59">
        <f>'SER_se-appl'!V15</f>
        <v>109.79539599848425</v>
      </c>
      <c r="W5" s="59">
        <f>'SER_se-appl'!W15</f>
        <v>108.13758822613249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2.3511856981974378E-2</v>
      </c>
      <c r="C6" s="202">
        <f>'SER_se-appl'!C71</f>
        <v>2.6183835072545295E-2</v>
      </c>
      <c r="D6" s="202">
        <f>'SER_se-appl'!D71</f>
        <v>2.8696723257124808E-2</v>
      </c>
      <c r="E6" s="202">
        <f>'SER_se-appl'!E71</f>
        <v>3.1514395036671403E-2</v>
      </c>
      <c r="F6" s="202">
        <f>'SER_se-appl'!F71</f>
        <v>3.3835263066268738E-2</v>
      </c>
      <c r="G6" s="202">
        <f>'SER_se-appl'!G71</f>
        <v>3.5800188342205136E-2</v>
      </c>
      <c r="H6" s="202">
        <f>'SER_se-appl'!H71</f>
        <v>3.6647520646013718E-2</v>
      </c>
      <c r="I6" s="202">
        <f>'SER_se-appl'!I71</f>
        <v>3.7661407364356046E-2</v>
      </c>
      <c r="J6" s="202">
        <f>'SER_se-appl'!J71</f>
        <v>3.8530669836856109E-2</v>
      </c>
      <c r="K6" s="202">
        <f>'SER_se-appl'!K71</f>
        <v>3.9369618319612415E-2</v>
      </c>
      <c r="L6" s="202">
        <f>'SER_se-appl'!L71</f>
        <v>4.0331236426458292E-2</v>
      </c>
      <c r="M6" s="202">
        <f>'SER_se-appl'!M71</f>
        <v>4.0743417384566695E-2</v>
      </c>
      <c r="N6" s="202">
        <f>'SER_se-appl'!N71</f>
        <v>4.1193296440194795E-2</v>
      </c>
      <c r="O6" s="202">
        <f>'SER_se-appl'!O71</f>
        <v>4.1896246478160926E-2</v>
      </c>
      <c r="P6" s="202">
        <f>'SER_se-appl'!P71</f>
        <v>4.2665475250231531E-2</v>
      </c>
      <c r="Q6" s="202">
        <f>'SER_se-appl'!Q71</f>
        <v>4.3095834960760096E-2</v>
      </c>
      <c r="R6" s="202">
        <f>'SER_se-appl'!R71</f>
        <v>4.312460485090959E-2</v>
      </c>
      <c r="S6" s="202">
        <f>'SER_se-appl'!S71</f>
        <v>4.3651017287650959E-2</v>
      </c>
      <c r="T6" s="202">
        <f>'SER_se-appl'!T71</f>
        <v>4.4234561158770488E-2</v>
      </c>
      <c r="U6" s="202">
        <f>'SER_se-appl'!U71</f>
        <v>4.4811085784354672E-2</v>
      </c>
      <c r="V6" s="202">
        <f>'SER_se-appl'!V71</f>
        <v>4.5287311728840769E-2</v>
      </c>
      <c r="W6" s="202">
        <f>'SER_se-appl'!W71</f>
        <v>4.5633603412566157E-2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121.58691303459807</v>
      </c>
      <c r="C8" s="34">
        <f>'SER_se-appl'!C23</f>
        <v>135.66146065189051</v>
      </c>
      <c r="D8" s="34">
        <f>'SER_se-appl'!D23</f>
        <v>149.07663634516092</v>
      </c>
      <c r="E8" s="34">
        <f>'SER_se-appl'!E23</f>
        <v>164.07323730744716</v>
      </c>
      <c r="F8" s="34">
        <f>'SER_se-appl'!F23</f>
        <v>176.61100535542104</v>
      </c>
      <c r="G8" s="34">
        <f>'SER_se-appl'!G23</f>
        <v>187.47166007486317</v>
      </c>
      <c r="H8" s="34">
        <f>'SER_se-appl'!H23</f>
        <v>192.60397655677679</v>
      </c>
      <c r="I8" s="34">
        <f>'SER_se-appl'!I23</f>
        <v>198.73755189837547</v>
      </c>
      <c r="J8" s="34">
        <f>'SER_se-appl'!J23</f>
        <v>204.23119897953839</v>
      </c>
      <c r="K8" s="34">
        <f>'SER_se-appl'!K23</f>
        <v>209.6949492304081</v>
      </c>
      <c r="L8" s="34">
        <f>'SER_se-appl'!L23</f>
        <v>215.82966755593242</v>
      </c>
      <c r="M8" s="34">
        <f>'SER_se-appl'!M23</f>
        <v>219.00711362524413</v>
      </c>
      <c r="N8" s="34">
        <f>'SER_se-appl'!N23</f>
        <v>222.49599268364162</v>
      </c>
      <c r="O8" s="34">
        <f>'SER_se-appl'!O23</f>
        <v>227.35727146062746</v>
      </c>
      <c r="P8" s="34">
        <f>'SER_se-appl'!P23</f>
        <v>232.58102526732964</v>
      </c>
      <c r="Q8" s="34">
        <f>'SER_se-appl'!Q23</f>
        <v>235.80976423404391</v>
      </c>
      <c r="R8" s="34">
        <f>'SER_se-appl'!R23</f>
        <v>236.63798919523501</v>
      </c>
      <c r="S8" s="34">
        <f>'SER_se-appl'!S23</f>
        <v>240.22451248607766</v>
      </c>
      <c r="T8" s="34">
        <f>'SER_se-appl'!T23</f>
        <v>243.87088616125237</v>
      </c>
      <c r="U8" s="34">
        <f>'SER_se-appl'!U23</f>
        <v>247.26394166012054</v>
      </c>
      <c r="V8" s="34">
        <f>'SER_se-appl'!V23</f>
        <v>250.22562119687009</v>
      </c>
      <c r="W8" s="34">
        <f>'SER_se-appl'!W23</f>
        <v>252.52691512923471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25.124743482774875</v>
      </c>
      <c r="D9" s="36">
        <f>'SER_se-appl'!D31</f>
        <v>24.698134930890575</v>
      </c>
      <c r="E9" s="36">
        <f>'SER_se-appl'!E31</f>
        <v>26.517226542821135</v>
      </c>
      <c r="F9" s="36">
        <f>'SER_se-appl'!F31</f>
        <v>24.301066219285019</v>
      </c>
      <c r="G9" s="36">
        <f>'SER_se-appl'!G31</f>
        <v>22.871737181923038</v>
      </c>
      <c r="H9" s="36">
        <f>'SER_se-appl'!H31</f>
        <v>17.396402609761594</v>
      </c>
      <c r="I9" s="36">
        <f>'SER_se-appl'!I31</f>
        <v>18.655994450875738</v>
      </c>
      <c r="J9" s="36">
        <f>'SER_se-appl'!J31</f>
        <v>18.279840745631532</v>
      </c>
      <c r="K9" s="36">
        <f>'SER_se-appl'!K31</f>
        <v>18.519274666609817</v>
      </c>
      <c r="L9" s="36">
        <f>'SER_se-appl'!L31</f>
        <v>19.465246725359066</v>
      </c>
      <c r="M9" s="36">
        <f>'SER_se-appl'!M31</f>
        <v>28.302189552086588</v>
      </c>
      <c r="N9" s="36">
        <f>'SER_se-appl'!N31</f>
        <v>28.187013989288062</v>
      </c>
      <c r="O9" s="36">
        <f>'SER_se-appl'!O31</f>
        <v>31.378505319806976</v>
      </c>
      <c r="P9" s="36">
        <f>'SER_se-appl'!P31</f>
        <v>29.524820025987196</v>
      </c>
      <c r="Q9" s="36">
        <f>'SER_se-appl'!Q31</f>
        <v>26.100476148637313</v>
      </c>
      <c r="R9" s="36">
        <f>'SER_se-appl'!R31</f>
        <v>18.224627570952691</v>
      </c>
      <c r="S9" s="36">
        <f>'SER_se-appl'!S31</f>
        <v>22.242517741718387</v>
      </c>
      <c r="T9" s="36">
        <f>'SER_se-appl'!T31</f>
        <v>21.926214420806247</v>
      </c>
      <c r="U9" s="36">
        <f>'SER_se-appl'!U31</f>
        <v>21.912330165477982</v>
      </c>
      <c r="V9" s="36">
        <f>'SER_se-appl'!V31</f>
        <v>22.426926262108623</v>
      </c>
      <c r="W9" s="36">
        <f>'SER_se-appl'!W31</f>
        <v>30.603483484451203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11.050195865482436</v>
      </c>
      <c r="D10" s="38">
        <f>'SER_se-appl'!D39</f>
        <v>11.282959237620162</v>
      </c>
      <c r="E10" s="38">
        <f>'SER_se-appl'!E39</f>
        <v>11.520625580534897</v>
      </c>
      <c r="F10" s="38">
        <f>'SER_se-appl'!F39</f>
        <v>11.763298171311135</v>
      </c>
      <c r="G10" s="38">
        <f>'SER_se-appl'!G39</f>
        <v>12.011082462480914</v>
      </c>
      <c r="H10" s="38">
        <f>'SER_se-appl'!H39</f>
        <v>12.264086127847975</v>
      </c>
      <c r="I10" s="38">
        <f>'SER_se-appl'!I39</f>
        <v>12.522419109277052</v>
      </c>
      <c r="J10" s="38">
        <f>'SER_se-appl'!J39</f>
        <v>12.786193664468612</v>
      </c>
      <c r="K10" s="38">
        <f>'SER_se-appl'!K39</f>
        <v>13.055524415740109</v>
      </c>
      <c r="L10" s="38">
        <f>'SER_se-appl'!L39</f>
        <v>13.330528399834748</v>
      </c>
      <c r="M10" s="38">
        <f>'SER_se-appl'!M39</f>
        <v>25.124743482774875</v>
      </c>
      <c r="N10" s="38">
        <f>'SER_se-appl'!N39</f>
        <v>24.698134930890575</v>
      </c>
      <c r="O10" s="38">
        <f>'SER_se-appl'!O39</f>
        <v>26.517226542821135</v>
      </c>
      <c r="P10" s="38">
        <f>'SER_se-appl'!P39</f>
        <v>24.301066219284991</v>
      </c>
      <c r="Q10" s="38">
        <f>'SER_se-appl'!Q39</f>
        <v>22.871737181923066</v>
      </c>
      <c r="R10" s="38">
        <f>'SER_se-appl'!R39</f>
        <v>17.396402609761594</v>
      </c>
      <c r="S10" s="38">
        <f>'SER_se-appl'!S39</f>
        <v>18.655994450875738</v>
      </c>
      <c r="T10" s="38">
        <f>'SER_se-appl'!T39</f>
        <v>18.279840745631532</v>
      </c>
      <c r="U10" s="38">
        <f>'SER_se-appl'!U39</f>
        <v>18.519274666609789</v>
      </c>
      <c r="V10" s="38">
        <f>'SER_se-appl'!V39</f>
        <v>19.465246725359037</v>
      </c>
      <c r="W10" s="38">
        <f>'SER_se-appl'!W39</f>
        <v>28.30218955208656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8759.9999999999964</v>
      </c>
      <c r="C12" s="205">
        <f>'SER_se-appl'!C47</f>
        <v>8760.0000000000036</v>
      </c>
      <c r="D12" s="205">
        <f>'SER_se-appl'!D47</f>
        <v>8760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8759.9999999999982</v>
      </c>
      <c r="H12" s="205">
        <f>'SER_se-appl'!H47</f>
        <v>8759.9999999999982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8759.9999999999982</v>
      </c>
      <c r="M12" s="205">
        <f>'SER_se-appl'!M47</f>
        <v>8759.9999999999964</v>
      </c>
      <c r="N12" s="205">
        <f>'SER_se-appl'!N47</f>
        <v>8760.0000000000018</v>
      </c>
      <c r="O12" s="205">
        <f>'SER_se-appl'!O47</f>
        <v>8759.9999999999982</v>
      </c>
      <c r="P12" s="205">
        <f>'SER_se-appl'!P47</f>
        <v>8759.9999999999964</v>
      </c>
      <c r="Q12" s="205">
        <f>'SER_se-appl'!Q47</f>
        <v>8759.9999999999982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8760.0000000000018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655.88765864490131</v>
      </c>
      <c r="C14" s="59">
        <f>'SER_se-appl'!C55</f>
        <v>644.84065308314996</v>
      </c>
      <c r="D14" s="59">
        <f>'SER_se-appl'!D55</f>
        <v>632.74791076492204</v>
      </c>
      <c r="E14" s="59">
        <f>'SER_se-appl'!E55</f>
        <v>620.56783692977717</v>
      </c>
      <c r="F14" s="59">
        <f>'SER_se-appl'!F55</f>
        <v>609.3988517024959</v>
      </c>
      <c r="G14" s="59">
        <f>'SER_se-appl'!G55</f>
        <v>598.84339981563039</v>
      </c>
      <c r="H14" s="59">
        <f>'SER_se-appl'!H55</f>
        <v>589.83079281370419</v>
      </c>
      <c r="I14" s="59">
        <f>'SER_se-appl'!I55</f>
        <v>579.87502619351756</v>
      </c>
      <c r="J14" s="59">
        <f>'SER_se-appl'!J55</f>
        <v>569.47963232181746</v>
      </c>
      <c r="K14" s="59">
        <f>'SER_se-appl'!K55</f>
        <v>558.48288992472385</v>
      </c>
      <c r="L14" s="59">
        <f>'SER_se-appl'!L55</f>
        <v>546.74395024598346</v>
      </c>
      <c r="M14" s="59">
        <f>'SER_se-appl'!M55</f>
        <v>532.40267338961849</v>
      </c>
      <c r="N14" s="59">
        <f>'SER_se-appl'!N55</f>
        <v>519.57211045509064</v>
      </c>
      <c r="O14" s="59">
        <f>'SER_se-appl'!O55</f>
        <v>505.48681381789373</v>
      </c>
      <c r="P14" s="59">
        <f>'SER_se-appl'!P55</f>
        <v>492.34039793216124</v>
      </c>
      <c r="Q14" s="59">
        <f>'SER_se-appl'!Q55</f>
        <v>480.78178203594666</v>
      </c>
      <c r="R14" s="59">
        <f>'SER_se-appl'!R55</f>
        <v>472.53192309241456</v>
      </c>
      <c r="S14" s="59">
        <f>'SER_se-appl'!S55</f>
        <v>463.47378583369954</v>
      </c>
      <c r="T14" s="59">
        <f>'SER_se-appl'!T55</f>
        <v>454.97576747659434</v>
      </c>
      <c r="U14" s="59">
        <f>'SER_se-appl'!U55</f>
        <v>446.8352080592465</v>
      </c>
      <c r="V14" s="59">
        <f>'SER_se-appl'!V55</f>
        <v>438.78558667699536</v>
      </c>
      <c r="W14" s="59">
        <f>'SER_se-appl'!W55</f>
        <v>428.22202999942141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596.23917262695647</v>
      </c>
      <c r="D15" s="63">
        <f>'SER_se-appl'!D63</f>
        <v>576.89615281076919</v>
      </c>
      <c r="E15" s="63">
        <f>'SER_se-appl'!E63</f>
        <v>567.43792177998455</v>
      </c>
      <c r="F15" s="63">
        <f>'SER_se-appl'!F63</f>
        <v>556.49294813490826</v>
      </c>
      <c r="G15" s="63">
        <f>'SER_se-appl'!G63</f>
        <v>547.29306660165412</v>
      </c>
      <c r="H15" s="63">
        <f>'SER_se-appl'!H63</f>
        <v>539.27543811810608</v>
      </c>
      <c r="I15" s="63">
        <f>'SER_se-appl'!I63</f>
        <v>528.11374366814857</v>
      </c>
      <c r="J15" s="63">
        <f>'SER_se-appl'!J63</f>
        <v>516.90119995340137</v>
      </c>
      <c r="K15" s="63">
        <f>'SER_se-appl'!K63</f>
        <v>505.87783028120327</v>
      </c>
      <c r="L15" s="63">
        <f>'SER_se-appl'!L63</f>
        <v>495.02854844910973</v>
      </c>
      <c r="M15" s="63">
        <f>'SER_se-appl'!M63</f>
        <v>479.70719746837824</v>
      </c>
      <c r="N15" s="63">
        <f>'SER_se-appl'!N63</f>
        <v>470.11005597414436</v>
      </c>
      <c r="O15" s="63">
        <f>'SER_se-appl'!O63</f>
        <v>457.96541412311922</v>
      </c>
      <c r="P15" s="63">
        <f>'SER_se-appl'!P63</f>
        <v>443.90799856799242</v>
      </c>
      <c r="Q15" s="63">
        <f>'SER_se-appl'!Q63</f>
        <v>436.0666546586703</v>
      </c>
      <c r="R15" s="63">
        <f>'SER_se-appl'!R63</f>
        <v>429.49673730289095</v>
      </c>
      <c r="S15" s="63">
        <f>'SER_se-appl'!S63</f>
        <v>421.32133245680899</v>
      </c>
      <c r="T15" s="63">
        <f>'SER_se-appl'!T63</f>
        <v>413.49823488939376</v>
      </c>
      <c r="U15" s="63">
        <f>'SER_se-appl'!U63</f>
        <v>406.13579844571814</v>
      </c>
      <c r="V15" s="63">
        <f>'SER_se-appl'!V63</f>
        <v>398.8515371366891</v>
      </c>
      <c r="W15" s="63">
        <f>'SER_se-appl'!W63</f>
        <v>389.4640381691907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37.96550463274091</v>
      </c>
      <c r="C3" s="199">
        <f>'SER_se-appl'!C8</f>
        <v>40.081068056446171</v>
      </c>
      <c r="D3" s="199">
        <f>'SER_se-appl'!D8</f>
        <v>42.733915847830332</v>
      </c>
      <c r="E3" s="199">
        <f>'SER_se-appl'!E8</f>
        <v>46.142745647413456</v>
      </c>
      <c r="F3" s="199">
        <f>'SER_se-appl'!F8</f>
        <v>50.301223697234143</v>
      </c>
      <c r="G3" s="199">
        <f>'SER_se-appl'!G8</f>
        <v>55.053538051131994</v>
      </c>
      <c r="H3" s="199">
        <f>'SER_se-appl'!H8</f>
        <v>60.624059439632696</v>
      </c>
      <c r="I3" s="199">
        <f>'SER_se-appl'!I8</f>
        <v>65.011761188356232</v>
      </c>
      <c r="J3" s="199">
        <f>'SER_se-appl'!J8</f>
        <v>68.002513661378387</v>
      </c>
      <c r="K3" s="199">
        <f>'SER_se-appl'!K8</f>
        <v>69.964520819069051</v>
      </c>
      <c r="L3" s="199">
        <f>'SER_se-appl'!L8</f>
        <v>71.490045170807406</v>
      </c>
      <c r="M3" s="199">
        <f>'SER_se-appl'!M8</f>
        <v>72.307955346163268</v>
      </c>
      <c r="N3" s="199">
        <f>'SER_se-appl'!N8</f>
        <v>72.488442482007443</v>
      </c>
      <c r="O3" s="199">
        <f>'SER_se-appl'!O8</f>
        <v>72.528052225049493</v>
      </c>
      <c r="P3" s="199">
        <f>'SER_se-appl'!P8</f>
        <v>72.341454828519801</v>
      </c>
      <c r="Q3" s="199">
        <f>'SER_se-appl'!Q8</f>
        <v>71.817305677243553</v>
      </c>
      <c r="R3" s="199">
        <f>'SER_se-appl'!R8</f>
        <v>74.2978295647941</v>
      </c>
      <c r="S3" s="199">
        <f>'SER_se-appl'!S8</f>
        <v>76.241646370351802</v>
      </c>
      <c r="T3" s="199">
        <f>'SER_se-appl'!T8</f>
        <v>77.272613903003176</v>
      </c>
      <c r="U3" s="199">
        <f>'SER_se-appl'!U8</f>
        <v>78.229891631736123</v>
      </c>
      <c r="V3" s="199">
        <f>'SER_se-appl'!V8</f>
        <v>73.034356097171738</v>
      </c>
      <c r="W3" s="199">
        <f>'SER_se-appl'!W8</f>
        <v>75.394364740126136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535.14438019981787</v>
      </c>
      <c r="C5" s="59">
        <f>'SER_se-appl'!C16</f>
        <v>562.27845624794736</v>
      </c>
      <c r="D5" s="59">
        <f>'SER_se-appl'!D16</f>
        <v>596.89153571202667</v>
      </c>
      <c r="E5" s="59">
        <f>'SER_se-appl'!E16</f>
        <v>641.93056910032738</v>
      </c>
      <c r="F5" s="59">
        <f>'SER_se-appl'!F16</f>
        <v>697.19448147558944</v>
      </c>
      <c r="G5" s="59">
        <f>'SER_se-appl'!G16</f>
        <v>760.43564097392186</v>
      </c>
      <c r="H5" s="59">
        <f>'SER_se-appl'!H16</f>
        <v>834.68153648340547</v>
      </c>
      <c r="I5" s="59">
        <f>'SER_se-appl'!I16</f>
        <v>892.38297778155732</v>
      </c>
      <c r="J5" s="59">
        <f>'SER_se-appl'!J16</f>
        <v>930.77162110369056</v>
      </c>
      <c r="K5" s="59">
        <f>'SER_se-appl'!K16</f>
        <v>955.04091185409459</v>
      </c>
      <c r="L5" s="59">
        <f>'SER_se-appl'!L16</f>
        <v>973.36530921722851</v>
      </c>
      <c r="M5" s="59">
        <f>'SER_se-appl'!M16</f>
        <v>982.90164886271339</v>
      </c>
      <c r="N5" s="59">
        <f>'SER_se-appl'!N16</f>
        <v>983.8282857589744</v>
      </c>
      <c r="O5" s="59">
        <f>'SER_se-appl'!O16</f>
        <v>982.9083975837558</v>
      </c>
      <c r="P5" s="59">
        <f>'SER_se-appl'!P16</f>
        <v>978.98977529077638</v>
      </c>
      <c r="Q5" s="59">
        <f>'SER_se-appl'!Q16</f>
        <v>970.57492407012637</v>
      </c>
      <c r="R5" s="59">
        <f>'SER_se-appl'!R16</f>
        <v>990.53078241596199</v>
      </c>
      <c r="S5" s="59">
        <f>'SER_se-appl'!S16</f>
        <v>1009.871138982855</v>
      </c>
      <c r="T5" s="59">
        <f>'SER_se-appl'!T16</f>
        <v>1023.8168953118065</v>
      </c>
      <c r="U5" s="59">
        <f>'SER_se-appl'!U16</f>
        <v>1040.2527288195847</v>
      </c>
      <c r="V5" s="59">
        <f>'SER_se-appl'!V16</f>
        <v>1048.3215161626358</v>
      </c>
      <c r="W5" s="59">
        <f>'SER_se-appl'!W16</f>
        <v>1044.3399475922358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109.44482474579974</v>
      </c>
      <c r="C6" s="202">
        <f>'SER_se-appl'!C72</f>
        <v>114.26450828535086</v>
      </c>
      <c r="D6" s="202">
        <f>'SER_se-appl'!D72</f>
        <v>120.77828591966249</v>
      </c>
      <c r="E6" s="202">
        <f>'SER_se-appl'!E72</f>
        <v>129.70503334209045</v>
      </c>
      <c r="F6" s="202">
        <f>'SER_se-appl'!F72</f>
        <v>139.86477540495704</v>
      </c>
      <c r="G6" s="202">
        <f>'SER_se-appl'!G72</f>
        <v>151.94419442225183</v>
      </c>
      <c r="H6" s="202">
        <f>'SER_se-appl'!H72</f>
        <v>165.48633351467427</v>
      </c>
      <c r="I6" s="202">
        <f>'SER_se-appl'!I72</f>
        <v>175.48679719006486</v>
      </c>
      <c r="J6" s="202">
        <f>'SER_se-appl'!J72</f>
        <v>182.48705580037264</v>
      </c>
      <c r="K6" s="202">
        <f>'SER_se-appl'!K72</f>
        <v>187.49991285433379</v>
      </c>
      <c r="L6" s="202">
        <f>'SER_se-appl'!L72</f>
        <v>191.14623001851083</v>
      </c>
      <c r="M6" s="202">
        <f>'SER_se-appl'!M72</f>
        <v>193.7313733611505</v>
      </c>
      <c r="N6" s="202">
        <f>'SER_se-appl'!N72</f>
        <v>195.35460210250781</v>
      </c>
      <c r="O6" s="202">
        <f>'SER_se-appl'!O72</f>
        <v>197.22563500985518</v>
      </c>
      <c r="P6" s="202">
        <f>'SER_se-appl'!P72</f>
        <v>199.07367578110117</v>
      </c>
      <c r="Q6" s="202">
        <f>'SER_se-appl'!Q72</f>
        <v>200.71414002711998</v>
      </c>
      <c r="R6" s="202">
        <f>'SER_se-appl'!R72</f>
        <v>206.72135190764456</v>
      </c>
      <c r="S6" s="202">
        <f>'SER_se-appl'!S72</f>
        <v>212.64458063108049</v>
      </c>
      <c r="T6" s="202">
        <f>'SER_se-appl'!T72</f>
        <v>218.01646405720936</v>
      </c>
      <c r="U6" s="202">
        <f>'SER_se-appl'!U72</f>
        <v>225.01645357282922</v>
      </c>
      <c r="V6" s="202">
        <f>'SER_se-appl'!V72</f>
        <v>230.83365791543989</v>
      </c>
      <c r="W6" s="202">
        <f>'SER_se-appl'!W72</f>
        <v>234.61530442156467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11.210455391304519</v>
      </c>
      <c r="C8" s="34">
        <f>'SER_se-appl'!C24</f>
        <v>11.835368477433509</v>
      </c>
      <c r="D8" s="34">
        <f>'SER_se-appl'!D24</f>
        <v>12.637153113033783</v>
      </c>
      <c r="E8" s="34">
        <f>'SER_se-appl'!E24</f>
        <v>13.685094999816512</v>
      </c>
      <c r="F8" s="34">
        <f>'SER_se-appl'!F24</f>
        <v>14.980905204274068</v>
      </c>
      <c r="G8" s="34">
        <f>'SER_se-appl'!G24</f>
        <v>16.479744518296908</v>
      </c>
      <c r="H8" s="34">
        <f>'SER_se-appl'!H24</f>
        <v>18.265235496838205</v>
      </c>
      <c r="I8" s="34">
        <f>'SER_se-appl'!I24</f>
        <v>19.700502425808885</v>
      </c>
      <c r="J8" s="34">
        <f>'SER_se-appl'!J24</f>
        <v>20.713155176487483</v>
      </c>
      <c r="K8" s="34">
        <f>'SER_se-appl'!K24</f>
        <v>21.420733910061813</v>
      </c>
      <c r="L8" s="34">
        <f>'SER_se-appl'!L24</f>
        <v>22.017775717001712</v>
      </c>
      <c r="M8" s="34">
        <f>'SER_se-appl'!M24</f>
        <v>22.445967044142531</v>
      </c>
      <c r="N8" s="34">
        <f>'SER_se-appl'!N24</f>
        <v>22.712454358687729</v>
      </c>
      <c r="O8" s="34">
        <f>'SER_se-appl'!O24</f>
        <v>22.999247761281509</v>
      </c>
      <c r="P8" s="34">
        <f>'SER_se-appl'!P24</f>
        <v>23.287921087854009</v>
      </c>
      <c r="Q8" s="34">
        <f>'SER_se-appl'!Q24</f>
        <v>23.560841535728805</v>
      </c>
      <c r="R8" s="34">
        <f>'SER_se-appl'!R24</f>
        <v>24.416398408984442</v>
      </c>
      <c r="S8" s="34">
        <f>'SER_se-appl'!S24</f>
        <v>25.339002371174697</v>
      </c>
      <c r="T8" s="34">
        <f>'SER_se-appl'!T24</f>
        <v>26.212814491521009</v>
      </c>
      <c r="U8" s="34">
        <f>'SER_se-appl'!U24</f>
        <v>27.275784381665332</v>
      </c>
      <c r="V8" s="34">
        <f>'SER_se-appl'!V24</f>
        <v>28.187354449896493</v>
      </c>
      <c r="W8" s="34">
        <f>'SER_se-appl'!W24</f>
        <v>28.828721188460765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0.94421437224066374</v>
      </c>
      <c r="D9" s="36">
        <f>'SER_se-appl'!D32</f>
        <v>1.1570173667576018</v>
      </c>
      <c r="E9" s="36">
        <f>'SER_se-appl'!E32</f>
        <v>1.4431494815349772</v>
      </c>
      <c r="F9" s="36">
        <f>'SER_se-appl'!F32</f>
        <v>1.7354910932118166</v>
      </c>
      <c r="G9" s="36">
        <f>'SER_se-appl'!G32</f>
        <v>1.9879981422000323</v>
      </c>
      <c r="H9" s="36">
        <f>'SER_se-appl'!H32</f>
        <v>2.3296955716988972</v>
      </c>
      <c r="I9" s="36">
        <f>'SER_se-appl'!I32</f>
        <v>2.0407116682947937</v>
      </c>
      <c r="J9" s="36">
        <f>'SER_se-appl'!J32</f>
        <v>1.6862290802137068</v>
      </c>
      <c r="K9" s="36">
        <f>'SER_se-appl'!K32</f>
        <v>1.4569536017356768</v>
      </c>
      <c r="L9" s="36">
        <f>'SER_se-appl'!L32</f>
        <v>1.4307449351650519</v>
      </c>
      <c r="M9" s="36">
        <f>'SER_se-appl'!M32</f>
        <v>1.3557122990114081</v>
      </c>
      <c r="N9" s="36">
        <f>'SER_se-appl'!N32</f>
        <v>1.2983835904908325</v>
      </c>
      <c r="O9" s="36">
        <f>'SER_se-appl'!O32</f>
        <v>1.4348104896500438</v>
      </c>
      <c r="P9" s="36">
        <f>'SER_se-appl'!P32</f>
        <v>1.5658784710191966</v>
      </c>
      <c r="Q9" s="36">
        <f>'SER_se-appl'!Q32</f>
        <v>1.6938513725041062</v>
      </c>
      <c r="R9" s="36">
        <f>'SER_se-appl'!R32</f>
        <v>1.7997712454963022</v>
      </c>
      <c r="S9" s="36">
        <f>'SER_se-appl'!S32</f>
        <v>2.0796213289478551</v>
      </c>
      <c r="T9" s="36">
        <f>'SER_se-appl'!T32</f>
        <v>2.3169616018812889</v>
      </c>
      <c r="U9" s="36">
        <f>'SER_se-appl'!U32</f>
        <v>2.79846098335614</v>
      </c>
      <c r="V9" s="36">
        <f>'SER_se-appl'!V32</f>
        <v>2.8995682104311946</v>
      </c>
      <c r="W9" s="36">
        <f>'SER_se-appl'!W32</f>
        <v>2.9710623102631679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0.31930128611167419</v>
      </c>
      <c r="D10" s="38">
        <f>'SER_se-appl'!D40</f>
        <v>0.35523273115732756</v>
      </c>
      <c r="E10" s="38">
        <f>'SER_se-appl'!E40</f>
        <v>0.39520759475224843</v>
      </c>
      <c r="F10" s="38">
        <f>'SER_se-appl'!F40</f>
        <v>0.43968088875426048</v>
      </c>
      <c r="G10" s="38">
        <f>'SER_se-appl'!G40</f>
        <v>0.48915882817719236</v>
      </c>
      <c r="H10" s="38">
        <f>'SER_se-appl'!H40</f>
        <v>0.54420459315759828</v>
      </c>
      <c r="I10" s="38">
        <f>'SER_se-appl'!I40</f>
        <v>0.60544473932411336</v>
      </c>
      <c r="J10" s="38">
        <f>'SER_se-appl'!J40</f>
        <v>0.67357632953510915</v>
      </c>
      <c r="K10" s="38">
        <f>'SER_se-appl'!K40</f>
        <v>0.7493748681613468</v>
      </c>
      <c r="L10" s="38">
        <f>'SER_se-appl'!L40</f>
        <v>0.83370312822515302</v>
      </c>
      <c r="M10" s="38">
        <f>'SER_se-appl'!M40</f>
        <v>0.9275209718705888</v>
      </c>
      <c r="N10" s="38">
        <f>'SER_se-appl'!N40</f>
        <v>1.031896275945634</v>
      </c>
      <c r="O10" s="38">
        <f>'SER_se-appl'!O40</f>
        <v>1.1480170870562638</v>
      </c>
      <c r="P10" s="38">
        <f>'SER_se-appl'!P40</f>
        <v>1.2772051444466967</v>
      </c>
      <c r="Q10" s="38">
        <f>'SER_se-appl'!Q40</f>
        <v>1.4209309246293103</v>
      </c>
      <c r="R10" s="38">
        <f>'SER_se-appl'!R40</f>
        <v>0.94421437224066551</v>
      </c>
      <c r="S10" s="38">
        <f>'SER_se-appl'!S40</f>
        <v>1.1570173667576</v>
      </c>
      <c r="T10" s="38">
        <f>'SER_se-appl'!T40</f>
        <v>1.4431494815349772</v>
      </c>
      <c r="U10" s="38">
        <f>'SER_se-appl'!U40</f>
        <v>1.7354910932118166</v>
      </c>
      <c r="V10" s="38">
        <f>'SER_se-appl'!V40</f>
        <v>1.9879981422000341</v>
      </c>
      <c r="W10" s="38">
        <f>'SER_se-appl'!W40</f>
        <v>2.3296955716988954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825.08353860300349</v>
      </c>
      <c r="C12" s="205">
        <f>'SER_se-appl'!C48</f>
        <v>829.02486537900438</v>
      </c>
      <c r="D12" s="205">
        <f>'SER_se-appl'!D48</f>
        <v>832.63945218691242</v>
      </c>
      <c r="E12" s="205">
        <f>'SER_se-appl'!E48</f>
        <v>835.97846513451668</v>
      </c>
      <c r="F12" s="205">
        <f>'SER_se-appl'!F48</f>
        <v>839.08184465357908</v>
      </c>
      <c r="G12" s="205">
        <f>'SER_se-appl'!G48</f>
        <v>841.9813762472271</v>
      </c>
      <c r="H12" s="205">
        <f>'SER_se-appl'!H48</f>
        <v>844.70277640668246</v>
      </c>
      <c r="I12" s="205">
        <f>'SER_se-appl'!I48</f>
        <v>847.26715036653502</v>
      </c>
      <c r="J12" s="205">
        <f>'SER_se-appl'!J48</f>
        <v>849.69203610229715</v>
      </c>
      <c r="K12" s="205">
        <f>'SER_se-appl'!K48</f>
        <v>851.99216811151985</v>
      </c>
      <c r="L12" s="205">
        <f>'SER_se-appl'!L48</f>
        <v>854.18004675461259</v>
      </c>
      <c r="M12" s="205">
        <f>'SER_se-appl'!M48</f>
        <v>855.57036316798087</v>
      </c>
      <c r="N12" s="205">
        <f>'SER_se-appl'!N48</f>
        <v>856.89809722779307</v>
      </c>
      <c r="O12" s="205">
        <f>'SER_se-appl'!O48</f>
        <v>858.16872604901005</v>
      </c>
      <c r="P12" s="205">
        <f>'SER_se-appl'!P48</f>
        <v>859.38703435977743</v>
      </c>
      <c r="Q12" s="205">
        <f>'SER_se-appl'!Q48</f>
        <v>860.55722676593155</v>
      </c>
      <c r="R12" s="205">
        <f>'SER_se-appl'!R48</f>
        <v>872.34417463635509</v>
      </c>
      <c r="S12" s="205">
        <f>'SER_se-appl'!S48</f>
        <v>878.02325768044864</v>
      </c>
      <c r="T12" s="205">
        <f>'SER_se-appl'!T48</f>
        <v>877.7746331469076</v>
      </c>
      <c r="U12" s="205">
        <f>'SER_se-appl'!U48</f>
        <v>874.60827015516907</v>
      </c>
      <c r="V12" s="205">
        <f>'SER_se-appl'!V48</f>
        <v>810.23764972342099</v>
      </c>
      <c r="W12" s="205">
        <f>'SER_se-appl'!W48</f>
        <v>839.6082750154734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47.736185687417027</v>
      </c>
      <c r="C14" s="59">
        <f>'SER_se-appl'!C56</f>
        <v>47.508318589323466</v>
      </c>
      <c r="D14" s="59">
        <f>'SER_se-appl'!D56</f>
        <v>47.233069851500105</v>
      </c>
      <c r="E14" s="59">
        <f>'SER_se-appl'!E56</f>
        <v>46.907278985563075</v>
      </c>
      <c r="F14" s="59">
        <f>'SER_se-appl'!F56</f>
        <v>46.538875453045328</v>
      </c>
      <c r="G14" s="59">
        <f>'SER_se-appl'!G56</f>
        <v>46.143654722901537</v>
      </c>
      <c r="H14" s="59">
        <f>'SER_se-appl'!H56</f>
        <v>45.697825063788123</v>
      </c>
      <c r="I14" s="59">
        <f>'SER_se-appl'!I56</f>
        <v>45.297473053909528</v>
      </c>
      <c r="J14" s="59">
        <f>'SER_se-appl'!J56</f>
        <v>44.936254914956415</v>
      </c>
      <c r="K14" s="59">
        <f>'SER_se-appl'!K56</f>
        <v>44.584882845936939</v>
      </c>
      <c r="L14" s="59">
        <f>'SER_se-appl'!L56</f>
        <v>44.208158068646966</v>
      </c>
      <c r="M14" s="59">
        <f>'SER_se-appl'!M56</f>
        <v>43.789677091199778</v>
      </c>
      <c r="N14" s="59">
        <f>'SER_se-appl'!N56</f>
        <v>43.316687409551172</v>
      </c>
      <c r="O14" s="59">
        <f>'SER_se-appl'!O56</f>
        <v>42.736545463823838</v>
      </c>
      <c r="P14" s="59">
        <f>'SER_se-appl'!P56</f>
        <v>42.038521669560957</v>
      </c>
      <c r="Q14" s="59">
        <f>'SER_se-appl'!Q56</f>
        <v>41.194408213233785</v>
      </c>
      <c r="R14" s="59">
        <f>'SER_se-appl'!R56</f>
        <v>40.56825932408929</v>
      </c>
      <c r="S14" s="59">
        <f>'SER_se-appl'!S56</f>
        <v>39.854415899643726</v>
      </c>
      <c r="T14" s="59">
        <f>'SER_se-appl'!T56</f>
        <v>39.057877422623882</v>
      </c>
      <c r="U14" s="59">
        <f>'SER_se-appl'!U56</f>
        <v>38.138324979531596</v>
      </c>
      <c r="V14" s="59">
        <f>'SER_se-appl'!V56</f>
        <v>37.191199267247491</v>
      </c>
      <c r="W14" s="59">
        <f>'SER_se-appl'!W56</f>
        <v>36.225677190643211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44.879958172662164</v>
      </c>
      <c r="D15" s="63">
        <f>'SER_se-appl'!D64</f>
        <v>44.571962843888635</v>
      </c>
      <c r="E15" s="63">
        <f>'SER_se-appl'!E64</f>
        <v>44.28143954186956</v>
      </c>
      <c r="F15" s="63">
        <f>'SER_se-appl'!F64</f>
        <v>43.937189434332346</v>
      </c>
      <c r="G15" s="63">
        <f>'SER_se-appl'!G64</f>
        <v>43.557252048038045</v>
      </c>
      <c r="H15" s="63">
        <f>'SER_se-appl'!H64</f>
        <v>43.020276227469921</v>
      </c>
      <c r="I15" s="63">
        <f>'SER_se-appl'!I64</f>
        <v>42.43767757272753</v>
      </c>
      <c r="J15" s="63">
        <f>'SER_se-appl'!J64</f>
        <v>41.834534163371018</v>
      </c>
      <c r="K15" s="63">
        <f>'SER_se-appl'!K64</f>
        <v>41.210364238716956</v>
      </c>
      <c r="L15" s="63">
        <f>'SER_se-appl'!L64</f>
        <v>40.623736119370008</v>
      </c>
      <c r="M15" s="63">
        <f>'SER_se-appl'!M64</f>
        <v>39.69326901210043</v>
      </c>
      <c r="N15" s="63">
        <f>'SER_se-appl'!N64</f>
        <v>38.652236136151551</v>
      </c>
      <c r="O15" s="63">
        <f>'SER_se-appl'!O64</f>
        <v>37.553439324219816</v>
      </c>
      <c r="P15" s="63">
        <f>'SER_se-appl'!P64</f>
        <v>36.433401888538128</v>
      </c>
      <c r="Q15" s="63">
        <f>'SER_se-appl'!Q64</f>
        <v>35.076850431458951</v>
      </c>
      <c r="R15" s="63">
        <f>'SER_se-appl'!R64</f>
        <v>34.633379121930808</v>
      </c>
      <c r="S15" s="63">
        <f>'SER_se-appl'!S64</f>
        <v>34.097982483966227</v>
      </c>
      <c r="T15" s="63">
        <f>'SER_se-appl'!T64</f>
        <v>33.60025163222879</v>
      </c>
      <c r="U15" s="63">
        <f>'SER_se-appl'!U64</f>
        <v>33.121217334487476</v>
      </c>
      <c r="V15" s="63">
        <f>'SER_se-appl'!V64</f>
        <v>32.646420647511619</v>
      </c>
      <c r="W15" s="63">
        <f>'SER_se-appl'!W64</f>
        <v>32.39332211833522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107.73067038237814</v>
      </c>
      <c r="C3" s="199">
        <f>'SER_se-appl'!C9</f>
        <v>122.38789272145218</v>
      </c>
      <c r="D3" s="199">
        <f>'SER_se-appl'!D9</f>
        <v>138.99884108892968</v>
      </c>
      <c r="E3" s="199">
        <f>'SER_se-appl'!E9</f>
        <v>155.16092533689147</v>
      </c>
      <c r="F3" s="199">
        <f>'SER_se-appl'!F9</f>
        <v>172.79503752068587</v>
      </c>
      <c r="G3" s="199">
        <f>'SER_se-appl'!G9</f>
        <v>196.65214519998574</v>
      </c>
      <c r="H3" s="199">
        <f>'SER_se-appl'!H9</f>
        <v>209.80083662455479</v>
      </c>
      <c r="I3" s="199">
        <f>'SER_se-appl'!I9</f>
        <v>220.0026606213263</v>
      </c>
      <c r="J3" s="199">
        <f>'SER_se-appl'!J9</f>
        <v>232.22151670716269</v>
      </c>
      <c r="K3" s="199">
        <f>'SER_se-appl'!K9</f>
        <v>251.30711566329208</v>
      </c>
      <c r="L3" s="199">
        <f>'SER_se-appl'!L9</f>
        <v>263.66896174381156</v>
      </c>
      <c r="M3" s="199">
        <f>'SER_se-appl'!M9</f>
        <v>266.05589000927631</v>
      </c>
      <c r="N3" s="199">
        <f>'SER_se-appl'!N9</f>
        <v>278.42184554191596</v>
      </c>
      <c r="O3" s="199">
        <f>'SER_se-appl'!O9</f>
        <v>292.09833738262864</v>
      </c>
      <c r="P3" s="199">
        <f>'SER_se-appl'!P9</f>
        <v>296.55934164950776</v>
      </c>
      <c r="Q3" s="199">
        <f>'SER_se-appl'!Q9</f>
        <v>307.48641257979307</v>
      </c>
      <c r="R3" s="199">
        <f>'SER_se-appl'!R9</f>
        <v>311.56524860079651</v>
      </c>
      <c r="S3" s="199">
        <f>'SER_se-appl'!S9</f>
        <v>341.38138380429791</v>
      </c>
      <c r="T3" s="199">
        <f>'SER_se-appl'!T9</f>
        <v>358.58415524519165</v>
      </c>
      <c r="U3" s="199">
        <f>'SER_se-appl'!U9</f>
        <v>379.98626395842024</v>
      </c>
      <c r="V3" s="199">
        <f>'SER_se-appl'!V9</f>
        <v>368.76266646297489</v>
      </c>
      <c r="W3" s="199">
        <f>'SER_se-appl'!W9</f>
        <v>381.48506522782503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756.67239864112059</v>
      </c>
      <c r="C5" s="59">
        <f>'SER_se-appl'!C17</f>
        <v>849.73229334374446</v>
      </c>
      <c r="D5" s="59">
        <f>'SER_se-appl'!D17</f>
        <v>949.78580363642459</v>
      </c>
      <c r="E5" s="59">
        <f>'SER_se-appl'!E17</f>
        <v>1041.5925247760808</v>
      </c>
      <c r="F5" s="59">
        <f>'SER_se-appl'!F17</f>
        <v>1140.226114645144</v>
      </c>
      <c r="G5" s="59">
        <f>'SER_se-appl'!G17</f>
        <v>1277.6232012911078</v>
      </c>
      <c r="H5" s="59">
        <f>'SER_se-appl'!H17</f>
        <v>1341.3611140064434</v>
      </c>
      <c r="I5" s="59">
        <f>'SER_se-appl'!I17</f>
        <v>1390.3866066565424</v>
      </c>
      <c r="J5" s="59">
        <f>'SER_se-appl'!J17</f>
        <v>1450.6611403564316</v>
      </c>
      <c r="K5" s="59">
        <f>'SER_se-appl'!K17</f>
        <v>1555.4755620699782</v>
      </c>
      <c r="L5" s="59">
        <f>'SER_se-appl'!L17</f>
        <v>1612.2097376400009</v>
      </c>
      <c r="M5" s="59">
        <f>'SER_se-appl'!M17</f>
        <v>1607.30958236779</v>
      </c>
      <c r="N5" s="59">
        <f>'SER_se-appl'!N17</f>
        <v>1666.5604246324228</v>
      </c>
      <c r="O5" s="59">
        <f>'SER_se-appl'!O17</f>
        <v>1732.6787357930505</v>
      </c>
      <c r="P5" s="59">
        <f>'SER_se-appl'!P17</f>
        <v>1741.8204982773048</v>
      </c>
      <c r="Q5" s="59">
        <f>'SER_se-appl'!Q17</f>
        <v>1787.8399250896737</v>
      </c>
      <c r="R5" s="59">
        <f>'SER_se-appl'!R17</f>
        <v>1769.5259110689813</v>
      </c>
      <c r="S5" s="59">
        <f>'SER_se-appl'!S17</f>
        <v>1909.2228219729993</v>
      </c>
      <c r="T5" s="59">
        <f>'SER_se-appl'!T17</f>
        <v>1989.4537937066275</v>
      </c>
      <c r="U5" s="59">
        <f>'SER_se-appl'!U17</f>
        <v>2096.8129193284658</v>
      </c>
      <c r="V5" s="59">
        <f>'SER_se-appl'!V17</f>
        <v>2128.8906812484329</v>
      </c>
      <c r="W5" s="59">
        <f>'SER_se-appl'!W17</f>
        <v>2156.8715930028416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0.41316152573022841</v>
      </c>
      <c r="C6" s="202">
        <f>'SER_se-appl'!C73</f>
        <v>0.47502505486268193</v>
      </c>
      <c r="D6" s="202">
        <f>'SER_se-appl'!D73</f>
        <v>0.54810013314292882</v>
      </c>
      <c r="E6" s="202">
        <f>'SER_se-appl'!E73</f>
        <v>0.62258654451159212</v>
      </c>
      <c r="F6" s="202">
        <f>'SER_se-appl'!F73</f>
        <v>0.70726993261026549</v>
      </c>
      <c r="G6" s="202">
        <f>'SER_se-appl'!G73</f>
        <v>0.82890554021603013</v>
      </c>
      <c r="H6" s="202">
        <f>'SER_se-appl'!H73</f>
        <v>0.91402120150729271</v>
      </c>
      <c r="I6" s="202">
        <f>'SER_se-appl'!I73</f>
        <v>0.99791368959672277</v>
      </c>
      <c r="J6" s="202">
        <f>'SER_se-appl'!J73</f>
        <v>1.1031149213963864</v>
      </c>
      <c r="K6" s="202">
        <f>'SER_se-appl'!K73</f>
        <v>1.2677537070715243</v>
      </c>
      <c r="L6" s="202">
        <f>'SER_se-appl'!L73</f>
        <v>1.4170121240476048</v>
      </c>
      <c r="M6" s="202">
        <f>'SER_se-appl'!M73</f>
        <v>1.5127427205110549</v>
      </c>
      <c r="N6" s="202">
        <f>'SER_se-appl'!N73</f>
        <v>1.6662496345716717</v>
      </c>
      <c r="O6" s="202">
        <f>'SER_se-appl'!O73</f>
        <v>1.8156965979747095</v>
      </c>
      <c r="P6" s="202">
        <f>'SER_se-appl'!P73</f>
        <v>1.9030983943256039</v>
      </c>
      <c r="Q6" s="202">
        <f>'SER_se-appl'!Q73</f>
        <v>2.0028080419138656</v>
      </c>
      <c r="R6" s="202">
        <f>'SER_se-appl'!R73</f>
        <v>2.013800542760336</v>
      </c>
      <c r="S6" s="202">
        <f>'SER_se-appl'!S73</f>
        <v>2.2253386821563947</v>
      </c>
      <c r="T6" s="202">
        <f>'SER_se-appl'!T73</f>
        <v>2.3730659037257098</v>
      </c>
      <c r="U6" s="202">
        <f>'SER_se-appl'!U73</f>
        <v>2.5564434430981873</v>
      </c>
      <c r="V6" s="202">
        <f>'SER_se-appl'!V73</f>
        <v>2.6582187006060383</v>
      </c>
      <c r="W6" s="202">
        <f>'SER_se-appl'!W73</f>
        <v>2.7373312666766019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2136.5830243317814</v>
      </c>
      <c r="C8" s="34">
        <f>'SER_se-appl'!C25</f>
        <v>2461.1594371248643</v>
      </c>
      <c r="D8" s="34">
        <f>'SER_se-appl'!D25</f>
        <v>2847.325929764334</v>
      </c>
      <c r="E8" s="34">
        <f>'SER_se-appl'!E25</f>
        <v>3241.3692137579792</v>
      </c>
      <c r="F8" s="34">
        <f>'SER_se-appl'!F25</f>
        <v>3691.7594998836466</v>
      </c>
      <c r="G8" s="34">
        <f>'SER_se-appl'!G25</f>
        <v>4340.6558698562058</v>
      </c>
      <c r="H8" s="34">
        <f>'SER_se-appl'!H25</f>
        <v>4803.711546217698</v>
      </c>
      <c r="I8" s="34">
        <f>'SER_se-appl'!I25</f>
        <v>5265.9456338858745</v>
      </c>
      <c r="J8" s="34">
        <f>'SER_se-appl'!J25</f>
        <v>5847.042991022804</v>
      </c>
      <c r="K8" s="34">
        <f>'SER_se-appl'!K25</f>
        <v>6752.4543185269595</v>
      </c>
      <c r="L8" s="34">
        <f>'SER_se-appl'!L25</f>
        <v>7583.0369399557021</v>
      </c>
      <c r="M8" s="34">
        <f>'SER_se-appl'!M25</f>
        <v>8131.4096397377807</v>
      </c>
      <c r="N8" s="34">
        <f>'SER_se-appl'!N25</f>
        <v>8999.8591649740301</v>
      </c>
      <c r="O8" s="34">
        <f>'SER_se-appl'!O25</f>
        <v>9853.1935201178076</v>
      </c>
      <c r="P8" s="34">
        <f>'SER_se-appl'!P25</f>
        <v>10374.303184035334</v>
      </c>
      <c r="Q8" s="34">
        <f>'SER_se-appl'!Q25</f>
        <v>10958.87091176632</v>
      </c>
      <c r="R8" s="34">
        <f>'SER_se-appl'!R25</f>
        <v>11050.343828693134</v>
      </c>
      <c r="S8" s="34">
        <f>'SER_se-appl'!S25</f>
        <v>12246.699693495242</v>
      </c>
      <c r="T8" s="34">
        <f>'SER_se-appl'!T25</f>
        <v>13083.020825807323</v>
      </c>
      <c r="U8" s="34">
        <f>'SER_se-appl'!U25</f>
        <v>14106.247847096907</v>
      </c>
      <c r="V8" s="34">
        <f>'SER_se-appl'!V25</f>
        <v>14687.434520708939</v>
      </c>
      <c r="W8" s="34">
        <f>'SER_se-appl'!W25</f>
        <v>15147.824602216113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751.89301765943924</v>
      </c>
      <c r="D9" s="36">
        <f>'SER_se-appl'!D33</f>
        <v>813.48309750582598</v>
      </c>
      <c r="E9" s="36">
        <f>'SER_se-appl'!E33</f>
        <v>821.35988886000177</v>
      </c>
      <c r="F9" s="36">
        <f>'SER_se-appl'!F33</f>
        <v>877.70689099202355</v>
      </c>
      <c r="G9" s="36">
        <f>'SER_se-appl'!G33</f>
        <v>1076.2129748389152</v>
      </c>
      <c r="H9" s="36">
        <f>'SER_se-appl'!H33</f>
        <v>1214.9486940209317</v>
      </c>
      <c r="I9" s="36">
        <f>'SER_se-appl'!I33</f>
        <v>1275.7171851740022</v>
      </c>
      <c r="J9" s="36">
        <f>'SER_se-appl'!J33</f>
        <v>1402.4572459969313</v>
      </c>
      <c r="K9" s="36">
        <f>'SER_se-appl'!K33</f>
        <v>1783.118218496179</v>
      </c>
      <c r="L9" s="36">
        <f>'SER_se-appl'!L33</f>
        <v>1906.7955962676579</v>
      </c>
      <c r="M9" s="36">
        <f>'SER_se-appl'!M33</f>
        <v>1763.3213938030103</v>
      </c>
      <c r="N9" s="36">
        <f>'SER_se-appl'!N33</f>
        <v>2144.1667104102517</v>
      </c>
      <c r="O9" s="36">
        <f>'SER_se-appl'!O33</f>
        <v>2255.7916011407087</v>
      </c>
      <c r="P9" s="36">
        <f>'SER_se-appl'!P33</f>
        <v>2304.2278824137056</v>
      </c>
      <c r="Q9" s="36">
        <f>'SER_se-appl'!Q33</f>
        <v>2491.3633239986448</v>
      </c>
      <c r="R9" s="36">
        <f>'SER_se-appl'!R33</f>
        <v>1854.7943107298233</v>
      </c>
      <c r="S9" s="36">
        <f>'SER_se-appl'!S33</f>
        <v>3340.5225752123606</v>
      </c>
      <c r="T9" s="36">
        <f>'SER_se-appl'!T33</f>
        <v>3092.1127334527901</v>
      </c>
      <c r="U9" s="36">
        <f>'SER_se-appl'!U33</f>
        <v>3327.4549037032884</v>
      </c>
      <c r="V9" s="36">
        <f>'SER_se-appl'!V33</f>
        <v>3072.5499976106767</v>
      </c>
      <c r="W9" s="36">
        <f>'SER_se-appl'!W33</f>
        <v>2315.1843922369972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427.31660486635656</v>
      </c>
      <c r="D10" s="38">
        <f>'SER_se-appl'!D41</f>
        <v>427.31660486635656</v>
      </c>
      <c r="E10" s="38">
        <f>'SER_se-appl'!E41</f>
        <v>427.31660486635656</v>
      </c>
      <c r="F10" s="38">
        <f>'SER_se-appl'!F41</f>
        <v>427.3166048663561</v>
      </c>
      <c r="G10" s="38">
        <f>'SER_se-appl'!G41</f>
        <v>427.3166048663561</v>
      </c>
      <c r="H10" s="38">
        <f>'SER_se-appl'!H41</f>
        <v>751.89301765943947</v>
      </c>
      <c r="I10" s="38">
        <f>'SER_se-appl'!I41</f>
        <v>813.48309750582575</v>
      </c>
      <c r="J10" s="38">
        <f>'SER_se-appl'!J41</f>
        <v>821.35988886000177</v>
      </c>
      <c r="K10" s="38">
        <f>'SER_se-appl'!K41</f>
        <v>877.70689099202355</v>
      </c>
      <c r="L10" s="38">
        <f>'SER_se-appl'!L41</f>
        <v>1076.2129748389161</v>
      </c>
      <c r="M10" s="38">
        <f>'SER_se-appl'!M41</f>
        <v>1214.9486940209308</v>
      </c>
      <c r="N10" s="38">
        <f>'SER_se-appl'!N41</f>
        <v>1275.7171851740022</v>
      </c>
      <c r="O10" s="38">
        <f>'SER_se-appl'!O41</f>
        <v>1402.4572459969313</v>
      </c>
      <c r="P10" s="38">
        <f>'SER_se-appl'!P41</f>
        <v>1783.1182184961781</v>
      </c>
      <c r="Q10" s="38">
        <f>'SER_se-appl'!Q41</f>
        <v>1906.7955962676588</v>
      </c>
      <c r="R10" s="38">
        <f>'SER_se-appl'!R41</f>
        <v>1763.3213938030094</v>
      </c>
      <c r="S10" s="38">
        <f>'SER_se-appl'!S41</f>
        <v>2144.1667104102526</v>
      </c>
      <c r="T10" s="38">
        <f>'SER_se-appl'!T41</f>
        <v>2255.7916011407087</v>
      </c>
      <c r="U10" s="38">
        <f>'SER_se-appl'!U41</f>
        <v>2304.2278824137029</v>
      </c>
      <c r="V10" s="38">
        <f>'SER_se-appl'!V41</f>
        <v>2491.3633239986448</v>
      </c>
      <c r="W10" s="38">
        <f>'SER_se-appl'!W41</f>
        <v>1854.7943107298252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1655.8126063499969</v>
      </c>
      <c r="C12" s="205">
        <f>'SER_se-appl'!C49</f>
        <v>1675.0819093263397</v>
      </c>
      <c r="D12" s="205">
        <f>'SER_se-appl'!D49</f>
        <v>1702.0221987683715</v>
      </c>
      <c r="E12" s="205">
        <f>'SER_se-appl'!E49</f>
        <v>1732.4640094320757</v>
      </c>
      <c r="F12" s="205">
        <f>'SER_se-appl'!F49</f>
        <v>1762.4629541053769</v>
      </c>
      <c r="G12" s="205">
        <f>'SER_se-appl'!G49</f>
        <v>1790.0930778062193</v>
      </c>
      <c r="H12" s="205">
        <f>'SER_se-appl'!H49</f>
        <v>1819.0356828339152</v>
      </c>
      <c r="I12" s="205">
        <f>'SER_se-appl'!I49</f>
        <v>1840.2298546148652</v>
      </c>
      <c r="J12" s="205">
        <f>'SER_se-appl'!J49</f>
        <v>1861.7278454434395</v>
      </c>
      <c r="K12" s="205">
        <f>'SER_se-appl'!K49</f>
        <v>1878.9763249476237</v>
      </c>
      <c r="L12" s="205">
        <f>'SER_se-appl'!L49</f>
        <v>1902.0292170975943</v>
      </c>
      <c r="M12" s="205">
        <f>'SER_se-appl'!M49</f>
        <v>1925.0989571341033</v>
      </c>
      <c r="N12" s="205">
        <f>'SER_se-appl'!N49</f>
        <v>1942.9514920628617</v>
      </c>
      <c r="O12" s="205">
        <f>'SER_se-appl'!O49</f>
        <v>1960.6079266651298</v>
      </c>
      <c r="P12" s="205">
        <f>'SER_se-appl'!P49</f>
        <v>1980.1036598173523</v>
      </c>
      <c r="Q12" s="205">
        <f>'SER_se-appl'!Q49</f>
        <v>2000.2165339962562</v>
      </c>
      <c r="R12" s="205">
        <f>'SER_se-appl'!R49</f>
        <v>2047.7257883374441</v>
      </c>
      <c r="S12" s="205">
        <f>'SER_se-appl'!S49</f>
        <v>2079.5191886199509</v>
      </c>
      <c r="T12" s="205">
        <f>'SER_se-appl'!T49</f>
        <v>2096.2204493986615</v>
      </c>
      <c r="U12" s="205">
        <f>'SER_se-appl'!U49</f>
        <v>2107.5987319134565</v>
      </c>
      <c r="V12" s="205">
        <f>'SER_se-appl'!V49</f>
        <v>2014.5279646061463</v>
      </c>
      <c r="W12" s="205">
        <f>'SER_se-appl'!W49</f>
        <v>2056.9937139478848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354.15071168496752</v>
      </c>
      <c r="C14" s="59">
        <f>'SER_se-appl'!C57</f>
        <v>345.25690636946501</v>
      </c>
      <c r="D14" s="59">
        <f>'SER_se-appl'!D57</f>
        <v>333.57115660975137</v>
      </c>
      <c r="E14" s="59">
        <f>'SER_se-appl'!E57</f>
        <v>321.34337561887281</v>
      </c>
      <c r="F14" s="59">
        <f>'SER_se-appl'!F57</f>
        <v>308.85709501961884</v>
      </c>
      <c r="G14" s="59">
        <f>'SER_se-appl'!G57</f>
        <v>294.33874501860294</v>
      </c>
      <c r="H14" s="59">
        <f>'SER_se-appl'!H57</f>
        <v>279.23431727756258</v>
      </c>
      <c r="I14" s="59">
        <f>'SER_se-appl'!I57</f>
        <v>264.0336044697334</v>
      </c>
      <c r="J14" s="59">
        <f>'SER_se-appl'!J57</f>
        <v>248.10167166270008</v>
      </c>
      <c r="K14" s="59">
        <f>'SER_se-appl'!K57</f>
        <v>230.35706554906446</v>
      </c>
      <c r="L14" s="59">
        <f>'SER_se-appl'!L57</f>
        <v>212.60739600846767</v>
      </c>
      <c r="M14" s="59">
        <f>'SER_se-appl'!M57</f>
        <v>197.66678270800068</v>
      </c>
      <c r="N14" s="59">
        <f>'SER_se-appl'!N57</f>
        <v>185.17627821537494</v>
      </c>
      <c r="O14" s="59">
        <f>'SER_se-appl'!O57</f>
        <v>175.84945756473218</v>
      </c>
      <c r="P14" s="59">
        <f>'SER_se-appl'!P57</f>
        <v>167.89758959018411</v>
      </c>
      <c r="Q14" s="59">
        <f>'SER_se-appl'!Q57</f>
        <v>163.14088736733871</v>
      </c>
      <c r="R14" s="59">
        <f>'SER_se-appl'!R57</f>
        <v>160.13310884266429</v>
      </c>
      <c r="S14" s="59">
        <f>'SER_se-appl'!S57</f>
        <v>155.89692486597602</v>
      </c>
      <c r="T14" s="59">
        <f>'SER_se-appl'!T57</f>
        <v>152.06379476078399</v>
      </c>
      <c r="U14" s="59">
        <f>'SER_se-appl'!U57</f>
        <v>148.64427040107577</v>
      </c>
      <c r="V14" s="59">
        <f>'SER_se-appl'!V57</f>
        <v>144.94639470540255</v>
      </c>
      <c r="W14" s="59">
        <f>'SER_se-appl'!W57</f>
        <v>142.38820752435257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325.03876042315284</v>
      </c>
      <c r="D15" s="63">
        <f>'SER_se-appl'!D65</f>
        <v>309.02669126337184</v>
      </c>
      <c r="E15" s="63">
        <f>'SER_se-appl'!E65</f>
        <v>296.02273518048929</v>
      </c>
      <c r="F15" s="63">
        <f>'SER_se-appl'!F65</f>
        <v>284.79674953304993</v>
      </c>
      <c r="G15" s="63">
        <f>'SER_se-appl'!G65</f>
        <v>268.28478481910571</v>
      </c>
      <c r="H15" s="63">
        <f>'SER_se-appl'!H65</f>
        <v>253.6175302402315</v>
      </c>
      <c r="I15" s="63">
        <f>'SER_se-appl'!I65</f>
        <v>235.48595735976434</v>
      </c>
      <c r="J15" s="63">
        <f>'SER_se-appl'!J65</f>
        <v>216.34579979804462</v>
      </c>
      <c r="K15" s="63">
        <f>'SER_se-appl'!K65</f>
        <v>198.96745354889899</v>
      </c>
      <c r="L15" s="63">
        <f>'SER_se-appl'!L65</f>
        <v>181.17607499221296</v>
      </c>
      <c r="M15" s="63">
        <f>'SER_se-appl'!M65</f>
        <v>171.96645656296519</v>
      </c>
      <c r="N15" s="63">
        <f>'SER_se-appl'!N65</f>
        <v>167.74083992136067</v>
      </c>
      <c r="O15" s="63">
        <f>'SER_se-appl'!O65</f>
        <v>163.8156847208451</v>
      </c>
      <c r="P15" s="63">
        <f>'SER_se-appl'!P65</f>
        <v>157.93761397152832</v>
      </c>
      <c r="Q15" s="63">
        <f>'SER_se-appl'!Q65</f>
        <v>157.13692378205391</v>
      </c>
      <c r="R15" s="63">
        <f>'SER_se-appl'!R65</f>
        <v>153.61170573203395</v>
      </c>
      <c r="S15" s="63">
        <f>'SER_se-appl'!S65</f>
        <v>149.48596352710157</v>
      </c>
      <c r="T15" s="63">
        <f>'SER_se-appl'!T65</f>
        <v>145.4555691311414</v>
      </c>
      <c r="U15" s="63">
        <f>'SER_se-appl'!U65</f>
        <v>141.63479087046727</v>
      </c>
      <c r="V15" s="63">
        <f>'SER_se-appl'!V65</f>
        <v>137.85387740018041</v>
      </c>
      <c r="W15" s="63">
        <f>'SER_se-appl'!W65</f>
        <v>135.15080295844447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5296.2203648215318</v>
      </c>
      <c r="C3" s="220">
        <v>5062.4897116736101</v>
      </c>
      <c r="D3" s="220">
        <v>4977.6707310953889</v>
      </c>
      <c r="E3" s="220">
        <v>4802.3162939297126</v>
      </c>
      <c r="F3" s="220">
        <v>4664.3126990789897</v>
      </c>
      <c r="G3" s="220">
        <v>4590.4447299198628</v>
      </c>
      <c r="H3" s="220">
        <v>4194.7020670424927</v>
      </c>
      <c r="I3" s="220">
        <v>5256.0137862656693</v>
      </c>
      <c r="J3" s="220">
        <v>4899.9199359487584</v>
      </c>
      <c r="K3" s="220">
        <v>4600.5413723001584</v>
      </c>
      <c r="L3" s="220">
        <v>5097.5604292210846</v>
      </c>
      <c r="M3" s="220">
        <v>5034.6157216720712</v>
      </c>
      <c r="N3" s="220">
        <v>4940.2246618393392</v>
      </c>
      <c r="O3" s="220">
        <v>5014.3578366834954</v>
      </c>
      <c r="P3" s="220">
        <v>5058.4133586152066</v>
      </c>
      <c r="Q3" s="220">
        <v>4764</v>
      </c>
      <c r="R3" s="220">
        <v>5025.1457252267119</v>
      </c>
      <c r="S3" s="220">
        <v>5199.1468677148951</v>
      </c>
      <c r="T3" s="220">
        <v>5413.3351468459459</v>
      </c>
      <c r="U3" s="220">
        <v>5394.9258018190521</v>
      </c>
      <c r="V3" s="220">
        <v>5491.424646966404</v>
      </c>
      <c r="W3" s="220">
        <v>5613.7126051192499</v>
      </c>
      <c r="DA3" s="211" t="s">
        <v>972</v>
      </c>
    </row>
    <row r="5" spans="1:105" x14ac:dyDescent="0.25">
      <c r="A5" s="219" t="s">
        <v>120</v>
      </c>
      <c r="B5" s="220">
        <v>7003.8411311294003</v>
      </c>
      <c r="C5" s="220">
        <v>7342.5643766422691</v>
      </c>
      <c r="D5" s="220">
        <v>7260.8883914291982</v>
      </c>
      <c r="E5" s="220">
        <v>6685.3712803362641</v>
      </c>
      <c r="F5" s="220">
        <v>6586.7109028263867</v>
      </c>
      <c r="G5" s="220">
        <v>5715.7385702566044</v>
      </c>
      <c r="H5" s="220">
        <v>6132.1071839461074</v>
      </c>
      <c r="I5" s="220">
        <v>6762.5392840142176</v>
      </c>
      <c r="J5" s="220">
        <v>6518.4031098747664</v>
      </c>
      <c r="K5" s="220">
        <v>5765.887690440888</v>
      </c>
      <c r="L5" s="220">
        <v>6145.4385084359164</v>
      </c>
      <c r="M5" s="220">
        <v>6037.0279451838614</v>
      </c>
      <c r="N5" s="220">
        <v>6368.0292831812894</v>
      </c>
      <c r="O5" s="220">
        <v>6336.0756065208916</v>
      </c>
      <c r="P5" s="220">
        <v>6192.9899734498786</v>
      </c>
      <c r="Q5" s="220">
        <v>6273.0590645135126</v>
      </c>
      <c r="R5" s="220">
        <v>6395.4026122312234</v>
      </c>
      <c r="S5" s="220">
        <v>6812.7401751884481</v>
      </c>
      <c r="T5" s="220">
        <v>5685.4712649415551</v>
      </c>
      <c r="U5" s="220">
        <v>6029.6940744050253</v>
      </c>
      <c r="V5" s="220">
        <v>5625.3564777479542</v>
      </c>
      <c r="W5" s="220">
        <v>5658.9914898361176</v>
      </c>
      <c r="DA5" s="211" t="s">
        <v>973</v>
      </c>
    </row>
    <row r="6" spans="1:105" x14ac:dyDescent="0.25">
      <c r="A6" s="221" t="s">
        <v>119</v>
      </c>
      <c r="B6" s="222">
        <v>8754.8014139117495</v>
      </c>
      <c r="C6" s="222">
        <v>8317.0613432161626</v>
      </c>
      <c r="D6" s="222">
        <v>8317.0613432161626</v>
      </c>
      <c r="E6" s="222">
        <v>7879.3212725205749</v>
      </c>
      <c r="F6" s="222">
        <v>7441.5812018249871</v>
      </c>
      <c r="G6" s="222">
        <v>7441.5812018249871</v>
      </c>
      <c r="H6" s="222">
        <v>7003.8411311293994</v>
      </c>
      <c r="I6" s="222">
        <v>7441.5812018249871</v>
      </c>
      <c r="J6" s="222">
        <v>7441.5812018249871</v>
      </c>
      <c r="K6" s="222">
        <v>7003.8411311293994</v>
      </c>
      <c r="L6" s="222">
        <v>6566.1010604338117</v>
      </c>
      <c r="M6" s="222">
        <v>6566.1010604338117</v>
      </c>
      <c r="N6" s="222">
        <v>7003.8411311293994</v>
      </c>
      <c r="O6" s="222">
        <v>7003.8411311293994</v>
      </c>
      <c r="P6" s="222">
        <v>7003.8411311293994</v>
      </c>
      <c r="Q6" s="222">
        <v>7003.8411311293994</v>
      </c>
      <c r="R6" s="222">
        <v>7003.8411311293994</v>
      </c>
      <c r="S6" s="222">
        <v>7441.5812018249871</v>
      </c>
      <c r="T6" s="222">
        <v>7003.8411311293994</v>
      </c>
      <c r="U6" s="222">
        <v>6566.1010604338117</v>
      </c>
      <c r="V6" s="222">
        <v>6566.1010604338117</v>
      </c>
      <c r="W6" s="222">
        <v>6128.3609897382239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875.48014139117504</v>
      </c>
      <c r="J7" s="226">
        <v>0</v>
      </c>
      <c r="K7" s="226">
        <v>0</v>
      </c>
      <c r="L7" s="226">
        <v>0</v>
      </c>
      <c r="M7" s="226">
        <v>0</v>
      </c>
      <c r="N7" s="226">
        <v>875.48014139117504</v>
      </c>
      <c r="O7" s="226">
        <v>437.74007069558752</v>
      </c>
      <c r="P7" s="226">
        <v>0</v>
      </c>
      <c r="Q7" s="226">
        <v>437.74007069558752</v>
      </c>
      <c r="R7" s="226">
        <v>437.74007069558752</v>
      </c>
      <c r="S7" s="226">
        <v>437.74007069558775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437.74007069558684</v>
      </c>
      <c r="D8" s="228">
        <f t="shared" ref="D8" si="1">IF(C6=0,0,C6+D7-D6)</f>
        <v>0</v>
      </c>
      <c r="E8" s="228">
        <f t="shared" ref="E8" si="2">IF(D6=0,0,D6+E7-E6)</f>
        <v>437.74007069558775</v>
      </c>
      <c r="F8" s="228">
        <f t="shared" ref="F8" si="3">IF(E6=0,0,E6+F7-F6)</f>
        <v>437.74007069558775</v>
      </c>
      <c r="G8" s="228">
        <f t="shared" ref="G8" si="4">IF(F6=0,0,F6+G7-G6)</f>
        <v>0</v>
      </c>
      <c r="H8" s="228">
        <f t="shared" ref="H8" si="5">IF(G6=0,0,G6+H7-H6)</f>
        <v>437.74007069558775</v>
      </c>
      <c r="I8" s="228">
        <f t="shared" ref="I8" si="6">IF(H6=0,0,H6+I7-I6)</f>
        <v>437.74007069558684</v>
      </c>
      <c r="J8" s="228">
        <f t="shared" ref="J8" si="7">IF(I6=0,0,I6+J7-J6)</f>
        <v>0</v>
      </c>
      <c r="K8" s="228">
        <f t="shared" ref="K8" si="8">IF(J6=0,0,J6+K7-K6)</f>
        <v>437.74007069558775</v>
      </c>
      <c r="L8" s="228">
        <f t="shared" ref="L8" si="9">IF(K6=0,0,K6+L7-L6)</f>
        <v>437.74007069558775</v>
      </c>
      <c r="M8" s="228">
        <f t="shared" ref="M8" si="10">IF(L6=0,0,L6+M7-M6)</f>
        <v>0</v>
      </c>
      <c r="N8" s="228">
        <f t="shared" ref="N8" si="11">IF(M6=0,0,M6+N7-N6)</f>
        <v>437.74007069558775</v>
      </c>
      <c r="O8" s="228">
        <f t="shared" ref="O8" si="12">IF(N6=0,0,N6+O7-O6)</f>
        <v>437.74007069558775</v>
      </c>
      <c r="P8" s="228">
        <f t="shared" ref="P8" si="13">IF(O6=0,0,O6+P7-P6)</f>
        <v>0</v>
      </c>
      <c r="Q8" s="228">
        <f t="shared" ref="Q8" si="14">IF(P6=0,0,P6+Q7-Q6)</f>
        <v>437.74007069558775</v>
      </c>
      <c r="R8" s="228">
        <f t="shared" ref="R8" si="15">IF(Q6=0,0,Q6+R7-R6)</f>
        <v>437.74007069558775</v>
      </c>
      <c r="S8" s="228">
        <f t="shared" ref="S8" si="16">IF(R6=0,0,R6+S7-S6)</f>
        <v>0</v>
      </c>
      <c r="T8" s="228">
        <f t="shared" ref="T8" si="17">IF(S6=0,0,S6+T7-T6)</f>
        <v>437.74007069558775</v>
      </c>
      <c r="U8" s="228">
        <f t="shared" ref="U8" si="18">IF(T6=0,0,T6+U7-U6)</f>
        <v>437.74007069558775</v>
      </c>
      <c r="V8" s="228">
        <f t="shared" ref="V8" si="19">IF(U6=0,0,U6+V7-V6)</f>
        <v>0</v>
      </c>
      <c r="W8" s="228">
        <f t="shared" ref="W8" si="20">IF(V6=0,0,V6+W7-W6)</f>
        <v>437.74007069558775</v>
      </c>
      <c r="DA8" s="214" t="s">
        <v>976</v>
      </c>
    </row>
    <row r="9" spans="1:105" x14ac:dyDescent="0.25">
      <c r="A9" s="223" t="s">
        <v>116</v>
      </c>
      <c r="B9" s="224">
        <f>B6-B5</f>
        <v>1750.9602827823492</v>
      </c>
      <c r="C9" s="224">
        <f t="shared" ref="C9:W9" si="21">C6-C5</f>
        <v>974.49696657389359</v>
      </c>
      <c r="D9" s="224">
        <f t="shared" si="21"/>
        <v>1056.1729517869644</v>
      </c>
      <c r="E9" s="224">
        <f t="shared" si="21"/>
        <v>1193.9499921843108</v>
      </c>
      <c r="F9" s="224">
        <f t="shared" si="21"/>
        <v>854.87029899860045</v>
      </c>
      <c r="G9" s="224">
        <f t="shared" si="21"/>
        <v>1725.8426315683828</v>
      </c>
      <c r="H9" s="224">
        <f t="shared" si="21"/>
        <v>871.733947183292</v>
      </c>
      <c r="I9" s="224">
        <f t="shared" si="21"/>
        <v>679.04191781076952</v>
      </c>
      <c r="J9" s="224">
        <f t="shared" si="21"/>
        <v>923.17809195022073</v>
      </c>
      <c r="K9" s="224">
        <f t="shared" si="21"/>
        <v>1237.9534406885114</v>
      </c>
      <c r="L9" s="224">
        <f t="shared" si="21"/>
        <v>420.66255199789521</v>
      </c>
      <c r="M9" s="224">
        <f t="shared" si="21"/>
        <v>529.07311524995021</v>
      </c>
      <c r="N9" s="224">
        <f t="shared" si="21"/>
        <v>635.81184794810997</v>
      </c>
      <c r="O9" s="224">
        <f t="shared" si="21"/>
        <v>667.7655246085078</v>
      </c>
      <c r="P9" s="224">
        <f t="shared" si="21"/>
        <v>810.85115767952084</v>
      </c>
      <c r="Q9" s="224">
        <f t="shared" si="21"/>
        <v>730.78206661588683</v>
      </c>
      <c r="R9" s="224">
        <f t="shared" si="21"/>
        <v>608.43851889817597</v>
      </c>
      <c r="S9" s="224">
        <f t="shared" si="21"/>
        <v>628.84102663653903</v>
      </c>
      <c r="T9" s="224">
        <f t="shared" si="21"/>
        <v>1318.3698661878443</v>
      </c>
      <c r="U9" s="224">
        <f t="shared" si="21"/>
        <v>536.40698602878638</v>
      </c>
      <c r="V9" s="224">
        <f t="shared" si="21"/>
        <v>940.74458268585749</v>
      </c>
      <c r="W9" s="224">
        <f t="shared" si="21"/>
        <v>469.36949990210633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885.69793637145324</v>
      </c>
      <c r="C12" s="230">
        <f t="shared" ref="C12:W12" si="22">SUM(C13,C14,C18,C19,C26,C27)</f>
        <v>898.34832330180564</v>
      </c>
      <c r="D12" s="230">
        <f t="shared" si="22"/>
        <v>928.01822871883041</v>
      </c>
      <c r="E12" s="230">
        <f t="shared" si="22"/>
        <v>905.41908856405837</v>
      </c>
      <c r="F12" s="230">
        <f t="shared" si="22"/>
        <v>888.17601031814263</v>
      </c>
      <c r="G12" s="230">
        <f t="shared" si="22"/>
        <v>882.66182287188315</v>
      </c>
      <c r="H12" s="230">
        <f t="shared" si="22"/>
        <v>900.99174548581266</v>
      </c>
      <c r="I12" s="230">
        <f t="shared" si="22"/>
        <v>928.08082545141872</v>
      </c>
      <c r="J12" s="230">
        <f t="shared" si="22"/>
        <v>908.19105760963032</v>
      </c>
      <c r="K12" s="230">
        <f t="shared" si="22"/>
        <v>901.55554600171956</v>
      </c>
      <c r="L12" s="230">
        <f t="shared" si="22"/>
        <v>888.54350816852957</v>
      </c>
      <c r="M12" s="230">
        <f t="shared" si="22"/>
        <v>801.71891659501284</v>
      </c>
      <c r="N12" s="230">
        <f t="shared" si="22"/>
        <v>859.95786758383485</v>
      </c>
      <c r="O12" s="230">
        <f t="shared" si="22"/>
        <v>842.3825451418744</v>
      </c>
      <c r="P12" s="230">
        <f t="shared" si="22"/>
        <v>806.07583834909724</v>
      </c>
      <c r="Q12" s="230">
        <f t="shared" si="22"/>
        <v>833.8035253654341</v>
      </c>
      <c r="R12" s="230">
        <f t="shared" si="22"/>
        <v>865.84419604471191</v>
      </c>
      <c r="S12" s="230">
        <f t="shared" si="22"/>
        <v>850.92562338779021</v>
      </c>
      <c r="T12" s="230">
        <f t="shared" si="22"/>
        <v>803.24256233877918</v>
      </c>
      <c r="U12" s="230">
        <f t="shared" si="22"/>
        <v>856.28882201203783</v>
      </c>
      <c r="V12" s="230">
        <f t="shared" si="22"/>
        <v>836.07429062768676</v>
      </c>
      <c r="W12" s="230">
        <f t="shared" si="22"/>
        <v>806.63344797936361</v>
      </c>
      <c r="DA12" s="211" t="s">
        <v>978</v>
      </c>
    </row>
    <row r="13" spans="1:105" x14ac:dyDescent="0.25">
      <c r="A13" s="58" t="s">
        <v>29</v>
      </c>
      <c r="B13" s="59">
        <v>21.639466895958726</v>
      </c>
      <c r="C13" s="59">
        <v>24.47325881341359</v>
      </c>
      <c r="D13" s="59">
        <v>28.058899398108338</v>
      </c>
      <c r="E13" s="59">
        <v>30.653224419604467</v>
      </c>
      <c r="F13" s="59">
        <v>33.287876182287185</v>
      </c>
      <c r="G13" s="59">
        <v>29.172398968185725</v>
      </c>
      <c r="H13" s="59">
        <v>28.908426483233015</v>
      </c>
      <c r="I13" s="59">
        <v>34.32906276870164</v>
      </c>
      <c r="J13" s="59">
        <v>39.695786758383484</v>
      </c>
      <c r="K13" s="59">
        <v>46.031728288907992</v>
      </c>
      <c r="L13" s="59">
        <v>55.122613929492694</v>
      </c>
      <c r="M13" s="59">
        <v>45.560189165950113</v>
      </c>
      <c r="N13" s="59">
        <v>50.510146173688739</v>
      </c>
      <c r="O13" s="59">
        <v>45.654342218400686</v>
      </c>
      <c r="P13" s="59">
        <v>43.154342218400686</v>
      </c>
      <c r="Q13" s="59">
        <v>45.087704213241615</v>
      </c>
      <c r="R13" s="59">
        <v>50.862596732588123</v>
      </c>
      <c r="S13" s="59">
        <v>51.297420464316424</v>
      </c>
      <c r="T13" s="59">
        <v>51.424505588993981</v>
      </c>
      <c r="U13" s="59">
        <v>50.405331040412719</v>
      </c>
      <c r="V13" s="59">
        <v>32.602751504729149</v>
      </c>
      <c r="W13" s="59">
        <v>31.030610490111776</v>
      </c>
      <c r="DA13" s="9" t="s">
        <v>979</v>
      </c>
    </row>
    <row r="14" spans="1:105" x14ac:dyDescent="0.25">
      <c r="A14" s="60" t="s">
        <v>28</v>
      </c>
      <c r="B14" s="55">
        <f>SUM(B15:B17)</f>
        <v>614.813241616509</v>
      </c>
      <c r="C14" s="55">
        <f t="shared" ref="C14:W14" si="23">SUM(C15:C17)</f>
        <v>605.21642304385205</v>
      </c>
      <c r="D14" s="55">
        <f t="shared" si="23"/>
        <v>614.37368873602747</v>
      </c>
      <c r="E14" s="55">
        <f t="shared" si="23"/>
        <v>615.50343938091135</v>
      </c>
      <c r="F14" s="55">
        <f t="shared" si="23"/>
        <v>588.02089423903692</v>
      </c>
      <c r="G14" s="55">
        <f t="shared" si="23"/>
        <v>599.22846087704215</v>
      </c>
      <c r="H14" s="55">
        <f t="shared" si="23"/>
        <v>585.0168529664661</v>
      </c>
      <c r="I14" s="55">
        <f t="shared" si="23"/>
        <v>594.38710232158201</v>
      </c>
      <c r="J14" s="55">
        <f t="shared" si="23"/>
        <v>577.04608770421328</v>
      </c>
      <c r="K14" s="55">
        <f t="shared" si="23"/>
        <v>545.45537403267417</v>
      </c>
      <c r="L14" s="55">
        <f t="shared" si="23"/>
        <v>497.37858985382627</v>
      </c>
      <c r="M14" s="55">
        <f t="shared" si="23"/>
        <v>466.72158211521923</v>
      </c>
      <c r="N14" s="55">
        <f t="shared" si="23"/>
        <v>488.86595012897669</v>
      </c>
      <c r="O14" s="55">
        <f t="shared" si="23"/>
        <v>468.96792777300084</v>
      </c>
      <c r="P14" s="55">
        <f t="shared" si="23"/>
        <v>444.45081685296645</v>
      </c>
      <c r="Q14" s="55">
        <f t="shared" si="23"/>
        <v>487.28976784178849</v>
      </c>
      <c r="R14" s="55">
        <f t="shared" si="23"/>
        <v>489.99260533104035</v>
      </c>
      <c r="S14" s="55">
        <f t="shared" si="23"/>
        <v>486.74660361134988</v>
      </c>
      <c r="T14" s="55">
        <f t="shared" si="23"/>
        <v>444.35623387790207</v>
      </c>
      <c r="U14" s="55">
        <f t="shared" si="23"/>
        <v>502.14393809114358</v>
      </c>
      <c r="V14" s="55">
        <f t="shared" si="23"/>
        <v>522.87566638005148</v>
      </c>
      <c r="W14" s="55">
        <f t="shared" si="23"/>
        <v>442.43525365434215</v>
      </c>
      <c r="DA14" s="10"/>
    </row>
    <row r="15" spans="1:105" x14ac:dyDescent="0.25">
      <c r="A15" s="61" t="s">
        <v>52</v>
      </c>
      <c r="B15" s="55">
        <v>5.5173688736027513</v>
      </c>
      <c r="C15" s="55">
        <v>4.4138435081685294</v>
      </c>
      <c r="D15" s="55">
        <v>4.4138435081685294</v>
      </c>
      <c r="E15" s="55">
        <v>4.4138435081685294</v>
      </c>
      <c r="F15" s="55">
        <v>4.4138435081685294</v>
      </c>
      <c r="G15" s="55">
        <v>4.4138435081685294</v>
      </c>
      <c r="H15" s="55">
        <v>5.5173688736027513</v>
      </c>
      <c r="I15" s="55">
        <v>5.5173688736027513</v>
      </c>
      <c r="J15" s="55">
        <v>4.4138435081685294</v>
      </c>
      <c r="K15" s="55">
        <v>4.4138435081685294</v>
      </c>
      <c r="L15" s="55">
        <v>4.4138435081685294</v>
      </c>
      <c r="M15" s="55">
        <v>4.4138435081685294</v>
      </c>
      <c r="N15" s="55">
        <v>5.5173688736027513</v>
      </c>
      <c r="O15" s="55">
        <v>4.4233877901977641</v>
      </c>
      <c r="P15" s="55">
        <v>4.4233877901977641</v>
      </c>
      <c r="Q15" s="55">
        <v>3.3175408426483228</v>
      </c>
      <c r="R15" s="55">
        <v>3.3175408426483228</v>
      </c>
      <c r="S15" s="55">
        <v>3.3175408426483228</v>
      </c>
      <c r="T15" s="55">
        <v>2.211693895098882</v>
      </c>
      <c r="U15" s="55">
        <v>2.211693895098882</v>
      </c>
      <c r="V15" s="55">
        <v>2.211693895098882</v>
      </c>
      <c r="W15" s="55">
        <v>4.4233877901977641</v>
      </c>
      <c r="DA15" s="10" t="s">
        <v>980</v>
      </c>
    </row>
    <row r="16" spans="1:105" x14ac:dyDescent="0.25">
      <c r="A16" s="61" t="s">
        <v>172</v>
      </c>
      <c r="B16" s="55">
        <v>440.59905417024925</v>
      </c>
      <c r="C16" s="55">
        <v>433.40980223559757</v>
      </c>
      <c r="D16" s="55">
        <v>431.35571797076523</v>
      </c>
      <c r="E16" s="55">
        <v>428.27454858125532</v>
      </c>
      <c r="F16" s="55">
        <v>417.082287188306</v>
      </c>
      <c r="G16" s="55">
        <v>406.85967325881342</v>
      </c>
      <c r="H16" s="55">
        <v>393.32201203783319</v>
      </c>
      <c r="I16" s="55">
        <v>399.47962166809964</v>
      </c>
      <c r="J16" s="55">
        <v>398.46741186586416</v>
      </c>
      <c r="K16" s="55">
        <v>372.95941530524505</v>
      </c>
      <c r="L16" s="55">
        <v>392.41960447119516</v>
      </c>
      <c r="M16" s="55">
        <v>388.27747205503005</v>
      </c>
      <c r="N16" s="55">
        <v>411.77841788478065</v>
      </c>
      <c r="O16" s="55">
        <v>397.24849527085121</v>
      </c>
      <c r="P16" s="55">
        <v>386.93035253654341</v>
      </c>
      <c r="Q16" s="55">
        <v>430.73929492691315</v>
      </c>
      <c r="R16" s="55">
        <v>416.95614789337912</v>
      </c>
      <c r="S16" s="55">
        <v>415.77601031814265</v>
      </c>
      <c r="T16" s="55">
        <v>383.7993121238178</v>
      </c>
      <c r="U16" s="55">
        <v>427.03886500429923</v>
      </c>
      <c r="V16" s="55">
        <v>452.73387790197751</v>
      </c>
      <c r="W16" s="55">
        <v>392.69561478933787</v>
      </c>
      <c r="DA16" s="10" t="s">
        <v>981</v>
      </c>
    </row>
    <row r="17" spans="1:105" x14ac:dyDescent="0.25">
      <c r="A17" s="61" t="s">
        <v>113</v>
      </c>
      <c r="B17" s="55">
        <v>168.69681857265692</v>
      </c>
      <c r="C17" s="55">
        <v>167.39277730008598</v>
      </c>
      <c r="D17" s="55">
        <v>178.60412725709372</v>
      </c>
      <c r="E17" s="55">
        <v>182.8150472914875</v>
      </c>
      <c r="F17" s="55">
        <v>166.52476354256234</v>
      </c>
      <c r="G17" s="55">
        <v>187.95494411006015</v>
      </c>
      <c r="H17" s="55">
        <v>186.17747205503008</v>
      </c>
      <c r="I17" s="55">
        <v>189.39011177987962</v>
      </c>
      <c r="J17" s="55">
        <v>174.16483233018056</v>
      </c>
      <c r="K17" s="55">
        <v>168.08211521926052</v>
      </c>
      <c r="L17" s="55">
        <v>100.54514187446259</v>
      </c>
      <c r="M17" s="55">
        <v>74.030266552020635</v>
      </c>
      <c r="N17" s="55">
        <v>71.570163370593292</v>
      </c>
      <c r="O17" s="55">
        <v>67.296044711951851</v>
      </c>
      <c r="P17" s="55">
        <v>53.097076526225266</v>
      </c>
      <c r="Q17" s="55">
        <v>53.232932072226994</v>
      </c>
      <c r="R17" s="55">
        <v>69.7189165950129</v>
      </c>
      <c r="S17" s="55">
        <v>67.653052450558903</v>
      </c>
      <c r="T17" s="55">
        <v>58.345227858985382</v>
      </c>
      <c r="U17" s="55">
        <v>72.893379191745481</v>
      </c>
      <c r="V17" s="55">
        <v>67.930094582975059</v>
      </c>
      <c r="W17" s="55">
        <v>45.31625107480653</v>
      </c>
      <c r="DA17" s="10" t="s">
        <v>982</v>
      </c>
    </row>
    <row r="18" spans="1:105" x14ac:dyDescent="0.25">
      <c r="A18" s="60" t="s">
        <v>153</v>
      </c>
      <c r="B18" s="55">
        <v>14.445399828030951</v>
      </c>
      <c r="C18" s="55">
        <v>13.843508168529659</v>
      </c>
      <c r="D18" s="55">
        <v>13.993981083404989</v>
      </c>
      <c r="E18" s="55">
        <v>12.89767841788478</v>
      </c>
      <c r="F18" s="55">
        <v>14.445399828030951</v>
      </c>
      <c r="G18" s="55">
        <v>12.89767841788478</v>
      </c>
      <c r="H18" s="55">
        <v>11.801375752364571</v>
      </c>
      <c r="I18" s="55">
        <v>10.74797936371453</v>
      </c>
      <c r="J18" s="55">
        <v>8.2544282029234726</v>
      </c>
      <c r="K18" s="55">
        <v>9.0713671539122949</v>
      </c>
      <c r="L18" s="55">
        <v>5.9759243336199477</v>
      </c>
      <c r="M18" s="55">
        <v>3.9122957867583832</v>
      </c>
      <c r="N18" s="55">
        <v>2.5150472914875319</v>
      </c>
      <c r="O18" s="55">
        <v>1.7196904557179711</v>
      </c>
      <c r="P18" s="55">
        <v>1.182287188306105</v>
      </c>
      <c r="Q18" s="55">
        <v>2.6225279449699048</v>
      </c>
      <c r="R18" s="55">
        <v>2.9879621668099738</v>
      </c>
      <c r="S18" s="55">
        <v>1.528546861564918</v>
      </c>
      <c r="T18" s="55">
        <v>1.84883920894239</v>
      </c>
      <c r="U18" s="55">
        <v>2.128374892519346</v>
      </c>
      <c r="V18" s="55">
        <v>2.450816852966466</v>
      </c>
      <c r="W18" s="55">
        <v>2.757265692175408</v>
      </c>
      <c r="DA18" s="10" t="s">
        <v>983</v>
      </c>
    </row>
    <row r="19" spans="1:105" x14ac:dyDescent="0.25">
      <c r="A19" s="60" t="s">
        <v>51</v>
      </c>
      <c r="B19" s="55">
        <f>SUM(B20:B25)</f>
        <v>95.920464316423036</v>
      </c>
      <c r="C19" s="55">
        <f t="shared" ref="C19:W19" si="24">SUM(C20:C25)</f>
        <v>110.15571797076529</v>
      </c>
      <c r="D19" s="55">
        <f t="shared" si="24"/>
        <v>116.46122098022353</v>
      </c>
      <c r="E19" s="55">
        <f t="shared" si="24"/>
        <v>120.330524505589</v>
      </c>
      <c r="F19" s="55">
        <f t="shared" si="24"/>
        <v>120.56938950988823</v>
      </c>
      <c r="G19" s="55">
        <f t="shared" si="24"/>
        <v>123.02949269131555</v>
      </c>
      <c r="H19" s="55">
        <f t="shared" si="24"/>
        <v>129.07231298366298</v>
      </c>
      <c r="I19" s="55">
        <f t="shared" si="24"/>
        <v>128.73800515907135</v>
      </c>
      <c r="J19" s="55">
        <f t="shared" si="24"/>
        <v>127.82072226999142</v>
      </c>
      <c r="K19" s="55">
        <f t="shared" si="24"/>
        <v>150.82510748065346</v>
      </c>
      <c r="L19" s="55">
        <f t="shared" si="24"/>
        <v>174.48220120378332</v>
      </c>
      <c r="M19" s="55">
        <f t="shared" si="24"/>
        <v>147.2235597592433</v>
      </c>
      <c r="N19" s="55">
        <f t="shared" si="24"/>
        <v>168.99346517626827</v>
      </c>
      <c r="O19" s="55">
        <f t="shared" si="24"/>
        <v>184.42407566637996</v>
      </c>
      <c r="P19" s="55">
        <f t="shared" si="24"/>
        <v>172.74840928632844</v>
      </c>
      <c r="Q19" s="55">
        <f t="shared" si="24"/>
        <v>155.20937231298365</v>
      </c>
      <c r="R19" s="55">
        <f t="shared" si="24"/>
        <v>173.11883061049008</v>
      </c>
      <c r="S19" s="55">
        <f t="shared" si="24"/>
        <v>166.9993981083405</v>
      </c>
      <c r="T19" s="55">
        <f t="shared" si="24"/>
        <v>162.93121238177127</v>
      </c>
      <c r="U19" s="55">
        <f t="shared" si="24"/>
        <v>160.64436801375751</v>
      </c>
      <c r="V19" s="55">
        <f t="shared" si="24"/>
        <v>144.52029234737748</v>
      </c>
      <c r="W19" s="55">
        <f t="shared" si="24"/>
        <v>171.60171969045575</v>
      </c>
      <c r="DA19" s="10"/>
    </row>
    <row r="20" spans="1:105" x14ac:dyDescent="0.25">
      <c r="A20" s="61" t="s">
        <v>171</v>
      </c>
      <c r="B20" s="55">
        <v>95.538349097162509</v>
      </c>
      <c r="C20" s="55">
        <v>109.8691315563199</v>
      </c>
      <c r="D20" s="55">
        <v>116.079105760963</v>
      </c>
      <c r="E20" s="55">
        <v>119.90060189165951</v>
      </c>
      <c r="F20" s="55">
        <v>120.0439380911436</v>
      </c>
      <c r="G20" s="55">
        <v>122.52794496990541</v>
      </c>
      <c r="H20" s="55">
        <v>128.618486672399</v>
      </c>
      <c r="I20" s="55">
        <v>128.26027515047289</v>
      </c>
      <c r="J20" s="55">
        <v>124.12820292347379</v>
      </c>
      <c r="K20" s="55">
        <v>137.33637145313841</v>
      </c>
      <c r="L20" s="55">
        <v>159.47738607050729</v>
      </c>
      <c r="M20" s="55">
        <v>134.9478933791917</v>
      </c>
      <c r="N20" s="55">
        <v>162.98847807394671</v>
      </c>
      <c r="O20" s="55">
        <v>183.1709372312983</v>
      </c>
      <c r="P20" s="55">
        <v>171.46749785038691</v>
      </c>
      <c r="Q20" s="55">
        <v>154.031728288908</v>
      </c>
      <c r="R20" s="55">
        <v>171.7540842648323</v>
      </c>
      <c r="S20" s="55">
        <v>165.61573516766981</v>
      </c>
      <c r="T20" s="55">
        <v>161.3165090283749</v>
      </c>
      <c r="U20" s="55">
        <v>159.07136715391229</v>
      </c>
      <c r="V20" s="55">
        <v>142.85374032674119</v>
      </c>
      <c r="W20" s="55">
        <v>156.30077386070511</v>
      </c>
      <c r="DA20" s="10" t="s">
        <v>984</v>
      </c>
    </row>
    <row r="21" spans="1:105" x14ac:dyDescent="0.25">
      <c r="A21" s="61" t="s">
        <v>50</v>
      </c>
      <c r="B21" s="55">
        <v>0.3821152192605331</v>
      </c>
      <c r="C21" s="55">
        <v>0.28658641444539978</v>
      </c>
      <c r="D21" s="55">
        <v>0.3821152192605331</v>
      </c>
      <c r="E21" s="55">
        <v>0.42992261392949271</v>
      </c>
      <c r="F21" s="55">
        <v>0.52545141874462586</v>
      </c>
      <c r="G21" s="55">
        <v>0.50154772141014614</v>
      </c>
      <c r="H21" s="55">
        <v>0.45382631126397238</v>
      </c>
      <c r="I21" s="55">
        <v>0.47773000859845233</v>
      </c>
      <c r="J21" s="55">
        <v>0.47773000859845233</v>
      </c>
      <c r="K21" s="55">
        <v>0.45382631126397238</v>
      </c>
      <c r="L21" s="55">
        <v>0.45382631126397238</v>
      </c>
      <c r="M21" s="55">
        <v>0.57325881341358553</v>
      </c>
      <c r="N21" s="55">
        <v>0.90765262252794487</v>
      </c>
      <c r="O21" s="55">
        <v>0.5970765262252794</v>
      </c>
      <c r="P21" s="55">
        <v>0.62098022355975924</v>
      </c>
      <c r="Q21" s="55">
        <v>0.50154772141014614</v>
      </c>
      <c r="R21" s="55">
        <v>0.50154772141014614</v>
      </c>
      <c r="S21" s="55">
        <v>0.7165090283748925</v>
      </c>
      <c r="T21" s="55">
        <v>0.95537403267411869</v>
      </c>
      <c r="U21" s="55">
        <v>0.90765262252794487</v>
      </c>
      <c r="V21" s="55">
        <v>0.9792777300085983</v>
      </c>
      <c r="W21" s="55">
        <v>1.671883061049011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3.2147893379191741</v>
      </c>
      <c r="K22" s="55">
        <v>13.034909716251075</v>
      </c>
      <c r="L22" s="55">
        <v>14.550988822012036</v>
      </c>
      <c r="M22" s="55">
        <v>11.702407566638003</v>
      </c>
      <c r="N22" s="55">
        <v>5.0973344797936369</v>
      </c>
      <c r="O22" s="55">
        <v>0.65606190885640581</v>
      </c>
      <c r="P22" s="55">
        <v>0.65993121238177122</v>
      </c>
      <c r="Q22" s="55">
        <v>0.67609630266552023</v>
      </c>
      <c r="R22" s="55">
        <v>0.86319862424763538</v>
      </c>
      <c r="S22" s="55">
        <v>0.66715391229578669</v>
      </c>
      <c r="T22" s="55">
        <v>0.65932932072226991</v>
      </c>
      <c r="U22" s="55">
        <v>0.66534823731728288</v>
      </c>
      <c r="V22" s="55">
        <v>0.68727429062768697</v>
      </c>
      <c r="W22" s="55">
        <v>13.629062768701637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8.0969045571797071</v>
      </c>
      <c r="C26" s="55">
        <v>9.1478073946689591</v>
      </c>
      <c r="D26" s="55">
        <v>9.3866723989681855</v>
      </c>
      <c r="E26" s="55">
        <v>9.6971625107480648</v>
      </c>
      <c r="F26" s="55">
        <v>9.8404127257093723</v>
      </c>
      <c r="G26" s="55">
        <v>10.50920034393809</v>
      </c>
      <c r="H26" s="55">
        <v>10.93912295786758</v>
      </c>
      <c r="I26" s="55">
        <v>10.867497850386931</v>
      </c>
      <c r="J26" s="55">
        <v>10.74806534823732</v>
      </c>
      <c r="K26" s="55">
        <v>11.822871883061049</v>
      </c>
      <c r="L26" s="55">
        <v>13.27979363714531</v>
      </c>
      <c r="M26" s="55">
        <v>13.27979363714531</v>
      </c>
      <c r="N26" s="55">
        <v>12.873774720550299</v>
      </c>
      <c r="O26" s="55">
        <v>12.0378331900258</v>
      </c>
      <c r="P26" s="55">
        <v>12.89767841788478</v>
      </c>
      <c r="Q26" s="55">
        <v>12.0378331900258</v>
      </c>
      <c r="R26" s="55">
        <v>13.112639724849529</v>
      </c>
      <c r="S26" s="55">
        <v>13.39922613929493</v>
      </c>
      <c r="T26" s="55">
        <v>13.017110920034391</v>
      </c>
      <c r="U26" s="55">
        <v>14.139638865004301</v>
      </c>
      <c r="V26" s="55">
        <v>13.160447119518491</v>
      </c>
      <c r="W26" s="55">
        <v>16.934135855546</v>
      </c>
      <c r="DA26" s="10" t="s">
        <v>990</v>
      </c>
    </row>
    <row r="27" spans="1:105" x14ac:dyDescent="0.25">
      <c r="A27" s="62" t="s">
        <v>24</v>
      </c>
      <c r="B27" s="63">
        <v>130.7824591573517</v>
      </c>
      <c r="C27" s="63">
        <v>135.51160791057609</v>
      </c>
      <c r="D27" s="63">
        <v>145.74376612209801</v>
      </c>
      <c r="E27" s="63">
        <v>116.3370593293207</v>
      </c>
      <c r="F27" s="63">
        <v>122.01203783319001</v>
      </c>
      <c r="G27" s="63">
        <v>107.8245915735168</v>
      </c>
      <c r="H27" s="63">
        <v>135.2536543422184</v>
      </c>
      <c r="I27" s="63">
        <v>149.01117798796221</v>
      </c>
      <c r="J27" s="63">
        <v>144.62596732588131</v>
      </c>
      <c r="K27" s="63">
        <v>138.3490971625107</v>
      </c>
      <c r="L27" s="63">
        <v>142.3043852106621</v>
      </c>
      <c r="M27" s="63">
        <v>125.02149613069651</v>
      </c>
      <c r="N27" s="63">
        <v>136.19948409286329</v>
      </c>
      <c r="O27" s="63">
        <v>129.57867583834911</v>
      </c>
      <c r="P27" s="63">
        <v>131.64230438521071</v>
      </c>
      <c r="Q27" s="63">
        <v>131.55631986242469</v>
      </c>
      <c r="R27" s="63">
        <v>135.76956147893381</v>
      </c>
      <c r="S27" s="63">
        <v>130.95442820292351</v>
      </c>
      <c r="T27" s="63">
        <v>129.66466036113499</v>
      </c>
      <c r="U27" s="63">
        <v>126.82717110920029</v>
      </c>
      <c r="V27" s="63">
        <v>120.4643164230438</v>
      </c>
      <c r="W27" s="63">
        <v>141.8744625967326</v>
      </c>
      <c r="DA27" s="11" t="s">
        <v>991</v>
      </c>
    </row>
    <row r="29" spans="1:105" x14ac:dyDescent="0.25">
      <c r="A29" s="219" t="s">
        <v>84</v>
      </c>
      <c r="B29" s="220">
        <v>2017.6766761607996</v>
      </c>
      <c r="C29" s="220">
        <v>2000.8194358175999</v>
      </c>
      <c r="D29" s="220">
        <v>2044.2527121599999</v>
      </c>
      <c r="E29" s="220">
        <v>2055.5666795448001</v>
      </c>
      <c r="F29" s="220">
        <v>1986.0562341431998</v>
      </c>
      <c r="G29" s="220">
        <v>1998.0314314992004</v>
      </c>
      <c r="H29" s="220">
        <v>1948.6530779040002</v>
      </c>
      <c r="I29" s="220">
        <v>1997.7297931583998</v>
      </c>
      <c r="J29" s="220">
        <v>1962.7790935104003</v>
      </c>
      <c r="K29" s="220">
        <v>1895.0944819823999</v>
      </c>
      <c r="L29" s="220">
        <v>1791.3752873352</v>
      </c>
      <c r="M29" s="220">
        <v>1652.0820893316002</v>
      </c>
      <c r="N29" s="220">
        <v>1738.6937870508</v>
      </c>
      <c r="O29" s="220">
        <v>1654.2913504031999</v>
      </c>
      <c r="P29" s="220">
        <v>1565.7485779979997</v>
      </c>
      <c r="Q29" s="220">
        <v>1710.5707863612001</v>
      </c>
      <c r="R29" s="220">
        <v>1744.7851967975996</v>
      </c>
      <c r="S29" s="220">
        <v>1733.6156716727999</v>
      </c>
      <c r="T29" s="220">
        <v>1603.7325604224004</v>
      </c>
      <c r="U29" s="220">
        <v>1776.4201686456004</v>
      </c>
      <c r="V29" s="220">
        <v>1763.1254141099996</v>
      </c>
      <c r="W29" s="220">
        <v>1508.1256669392003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167.23207785205116</v>
      </c>
      <c r="C31" s="59">
        <f t="shared" si="25"/>
        <v>177.4518812809242</v>
      </c>
      <c r="D31" s="59">
        <f t="shared" si="25"/>
        <v>186.43624274332228</v>
      </c>
      <c r="E31" s="59">
        <f t="shared" si="25"/>
        <v>188.53799565608335</v>
      </c>
      <c r="F31" s="59">
        <f t="shared" si="25"/>
        <v>190.41948248742435</v>
      </c>
      <c r="G31" s="59">
        <f t="shared" si="25"/>
        <v>192.28242028900152</v>
      </c>
      <c r="H31" s="59">
        <f t="shared" si="25"/>
        <v>214.79278649247763</v>
      </c>
      <c r="I31" s="59">
        <f t="shared" si="25"/>
        <v>176.5750363662589</v>
      </c>
      <c r="J31" s="59">
        <f t="shared" si="25"/>
        <v>185.3481423128151</v>
      </c>
      <c r="K31" s="59">
        <f t="shared" si="25"/>
        <v>195.96727277141383</v>
      </c>
      <c r="L31" s="59">
        <f t="shared" si="25"/>
        <v>174.30759684084813</v>
      </c>
      <c r="M31" s="59">
        <f t="shared" si="25"/>
        <v>159.24133258948112</v>
      </c>
      <c r="N31" s="59">
        <f t="shared" si="25"/>
        <v>174.07262350365585</v>
      </c>
      <c r="O31" s="59">
        <f t="shared" si="25"/>
        <v>167.9941026504458</v>
      </c>
      <c r="P31" s="59">
        <f t="shared" si="25"/>
        <v>159.35349312175802</v>
      </c>
      <c r="Q31" s="59">
        <f t="shared" si="25"/>
        <v>175.02173076520447</v>
      </c>
      <c r="R31" s="59">
        <f t="shared" si="25"/>
        <v>172.30230592081963</v>
      </c>
      <c r="S31" s="59">
        <f t="shared" si="25"/>
        <v>163.66639470636557</v>
      </c>
      <c r="T31" s="59">
        <f t="shared" si="25"/>
        <v>148.3821970281638</v>
      </c>
      <c r="U31" s="59">
        <f t="shared" si="25"/>
        <v>158.7211489958427</v>
      </c>
      <c r="V31" s="59">
        <f t="shared" si="25"/>
        <v>152.25089013823663</v>
      </c>
      <c r="W31" s="59">
        <f t="shared" si="25"/>
        <v>143.6898367835538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130.15939664117738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49.635438754477519</v>
      </c>
      <c r="C33" s="55">
        <f>IF(AGR_ued!C$5=0,"",AGR_ued!C$5/C$5*1000)</f>
        <v>47.976096443376754</v>
      </c>
      <c r="D33" s="55">
        <f>IF(AGR_ued!D$5=0,"",AGR_ued!D$5/D$5*1000)</f>
        <v>50.173501688159114</v>
      </c>
      <c r="E33" s="55">
        <f>IF(AGR_ued!E$5=0,"",AGR_ued!E$5/E$5*1000)</f>
        <v>52.012273291825181</v>
      </c>
      <c r="F33" s="55">
        <f>IF(AGR_ued!F$5=0,"",AGR_ued!F$5/F$5*1000)</f>
        <v>52.168063059839554</v>
      </c>
      <c r="G33" s="55">
        <f>IF(AGR_ued!G$5=0,"",AGR_ued!G$5/G$5*1000)</f>
        <v>58.884083242423209</v>
      </c>
      <c r="H33" s="55">
        <f>IF(AGR_ued!H$5=0,"",AGR_ued!H$5/H$5*1000)</f>
        <v>56.988557125915065</v>
      </c>
      <c r="I33" s="55">
        <f>IF(AGR_ued!I$5=0,"",AGR_ued!I$5/I$5*1000)</f>
        <v>53.591062223682933</v>
      </c>
      <c r="J33" s="55">
        <f>IF(AGR_ued!J$5=0,"",AGR_ued!J$5/J$5*1000)</f>
        <v>54.430285407274532</v>
      </c>
      <c r="K33" s="55">
        <f>IF(AGR_ued!K$5=0,"",AGR_ued!K$5/K$5*1000)</f>
        <v>60.611993377190757</v>
      </c>
      <c r="L33" s="55">
        <f>IF(AGR_ued!L$5=0,"",AGR_ued!L$5/L$5*1000)</f>
        <v>56.665827255665512</v>
      </c>
      <c r="M33" s="55">
        <f>IF(AGR_ued!M$5=0,"",AGR_ued!M$5/M$5*1000)</f>
        <v>52.368649574454345</v>
      </c>
      <c r="N33" s="55">
        <f>IF(AGR_ued!N$5=0,"",AGR_ued!N$5/N$5*1000)</f>
        <v>53.06844477121863</v>
      </c>
      <c r="O33" s="55">
        <f>IF(AGR_ued!O$5=0,"",AGR_ued!O$5/O$5*1000)</f>
        <v>51.797665621279528</v>
      </c>
      <c r="P33" s="55">
        <f>IF(AGR_ued!P$5=0,"",AGR_ued!P$5/P$5*1000)</f>
        <v>51.273167695018046</v>
      </c>
      <c r="Q33" s="55">
        <f>IF(AGR_ued!Q$5=0,"",AGR_ued!Q$5/Q$5*1000)</f>
        <v>52.531872361835028</v>
      </c>
      <c r="R33" s="55">
        <f>IF(AGR_ued!R$5=0,"",AGR_ued!R$5/R$5*1000)</f>
        <v>53.084270690416076</v>
      </c>
      <c r="S33" s="55">
        <f>IF(AGR_ued!S$5=0,"",AGR_ued!S$5/S$5*1000)</f>
        <v>48.927954960670235</v>
      </c>
      <c r="T33" s="55">
        <f>IF(AGR_ued!T$5=0,"",AGR_ued!T$5/T$5*1000)</f>
        <v>55.577308858545948</v>
      </c>
      <c r="U33" s="55">
        <f>IF(AGR_ued!U$5=0,"",AGR_ued!U$5/U$5*1000)</f>
        <v>55.549792698476828</v>
      </c>
      <c r="V33" s="55">
        <f>IF(AGR_ued!V$5=0,"",AGR_ued!V$5/V$5*1000)</f>
        <v>58.495506559926945</v>
      </c>
      <c r="W33" s="55">
        <f>IF(AGR_ued!W$5=0,"",AGR_ued!W$5/W$5*1000)</f>
        <v>57.318481194154998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2.2780641043682022</v>
      </c>
      <c r="C34" s="218">
        <f t="shared" si="27"/>
        <v>2.22722009260701</v>
      </c>
      <c r="D34" s="218">
        <f t="shared" si="27"/>
        <v>2.2028152560992038</v>
      </c>
      <c r="E34" s="218">
        <f t="shared" si="27"/>
        <v>2.2702930670534109</v>
      </c>
      <c r="F34" s="218">
        <f t="shared" si="27"/>
        <v>2.2361065949437195</v>
      </c>
      <c r="G34" s="218">
        <f t="shared" si="27"/>
        <v>2.2636431980237703</v>
      </c>
      <c r="H34" s="218">
        <f t="shared" si="27"/>
        <v>2.1627868264800707</v>
      </c>
      <c r="I34" s="218">
        <f t="shared" si="27"/>
        <v>2.1525385918696291</v>
      </c>
      <c r="J34" s="218">
        <f t="shared" si="27"/>
        <v>2.1611962340572459</v>
      </c>
      <c r="K34" s="218">
        <f t="shared" si="27"/>
        <v>2.1020274240304939</v>
      </c>
      <c r="L34" s="218">
        <f t="shared" si="27"/>
        <v>2.0160805530250197</v>
      </c>
      <c r="M34" s="218">
        <f t="shared" si="27"/>
        <v>2.0606749512013161</v>
      </c>
      <c r="N34" s="218">
        <f t="shared" si="27"/>
        <v>2.02183601382227</v>
      </c>
      <c r="O34" s="218">
        <f t="shared" si="27"/>
        <v>1.9638243455348228</v>
      </c>
      <c r="P34" s="218">
        <f t="shared" si="27"/>
        <v>1.9424333338222473</v>
      </c>
      <c r="Q34" s="218">
        <f t="shared" si="27"/>
        <v>2.0515274094235836</v>
      </c>
      <c r="R34" s="218">
        <f t="shared" si="27"/>
        <v>2.0151260524329939</v>
      </c>
      <c r="S34" s="218">
        <f t="shared" si="27"/>
        <v>2.0373292612470122</v>
      </c>
      <c r="T34" s="218">
        <f t="shared" si="27"/>
        <v>1.9965731842606256</v>
      </c>
      <c r="U34" s="218">
        <f t="shared" si="27"/>
        <v>2.0745572323033632</v>
      </c>
      <c r="V34" s="218">
        <f t="shared" si="27"/>
        <v>2.108814293029301</v>
      </c>
      <c r="W34" s="218">
        <f t="shared" si="27"/>
        <v>1.8696542657846531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885.69793637145312</v>
      </c>
      <c r="C5" s="80">
        <f t="shared" ref="C5:W5" si="1">SUM(C6:C9,C16:C17,C25:C27)</f>
        <v>898.34832330180529</v>
      </c>
      <c r="D5" s="80">
        <f t="shared" si="1"/>
        <v>928.0182287188303</v>
      </c>
      <c r="E5" s="80">
        <f t="shared" si="1"/>
        <v>905.41908856405826</v>
      </c>
      <c r="F5" s="80">
        <f t="shared" si="1"/>
        <v>888.17601031814252</v>
      </c>
      <c r="G5" s="80">
        <f t="shared" si="1"/>
        <v>882.66182287188326</v>
      </c>
      <c r="H5" s="80">
        <f t="shared" si="1"/>
        <v>900.99174548581277</v>
      </c>
      <c r="I5" s="80">
        <f t="shared" si="1"/>
        <v>928.0808254514186</v>
      </c>
      <c r="J5" s="80">
        <f t="shared" si="1"/>
        <v>908.19105760962987</v>
      </c>
      <c r="K5" s="80">
        <f t="shared" si="1"/>
        <v>901.55554600171968</v>
      </c>
      <c r="L5" s="80">
        <f t="shared" si="1"/>
        <v>888.54350816852957</v>
      </c>
      <c r="M5" s="80">
        <f t="shared" si="1"/>
        <v>801.71891659501296</v>
      </c>
      <c r="N5" s="80">
        <f t="shared" si="1"/>
        <v>859.95786758383485</v>
      </c>
      <c r="O5" s="80">
        <f t="shared" si="1"/>
        <v>842.38254514187406</v>
      </c>
      <c r="P5" s="80">
        <f t="shared" si="1"/>
        <v>806.07583834909713</v>
      </c>
      <c r="Q5" s="80">
        <f t="shared" si="1"/>
        <v>833.80352536543421</v>
      </c>
      <c r="R5" s="80">
        <f t="shared" si="1"/>
        <v>865.84419604471191</v>
      </c>
      <c r="S5" s="80">
        <f t="shared" si="1"/>
        <v>850.92562338779021</v>
      </c>
      <c r="T5" s="80">
        <f t="shared" si="1"/>
        <v>803.24256233877884</v>
      </c>
      <c r="U5" s="80">
        <f t="shared" si="1"/>
        <v>856.28882201203737</v>
      </c>
      <c r="V5" s="80">
        <f t="shared" si="1"/>
        <v>836.07429062768654</v>
      </c>
      <c r="W5" s="80">
        <f t="shared" si="1"/>
        <v>806.63344797936361</v>
      </c>
      <c r="DA5" s="103"/>
    </row>
    <row r="6" spans="1:105" x14ac:dyDescent="0.25">
      <c r="A6" s="239" t="s">
        <v>125</v>
      </c>
      <c r="B6" s="240">
        <v>20.594534991772431</v>
      </c>
      <c r="C6" s="240">
        <v>21.080522181971929</v>
      </c>
      <c r="D6" s="240">
        <v>22.219862784283482</v>
      </c>
      <c r="E6" s="240">
        <v>18.866494928246301</v>
      </c>
      <c r="F6" s="240">
        <v>19.421628799453199</v>
      </c>
      <c r="G6" s="240">
        <v>17.65546884215026</v>
      </c>
      <c r="H6" s="240">
        <v>20.640420742032749</v>
      </c>
      <c r="I6" s="240">
        <v>22.17358173538307</v>
      </c>
      <c r="J6" s="240">
        <v>21.677489439469671</v>
      </c>
      <c r="K6" s="240">
        <v>20.861329460179391</v>
      </c>
      <c r="L6" s="240">
        <v>21.486453264841529</v>
      </c>
      <c r="M6" s="240">
        <v>19.388941164960219</v>
      </c>
      <c r="N6" s="240">
        <v>20.854073562447251</v>
      </c>
      <c r="O6" s="240">
        <v>19.88125375777479</v>
      </c>
      <c r="P6" s="240">
        <v>19.931082238495961</v>
      </c>
      <c r="Q6" s="240">
        <v>20.433782974584339</v>
      </c>
      <c r="R6" s="240">
        <v>20.834548978853981</v>
      </c>
      <c r="S6" s="240">
        <v>20.265283266367611</v>
      </c>
      <c r="T6" s="240">
        <v>19.698937519070331</v>
      </c>
      <c r="U6" s="240">
        <v>19.954404799484301</v>
      </c>
      <c r="V6" s="240">
        <v>19.40814726154543</v>
      </c>
      <c r="W6" s="240">
        <v>21.321636713379331</v>
      </c>
      <c r="DA6" s="268" t="s">
        <v>993</v>
      </c>
    </row>
    <row r="7" spans="1:105" x14ac:dyDescent="0.25">
      <c r="A7" s="241" t="s">
        <v>124</v>
      </c>
      <c r="B7" s="242">
        <v>13.386447744652081</v>
      </c>
      <c r="C7" s="242">
        <v>13.702339418281751</v>
      </c>
      <c r="D7" s="242">
        <v>14.44291080978426</v>
      </c>
      <c r="E7" s="242">
        <v>12.26322170336009</v>
      </c>
      <c r="F7" s="242">
        <v>12.62405871964458</v>
      </c>
      <c r="G7" s="242">
        <v>11.47605474739766</v>
      </c>
      <c r="H7" s="242">
        <v>13.41627348232128</v>
      </c>
      <c r="I7" s="242">
        <v>14.41282812799899</v>
      </c>
      <c r="J7" s="242">
        <v>14.090368135655281</v>
      </c>
      <c r="K7" s="242">
        <v>13.559864149116599</v>
      </c>
      <c r="L7" s="242">
        <v>13.966194622147</v>
      </c>
      <c r="M7" s="242">
        <v>12.60281175722414</v>
      </c>
      <c r="N7" s="242">
        <v>13.555147815590709</v>
      </c>
      <c r="O7" s="242">
        <v>12.922814942553609</v>
      </c>
      <c r="P7" s="242">
        <v>12.955203455022369</v>
      </c>
      <c r="Q7" s="242">
        <v>13.28195893347981</v>
      </c>
      <c r="R7" s="242">
        <v>13.542456836255081</v>
      </c>
      <c r="S7" s="242">
        <v>13.172434123138951</v>
      </c>
      <c r="T7" s="242">
        <v>12.80430938739571</v>
      </c>
      <c r="U7" s="242">
        <v>12.970363119664791</v>
      </c>
      <c r="V7" s="242">
        <v>12.61529572000453</v>
      </c>
      <c r="W7" s="242">
        <v>13.85906386369656</v>
      </c>
      <c r="DA7" s="269" t="s">
        <v>994</v>
      </c>
    </row>
    <row r="8" spans="1:105" x14ac:dyDescent="0.25">
      <c r="A8" s="241" t="s">
        <v>123</v>
      </c>
      <c r="B8" s="242">
        <v>18.535081492595179</v>
      </c>
      <c r="C8" s="242">
        <v>18.972469963774731</v>
      </c>
      <c r="D8" s="242">
        <v>19.997876505855132</v>
      </c>
      <c r="E8" s="242">
        <v>16.979845435421669</v>
      </c>
      <c r="F8" s="242">
        <v>17.47946591950787</v>
      </c>
      <c r="G8" s="242">
        <v>15.889921957935231</v>
      </c>
      <c r="H8" s="242">
        <v>18.57637866782947</v>
      </c>
      <c r="I8" s="242">
        <v>19.956223561844769</v>
      </c>
      <c r="J8" s="242">
        <v>19.50974049552271</v>
      </c>
      <c r="K8" s="242">
        <v>18.775196514161461</v>
      </c>
      <c r="L8" s="242">
        <v>19.33780793835739</v>
      </c>
      <c r="M8" s="242">
        <v>17.450047048464199</v>
      </c>
      <c r="N8" s="242">
        <v>18.768666206202528</v>
      </c>
      <c r="O8" s="242">
        <v>17.8931283819973</v>
      </c>
      <c r="P8" s="242">
        <v>17.937974014646372</v>
      </c>
      <c r="Q8" s="242">
        <v>18.3904046771259</v>
      </c>
      <c r="R8" s="242">
        <v>18.751094080968581</v>
      </c>
      <c r="S8" s="242">
        <v>18.23875493973085</v>
      </c>
      <c r="T8" s="242">
        <v>17.72904376716329</v>
      </c>
      <c r="U8" s="242">
        <v>17.95896431953587</v>
      </c>
      <c r="V8" s="242">
        <v>17.467332535390881</v>
      </c>
      <c r="W8" s="242">
        <v>19.189473042041389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150.39514711137099</v>
      </c>
      <c r="C9" s="244">
        <f t="shared" ref="C9:W9" si="3">SUM(C10:C15)</f>
        <v>151.34325413989598</v>
      </c>
      <c r="D9" s="244">
        <f t="shared" si="3"/>
        <v>154.90025766644249</v>
      </c>
      <c r="E9" s="244">
        <f t="shared" si="3"/>
        <v>148.56111977895699</v>
      </c>
      <c r="F9" s="244">
        <f t="shared" si="3"/>
        <v>146.8548694072698</v>
      </c>
      <c r="G9" s="244">
        <f t="shared" si="3"/>
        <v>143.06002417605225</v>
      </c>
      <c r="H9" s="244">
        <f t="shared" si="3"/>
        <v>146.00475657367443</v>
      </c>
      <c r="I9" s="244">
        <f t="shared" si="3"/>
        <v>150.8485252757981</v>
      </c>
      <c r="J9" s="244">
        <f t="shared" si="3"/>
        <v>148.53465217951691</v>
      </c>
      <c r="K9" s="244">
        <f t="shared" si="3"/>
        <v>145.23802511344581</v>
      </c>
      <c r="L9" s="244">
        <f t="shared" si="3"/>
        <v>148.37372063442535</v>
      </c>
      <c r="M9" s="244">
        <f t="shared" si="3"/>
        <v>138.20387888499798</v>
      </c>
      <c r="N9" s="244">
        <f t="shared" si="3"/>
        <v>146.00324491682562</v>
      </c>
      <c r="O9" s="244">
        <f t="shared" si="3"/>
        <v>140.38794540349249</v>
      </c>
      <c r="P9" s="244">
        <f t="shared" si="3"/>
        <v>137.21007684990457</v>
      </c>
      <c r="Q9" s="244">
        <f t="shared" si="3"/>
        <v>144.87979837279633</v>
      </c>
      <c r="R9" s="244">
        <f t="shared" si="3"/>
        <v>146.58681825905302</v>
      </c>
      <c r="S9" s="244">
        <f t="shared" si="3"/>
        <v>144.46757003569206</v>
      </c>
      <c r="T9" s="244">
        <f t="shared" si="3"/>
        <v>136.49864628948086</v>
      </c>
      <c r="U9" s="244">
        <f t="shared" si="3"/>
        <v>146.30340750421266</v>
      </c>
      <c r="V9" s="244">
        <f t="shared" si="3"/>
        <v>147.01412830885465</v>
      </c>
      <c r="W9" s="244">
        <f t="shared" si="3"/>
        <v>143.89058094896387</v>
      </c>
      <c r="DA9" s="270"/>
    </row>
    <row r="10" spans="1:105" x14ac:dyDescent="0.25">
      <c r="A10" s="254" t="s">
        <v>173</v>
      </c>
      <c r="B10" s="255">
        <v>106.8544965217571</v>
      </c>
      <c r="C10" s="255">
        <v>104.7067842458534</v>
      </c>
      <c r="D10" s="255">
        <v>103.25953390629761</v>
      </c>
      <c r="E10" s="255">
        <v>109.4166673410005</v>
      </c>
      <c r="F10" s="255">
        <v>103.9107306664951</v>
      </c>
      <c r="G10" s="255">
        <v>105.3064908542227</v>
      </c>
      <c r="H10" s="255">
        <v>96.132648602549168</v>
      </c>
      <c r="I10" s="255">
        <v>95.60825446416554</v>
      </c>
      <c r="J10" s="255">
        <v>96.759921680042524</v>
      </c>
      <c r="K10" s="255">
        <v>93.983204164242238</v>
      </c>
      <c r="L10" s="255">
        <v>96.813646833835847</v>
      </c>
      <c r="M10" s="255">
        <v>94.603662154953696</v>
      </c>
      <c r="N10" s="255">
        <v>99.44554762304945</v>
      </c>
      <c r="O10" s="255">
        <v>96.946398491486548</v>
      </c>
      <c r="P10" s="255">
        <v>91.407344371339477</v>
      </c>
      <c r="Q10" s="255">
        <v>101.9290249239091</v>
      </c>
      <c r="R10" s="255">
        <v>100.0758848567389</v>
      </c>
      <c r="S10" s="255">
        <v>100.28514992371051</v>
      </c>
      <c r="T10" s="255">
        <v>90.875658549011803</v>
      </c>
      <c r="U10" s="255">
        <v>103.5555890473772</v>
      </c>
      <c r="V10" s="255">
        <v>108.7718396256023</v>
      </c>
      <c r="W10" s="255">
        <v>89.63819211533766</v>
      </c>
      <c r="DA10" s="271" t="s">
        <v>996</v>
      </c>
    </row>
    <row r="11" spans="1:105" x14ac:dyDescent="0.25">
      <c r="A11" s="254" t="s">
        <v>176</v>
      </c>
      <c r="B11" s="256">
        <v>7.6339618334926156</v>
      </c>
      <c r="C11" s="256">
        <v>7.3796654982096932</v>
      </c>
      <c r="D11" s="256">
        <v>7.6095991600596591</v>
      </c>
      <c r="E11" s="256">
        <v>7.4427052386675054</v>
      </c>
      <c r="F11" s="256">
        <v>8.199832178373617</v>
      </c>
      <c r="G11" s="256">
        <v>7.6970856145304714</v>
      </c>
      <c r="H11" s="256">
        <v>6.8814343804821512</v>
      </c>
      <c r="I11" s="256">
        <v>6.2295036495570564</v>
      </c>
      <c r="J11" s="256">
        <v>4.7881450221360398</v>
      </c>
      <c r="K11" s="256">
        <v>5.3894992037494696</v>
      </c>
      <c r="L11" s="256">
        <v>3.4081612765282041</v>
      </c>
      <c r="M11" s="256">
        <v>2.243632786181295</v>
      </c>
      <c r="N11" s="256">
        <v>1.7548062916841469</v>
      </c>
      <c r="O11" s="256">
        <v>1.231306672032717</v>
      </c>
      <c r="P11" s="256">
        <v>0.91816086716511969</v>
      </c>
      <c r="Q11" s="256">
        <v>1.5255352686420061</v>
      </c>
      <c r="R11" s="256">
        <v>1.801477091814786</v>
      </c>
      <c r="S11" s="256">
        <v>1.1551821005815111</v>
      </c>
      <c r="T11" s="256">
        <v>1.435904053818104</v>
      </c>
      <c r="U11" s="256">
        <v>1.5530324795761781</v>
      </c>
      <c r="V11" s="256">
        <v>1.658261447942259</v>
      </c>
      <c r="W11" s="256">
        <v>2.0519739472323431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8.0969045571838443</v>
      </c>
      <c r="C14" s="255">
        <v>9.1478073946744729</v>
      </c>
      <c r="D14" s="255">
        <v>9.3866723989748024</v>
      </c>
      <c r="E14" s="255">
        <v>9.6971625107530208</v>
      </c>
      <c r="F14" s="255">
        <v>9.8404127257193164</v>
      </c>
      <c r="G14" s="255">
        <v>10.50920034394561</v>
      </c>
      <c r="H14" s="255">
        <v>10.939122957883811</v>
      </c>
      <c r="I14" s="255">
        <v>10.867497850402421</v>
      </c>
      <c r="J14" s="255">
        <v>10.748065348250179</v>
      </c>
      <c r="K14" s="255">
        <v>11.82287188308217</v>
      </c>
      <c r="L14" s="255">
        <v>13.27979363715702</v>
      </c>
      <c r="M14" s="255">
        <v>13.279793637161269</v>
      </c>
      <c r="N14" s="255">
        <v>12.873774720569321</v>
      </c>
      <c r="O14" s="255">
        <v>12.03783319003607</v>
      </c>
      <c r="P14" s="255">
        <v>12.89767841790359</v>
      </c>
      <c r="Q14" s="255">
        <v>12.03783319003659</v>
      </c>
      <c r="R14" s="255">
        <v>13.112639724870389</v>
      </c>
      <c r="S14" s="255">
        <v>13.399226139315781</v>
      </c>
      <c r="T14" s="255">
        <v>13.01711092005449</v>
      </c>
      <c r="U14" s="255">
        <v>14.13963886501292</v>
      </c>
      <c r="V14" s="255">
        <v>13.16044711952331</v>
      </c>
      <c r="W14" s="255">
        <v>16.934135855573651</v>
      </c>
      <c r="DA14" s="271" t="s">
        <v>1000</v>
      </c>
    </row>
    <row r="15" spans="1:105" x14ac:dyDescent="0.25">
      <c r="A15" s="254" t="s">
        <v>24</v>
      </c>
      <c r="B15" s="256">
        <v>27.809784198937429</v>
      </c>
      <c r="C15" s="256">
        <v>30.108997001158428</v>
      </c>
      <c r="D15" s="256">
        <v>34.644452201110433</v>
      </c>
      <c r="E15" s="256">
        <v>22.004584688535981</v>
      </c>
      <c r="F15" s="256">
        <v>24.90389383668176</v>
      </c>
      <c r="G15" s="256">
        <v>19.547247363353488</v>
      </c>
      <c r="H15" s="256">
        <v>32.051550632759302</v>
      </c>
      <c r="I15" s="256">
        <v>38.143269311673087</v>
      </c>
      <c r="J15" s="256">
        <v>36.23852012908818</v>
      </c>
      <c r="K15" s="256">
        <v>34.042449862371953</v>
      </c>
      <c r="L15" s="256">
        <v>34.872118886904268</v>
      </c>
      <c r="M15" s="256">
        <v>28.076790306701721</v>
      </c>
      <c r="N15" s="256">
        <v>31.92911628152271</v>
      </c>
      <c r="O15" s="256">
        <v>30.172407049937149</v>
      </c>
      <c r="P15" s="256">
        <v>31.986893193496389</v>
      </c>
      <c r="Q15" s="256">
        <v>29.38740499020863</v>
      </c>
      <c r="R15" s="256">
        <v>31.59681658562894</v>
      </c>
      <c r="S15" s="256">
        <v>29.628011872084251</v>
      </c>
      <c r="T15" s="256">
        <v>31.169972766596459</v>
      </c>
      <c r="U15" s="256">
        <v>27.05514711224636</v>
      </c>
      <c r="V15" s="256">
        <v>23.42358011578677</v>
      </c>
      <c r="W15" s="256">
        <v>35.266279030820229</v>
      </c>
      <c r="DA15" s="272" t="s">
        <v>1001</v>
      </c>
    </row>
    <row r="16" spans="1:105" x14ac:dyDescent="0.25">
      <c r="A16" s="257" t="s">
        <v>175</v>
      </c>
      <c r="B16" s="258">
        <v>195.48961365667631</v>
      </c>
      <c r="C16" s="258">
        <v>195.38024618114781</v>
      </c>
      <c r="D16" s="258">
        <v>198.19283709879679</v>
      </c>
      <c r="E16" s="258">
        <v>194.8926321919123</v>
      </c>
      <c r="F16" s="258">
        <v>190.71894003954091</v>
      </c>
      <c r="G16" s="258">
        <v>187.50883929372921</v>
      </c>
      <c r="H16" s="258">
        <v>186.31636040049781</v>
      </c>
      <c r="I16" s="258">
        <v>190.5714482451983</v>
      </c>
      <c r="J16" s="258">
        <v>188.91850117168141</v>
      </c>
      <c r="K16" s="258">
        <v>184.44867676157429</v>
      </c>
      <c r="L16" s="258">
        <v>188.16663499831731</v>
      </c>
      <c r="M16" s="258">
        <v>176.859644532799</v>
      </c>
      <c r="N16" s="258">
        <v>186.98022336452601</v>
      </c>
      <c r="O16" s="258">
        <v>180.76031041213989</v>
      </c>
      <c r="P16" s="258">
        <v>174.5290926595973</v>
      </c>
      <c r="Q16" s="258">
        <v>186.78683771428149</v>
      </c>
      <c r="R16" s="258">
        <v>187.8690459278252</v>
      </c>
      <c r="S16" s="258">
        <v>185.83311208000819</v>
      </c>
      <c r="T16" s="258">
        <v>173.62230337610811</v>
      </c>
      <c r="U16" s="258">
        <v>188.9540153653611</v>
      </c>
      <c r="V16" s="258">
        <v>191.60866163243449</v>
      </c>
      <c r="W16" s="258">
        <v>178.5352252953532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399.2755422236919</v>
      </c>
      <c r="C17" s="258">
        <f t="shared" ref="C17:W17" si="5">SUM(C18:C24)</f>
        <v>408.6782695219116</v>
      </c>
      <c r="D17" s="258">
        <f t="shared" si="5"/>
        <v>425.74141469899723</v>
      </c>
      <c r="E17" s="258">
        <f t="shared" si="5"/>
        <v>430.18261849463983</v>
      </c>
      <c r="F17" s="258">
        <f t="shared" si="5"/>
        <v>416.8458231462298</v>
      </c>
      <c r="G17" s="258">
        <f t="shared" si="5"/>
        <v>427.78422907391945</v>
      </c>
      <c r="H17" s="258">
        <f t="shared" si="5"/>
        <v>429.66628344117169</v>
      </c>
      <c r="I17" s="258">
        <f t="shared" si="5"/>
        <v>439.17305130310979</v>
      </c>
      <c r="J17" s="258">
        <f t="shared" si="5"/>
        <v>426.0481926660691</v>
      </c>
      <c r="K17" s="258">
        <f t="shared" si="5"/>
        <v>432.11884644147892</v>
      </c>
      <c r="L17" s="258">
        <f t="shared" si="5"/>
        <v>408.4130991676231</v>
      </c>
      <c r="M17" s="258">
        <f t="shared" si="5"/>
        <v>355.72563275575953</v>
      </c>
      <c r="N17" s="258">
        <f t="shared" si="5"/>
        <v>386.77422332895247</v>
      </c>
      <c r="O17" s="258">
        <f t="shared" si="5"/>
        <v>387.09342048491959</v>
      </c>
      <c r="P17" s="258">
        <f t="shared" si="5"/>
        <v>361.14403801507478</v>
      </c>
      <c r="Q17" s="258">
        <f t="shared" si="5"/>
        <v>364.07532690845755</v>
      </c>
      <c r="R17" s="258">
        <f t="shared" si="5"/>
        <v>391.11498413952836</v>
      </c>
      <c r="S17" s="258">
        <f t="shared" si="5"/>
        <v>383.58914377198755</v>
      </c>
      <c r="T17" s="258">
        <f t="shared" si="5"/>
        <v>361.26395256355272</v>
      </c>
      <c r="U17" s="258">
        <f t="shared" si="5"/>
        <v>384.95028640174689</v>
      </c>
      <c r="V17" s="258">
        <f t="shared" si="5"/>
        <v>363.59156323206435</v>
      </c>
      <c r="W17" s="258">
        <f t="shared" si="5"/>
        <v>343.29242676414026</v>
      </c>
      <c r="DA17" s="273"/>
    </row>
    <row r="18" spans="1:105" x14ac:dyDescent="0.25">
      <c r="A18" s="61" t="s">
        <v>29</v>
      </c>
      <c r="B18" s="55">
        <v>21.639466895936149</v>
      </c>
      <c r="C18" s="55">
        <v>24.473258813387361</v>
      </c>
      <c r="D18" s="55">
        <v>28.058899398078051</v>
      </c>
      <c r="E18" s="55">
        <v>30.653224419572581</v>
      </c>
      <c r="F18" s="55">
        <v>33.287876182225332</v>
      </c>
      <c r="G18" s="55">
        <v>29.172398968144201</v>
      </c>
      <c r="H18" s="55">
        <v>28.908426483175301</v>
      </c>
      <c r="I18" s="55">
        <v>34.32906276864027</v>
      </c>
      <c r="J18" s="55">
        <v>39.695786758321127</v>
      </c>
      <c r="K18" s="55">
        <v>46.031728288804608</v>
      </c>
      <c r="L18" s="55">
        <v>55.122613929424453</v>
      </c>
      <c r="M18" s="55">
        <v>45.560189165851597</v>
      </c>
      <c r="N18" s="55">
        <v>50.510146173569311</v>
      </c>
      <c r="O18" s="55">
        <v>45.654342218341633</v>
      </c>
      <c r="P18" s="55">
        <v>43.154342218305423</v>
      </c>
      <c r="Q18" s="55">
        <v>45.087704213162539</v>
      </c>
      <c r="R18" s="55">
        <v>50.862596732458982</v>
      </c>
      <c r="S18" s="55">
        <v>51.297420464182252</v>
      </c>
      <c r="T18" s="55">
        <v>51.42450558887306</v>
      </c>
      <c r="U18" s="55">
        <v>50.405331040354227</v>
      </c>
      <c r="V18" s="55">
        <v>32.602751504694737</v>
      </c>
      <c r="W18" s="55">
        <v>31.030610490029201</v>
      </c>
      <c r="DA18" s="101" t="s">
        <v>1003</v>
      </c>
    </row>
    <row r="19" spans="1:105" x14ac:dyDescent="0.25">
      <c r="A19" s="61" t="s">
        <v>27</v>
      </c>
      <c r="B19" s="55">
        <v>5.5173688735969932</v>
      </c>
      <c r="C19" s="55">
        <v>4.413843508163799</v>
      </c>
      <c r="D19" s="55">
        <v>4.4138435081637653</v>
      </c>
      <c r="E19" s="55">
        <v>4.4138435081639367</v>
      </c>
      <c r="F19" s="55">
        <v>4.4138435081603289</v>
      </c>
      <c r="G19" s="55">
        <v>4.4138435081622456</v>
      </c>
      <c r="H19" s="55">
        <v>5.517368873591737</v>
      </c>
      <c r="I19" s="55">
        <v>5.5173688735928881</v>
      </c>
      <c r="J19" s="55">
        <v>4.4138435081615963</v>
      </c>
      <c r="K19" s="55">
        <v>4.4138435081586156</v>
      </c>
      <c r="L19" s="55">
        <v>4.4138435081630636</v>
      </c>
      <c r="M19" s="55">
        <v>4.4138435081589869</v>
      </c>
      <c r="N19" s="55">
        <v>5.5173688735897057</v>
      </c>
      <c r="O19" s="55">
        <v>4.4233877901920424</v>
      </c>
      <c r="P19" s="55">
        <v>4.4233877901880003</v>
      </c>
      <c r="Q19" s="55">
        <v>3.3175408426425039</v>
      </c>
      <c r="R19" s="55">
        <v>3.317540842639898</v>
      </c>
      <c r="S19" s="55">
        <v>3.3175408426396449</v>
      </c>
      <c r="T19" s="55">
        <v>2.2116938950936809</v>
      </c>
      <c r="U19" s="55">
        <v>2.2116938950963161</v>
      </c>
      <c r="V19" s="55">
        <v>2.211693895096547</v>
      </c>
      <c r="W19" s="55">
        <v>4.423387790185993</v>
      </c>
      <c r="DA19" s="101" t="s">
        <v>1004</v>
      </c>
    </row>
    <row r="20" spans="1:105" x14ac:dyDescent="0.25">
      <c r="A20" s="61" t="s">
        <v>173</v>
      </c>
      <c r="B20" s="55">
        <v>100.6899855708198</v>
      </c>
      <c r="C20" s="55">
        <v>95.778829259489171</v>
      </c>
      <c r="D20" s="55">
        <v>91.818941632412859</v>
      </c>
      <c r="E20" s="55">
        <v>86.515005590926762</v>
      </c>
      <c r="F20" s="55">
        <v>85.804382754272837</v>
      </c>
      <c r="G20" s="55">
        <v>78.012956993327592</v>
      </c>
      <c r="H20" s="55">
        <v>75.070761674458012</v>
      </c>
      <c r="I20" s="55">
        <v>76.680027008336126</v>
      </c>
      <c r="J20" s="55">
        <v>79.701513957015138</v>
      </c>
      <c r="K20" s="55">
        <v>72.119093711375527</v>
      </c>
      <c r="L20" s="55">
        <v>85.832524417032616</v>
      </c>
      <c r="M20" s="55">
        <v>94.531518336999952</v>
      </c>
      <c r="N20" s="55">
        <v>94.52017321547811</v>
      </c>
      <c r="O20" s="55">
        <v>85.463248223549627</v>
      </c>
      <c r="P20" s="55">
        <v>88.116627085764719</v>
      </c>
      <c r="Q20" s="55">
        <v>106.8068810941444</v>
      </c>
      <c r="R20" s="55">
        <v>93.77381290879346</v>
      </c>
      <c r="S20" s="55">
        <v>94.615521058189742</v>
      </c>
      <c r="T20" s="55">
        <v>86.59770700494478</v>
      </c>
      <c r="U20" s="55">
        <v>98.885520085437435</v>
      </c>
      <c r="V20" s="55">
        <v>116.2214497877478</v>
      </c>
      <c r="W20" s="55">
        <v>103.84422874296079</v>
      </c>
      <c r="DA20" s="101" t="s">
        <v>1005</v>
      </c>
    </row>
    <row r="21" spans="1:105" x14ac:dyDescent="0.25">
      <c r="A21" s="61" t="s">
        <v>129</v>
      </c>
      <c r="B21" s="55">
        <v>168.69681857248091</v>
      </c>
      <c r="C21" s="55">
        <v>167.39277729990661</v>
      </c>
      <c r="D21" s="55">
        <v>178.60412725690091</v>
      </c>
      <c r="E21" s="55">
        <v>182.8150472912973</v>
      </c>
      <c r="F21" s="55">
        <v>166.524763542253</v>
      </c>
      <c r="G21" s="55">
        <v>187.95494410979259</v>
      </c>
      <c r="H21" s="55">
        <v>186.17747205465841</v>
      </c>
      <c r="I21" s="55">
        <v>189.39011177954109</v>
      </c>
      <c r="J21" s="55">
        <v>174.164832329907</v>
      </c>
      <c r="K21" s="55">
        <v>168.08211521888299</v>
      </c>
      <c r="L21" s="55">
        <v>100.5451418743381</v>
      </c>
      <c r="M21" s="55">
        <v>74.030266551860578</v>
      </c>
      <c r="N21" s="55">
        <v>71.570163370424069</v>
      </c>
      <c r="O21" s="55">
        <v>67.296044711864795</v>
      </c>
      <c r="P21" s="55">
        <v>53.097076526108062</v>
      </c>
      <c r="Q21" s="55">
        <v>53.232932072133629</v>
      </c>
      <c r="R21" s="55">
        <v>69.718916594835861</v>
      </c>
      <c r="S21" s="55">
        <v>67.653052450381963</v>
      </c>
      <c r="T21" s="55">
        <v>58.345227858848162</v>
      </c>
      <c r="U21" s="55">
        <v>72.893379191660912</v>
      </c>
      <c r="V21" s="55">
        <v>67.930094582903351</v>
      </c>
      <c r="W21" s="55">
        <v>45.316251074685937</v>
      </c>
      <c r="DA21" s="101" t="s">
        <v>1006</v>
      </c>
    </row>
    <row r="22" spans="1:105" x14ac:dyDescent="0.25">
      <c r="A22" s="61" t="s">
        <v>176</v>
      </c>
      <c r="B22" s="55">
        <v>7.1935532137952647</v>
      </c>
      <c r="C22" s="55">
        <v>6.7504290847625859</v>
      </c>
      <c r="D22" s="55">
        <v>6.7664971426039244</v>
      </c>
      <c r="E22" s="55">
        <v>5.8848957931444508</v>
      </c>
      <c r="F22" s="55">
        <v>6.771019068397667</v>
      </c>
      <c r="G22" s="55">
        <v>5.7021405247618482</v>
      </c>
      <c r="H22" s="55">
        <v>5.3737676831458776</v>
      </c>
      <c r="I22" s="55">
        <v>4.9962057227558727</v>
      </c>
      <c r="J22" s="55">
        <v>3.9440131893854198</v>
      </c>
      <c r="K22" s="55">
        <v>4.1356942614271377</v>
      </c>
      <c r="L22" s="55">
        <v>3.021589368354979</v>
      </c>
      <c r="M22" s="55">
        <v>2.2419218139885242</v>
      </c>
      <c r="N22" s="55">
        <v>1.667893622329979</v>
      </c>
      <c r="O22" s="55">
        <v>1.0854603099101809</v>
      </c>
      <c r="P22" s="55">
        <v>0.88510654470013028</v>
      </c>
      <c r="Q22" s="55">
        <v>1.5985403977366091</v>
      </c>
      <c r="R22" s="55">
        <v>1.6880327964039139</v>
      </c>
      <c r="S22" s="55">
        <v>1.0898737893572461</v>
      </c>
      <c r="T22" s="55">
        <v>1.3683091877974041</v>
      </c>
      <c r="U22" s="55">
        <v>1.4829950354703381</v>
      </c>
      <c r="V22" s="55">
        <v>1.7718331350315419</v>
      </c>
      <c r="W22" s="55">
        <v>2.3771748059891009</v>
      </c>
      <c r="DA22" s="101" t="s">
        <v>1007</v>
      </c>
    </row>
    <row r="23" spans="1:105" x14ac:dyDescent="0.25">
      <c r="A23" s="61" t="s">
        <v>171</v>
      </c>
      <c r="B23" s="55">
        <v>95.53834909706282</v>
      </c>
      <c r="C23" s="55">
        <v>109.86913155620211</v>
      </c>
      <c r="D23" s="55">
        <v>116.07910576083771</v>
      </c>
      <c r="E23" s="55">
        <v>119.90060189153481</v>
      </c>
      <c r="F23" s="55">
        <v>120.04393809092061</v>
      </c>
      <c r="G23" s="55">
        <v>122.527944969731</v>
      </c>
      <c r="H23" s="55">
        <v>128.6184866721423</v>
      </c>
      <c r="I23" s="55">
        <v>128.26027515024359</v>
      </c>
      <c r="J23" s="55">
        <v>124.12820292327881</v>
      </c>
      <c r="K23" s="55">
        <v>137.33637145283001</v>
      </c>
      <c r="L23" s="55">
        <v>159.4773860703099</v>
      </c>
      <c r="M23" s="55">
        <v>134.94789337889989</v>
      </c>
      <c r="N23" s="55">
        <v>162.98847807356131</v>
      </c>
      <c r="O23" s="55">
        <v>183.17093723106129</v>
      </c>
      <c r="P23" s="55">
        <v>171.46749785000841</v>
      </c>
      <c r="Q23" s="55">
        <v>154.03172828863791</v>
      </c>
      <c r="R23" s="55">
        <v>171.7540842643962</v>
      </c>
      <c r="S23" s="55">
        <v>165.61573516723669</v>
      </c>
      <c r="T23" s="55">
        <v>161.31650902799561</v>
      </c>
      <c r="U23" s="55">
        <v>159.07136715372769</v>
      </c>
      <c r="V23" s="55">
        <v>142.85374032659041</v>
      </c>
      <c r="W23" s="55">
        <v>156.30077386028921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37.564958420851617</v>
      </c>
      <c r="C25" s="258">
        <v>37.543942548990309</v>
      </c>
      <c r="D25" s="258">
        <v>38.084405333176413</v>
      </c>
      <c r="E25" s="258">
        <v>37.450243457317733</v>
      </c>
      <c r="F25" s="258">
        <v>36.648233727836079</v>
      </c>
      <c r="G25" s="258">
        <v>36.031386117430827</v>
      </c>
      <c r="H25" s="258">
        <v>35.802241360305032</v>
      </c>
      <c r="I25" s="258">
        <v>36.619891950397047</v>
      </c>
      <c r="J25" s="258">
        <v>36.302264395014092</v>
      </c>
      <c r="K25" s="258">
        <v>35.443350384323672</v>
      </c>
      <c r="L25" s="258">
        <v>36.157787043956112</v>
      </c>
      <c r="M25" s="258">
        <v>33.985054596655289</v>
      </c>
      <c r="N25" s="258">
        <v>35.929808161294552</v>
      </c>
      <c r="O25" s="258">
        <v>34.734600052448208</v>
      </c>
      <c r="P25" s="258">
        <v>33.53721963204066</v>
      </c>
      <c r="Q25" s="258">
        <v>35.892647496977212</v>
      </c>
      <c r="R25" s="258">
        <v>36.100602824035512</v>
      </c>
      <c r="S25" s="258">
        <v>35.709381168264237</v>
      </c>
      <c r="T25" s="258">
        <v>33.362972514285502</v>
      </c>
      <c r="U25" s="258">
        <v>36.309088743295163</v>
      </c>
      <c r="V25" s="258">
        <v>36.819201146605863</v>
      </c>
      <c r="W25" s="258">
        <v>34.307031404009692</v>
      </c>
      <c r="DA25" s="273" t="s">
        <v>1010</v>
      </c>
    </row>
    <row r="26" spans="1:105" x14ac:dyDescent="0.25">
      <c r="A26" s="257" t="s">
        <v>177</v>
      </c>
      <c r="B26" s="258">
        <v>20.594534991772431</v>
      </c>
      <c r="C26" s="258">
        <v>21.080522181971929</v>
      </c>
      <c r="D26" s="258">
        <v>22.219862784283482</v>
      </c>
      <c r="E26" s="258">
        <v>18.866494928246301</v>
      </c>
      <c r="F26" s="258">
        <v>19.421628799453199</v>
      </c>
      <c r="G26" s="258">
        <v>17.65546884215026</v>
      </c>
      <c r="H26" s="258">
        <v>20.640420742032749</v>
      </c>
      <c r="I26" s="258">
        <v>22.17358173538307</v>
      </c>
      <c r="J26" s="258">
        <v>21.677489439469671</v>
      </c>
      <c r="K26" s="258">
        <v>20.861329460179391</v>
      </c>
      <c r="L26" s="258">
        <v>21.486453264841529</v>
      </c>
      <c r="M26" s="258">
        <v>19.388941164960219</v>
      </c>
      <c r="N26" s="258">
        <v>20.854073562447251</v>
      </c>
      <c r="O26" s="258">
        <v>19.88125375777479</v>
      </c>
      <c r="P26" s="258">
        <v>19.931082238495961</v>
      </c>
      <c r="Q26" s="258">
        <v>20.433782974584339</v>
      </c>
      <c r="R26" s="258">
        <v>20.834548978853981</v>
      </c>
      <c r="S26" s="258">
        <v>20.265283266367611</v>
      </c>
      <c r="T26" s="258">
        <v>19.698937519070331</v>
      </c>
      <c r="U26" s="258">
        <v>19.954404799484301</v>
      </c>
      <c r="V26" s="258">
        <v>19.40814726154543</v>
      </c>
      <c r="W26" s="258">
        <v>21.321636713379331</v>
      </c>
      <c r="DA26" s="273" t="s">
        <v>1011</v>
      </c>
    </row>
    <row r="27" spans="1:105" x14ac:dyDescent="0.25">
      <c r="A27" s="129" t="s">
        <v>33</v>
      </c>
      <c r="B27" s="259">
        <v>29.862075738070029</v>
      </c>
      <c r="C27" s="259">
        <v>30.56675716385929</v>
      </c>
      <c r="D27" s="259">
        <v>32.21880103721103</v>
      </c>
      <c r="E27" s="259">
        <v>27.35641764595713</v>
      </c>
      <c r="F27" s="259">
        <v>28.161361759207129</v>
      </c>
      <c r="G27" s="259">
        <v>25.600429821117871</v>
      </c>
      <c r="H27" s="259">
        <v>29.928610075947489</v>
      </c>
      <c r="I27" s="259">
        <v>32.151693516305457</v>
      </c>
      <c r="J27" s="259">
        <v>31.432359687231031</v>
      </c>
      <c r="K27" s="259">
        <v>30.24892771726012</v>
      </c>
      <c r="L27" s="259">
        <v>31.155357234020229</v>
      </c>
      <c r="M27" s="259">
        <v>28.113964689192319</v>
      </c>
      <c r="N27" s="259">
        <v>30.238406665548531</v>
      </c>
      <c r="O27" s="259">
        <v>28.827817948773429</v>
      </c>
      <c r="P27" s="259">
        <v>28.90006924581915</v>
      </c>
      <c r="Q27" s="259">
        <v>29.62898531314729</v>
      </c>
      <c r="R27" s="259">
        <v>30.21009601933827</v>
      </c>
      <c r="S27" s="259">
        <v>29.38466073623303</v>
      </c>
      <c r="T27" s="259">
        <v>28.563459402651979</v>
      </c>
      <c r="U27" s="259">
        <v>28.933886959252241</v>
      </c>
      <c r="V27" s="259">
        <v>28.14181352924086</v>
      </c>
      <c r="W27" s="259">
        <v>30.916373234400019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1.0000000000000002</v>
      </c>
      <c r="G31" s="236">
        <f t="shared" si="6"/>
        <v>0.99999999999999967</v>
      </c>
      <c r="H31" s="236">
        <f t="shared" si="6"/>
        <v>1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0.99999999999999989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2.3252323558689295E-2</v>
      </c>
      <c r="C32" s="245">
        <f t="shared" si="8"/>
        <v>2.3465866897254516E-2</v>
      </c>
      <c r="D32" s="245">
        <f t="shared" si="8"/>
        <v>2.3943347335923532E-2</v>
      </c>
      <c r="E32" s="245">
        <f t="shared" si="8"/>
        <v>2.0837306355190124E-2</v>
      </c>
      <c r="F32" s="245">
        <f t="shared" si="8"/>
        <v>2.1866869374794776E-2</v>
      </c>
      <c r="G32" s="245">
        <f t="shared" si="8"/>
        <v>2.000252915063816E-2</v>
      </c>
      <c r="H32" s="245">
        <f t="shared" si="8"/>
        <v>2.2908556982287866E-2</v>
      </c>
      <c r="I32" s="245">
        <f t="shared" si="8"/>
        <v>2.3891864940316851E-2</v>
      </c>
      <c r="J32" s="245">
        <f t="shared" si="8"/>
        <v>2.3868864659959427E-2</v>
      </c>
      <c r="K32" s="245">
        <f t="shared" si="8"/>
        <v>2.3139261416222932E-2</v>
      </c>
      <c r="L32" s="245">
        <f t="shared" si="8"/>
        <v>2.4181655785353175E-2</v>
      </c>
      <c r="M32" s="245">
        <f t="shared" si="8"/>
        <v>2.4184213149550157E-2</v>
      </c>
      <c r="N32" s="245">
        <f t="shared" si="8"/>
        <v>2.4250110788612847E-2</v>
      </c>
      <c r="O32" s="245">
        <f t="shared" si="8"/>
        <v>2.3601217608831614E-2</v>
      </c>
      <c r="P32" s="245">
        <f t="shared" si="8"/>
        <v>2.4726063343265926E-2</v>
      </c>
      <c r="Q32" s="245">
        <f t="shared" si="8"/>
        <v>2.4506712136565682E-2</v>
      </c>
      <c r="R32" s="245">
        <f t="shared" si="8"/>
        <v>2.4062699818314763E-2</v>
      </c>
      <c r="S32" s="245">
        <f t="shared" si="8"/>
        <v>2.3815575309256098E-2</v>
      </c>
      <c r="T32" s="245">
        <f t="shared" si="8"/>
        <v>2.4524270055751887E-2</v>
      </c>
      <c r="U32" s="245">
        <f t="shared" si="8"/>
        <v>2.3303357799996822E-2</v>
      </c>
      <c r="V32" s="245">
        <f t="shared" si="8"/>
        <v>2.3213424308233036E-2</v>
      </c>
      <c r="W32" s="245">
        <f t="shared" si="8"/>
        <v>2.6432869560257574E-2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1.5114010313148043E-2</v>
      </c>
      <c r="C33" s="246">
        <f t="shared" si="9"/>
        <v>1.5252813483215432E-2</v>
      </c>
      <c r="D33" s="246">
        <f t="shared" si="9"/>
        <v>1.5563175768350293E-2</v>
      </c>
      <c r="E33" s="246">
        <f t="shared" si="9"/>
        <v>1.3544249130873574E-2</v>
      </c>
      <c r="F33" s="246">
        <f t="shared" si="9"/>
        <v>1.4213465093616606E-2</v>
      </c>
      <c r="G33" s="246">
        <f t="shared" si="9"/>
        <v>1.3001643947914792E-2</v>
      </c>
      <c r="H33" s="246">
        <f t="shared" si="9"/>
        <v>1.4890562038487105E-2</v>
      </c>
      <c r="I33" s="246">
        <f t="shared" si="9"/>
        <v>1.5529712211205946E-2</v>
      </c>
      <c r="J33" s="246">
        <f t="shared" si="9"/>
        <v>1.5514762028973622E-2</v>
      </c>
      <c r="K33" s="246">
        <f t="shared" si="9"/>
        <v>1.5040519920544901E-2</v>
      </c>
      <c r="L33" s="246">
        <f t="shared" si="9"/>
        <v>1.5718076260479569E-2</v>
      </c>
      <c r="M33" s="246">
        <f t="shared" si="9"/>
        <v>1.5719738547207599E-2</v>
      </c>
      <c r="N33" s="246">
        <f t="shared" si="9"/>
        <v>1.5762572012598345E-2</v>
      </c>
      <c r="O33" s="246">
        <f t="shared" si="9"/>
        <v>1.5340791445740545E-2</v>
      </c>
      <c r="P33" s="246">
        <f t="shared" si="9"/>
        <v>1.6071941173122845E-2</v>
      </c>
      <c r="Q33" s="246">
        <f t="shared" si="9"/>
        <v>1.5929362888767683E-2</v>
      </c>
      <c r="R33" s="246">
        <f t="shared" si="9"/>
        <v>1.5640754881904587E-2</v>
      </c>
      <c r="S33" s="246">
        <f t="shared" si="9"/>
        <v>1.5480123951016469E-2</v>
      </c>
      <c r="T33" s="246">
        <f t="shared" si="9"/>
        <v>1.5940775536238721E-2</v>
      </c>
      <c r="U33" s="246">
        <f t="shared" si="9"/>
        <v>1.5147182569997928E-2</v>
      </c>
      <c r="V33" s="246">
        <f t="shared" si="9"/>
        <v>1.5088725800351473E-2</v>
      </c>
      <c r="W33" s="246">
        <f t="shared" si="9"/>
        <v>1.7181365214167417E-2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2.0927091202820356E-2</v>
      </c>
      <c r="C34" s="246">
        <f t="shared" si="10"/>
        <v>2.1119280207529057E-2</v>
      </c>
      <c r="D34" s="246">
        <f t="shared" si="10"/>
        <v>2.1549012602331177E-2</v>
      </c>
      <c r="E34" s="246">
        <f t="shared" si="10"/>
        <v>1.8753575719671109E-2</v>
      </c>
      <c r="F34" s="246">
        <f t="shared" si="10"/>
        <v>1.9680182437315289E-2</v>
      </c>
      <c r="G34" s="246">
        <f t="shared" si="10"/>
        <v>1.8002276235574339E-2</v>
      </c>
      <c r="H34" s="246">
        <f t="shared" si="10"/>
        <v>2.0617701284059077E-2</v>
      </c>
      <c r="I34" s="246">
        <f t="shared" si="10"/>
        <v>2.1502678446285173E-2</v>
      </c>
      <c r="J34" s="246">
        <f t="shared" si="10"/>
        <v>2.148197819396349E-2</v>
      </c>
      <c r="K34" s="246">
        <f t="shared" si="10"/>
        <v>2.0825335274600648E-2</v>
      </c>
      <c r="L34" s="246">
        <f t="shared" si="10"/>
        <v>2.1763490206817872E-2</v>
      </c>
      <c r="M34" s="246">
        <f t="shared" si="10"/>
        <v>2.1765791834595146E-2</v>
      </c>
      <c r="N34" s="246">
        <f t="shared" si="10"/>
        <v>2.1825099709751564E-2</v>
      </c>
      <c r="O34" s="246">
        <f t="shared" si="10"/>
        <v>2.1241095847948439E-2</v>
      </c>
      <c r="P34" s="246">
        <f t="shared" si="10"/>
        <v>2.2253457008939343E-2</v>
      </c>
      <c r="Q34" s="246">
        <f t="shared" si="10"/>
        <v>2.2056040922909109E-2</v>
      </c>
      <c r="R34" s="246">
        <f t="shared" si="10"/>
        <v>2.1656429836483283E-2</v>
      </c>
      <c r="S34" s="246">
        <f t="shared" si="10"/>
        <v>2.143401777833049E-2</v>
      </c>
      <c r="T34" s="246">
        <f t="shared" si="10"/>
        <v>2.2071843050176686E-2</v>
      </c>
      <c r="U34" s="246">
        <f t="shared" si="10"/>
        <v>2.0973022019997137E-2</v>
      </c>
      <c r="V34" s="246">
        <f t="shared" si="10"/>
        <v>2.0892081877409725E-2</v>
      </c>
      <c r="W34" s="246">
        <f t="shared" si="10"/>
        <v>2.3789582604231804E-2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0.16980410694814663</v>
      </c>
      <c r="C35" s="247">
        <f t="shared" si="11"/>
        <v>0.16846834375295131</v>
      </c>
      <c r="D35" s="247">
        <f t="shared" si="11"/>
        <v>0.16691510239005655</v>
      </c>
      <c r="E35" s="247">
        <f t="shared" si="11"/>
        <v>0.16407995110260626</v>
      </c>
      <c r="F35" s="247">
        <f t="shared" si="11"/>
        <v>0.16534433231839571</v>
      </c>
      <c r="G35" s="247">
        <f t="shared" si="11"/>
        <v>0.16207795609714182</v>
      </c>
      <c r="H35" s="247">
        <f t="shared" si="11"/>
        <v>0.16204893918861485</v>
      </c>
      <c r="I35" s="247">
        <f t="shared" si="11"/>
        <v>0.16253813368294229</v>
      </c>
      <c r="J35" s="247">
        <f t="shared" si="11"/>
        <v>0.16355000518333879</v>
      </c>
      <c r="K35" s="247">
        <f t="shared" si="11"/>
        <v>0.16109714565847591</v>
      </c>
      <c r="L35" s="247">
        <f t="shared" si="11"/>
        <v>0.16698531841198641</v>
      </c>
      <c r="M35" s="247">
        <f t="shared" si="11"/>
        <v>0.17238445547968959</v>
      </c>
      <c r="N35" s="247">
        <f t="shared" si="11"/>
        <v>0.16977953271948196</v>
      </c>
      <c r="O35" s="247">
        <f t="shared" si="11"/>
        <v>0.16665581001544655</v>
      </c>
      <c r="P35" s="247">
        <f t="shared" si="11"/>
        <v>0.17021981099312061</v>
      </c>
      <c r="Q35" s="247">
        <f t="shared" si="11"/>
        <v>0.17375771865356326</v>
      </c>
      <c r="R35" s="247">
        <f t="shared" si="11"/>
        <v>0.16929930226324844</v>
      </c>
      <c r="S35" s="247">
        <f t="shared" si="11"/>
        <v>0.16977696530106043</v>
      </c>
      <c r="T35" s="247">
        <f t="shared" si="11"/>
        <v>0.16993452873319059</v>
      </c>
      <c r="U35" s="247">
        <f t="shared" si="11"/>
        <v>0.17085754682682985</v>
      </c>
      <c r="V35" s="247">
        <f t="shared" si="11"/>
        <v>0.1758385946761778</v>
      </c>
      <c r="W35" s="247">
        <f t="shared" si="11"/>
        <v>0.17838409913376799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0.22071815415711871</v>
      </c>
      <c r="C36" s="260">
        <f t="shared" si="12"/>
        <v>0.21748829614669263</v>
      </c>
      <c r="D36" s="260">
        <f t="shared" si="12"/>
        <v>0.21356567248944092</v>
      </c>
      <c r="E36" s="260">
        <f t="shared" si="12"/>
        <v>0.21525129595069684</v>
      </c>
      <c r="F36" s="260">
        <f t="shared" si="12"/>
        <v>0.2147310193294073</v>
      </c>
      <c r="G36" s="260">
        <f t="shared" si="12"/>
        <v>0.21243565138417206</v>
      </c>
      <c r="H36" s="260">
        <f t="shared" si="12"/>
        <v>0.2067903078291094</v>
      </c>
      <c r="I36" s="260">
        <f t="shared" si="12"/>
        <v>0.205339279747003</v>
      </c>
      <c r="J36" s="260">
        <f t="shared" si="12"/>
        <v>0.20801625339597293</v>
      </c>
      <c r="K36" s="260">
        <f t="shared" si="12"/>
        <v>0.2045893651029933</v>
      </c>
      <c r="L36" s="260">
        <f t="shared" si="12"/>
        <v>0.21176974820981737</v>
      </c>
      <c r="M36" s="260">
        <f t="shared" si="12"/>
        <v>0.22060056320479635</v>
      </c>
      <c r="N36" s="260">
        <f t="shared" si="12"/>
        <v>0.21742951650628145</v>
      </c>
      <c r="O36" s="260">
        <f t="shared" si="12"/>
        <v>0.21458221262371507</v>
      </c>
      <c r="P36" s="260">
        <f t="shared" si="12"/>
        <v>0.21651696323890041</v>
      </c>
      <c r="Q36" s="260">
        <f t="shared" si="12"/>
        <v>0.224017807591324</v>
      </c>
      <c r="R36" s="260">
        <f t="shared" si="12"/>
        <v>0.21697788907754451</v>
      </c>
      <c r="S36" s="260">
        <f t="shared" si="12"/>
        <v>0.21838937149424509</v>
      </c>
      <c r="T36" s="260">
        <f t="shared" si="12"/>
        <v>0.21615177222503862</v>
      </c>
      <c r="U36" s="260">
        <f t="shared" si="12"/>
        <v>0.22066621741175182</v>
      </c>
      <c r="V36" s="260">
        <f t="shared" si="12"/>
        <v>0.22917659803721918</v>
      </c>
      <c r="W36" s="260">
        <f t="shared" si="12"/>
        <v>0.22133377402411006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0.45080328837555245</v>
      </c>
      <c r="C37" s="260">
        <f t="shared" si="13"/>
        <v>0.4549218370218005</v>
      </c>
      <c r="D37" s="260">
        <f t="shared" si="13"/>
        <v>0.45876406467441039</v>
      </c>
      <c r="E37" s="260">
        <f t="shared" si="13"/>
        <v>0.47511989080866884</v>
      </c>
      <c r="F37" s="260">
        <f t="shared" si="13"/>
        <v>0.46932794660476884</v>
      </c>
      <c r="G37" s="260">
        <f t="shared" si="13"/>
        <v>0.48465246597168343</v>
      </c>
      <c r="H37" s="260">
        <f t="shared" si="13"/>
        <v>0.47688148708787181</v>
      </c>
      <c r="I37" s="260">
        <f t="shared" si="13"/>
        <v>0.47320560802395195</v>
      </c>
      <c r="J37" s="260">
        <f t="shared" si="13"/>
        <v>0.46911736148056032</v>
      </c>
      <c r="K37" s="260">
        <f t="shared" si="13"/>
        <v>0.47930363066132664</v>
      </c>
      <c r="L37" s="260">
        <f t="shared" si="13"/>
        <v>0.45964333250202488</v>
      </c>
      <c r="M37" s="260">
        <f t="shared" si="13"/>
        <v>0.44370367892348705</v>
      </c>
      <c r="N37" s="260">
        <f t="shared" si="13"/>
        <v>0.44975950323664776</v>
      </c>
      <c r="O37" s="260">
        <f t="shared" si="13"/>
        <v>0.45952212889183897</v>
      </c>
      <c r="P37" s="260">
        <f t="shared" si="13"/>
        <v>0.44802737017242006</v>
      </c>
      <c r="Q37" s="260">
        <f t="shared" si="13"/>
        <v>0.43664402444076128</v>
      </c>
      <c r="R37" s="260">
        <f t="shared" si="13"/>
        <v>0.45171519994727932</v>
      </c>
      <c r="S37" s="260">
        <f t="shared" si="13"/>
        <v>0.45079044892878428</v>
      </c>
      <c r="T37" s="260">
        <f t="shared" si="13"/>
        <v>0.44975698438049722</v>
      </c>
      <c r="U37" s="260">
        <f t="shared" si="13"/>
        <v>0.44955659411414739</v>
      </c>
      <c r="V37" s="260">
        <f t="shared" si="13"/>
        <v>0.4348794925377939</v>
      </c>
      <c r="W37" s="260">
        <f t="shared" si="13"/>
        <v>0.42558664982724947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4.2412832725735559E-2</v>
      </c>
      <c r="C38" s="260">
        <f t="shared" si="14"/>
        <v>4.1792188592283043E-2</v>
      </c>
      <c r="D38" s="260">
        <f t="shared" si="14"/>
        <v>4.1038423766474499E-2</v>
      </c>
      <c r="E38" s="260">
        <f t="shared" si="14"/>
        <v>4.1362330362077551E-2</v>
      </c>
      <c r="F38" s="260">
        <f t="shared" si="14"/>
        <v>4.1262354873454386E-2</v>
      </c>
      <c r="G38" s="260">
        <f t="shared" si="14"/>
        <v>4.0821280793811691E-2</v>
      </c>
      <c r="H38" s="260">
        <f t="shared" si="14"/>
        <v>3.9736480982964548E-2</v>
      </c>
      <c r="I38" s="260">
        <f t="shared" si="14"/>
        <v>3.9457653844518478E-2</v>
      </c>
      <c r="J38" s="260">
        <f t="shared" si="14"/>
        <v>3.9972056640330836E-2</v>
      </c>
      <c r="K38" s="260">
        <f t="shared" si="14"/>
        <v>3.9313551496089477E-2</v>
      </c>
      <c r="L38" s="260">
        <f t="shared" si="14"/>
        <v>4.0693321949405413E-2</v>
      </c>
      <c r="M38" s="260">
        <f t="shared" si="14"/>
        <v>4.2390236644276144E-2</v>
      </c>
      <c r="N38" s="260">
        <f t="shared" si="14"/>
        <v>4.1780893594524686E-2</v>
      </c>
      <c r="O38" s="260">
        <f t="shared" si="14"/>
        <v>4.1233760424841434E-2</v>
      </c>
      <c r="P38" s="260">
        <f t="shared" si="14"/>
        <v>4.1605538879229235E-2</v>
      </c>
      <c r="Q38" s="260">
        <f t="shared" si="14"/>
        <v>4.3046888631523124E-2</v>
      </c>
      <c r="R38" s="260">
        <f t="shared" si="14"/>
        <v>4.1694109620354018E-2</v>
      </c>
      <c r="S38" s="260">
        <f t="shared" si="14"/>
        <v>4.1965337729629619E-2</v>
      </c>
      <c r="T38" s="260">
        <f t="shared" si="14"/>
        <v>4.153536438251413E-2</v>
      </c>
      <c r="U38" s="260">
        <f t="shared" si="14"/>
        <v>4.2402852647286743E-2</v>
      </c>
      <c r="V38" s="260">
        <f t="shared" si="14"/>
        <v>4.4038193207643885E-2</v>
      </c>
      <c r="W38" s="260">
        <f t="shared" si="14"/>
        <v>4.2531129213584734E-2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2.3252323558689295E-2</v>
      </c>
      <c r="C39" s="260">
        <f t="shared" si="15"/>
        <v>2.3465866897254516E-2</v>
      </c>
      <c r="D39" s="260">
        <f t="shared" si="15"/>
        <v>2.3943347335923532E-2</v>
      </c>
      <c r="E39" s="260">
        <f t="shared" si="15"/>
        <v>2.0837306355190124E-2</v>
      </c>
      <c r="F39" s="260">
        <f t="shared" si="15"/>
        <v>2.1866869374794776E-2</v>
      </c>
      <c r="G39" s="260">
        <f t="shared" si="15"/>
        <v>2.000252915063816E-2</v>
      </c>
      <c r="H39" s="260">
        <f t="shared" si="15"/>
        <v>2.2908556982287866E-2</v>
      </c>
      <c r="I39" s="260">
        <f t="shared" si="15"/>
        <v>2.3891864940316851E-2</v>
      </c>
      <c r="J39" s="260">
        <f t="shared" si="15"/>
        <v>2.3868864659959427E-2</v>
      </c>
      <c r="K39" s="260">
        <f t="shared" si="15"/>
        <v>2.3139261416222932E-2</v>
      </c>
      <c r="L39" s="260">
        <f t="shared" si="15"/>
        <v>2.4181655785353175E-2</v>
      </c>
      <c r="M39" s="260">
        <f t="shared" si="15"/>
        <v>2.4184213149550157E-2</v>
      </c>
      <c r="N39" s="260">
        <f t="shared" si="15"/>
        <v>2.4250110788612847E-2</v>
      </c>
      <c r="O39" s="260">
        <f t="shared" si="15"/>
        <v>2.3601217608831614E-2</v>
      </c>
      <c r="P39" s="260">
        <f t="shared" si="15"/>
        <v>2.4726063343265926E-2</v>
      </c>
      <c r="Q39" s="260">
        <f t="shared" si="15"/>
        <v>2.4506712136565682E-2</v>
      </c>
      <c r="R39" s="260">
        <f t="shared" si="15"/>
        <v>2.4062699818314763E-2</v>
      </c>
      <c r="S39" s="260">
        <f t="shared" si="15"/>
        <v>2.3815575309256098E-2</v>
      </c>
      <c r="T39" s="260">
        <f t="shared" si="15"/>
        <v>2.4524270055751887E-2</v>
      </c>
      <c r="U39" s="260">
        <f t="shared" si="15"/>
        <v>2.3303357799996822E-2</v>
      </c>
      <c r="V39" s="260">
        <f t="shared" si="15"/>
        <v>2.3213424308233036E-2</v>
      </c>
      <c r="W39" s="260">
        <f t="shared" si="15"/>
        <v>2.6432869560257574E-2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3.3715869160099478E-2</v>
      </c>
      <c r="C40" s="262">
        <f t="shared" si="16"/>
        <v>3.4025507001019036E-2</v>
      </c>
      <c r="D40" s="262">
        <f t="shared" si="16"/>
        <v>3.4717853637089104E-2</v>
      </c>
      <c r="E40" s="262">
        <f t="shared" si="16"/>
        <v>3.0214094215025671E-2</v>
      </c>
      <c r="F40" s="262">
        <f t="shared" si="16"/>
        <v>3.1706960593452412E-2</v>
      </c>
      <c r="G40" s="262">
        <f t="shared" si="16"/>
        <v>2.9003667268425324E-2</v>
      </c>
      <c r="H40" s="262">
        <f t="shared" si="16"/>
        <v>3.3217407624317408E-2</v>
      </c>
      <c r="I40" s="262">
        <f t="shared" si="16"/>
        <v>3.4643204163459437E-2</v>
      </c>
      <c r="J40" s="262">
        <f t="shared" si="16"/>
        <v>3.4609853756941179E-2</v>
      </c>
      <c r="K40" s="262">
        <f t="shared" si="16"/>
        <v>3.3551929053523256E-2</v>
      </c>
      <c r="L40" s="262">
        <f t="shared" si="16"/>
        <v>3.5063400888762114E-2</v>
      </c>
      <c r="M40" s="262">
        <f t="shared" si="16"/>
        <v>3.5067109066847728E-2</v>
      </c>
      <c r="N40" s="262">
        <f t="shared" si="16"/>
        <v>3.516266064348865E-2</v>
      </c>
      <c r="O40" s="262">
        <f t="shared" si="16"/>
        <v>3.4221765532805822E-2</v>
      </c>
      <c r="P40" s="262">
        <f t="shared" si="16"/>
        <v>3.5852791847735599E-2</v>
      </c>
      <c r="Q40" s="262">
        <f t="shared" si="16"/>
        <v>3.5534732598020237E-2</v>
      </c>
      <c r="R40" s="262">
        <f t="shared" si="16"/>
        <v>3.4890914736556401E-2</v>
      </c>
      <c r="S40" s="262">
        <f t="shared" si="16"/>
        <v>3.453258419842134E-2</v>
      </c>
      <c r="T40" s="262">
        <f t="shared" si="16"/>
        <v>3.5560191580840235E-2</v>
      </c>
      <c r="U40" s="262">
        <f t="shared" si="16"/>
        <v>3.3789868809995398E-2</v>
      </c>
      <c r="V40" s="262">
        <f t="shared" si="16"/>
        <v>3.3659465246937886E-2</v>
      </c>
      <c r="W40" s="262">
        <f t="shared" si="16"/>
        <v>3.8327660862373471E-2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122.34803499436488</v>
      </c>
      <c r="D44" s="237">
        <f t="shared" si="17"/>
        <v>127.81056238438666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154.4265560823676</v>
      </c>
      <c r="H44" s="237">
        <f t="shared" si="17"/>
        <v>146.93020171673029</v>
      </c>
      <c r="I44" s="237">
        <f t="shared" si="17"/>
        <v>137.23851152262932</v>
      </c>
      <c r="J44" s="237">
        <f t="shared" si="17"/>
        <v>139.32723127138391</v>
      </c>
      <c r="K44" s="237">
        <f t="shared" si="17"/>
        <v>156.36023356757096</v>
      </c>
      <c r="L44" s="237">
        <f t="shared" si="17"/>
        <v>144.58585940593423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132.95020410976792</v>
      </c>
      <c r="P44" s="237">
        <f t="shared" si="17"/>
        <v>130.15939664117735</v>
      </c>
      <c r="Q44" s="237">
        <f t="shared" si="17"/>
        <v>132.91816907674809</v>
      </c>
      <c r="R44" s="237">
        <f t="shared" si="17"/>
        <v>135.38540863538174</v>
      </c>
      <c r="S44" s="237">
        <f t="shared" si="17"/>
        <v>124.90211009173743</v>
      </c>
      <c r="T44" s="237">
        <f t="shared" si="17"/>
        <v>141.27985612939969</v>
      </c>
      <c r="U44" s="237">
        <f t="shared" si="17"/>
        <v>142.01198459584057</v>
      </c>
      <c r="V44" s="237">
        <f t="shared" si="17"/>
        <v>148.62601044661244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2.9404628983141241</v>
      </c>
      <c r="C45" s="248">
        <f>IF(C$6=0,0,C$6/AGR!C$5*1000)</f>
        <v>2.8710027043184034</v>
      </c>
      <c r="D45" s="248">
        <f>IF(D$6=0,0,D$6/AGR!D$5*1000)</f>
        <v>3.0602126883690923</v>
      </c>
      <c r="E45" s="248">
        <f>IF(E$6=0,0,E$6/AGR!E$5*1000)</f>
        <v>2.822056417979129</v>
      </c>
      <c r="F45" s="248">
        <f>IF(F$6=0,0,F$6/AGR!F$5*1000)</f>
        <v>2.9486080512686983</v>
      </c>
      <c r="G45" s="248">
        <f>IF(G$6=0,0,G$6/AGR!G$5*1000)</f>
        <v>3.088921689670217</v>
      </c>
      <c r="H45" s="248">
        <f>IF(H$6=0,0,H$6/AGR!H$5*1000)</f>
        <v>3.3659588984467677</v>
      </c>
      <c r="I45" s="248">
        <f>IF(I$6=0,0,I$6/AGR!I$5*1000)</f>
        <v>3.2788839819087774</v>
      </c>
      <c r="J45" s="248">
        <f>IF(J$6=0,0,J$6/AGR!J$5*1000)</f>
        <v>3.3255828266635303</v>
      </c>
      <c r="K45" s="248">
        <f>IF(K$6=0,0,K$6/AGR!K$5*1000)</f>
        <v>3.6180603196217009</v>
      </c>
      <c r="L45" s="248">
        <f>IF(L$6=0,0,L$6/AGR!L$5*1000)</f>
        <v>3.49632548358377</v>
      </c>
      <c r="M45" s="248">
        <f>IF(M$6=0,0,M$6/AGR!M$5*1000)</f>
        <v>3.2116699377593685</v>
      </c>
      <c r="N45" s="248">
        <f>IF(N$6=0,0,N$6/AGR!N$5*1000)</f>
        <v>3.274808050510273</v>
      </c>
      <c r="O45" s="248">
        <f>IF(O$6=0,0,O$6/AGR!O$5*1000)</f>
        <v>3.1377866983332114</v>
      </c>
      <c r="P45" s="248">
        <f>IF(P$6=0,0,P$6/AGR!P$5*1000)</f>
        <v>3.2183294860710254</v>
      </c>
      <c r="Q45" s="248">
        <f>IF(Q$6=0,0,Q$6/AGR!Q$5*1000)</f>
        <v>3.2573873072832318</v>
      </c>
      <c r="R45" s="248">
        <f>IF(R$6=0,0,R$6/AGR!R$5*1000)</f>
        <v>3.2577384477730695</v>
      </c>
      <c r="S45" s="248">
        <f>IF(S$6=0,0,S$6/AGR!S$5*1000)</f>
        <v>2.9746156091747697</v>
      </c>
      <c r="T45" s="248">
        <f>IF(T$6=0,0,T$6/AGR!T$5*1000)</f>
        <v>3.4647853451551707</v>
      </c>
      <c r="U45" s="248">
        <f>IF(U$6=0,0,U$6/AGR!U$5*1000)</f>
        <v>3.3093560889245093</v>
      </c>
      <c r="V45" s="248">
        <f>IF(V$6=0,0,V$6/AGR!V$5*1000)</f>
        <v>3.450118643737091</v>
      </c>
      <c r="W45" s="248">
        <f>IF(W$6=0,0,W$6/AGR!W$5*1000)</f>
        <v>3.7677449686351796</v>
      </c>
      <c r="DA45" s="282"/>
    </row>
    <row r="46" spans="1:105" x14ac:dyDescent="0.25">
      <c r="A46" s="241" t="s">
        <v>124</v>
      </c>
      <c r="B46" s="249">
        <f>IF(B$7=0,0,B$7/AGR!B$5*1000)</f>
        <v>1.911300883904181</v>
      </c>
      <c r="C46" s="249">
        <f>IF(C$7=0,0,C$7/AGR!C$5*1000)</f>
        <v>1.866151757806962</v>
      </c>
      <c r="D46" s="249">
        <f>IF(D$7=0,0,D$7/AGR!D$5*1000)</f>
        <v>1.9891382474399097</v>
      </c>
      <c r="E46" s="249">
        <f>IF(E$7=0,0,E$7/AGR!E$5*1000)</f>
        <v>1.8343366716864331</v>
      </c>
      <c r="F46" s="249">
        <f>IF(F$7=0,0,F$7/AGR!F$5*1000)</f>
        <v>1.9165952333246539</v>
      </c>
      <c r="G46" s="249">
        <f>IF(G$7=0,0,G$7/AGR!G$5*1000)</f>
        <v>2.0077990982856395</v>
      </c>
      <c r="H46" s="249">
        <f>IF(H$7=0,0,H$7/AGR!H$5*1000)</f>
        <v>2.187873283990398</v>
      </c>
      <c r="I46" s="249">
        <f>IF(I$7=0,0,I$7/AGR!I$5*1000)</f>
        <v>2.1312745882407045</v>
      </c>
      <c r="J46" s="249">
        <f>IF(J$7=0,0,J$7/AGR!J$5*1000)</f>
        <v>2.161628837331294</v>
      </c>
      <c r="K46" s="249">
        <f>IF(K$7=0,0,K$7/AGR!K$5*1000)</f>
        <v>2.3517392077541048</v>
      </c>
      <c r="L46" s="249">
        <f>IF(L$7=0,0,L$7/AGR!L$5*1000)</f>
        <v>2.2726115643294516</v>
      </c>
      <c r="M46" s="249">
        <f>IF(M$7=0,0,M$7/AGR!M$5*1000)</f>
        <v>2.0875854595435888</v>
      </c>
      <c r="N46" s="249">
        <f>IF(N$7=0,0,N$7/AGR!N$5*1000)</f>
        <v>2.128625232831677</v>
      </c>
      <c r="O46" s="249">
        <f>IF(O$7=0,0,O$7/AGR!O$5*1000)</f>
        <v>2.0395613539165871</v>
      </c>
      <c r="P46" s="249">
        <f>IF(P$7=0,0,P$7/AGR!P$5*1000)</f>
        <v>2.0919141659461653</v>
      </c>
      <c r="Q46" s="249">
        <f>IF(Q$7=0,0,Q$7/AGR!Q$5*1000)</f>
        <v>2.1173017497340987</v>
      </c>
      <c r="R46" s="249">
        <f>IF(R$7=0,0,R$7/AGR!R$5*1000)</f>
        <v>2.1175299910524945</v>
      </c>
      <c r="S46" s="249">
        <f>IF(S$7=0,0,S$7/AGR!S$5*1000)</f>
        <v>1.9335001459636008</v>
      </c>
      <c r="T46" s="249">
        <f>IF(T$7=0,0,T$7/AGR!T$5*1000)</f>
        <v>2.25211047435086</v>
      </c>
      <c r="U46" s="249">
        <f>IF(U$7=0,0,U$7/AGR!U$5*1000)</f>
        <v>2.1510814578009301</v>
      </c>
      <c r="V46" s="249">
        <f>IF(V$7=0,0,V$7/AGR!V$5*1000)</f>
        <v>2.2425771184291095</v>
      </c>
      <c r="W46" s="249">
        <f>IF(W$7=0,0,W$7/AGR!W$5*1000)</f>
        <v>2.4490342296128658</v>
      </c>
      <c r="DA46" s="283"/>
    </row>
    <row r="47" spans="1:105" x14ac:dyDescent="0.25">
      <c r="A47" s="241" t="s">
        <v>123</v>
      </c>
      <c r="B47" s="249">
        <f>IF(B$8=0,0,B$8/AGR!B$5*1000)</f>
        <v>2.6464166084827103</v>
      </c>
      <c r="C47" s="249">
        <f>IF(C$8=0,0,C$8/AGR!C$5*1000)</f>
        <v>2.5839024338865628</v>
      </c>
      <c r="D47" s="249">
        <f>IF(D$8=0,0,D$8/AGR!D$5*1000)</f>
        <v>2.7541914195321828</v>
      </c>
      <c r="E47" s="249">
        <f>IF(E$8=0,0,E$8/AGR!E$5*1000)</f>
        <v>2.5398507761812157</v>
      </c>
      <c r="F47" s="249">
        <f>IF(F$8=0,0,F$8/AGR!F$5*1000)</f>
        <v>2.653747246141827</v>
      </c>
      <c r="G47" s="249">
        <f>IF(G$8=0,0,G$8/AGR!G$5*1000)</f>
        <v>2.7800295207031946</v>
      </c>
      <c r="H47" s="249">
        <f>IF(H$8=0,0,H$8/AGR!H$5*1000)</f>
        <v>3.0293630086020902</v>
      </c>
      <c r="I47" s="249">
        <f>IF(I$8=0,0,I$8/AGR!I$5*1000)</f>
        <v>2.9509955837179005</v>
      </c>
      <c r="J47" s="249">
        <f>IF(J$8=0,0,J$8/AGR!J$5*1000)</f>
        <v>2.9930245439971781</v>
      </c>
      <c r="K47" s="249">
        <f>IF(K$8=0,0,K$8/AGR!K$5*1000)</f>
        <v>3.2562542876595324</v>
      </c>
      <c r="L47" s="249">
        <f>IF(L$8=0,0,L$8/AGR!L$5*1000)</f>
        <v>3.1466929352253952</v>
      </c>
      <c r="M47" s="249">
        <f>IF(M$8=0,0,M$8/AGR!M$5*1000)</f>
        <v>2.890502943983432</v>
      </c>
      <c r="N47" s="249">
        <f>IF(N$8=0,0,N$8/AGR!N$5*1000)</f>
        <v>2.9473272454592463</v>
      </c>
      <c r="O47" s="249">
        <f>IF(O$8=0,0,O$8/AGR!O$5*1000)</f>
        <v>2.8240080284998887</v>
      </c>
      <c r="P47" s="249">
        <f>IF(P$8=0,0,P$8/AGR!P$5*1000)</f>
        <v>2.8964965374639235</v>
      </c>
      <c r="Q47" s="249">
        <f>IF(Q$8=0,0,Q$8/AGR!Q$5*1000)</f>
        <v>2.9316485765549078</v>
      </c>
      <c r="R47" s="249">
        <f>IF(R$8=0,0,R$8/AGR!R$5*1000)</f>
        <v>2.9319646029957624</v>
      </c>
      <c r="S47" s="249">
        <f>IF(S$8=0,0,S$8/AGR!S$5*1000)</f>
        <v>2.6771540482572926</v>
      </c>
      <c r="T47" s="249">
        <f>IF(T$8=0,0,T$8/AGR!T$5*1000)</f>
        <v>3.1183068106396523</v>
      </c>
      <c r="U47" s="249">
        <f>IF(U$8=0,0,U$8/AGR!U$5*1000)</f>
        <v>2.9784204800320579</v>
      </c>
      <c r="V47" s="249">
        <f>IF(V$8=0,0,V$8/AGR!V$5*1000)</f>
        <v>3.1051067793633806</v>
      </c>
      <c r="W47" s="249">
        <f>IF(W$8=0,0,W$8/AGR!W$5*1000)</f>
        <v>3.3909704717716602</v>
      </c>
      <c r="DA47" s="283"/>
    </row>
    <row r="48" spans="1:105" x14ac:dyDescent="0.25">
      <c r="A48" s="243" t="s">
        <v>122</v>
      </c>
      <c r="B48" s="250">
        <f>IF(B$9=0,0,B$9/AGR!B$5*1000)</f>
        <v>21.473237941237983</v>
      </c>
      <c r="C48" s="250">
        <f>IF(C$9=0,0,C$9/AGR!C$5*1000)</f>
        <v>20.611770816928779</v>
      </c>
      <c r="D48" s="250">
        <f>IF(D$9=0,0,D$9/AGR!D$5*1000)</f>
        <v>21.333513106920606</v>
      </c>
      <c r="E48" s="250">
        <f>IF(E$9=0,0,E$9/AGR!E$5*1000)</f>
        <v>22.22182038205133</v>
      </c>
      <c r="F48" s="250">
        <f>IF(F$9=0,0,F$9/AGR!F$5*1000)</f>
        <v>22.295630030498792</v>
      </c>
      <c r="G48" s="250">
        <f>IF(G$9=0,0,G$9/AGR!G$5*1000)</f>
        <v>25.029140576950788</v>
      </c>
      <c r="H48" s="250">
        <f>IF(H$9=0,0,H$9/AGR!H$5*1000)</f>
        <v>23.809883322965348</v>
      </c>
      <c r="I48" s="250">
        <f>IF(I$9=0,0,I$9/AGR!I$5*1000)</f>
        <v>22.306491532313139</v>
      </c>
      <c r="J48" s="250">
        <f>IF(J$9=0,0,J$9/AGR!J$5*1000)</f>
        <v>22.786969396615085</v>
      </c>
      <c r="K48" s="250">
        <f>IF(K$9=0,0,K$9/AGR!K$5*1000)</f>
        <v>25.1891873222283</v>
      </c>
      <c r="L48" s="250">
        <f>IF(L$9=0,0,L$9/AGR!L$5*1000)</f>
        <v>24.143715770770626</v>
      </c>
      <c r="M48" s="250">
        <f>IF(M$9=0,0,M$9/AGR!M$5*1000)</f>
        <v>22.892701531264635</v>
      </c>
      <c r="N48" s="250">
        <f>IF(N$9=0,0,N$9/AGR!N$5*1000)</f>
        <v>22.927539812424747</v>
      </c>
      <c r="O48" s="250">
        <f>IF(O$9=0,0,O$9/AGR!O$5*1000)</f>
        <v>22.156923957632323</v>
      </c>
      <c r="P48" s="250">
        <f>IF(P$9=0,0,P$9/AGR!P$5*1000)</f>
        <v>22.155707895239829</v>
      </c>
      <c r="Q48" s="250">
        <f>IF(Q$9=0,0,Q$9/AGR!Q$5*1000)</f>
        <v>23.095557826384351</v>
      </c>
      <c r="R48" s="250">
        <f>IF(R$9=0,0,R$9/AGR!R$5*1000)</f>
        <v>22.920655218594899</v>
      </c>
      <c r="S48" s="250">
        <f>IF(S$9=0,0,S$9/AGR!S$5*1000)</f>
        <v>21.205501211074136</v>
      </c>
      <c r="T48" s="250">
        <f>IF(T$9=0,0,T$9/AGR!T$5*1000)</f>
        <v>24.0083257708425</v>
      </c>
      <c r="U48" s="250">
        <f>IF(U$9=0,0,U$9/AGR!U$5*1000)</f>
        <v>24.263819308054867</v>
      </c>
      <c r="V48" s="250">
        <f>IF(V$9=0,0,V$9/AGR!V$5*1000)</f>
        <v>26.134188809259257</v>
      </c>
      <c r="W48" s="250">
        <f>IF(W$9=0,0,W$9/AGR!W$5*1000)</f>
        <v>25.426894740414408</v>
      </c>
      <c r="DA48" s="284"/>
    </row>
    <row r="49" spans="1:105" x14ac:dyDescent="0.25">
      <c r="A49" s="128" t="s">
        <v>175</v>
      </c>
      <c r="B49" s="263">
        <f>IF(B$16=0,0,B$16/AGR!B$5*1000)</f>
        <v>27.911771554583041</v>
      </c>
      <c r="C49" s="263">
        <f>IF(C$16=0,0,C$16/AGR!C$5*1000)</f>
        <v>26.609265667820345</v>
      </c>
      <c r="D49" s="263">
        <f>IF(D$16=0,0,D$16/AGR!D$5*1000)</f>
        <v>27.295948706875173</v>
      </c>
      <c r="E49" s="263">
        <f>IF(E$16=0,0,E$16/AGR!E$5*1000)</f>
        <v>29.15210300513175</v>
      </c>
      <c r="F49" s="263">
        <f>IF(F$16=0,0,F$16/AGR!F$5*1000)</f>
        <v>28.955110198885848</v>
      </c>
      <c r="G49" s="263">
        <f>IF(G$16=0,0,G$16/AGR!G$5*1000)</f>
        <v>32.805706032372143</v>
      </c>
      <c r="H49" s="263">
        <f>IF(H$16=0,0,H$16/AGR!H$5*1000)</f>
        <v>30.383741642395805</v>
      </c>
      <c r="I49" s="263">
        <f>IF(I$16=0,0,I$16/AGR!I$5*1000)</f>
        <v>28.180457109607474</v>
      </c>
      <c r="J49" s="263">
        <f>IF(J$16=0,0,J$16/AGR!J$5*1000)</f>
        <v>28.982328645107525</v>
      </c>
      <c r="K49" s="263">
        <f>IF(K$16=0,0,K$16/AGR!K$5*1000)</f>
        <v>31.989640912945088</v>
      </c>
      <c r="L49" s="263">
        <f>IF(L$16=0,0,L$16/AGR!L$5*1000)</f>
        <v>30.618911041094744</v>
      </c>
      <c r="M49" s="263">
        <f>IF(M$16=0,0,M$16/AGR!M$5*1000)</f>
        <v>29.295813459649743</v>
      </c>
      <c r="N49" s="263">
        <f>IF(N$16=0,0,N$16/AGR!N$5*1000)</f>
        <v>29.362337239617077</v>
      </c>
      <c r="O49" s="263">
        <f>IF(O$16=0,0,O$16/AGR!O$5*1000)</f>
        <v>28.528748966648536</v>
      </c>
      <c r="P49" s="263">
        <f>IF(P$16=0,0,P$16/AGR!P$5*1000)</f>
        <v>28.181717297755252</v>
      </c>
      <c r="Q49" s="263">
        <f>IF(Q$16=0,0,Q$16/AGR!Q$5*1000)</f>
        <v>29.776036825626026</v>
      </c>
      <c r="R49" s="263">
        <f>IF(R$16=0,0,R$16/AGR!R$5*1000)</f>
        <v>29.375640177605892</v>
      </c>
      <c r="S49" s="263">
        <f>IF(S$16=0,0,S$16/AGR!S$5*1000)</f>
        <v>27.277293321239547</v>
      </c>
      <c r="T49" s="263">
        <f>IF(T$16=0,0,T$16/AGR!T$5*1000)</f>
        <v>30.537891282068223</v>
      </c>
      <c r="U49" s="263">
        <f>IF(U$16=0,0,U$16/AGR!U$5*1000)</f>
        <v>31.337247467900099</v>
      </c>
      <c r="V49" s="263">
        <f>IF(V$16=0,0,V$16/AGR!V$5*1000)</f>
        <v>34.061603453998842</v>
      </c>
      <c r="W49" s="263">
        <f>IF(W$16=0,0,W$16/AGR!W$5*1000)</f>
        <v>31.548947478718247</v>
      </c>
      <c r="DA49" s="285"/>
    </row>
    <row r="50" spans="1:105" x14ac:dyDescent="0.25">
      <c r="A50" s="128" t="s">
        <v>121</v>
      </c>
      <c r="B50" s="263">
        <f>IF(B$17=0,0,B$17/AGR!B$5*1000)</f>
        <v>57.008080958470707</v>
      </c>
      <c r="C50" s="263">
        <f>IF(C$17=0,0,C$17/AGR!C$5*1000)</f>
        <v>55.658792835644007</v>
      </c>
      <c r="D50" s="263">
        <f>IF(D$17=0,0,D$17/AGR!D$5*1000)</f>
        <v>58.634893107783519</v>
      </c>
      <c r="E50" s="263">
        <f>IF(E$17=0,0,E$17/AGR!E$5*1000)</f>
        <v>64.346855313771343</v>
      </c>
      <c r="F50" s="263">
        <f>IF(F$17=0,0,F$17/AGR!F$5*1000)</f>
        <v>63.285884153099758</v>
      </c>
      <c r="G50" s="263">
        <f>IF(G$17=0,0,G$17/AGR!G$5*1000)</f>
        <v>74.843211216833936</v>
      </c>
      <c r="H50" s="263">
        <f>IF(H$17=0,0,H$17/AGR!H$5*1000)</f>
        <v>70.068293092795329</v>
      </c>
      <c r="I50" s="263">
        <f>IF(I$17=0,0,I$17/AGR!I$5*1000)</f>
        <v>64.942033289367942</v>
      </c>
      <c r="J50" s="263">
        <f>IF(J$17=0,0,J$17/AGR!J$5*1000)</f>
        <v>65.360823116423433</v>
      </c>
      <c r="K50" s="263">
        <f>IF(K$17=0,0,K$17/AGR!K$5*1000)</f>
        <v>74.944027639989812</v>
      </c>
      <c r="L50" s="263">
        <f>IF(L$17=0,0,L$17/AGR!L$5*1000)</f>
        <v>66.457926250012846</v>
      </c>
      <c r="M50" s="263">
        <f>IF(M$17=0,0,M$17/AGR!M$5*1000)</f>
        <v>58.923966558668248</v>
      </c>
      <c r="N50" s="263">
        <f>IF(N$17=0,0,N$17/AGR!N$5*1000)</f>
        <v>60.736878888177927</v>
      </c>
      <c r="O50" s="263">
        <f>IF(O$17=0,0,O$17/AGR!O$5*1000)</f>
        <v>61.093560829125067</v>
      </c>
      <c r="P50" s="263">
        <f>IF(P$17=0,0,P$17/AGR!P$5*1000)</f>
        <v>58.314972180375619</v>
      </c>
      <c r="Q50" s="263">
        <f>IF(Q$17=0,0,Q$17/AGR!Q$5*1000)</f>
        <v>58.03792426696883</v>
      </c>
      <c r="R50" s="263">
        <f>IF(R$17=0,0,R$17/AGR!R$5*1000)</f>
        <v>61.15564693167557</v>
      </c>
      <c r="S50" s="263">
        <f>IF(S$17=0,0,S$17/AGR!S$5*1000)</f>
        <v>56.304678280406755</v>
      </c>
      <c r="T50" s="263">
        <f>IF(T$17=0,0,T$17/AGR!T$5*1000)</f>
        <v>63.541602046469301</v>
      </c>
      <c r="U50" s="263">
        <f>IF(U$17=0,0,U$17/AGR!U$5*1000)</f>
        <v>63.84242411829684</v>
      </c>
      <c r="V50" s="263">
        <f>IF(V$17=0,0,V$17/AGR!V$5*1000)</f>
        <v>64.634404000939682</v>
      </c>
      <c r="W50" s="263">
        <f>IF(W$17=0,0,W$17/AGR!W$5*1000)</f>
        <v>60.663181307254781</v>
      </c>
      <c r="DA50" s="285"/>
    </row>
    <row r="51" spans="1:105" x14ac:dyDescent="0.25">
      <c r="A51" s="128" t="s">
        <v>174</v>
      </c>
      <c r="B51" s="263">
        <f>IF(B$25=0,0,B$25/AGR!B$5*1000)</f>
        <v>5.3634795132473405</v>
      </c>
      <c r="C51" s="263">
        <f>IF(C$25=0,0,C$25/AGR!C$5*1000)</f>
        <v>5.1131921523797432</v>
      </c>
      <c r="D51" s="263">
        <f>IF(D$25=0,0,D$25/AGR!D$5*1000)</f>
        <v>5.2451440209618845</v>
      </c>
      <c r="E51" s="263">
        <f>IF(E$25=0,0,E$25/AGR!E$5*1000)</f>
        <v>5.6018195380517506</v>
      </c>
      <c r="F51" s="263">
        <f>IF(F$25=0,0,F$25/AGR!F$5*1000)</f>
        <v>5.5639657286476867</v>
      </c>
      <c r="G51" s="263">
        <f>IF(G$25=0,0,G$25/AGR!G$5*1000)</f>
        <v>6.3038898078596377</v>
      </c>
      <c r="H51" s="263">
        <f>IF(H$25=0,0,H$25/AGR!H$5*1000)</f>
        <v>5.8384891663399996</v>
      </c>
      <c r="I51" s="263">
        <f>IF(I$25=0,0,I$25/AGR!I$5*1000)</f>
        <v>5.415109681796868</v>
      </c>
      <c r="J51" s="263">
        <f>IF(J$25=0,0,J$25/AGR!J$5*1000)</f>
        <v>5.5691959799202326</v>
      </c>
      <c r="K51" s="263">
        <f>IF(K$25=0,0,K$25/AGR!K$5*1000)</f>
        <v>6.1470760942992806</v>
      </c>
      <c r="L51" s="263">
        <f>IF(L$25=0,0,L$25/AGR!L$5*1000)</f>
        <v>5.8836789261371489</v>
      </c>
      <c r="M51" s="263">
        <f>IF(M$25=0,0,M$25/AGR!M$5*1000)</f>
        <v>5.6294346995308224</v>
      </c>
      <c r="N51" s="263">
        <f>IF(N$25=0,0,N$25/AGR!N$5*1000)</f>
        <v>5.6422177982424451</v>
      </c>
      <c r="O51" s="263">
        <f>IF(O$25=0,0,O$25/AGR!O$5*1000)</f>
        <v>5.4820368646959388</v>
      </c>
      <c r="P51" s="263">
        <f>IF(P$25=0,0,P$25/AGR!P$5*1000)</f>
        <v>5.4153518374515235</v>
      </c>
      <c r="Q51" s="263">
        <f>IF(Q$25=0,0,Q$25/AGR!Q$5*1000)</f>
        <v>5.7217136213527358</v>
      </c>
      <c r="R51" s="263">
        <f>IF(R$25=0,0,R$25/AGR!R$5*1000)</f>
        <v>5.6447740686400287</v>
      </c>
      <c r="S51" s="263">
        <f>IF(S$25=0,0,S$25/AGR!S$5*1000)</f>
        <v>5.2415592331431418</v>
      </c>
      <c r="T51" s="263">
        <f>IF(T$25=0,0,T$25/AGR!T$5*1000)</f>
        <v>5.8681103042437872</v>
      </c>
      <c r="U51" s="263">
        <f>IF(U$25=0,0,U$25/AGR!U$5*1000)</f>
        <v>6.0217132569661809</v>
      </c>
      <c r="V51" s="263">
        <f>IF(V$25=0,0,V$25/AGR!V$5*1000)</f>
        <v>6.5452209637292178</v>
      </c>
      <c r="W51" s="263">
        <f>IF(W$25=0,0,W$25/AGR!W$5*1000)</f>
        <v>6.0623931782946032</v>
      </c>
      <c r="DA51" s="285"/>
    </row>
    <row r="52" spans="1:105" x14ac:dyDescent="0.25">
      <c r="A52" s="128" t="s">
        <v>177</v>
      </c>
      <c r="B52" s="263">
        <f>IF(B$26=0,0,B$26/AGR!B$5*1000)</f>
        <v>2.9404628983141241</v>
      </c>
      <c r="C52" s="263">
        <f>IF(C$26=0,0,C$26/AGR!C$5*1000)</f>
        <v>2.8710027043184034</v>
      </c>
      <c r="D52" s="263">
        <f>IF(D$26=0,0,D$26/AGR!D$5*1000)</f>
        <v>3.0602126883690923</v>
      </c>
      <c r="E52" s="263">
        <f>IF(E$26=0,0,E$26/AGR!E$5*1000)</f>
        <v>2.822056417979129</v>
      </c>
      <c r="F52" s="263">
        <f>IF(F$26=0,0,F$26/AGR!F$5*1000)</f>
        <v>2.9486080512686983</v>
      </c>
      <c r="G52" s="263">
        <f>IF(G$26=0,0,G$26/AGR!G$5*1000)</f>
        <v>3.088921689670217</v>
      </c>
      <c r="H52" s="263">
        <f>IF(H$26=0,0,H$26/AGR!H$5*1000)</f>
        <v>3.3659588984467677</v>
      </c>
      <c r="I52" s="263">
        <f>IF(I$26=0,0,I$26/AGR!I$5*1000)</f>
        <v>3.2788839819087774</v>
      </c>
      <c r="J52" s="263">
        <f>IF(J$26=0,0,J$26/AGR!J$5*1000)</f>
        <v>3.3255828266635303</v>
      </c>
      <c r="K52" s="263">
        <f>IF(K$26=0,0,K$26/AGR!K$5*1000)</f>
        <v>3.6180603196217009</v>
      </c>
      <c r="L52" s="263">
        <f>IF(L$26=0,0,L$26/AGR!L$5*1000)</f>
        <v>3.49632548358377</v>
      </c>
      <c r="M52" s="263">
        <f>IF(M$26=0,0,M$26/AGR!M$5*1000)</f>
        <v>3.2116699377593685</v>
      </c>
      <c r="N52" s="263">
        <f>IF(N$26=0,0,N$26/AGR!N$5*1000)</f>
        <v>3.274808050510273</v>
      </c>
      <c r="O52" s="263">
        <f>IF(O$26=0,0,O$26/AGR!O$5*1000)</f>
        <v>3.1377866983332114</v>
      </c>
      <c r="P52" s="263">
        <f>IF(P$26=0,0,P$26/AGR!P$5*1000)</f>
        <v>3.2183294860710254</v>
      </c>
      <c r="Q52" s="263">
        <f>IF(Q$26=0,0,Q$26/AGR!Q$5*1000)</f>
        <v>3.2573873072832318</v>
      </c>
      <c r="R52" s="263">
        <f>IF(R$26=0,0,R$26/AGR!R$5*1000)</f>
        <v>3.2577384477730695</v>
      </c>
      <c r="S52" s="263">
        <f>IF(S$26=0,0,S$26/AGR!S$5*1000)</f>
        <v>2.9746156091747697</v>
      </c>
      <c r="T52" s="263">
        <f>IF(T$26=0,0,T$26/AGR!T$5*1000)</f>
        <v>3.4647853451551707</v>
      </c>
      <c r="U52" s="263">
        <f>IF(U$26=0,0,U$26/AGR!U$5*1000)</f>
        <v>3.3093560889245093</v>
      </c>
      <c r="V52" s="263">
        <f>IF(V$26=0,0,V$26/AGR!V$5*1000)</f>
        <v>3.450118643737091</v>
      </c>
      <c r="W52" s="263">
        <f>IF(W$26=0,0,W$26/AGR!W$5*1000)</f>
        <v>3.7677449686351796</v>
      </c>
      <c r="DA52" s="285"/>
    </row>
    <row r="53" spans="1:105" x14ac:dyDescent="0.25">
      <c r="A53" s="261" t="s">
        <v>33</v>
      </c>
      <c r="B53" s="264">
        <f>IF(B$27=0,0,B$27/AGR!B$5*1000)</f>
        <v>4.2636712025554813</v>
      </c>
      <c r="C53" s="264">
        <f>IF(C$27=0,0,C$27/AGR!C$5*1000)</f>
        <v>4.1629539212616846</v>
      </c>
      <c r="D53" s="264">
        <f>IF(D$27=0,0,D$27/AGR!D$5*1000)</f>
        <v>4.4373083981351815</v>
      </c>
      <c r="E53" s="264">
        <f>IF(E$27=0,0,E$27/AGR!E$5*1000)</f>
        <v>4.0919818060697359</v>
      </c>
      <c r="F53" s="264">
        <f>IF(F$27=0,0,F$27/AGR!F$5*1000)</f>
        <v>4.27548167433961</v>
      </c>
      <c r="G53" s="264">
        <f>IF(G$27=0,0,G$27/AGR!G$5*1000)</f>
        <v>4.4789364500218136</v>
      </c>
      <c r="H53" s="264">
        <f>IF(H$27=0,0,H$27/AGR!H$5*1000)</f>
        <v>4.8806404027478134</v>
      </c>
      <c r="I53" s="264">
        <f>IF(I$27=0,0,I$27/AGR!I$5*1000)</f>
        <v>4.7543817737677276</v>
      </c>
      <c r="J53" s="264">
        <f>IF(J$27=0,0,J$27/AGR!J$5*1000)</f>
        <v>4.8220950986621203</v>
      </c>
      <c r="K53" s="264">
        <f>IF(K$27=0,0,K$27/AGR!K$5*1000)</f>
        <v>5.2461874634514665</v>
      </c>
      <c r="L53" s="264">
        <f>IF(L$27=0,0,L$27/AGR!L$5*1000)</f>
        <v>5.0696719511964687</v>
      </c>
      <c r="M53" s="264">
        <f>IF(M$27=0,0,M$27/AGR!M$5*1000)</f>
        <v>4.6569214097510843</v>
      </c>
      <c r="N53" s="264">
        <f>IF(N$27=0,0,N$27/AGR!N$5*1000)</f>
        <v>4.7484716732398988</v>
      </c>
      <c r="O53" s="264">
        <f>IF(O$27=0,0,O$27/AGR!O$5*1000)</f>
        <v>4.5497907125831549</v>
      </c>
      <c r="P53" s="264">
        <f>IF(P$27=0,0,P$27/AGR!P$5*1000)</f>
        <v>4.6665777548029883</v>
      </c>
      <c r="Q53" s="264">
        <f>IF(Q$27=0,0,Q$27/AGR!Q$5*1000)</f>
        <v>4.7232115955606853</v>
      </c>
      <c r="R53" s="264">
        <f>IF(R$27=0,0,R$27/AGR!R$5*1000)</f>
        <v>4.7237207492709503</v>
      </c>
      <c r="S53" s="264">
        <f>IF(S$27=0,0,S$27/AGR!S$5*1000)</f>
        <v>4.3131926333034141</v>
      </c>
      <c r="T53" s="264">
        <f>IF(T$27=0,0,T$27/AGR!T$5*1000)</f>
        <v>5.0239387504749979</v>
      </c>
      <c r="U53" s="264">
        <f>IF(U$27=0,0,U$27/AGR!U$5*1000)</f>
        <v>4.7985663289405389</v>
      </c>
      <c r="V53" s="264">
        <f>IF(V$27=0,0,V$27/AGR!V$5*1000)</f>
        <v>5.0026720334187793</v>
      </c>
      <c r="W53" s="264">
        <f>IF(W$27=0,0,W$27/AGR!W$5*1000)</f>
        <v>5.4632302045210093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347.63872751026389</v>
      </c>
      <c r="C5" s="80">
        <f t="shared" ref="C5:W5" si="1">SUM(C6:C9,C16:C17,C25:C27)</f>
        <v>352.26757667549202</v>
      </c>
      <c r="D5" s="80">
        <f t="shared" si="1"/>
        <v>364.30419596490782</v>
      </c>
      <c r="E5" s="80">
        <f t="shared" si="1"/>
        <v>347.72135809016896</v>
      </c>
      <c r="F5" s="80">
        <f t="shared" si="1"/>
        <v>343.61594973557965</v>
      </c>
      <c r="G5" s="80">
        <f t="shared" si="1"/>
        <v>336.56602576291891</v>
      </c>
      <c r="H5" s="80">
        <f t="shared" si="1"/>
        <v>349.4599405545469</v>
      </c>
      <c r="I5" s="80">
        <f t="shared" si="1"/>
        <v>362.4116635597062</v>
      </c>
      <c r="J5" s="80">
        <f t="shared" si="1"/>
        <v>354.79854167014946</v>
      </c>
      <c r="K5" s="80">
        <f t="shared" si="1"/>
        <v>349.48194650662879</v>
      </c>
      <c r="L5" s="80">
        <f t="shared" si="1"/>
        <v>348.23635692934437</v>
      </c>
      <c r="M5" s="80">
        <f t="shared" si="1"/>
        <v>316.15100093252181</v>
      </c>
      <c r="N5" s="80">
        <f t="shared" si="1"/>
        <v>337.94141031600924</v>
      </c>
      <c r="O5" s="80">
        <f t="shared" si="1"/>
        <v>328.19392561771502</v>
      </c>
      <c r="P5" s="80">
        <f t="shared" si="1"/>
        <v>317.53421344226098</v>
      </c>
      <c r="Q5" s="80">
        <f t="shared" si="1"/>
        <v>329.53553809527608</v>
      </c>
      <c r="R5" s="80">
        <f t="shared" si="1"/>
        <v>339.49528344187632</v>
      </c>
      <c r="S5" s="80">
        <f t="shared" si="1"/>
        <v>333.33344445036903</v>
      </c>
      <c r="T5" s="80">
        <f t="shared" si="1"/>
        <v>315.98319249804473</v>
      </c>
      <c r="U5" s="80">
        <f t="shared" si="1"/>
        <v>334.94825586843325</v>
      </c>
      <c r="V5" s="80">
        <f t="shared" si="1"/>
        <v>329.05807674603301</v>
      </c>
      <c r="W5" s="80">
        <f t="shared" si="1"/>
        <v>324.36479728805466</v>
      </c>
      <c r="DA5" s="103"/>
    </row>
    <row r="6" spans="1:105" x14ac:dyDescent="0.25">
      <c r="A6" s="239" t="s">
        <v>125</v>
      </c>
      <c r="B6" s="240">
        <v>10.27675494167117</v>
      </c>
      <c r="C6" s="240">
        <v>10.519264484152551</v>
      </c>
      <c r="D6" s="240">
        <v>11.087799980085309</v>
      </c>
      <c r="E6" s="240">
        <v>9.414456071153209</v>
      </c>
      <c r="F6" s="240">
        <v>9.6914700827098521</v>
      </c>
      <c r="G6" s="240">
        <v>8.8101492334532008</v>
      </c>
      <c r="H6" s="240">
        <v>10.299652113708721</v>
      </c>
      <c r="I6" s="240">
        <v>11.06470555245278</v>
      </c>
      <c r="J6" s="240">
        <v>10.817153521994721</v>
      </c>
      <c r="K6" s="240">
        <v>10.409886443436431</v>
      </c>
      <c r="L6" s="240">
        <v>10.721825710396541</v>
      </c>
      <c r="M6" s="240">
        <v>9.6751588229780108</v>
      </c>
      <c r="N6" s="240">
        <v>10.4062657215845</v>
      </c>
      <c r="O6" s="240">
        <v>9.9208247665438822</v>
      </c>
      <c r="P6" s="240">
        <v>9.9456893767762526</v>
      </c>
      <c r="Q6" s="240">
        <v>10.19653904518789</v>
      </c>
      <c r="R6" s="240">
        <v>10.396522876649829</v>
      </c>
      <c r="S6" s="240">
        <v>10.11245702004004</v>
      </c>
      <c r="T6" s="240">
        <v>9.8298482376831195</v>
      </c>
      <c r="U6" s="240">
        <v>9.9573274275496768</v>
      </c>
      <c r="V6" s="240">
        <v>9.6847427416278453</v>
      </c>
      <c r="W6" s="240">
        <v>10.63958159513076</v>
      </c>
      <c r="DA6" s="268" t="s">
        <v>1014</v>
      </c>
    </row>
    <row r="7" spans="1:105" x14ac:dyDescent="0.25">
      <c r="A7" s="241" t="s">
        <v>124</v>
      </c>
      <c r="B7" s="242">
        <v>6.6239660910243643</v>
      </c>
      <c r="C7" s="242">
        <v>6.7802775916161364</v>
      </c>
      <c r="D7" s="242">
        <v>7.1467317756437909</v>
      </c>
      <c r="E7" s="242">
        <v>6.0681643315138158</v>
      </c>
      <c r="F7" s="242">
        <v>6.2467159686506886</v>
      </c>
      <c r="G7" s="242">
        <v>5.6786534378300839</v>
      </c>
      <c r="H7" s="242">
        <v>6.6387246497345753</v>
      </c>
      <c r="I7" s="242">
        <v>7.131846074233402</v>
      </c>
      <c r="J7" s="242">
        <v>6.9722843969504922</v>
      </c>
      <c r="K7" s="242">
        <v>6.7097770847033473</v>
      </c>
      <c r="L7" s="242">
        <v>6.9108400796400362</v>
      </c>
      <c r="M7" s="242">
        <v>6.2362024133524603</v>
      </c>
      <c r="N7" s="242">
        <v>6.707443318946714</v>
      </c>
      <c r="O7" s="242">
        <v>6.3945483979688058</v>
      </c>
      <c r="P7" s="242">
        <v>6.4105750849902021</v>
      </c>
      <c r="Q7" s="242">
        <v>6.5722622816718781</v>
      </c>
      <c r="R7" s="242">
        <v>6.7011634888988434</v>
      </c>
      <c r="S7" s="242">
        <v>6.5180665276030938</v>
      </c>
      <c r="T7" s="242">
        <v>6.3359087353833718</v>
      </c>
      <c r="U7" s="242">
        <v>6.4180764853959067</v>
      </c>
      <c r="V7" s="242">
        <v>6.242379806169156</v>
      </c>
      <c r="W7" s="242">
        <v>6.8578289653535798</v>
      </c>
      <c r="DA7" s="269" t="s">
        <v>1015</v>
      </c>
    </row>
    <row r="8" spans="1:105" x14ac:dyDescent="0.25">
      <c r="A8" s="241" t="s">
        <v>123</v>
      </c>
      <c r="B8" s="242">
        <v>13.163358922639089</v>
      </c>
      <c r="C8" s="242">
        <v>13.47398617491532</v>
      </c>
      <c r="D8" s="242">
        <v>14.20221574112569</v>
      </c>
      <c r="E8" s="242">
        <v>12.05885175129572</v>
      </c>
      <c r="F8" s="242">
        <v>12.41367531976813</v>
      </c>
      <c r="G8" s="242">
        <v>11.28480314848291</v>
      </c>
      <c r="H8" s="242">
        <v>13.192687606212299</v>
      </c>
      <c r="I8" s="242">
        <v>14.172634395480561</v>
      </c>
      <c r="J8" s="242">
        <v>13.8555482873226</v>
      </c>
      <c r="K8" s="242">
        <v>13.33388529517523</v>
      </c>
      <c r="L8" s="242">
        <v>13.733444159463311</v>
      </c>
      <c r="M8" s="242">
        <v>12.392782443802011</v>
      </c>
      <c r="N8" s="242">
        <v>13.329247560640701</v>
      </c>
      <c r="O8" s="242">
        <v>12.707452688308241</v>
      </c>
      <c r="P8" s="242">
        <v>12.73930143733631</v>
      </c>
      <c r="Q8" s="242">
        <v>13.06061144615416</v>
      </c>
      <c r="R8" s="242">
        <v>13.316768079955351</v>
      </c>
      <c r="S8" s="242">
        <v>12.95291189680756</v>
      </c>
      <c r="T8" s="242">
        <v>12.590922060719359</v>
      </c>
      <c r="U8" s="242">
        <v>12.75420846201092</v>
      </c>
      <c r="V8" s="242">
        <v>12.40505835791976</v>
      </c>
      <c r="W8" s="242">
        <v>13.62809876447597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104.24573015565448</v>
      </c>
      <c r="C9" s="244">
        <f t="shared" ref="C9:W9" si="3">SUM(C10:C15)</f>
        <v>105.49044808289035</v>
      </c>
      <c r="D9" s="244">
        <f t="shared" si="3"/>
        <v>108.91190271970346</v>
      </c>
      <c r="E9" s="244">
        <f t="shared" si="3"/>
        <v>101.78275978886118</v>
      </c>
      <c r="F9" s="244">
        <f t="shared" si="3"/>
        <v>101.4662707494916</v>
      </c>
      <c r="G9" s="244">
        <f t="shared" si="3"/>
        <v>97.753894142127351</v>
      </c>
      <c r="H9" s="244">
        <f t="shared" si="3"/>
        <v>102.67633707731808</v>
      </c>
      <c r="I9" s="244">
        <f t="shared" si="3"/>
        <v>107.21187168682229</v>
      </c>
      <c r="J9" s="244">
        <f t="shared" si="3"/>
        <v>105.15468004949297</v>
      </c>
      <c r="K9" s="244">
        <f t="shared" si="3"/>
        <v>102.64736479909624</v>
      </c>
      <c r="L9" s="244">
        <f t="shared" si="3"/>
        <v>104.84725017755495</v>
      </c>
      <c r="M9" s="244">
        <f t="shared" si="3"/>
        <v>96.599769028401255</v>
      </c>
      <c r="N9" s="244">
        <f t="shared" si="3"/>
        <v>102.45952528981493</v>
      </c>
      <c r="O9" s="244">
        <f t="shared" si="3"/>
        <v>98.32726977878626</v>
      </c>
      <c r="P9" s="244">
        <f t="shared" si="3"/>
        <v>96.793433570489427</v>
      </c>
      <c r="Q9" s="244">
        <f t="shared" si="3"/>
        <v>101.02873266268833</v>
      </c>
      <c r="R9" s="244">
        <f t="shared" si="3"/>
        <v>102.77610718785213</v>
      </c>
      <c r="S9" s="244">
        <f t="shared" si="3"/>
        <v>100.91964209906608</v>
      </c>
      <c r="T9" s="244">
        <f t="shared" si="3"/>
        <v>96.185562663530007</v>
      </c>
      <c r="U9" s="244">
        <f t="shared" si="3"/>
        <v>101.5586161530922</v>
      </c>
      <c r="V9" s="244">
        <f t="shared" si="3"/>
        <v>101.0449934628343</v>
      </c>
      <c r="W9" s="244">
        <f t="shared" si="3"/>
        <v>102.30797411918307</v>
      </c>
      <c r="DA9" s="270"/>
    </row>
    <row r="10" spans="1:105" x14ac:dyDescent="0.25">
      <c r="A10" s="254" t="s">
        <v>173</v>
      </c>
      <c r="B10" s="255">
        <v>68.340458314218594</v>
      </c>
      <c r="C10" s="255">
        <v>66.96685546136672</v>
      </c>
      <c r="D10" s="255">
        <v>66.041243954877544</v>
      </c>
      <c r="E10" s="255">
        <v>69.979134586777278</v>
      </c>
      <c r="F10" s="255">
        <v>66.457726990156942</v>
      </c>
      <c r="G10" s="255">
        <v>67.350407167697398</v>
      </c>
      <c r="H10" s="255">
        <v>61.483133403939078</v>
      </c>
      <c r="I10" s="255">
        <v>61.147748961346807</v>
      </c>
      <c r="J10" s="255">
        <v>61.884315675153452</v>
      </c>
      <c r="K10" s="255">
        <v>60.108422719630767</v>
      </c>
      <c r="L10" s="255">
        <v>61.918676434435952</v>
      </c>
      <c r="M10" s="255">
        <v>60.505246295897457</v>
      </c>
      <c r="N10" s="255">
        <v>63.601949595858677</v>
      </c>
      <c r="O10" s="255">
        <v>62.003579825693564</v>
      </c>
      <c r="P10" s="255">
        <v>58.460991450659343</v>
      </c>
      <c r="Q10" s="255">
        <v>65.190296202490728</v>
      </c>
      <c r="R10" s="255">
        <v>64.005091595915559</v>
      </c>
      <c r="S10" s="255">
        <v>64.138930330377065</v>
      </c>
      <c r="T10" s="255">
        <v>58.120943497977741</v>
      </c>
      <c r="U10" s="255">
        <v>66.230590633643985</v>
      </c>
      <c r="V10" s="255">
        <v>69.566724973345188</v>
      </c>
      <c r="W10" s="255">
        <v>57.329502557459783</v>
      </c>
      <c r="DA10" s="271" t="s">
        <v>1017</v>
      </c>
    </row>
    <row r="11" spans="1:105" x14ac:dyDescent="0.25">
      <c r="A11" s="254" t="s">
        <v>176</v>
      </c>
      <c r="B11" s="256">
        <v>5.4166431147047467</v>
      </c>
      <c r="C11" s="256">
        <v>5.2362082993822936</v>
      </c>
      <c r="D11" s="256">
        <v>5.3993566898856624</v>
      </c>
      <c r="E11" s="256">
        <v>5.2809378622948913</v>
      </c>
      <c r="F11" s="256">
        <v>5.8181538602743172</v>
      </c>
      <c r="G11" s="256">
        <v>5.461432308231065</v>
      </c>
      <c r="H11" s="256">
        <v>4.882690661721294</v>
      </c>
      <c r="I11" s="256">
        <v>4.4201161582129034</v>
      </c>
      <c r="J11" s="256">
        <v>3.397406658829881</v>
      </c>
      <c r="K11" s="256">
        <v>3.824094800371852</v>
      </c>
      <c r="L11" s="256">
        <v>2.4182454294330462</v>
      </c>
      <c r="M11" s="256">
        <v>1.5919595025843389</v>
      </c>
      <c r="N11" s="256">
        <v>1.245114872829119</v>
      </c>
      <c r="O11" s="256">
        <v>0.87366808383749039</v>
      </c>
      <c r="P11" s="256">
        <v>0.65147689336114034</v>
      </c>
      <c r="Q11" s="256">
        <v>1.0824366546968229</v>
      </c>
      <c r="R11" s="256">
        <v>1.2782299281174849</v>
      </c>
      <c r="S11" s="256">
        <v>0.81965423823481054</v>
      </c>
      <c r="T11" s="256">
        <v>1.0188392313368499</v>
      </c>
      <c r="U11" s="256">
        <v>1.1019471764323019</v>
      </c>
      <c r="V11" s="256">
        <v>1.176611915318851</v>
      </c>
      <c r="W11" s="256">
        <v>1.455968839674491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5.901936777161918</v>
      </c>
      <c r="C14" s="255">
        <v>6.6679532297464812</v>
      </c>
      <c r="D14" s="255">
        <v>6.8420649713016246</v>
      </c>
      <c r="E14" s="255">
        <v>7.0683851652358776</v>
      </c>
      <c r="F14" s="255">
        <v>7.1728020700017634</v>
      </c>
      <c r="G14" s="255">
        <v>7.6602898762669698</v>
      </c>
      <c r="H14" s="255">
        <v>7.9736659409859492</v>
      </c>
      <c r="I14" s="255">
        <v>7.9214574886042843</v>
      </c>
      <c r="J14" s="255">
        <v>7.8344016178252023</v>
      </c>
      <c r="K14" s="255">
        <v>8.6178417796128048</v>
      </c>
      <c r="L14" s="255">
        <v>9.6798105877041092</v>
      </c>
      <c r="M14" s="255">
        <v>9.6798105877072107</v>
      </c>
      <c r="N14" s="255">
        <v>9.3838582321948341</v>
      </c>
      <c r="O14" s="255">
        <v>8.7745298119612158</v>
      </c>
      <c r="P14" s="255">
        <v>9.4012819413927016</v>
      </c>
      <c r="Q14" s="255">
        <v>8.7745298119615924</v>
      </c>
      <c r="R14" s="255">
        <v>9.5579699737505166</v>
      </c>
      <c r="S14" s="255">
        <v>9.766866458487943</v>
      </c>
      <c r="T14" s="255">
        <v>9.4883378121708084</v>
      </c>
      <c r="U14" s="255">
        <v>10.306562717127131</v>
      </c>
      <c r="V14" s="255">
        <v>9.5928173921348652</v>
      </c>
      <c r="W14" s="255">
        <v>12.343507137773109</v>
      </c>
      <c r="DA14" s="271" t="s">
        <v>1021</v>
      </c>
    </row>
    <row r="15" spans="1:105" x14ac:dyDescent="0.25">
      <c r="A15" s="254" t="s">
        <v>24</v>
      </c>
      <c r="B15" s="256">
        <v>24.586691949569222</v>
      </c>
      <c r="C15" s="256">
        <v>26.619431092394851</v>
      </c>
      <c r="D15" s="256">
        <v>30.62923710363863</v>
      </c>
      <c r="E15" s="256">
        <v>19.454302174553131</v>
      </c>
      <c r="F15" s="256">
        <v>22.01758782905857</v>
      </c>
      <c r="G15" s="256">
        <v>17.281764789931909</v>
      </c>
      <c r="H15" s="256">
        <v>28.336847070671752</v>
      </c>
      <c r="I15" s="256">
        <v>33.722549078658297</v>
      </c>
      <c r="J15" s="256">
        <v>32.03855609768442</v>
      </c>
      <c r="K15" s="256">
        <v>30.097005499480819</v>
      </c>
      <c r="L15" s="256">
        <v>30.830517725981849</v>
      </c>
      <c r="M15" s="256">
        <v>24.822752642212251</v>
      </c>
      <c r="N15" s="256">
        <v>28.228602588932311</v>
      </c>
      <c r="O15" s="256">
        <v>26.67549205729399</v>
      </c>
      <c r="P15" s="256">
        <v>28.279683285076249</v>
      </c>
      <c r="Q15" s="256">
        <v>25.981469993539179</v>
      </c>
      <c r="R15" s="256">
        <v>27.934815690068579</v>
      </c>
      <c r="S15" s="256">
        <v>26.194191071966269</v>
      </c>
      <c r="T15" s="256">
        <v>27.557442122044609</v>
      </c>
      <c r="U15" s="256">
        <v>23.919515625888771</v>
      </c>
      <c r="V15" s="256">
        <v>20.708839182035401</v>
      </c>
      <c r="W15" s="256">
        <v>31.178995584275679</v>
      </c>
      <c r="DA15" s="272" t="s">
        <v>1022</v>
      </c>
    </row>
    <row r="16" spans="1:105" x14ac:dyDescent="0.25">
      <c r="A16" s="257" t="s">
        <v>175</v>
      </c>
      <c r="B16" s="258">
        <v>69.804868991831427</v>
      </c>
      <c r="C16" s="258">
        <v>69.765816368224293</v>
      </c>
      <c r="D16" s="258">
        <v>70.770128243733481</v>
      </c>
      <c r="E16" s="258">
        <v>69.591700567387207</v>
      </c>
      <c r="F16" s="258">
        <v>68.101370577681521</v>
      </c>
      <c r="G16" s="258">
        <v>66.955117036020198</v>
      </c>
      <c r="H16" s="258">
        <v>66.529310102544315</v>
      </c>
      <c r="I16" s="258">
        <v>68.048704631962593</v>
      </c>
      <c r="J16" s="258">
        <v>67.458475045034675</v>
      </c>
      <c r="K16" s="258">
        <v>65.862403000450342</v>
      </c>
      <c r="L16" s="258">
        <v>67.190000834311448</v>
      </c>
      <c r="M16" s="258">
        <v>63.152533199209607</v>
      </c>
      <c r="N16" s="258">
        <v>66.766360380386161</v>
      </c>
      <c r="O16" s="258">
        <v>64.545371752599408</v>
      </c>
      <c r="P16" s="258">
        <v>62.320346439286773</v>
      </c>
      <c r="Q16" s="258">
        <v>66.697306788598311</v>
      </c>
      <c r="R16" s="258">
        <v>67.08373858492368</v>
      </c>
      <c r="S16" s="258">
        <v>66.35675318214679</v>
      </c>
      <c r="T16" s="258">
        <v>61.996552729978383</v>
      </c>
      <c r="U16" s="258">
        <v>67.471156351170549</v>
      </c>
      <c r="V16" s="258">
        <v>68.41906980512087</v>
      </c>
      <c r="W16" s="258">
        <v>63.750844758721612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108.41250758795539</v>
      </c>
      <c r="C17" s="258">
        <f t="shared" ref="C17:W17" si="5">SUM(C18:C24)</f>
        <v>110.52451100371864</v>
      </c>
      <c r="D17" s="258">
        <f t="shared" si="5"/>
        <v>114.91404741804091</v>
      </c>
      <c r="E17" s="258">
        <f t="shared" si="5"/>
        <v>115.88083457427378</v>
      </c>
      <c r="F17" s="258">
        <f t="shared" si="5"/>
        <v>112.27897403302211</v>
      </c>
      <c r="G17" s="258">
        <f t="shared" si="5"/>
        <v>115.02600637096447</v>
      </c>
      <c r="H17" s="258">
        <f t="shared" si="5"/>
        <v>115.39497625337762</v>
      </c>
      <c r="I17" s="258">
        <f t="shared" si="5"/>
        <v>117.93439589724058</v>
      </c>
      <c r="J17" s="258">
        <f t="shared" si="5"/>
        <v>114.39189348290593</v>
      </c>
      <c r="K17" s="258">
        <f t="shared" si="5"/>
        <v>115.60417421404394</v>
      </c>
      <c r="L17" s="258">
        <f t="shared" si="5"/>
        <v>108.95920090268186</v>
      </c>
      <c r="M17" s="258">
        <f t="shared" si="5"/>
        <v>95.383580252936198</v>
      </c>
      <c r="N17" s="258">
        <f t="shared" si="5"/>
        <v>103.24558273861922</v>
      </c>
      <c r="O17" s="258">
        <f t="shared" si="5"/>
        <v>102.78524617469861</v>
      </c>
      <c r="P17" s="258">
        <f t="shared" si="5"/>
        <v>96.048711029268844</v>
      </c>
      <c r="Q17" s="258">
        <f t="shared" si="5"/>
        <v>97.487320853243872</v>
      </c>
      <c r="R17" s="258">
        <f t="shared" si="5"/>
        <v>104.17569279941176</v>
      </c>
      <c r="S17" s="258">
        <f t="shared" si="5"/>
        <v>102.23710853702957</v>
      </c>
      <c r="T17" s="258">
        <f t="shared" si="5"/>
        <v>96.101737945233253</v>
      </c>
      <c r="U17" s="258">
        <f t="shared" si="5"/>
        <v>102.79074548805443</v>
      </c>
      <c r="V17" s="258">
        <f t="shared" si="5"/>
        <v>97.818463664591548</v>
      </c>
      <c r="W17" s="258">
        <f t="shared" si="5"/>
        <v>91.975129285684986</v>
      </c>
      <c r="DA17" s="273"/>
    </row>
    <row r="18" spans="1:105" x14ac:dyDescent="0.25">
      <c r="A18" s="61" t="s">
        <v>29</v>
      </c>
      <c r="B18" s="55">
        <v>5.6485110202550546</v>
      </c>
      <c r="C18" s="55">
        <v>6.3882106141410278</v>
      </c>
      <c r="D18" s="55">
        <v>7.324163909788191</v>
      </c>
      <c r="E18" s="55">
        <v>8.0013558916658631</v>
      </c>
      <c r="F18" s="55">
        <v>8.6890742900647293</v>
      </c>
      <c r="G18" s="55">
        <v>7.6148186945300953</v>
      </c>
      <c r="H18" s="55">
        <v>7.5459144328141594</v>
      </c>
      <c r="I18" s="55">
        <v>8.9608533470899712</v>
      </c>
      <c r="J18" s="55">
        <v>10.361719632020151</v>
      </c>
      <c r="K18" s="55">
        <v>12.01557902378495</v>
      </c>
      <c r="L18" s="55">
        <v>14.38855650848274</v>
      </c>
      <c r="M18" s="55">
        <v>11.892494016871879</v>
      </c>
      <c r="N18" s="55">
        <v>13.18457236807807</v>
      </c>
      <c r="O18" s="55">
        <v>11.91707061837219</v>
      </c>
      <c r="P18" s="55">
        <v>11.264500126744499</v>
      </c>
      <c r="Q18" s="55">
        <v>11.769162121728471</v>
      </c>
      <c r="R18" s="55">
        <v>13.27657190187238</v>
      </c>
      <c r="S18" s="55">
        <v>13.390073156423551</v>
      </c>
      <c r="T18" s="55">
        <v>13.42324595734229</v>
      </c>
      <c r="U18" s="55">
        <v>13.157212662873601</v>
      </c>
      <c r="V18" s="55">
        <v>8.5102374310103581</v>
      </c>
      <c r="W18" s="55">
        <v>8.0998642970769641</v>
      </c>
      <c r="DA18" s="101" t="s">
        <v>1024</v>
      </c>
    </row>
    <row r="19" spans="1:105" x14ac:dyDescent="0.25">
      <c r="A19" s="61" t="s">
        <v>27</v>
      </c>
      <c r="B19" s="55">
        <v>1.6715572172137341</v>
      </c>
      <c r="C19" s="55">
        <v>1.3372301437067371</v>
      </c>
      <c r="D19" s="55">
        <v>1.3372301437067271</v>
      </c>
      <c r="E19" s="55">
        <v>1.3372301437067791</v>
      </c>
      <c r="F19" s="55">
        <v>1.3372301437056859</v>
      </c>
      <c r="G19" s="55">
        <v>1.337230143706267</v>
      </c>
      <c r="H19" s="55">
        <v>1.671557217212142</v>
      </c>
      <c r="I19" s="55">
        <v>1.67155721721249</v>
      </c>
      <c r="J19" s="55">
        <v>1.3372301437060701</v>
      </c>
      <c r="K19" s="55">
        <v>1.337230143705167</v>
      </c>
      <c r="L19" s="55">
        <v>1.3372301437065151</v>
      </c>
      <c r="M19" s="55">
        <v>1.3372301437052789</v>
      </c>
      <c r="N19" s="55">
        <v>1.6715572172115261</v>
      </c>
      <c r="O19" s="55">
        <v>1.3401217055857659</v>
      </c>
      <c r="P19" s="55">
        <v>1.3401217055845409</v>
      </c>
      <c r="Q19" s="55">
        <v>1.005091279188862</v>
      </c>
      <c r="R19" s="55">
        <v>1.005091279188072</v>
      </c>
      <c r="S19" s="55">
        <v>1.005091279187996</v>
      </c>
      <c r="T19" s="55">
        <v>0.67006085279217398</v>
      </c>
      <c r="U19" s="55">
        <v>0.67006085279297234</v>
      </c>
      <c r="V19" s="55">
        <v>0.67006085279304239</v>
      </c>
      <c r="W19" s="55">
        <v>1.340121705583933</v>
      </c>
      <c r="DA19" s="101" t="s">
        <v>1025</v>
      </c>
    </row>
    <row r="20" spans="1:105" x14ac:dyDescent="0.25">
      <c r="A20" s="61" t="s">
        <v>173</v>
      </c>
      <c r="B20" s="55">
        <v>29.16059791176432</v>
      </c>
      <c r="C20" s="55">
        <v>27.738289092623521</v>
      </c>
      <c r="D20" s="55">
        <v>26.591475035452699</v>
      </c>
      <c r="E20" s="55">
        <v>25.055414171220011</v>
      </c>
      <c r="F20" s="55">
        <v>24.849612306326431</v>
      </c>
      <c r="G20" s="55">
        <v>22.59315519704932</v>
      </c>
      <c r="H20" s="55">
        <v>21.741072696639311</v>
      </c>
      <c r="I20" s="55">
        <v>22.207128373065601</v>
      </c>
      <c r="J20" s="55">
        <v>23.082174342201242</v>
      </c>
      <c r="K20" s="55">
        <v>20.886246845264591</v>
      </c>
      <c r="L20" s="55">
        <v>24.857762349328759</v>
      </c>
      <c r="M20" s="55">
        <v>27.377058210769061</v>
      </c>
      <c r="N20" s="55">
        <v>27.373772575905949</v>
      </c>
      <c r="O20" s="55">
        <v>24.750817110082799</v>
      </c>
      <c r="P20" s="55">
        <v>25.519256132791849</v>
      </c>
      <c r="Q20" s="55">
        <v>30.93209812415121</v>
      </c>
      <c r="R20" s="55">
        <v>27.157620863527121</v>
      </c>
      <c r="S20" s="55">
        <v>27.401386047963829</v>
      </c>
      <c r="T20" s="55">
        <v>25.079365139801869</v>
      </c>
      <c r="U20" s="55">
        <v>28.638010763036579</v>
      </c>
      <c r="V20" s="55">
        <v>33.658629969701622</v>
      </c>
      <c r="W20" s="55">
        <v>30.074091109099601</v>
      </c>
      <c r="DA20" s="101" t="s">
        <v>1026</v>
      </c>
    </row>
    <row r="21" spans="1:105" x14ac:dyDescent="0.25">
      <c r="A21" s="61" t="s">
        <v>129</v>
      </c>
      <c r="B21" s="55">
        <v>45.54293911178307</v>
      </c>
      <c r="C21" s="55">
        <v>45.190888179354928</v>
      </c>
      <c r="D21" s="55">
        <v>48.217606956703463</v>
      </c>
      <c r="E21" s="55">
        <v>49.354425518866812</v>
      </c>
      <c r="F21" s="55">
        <v>44.95655123069443</v>
      </c>
      <c r="G21" s="55">
        <v>50.742039166986693</v>
      </c>
      <c r="H21" s="55">
        <v>50.262176521888321</v>
      </c>
      <c r="I21" s="55">
        <v>51.1294901832634</v>
      </c>
      <c r="J21" s="55">
        <v>47.019134215663193</v>
      </c>
      <c r="K21" s="55">
        <v>45.376988161186517</v>
      </c>
      <c r="L21" s="55">
        <v>27.144087915334001</v>
      </c>
      <c r="M21" s="55">
        <v>19.98588918588208</v>
      </c>
      <c r="N21" s="55">
        <v>19.32173718616475</v>
      </c>
      <c r="O21" s="55">
        <v>18.16785694425807</v>
      </c>
      <c r="P21" s="55">
        <v>14.334573370767171</v>
      </c>
      <c r="Q21" s="55">
        <v>14.37125017897848</v>
      </c>
      <c r="R21" s="55">
        <v>18.821957641446929</v>
      </c>
      <c r="S21" s="55">
        <v>18.26423802503545</v>
      </c>
      <c r="T21" s="55">
        <v>15.75141239961769</v>
      </c>
      <c r="U21" s="55">
        <v>19.678964655469059</v>
      </c>
      <c r="V21" s="55">
        <v>18.33903085799809</v>
      </c>
      <c r="W21" s="55">
        <v>12.23399042692655</v>
      </c>
      <c r="DA21" s="101" t="s">
        <v>1027</v>
      </c>
    </row>
    <row r="22" spans="1:105" x14ac:dyDescent="0.25">
      <c r="A22" s="61" t="s">
        <v>176</v>
      </c>
      <c r="B22" s="55">
        <v>2.2559164066246611</v>
      </c>
      <c r="C22" s="55">
        <v>2.1169515636401082</v>
      </c>
      <c r="D22" s="55">
        <v>2.12199054705061</v>
      </c>
      <c r="E22" s="55">
        <v>1.845518143324721</v>
      </c>
      <c r="F22" s="55">
        <v>2.1234086343691381</v>
      </c>
      <c r="G22" s="55">
        <v>1.7882056308446901</v>
      </c>
      <c r="H22" s="55">
        <v>1.6852270806240821</v>
      </c>
      <c r="I22" s="55">
        <v>1.566822698860733</v>
      </c>
      <c r="J22" s="55">
        <v>1.23685247018343</v>
      </c>
      <c r="K22" s="55">
        <v>1.296964137172848</v>
      </c>
      <c r="L22" s="55">
        <v>0.94757803655119366</v>
      </c>
      <c r="M22" s="55">
        <v>0.70307232771245287</v>
      </c>
      <c r="N22" s="55">
        <v>0.52305564097352397</v>
      </c>
      <c r="O22" s="55">
        <v>0.34040308719344919</v>
      </c>
      <c r="P22" s="55">
        <v>0.27757164178207688</v>
      </c>
      <c r="Q22" s="55">
        <v>0.5013062950574515</v>
      </c>
      <c r="R22" s="55">
        <v>0.5293713366887004</v>
      </c>
      <c r="S22" s="55">
        <v>0.34178716546451021</v>
      </c>
      <c r="T22" s="55">
        <v>0.42910520772513489</v>
      </c>
      <c r="U22" s="55">
        <v>0.46507097842060569</v>
      </c>
      <c r="V22" s="55">
        <v>0.55565133395461752</v>
      </c>
      <c r="W22" s="55">
        <v>0.74548800667261406</v>
      </c>
      <c r="DA22" s="101" t="s">
        <v>1028</v>
      </c>
    </row>
    <row r="23" spans="1:105" x14ac:dyDescent="0.25">
      <c r="A23" s="61" t="s">
        <v>171</v>
      </c>
      <c r="B23" s="55">
        <v>24.13298592031456</v>
      </c>
      <c r="C23" s="55">
        <v>27.752941410252301</v>
      </c>
      <c r="D23" s="55">
        <v>29.321580825339211</v>
      </c>
      <c r="E23" s="55">
        <v>30.286890705489579</v>
      </c>
      <c r="F23" s="55">
        <v>30.3230974278617</v>
      </c>
      <c r="G23" s="55">
        <v>30.950557537847409</v>
      </c>
      <c r="H23" s="55">
        <v>32.489028304199593</v>
      </c>
      <c r="I23" s="55">
        <v>32.398544077748383</v>
      </c>
      <c r="J23" s="55">
        <v>31.354782679131841</v>
      </c>
      <c r="K23" s="55">
        <v>34.691165902929868</v>
      </c>
      <c r="L23" s="55">
        <v>40.283985949278652</v>
      </c>
      <c r="M23" s="55">
        <v>34.087836367995443</v>
      </c>
      <c r="N23" s="55">
        <v>41.170887750285409</v>
      </c>
      <c r="O23" s="55">
        <v>46.268976709206342</v>
      </c>
      <c r="P23" s="55">
        <v>43.31268805159872</v>
      </c>
      <c r="Q23" s="55">
        <v>38.908412854139399</v>
      </c>
      <c r="R23" s="55">
        <v>43.385079776688571</v>
      </c>
      <c r="S23" s="55">
        <v>41.834532862954227</v>
      </c>
      <c r="T23" s="55">
        <v>40.748548387954088</v>
      </c>
      <c r="U23" s="55">
        <v>40.18142557546161</v>
      </c>
      <c r="V23" s="55">
        <v>36.084853219133826</v>
      </c>
      <c r="W23" s="55">
        <v>39.481573740325317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9.3895111179637478</v>
      </c>
      <c r="C25" s="258">
        <v>9.3842581170077803</v>
      </c>
      <c r="D25" s="258">
        <v>9.5193489445845838</v>
      </c>
      <c r="E25" s="258">
        <v>9.3608376554929205</v>
      </c>
      <c r="F25" s="258">
        <v>9.1603721262271449</v>
      </c>
      <c r="G25" s="258">
        <v>9.0061886068125609</v>
      </c>
      <c r="H25" s="258">
        <v>8.9489129612347984</v>
      </c>
      <c r="I25" s="258">
        <v>9.1532879859657523</v>
      </c>
      <c r="J25" s="258">
        <v>9.0738957122081807</v>
      </c>
      <c r="K25" s="258">
        <v>8.8592067309932876</v>
      </c>
      <c r="L25" s="258">
        <v>9.0377830223216495</v>
      </c>
      <c r="M25" s="258">
        <v>8.4946998850602089</v>
      </c>
      <c r="N25" s="258">
        <v>8.980798791714232</v>
      </c>
      <c r="O25" s="258">
        <v>8.6820517599575346</v>
      </c>
      <c r="P25" s="258">
        <v>8.3827617502657361</v>
      </c>
      <c r="Q25" s="258">
        <v>8.9715103355192447</v>
      </c>
      <c r="R25" s="258">
        <v>9.0234895985754733</v>
      </c>
      <c r="S25" s="258">
        <v>8.9257021860273618</v>
      </c>
      <c r="T25" s="258">
        <v>8.3392079885097505</v>
      </c>
      <c r="U25" s="258">
        <v>9.0756014852677485</v>
      </c>
      <c r="V25" s="258">
        <v>9.2031061141465145</v>
      </c>
      <c r="W25" s="258">
        <v>8.5751792716872526</v>
      </c>
      <c r="DA25" s="273" t="s">
        <v>1031</v>
      </c>
    </row>
    <row r="26" spans="1:105" x14ac:dyDescent="0.25">
      <c r="A26" s="257" t="s">
        <v>177</v>
      </c>
      <c r="B26" s="258">
        <v>10.190717063114411</v>
      </c>
      <c r="C26" s="258">
        <v>10.431196294794059</v>
      </c>
      <c r="D26" s="258">
        <v>10.99497196252891</v>
      </c>
      <c r="E26" s="258">
        <v>9.3356374330981797</v>
      </c>
      <c r="F26" s="258">
        <v>9.6103322594625986</v>
      </c>
      <c r="G26" s="258">
        <v>8.7363899043539774</v>
      </c>
      <c r="H26" s="258">
        <v>10.2134225380532</v>
      </c>
      <c r="I26" s="258">
        <v>10.972070883436009</v>
      </c>
      <c r="J26" s="258">
        <v>10.726591379923841</v>
      </c>
      <c r="K26" s="258">
        <v>10.32273397646669</v>
      </c>
      <c r="L26" s="258">
        <v>10.63206166098467</v>
      </c>
      <c r="M26" s="258">
        <v>9.5941575590037864</v>
      </c>
      <c r="N26" s="258">
        <v>10.319143567610331</v>
      </c>
      <c r="O26" s="258">
        <v>9.8377667661058581</v>
      </c>
      <c r="P26" s="258">
        <v>9.8624232076772369</v>
      </c>
      <c r="Q26" s="258">
        <v>10.111172741033659</v>
      </c>
      <c r="R26" s="258">
        <v>10.309482290613611</v>
      </c>
      <c r="S26" s="258">
        <v>10.027794657850921</v>
      </c>
      <c r="T26" s="258">
        <v>9.747551900589805</v>
      </c>
      <c r="U26" s="258">
        <v>9.873963823686017</v>
      </c>
      <c r="V26" s="258">
        <v>9.6036612402602426</v>
      </c>
      <c r="W26" s="258">
        <v>10.55050610054397</v>
      </c>
      <c r="DA26" s="273" t="s">
        <v>1032</v>
      </c>
    </row>
    <row r="27" spans="1:105" x14ac:dyDescent="0.25">
      <c r="A27" s="129" t="s">
        <v>33</v>
      </c>
      <c r="B27" s="259">
        <v>15.53131263840984</v>
      </c>
      <c r="C27" s="259">
        <v>15.89781855817283</v>
      </c>
      <c r="D27" s="259">
        <v>16.757049179461639</v>
      </c>
      <c r="E27" s="259">
        <v>14.22811591709304</v>
      </c>
      <c r="F27" s="259">
        <v>14.646768618566</v>
      </c>
      <c r="G27" s="259">
        <v>13.314823882874171</v>
      </c>
      <c r="H27" s="259">
        <v>15.565917252363279</v>
      </c>
      <c r="I27" s="259">
        <v>16.722146452112241</v>
      </c>
      <c r="J27" s="259">
        <v>16.348019794316102</v>
      </c>
      <c r="K27" s="259">
        <v>15.732514962263339</v>
      </c>
      <c r="L27" s="259">
        <v>16.20395038198992</v>
      </c>
      <c r="M27" s="259">
        <v>14.622117327778261</v>
      </c>
      <c r="N27" s="259">
        <v>15.72704294669246</v>
      </c>
      <c r="O27" s="259">
        <v>14.993393532746421</v>
      </c>
      <c r="P27" s="259">
        <v>15.03097154617021</v>
      </c>
      <c r="Q27" s="259">
        <v>15.410081941178721</v>
      </c>
      <c r="R27" s="259">
        <v>15.71231853499571</v>
      </c>
      <c r="S27" s="259">
        <v>15.28300834379765</v>
      </c>
      <c r="T27" s="259">
        <v>14.855900236417609</v>
      </c>
      <c r="U27" s="259">
        <v>15.048560192205819</v>
      </c>
      <c r="V27" s="259">
        <v>14.636601553362739</v>
      </c>
      <c r="W27" s="259">
        <v>16.07965442727345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0.99999999999999978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1.0000000000000002</v>
      </c>
      <c r="K31" s="236">
        <f t="shared" si="6"/>
        <v>1.0000000000000002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0.99999999999999978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2.9561594058497849E-2</v>
      </c>
      <c r="C32" s="245">
        <f t="shared" si="8"/>
        <v>2.9861574498077834E-2</v>
      </c>
      <c r="D32" s="245">
        <f t="shared" si="8"/>
        <v>3.0435553866509292E-2</v>
      </c>
      <c r="E32" s="245">
        <f t="shared" si="8"/>
        <v>2.7074713278647411E-2</v>
      </c>
      <c r="F32" s="245">
        <f t="shared" si="8"/>
        <v>2.8204366212242652E-2</v>
      </c>
      <c r="G32" s="245">
        <f t="shared" si="8"/>
        <v>2.6176585154376736E-2</v>
      </c>
      <c r="H32" s="245">
        <f t="shared" si="8"/>
        <v>2.9473055187282781E-2</v>
      </c>
      <c r="I32" s="245">
        <f t="shared" si="8"/>
        <v>3.0530765604429574E-2</v>
      </c>
      <c r="J32" s="245">
        <f t="shared" si="8"/>
        <v>3.0488156662298954E-2</v>
      </c>
      <c r="K32" s="245">
        <f t="shared" si="8"/>
        <v>2.9786621447809126E-2</v>
      </c>
      <c r="L32" s="245">
        <f t="shared" si="8"/>
        <v>3.0788932565625111E-2</v>
      </c>
      <c r="M32" s="245">
        <f t="shared" si="8"/>
        <v>3.0602967551708125E-2</v>
      </c>
      <c r="N32" s="245">
        <f t="shared" si="8"/>
        <v>3.0793106153677922E-2</v>
      </c>
      <c r="O32" s="245">
        <f t="shared" si="8"/>
        <v>3.0228544747960391E-2</v>
      </c>
      <c r="P32" s="245">
        <f t="shared" si="8"/>
        <v>3.1321630727470358E-2</v>
      </c>
      <c r="Q32" s="245">
        <f t="shared" si="8"/>
        <v>3.0942153019744546E-2</v>
      </c>
      <c r="R32" s="245">
        <f t="shared" si="8"/>
        <v>3.0623467787969365E-2</v>
      </c>
      <c r="S32" s="245">
        <f t="shared" si="8"/>
        <v>3.0337360947127263E-2</v>
      </c>
      <c r="T32" s="245">
        <f t="shared" si="8"/>
        <v>3.1108769298683333E-2</v>
      </c>
      <c r="U32" s="245">
        <f t="shared" si="8"/>
        <v>2.9727957238448458E-2</v>
      </c>
      <c r="V32" s="245">
        <f t="shared" si="8"/>
        <v>2.9431712594316681E-2</v>
      </c>
      <c r="W32" s="245">
        <f t="shared" si="8"/>
        <v>3.2801283259114578E-2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1.9054166198525145E-2</v>
      </c>
      <c r="C33" s="246">
        <f t="shared" si="9"/>
        <v>1.9247521033881897E-2</v>
      </c>
      <c r="D33" s="246">
        <f t="shared" si="9"/>
        <v>1.9617484110263202E-2</v>
      </c>
      <c r="E33" s="246">
        <f t="shared" si="9"/>
        <v>1.745122693884181E-2</v>
      </c>
      <c r="F33" s="246">
        <f t="shared" si="9"/>
        <v>1.8179353937026729E-2</v>
      </c>
      <c r="G33" s="246">
        <f t="shared" si="9"/>
        <v>1.6872331142033316E-2</v>
      </c>
      <c r="H33" s="246">
        <f t="shared" si="9"/>
        <v>1.8997097748027408E-2</v>
      </c>
      <c r="I33" s="246">
        <f t="shared" si="9"/>
        <v>1.9678853611339284E-2</v>
      </c>
      <c r="J33" s="246">
        <f t="shared" si="9"/>
        <v>1.9651389670683916E-2</v>
      </c>
      <c r="K33" s="246">
        <f t="shared" si="9"/>
        <v>1.9199209434917347E-2</v>
      </c>
      <c r="L33" s="246">
        <f t="shared" si="9"/>
        <v>1.9845257228676486E-2</v>
      </c>
      <c r="M33" s="246">
        <f t="shared" si="9"/>
        <v>1.9725391964466668E-2</v>
      </c>
      <c r="N33" s="246">
        <f t="shared" si="9"/>
        <v>1.9847947348845409E-2</v>
      </c>
      <c r="O33" s="246">
        <f t="shared" si="9"/>
        <v>1.9484054697030764E-2</v>
      </c>
      <c r="P33" s="246">
        <f t="shared" si="9"/>
        <v>2.0188612167160603E-2</v>
      </c>
      <c r="Q33" s="246">
        <f t="shared" si="9"/>
        <v>1.994401672019875E-2</v>
      </c>
      <c r="R33" s="246">
        <f t="shared" si="9"/>
        <v>1.973860555870174E-2</v>
      </c>
      <c r="S33" s="246">
        <f t="shared" si="9"/>
        <v>1.9554193064397374E-2</v>
      </c>
      <c r="T33" s="246">
        <f t="shared" si="9"/>
        <v>2.0051410599703268E-2</v>
      </c>
      <c r="U33" s="246">
        <f t="shared" si="9"/>
        <v>1.9161396941015599E-2</v>
      </c>
      <c r="V33" s="246">
        <f t="shared" si="9"/>
        <v>1.8970450043039131E-2</v>
      </c>
      <c r="W33" s="246">
        <f t="shared" si="9"/>
        <v>2.1142334256646945E-2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3.7865053231879775E-2</v>
      </c>
      <c r="C34" s="246">
        <f t="shared" si="10"/>
        <v>3.8249294192997843E-2</v>
      </c>
      <c r="D34" s="246">
        <f t="shared" si="10"/>
        <v>3.8984496743193542E-2</v>
      </c>
      <c r="E34" s="246">
        <f t="shared" si="10"/>
        <v>3.4679640668401776E-2</v>
      </c>
      <c r="F34" s="246">
        <f t="shared" si="10"/>
        <v>3.6126598108500892E-2</v>
      </c>
      <c r="G34" s="246">
        <f t="shared" si="10"/>
        <v>3.35292402817629E-2</v>
      </c>
      <c r="H34" s="246">
        <f t="shared" si="10"/>
        <v>3.7751644967595546E-2</v>
      </c>
      <c r="I34" s="246">
        <f t="shared" si="10"/>
        <v>3.9106452193820362E-2</v>
      </c>
      <c r="J34" s="246">
        <f t="shared" si="10"/>
        <v>3.9051874965720358E-2</v>
      </c>
      <c r="K34" s="246">
        <f t="shared" si="10"/>
        <v>3.8153287826335029E-2</v>
      </c>
      <c r="L34" s="246">
        <f t="shared" si="10"/>
        <v>3.9437134825786632E-2</v>
      </c>
      <c r="M34" s="246">
        <f t="shared" si="10"/>
        <v>3.9198934709199558E-2</v>
      </c>
      <c r="N34" s="246">
        <f t="shared" si="10"/>
        <v>3.9442480719295431E-2</v>
      </c>
      <c r="O34" s="246">
        <f t="shared" si="10"/>
        <v>3.871934151246316E-2</v>
      </c>
      <c r="P34" s="246">
        <f t="shared" si="10"/>
        <v>4.0119460826707948E-2</v>
      </c>
      <c r="Q34" s="246">
        <f t="shared" si="10"/>
        <v>3.9633392870598513E-2</v>
      </c>
      <c r="R34" s="246">
        <f t="shared" si="10"/>
        <v>3.9225193189569782E-2</v>
      </c>
      <c r="S34" s="246">
        <f t="shared" si="10"/>
        <v>3.8858722736824433E-2</v>
      </c>
      <c r="T34" s="246">
        <f t="shared" si="10"/>
        <v>3.9846809449516116E-2</v>
      </c>
      <c r="U34" s="246">
        <f t="shared" si="10"/>
        <v>3.8078145619664723E-2</v>
      </c>
      <c r="V34" s="246">
        <f t="shared" si="10"/>
        <v>3.7698689789322455E-2</v>
      </c>
      <c r="W34" s="246">
        <f t="shared" si="10"/>
        <v>4.2014728103720304E-2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0.29986800061732671</v>
      </c>
      <c r="C35" s="247">
        <f t="shared" si="11"/>
        <v>0.29946113428448706</v>
      </c>
      <c r="D35" s="247">
        <f t="shared" si="11"/>
        <v>0.29895868322690022</v>
      </c>
      <c r="E35" s="247">
        <f t="shared" si="11"/>
        <v>0.29271356912872609</v>
      </c>
      <c r="F35" s="247">
        <f t="shared" si="11"/>
        <v>0.29528975831177867</v>
      </c>
      <c r="G35" s="247">
        <f t="shared" si="11"/>
        <v>0.29044492509468661</v>
      </c>
      <c r="H35" s="247">
        <f t="shared" si="11"/>
        <v>0.29381432651303108</v>
      </c>
      <c r="I35" s="247">
        <f t="shared" si="11"/>
        <v>0.29582897700851579</v>
      </c>
      <c r="J35" s="247">
        <f t="shared" si="11"/>
        <v>0.2963785576865578</v>
      </c>
      <c r="K35" s="247">
        <f t="shared" si="11"/>
        <v>0.29371292516006769</v>
      </c>
      <c r="L35" s="247">
        <f t="shared" si="11"/>
        <v>0.30108071168119876</v>
      </c>
      <c r="M35" s="247">
        <f t="shared" si="11"/>
        <v>0.30554946447574011</v>
      </c>
      <c r="N35" s="247">
        <f t="shared" si="11"/>
        <v>0.30318724536896785</v>
      </c>
      <c r="O35" s="247">
        <f t="shared" si="11"/>
        <v>0.29960112635758918</v>
      </c>
      <c r="P35" s="247">
        <f t="shared" si="11"/>
        <v>0.30482836013540293</v>
      </c>
      <c r="Q35" s="247">
        <f t="shared" si="11"/>
        <v>0.30657917275519664</v>
      </c>
      <c r="R35" s="247">
        <f t="shared" si="11"/>
        <v>0.30273206197707908</v>
      </c>
      <c r="S35" s="247">
        <f t="shared" si="11"/>
        <v>0.30275882537220861</v>
      </c>
      <c r="T35" s="247">
        <f t="shared" si="11"/>
        <v>0.3044008825378432</v>
      </c>
      <c r="U35" s="247">
        <f t="shared" si="11"/>
        <v>0.30320688158168568</v>
      </c>
      <c r="V35" s="247">
        <f t="shared" si="11"/>
        <v>0.30707343354717537</v>
      </c>
      <c r="W35" s="247">
        <f t="shared" si="11"/>
        <v>0.31541022630864496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0.20079715942974297</v>
      </c>
      <c r="C36" s="260">
        <f t="shared" si="12"/>
        <v>0.19804779374427747</v>
      </c>
      <c r="D36" s="260">
        <f t="shared" si="12"/>
        <v>0.19426108463090699</v>
      </c>
      <c r="E36" s="260">
        <f t="shared" si="12"/>
        <v>0.20013639929860483</v>
      </c>
      <c r="F36" s="260">
        <f t="shared" si="12"/>
        <v>0.19819036523213515</v>
      </c>
      <c r="G36" s="260">
        <f t="shared" si="12"/>
        <v>0.19893605388199276</v>
      </c>
      <c r="H36" s="260">
        <f t="shared" si="12"/>
        <v>0.1903775007715364</v>
      </c>
      <c r="I36" s="260">
        <f t="shared" si="12"/>
        <v>0.1877663206629987</v>
      </c>
      <c r="J36" s="260">
        <f t="shared" si="12"/>
        <v>0.19013177091282901</v>
      </c>
      <c r="K36" s="260">
        <f t="shared" si="12"/>
        <v>0.1884572398053789</v>
      </c>
      <c r="L36" s="260">
        <f t="shared" si="12"/>
        <v>0.19294367028984283</v>
      </c>
      <c r="M36" s="260">
        <f t="shared" si="12"/>
        <v>0.19975433578554025</v>
      </c>
      <c r="N36" s="260">
        <f t="shared" si="12"/>
        <v>0.19756785745183728</v>
      </c>
      <c r="O36" s="260">
        <f t="shared" si="12"/>
        <v>0.19666839241803269</v>
      </c>
      <c r="P36" s="260">
        <f t="shared" si="12"/>
        <v>0.19626340659073208</v>
      </c>
      <c r="Q36" s="260">
        <f t="shared" si="12"/>
        <v>0.20239791791231521</v>
      </c>
      <c r="R36" s="260">
        <f t="shared" si="12"/>
        <v>0.19759844055803746</v>
      </c>
      <c r="S36" s="260">
        <f t="shared" si="12"/>
        <v>0.19907019318617108</v>
      </c>
      <c r="T36" s="260">
        <f t="shared" si="12"/>
        <v>0.19620205821663128</v>
      </c>
      <c r="U36" s="260">
        <f t="shared" si="12"/>
        <v>0.20143755093226409</v>
      </c>
      <c r="V36" s="260">
        <f t="shared" si="12"/>
        <v>0.20792399469935122</v>
      </c>
      <c r="W36" s="260">
        <f t="shared" si="12"/>
        <v>0.19654057805202327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0.31185394206332939</v>
      </c>
      <c r="C37" s="260">
        <f t="shared" si="13"/>
        <v>0.31375158635599759</v>
      </c>
      <c r="D37" s="260">
        <f t="shared" si="13"/>
        <v>0.31543432299393603</v>
      </c>
      <c r="E37" s="260">
        <f t="shared" si="13"/>
        <v>0.33325774180435669</v>
      </c>
      <c r="F37" s="260">
        <f t="shared" si="13"/>
        <v>0.32675716630564838</v>
      </c>
      <c r="G37" s="260">
        <f t="shared" si="13"/>
        <v>0.34176356960042709</v>
      </c>
      <c r="H37" s="260">
        <f t="shared" si="13"/>
        <v>0.33020945425178344</v>
      </c>
      <c r="I37" s="260">
        <f t="shared" si="13"/>
        <v>0.32541556399939442</v>
      </c>
      <c r="J37" s="260">
        <f t="shared" si="13"/>
        <v>0.32241365182739179</v>
      </c>
      <c r="K37" s="260">
        <f t="shared" si="13"/>
        <v>0.33078725630781969</v>
      </c>
      <c r="L37" s="260">
        <f t="shared" si="13"/>
        <v>0.31288864225279384</v>
      </c>
      <c r="M37" s="260">
        <f t="shared" si="13"/>
        <v>0.30170260404550969</v>
      </c>
      <c r="N37" s="260">
        <f t="shared" si="13"/>
        <v>0.30551326231986253</v>
      </c>
      <c r="O37" s="260">
        <f t="shared" si="13"/>
        <v>0.31318448682814543</v>
      </c>
      <c r="P37" s="260">
        <f t="shared" si="13"/>
        <v>0.30248303005853544</v>
      </c>
      <c r="Q37" s="260">
        <f t="shared" si="13"/>
        <v>0.29583249629682767</v>
      </c>
      <c r="R37" s="260">
        <f t="shared" si="13"/>
        <v>0.30685461000593628</v>
      </c>
      <c r="S37" s="260">
        <f t="shared" si="13"/>
        <v>0.30671122336856282</v>
      </c>
      <c r="T37" s="260">
        <f t="shared" si="13"/>
        <v>0.30413560033205855</v>
      </c>
      <c r="U37" s="260">
        <f t="shared" si="13"/>
        <v>0.30688544778818116</v>
      </c>
      <c r="V37" s="260">
        <f t="shared" si="13"/>
        <v>0.29726808298368507</v>
      </c>
      <c r="W37" s="260">
        <f t="shared" si="13"/>
        <v>0.28355459672156025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2.7009393300942073E-2</v>
      </c>
      <c r="C38" s="260">
        <f t="shared" si="14"/>
        <v>2.6639573830697837E-2</v>
      </c>
      <c r="D38" s="260">
        <f t="shared" si="14"/>
        <v>2.6130220431228715E-2</v>
      </c>
      <c r="E38" s="260">
        <f t="shared" si="14"/>
        <v>2.6920513904887963E-2</v>
      </c>
      <c r="F38" s="260">
        <f t="shared" si="14"/>
        <v>2.6658751240378281E-2</v>
      </c>
      <c r="G38" s="260">
        <f t="shared" si="14"/>
        <v>2.6759054442282378E-2</v>
      </c>
      <c r="H38" s="260">
        <f t="shared" si="14"/>
        <v>2.5607836328919567E-2</v>
      </c>
      <c r="I38" s="260">
        <f t="shared" si="14"/>
        <v>2.5256604315820472E-2</v>
      </c>
      <c r="J38" s="260">
        <f t="shared" si="14"/>
        <v>2.5574783000782558E-2</v>
      </c>
      <c r="K38" s="260">
        <f t="shared" si="14"/>
        <v>2.5349540425617524E-2</v>
      </c>
      <c r="L38" s="260">
        <f t="shared" si="14"/>
        <v>2.5953013930005521E-2</v>
      </c>
      <c r="M38" s="260">
        <f t="shared" si="14"/>
        <v>2.6869122223254605E-2</v>
      </c>
      <c r="N38" s="260">
        <f t="shared" si="14"/>
        <v>2.657501719992315E-2</v>
      </c>
      <c r="O38" s="260">
        <f t="shared" si="14"/>
        <v>2.6454029408425166E-2</v>
      </c>
      <c r="P38" s="260">
        <f t="shared" si="14"/>
        <v>2.639955442719567E-2</v>
      </c>
      <c r="Q38" s="260">
        <f t="shared" si="14"/>
        <v>2.7224712658837361E-2</v>
      </c>
      <c r="R38" s="260">
        <f t="shared" si="14"/>
        <v>2.6579130959032454E-2</v>
      </c>
      <c r="S38" s="260">
        <f t="shared" si="14"/>
        <v>2.6777097631906947E-2</v>
      </c>
      <c r="T38" s="260">
        <f t="shared" si="14"/>
        <v>2.6391302406254893E-2</v>
      </c>
      <c r="U38" s="260">
        <f t="shared" si="14"/>
        <v>2.709553289578143E-2</v>
      </c>
      <c r="V38" s="260">
        <f t="shared" si="14"/>
        <v>2.7968029854041451E-2</v>
      </c>
      <c r="W38" s="260">
        <f t="shared" si="14"/>
        <v>2.6436836991506198E-2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2.9314101843884853E-2</v>
      </c>
      <c r="C39" s="260">
        <f t="shared" si="15"/>
        <v>2.9611570821356775E-2</v>
      </c>
      <c r="D39" s="260">
        <f t="shared" si="15"/>
        <v>3.0180744785020312E-2</v>
      </c>
      <c r="E39" s="260">
        <f t="shared" si="15"/>
        <v>2.6848041444372018E-2</v>
      </c>
      <c r="F39" s="260">
        <f t="shared" si="15"/>
        <v>2.7968236826194971E-2</v>
      </c>
      <c r="G39" s="260">
        <f t="shared" si="15"/>
        <v>2.5957432526205106E-2</v>
      </c>
      <c r="H39" s="260">
        <f t="shared" si="15"/>
        <v>2.9226304227734496E-2</v>
      </c>
      <c r="I39" s="260">
        <f t="shared" si="15"/>
        <v>3.0275159402060454E-2</v>
      </c>
      <c r="J39" s="260">
        <f t="shared" si="15"/>
        <v>3.0232907185667582E-2</v>
      </c>
      <c r="K39" s="260">
        <f t="shared" si="15"/>
        <v>2.9537245284488232E-2</v>
      </c>
      <c r="L39" s="260">
        <f t="shared" si="15"/>
        <v>3.0531164967194591E-2</v>
      </c>
      <c r="M39" s="260">
        <f t="shared" si="15"/>
        <v>3.0346756868410266E-2</v>
      </c>
      <c r="N39" s="260">
        <f t="shared" si="15"/>
        <v>3.0535303613608324E-2</v>
      </c>
      <c r="O39" s="260">
        <f t="shared" si="15"/>
        <v>2.9975468764662724E-2</v>
      </c>
      <c r="P39" s="260">
        <f t="shared" si="15"/>
        <v>3.1059403334093245E-2</v>
      </c>
      <c r="Q39" s="260">
        <f t="shared" si="15"/>
        <v>3.0683102646459615E-2</v>
      </c>
      <c r="R39" s="260">
        <f t="shared" si="15"/>
        <v>3.0367085474925771E-2</v>
      </c>
      <c r="S39" s="260">
        <f t="shared" si="15"/>
        <v>3.0083373945226751E-2</v>
      </c>
      <c r="T39" s="260">
        <f t="shared" si="15"/>
        <v>3.0848323999543494E-2</v>
      </c>
      <c r="U39" s="260">
        <f t="shared" si="15"/>
        <v>2.9479072216947094E-2</v>
      </c>
      <c r="V39" s="260">
        <f t="shared" si="15"/>
        <v>2.9185307758521749E-2</v>
      </c>
      <c r="W39" s="260">
        <f t="shared" si="15"/>
        <v>3.2526668087149151E-2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4.4676589255871341E-2</v>
      </c>
      <c r="C40" s="262">
        <f t="shared" si="16"/>
        <v>4.5129951238225538E-2</v>
      </c>
      <c r="D40" s="262">
        <f t="shared" si="16"/>
        <v>4.5997409212041547E-2</v>
      </c>
      <c r="E40" s="262">
        <f t="shared" si="16"/>
        <v>4.0918153533161722E-2</v>
      </c>
      <c r="F40" s="262">
        <f t="shared" si="16"/>
        <v>4.2625403826094289E-2</v>
      </c>
      <c r="G40" s="262">
        <f t="shared" si="16"/>
        <v>3.9560807876233145E-2</v>
      </c>
      <c r="H40" s="262">
        <f t="shared" si="16"/>
        <v>4.4542780004089219E-2</v>
      </c>
      <c r="I40" s="262">
        <f t="shared" si="16"/>
        <v>4.6141303201620937E-2</v>
      </c>
      <c r="J40" s="262">
        <f t="shared" si="16"/>
        <v>4.6076908088068171E-2</v>
      </c>
      <c r="K40" s="262">
        <f t="shared" si="16"/>
        <v>4.5016674307566652E-2</v>
      </c>
      <c r="L40" s="262">
        <f t="shared" si="16"/>
        <v>4.6531472258876258E-2</v>
      </c>
      <c r="M40" s="262">
        <f t="shared" si="16"/>
        <v>4.625042237617067E-2</v>
      </c>
      <c r="N40" s="262">
        <f t="shared" si="16"/>
        <v>4.6537779823982189E-2</v>
      </c>
      <c r="O40" s="262">
        <f t="shared" si="16"/>
        <v>4.5684555265690506E-2</v>
      </c>
      <c r="P40" s="262">
        <f t="shared" si="16"/>
        <v>4.7336541732701749E-2</v>
      </c>
      <c r="Q40" s="262">
        <f t="shared" si="16"/>
        <v>4.6763035119821647E-2</v>
      </c>
      <c r="R40" s="262">
        <f t="shared" si="16"/>
        <v>4.6281404488748235E-2</v>
      </c>
      <c r="S40" s="262">
        <f t="shared" si="16"/>
        <v>4.584900974757479E-2</v>
      </c>
      <c r="T40" s="262">
        <f t="shared" si="16"/>
        <v>4.7014843159765646E-2</v>
      </c>
      <c r="U40" s="262">
        <f t="shared" si="16"/>
        <v>4.4928014786011758E-2</v>
      </c>
      <c r="V40" s="262">
        <f t="shared" si="16"/>
        <v>4.4480298730546784E-2</v>
      </c>
      <c r="W40" s="262">
        <f t="shared" si="16"/>
        <v>4.957274821963429E-2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0.39250258269142851</v>
      </c>
      <c r="C44" s="238">
        <f>IF(C$5=0,0,C$5/AGR_fec!C$5)</f>
        <v>0.3921280504879906</v>
      </c>
      <c r="D44" s="238">
        <f>IF(D$5=0,0,D$5/AGR_fec!D$5)</f>
        <v>0.3925614655951809</v>
      </c>
      <c r="E44" s="238">
        <f>IF(E$5=0,0,E$5/AGR_fec!E$5)</f>
        <v>0.38404465123618581</v>
      </c>
      <c r="F44" s="238">
        <f>IF(F$5=0,0,F$5/AGR_fec!F$5)</f>
        <v>0.38687821529034233</v>
      </c>
      <c r="G44" s="238">
        <f>IF(G$5=0,0,G$5/AGR_fec!G$5)</f>
        <v>0.38130801292373429</v>
      </c>
      <c r="H44" s="238">
        <f>IF(H$5=0,0,H$5/AGR_fec!H$5)</f>
        <v>0.3878614230434696</v>
      </c>
      <c r="I44" s="238">
        <f>IF(I$5=0,0,I$5/AGR_fec!I$5)</f>
        <v>0.39049579909533111</v>
      </c>
      <c r="J44" s="238">
        <f>IF(J$5=0,0,J$5/AGR_fec!J$5)</f>
        <v>0.39066509045352599</v>
      </c>
      <c r="K44" s="238">
        <f>IF(K$5=0,0,K$5/AGR_fec!K$5)</f>
        <v>0.38764327728506054</v>
      </c>
      <c r="L44" s="238">
        <f>IF(L$5=0,0,L$5/AGR_fec!L$5)</f>
        <v>0.39191818265278977</v>
      </c>
      <c r="M44" s="238">
        <f>IF(M$5=0,0,M$5/AGR_fec!M$5)</f>
        <v>0.39434145108518748</v>
      </c>
      <c r="N44" s="238">
        <f>IF(N$5=0,0,N$5/AGR_fec!N$5)</f>
        <v>0.39297438055366624</v>
      </c>
      <c r="O44" s="238">
        <f>IF(O$5=0,0,O$5/AGR_fec!O$5)</f>
        <v>0.38960200150210922</v>
      </c>
      <c r="P44" s="238">
        <f>IF(P$5=0,0,P$5/AGR_fec!P$5)</f>
        <v>0.39392597859352108</v>
      </c>
      <c r="Q44" s="238">
        <f>IF(Q$5=0,0,Q$5/AGR_fec!Q$5)</f>
        <v>0.39521965075747229</v>
      </c>
      <c r="R44" s="238">
        <f>IF(R$5=0,0,R$5/AGR_fec!R$5)</f>
        <v>0.3920974292981747</v>
      </c>
      <c r="S44" s="238">
        <f>IF(S$5=0,0,S$5/AGR_fec!S$5)</f>
        <v>0.39173041131758213</v>
      </c>
      <c r="T44" s="238">
        <f>IF(T$5=0,0,T$5/AGR_fec!T$5)</f>
        <v>0.39338452332257562</v>
      </c>
      <c r="U44" s="238">
        <f>IF(U$5=0,0,U$5/AGR_fec!U$5)</f>
        <v>0.39116270965840622</v>
      </c>
      <c r="V44" s="238">
        <f>IF(V$5=0,0,V$5/AGR_fec!V$5)</f>
        <v>0.3935751648325308</v>
      </c>
      <c r="W44" s="238">
        <f>IF(W$5=0,0,W$5/AGR_fec!W$5)</f>
        <v>0.4021216800525646</v>
      </c>
      <c r="DA44" s="287"/>
    </row>
    <row r="45" spans="1:105" x14ac:dyDescent="0.25">
      <c r="A45" s="239" t="s">
        <v>125</v>
      </c>
      <c r="B45" s="251">
        <f>IF(B$6=0,0,B$6/AGR_fec!B$6)</f>
        <v>0.49900398070540364</v>
      </c>
      <c r="C45" s="251">
        <f>IF(C$6=0,0,C$6/AGR_fec!C$6)</f>
        <v>0.49900398070540347</v>
      </c>
      <c r="D45" s="251">
        <f>IF(D$6=0,0,D$6/AGR_fec!D$6)</f>
        <v>0.49900398070540358</v>
      </c>
      <c r="E45" s="251">
        <f>IF(E$6=0,0,E$6/AGR_fec!E$6)</f>
        <v>0.49900398070540347</v>
      </c>
      <c r="F45" s="251">
        <f>IF(F$6=0,0,F$6/AGR_fec!F$6)</f>
        <v>0.49900398070540347</v>
      </c>
      <c r="G45" s="251">
        <f>IF(G$6=0,0,G$6/AGR_fec!G$6)</f>
        <v>0.49900398070540347</v>
      </c>
      <c r="H45" s="251">
        <f>IF(H$6=0,0,H$6/AGR_fec!H$6)</f>
        <v>0.49900398070540353</v>
      </c>
      <c r="I45" s="251">
        <f>IF(I$6=0,0,I$6/AGR_fec!I$6)</f>
        <v>0.49900398070540347</v>
      </c>
      <c r="J45" s="251">
        <f>IF(J$6=0,0,J$6/AGR_fec!J$6)</f>
        <v>0.49900398070540392</v>
      </c>
      <c r="K45" s="251">
        <f>IF(K$6=0,0,K$6/AGR_fec!K$6)</f>
        <v>0.49900398070540392</v>
      </c>
      <c r="L45" s="251">
        <f>IF(L$6=0,0,L$6/AGR_fec!L$6)</f>
        <v>0.49900398070540369</v>
      </c>
      <c r="M45" s="251">
        <f>IF(M$6=0,0,M$6/AGR_fec!M$6)</f>
        <v>0.49900398070540342</v>
      </c>
      <c r="N45" s="251">
        <f>IF(N$6=0,0,N$6/AGR_fec!N$6)</f>
        <v>0.4990039807054038</v>
      </c>
      <c r="O45" s="251">
        <f>IF(O$6=0,0,O$6/AGR_fec!O$6)</f>
        <v>0.49900398070540353</v>
      </c>
      <c r="P45" s="251">
        <f>IF(P$6=0,0,P$6/AGR_fec!P$6)</f>
        <v>0.49900398070540369</v>
      </c>
      <c r="Q45" s="251">
        <f>IF(Q$6=0,0,Q$6/AGR_fec!Q$6)</f>
        <v>0.49900398070540369</v>
      </c>
      <c r="R45" s="251">
        <f>IF(R$6=0,0,R$6/AGR_fec!R$6)</f>
        <v>0.49900398070540319</v>
      </c>
      <c r="S45" s="251">
        <f>IF(S$6=0,0,S$6/AGR_fec!S$6)</f>
        <v>0.49900398070540353</v>
      </c>
      <c r="T45" s="251">
        <f>IF(T$6=0,0,T$6/AGR_fec!T$6)</f>
        <v>0.49900398070540347</v>
      </c>
      <c r="U45" s="251">
        <f>IF(U$6=0,0,U$6/AGR_fec!U$6)</f>
        <v>0.49900398070540358</v>
      </c>
      <c r="V45" s="251">
        <f>IF(V$6=0,0,V$6/AGR_fec!V$6)</f>
        <v>0.49900398070540347</v>
      </c>
      <c r="W45" s="251">
        <f>IF(W$6=0,0,W$6/AGR_fec!W$6)</f>
        <v>0.49900398070540342</v>
      </c>
      <c r="DA45" s="288"/>
    </row>
    <row r="46" spans="1:105" x14ac:dyDescent="0.25">
      <c r="A46" s="241" t="s">
        <v>124</v>
      </c>
      <c r="B46" s="252">
        <f>IF(B$7=0,0,B$7/AGR_fec!B$7)</f>
        <v>0.49482627634882864</v>
      </c>
      <c r="C46" s="252">
        <f>IF(C$7=0,0,C$7/AGR_fec!C$7)</f>
        <v>0.49482627634882886</v>
      </c>
      <c r="D46" s="252">
        <f>IF(D$7=0,0,D$7/AGR_fec!D$7)</f>
        <v>0.49482627634882864</v>
      </c>
      <c r="E46" s="252">
        <f>IF(E$7=0,0,E$7/AGR_fec!E$7)</f>
        <v>0.49482627634882886</v>
      </c>
      <c r="F46" s="252">
        <f>IF(F$7=0,0,F$7/AGR_fec!F$7)</f>
        <v>0.49482627634882864</v>
      </c>
      <c r="G46" s="252">
        <f>IF(G$7=0,0,G$7/AGR_fec!G$7)</f>
        <v>0.49482627634882886</v>
      </c>
      <c r="H46" s="252">
        <f>IF(H$7=0,0,H$7/AGR_fec!H$7)</f>
        <v>0.49482627634882892</v>
      </c>
      <c r="I46" s="252">
        <f>IF(I$7=0,0,I$7/AGR_fec!I$7)</f>
        <v>0.49482627634882886</v>
      </c>
      <c r="J46" s="252">
        <f>IF(J$7=0,0,J$7/AGR_fec!J$7)</f>
        <v>0.49482627634882886</v>
      </c>
      <c r="K46" s="252">
        <f>IF(K$7=0,0,K$7/AGR_fec!K$7)</f>
        <v>0.49482627634882886</v>
      </c>
      <c r="L46" s="252">
        <f>IF(L$7=0,0,L$7/AGR_fec!L$7)</f>
        <v>0.49482627634882864</v>
      </c>
      <c r="M46" s="252">
        <f>IF(M$7=0,0,M$7/AGR_fec!M$7)</f>
        <v>0.49482627634882875</v>
      </c>
      <c r="N46" s="252">
        <f>IF(N$7=0,0,N$7/AGR_fec!N$7)</f>
        <v>0.49482627634882898</v>
      </c>
      <c r="O46" s="252">
        <f>IF(O$7=0,0,O$7/AGR_fec!O$7)</f>
        <v>0.49482627634882875</v>
      </c>
      <c r="P46" s="252">
        <f>IF(P$7=0,0,P$7/AGR_fec!P$7)</f>
        <v>0.49482627634882892</v>
      </c>
      <c r="Q46" s="252">
        <f>IF(Q$7=0,0,Q$7/AGR_fec!Q$7)</f>
        <v>0.49482627634882898</v>
      </c>
      <c r="R46" s="252">
        <f>IF(R$7=0,0,R$7/AGR_fec!R$7)</f>
        <v>0.49482627634882886</v>
      </c>
      <c r="S46" s="252">
        <f>IF(S$7=0,0,S$7/AGR_fec!S$7)</f>
        <v>0.49482627634882859</v>
      </c>
      <c r="T46" s="252">
        <f>IF(T$7=0,0,T$7/AGR_fec!T$7)</f>
        <v>0.49482627634882875</v>
      </c>
      <c r="U46" s="252">
        <f>IF(U$7=0,0,U$7/AGR_fec!U$7)</f>
        <v>0.49482627634882875</v>
      </c>
      <c r="V46" s="252">
        <f>IF(V$7=0,0,V$7/AGR_fec!V$7)</f>
        <v>0.49482627634882859</v>
      </c>
      <c r="W46" s="252">
        <f>IF(W$7=0,0,W$7/AGR_fec!W$7)</f>
        <v>0.4948262763488287</v>
      </c>
      <c r="DA46" s="289"/>
    </row>
    <row r="47" spans="1:105" x14ac:dyDescent="0.25">
      <c r="A47" s="241" t="s">
        <v>123</v>
      </c>
      <c r="B47" s="252">
        <f>IF(B$8=0,0,B$8/AGR_fec!B$8)</f>
        <v>0.71018619086718826</v>
      </c>
      <c r="C47" s="252">
        <f>IF(C$8=0,0,C$8/AGR_fec!C$8)</f>
        <v>0.71018619086718837</v>
      </c>
      <c r="D47" s="252">
        <f>IF(D$8=0,0,D$8/AGR_fec!D$8)</f>
        <v>0.71018619086718815</v>
      </c>
      <c r="E47" s="252">
        <f>IF(E$8=0,0,E$8/AGR_fec!E$8)</f>
        <v>0.71018619086718771</v>
      </c>
      <c r="F47" s="252">
        <f>IF(F$8=0,0,F$8/AGR_fec!F$8)</f>
        <v>0.71018619086718837</v>
      </c>
      <c r="G47" s="252">
        <f>IF(G$8=0,0,G$8/AGR_fec!G$8)</f>
        <v>0.71018619086718793</v>
      </c>
      <c r="H47" s="252">
        <f>IF(H$8=0,0,H$8/AGR_fec!H$8)</f>
        <v>0.71018619086718804</v>
      </c>
      <c r="I47" s="252">
        <f>IF(I$8=0,0,I$8/AGR_fec!I$8)</f>
        <v>0.71018619086718782</v>
      </c>
      <c r="J47" s="252">
        <f>IF(J$8=0,0,J$8/AGR_fec!J$8)</f>
        <v>0.71018619086718815</v>
      </c>
      <c r="K47" s="252">
        <f>IF(K$8=0,0,K$8/AGR_fec!K$8)</f>
        <v>0.71018619086718782</v>
      </c>
      <c r="L47" s="252">
        <f>IF(L$8=0,0,L$8/AGR_fec!L$8)</f>
        <v>0.71018619086718826</v>
      </c>
      <c r="M47" s="252">
        <f>IF(M$8=0,0,M$8/AGR_fec!M$8)</f>
        <v>0.71018619086718826</v>
      </c>
      <c r="N47" s="252">
        <f>IF(N$8=0,0,N$8/AGR_fec!N$8)</f>
        <v>0.71018619086718859</v>
      </c>
      <c r="O47" s="252">
        <f>IF(O$8=0,0,O$8/AGR_fec!O$8)</f>
        <v>0.71018619086718837</v>
      </c>
      <c r="P47" s="252">
        <f>IF(P$8=0,0,P$8/AGR_fec!P$8)</f>
        <v>0.71018619086718826</v>
      </c>
      <c r="Q47" s="252">
        <f>IF(Q$8=0,0,Q$8/AGR_fec!Q$8)</f>
        <v>0.71018619086718793</v>
      </c>
      <c r="R47" s="252">
        <f>IF(R$8=0,0,R$8/AGR_fec!R$8)</f>
        <v>0.71018619086718793</v>
      </c>
      <c r="S47" s="252">
        <f>IF(S$8=0,0,S$8/AGR_fec!S$8)</f>
        <v>0.71018619086718793</v>
      </c>
      <c r="T47" s="252">
        <f>IF(T$8=0,0,T$8/AGR_fec!T$8)</f>
        <v>0.71018619086718804</v>
      </c>
      <c r="U47" s="252">
        <f>IF(U$8=0,0,U$8/AGR_fec!U$8)</f>
        <v>0.71018619086718804</v>
      </c>
      <c r="V47" s="252">
        <f>IF(V$8=0,0,V$8/AGR_fec!V$8)</f>
        <v>0.71018619086718848</v>
      </c>
      <c r="W47" s="252">
        <f>IF(W$8=0,0,W$8/AGR_fec!W$8)</f>
        <v>0.71018619086718826</v>
      </c>
      <c r="DA47" s="289"/>
    </row>
    <row r="48" spans="1:105" x14ac:dyDescent="0.25">
      <c r="A48" s="243" t="s">
        <v>122</v>
      </c>
      <c r="B48" s="253">
        <f>IF(B$9=0,0,B$9/AGR_fec!B$9)</f>
        <v>0.69314557123613951</v>
      </c>
      <c r="C48" s="253">
        <f>IF(C$9=0,0,C$9/AGR_fec!C$9)</f>
        <v>0.69702775113702109</v>
      </c>
      <c r="D48" s="253">
        <f>IF(D$9=0,0,D$9/AGR_fec!D$9)</f>
        <v>0.70310988735881286</v>
      </c>
      <c r="E48" s="253">
        <f>IF(E$9=0,0,E$9/AGR_fec!E$9)</f>
        <v>0.68512380588072441</v>
      </c>
      <c r="F48" s="253">
        <f>IF(F$9=0,0,F$9/AGR_fec!F$9)</f>
        <v>0.69092888209308967</v>
      </c>
      <c r="G48" s="253">
        <f>IF(G$9=0,0,G$9/AGR_fec!G$9)</f>
        <v>0.68330684763361738</v>
      </c>
      <c r="H48" s="253">
        <f>IF(H$9=0,0,H$9/AGR_fec!H$9)</f>
        <v>0.70323967168499268</v>
      </c>
      <c r="I48" s="253">
        <f>IF(I$9=0,0,I$9/AGR_fec!I$9)</f>
        <v>0.71072535505935897</v>
      </c>
      <c r="J48" s="253">
        <f>IF(J$9=0,0,J$9/AGR_fec!J$9)</f>
        <v>0.70794712551253347</v>
      </c>
      <c r="K48" s="253">
        <f>IF(K$9=0,0,K$9/AGR_fec!K$9)</f>
        <v>0.7067526890352448</v>
      </c>
      <c r="L48" s="253">
        <f>IF(L$9=0,0,L$9/AGR_fec!L$9)</f>
        <v>0.70664299398331942</v>
      </c>
      <c r="M48" s="253">
        <f>IF(M$9=0,0,M$9/AGR_fec!M$9)</f>
        <v>0.69896568611351151</v>
      </c>
      <c r="N48" s="253">
        <f>IF(N$9=0,0,N$9/AGR_fec!N$9)</f>
        <v>0.70176197349712022</v>
      </c>
      <c r="O48" s="253">
        <f>IF(O$9=0,0,O$9/AGR_fec!O$9)</f>
        <v>0.70039681467081383</v>
      </c>
      <c r="P48" s="253">
        <f>IF(P$9=0,0,P$9/AGR_fec!P$9)</f>
        <v>0.7054396863021416</v>
      </c>
      <c r="Q48" s="253">
        <f>IF(Q$9=0,0,Q$9/AGR_fec!Q$9)</f>
        <v>0.69732794908181073</v>
      </c>
      <c r="R48" s="253">
        <f>IF(R$9=0,0,R$9/AGR_fec!R$9)</f>
        <v>0.70112789409360698</v>
      </c>
      <c r="S48" s="253">
        <f>IF(S$9=0,0,S$9/AGR_fec!S$9)</f>
        <v>0.69856260525551128</v>
      </c>
      <c r="T48" s="253">
        <f>IF(T$9=0,0,T$9/AGR_fec!T$9)</f>
        <v>0.70466312507996243</v>
      </c>
      <c r="U48" s="253">
        <f>IF(U$9=0,0,U$9/AGR_fec!U$9)</f>
        <v>0.69416439360900006</v>
      </c>
      <c r="V48" s="253">
        <f>IF(V$9=0,0,V$9/AGR_fec!V$9)</f>
        <v>0.68731484943102827</v>
      </c>
      <c r="W48" s="253">
        <f>IF(W$9=0,0,W$9/AGR_fec!W$9)</f>
        <v>0.71101230841141982</v>
      </c>
      <c r="DA48" s="290"/>
    </row>
    <row r="49" spans="1:105" x14ac:dyDescent="0.25">
      <c r="A49" s="128" t="s">
        <v>175</v>
      </c>
      <c r="B49" s="265">
        <f>IF(B$16=0,0,B$16/AGR_fec!B$16)</f>
        <v>0.35707712387433771</v>
      </c>
      <c r="C49" s="265">
        <f>IF(C$16=0,0,C$16/AGR_fec!C$16)</f>
        <v>0.3570771238743376</v>
      </c>
      <c r="D49" s="265">
        <f>IF(D$16=0,0,D$16/AGR_fec!D$16)</f>
        <v>0.35707712387433765</v>
      </c>
      <c r="E49" s="265">
        <f>IF(E$16=0,0,E$16/AGR_fec!E$16)</f>
        <v>0.35707712387433771</v>
      </c>
      <c r="F49" s="265">
        <f>IF(F$16=0,0,F$16/AGR_fec!F$16)</f>
        <v>0.35707712387433765</v>
      </c>
      <c r="G49" s="265">
        <f>IF(G$16=0,0,G$16/AGR_fec!G$16)</f>
        <v>0.35707712387433754</v>
      </c>
      <c r="H49" s="265">
        <f>IF(H$16=0,0,H$16/AGR_fec!H$16)</f>
        <v>0.35707712387433777</v>
      </c>
      <c r="I49" s="265">
        <f>IF(I$16=0,0,I$16/AGR_fec!I$16)</f>
        <v>0.3570771238743376</v>
      </c>
      <c r="J49" s="265">
        <f>IF(J$16=0,0,J$16/AGR_fec!J$16)</f>
        <v>0.3570771238743376</v>
      </c>
      <c r="K49" s="265">
        <f>IF(K$16=0,0,K$16/AGR_fec!K$16)</f>
        <v>0.35707712387433771</v>
      </c>
      <c r="L49" s="265">
        <f>IF(L$16=0,0,L$16/AGR_fec!L$16)</f>
        <v>0.35707712387433777</v>
      </c>
      <c r="M49" s="265">
        <f>IF(M$16=0,0,M$16/AGR_fec!M$16)</f>
        <v>0.35707712387433777</v>
      </c>
      <c r="N49" s="265">
        <f>IF(N$16=0,0,N$16/AGR_fec!N$16)</f>
        <v>0.35707712387433754</v>
      </c>
      <c r="O49" s="265">
        <f>IF(O$16=0,0,O$16/AGR_fec!O$16)</f>
        <v>0.35707712387433771</v>
      </c>
      <c r="P49" s="265">
        <f>IF(P$16=0,0,P$16/AGR_fec!P$16)</f>
        <v>0.3570771238743376</v>
      </c>
      <c r="Q49" s="265">
        <f>IF(Q$16=0,0,Q$16/AGR_fec!Q$16)</f>
        <v>0.35707712387433777</v>
      </c>
      <c r="R49" s="265">
        <f>IF(R$16=0,0,R$16/AGR_fec!R$16)</f>
        <v>0.35707712387433771</v>
      </c>
      <c r="S49" s="265">
        <f>IF(S$16=0,0,S$16/AGR_fec!S$16)</f>
        <v>0.35707712387433782</v>
      </c>
      <c r="T49" s="265">
        <f>IF(T$16=0,0,T$16/AGR_fec!T$16)</f>
        <v>0.35707712387433765</v>
      </c>
      <c r="U49" s="265">
        <f>IF(U$16=0,0,U$16/AGR_fec!U$16)</f>
        <v>0.35707712387433765</v>
      </c>
      <c r="V49" s="265">
        <f>IF(V$16=0,0,V$16/AGR_fec!V$16)</f>
        <v>0.35707712387433771</v>
      </c>
      <c r="W49" s="265">
        <f>IF(W$16=0,0,W$16/AGR_fec!W$16)</f>
        <v>0.35707712387433765</v>
      </c>
      <c r="DA49" s="291"/>
    </row>
    <row r="50" spans="1:105" x14ac:dyDescent="0.25">
      <c r="A50" s="128" t="s">
        <v>121</v>
      </c>
      <c r="B50" s="265">
        <f>IF(B$17=0,0,B$17/AGR_fec!B$17)</f>
        <v>0.27152303640781955</v>
      </c>
      <c r="C50" s="265">
        <f>IF(C$17=0,0,C$17/AGR_fec!C$17)</f>
        <v>0.27044381668008599</v>
      </c>
      <c r="D50" s="265">
        <f>IF(D$17=0,0,D$17/AGR_fec!D$17)</f>
        <v>0.26991512559163666</v>
      </c>
      <c r="E50" s="265">
        <f>IF(E$17=0,0,E$17/AGR_fec!E$17)</f>
        <v>0.26937591058369942</v>
      </c>
      <c r="F50" s="265">
        <f>IF(F$17=0,0,F$17/AGR_fec!F$17)</f>
        <v>0.2693537221641647</v>
      </c>
      <c r="G50" s="265">
        <f>IF(G$17=0,0,G$17/AGR_fec!G$17)</f>
        <v>0.2688879078594747</v>
      </c>
      <c r="H50" s="265">
        <f>IF(H$17=0,0,H$17/AGR_fec!H$17)</f>
        <v>0.26856884214694743</v>
      </c>
      <c r="I50" s="265">
        <f>IF(I$17=0,0,I$17/AGR_fec!I$17)</f>
        <v>0.26853741491493349</v>
      </c>
      <c r="J50" s="265">
        <f>IF(J$17=0,0,J$17/AGR_fec!J$17)</f>
        <v>0.26849519714443376</v>
      </c>
      <c r="K50" s="265">
        <f>IF(K$17=0,0,K$17/AGR_fec!K$17)</f>
        <v>0.26752865598445957</v>
      </c>
      <c r="L50" s="265">
        <f>IF(L$17=0,0,L$17/AGR_fec!L$17)</f>
        <v>0.26678674392361307</v>
      </c>
      <c r="M50" s="265">
        <f>IF(M$17=0,0,M$17/AGR_fec!M$17)</f>
        <v>0.26813805773289989</v>
      </c>
      <c r="N50" s="265">
        <f>IF(N$17=0,0,N$17/AGR_fec!N$17)</f>
        <v>0.26694018502574457</v>
      </c>
      <c r="O50" s="265">
        <f>IF(O$17=0,0,O$17/AGR_fec!O$17)</f>
        <v>0.26553085311018076</v>
      </c>
      <c r="P50" s="265">
        <f>IF(P$17=0,0,P$17/AGR_fec!P$17)</f>
        <v>0.2659567954026687</v>
      </c>
      <c r="Q50" s="265">
        <f>IF(Q$17=0,0,Q$17/AGR_fec!Q$17)</f>
        <v>0.26776689780396984</v>
      </c>
      <c r="R50" s="265">
        <f>IF(R$17=0,0,R$17/AGR_fec!R$17)</f>
        <v>0.26635566783155407</v>
      </c>
      <c r="S50" s="265">
        <f>IF(S$17=0,0,S$17/AGR_fec!S$17)</f>
        <v>0.26652763822169373</v>
      </c>
      <c r="T50" s="265">
        <f>IF(T$17=0,0,T$17/AGR_fec!T$17)</f>
        <v>0.26601529785435002</v>
      </c>
      <c r="U50" s="265">
        <f>IF(U$17=0,0,U$17/AGR_fec!U$17)</f>
        <v>0.26702342904813064</v>
      </c>
      <c r="V50" s="265">
        <f>IF(V$17=0,0,V$17/AGR_fec!V$17)</f>
        <v>0.2690339203557327</v>
      </c>
      <c r="W50" s="265">
        <f>IF(W$17=0,0,W$17/AGR_fec!W$17)</f>
        <v>0.26792064757337825</v>
      </c>
      <c r="DA50" s="291"/>
    </row>
    <row r="51" spans="1:105" x14ac:dyDescent="0.25">
      <c r="A51" s="128" t="s">
        <v>174</v>
      </c>
      <c r="B51" s="265">
        <f>IF(B$25=0,0,B$25/AGR_fec!B$25)</f>
        <v>0.24995398671203647</v>
      </c>
      <c r="C51" s="265">
        <f>IF(C$25=0,0,C$25/AGR_fec!C$25)</f>
        <v>0.24995398671203636</v>
      </c>
      <c r="D51" s="265">
        <f>IF(D$25=0,0,D$25/AGR_fec!D$25)</f>
        <v>0.24995398671203636</v>
      </c>
      <c r="E51" s="265">
        <f>IF(E$25=0,0,E$25/AGR_fec!E$25)</f>
        <v>0.24995398671203628</v>
      </c>
      <c r="F51" s="265">
        <f>IF(F$25=0,0,F$25/AGR_fec!F$25)</f>
        <v>0.24995398671203645</v>
      </c>
      <c r="G51" s="265">
        <f>IF(G$25=0,0,G$25/AGR_fec!G$25)</f>
        <v>0.24995398671203647</v>
      </c>
      <c r="H51" s="265">
        <f>IF(H$25=0,0,H$25/AGR_fec!H$25)</f>
        <v>0.24995398671203625</v>
      </c>
      <c r="I51" s="265">
        <f>IF(I$25=0,0,I$25/AGR_fec!I$25)</f>
        <v>0.24995398671203639</v>
      </c>
      <c r="J51" s="265">
        <f>IF(J$25=0,0,J$25/AGR_fec!J$25)</f>
        <v>0.24995398671203631</v>
      </c>
      <c r="K51" s="265">
        <f>IF(K$25=0,0,K$25/AGR_fec!K$25)</f>
        <v>0.24995398671203636</v>
      </c>
      <c r="L51" s="265">
        <f>IF(L$25=0,0,L$25/AGR_fec!L$25)</f>
        <v>0.24995398671203645</v>
      </c>
      <c r="M51" s="265">
        <f>IF(M$25=0,0,M$25/AGR_fec!M$25)</f>
        <v>0.24995398671203645</v>
      </c>
      <c r="N51" s="265">
        <f>IF(N$25=0,0,N$25/AGR_fec!N$25)</f>
        <v>0.24995398671203631</v>
      </c>
      <c r="O51" s="265">
        <f>IF(O$25=0,0,O$25/AGR_fec!O$25)</f>
        <v>0.24995398671203631</v>
      </c>
      <c r="P51" s="265">
        <f>IF(P$25=0,0,P$25/AGR_fec!P$25)</f>
        <v>0.24995398671203636</v>
      </c>
      <c r="Q51" s="265">
        <f>IF(Q$25=0,0,Q$25/AGR_fec!Q$25)</f>
        <v>0.24995398671203631</v>
      </c>
      <c r="R51" s="265">
        <f>IF(R$25=0,0,R$25/AGR_fec!R$25)</f>
        <v>0.24995398671203631</v>
      </c>
      <c r="S51" s="265">
        <f>IF(S$25=0,0,S$25/AGR_fec!S$25)</f>
        <v>0.24995398671203639</v>
      </c>
      <c r="T51" s="265">
        <f>IF(T$25=0,0,T$25/AGR_fec!T$25)</f>
        <v>0.24995398671203628</v>
      </c>
      <c r="U51" s="265">
        <f>IF(U$25=0,0,U$25/AGR_fec!U$25)</f>
        <v>0.24995398671203636</v>
      </c>
      <c r="V51" s="265">
        <f>IF(V$25=0,0,V$25/AGR_fec!V$25)</f>
        <v>0.24995398671203634</v>
      </c>
      <c r="W51" s="265">
        <f>IF(W$25=0,0,W$25/AGR_fec!W$25)</f>
        <v>0.24995398671203636</v>
      </c>
      <c r="DA51" s="291"/>
    </row>
    <row r="52" spans="1:105" x14ac:dyDescent="0.25">
      <c r="A52" s="128" t="s">
        <v>177</v>
      </c>
      <c r="B52" s="265">
        <f>IF(B$26=0,0,B$26/AGR_fec!B$26)</f>
        <v>0.49482627634882886</v>
      </c>
      <c r="C52" s="265">
        <f>IF(C$26=0,0,C$26/AGR_fec!C$26)</f>
        <v>0.49482627634882892</v>
      </c>
      <c r="D52" s="265">
        <f>IF(D$26=0,0,D$26/AGR_fec!D$26)</f>
        <v>0.49482627634882859</v>
      </c>
      <c r="E52" s="265">
        <f>IF(E$26=0,0,E$26/AGR_fec!E$26)</f>
        <v>0.49482627634882875</v>
      </c>
      <c r="F52" s="265">
        <f>IF(F$26=0,0,F$26/AGR_fec!F$26)</f>
        <v>0.4948262763488287</v>
      </c>
      <c r="G52" s="265">
        <f>IF(G$26=0,0,G$26/AGR_fec!G$26)</f>
        <v>0.49482627634882859</v>
      </c>
      <c r="H52" s="265">
        <f>IF(H$26=0,0,H$26/AGR_fec!H$26)</f>
        <v>0.49482627634882903</v>
      </c>
      <c r="I52" s="265">
        <f>IF(I$26=0,0,I$26/AGR_fec!I$26)</f>
        <v>0.49482627634882892</v>
      </c>
      <c r="J52" s="265">
        <f>IF(J$26=0,0,J$26/AGR_fec!J$26)</f>
        <v>0.49482627634882898</v>
      </c>
      <c r="K52" s="265">
        <f>IF(K$26=0,0,K$26/AGR_fec!K$26)</f>
        <v>0.49482627634882875</v>
      </c>
      <c r="L52" s="265">
        <f>IF(L$26=0,0,L$26/AGR_fec!L$26)</f>
        <v>0.49482627634882881</v>
      </c>
      <c r="M52" s="265">
        <f>IF(M$26=0,0,M$26/AGR_fec!M$26)</f>
        <v>0.49482627634882875</v>
      </c>
      <c r="N52" s="265">
        <f>IF(N$26=0,0,N$26/AGR_fec!N$26)</f>
        <v>0.49482627634882892</v>
      </c>
      <c r="O52" s="265">
        <f>IF(O$26=0,0,O$26/AGR_fec!O$26)</f>
        <v>0.49482627634882875</v>
      </c>
      <c r="P52" s="265">
        <f>IF(P$26=0,0,P$26/AGR_fec!P$26)</f>
        <v>0.49482627634882886</v>
      </c>
      <c r="Q52" s="265">
        <f>IF(Q$26=0,0,Q$26/AGR_fec!Q$26)</f>
        <v>0.49482627634882859</v>
      </c>
      <c r="R52" s="265">
        <f>IF(R$26=0,0,R$26/AGR_fec!R$26)</f>
        <v>0.49482627634882886</v>
      </c>
      <c r="S52" s="265">
        <f>IF(S$26=0,0,S$26/AGR_fec!S$26)</f>
        <v>0.49482627634882903</v>
      </c>
      <c r="T52" s="265">
        <f>IF(T$26=0,0,T$26/AGR_fec!T$26)</f>
        <v>0.4948262763488287</v>
      </c>
      <c r="U52" s="265">
        <f>IF(U$26=0,0,U$26/AGR_fec!U$26)</f>
        <v>0.49482627634882892</v>
      </c>
      <c r="V52" s="265">
        <f>IF(V$26=0,0,V$26/AGR_fec!V$26)</f>
        <v>0.49482627634882875</v>
      </c>
      <c r="W52" s="265">
        <f>IF(W$26=0,0,W$26/AGR_fec!W$26)</f>
        <v>0.49482627634882859</v>
      </c>
      <c r="DA52" s="291"/>
    </row>
    <row r="53" spans="1:105" x14ac:dyDescent="0.25">
      <c r="A53" s="261" t="s">
        <v>33</v>
      </c>
      <c r="B53" s="266">
        <f>IF(B$27=0,0,B$27/AGR_fec!B$27)</f>
        <v>0.52010157547787472</v>
      </c>
      <c r="C53" s="266">
        <f>IF(C$27=0,0,C$27/AGR_fec!C$27)</f>
        <v>0.52010157547787472</v>
      </c>
      <c r="D53" s="266">
        <f>IF(D$27=0,0,D$27/AGR_fec!D$27)</f>
        <v>0.52010157547787461</v>
      </c>
      <c r="E53" s="266">
        <f>IF(E$27=0,0,E$27/AGR_fec!E$27)</f>
        <v>0.52010157547787483</v>
      </c>
      <c r="F53" s="266">
        <f>IF(F$27=0,0,F$27/AGR_fec!F$27)</f>
        <v>0.52010157547787472</v>
      </c>
      <c r="G53" s="266">
        <f>IF(G$27=0,0,G$27/AGR_fec!G$27)</f>
        <v>0.52010157547787472</v>
      </c>
      <c r="H53" s="266">
        <f>IF(H$27=0,0,H$27/AGR_fec!H$27)</f>
        <v>0.5201015754778745</v>
      </c>
      <c r="I53" s="266">
        <f>IF(I$27=0,0,I$27/AGR_fec!I$27)</f>
        <v>0.52010157547787483</v>
      </c>
      <c r="J53" s="266">
        <f>IF(J$27=0,0,J$27/AGR_fec!J$27)</f>
        <v>0.52010157547787483</v>
      </c>
      <c r="K53" s="266">
        <f>IF(K$27=0,0,K$27/AGR_fec!K$27)</f>
        <v>0.52010157547787472</v>
      </c>
      <c r="L53" s="266">
        <f>IF(L$27=0,0,L$27/AGR_fec!L$27)</f>
        <v>0.52010157547787461</v>
      </c>
      <c r="M53" s="266">
        <f>IF(M$27=0,0,M$27/AGR_fec!M$27)</f>
        <v>0.52010157547787461</v>
      </c>
      <c r="N53" s="266">
        <f>IF(N$27=0,0,N$27/AGR_fec!N$27)</f>
        <v>0.52010157547787472</v>
      </c>
      <c r="O53" s="266">
        <f>IF(O$27=0,0,O$27/AGR_fec!O$27)</f>
        <v>0.52010157547787494</v>
      </c>
      <c r="P53" s="266">
        <f>IF(P$27=0,0,P$27/AGR_fec!P$27)</f>
        <v>0.52010157547787461</v>
      </c>
      <c r="Q53" s="266">
        <f>IF(Q$27=0,0,Q$27/AGR_fec!Q$27)</f>
        <v>0.52010157547787483</v>
      </c>
      <c r="R53" s="266">
        <f>IF(R$27=0,0,R$27/AGR_fec!R$27)</f>
        <v>0.52010157547787483</v>
      </c>
      <c r="S53" s="266">
        <f>IF(S$27=0,0,S$27/AGR_fec!S$27)</f>
        <v>0.52010157547787494</v>
      </c>
      <c r="T53" s="266">
        <f>IF(T$27=0,0,T$27/AGR_fec!T$27)</f>
        <v>0.52010157547787472</v>
      </c>
      <c r="U53" s="266">
        <f>IF(U$27=0,0,U$27/AGR_fec!U$27)</f>
        <v>0.5201015754778745</v>
      </c>
      <c r="V53" s="266">
        <f>IF(V$27=0,0,V$27/AGR_fec!V$27)</f>
        <v>0.52010157547787461</v>
      </c>
      <c r="W53" s="266">
        <f>IF(W$27=0,0,W$27/AGR_fec!W$27)</f>
        <v>0.52010157547787483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2017.6766761596998</v>
      </c>
      <c r="C5" s="80">
        <f t="shared" ref="C5:W5" si="0">SUM(C6:C9,C16:C17,C25:C27)</f>
        <v>2000.8194358165624</v>
      </c>
      <c r="D5" s="80">
        <f t="shared" si="0"/>
        <v>2044.2527121590156</v>
      </c>
      <c r="E5" s="80">
        <f t="shared" si="0"/>
        <v>2055.5666795437655</v>
      </c>
      <c r="F5" s="80">
        <f t="shared" si="0"/>
        <v>1986.0562341414677</v>
      </c>
      <c r="G5" s="80">
        <f t="shared" si="0"/>
        <v>1998.0314314978696</v>
      </c>
      <c r="H5" s="80">
        <f t="shared" si="0"/>
        <v>1948.6530779025281</v>
      </c>
      <c r="I5" s="80">
        <f t="shared" si="0"/>
        <v>1997.7297931570811</v>
      </c>
      <c r="J5" s="80">
        <f t="shared" si="0"/>
        <v>1962.779093509195</v>
      </c>
      <c r="K5" s="80">
        <f t="shared" si="0"/>
        <v>1895.0944819808503</v>
      </c>
      <c r="L5" s="80">
        <f t="shared" si="0"/>
        <v>1791.3752873343103</v>
      </c>
      <c r="M5" s="80">
        <f t="shared" si="0"/>
        <v>1652.0820893298646</v>
      </c>
      <c r="N5" s="80">
        <f t="shared" si="0"/>
        <v>1738.6937870490278</v>
      </c>
      <c r="O5" s="80">
        <f t="shared" si="0"/>
        <v>1654.2913504024004</v>
      </c>
      <c r="P5" s="80">
        <f t="shared" si="0"/>
        <v>1565.7485779966316</v>
      </c>
      <c r="Q5" s="80">
        <f t="shared" si="0"/>
        <v>1710.5707863597268</v>
      </c>
      <c r="R5" s="80">
        <f t="shared" si="0"/>
        <v>1744.7851967957454</v>
      </c>
      <c r="S5" s="80">
        <f t="shared" si="0"/>
        <v>1733.6156716708238</v>
      </c>
      <c r="T5" s="80">
        <f t="shared" si="0"/>
        <v>1603.7325604208495</v>
      </c>
      <c r="U5" s="80">
        <f t="shared" si="0"/>
        <v>1776.4201686446299</v>
      </c>
      <c r="V5" s="80">
        <f t="shared" si="0"/>
        <v>1763.1254141089598</v>
      </c>
      <c r="W5" s="80">
        <f t="shared" si="0"/>
        <v>1508.1256669373076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348.97592463346433</v>
      </c>
      <c r="C9" s="244">
        <f t="shared" ref="C9:W9" si="1">SUM(C10:C15)</f>
        <v>341.82606168566844</v>
      </c>
      <c r="D9" s="244">
        <f t="shared" si="1"/>
        <v>337.75263334859847</v>
      </c>
      <c r="E9" s="244">
        <f t="shared" si="1"/>
        <v>356.37379743320946</v>
      </c>
      <c r="F9" s="244">
        <f t="shared" si="1"/>
        <v>340.95834399308046</v>
      </c>
      <c r="G9" s="244">
        <f t="shared" si="1"/>
        <v>344.10699955954038</v>
      </c>
      <c r="H9" s="244">
        <f t="shared" si="1"/>
        <v>313.80827351785808</v>
      </c>
      <c r="I9" s="244">
        <f t="shared" si="1"/>
        <v>310.62598851908632</v>
      </c>
      <c r="J9" s="244">
        <f t="shared" si="1"/>
        <v>308.41837588347869</v>
      </c>
      <c r="K9" s="244">
        <f t="shared" si="1"/>
        <v>293.78455248316703</v>
      </c>
      <c r="L9" s="244">
        <f t="shared" si="1"/>
        <v>297.05746826065882</v>
      </c>
      <c r="M9" s="244">
        <f t="shared" si="1"/>
        <v>289.50944382425985</v>
      </c>
      <c r="N9" s="244">
        <f t="shared" si="1"/>
        <v>307.77796464756454</v>
      </c>
      <c r="O9" s="244">
        <f t="shared" si="1"/>
        <v>302.4191637594335</v>
      </c>
      <c r="P9" s="244">
        <f t="shared" si="1"/>
        <v>284.51494519823461</v>
      </c>
      <c r="Q9" s="244">
        <f t="shared" si="1"/>
        <v>318.73886352800906</v>
      </c>
      <c r="R9" s="244">
        <f t="shared" si="1"/>
        <v>313.45900719724352</v>
      </c>
      <c r="S9" s="244">
        <f t="shared" si="1"/>
        <v>312.47544208986494</v>
      </c>
      <c r="T9" s="244">
        <f t="shared" si="1"/>
        <v>283.67445671448144</v>
      </c>
      <c r="U9" s="244">
        <f t="shared" si="1"/>
        <v>323.33024532908394</v>
      </c>
      <c r="V9" s="244">
        <f t="shared" si="1"/>
        <v>339.72723425224262</v>
      </c>
      <c r="W9" s="244">
        <f t="shared" si="1"/>
        <v>271.76763352198992</v>
      </c>
      <c r="DA9" s="270"/>
    </row>
    <row r="10" spans="1:105" x14ac:dyDescent="0.25">
      <c r="A10" s="254" t="s">
        <v>173</v>
      </c>
      <c r="B10" s="255">
        <v>331.50739887363392</v>
      </c>
      <c r="C10" s="255">
        <v>324.84429593187929</v>
      </c>
      <c r="D10" s="255">
        <v>320.35431927013519</v>
      </c>
      <c r="E10" s="255">
        <v>339.45632579206591</v>
      </c>
      <c r="F10" s="255">
        <v>322.37460434147113</v>
      </c>
      <c r="G10" s="255">
        <v>326.70483698816849</v>
      </c>
      <c r="H10" s="255">
        <v>298.24373631834231</v>
      </c>
      <c r="I10" s="255">
        <v>296.61684608481107</v>
      </c>
      <c r="J10" s="255">
        <v>297.78728646321167</v>
      </c>
      <c r="K10" s="255">
        <v>281.72885258958593</v>
      </c>
      <c r="L10" s="255">
        <v>289.61741278807301</v>
      </c>
      <c r="M10" s="255">
        <v>284.91310126155179</v>
      </c>
      <c r="N10" s="255">
        <v>304.74929718869492</v>
      </c>
      <c r="O10" s="255">
        <v>300.27242481311839</v>
      </c>
      <c r="P10" s="255">
        <v>283.10101911977461</v>
      </c>
      <c r="Q10" s="255">
        <v>315.7309461019999</v>
      </c>
      <c r="R10" s="255">
        <v>309.83587248840769</v>
      </c>
      <c r="S10" s="255">
        <v>310.62810083813571</v>
      </c>
      <c r="T10" s="255">
        <v>281.45084678137351</v>
      </c>
      <c r="U10" s="255">
        <v>320.77302564239602</v>
      </c>
      <c r="V10" s="255">
        <v>336.94430065834752</v>
      </c>
      <c r="W10" s="255">
        <v>268.76726037473571</v>
      </c>
      <c r="DA10" s="271" t="s">
        <v>1038</v>
      </c>
    </row>
    <row r="11" spans="1:105" x14ac:dyDescent="0.25">
      <c r="A11" s="254" t="s">
        <v>176</v>
      </c>
      <c r="B11" s="256">
        <v>17.46852575983041</v>
      </c>
      <c r="C11" s="256">
        <v>16.98176575378913</v>
      </c>
      <c r="D11" s="256">
        <v>17.398314078463279</v>
      </c>
      <c r="E11" s="256">
        <v>16.91747164114355</v>
      </c>
      <c r="F11" s="256">
        <v>18.583739651609338</v>
      </c>
      <c r="G11" s="256">
        <v>17.4021625713719</v>
      </c>
      <c r="H11" s="256">
        <v>15.56453719951574</v>
      </c>
      <c r="I11" s="256">
        <v>14.009142434275221</v>
      </c>
      <c r="J11" s="256">
        <v>10.63108942026701</v>
      </c>
      <c r="K11" s="256">
        <v>12.055699893581121</v>
      </c>
      <c r="L11" s="256">
        <v>7.4400554725858026</v>
      </c>
      <c r="M11" s="256">
        <v>4.5963425627080774</v>
      </c>
      <c r="N11" s="256">
        <v>3.0286674588696179</v>
      </c>
      <c r="O11" s="256">
        <v>2.1467389463151352</v>
      </c>
      <c r="P11" s="256">
        <v>1.413926078459981</v>
      </c>
      <c r="Q11" s="256">
        <v>3.007917426009135</v>
      </c>
      <c r="R11" s="256">
        <v>3.6231347088358619</v>
      </c>
      <c r="S11" s="256">
        <v>1.8473412517292329</v>
      </c>
      <c r="T11" s="256">
        <v>2.2236099331078951</v>
      </c>
      <c r="U11" s="256">
        <v>2.55721968668789</v>
      </c>
      <c r="V11" s="256">
        <v>2.782933593895129</v>
      </c>
      <c r="W11" s="256">
        <v>3.0003731472542241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606.49065261320948</v>
      </c>
      <c r="C16" s="258">
        <v>606.15134890102104</v>
      </c>
      <c r="D16" s="258">
        <v>614.87718384064453</v>
      </c>
      <c r="E16" s="258">
        <v>604.63856609367406</v>
      </c>
      <c r="F16" s="258">
        <v>591.69002509474444</v>
      </c>
      <c r="G16" s="258">
        <v>581.73094819104404</v>
      </c>
      <c r="H16" s="258">
        <v>578.03137925408009</v>
      </c>
      <c r="I16" s="258">
        <v>591.23244377913011</v>
      </c>
      <c r="J16" s="258">
        <v>581.4135320679535</v>
      </c>
      <c r="K16" s="258">
        <v>552.91277338123223</v>
      </c>
      <c r="L16" s="258">
        <v>562.89929966984937</v>
      </c>
      <c r="M16" s="258">
        <v>532.63931505443213</v>
      </c>
      <c r="N16" s="258">
        <v>572.99791715679771</v>
      </c>
      <c r="O16" s="258">
        <v>559.86955226801592</v>
      </c>
      <c r="P16" s="258">
        <v>540.5404165037063</v>
      </c>
      <c r="Q16" s="258">
        <v>578.58284266876569</v>
      </c>
      <c r="R16" s="258">
        <v>581.64431762896209</v>
      </c>
      <c r="S16" s="258">
        <v>575.60851952822793</v>
      </c>
      <c r="T16" s="258">
        <v>537.72533905746877</v>
      </c>
      <c r="U16" s="258">
        <v>585.30255849635193</v>
      </c>
      <c r="V16" s="258">
        <v>593.54927448175977</v>
      </c>
      <c r="W16" s="258">
        <v>535.3122620018554</v>
      </c>
      <c r="DA16" s="273" t="s">
        <v>1044</v>
      </c>
    </row>
    <row r="17" spans="1:105" x14ac:dyDescent="0.25">
      <c r="A17" s="257" t="s">
        <v>121</v>
      </c>
      <c r="B17" s="258">
        <f>SUM(B18:B24)</f>
        <v>945.66786568695773</v>
      </c>
      <c r="C17" s="258">
        <f t="shared" ref="C17:W17" si="2">SUM(C18:C24)</f>
        <v>936.36499203976541</v>
      </c>
      <c r="D17" s="258">
        <f t="shared" si="2"/>
        <v>973.46911987730596</v>
      </c>
      <c r="E17" s="258">
        <f t="shared" si="2"/>
        <v>978.36797665032259</v>
      </c>
      <c r="F17" s="258">
        <f t="shared" si="2"/>
        <v>939.70969574961009</v>
      </c>
      <c r="G17" s="258">
        <f t="shared" si="2"/>
        <v>960.40903406650887</v>
      </c>
      <c r="H17" s="258">
        <f t="shared" si="2"/>
        <v>945.73987845224224</v>
      </c>
      <c r="I17" s="258">
        <f t="shared" si="2"/>
        <v>982.26111961798404</v>
      </c>
      <c r="J17" s="258">
        <f t="shared" si="2"/>
        <v>961.22373003029702</v>
      </c>
      <c r="K17" s="258">
        <f t="shared" si="2"/>
        <v>942.15035888812952</v>
      </c>
      <c r="L17" s="258">
        <f t="shared" si="2"/>
        <v>823.25272792415717</v>
      </c>
      <c r="M17" s="258">
        <f t="shared" si="2"/>
        <v>727.58224719377677</v>
      </c>
      <c r="N17" s="258">
        <f t="shared" si="2"/>
        <v>747.81158025580055</v>
      </c>
      <c r="O17" s="258">
        <f t="shared" si="2"/>
        <v>684.41903410765076</v>
      </c>
      <c r="P17" s="258">
        <f t="shared" si="2"/>
        <v>636.82387054820856</v>
      </c>
      <c r="Q17" s="258">
        <f t="shared" si="2"/>
        <v>702.0695651937275</v>
      </c>
      <c r="R17" s="258">
        <f t="shared" si="2"/>
        <v>737.91406907322266</v>
      </c>
      <c r="S17" s="258">
        <f t="shared" si="2"/>
        <v>734.9237360621529</v>
      </c>
      <c r="T17" s="258">
        <f t="shared" si="2"/>
        <v>679.00435949379323</v>
      </c>
      <c r="U17" s="258">
        <f t="shared" si="2"/>
        <v>755.31660045343369</v>
      </c>
      <c r="V17" s="258">
        <f t="shared" si="2"/>
        <v>715.79346580673632</v>
      </c>
      <c r="W17" s="258">
        <f t="shared" si="2"/>
        <v>598.18105912451381</v>
      </c>
      <c r="DA17" s="273"/>
    </row>
    <row r="18" spans="1:105" x14ac:dyDescent="0.25">
      <c r="A18" s="61" t="s">
        <v>29</v>
      </c>
      <c r="B18" s="55">
        <v>93.047565520702932</v>
      </c>
      <c r="C18" s="55">
        <v>105.7306162174867</v>
      </c>
      <c r="D18" s="55">
        <v>120.8671081198695</v>
      </c>
      <c r="E18" s="55">
        <v>132.22592610466239</v>
      </c>
      <c r="F18" s="55">
        <v>143.75619886293291</v>
      </c>
      <c r="G18" s="55">
        <v>125.9082772990208</v>
      </c>
      <c r="H18" s="55">
        <v>124.75507334375089</v>
      </c>
      <c r="I18" s="55">
        <v>148.2092688381351</v>
      </c>
      <c r="J18" s="55">
        <v>171.75341399013021</v>
      </c>
      <c r="K18" s="55">
        <v>199.43436522195211</v>
      </c>
      <c r="L18" s="55">
        <v>239.10560633490411</v>
      </c>
      <c r="M18" s="55">
        <v>199.1540814511693</v>
      </c>
      <c r="N18" s="55">
        <v>222.98971357027281</v>
      </c>
      <c r="O18" s="55">
        <v>201.23403268293961</v>
      </c>
      <c r="P18" s="55">
        <v>189.59614363758149</v>
      </c>
      <c r="Q18" s="55">
        <v>198.07939788085261</v>
      </c>
      <c r="R18" s="55">
        <v>224.34460511703031</v>
      </c>
      <c r="S18" s="55">
        <v>226.59591311220731</v>
      </c>
      <c r="T18" s="55">
        <v>226.10654526186829</v>
      </c>
      <c r="U18" s="55">
        <v>220.4181415653442</v>
      </c>
      <c r="V18" s="55">
        <v>142.25697386984979</v>
      </c>
      <c r="W18" s="55">
        <v>135.47732029883949</v>
      </c>
      <c r="DA18" s="101" t="s">
        <v>1045</v>
      </c>
    </row>
    <row r="19" spans="1:105" x14ac:dyDescent="0.25">
      <c r="A19" s="61" t="s">
        <v>27</v>
      </c>
      <c r="B19" s="55">
        <v>14.576175719984789</v>
      </c>
      <c r="C19" s="55">
        <v>11.6608042799875</v>
      </c>
      <c r="D19" s="55">
        <v>11.660804279987421</v>
      </c>
      <c r="E19" s="55">
        <v>11.66080427998787</v>
      </c>
      <c r="F19" s="55">
        <v>11.66080427997834</v>
      </c>
      <c r="G19" s="55">
        <v>11.660804279983401</v>
      </c>
      <c r="H19" s="55">
        <v>14.5761757199709</v>
      </c>
      <c r="I19" s="55">
        <v>14.576175719973939</v>
      </c>
      <c r="J19" s="55">
        <v>11.660804279981679</v>
      </c>
      <c r="K19" s="55">
        <v>11.66080427997381</v>
      </c>
      <c r="L19" s="55">
        <v>11.660804279985561</v>
      </c>
      <c r="M19" s="55">
        <v>11.660804279974791</v>
      </c>
      <c r="N19" s="55">
        <v>14.576175719965541</v>
      </c>
      <c r="O19" s="55">
        <v>11.686019039984879</v>
      </c>
      <c r="P19" s="55">
        <v>11.686019039974211</v>
      </c>
      <c r="Q19" s="55">
        <v>8.7645142799846276</v>
      </c>
      <c r="R19" s="55">
        <v>8.7645142799777442</v>
      </c>
      <c r="S19" s="55">
        <v>8.7645142799770746</v>
      </c>
      <c r="T19" s="55">
        <v>5.8430095199862597</v>
      </c>
      <c r="U19" s="55">
        <v>5.8430095199932213</v>
      </c>
      <c r="V19" s="55">
        <v>5.8430095199938332</v>
      </c>
      <c r="W19" s="55">
        <v>11.686019039968899</v>
      </c>
      <c r="DA19" s="101" t="s">
        <v>1046</v>
      </c>
    </row>
    <row r="20" spans="1:105" x14ac:dyDescent="0.25">
      <c r="A20" s="61" t="s">
        <v>173</v>
      </c>
      <c r="B20" s="55">
        <v>312.38250420664008</v>
      </c>
      <c r="C20" s="55">
        <v>297.1460405366293</v>
      </c>
      <c r="D20" s="55">
        <v>284.86081071650028</v>
      </c>
      <c r="E20" s="55">
        <v>268.40577982739632</v>
      </c>
      <c r="F20" s="55">
        <v>266.20113017925178</v>
      </c>
      <c r="G20" s="55">
        <v>242.02886441969099</v>
      </c>
      <c r="H20" s="55">
        <v>232.90094234915799</v>
      </c>
      <c r="I20" s="55">
        <v>237.89355737516979</v>
      </c>
      <c r="J20" s="55">
        <v>245.28851570127591</v>
      </c>
      <c r="K20" s="55">
        <v>216.18787848091949</v>
      </c>
      <c r="L20" s="55">
        <v>256.76745446223748</v>
      </c>
      <c r="M20" s="55">
        <v>284.69582934583701</v>
      </c>
      <c r="N20" s="55">
        <v>289.655565744949</v>
      </c>
      <c r="O20" s="55">
        <v>264.70562265130712</v>
      </c>
      <c r="P20" s="55">
        <v>272.90921862946982</v>
      </c>
      <c r="Q20" s="55">
        <v>330.84038273918497</v>
      </c>
      <c r="R20" s="55">
        <v>290.32459898558938</v>
      </c>
      <c r="S20" s="55">
        <v>293.06671664223501</v>
      </c>
      <c r="T20" s="55">
        <v>268.20161036546381</v>
      </c>
      <c r="U20" s="55">
        <v>306.3070546150409</v>
      </c>
      <c r="V20" s="55">
        <v>360.02107949100599</v>
      </c>
      <c r="W20" s="55">
        <v>311.36202333332642</v>
      </c>
      <c r="DA20" s="101" t="s">
        <v>1047</v>
      </c>
    </row>
    <row r="21" spans="1:105" x14ac:dyDescent="0.25">
      <c r="A21" s="61" t="s">
        <v>129</v>
      </c>
      <c r="B21" s="55">
        <v>509.20086599946859</v>
      </c>
      <c r="C21" s="55">
        <v>506.29373675945737</v>
      </c>
      <c r="D21" s="55">
        <v>540.60972083941647</v>
      </c>
      <c r="E21" s="55">
        <v>552.69893807942492</v>
      </c>
      <c r="F21" s="55">
        <v>502.74602207906611</v>
      </c>
      <c r="G21" s="55">
        <v>567.91925063919143</v>
      </c>
      <c r="H21" s="55">
        <v>561.35321423887933</v>
      </c>
      <c r="I21" s="55">
        <v>570.34646207898049</v>
      </c>
      <c r="J21" s="55">
        <v>523.76412743917729</v>
      </c>
      <c r="K21" s="55">
        <v>505.61623079886442</v>
      </c>
      <c r="L21" s="55">
        <v>309.12269831961731</v>
      </c>
      <c r="M21" s="55">
        <v>227.47869467950821</v>
      </c>
      <c r="N21" s="55">
        <v>217.71146267948521</v>
      </c>
      <c r="O21" s="55">
        <v>204.90089867973501</v>
      </c>
      <c r="P21" s="55">
        <v>161.26946531964401</v>
      </c>
      <c r="Q21" s="55">
        <v>161.23340771971721</v>
      </c>
      <c r="R21" s="55">
        <v>211.085375399464</v>
      </c>
      <c r="S21" s="55">
        <v>204.75369035946451</v>
      </c>
      <c r="T21" s="55">
        <v>176.7342603595844</v>
      </c>
      <c r="U21" s="55">
        <v>220.30649855974451</v>
      </c>
      <c r="V21" s="55">
        <v>204.69887063978391</v>
      </c>
      <c r="W21" s="55">
        <v>136.1798182796376</v>
      </c>
      <c r="DA21" s="101" t="s">
        <v>1048</v>
      </c>
    </row>
    <row r="22" spans="1:105" x14ac:dyDescent="0.25">
      <c r="A22" s="61" t="s">
        <v>176</v>
      </c>
      <c r="B22" s="55">
        <v>16.460754240161339</v>
      </c>
      <c r="C22" s="55">
        <v>15.53379424620447</v>
      </c>
      <c r="D22" s="55">
        <v>15.470675921532299</v>
      </c>
      <c r="E22" s="55">
        <v>13.376528358851189</v>
      </c>
      <c r="F22" s="55">
        <v>15.345540348380929</v>
      </c>
      <c r="G22" s="55">
        <v>12.89183742862221</v>
      </c>
      <c r="H22" s="55">
        <v>12.15447280048309</v>
      </c>
      <c r="I22" s="55">
        <v>11.235655605724659</v>
      </c>
      <c r="J22" s="55">
        <v>8.756868619731959</v>
      </c>
      <c r="K22" s="55">
        <v>9.2510801064196393</v>
      </c>
      <c r="L22" s="55">
        <v>6.59616452741259</v>
      </c>
      <c r="M22" s="55">
        <v>4.5928374372875176</v>
      </c>
      <c r="N22" s="55">
        <v>2.8786625411280511</v>
      </c>
      <c r="O22" s="55">
        <v>1.8924610536842501</v>
      </c>
      <c r="P22" s="55">
        <v>1.363023921539074</v>
      </c>
      <c r="Q22" s="55">
        <v>3.151862573988033</v>
      </c>
      <c r="R22" s="55">
        <v>3.3949752911612818</v>
      </c>
      <c r="S22" s="55">
        <v>1.742901668269081</v>
      </c>
      <c r="T22" s="55">
        <v>2.1189339868905548</v>
      </c>
      <c r="U22" s="55">
        <v>2.4418961933108339</v>
      </c>
      <c r="V22" s="55">
        <v>2.9735322861027509</v>
      </c>
      <c r="W22" s="55">
        <v>3.475878172741425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116.5422332260684</v>
      </c>
      <c r="C25" s="258">
        <v>116.47703319010751</v>
      </c>
      <c r="D25" s="258">
        <v>118.1537750924668</v>
      </c>
      <c r="E25" s="258">
        <v>116.18633936655949</v>
      </c>
      <c r="F25" s="258">
        <v>113.6981693040327</v>
      </c>
      <c r="G25" s="258">
        <v>111.7844496807764</v>
      </c>
      <c r="H25" s="258">
        <v>111.0735466783479</v>
      </c>
      <c r="I25" s="258">
        <v>113.6102412408805</v>
      </c>
      <c r="J25" s="258">
        <v>111.7234555274659</v>
      </c>
      <c r="K25" s="258">
        <v>106.2467972283213</v>
      </c>
      <c r="L25" s="258">
        <v>108.16579147964489</v>
      </c>
      <c r="M25" s="258">
        <v>102.3510832573959</v>
      </c>
      <c r="N25" s="258">
        <v>110.1063249888651</v>
      </c>
      <c r="O25" s="258">
        <v>107.5836002673003</v>
      </c>
      <c r="P25" s="258">
        <v>103.8693457464822</v>
      </c>
      <c r="Q25" s="258">
        <v>111.1795149692243</v>
      </c>
      <c r="R25" s="258">
        <v>111.76780289631709</v>
      </c>
      <c r="S25" s="258">
        <v>110.6079739905782</v>
      </c>
      <c r="T25" s="258">
        <v>103.3284051551058</v>
      </c>
      <c r="U25" s="258">
        <v>112.4707643657602</v>
      </c>
      <c r="V25" s="258">
        <v>114.0554395682212</v>
      </c>
      <c r="W25" s="258">
        <v>102.8647122889486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1.0000000000000002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0.99999999999999978</v>
      </c>
      <c r="L31" s="236">
        <f t="shared" si="3"/>
        <v>0.99999999999999989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0.99999999999999978</v>
      </c>
      <c r="R31" s="236">
        <f t="shared" ref="R31:W31" si="4">SUM(R32:R40)</f>
        <v>1</v>
      </c>
      <c r="S31" s="236">
        <f t="shared" si="4"/>
        <v>1.0000000000000002</v>
      </c>
      <c r="T31" s="236">
        <f t="shared" si="4"/>
        <v>0.99999999999999978</v>
      </c>
      <c r="U31" s="236">
        <f t="shared" si="4"/>
        <v>0.99999999999999989</v>
      </c>
      <c r="V31" s="236">
        <f t="shared" si="4"/>
        <v>1</v>
      </c>
      <c r="W31" s="236">
        <f t="shared" si="4"/>
        <v>1.0000000000000002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0.17295928964083579</v>
      </c>
      <c r="C35" s="247">
        <f t="shared" si="8"/>
        <v>0.17084303339254819</v>
      </c>
      <c r="D35" s="247">
        <f t="shared" si="8"/>
        <v>0.16522058713175664</v>
      </c>
      <c r="E35" s="247">
        <f t="shared" si="8"/>
        <v>0.1733700983673791</v>
      </c>
      <c r="F35" s="247">
        <f t="shared" si="8"/>
        <v>0.17167607751070046</v>
      </c>
      <c r="G35" s="247">
        <f t="shared" si="8"/>
        <v>0.17222301618226935</v>
      </c>
      <c r="H35" s="247">
        <f t="shared" si="8"/>
        <v>0.16103855379718585</v>
      </c>
      <c r="I35" s="247">
        <f t="shared" si="8"/>
        <v>0.15548949091267913</v>
      </c>
      <c r="J35" s="247">
        <f t="shared" si="8"/>
        <v>0.15713351385461649</v>
      </c>
      <c r="K35" s="247">
        <f t="shared" si="8"/>
        <v>0.15502369685340875</v>
      </c>
      <c r="L35" s="247">
        <f t="shared" si="8"/>
        <v>0.16582648558398994</v>
      </c>
      <c r="M35" s="247">
        <f t="shared" si="8"/>
        <v>0.17523913956460468</v>
      </c>
      <c r="N35" s="247">
        <f t="shared" si="8"/>
        <v>0.17701677370685043</v>
      </c>
      <c r="O35" s="247">
        <f t="shared" si="8"/>
        <v>0.18280888894563291</v>
      </c>
      <c r="P35" s="247">
        <f t="shared" si="8"/>
        <v>0.18171176981828732</v>
      </c>
      <c r="Q35" s="247">
        <f t="shared" si="8"/>
        <v>0.18633479892774191</v>
      </c>
      <c r="R35" s="247">
        <f t="shared" si="8"/>
        <v>0.17965478373664748</v>
      </c>
      <c r="S35" s="247">
        <f t="shared" si="8"/>
        <v>0.18024493386628618</v>
      </c>
      <c r="T35" s="247">
        <f t="shared" si="8"/>
        <v>0.17688389181300898</v>
      </c>
      <c r="U35" s="247">
        <f t="shared" si="8"/>
        <v>0.18201225759318973</v>
      </c>
      <c r="V35" s="247">
        <f t="shared" si="8"/>
        <v>0.19268466754189031</v>
      </c>
      <c r="W35" s="247">
        <f t="shared" si="8"/>
        <v>0.18020224672251217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0.30058862243853657</v>
      </c>
      <c r="C36" s="260">
        <f t="shared" si="9"/>
        <v>0.30295154977522604</v>
      </c>
      <c r="D36" s="260">
        <f t="shared" si="9"/>
        <v>0.30078335236314724</v>
      </c>
      <c r="E36" s="260">
        <f t="shared" si="9"/>
        <v>0.29414689978720321</v>
      </c>
      <c r="F36" s="260">
        <f t="shared" si="9"/>
        <v>0.29792209048427082</v>
      </c>
      <c r="G36" s="260">
        <f t="shared" si="9"/>
        <v>0.29115205047346837</v>
      </c>
      <c r="H36" s="260">
        <f t="shared" si="9"/>
        <v>0.2966312402186313</v>
      </c>
      <c r="I36" s="260">
        <f t="shared" si="9"/>
        <v>0.29595215819692267</v>
      </c>
      <c r="J36" s="260">
        <f t="shared" si="9"/>
        <v>0.29621954604604095</v>
      </c>
      <c r="K36" s="260">
        <f t="shared" si="9"/>
        <v>0.29176000386181239</v>
      </c>
      <c r="L36" s="260">
        <f t="shared" si="9"/>
        <v>0.31422745621744186</v>
      </c>
      <c r="M36" s="260">
        <f t="shared" si="9"/>
        <v>0.32240487230903098</v>
      </c>
      <c r="N36" s="260">
        <f t="shared" si="9"/>
        <v>0.32955654493325698</v>
      </c>
      <c r="O36" s="260">
        <f t="shared" si="9"/>
        <v>0.33843467302892544</v>
      </c>
      <c r="P36" s="260">
        <f t="shared" si="9"/>
        <v>0.34522810628723377</v>
      </c>
      <c r="Q36" s="260">
        <f t="shared" si="9"/>
        <v>0.33823963748384267</v>
      </c>
      <c r="R36" s="260">
        <f t="shared" si="9"/>
        <v>0.33336156146735851</v>
      </c>
      <c r="S36" s="260">
        <f t="shared" si="9"/>
        <v>0.33202775501762055</v>
      </c>
      <c r="T36" s="260">
        <f t="shared" si="9"/>
        <v>0.33529614121968038</v>
      </c>
      <c r="U36" s="260">
        <f t="shared" si="9"/>
        <v>0.32948430153375546</v>
      </c>
      <c r="V36" s="260">
        <f t="shared" si="9"/>
        <v>0.33664608866279938</v>
      </c>
      <c r="W36" s="260">
        <f t="shared" si="9"/>
        <v>0.35495202670276427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0.46869147909608277</v>
      </c>
      <c r="C37" s="260">
        <f t="shared" si="10"/>
        <v>0.4679907518279488</v>
      </c>
      <c r="D37" s="260">
        <f t="shared" si="10"/>
        <v>0.47619803270271166</v>
      </c>
      <c r="E37" s="260">
        <f t="shared" si="10"/>
        <v>0.47596022371187302</v>
      </c>
      <c r="F37" s="260">
        <f t="shared" si="10"/>
        <v>0.47315361951764057</v>
      </c>
      <c r="G37" s="260">
        <f t="shared" si="10"/>
        <v>0.48067764046460293</v>
      </c>
      <c r="H37" s="260">
        <f t="shared" si="10"/>
        <v>0.48533004113292877</v>
      </c>
      <c r="I37" s="260">
        <f t="shared" si="10"/>
        <v>0.4916886773088982</v>
      </c>
      <c r="J37" s="260">
        <f t="shared" si="10"/>
        <v>0.48972588571429776</v>
      </c>
      <c r="K37" s="260">
        <f t="shared" si="10"/>
        <v>0.49715218309503251</v>
      </c>
      <c r="L37" s="260">
        <f t="shared" si="10"/>
        <v>0.45956463380111373</v>
      </c>
      <c r="M37" s="260">
        <f t="shared" si="10"/>
        <v>0.44040320507857239</v>
      </c>
      <c r="N37" s="260">
        <f t="shared" si="10"/>
        <v>0.43009964481728125</v>
      </c>
      <c r="O37" s="260">
        <f t="shared" si="10"/>
        <v>0.41372339518136769</v>
      </c>
      <c r="P37" s="260">
        <f t="shared" si="10"/>
        <v>0.40672166623521505</v>
      </c>
      <c r="Q37" s="260">
        <f t="shared" si="10"/>
        <v>0.41042999844970163</v>
      </c>
      <c r="R37" s="260">
        <f t="shared" si="10"/>
        <v>0.42292545261639286</v>
      </c>
      <c r="S37" s="260">
        <f t="shared" si="10"/>
        <v>0.42392541096138586</v>
      </c>
      <c r="T37" s="260">
        <f t="shared" si="10"/>
        <v>0.42339001916604457</v>
      </c>
      <c r="U37" s="260">
        <f t="shared" si="10"/>
        <v>0.4251902865017142</v>
      </c>
      <c r="V37" s="260">
        <f t="shared" si="10"/>
        <v>0.40597989234275811</v>
      </c>
      <c r="W37" s="260">
        <f t="shared" si="10"/>
        <v>0.39663873657113485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5.776060882454491E-2</v>
      </c>
      <c r="C38" s="260">
        <f t="shared" si="11"/>
        <v>5.8214665004276911E-2</v>
      </c>
      <c r="D38" s="260">
        <f t="shared" si="11"/>
        <v>5.779802780238455E-2</v>
      </c>
      <c r="E38" s="260">
        <f t="shared" si="11"/>
        <v>5.6522778133544727E-2</v>
      </c>
      <c r="F38" s="260">
        <f t="shared" si="11"/>
        <v>5.7248212487388171E-2</v>
      </c>
      <c r="G38" s="260">
        <f t="shared" si="11"/>
        <v>5.5947292879659383E-2</v>
      </c>
      <c r="H38" s="260">
        <f t="shared" si="11"/>
        <v>5.700016485125415E-2</v>
      </c>
      <c r="I38" s="260">
        <f t="shared" si="11"/>
        <v>5.6869673581499892E-2</v>
      </c>
      <c r="J38" s="260">
        <f t="shared" si="11"/>
        <v>5.6921054385044842E-2</v>
      </c>
      <c r="K38" s="260">
        <f t="shared" si="11"/>
        <v>5.6064116189746209E-2</v>
      </c>
      <c r="L38" s="260">
        <f t="shared" si="11"/>
        <v>6.0381424397454447E-2</v>
      </c>
      <c r="M38" s="260">
        <f t="shared" si="11"/>
        <v>6.1952783047791921E-2</v>
      </c>
      <c r="N38" s="260">
        <f t="shared" si="11"/>
        <v>6.3327036542611348E-2</v>
      </c>
      <c r="O38" s="260">
        <f t="shared" si="11"/>
        <v>6.5033042844073977E-2</v>
      </c>
      <c r="P38" s="260">
        <f t="shared" si="11"/>
        <v>6.6338457659263897E-2</v>
      </c>
      <c r="Q38" s="260">
        <f t="shared" si="11"/>
        <v>6.4995565138713685E-2</v>
      </c>
      <c r="R38" s="260">
        <f t="shared" si="11"/>
        <v>6.4058202179601176E-2</v>
      </c>
      <c r="S38" s="260">
        <f t="shared" si="11"/>
        <v>6.3801900154707575E-2</v>
      </c>
      <c r="T38" s="260">
        <f t="shared" si="11"/>
        <v>6.4429947801265874E-2</v>
      </c>
      <c r="U38" s="260">
        <f t="shared" si="11"/>
        <v>6.331315437134051E-2</v>
      </c>
      <c r="V38" s="260">
        <f t="shared" si="11"/>
        <v>6.4689351452552238E-2</v>
      </c>
      <c r="W38" s="260">
        <f t="shared" si="11"/>
        <v>6.8206990003588777E-2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2.2780641043669609</v>
      </c>
      <c r="C44" s="238">
        <f>IF(C$5=0,0,C$5/AGR_fec!C$5)</f>
        <v>2.2272200926058563</v>
      </c>
      <c r="D44" s="238">
        <f>IF(D$5=0,0,D$5/AGR_fec!D$5)</f>
        <v>2.2028152560981433</v>
      </c>
      <c r="E44" s="238">
        <f>IF(E$5=0,0,E$5/AGR_fec!E$5)</f>
        <v>2.2702930670522687</v>
      </c>
      <c r="F44" s="238">
        <f>IF(F$5=0,0,F$5/AGR_fec!F$5)</f>
        <v>2.2361065949417696</v>
      </c>
      <c r="G44" s="238">
        <f>IF(G$5=0,0,G$5/AGR_fec!G$5)</f>
        <v>2.2636431980222622</v>
      </c>
      <c r="H44" s="238">
        <f>IF(H$5=0,0,H$5/AGR_fec!H$5)</f>
        <v>2.1627868264784365</v>
      </c>
      <c r="I44" s="238">
        <f>IF(I$5=0,0,I$5/AGR_fec!I$5)</f>
        <v>2.1525385918682085</v>
      </c>
      <c r="J44" s="238">
        <f>IF(J$5=0,0,J$5/AGR_fec!J$5)</f>
        <v>2.1611962340559199</v>
      </c>
      <c r="K44" s="238">
        <f>IF(K$5=0,0,K$5/AGR_fec!K$5)</f>
        <v>2.1020274240287748</v>
      </c>
      <c r="L44" s="238">
        <f>IF(L$5=0,0,L$5/AGR_fec!L$5)</f>
        <v>2.0160805530240182</v>
      </c>
      <c r="M44" s="238">
        <f>IF(M$5=0,0,M$5/AGR_fec!M$5)</f>
        <v>2.0606749511991511</v>
      </c>
      <c r="N44" s="238">
        <f>IF(N$5=0,0,N$5/AGR_fec!N$5)</f>
        <v>2.0218360138202089</v>
      </c>
      <c r="O44" s="238">
        <f>IF(O$5=0,0,O$5/AGR_fec!O$5)</f>
        <v>1.9638243455338746</v>
      </c>
      <c r="P44" s="238">
        <f>IF(P$5=0,0,P$5/AGR_fec!P$5)</f>
        <v>1.9424333338205502</v>
      </c>
      <c r="Q44" s="238">
        <f>IF(Q$5=0,0,Q$5/AGR_fec!Q$5)</f>
        <v>2.0515274094218161</v>
      </c>
      <c r="R44" s="238">
        <f>IF(R$5=0,0,R$5/AGR_fec!R$5)</f>
        <v>2.0151260524308525</v>
      </c>
      <c r="S44" s="238">
        <f>IF(S$5=0,0,S$5/AGR_fec!S$5)</f>
        <v>2.0373292612446896</v>
      </c>
      <c r="T44" s="238">
        <f>IF(T$5=0,0,T$5/AGR_fec!T$5)</f>
        <v>1.9965731842586956</v>
      </c>
      <c r="U44" s="238">
        <f>IF(U$5=0,0,U$5/AGR_fec!U$5)</f>
        <v>2.0745572323022308</v>
      </c>
      <c r="V44" s="238">
        <f>IF(V$5=0,0,V$5/AGR_fec!V$5)</f>
        <v>2.108814293028058</v>
      </c>
      <c r="W44" s="238">
        <f>IF(W$5=0,0,W$5/AGR_fec!W$5)</f>
        <v>1.8696542657823068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2.3203935189148077</v>
      </c>
      <c r="C48" s="253">
        <f>IF(C$9=0,0,C$9/AGR_fec!C$9)</f>
        <v>2.2586144564441395</v>
      </c>
      <c r="D48" s="253">
        <f>IF(D$9=0,0,D$9/AGR_fec!D$9)</f>
        <v>2.1804523661665223</v>
      </c>
      <c r="E48" s="253">
        <f>IF(E$9=0,0,E$9/AGR_fec!E$9)</f>
        <v>2.3988362363144238</v>
      </c>
      <c r="F48" s="253">
        <f>IF(F$9=0,0,F$9/AGR_fec!F$9)</f>
        <v>2.3217367280311776</v>
      </c>
      <c r="G48" s="253">
        <f>IF(G$9=0,0,G$9/AGR_fec!G$9)</f>
        <v>2.4053330169724849</v>
      </c>
      <c r="H48" s="253">
        <f>IF(H$9=0,0,H$9/AGR_fec!H$9)</f>
        <v>2.1493017137390966</v>
      </c>
      <c r="I48" s="253">
        <f>IF(I$9=0,0,I$9/AGR_fec!I$9)</f>
        <v>2.0591914170268835</v>
      </c>
      <c r="J48" s="253">
        <f>IF(J$9=0,0,J$9/AGR_fec!J$9)</f>
        <v>2.076406894673497</v>
      </c>
      <c r="K48" s="253">
        <f>IF(K$9=0,0,K$9/AGR_fec!K$9)</f>
        <v>2.0227798625992821</v>
      </c>
      <c r="L48" s="253">
        <f>IF(L$9=0,0,L$9/AGR_fec!L$9)</f>
        <v>2.0020895006911097</v>
      </c>
      <c r="M48" s="253">
        <f>IF(M$9=0,0,M$9/AGR_fec!M$9)</f>
        <v>2.0947996985320945</v>
      </c>
      <c r="N48" s="253">
        <f>IF(N$9=0,0,N$9/AGR_fec!N$9)</f>
        <v>2.1080213992702554</v>
      </c>
      <c r="O48" s="253">
        <f>IF(O$9=0,0,O$9/AGR_fec!O$9)</f>
        <v>2.1541676024265692</v>
      </c>
      <c r="P48" s="253">
        <f>IF(P$9=0,0,P$9/AGR_fec!P$9)</f>
        <v>2.0735717939249336</v>
      </c>
      <c r="Q48" s="253">
        <f>IF(Q$9=0,0,Q$9/AGR_fec!Q$9)</f>
        <v>2.2000228265630839</v>
      </c>
      <c r="R48" s="253">
        <f>IF(R$9=0,0,R$9/AGR_fec!R$9)</f>
        <v>2.1383846850628037</v>
      </c>
      <c r="S48" s="253">
        <f>IF(S$9=0,0,S$9/AGR_fec!S$9)</f>
        <v>2.1629452340941637</v>
      </c>
      <c r="T48" s="253">
        <f>IF(T$9=0,0,T$9/AGR_fec!T$9)</f>
        <v>2.0782217584259115</v>
      </c>
      <c r="U48" s="253">
        <f>IF(U$9=0,0,U$9/AGR_fec!U$9)</f>
        <v>2.2099980502489251</v>
      </c>
      <c r="V48" s="253">
        <f>IF(V$9=0,0,V$9/AGR_fec!V$9)</f>
        <v>2.3108475230253149</v>
      </c>
      <c r="W48" s="253">
        <f>IF(W$9=0,0,W$9/AGR_fec!W$9)</f>
        <v>1.8887103779112713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3.1024187999999993</v>
      </c>
      <c r="D49" s="265">
        <f>IF(D$16=0,0,D$16/AGR_fec!D$16)</f>
        <v>3.1024187999999997</v>
      </c>
      <c r="E49" s="265">
        <f>IF(E$16=0,0,E$16/AGR_fec!E$16)</f>
        <v>3.1024188000000006</v>
      </c>
      <c r="F49" s="265">
        <f>IF(F$16=0,0,F$16/AGR_fec!F$16)</f>
        <v>3.1024187999999997</v>
      </c>
      <c r="G49" s="265">
        <f>IF(G$16=0,0,G$16/AGR_fec!G$16)</f>
        <v>3.1024187999999988</v>
      </c>
      <c r="H49" s="265">
        <f>IF(H$16=0,0,H$16/AGR_fec!H$16)</f>
        <v>3.1024188000000006</v>
      </c>
      <c r="I49" s="265">
        <f>IF(I$16=0,0,I$16/AGR_fec!I$16)</f>
        <v>3.1024187999999997</v>
      </c>
      <c r="J49" s="265">
        <f>IF(J$16=0,0,J$16/AGR_fec!J$16)</f>
        <v>3.0775891639093018</v>
      </c>
      <c r="K49" s="265">
        <f>IF(K$16=0,0,K$16/AGR_fec!K$16)</f>
        <v>2.9976510706875348</v>
      </c>
      <c r="L49" s="265">
        <f>IF(L$16=0,0,L$16/AGR_fec!L$16)</f>
        <v>2.9914936815173592</v>
      </c>
      <c r="M49" s="265">
        <f>IF(M$16=0,0,M$16/AGR_fec!M$16)</f>
        <v>3.0116498111340095</v>
      </c>
      <c r="N49" s="265">
        <f>IF(N$16=0,0,N$16/AGR_fec!N$16)</f>
        <v>3.0644840766914347</v>
      </c>
      <c r="O49" s="265">
        <f>IF(O$16=0,0,O$16/AGR_fec!O$16)</f>
        <v>3.0973035562480149</v>
      </c>
      <c r="P49" s="265">
        <f>IF(P$16=0,0,P$16/AGR_fec!P$16)</f>
        <v>3.0971364617014308</v>
      </c>
      <c r="Q49" s="265">
        <f>IF(Q$16=0,0,Q$16/AGR_fec!Q$16)</f>
        <v>3.097556817969128</v>
      </c>
      <c r="R49" s="265">
        <f>IF(R$16=0,0,R$16/AGR_fec!R$16)</f>
        <v>3.0960093226449659</v>
      </c>
      <c r="S49" s="265">
        <f>IF(S$16=0,0,S$16/AGR_fec!S$16)</f>
        <v>3.0974486359589495</v>
      </c>
      <c r="T49" s="265">
        <f>IF(T$16=0,0,T$16/AGR_fec!T$16)</f>
        <v>3.097098290953006</v>
      </c>
      <c r="U49" s="265">
        <f>IF(U$16=0,0,U$16/AGR_fec!U$16)</f>
        <v>3.0975925934392667</v>
      </c>
      <c r="V49" s="265">
        <f>IF(V$16=0,0,V$16/AGR_fec!V$16)</f>
        <v>3.097716300635581</v>
      </c>
      <c r="W49" s="265">
        <f>IF(W$16=0,0,W$16/AGR_fec!W$16)</f>
        <v>2.9983565490579309</v>
      </c>
      <c r="DA49" s="291"/>
    </row>
    <row r="50" spans="1:105" x14ac:dyDescent="0.25">
      <c r="A50" s="128" t="s">
        <v>121</v>
      </c>
      <c r="B50" s="265">
        <f>IF(B$17=0,0,B$17/AGR_fec!B$17)</f>
        <v>2.3684592860865807</v>
      </c>
      <c r="C50" s="265">
        <f>IF(C$17=0,0,C$17/AGR_fec!C$17)</f>
        <v>2.2912032810923937</v>
      </c>
      <c r="D50" s="265">
        <f>IF(D$17=0,0,D$17/AGR_fec!D$17)</f>
        <v>2.2865267184907458</v>
      </c>
      <c r="E50" s="265">
        <f>IF(E$17=0,0,E$17/AGR_fec!E$17)</f>
        <v>2.2743084787432277</v>
      </c>
      <c r="F50" s="265">
        <f>IF(F$17=0,0,F$17/AGR_fec!F$17)</f>
        <v>2.2543339613120201</v>
      </c>
      <c r="G50" s="265">
        <f>IF(G$17=0,0,G$17/AGR_fec!G$17)</f>
        <v>2.2450781697717845</v>
      </c>
      <c r="H50" s="265">
        <f>IF(H$17=0,0,H$17/AGR_fec!H$17)</f>
        <v>2.2011033094751298</v>
      </c>
      <c r="I50" s="265">
        <f>IF(I$17=0,0,I$17/AGR_fec!I$17)</f>
        <v>2.2366151946332518</v>
      </c>
      <c r="J50" s="265">
        <f>IF(J$17=0,0,J$17/AGR_fec!J$17)</f>
        <v>2.2561384992981095</v>
      </c>
      <c r="K50" s="265">
        <f>IF(K$17=0,0,K$17/AGR_fec!K$17)</f>
        <v>2.1803037906047988</v>
      </c>
      <c r="L50" s="265">
        <f>IF(L$17=0,0,L$17/AGR_fec!L$17)</f>
        <v>2.0157353659860782</v>
      </c>
      <c r="M50" s="265">
        <f>IF(M$17=0,0,M$17/AGR_fec!M$17)</f>
        <v>2.0453466947469967</v>
      </c>
      <c r="N50" s="265">
        <f>IF(N$17=0,0,N$17/AGR_fec!N$17)</f>
        <v>1.9334576482874477</v>
      </c>
      <c r="O50" s="265">
        <f>IF(O$17=0,0,O$17/AGR_fec!O$17)</f>
        <v>1.7680978231308233</v>
      </c>
      <c r="P50" s="265">
        <f>IF(P$17=0,0,P$17/AGR_fec!P$17)</f>
        <v>1.7633514706440383</v>
      </c>
      <c r="Q50" s="265">
        <f>IF(Q$17=0,0,Q$17/AGR_fec!Q$17)</f>
        <v>1.9283634822368905</v>
      </c>
      <c r="R50" s="265">
        <f>IF(R$17=0,0,R$17/AGR_fec!R$17)</f>
        <v>1.886693425199929</v>
      </c>
      <c r="S50" s="265">
        <f>IF(S$17=0,0,S$17/AGR_fec!S$17)</f>
        <v>1.915913805159734</v>
      </c>
      <c r="T50" s="265">
        <f>IF(T$17=0,0,T$17/AGR_fec!T$17)</f>
        <v>1.8795242499992975</v>
      </c>
      <c r="U50" s="265">
        <f>IF(U$17=0,0,U$17/AGR_fec!U$17)</f>
        <v>1.9621146603464537</v>
      </c>
      <c r="V50" s="265">
        <f>IF(V$17=0,0,V$17/AGR_fec!V$17)</f>
        <v>1.9686745738648428</v>
      </c>
      <c r="W50" s="265">
        <f>IF(W$17=0,0,W$17/AGR_fec!W$17)</f>
        <v>1.7424825381758138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3.1024188000000015</v>
      </c>
      <c r="D51" s="265">
        <f>IF(D$25=0,0,D$25/AGR_fec!D$25)</f>
        <v>3.102418800000001</v>
      </c>
      <c r="E51" s="265">
        <f>IF(E$25=0,0,E$25/AGR_fec!E$25)</f>
        <v>3.1024187999999988</v>
      </c>
      <c r="F51" s="265">
        <f>IF(F$25=0,0,F$25/AGR_fec!F$25)</f>
        <v>3.1024187999999993</v>
      </c>
      <c r="G51" s="265">
        <f>IF(G$25=0,0,G$25/AGR_fec!G$25)</f>
        <v>3.1024188000000001</v>
      </c>
      <c r="H51" s="265">
        <f>IF(H$25=0,0,H$25/AGR_fec!H$25)</f>
        <v>3.1024187999999997</v>
      </c>
      <c r="I51" s="265">
        <f>IF(I$25=0,0,I$25/AGR_fec!I$25)</f>
        <v>3.102418800000001</v>
      </c>
      <c r="J51" s="265">
        <f>IF(J$25=0,0,J$25/AGR_fec!J$25)</f>
        <v>3.0775891639093036</v>
      </c>
      <c r="K51" s="265">
        <f>IF(K$25=0,0,K$25/AGR_fec!K$25)</f>
        <v>2.9976510706875348</v>
      </c>
      <c r="L51" s="265">
        <f>IF(L$25=0,0,L$25/AGR_fec!L$25)</f>
        <v>2.9914936815173578</v>
      </c>
      <c r="M51" s="265">
        <f>IF(M$25=0,0,M$25/AGR_fec!M$25)</f>
        <v>3.0116498111340095</v>
      </c>
      <c r="N51" s="265">
        <f>IF(N$25=0,0,N$25/AGR_fec!N$25)</f>
        <v>3.0644840766914343</v>
      </c>
      <c r="O51" s="265">
        <f>IF(O$25=0,0,O$25/AGR_fec!O$25)</f>
        <v>3.0973035562480145</v>
      </c>
      <c r="P51" s="265">
        <f>IF(P$25=0,0,P$25/AGR_fec!P$25)</f>
        <v>3.0971364617014316</v>
      </c>
      <c r="Q51" s="265">
        <f>IF(Q$25=0,0,Q$25/AGR_fec!Q$25)</f>
        <v>3.0975568179691275</v>
      </c>
      <c r="R51" s="265">
        <f>IF(R$25=0,0,R$25/AGR_fec!R$25)</f>
        <v>3.096009322644965</v>
      </c>
      <c r="S51" s="265">
        <f>IF(S$25=0,0,S$25/AGR_fec!S$25)</f>
        <v>3.0974486359589477</v>
      </c>
      <c r="T51" s="265">
        <f>IF(T$25=0,0,T$25/AGR_fec!T$25)</f>
        <v>3.0970982909530078</v>
      </c>
      <c r="U51" s="265">
        <f>IF(U$25=0,0,U$25/AGR_fec!U$25)</f>
        <v>3.0975925934392681</v>
      </c>
      <c r="V51" s="265">
        <f>IF(V$25=0,0,V$25/AGR_fec!V$25)</f>
        <v>3.0977163006355797</v>
      </c>
      <c r="W51" s="265">
        <f>IF(W$25=0,0,W$25/AGR_fec!W$25)</f>
        <v>2.9983565490579318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F64DD2-8890-43E8-9B36-FF82450A901F}"/>
</file>

<file path=customXml/itemProps2.xml><?xml version="1.0" encoding="utf-8"?>
<ds:datastoreItem xmlns:ds="http://schemas.openxmlformats.org/officeDocument/2006/customXml" ds:itemID="{3E45ED01-F747-4274-AA8A-8F0FFA112A7A}"/>
</file>

<file path=customXml/itemProps3.xml><?xml version="1.0" encoding="utf-8"?>
<ds:datastoreItem xmlns:ds="http://schemas.openxmlformats.org/officeDocument/2006/customXml" ds:itemID="{BBFBE4CC-5B61-4679-AEBB-C08044630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2024-05-20T16:50:10Z</dcterms:created>
  <dcterms:modified xsi:type="dcterms:W3CDTF">2024-05-20T16:50:11Z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